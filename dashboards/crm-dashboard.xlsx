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webextensions/webextension1.xml" ContentType="application/vnd.ms-office.webextension+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4.xml" ContentType="application/vnd.ms-excel.slicer+xml"/>
  <Override PartName="/xl/charts/chart10.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d.docs.live.net/c6e5fe5563ab6cfd/Desktop/Dashboard Projects/Dashboard/template69/"/>
    </mc:Choice>
  </mc:AlternateContent>
  <xr:revisionPtr revIDLastSave="2" documentId="13_ncr:1_{13A8E01E-55EE-4FCC-97A4-D326BB3E6F25}" xr6:coauthVersionLast="47" xr6:coauthVersionMax="47" xr10:uidLastSave="{C1153066-266D-4B28-A1B8-F19EE8280011}"/>
  <bookViews>
    <workbookView xWindow="-120" yWindow="-120" windowWidth="20730" windowHeight="11310" tabRatio="934" xr2:uid="{27A396AF-6D94-4910-8E58-DF17108CCFCA}"/>
  </bookViews>
  <sheets>
    <sheet name="DASHBOARD" sheetId="1" r:id="rId1"/>
    <sheet name="ALL ORDERS" sheetId="9" r:id="rId2"/>
    <sheet name="ORDER" sheetId="7" r:id="rId3"/>
    <sheet name="Control" sheetId="14" r:id="rId4"/>
    <sheet name="Personnel" sheetId="3" r:id="rId5"/>
    <sheet name="Processing" sheetId="2" r:id="rId6"/>
    <sheet name="Today" sheetId="6" r:id="rId7"/>
    <sheet name="Data" sheetId="8" r:id="rId8"/>
    <sheet name="EMPLOYEES" sheetId="5" r:id="rId9"/>
    <sheet name="BALANCE" sheetId="16" r:id="rId10"/>
    <sheet name="SERVICES PROVIDED" sheetId="17" r:id="rId11"/>
    <sheet name="ADDEMPLOYEES" sheetId="4" r:id="rId12"/>
    <sheet name="Customer Database" sheetId="12" r:id="rId13"/>
    <sheet name="Employee Database" sheetId="13" r:id="rId14"/>
    <sheet name="KPI" sheetId="15" r:id="rId15"/>
  </sheets>
  <definedNames>
    <definedName name="dborders">'ALL ORDERS'!$A$3:$X$806</definedName>
    <definedName name="Slicer_Month">#N/A</definedName>
    <definedName name="Slicer_Year">#N/A</definedName>
  </definedNames>
  <calcPr calcId="191029"/>
  <pivotCaches>
    <pivotCache cacheId="7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7" l="1"/>
  <c r="B9" i="7"/>
  <c r="S811" i="9"/>
  <c r="U811" i="9"/>
  <c r="P811" i="9"/>
  <c r="O811" i="9"/>
  <c r="I811" i="9"/>
  <c r="F811" i="9"/>
  <c r="E811" i="9"/>
  <c r="K811" i="9"/>
  <c r="M811" i="9" s="1" a="1"/>
  <c r="A811" i="9"/>
  <c r="B811" i="9" s="1"/>
  <c r="I15" i="13"/>
  <c r="F15" i="13"/>
  <c r="E15" i="13"/>
  <c r="C15" i="13"/>
  <c r="B15" i="13"/>
  <c r="K13" i="4"/>
  <c r="D15" i="13" s="1"/>
  <c r="O19" i="6"/>
  <c r="V52" i="2"/>
  <c r="O27" i="6"/>
  <c r="N27" i="6"/>
  <c r="J27" i="6"/>
  <c r="I27" i="6"/>
  <c r="G27" i="6"/>
  <c r="E27" i="6"/>
  <c r="B810" i="9"/>
  <c r="C810" i="9" a="1"/>
  <c r="D810" i="9"/>
  <c r="J810" i="9"/>
  <c r="L810" i="9"/>
  <c r="M810" i="9" a="1"/>
  <c r="N810"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4" i="9"/>
  <c r="N811" i="9" l="1"/>
  <c r="L811" i="9"/>
  <c r="D811" i="9"/>
  <c r="C811" i="9" a="1"/>
  <c r="Y94"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61" i="9"/>
  <c r="G19" i="6" l="1"/>
  <c r="G24" i="6"/>
  <c r="G22" i="6"/>
  <c r="O24" i="6"/>
  <c r="O22" i="6"/>
  <c r="N24" i="6"/>
  <c r="N22" i="6"/>
  <c r="N19" i="6"/>
  <c r="J24" i="6"/>
  <c r="J22" i="6"/>
  <c r="J19" i="6"/>
  <c r="I24" i="6"/>
  <c r="I22" i="6"/>
  <c r="I19" i="6"/>
  <c r="E24" i="6"/>
  <c r="E22" i="6"/>
  <c r="E19" i="6"/>
  <c r="O17" i="6"/>
  <c r="N17" i="6"/>
  <c r="J17" i="6"/>
  <c r="I17" i="6"/>
  <c r="G17" i="6"/>
  <c r="E17" i="6"/>
  <c r="B807" i="9"/>
  <c r="C807" i="9" a="1"/>
  <c r="D807" i="9"/>
  <c r="J807" i="9"/>
  <c r="L807" i="9"/>
  <c r="M807" i="9" a="1"/>
  <c r="N807" i="9"/>
  <c r="B808" i="9"/>
  <c r="C808" i="9" a="1"/>
  <c r="D808" i="9"/>
  <c r="J808" i="9"/>
  <c r="L808" i="9"/>
  <c r="M808" i="9" a="1"/>
  <c r="N808" i="9"/>
  <c r="B809" i="9"/>
  <c r="C809" i="9" a="1"/>
  <c r="D809" i="9"/>
  <c r="J809" i="9"/>
  <c r="L809" i="9"/>
  <c r="M809" i="9" a="1"/>
  <c r="N809" i="9"/>
  <c r="M25" i="3"/>
  <c r="M27" i="3"/>
  <c r="M29" i="3"/>
  <c r="M31" i="3"/>
  <c r="M23" i="3"/>
  <c r="M9" i="3"/>
  <c r="M11" i="3"/>
  <c r="M13" i="3"/>
  <c r="M15" i="3"/>
  <c r="M17" i="3"/>
  <c r="M7" i="3"/>
  <c r="P34" i="2"/>
  <c r="P35" i="2"/>
  <c r="P33" i="2"/>
  <c r="U36" i="2" s="1"/>
  <c r="S47" i="2"/>
  <c r="S48" i="2"/>
  <c r="S39" i="2"/>
  <c r="S40" i="2"/>
  <c r="S41" i="2"/>
  <c r="S42" i="2"/>
  <c r="S43" i="2"/>
  <c r="S44" i="2"/>
  <c r="S45" i="2"/>
  <c r="S46" i="2"/>
  <c r="S38" i="2"/>
  <c r="T36" i="2" l="1"/>
  <c r="V36" i="2"/>
  <c r="B39" i="2" l="1"/>
  <c r="AP2" i="2" s="1"/>
  <c r="B40" i="2"/>
  <c r="AP3" i="2" s="1"/>
  <c r="B41" i="2"/>
  <c r="AP4" i="2" s="1"/>
  <c r="B42" i="2"/>
  <c r="AP5" i="2" s="1"/>
  <c r="B43" i="2"/>
  <c r="AP6" i="2" s="1"/>
  <c r="B44" i="2"/>
  <c r="AP7" i="2" s="1"/>
  <c r="B45" i="2"/>
  <c r="AP8" i="2" s="1"/>
  <c r="B46" i="2"/>
  <c r="AP9" i="2" s="1"/>
  <c r="B47" i="2"/>
  <c r="AP10" i="2" s="1"/>
  <c r="B48" i="2"/>
  <c r="AP11" i="2" s="1"/>
  <c r="B49" i="2"/>
  <c r="AP12" i="2" s="1"/>
  <c r="B50" i="2"/>
  <c r="AP13" i="2" s="1"/>
  <c r="B51" i="2"/>
  <c r="AP14" i="2" s="1"/>
  <c r="B52" i="2"/>
  <c r="AP15" i="2" s="1"/>
  <c r="B53" i="2"/>
  <c r="AP16" i="2" s="1"/>
  <c r="B54" i="2"/>
  <c r="AP17" i="2" s="1"/>
  <c r="B55" i="2"/>
  <c r="AP18" i="2" s="1"/>
  <c r="B56" i="2"/>
  <c r="AP19" i="2" s="1"/>
  <c r="B57" i="2"/>
  <c r="AP20" i="2" s="1"/>
  <c r="B58" i="2"/>
  <c r="AP21" i="2" s="1"/>
  <c r="B59" i="2"/>
  <c r="AP22" i="2" s="1"/>
  <c r="B60" i="2"/>
  <c r="AP23" i="2" s="1"/>
  <c r="B61" i="2"/>
  <c r="AP24" i="2" s="1"/>
  <c r="B62" i="2"/>
  <c r="AP25" i="2" s="1"/>
  <c r="B63" i="2"/>
  <c r="AP26" i="2" s="1"/>
  <c r="B38" i="2"/>
  <c r="AP1" i="2" s="1"/>
  <c r="B53" i="9"/>
  <c r="C53" i="9" a="1"/>
  <c r="D53" i="9"/>
  <c r="J53" i="9"/>
  <c r="L53" i="9"/>
  <c r="M53" i="9" a="1"/>
  <c r="N53" i="9"/>
  <c r="B54" i="9"/>
  <c r="C54" i="9" a="1"/>
  <c r="D54" i="9"/>
  <c r="J54" i="9"/>
  <c r="L54" i="9"/>
  <c r="M54" i="9" a="1"/>
  <c r="N54" i="9"/>
  <c r="B55" i="9"/>
  <c r="C55" i="9" a="1"/>
  <c r="D55" i="9"/>
  <c r="J55" i="9"/>
  <c r="L55" i="9"/>
  <c r="M55" i="9" a="1"/>
  <c r="N55" i="9"/>
  <c r="B49" i="9"/>
  <c r="C49" i="9" a="1"/>
  <c r="D49" i="9"/>
  <c r="J49" i="9"/>
  <c r="L49" i="9"/>
  <c r="M49" i="9" a="1"/>
  <c r="N49" i="9"/>
  <c r="B50" i="9"/>
  <c r="C50" i="9" a="1"/>
  <c r="D50" i="9"/>
  <c r="J50" i="9"/>
  <c r="L50" i="9"/>
  <c r="M50" i="9" a="1"/>
  <c r="N50" i="9"/>
  <c r="B43" i="9"/>
  <c r="C43" i="9" a="1"/>
  <c r="D43" i="9"/>
  <c r="J43" i="9"/>
  <c r="L43" i="9"/>
  <c r="M43" i="9" a="1"/>
  <c r="N43" i="9"/>
  <c r="B44" i="9"/>
  <c r="C44" i="9" a="1"/>
  <c r="D44" i="9"/>
  <c r="J44" i="9"/>
  <c r="L44" i="9"/>
  <c r="M44" i="9" a="1"/>
  <c r="N44" i="9"/>
  <c r="B45" i="9"/>
  <c r="C45" i="9" a="1"/>
  <c r="D45" i="9"/>
  <c r="J45" i="9"/>
  <c r="L45" i="9"/>
  <c r="M45" i="9" a="1"/>
  <c r="N45" i="9"/>
  <c r="B32" i="9"/>
  <c r="C32" i="9" a="1"/>
  <c r="D32" i="9"/>
  <c r="J32" i="9"/>
  <c r="L32" i="9"/>
  <c r="M32" i="9" a="1"/>
  <c r="N32" i="9"/>
  <c r="B33" i="9"/>
  <c r="C33" i="9" a="1"/>
  <c r="D33" i="9"/>
  <c r="J33" i="9"/>
  <c r="L33" i="9"/>
  <c r="M33" i="9" a="1"/>
  <c r="N33" i="9"/>
  <c r="B34" i="9"/>
  <c r="C34" i="9" a="1"/>
  <c r="D34" i="9"/>
  <c r="J34" i="9"/>
  <c r="L34" i="9"/>
  <c r="M34" i="9" a="1"/>
  <c r="N34" i="9"/>
  <c r="B35" i="9"/>
  <c r="C35" i="9" a="1"/>
  <c r="D35" i="9"/>
  <c r="J35" i="9"/>
  <c r="L35" i="9"/>
  <c r="M35" i="9" a="1"/>
  <c r="N35" i="9"/>
  <c r="B29" i="9"/>
  <c r="C29" i="9" a="1"/>
  <c r="D29" i="9"/>
  <c r="J29" i="9"/>
  <c r="L29" i="9"/>
  <c r="M29" i="9" a="1"/>
  <c r="N29" i="9"/>
  <c r="B30" i="9"/>
  <c r="C30" i="9" a="1"/>
  <c r="D30" i="9"/>
  <c r="J30" i="9"/>
  <c r="L30" i="9"/>
  <c r="M30" i="9" a="1"/>
  <c r="N30" i="9"/>
  <c r="B24" i="9"/>
  <c r="C24" i="9" a="1"/>
  <c r="D24" i="9"/>
  <c r="J24" i="9"/>
  <c r="L24" i="9"/>
  <c r="M24" i="9" a="1"/>
  <c r="N24" i="9"/>
  <c r="B25" i="9"/>
  <c r="C25" i="9" a="1"/>
  <c r="D25" i="9"/>
  <c r="J25" i="9"/>
  <c r="L25" i="9"/>
  <c r="M25" i="9" a="1"/>
  <c r="N25" i="9"/>
  <c r="B14" i="9"/>
  <c r="C14" i="9" a="1"/>
  <c r="D14" i="9"/>
  <c r="J14" i="9"/>
  <c r="L14" i="9"/>
  <c r="M14" i="9" a="1"/>
  <c r="N14" i="9"/>
  <c r="C50" i="2"/>
  <c r="F22" i="2"/>
  <c r="C41" i="2"/>
  <c r="I11" i="2"/>
  <c r="C43" i="2"/>
  <c r="F19" i="2"/>
  <c r="D3" i="2"/>
  <c r="F16" i="2"/>
  <c r="C48" i="2"/>
  <c r="C53" i="2"/>
  <c r="F15" i="2"/>
  <c r="I16" i="2"/>
  <c r="I12" i="2"/>
  <c r="C40" i="2"/>
  <c r="C45" i="2"/>
  <c r="R28" i="2"/>
  <c r="F21" i="2"/>
  <c r="C51" i="2"/>
  <c r="T29" i="2"/>
  <c r="C39" i="2"/>
  <c r="C56" i="2"/>
  <c r="F13" i="2"/>
  <c r="C46" i="2"/>
  <c r="C42" i="2"/>
  <c r="C54" i="2"/>
  <c r="I13" i="2"/>
  <c r="T28" i="2"/>
  <c r="I18" i="2"/>
  <c r="I15" i="2"/>
  <c r="F12" i="2"/>
  <c r="F17" i="2"/>
  <c r="I20" i="2"/>
  <c r="I21" i="2"/>
  <c r="I17" i="2"/>
  <c r="C61" i="2"/>
  <c r="C59" i="2"/>
  <c r="F20" i="2"/>
  <c r="F11" i="2"/>
  <c r="C62" i="2"/>
  <c r="I19" i="2"/>
  <c r="S28" i="2"/>
  <c r="I14" i="2"/>
  <c r="C5" i="2"/>
  <c r="C38" i="2"/>
  <c r="F14" i="2"/>
  <c r="I22" i="2"/>
  <c r="C6" i="2"/>
  <c r="C60" i="2"/>
  <c r="C49" i="2"/>
  <c r="C44" i="2"/>
  <c r="C55" i="2"/>
  <c r="C7" i="2"/>
  <c r="C58" i="2"/>
  <c r="D2" i="2"/>
  <c r="C47" i="2"/>
  <c r="C57" i="2"/>
  <c r="C52" i="2"/>
  <c r="C63" i="2"/>
  <c r="F18" i="2"/>
  <c r="D3" i="16" l="1"/>
  <c r="K3" i="16"/>
  <c r="R27" i="2"/>
  <c r="S27" i="2" s="1"/>
  <c r="AQ1" i="2"/>
  <c r="AQ26" i="2"/>
  <c r="AQ18" i="2"/>
  <c r="AQ2" i="2"/>
  <c r="AQ25" i="2"/>
  <c r="AQ17" i="2"/>
  <c r="AQ9" i="2"/>
  <c r="AQ24" i="2"/>
  <c r="AQ23" i="2"/>
  <c r="AQ15" i="2"/>
  <c r="AQ7" i="2"/>
  <c r="AQ22" i="2"/>
  <c r="AQ14" i="2"/>
  <c r="AQ6" i="2"/>
  <c r="AQ13" i="2"/>
  <c r="AQ16" i="2"/>
  <c r="AQ21" i="2"/>
  <c r="AQ20" i="2"/>
  <c r="AQ12" i="2"/>
  <c r="AQ4" i="2"/>
  <c r="AQ8" i="2"/>
  <c r="AQ5" i="2"/>
  <c r="AQ19" i="2"/>
  <c r="AQ11" i="2"/>
  <c r="AQ3" i="2"/>
  <c r="AQ10" i="2"/>
  <c r="D4" i="2"/>
  <c r="B2" i="2" s="1"/>
  <c r="T27" i="2" l="1"/>
  <c r="AS19" i="2"/>
  <c r="AS11" i="2"/>
  <c r="AS3" i="2"/>
  <c r="J4" i="2" s="1"/>
  <c r="AS21" i="2"/>
  <c r="AS5" i="2"/>
  <c r="J6" i="2" s="1"/>
  <c r="AS26" i="2"/>
  <c r="AS18" i="2"/>
  <c r="AS10" i="2"/>
  <c r="AS2" i="2"/>
  <c r="J3" i="2" s="1"/>
  <c r="AS20" i="2"/>
  <c r="AS25" i="2"/>
  <c r="AS17" i="2"/>
  <c r="AS9" i="2"/>
  <c r="AS1" i="2"/>
  <c r="AS24" i="2"/>
  <c r="AS16" i="2"/>
  <c r="AS8" i="2"/>
  <c r="AS12" i="2"/>
  <c r="AS23" i="2"/>
  <c r="AS15" i="2"/>
  <c r="AS7" i="2"/>
  <c r="AS4" i="2"/>
  <c r="J5" i="2" s="1"/>
  <c r="AS22" i="2"/>
  <c r="AS14" i="2"/>
  <c r="AS6" i="2"/>
  <c r="AS13" i="2"/>
  <c r="B3" i="2"/>
  <c r="J2" i="2" l="1"/>
  <c r="AU1" i="2"/>
  <c r="AR14" i="2" a="1"/>
  <c r="AR22" i="2" a="1"/>
  <c r="AR13" i="2" a="1"/>
  <c r="AR6" i="2" a="1"/>
  <c r="AR12" i="2" a="1"/>
  <c r="AR8" i="2" a="1"/>
  <c r="AR24" i="2" a="1"/>
  <c r="AR7" i="2" a="1"/>
  <c r="AR5" i="2" a="1"/>
  <c r="I6" i="2" s="1"/>
  <c r="AR3" i="2" a="1"/>
  <c r="I4" i="2" s="1"/>
  <c r="AR23" i="2" a="1"/>
  <c r="AR16" i="2" a="1"/>
  <c r="AR15" i="2" a="1"/>
  <c r="AR10" i="2" a="1"/>
  <c r="AR18" i="2" a="1"/>
  <c r="AR9" i="2" a="1"/>
  <c r="AR17" i="2" a="1"/>
  <c r="AR21" i="2" a="1"/>
  <c r="AR25" i="2" a="1"/>
  <c r="AR20" i="2" a="1"/>
  <c r="AR19" i="2" a="1"/>
  <c r="AR11" i="2" a="1"/>
  <c r="AR4" i="2" a="1"/>
  <c r="I5" i="2" s="1"/>
  <c r="AR2" i="2" a="1"/>
  <c r="I3" i="2" s="1"/>
  <c r="AR1" i="2" a="1"/>
  <c r="I2" i="2" s="1"/>
  <c r="AR26" i="2" a="1"/>
  <c r="J58" i="2"/>
  <c r="J59" i="2"/>
  <c r="J60" i="2"/>
  <c r="J61" i="2"/>
  <c r="J62" i="2"/>
  <c r="J63" i="2"/>
  <c r="J64" i="2"/>
  <c r="J65" i="2"/>
  <c r="J66" i="2"/>
  <c r="J67" i="2"/>
  <c r="J68" i="2"/>
  <c r="J57" i="2"/>
  <c r="J46" i="2"/>
  <c r="J47" i="2"/>
  <c r="J48" i="2"/>
  <c r="J49" i="2"/>
  <c r="J50" i="2"/>
  <c r="J51" i="2"/>
  <c r="J52" i="2"/>
  <c r="J53" i="2"/>
  <c r="J54" i="2"/>
  <c r="J55" i="2"/>
  <c r="J56" i="2"/>
  <c r="J45" i="2"/>
  <c r="J34" i="2"/>
  <c r="J35" i="2"/>
  <c r="J36" i="2"/>
  <c r="J37" i="2"/>
  <c r="J38" i="2"/>
  <c r="J39" i="2"/>
  <c r="J40" i="2"/>
  <c r="J41" i="2"/>
  <c r="J42" i="2"/>
  <c r="J43" i="2"/>
  <c r="J44" i="2"/>
  <c r="J33" i="2"/>
  <c r="K58" i="2"/>
  <c r="K59" i="2"/>
  <c r="K60" i="2"/>
  <c r="K61" i="2"/>
  <c r="K62" i="2"/>
  <c r="K63" i="2"/>
  <c r="K64" i="2"/>
  <c r="K65" i="2"/>
  <c r="K66" i="2"/>
  <c r="K67" i="2"/>
  <c r="K68" i="2"/>
  <c r="K57" i="2"/>
  <c r="K46" i="2"/>
  <c r="K47" i="2"/>
  <c r="K48" i="2"/>
  <c r="K49" i="2"/>
  <c r="K50" i="2"/>
  <c r="K51" i="2"/>
  <c r="K52" i="2"/>
  <c r="K53" i="2"/>
  <c r="K54" i="2"/>
  <c r="K55" i="2"/>
  <c r="K56" i="2"/>
  <c r="K45" i="2"/>
  <c r="K34" i="2"/>
  <c r="K35" i="2"/>
  <c r="K36" i="2"/>
  <c r="K37" i="2"/>
  <c r="K38" i="2"/>
  <c r="K39" i="2"/>
  <c r="K40" i="2"/>
  <c r="K41" i="2"/>
  <c r="K42" i="2"/>
  <c r="K43" i="2"/>
  <c r="K44" i="2"/>
  <c r="K33" i="2"/>
  <c r="AT2" i="2" l="1"/>
  <c r="AT25" i="2"/>
  <c r="AT7" i="2"/>
  <c r="AT12" i="2"/>
  <c r="AT10" i="2"/>
  <c r="AT26" i="2"/>
  <c r="AT17" i="2"/>
  <c r="AT22" i="2"/>
  <c r="AT4" i="2"/>
  <c r="AT9" i="2"/>
  <c r="AT14" i="2"/>
  <c r="AT1" i="2"/>
  <c r="AT24" i="2"/>
  <c r="AT6" i="2"/>
  <c r="AT19" i="2"/>
  <c r="AT16" i="2"/>
  <c r="AT21" i="2"/>
  <c r="AT11" i="2"/>
  <c r="AT5" i="2"/>
  <c r="AT8" i="2"/>
  <c r="AT13" i="2"/>
  <c r="AT3" i="2"/>
  <c r="AT23" i="2"/>
  <c r="AT15" i="2"/>
  <c r="AT20" i="2"/>
  <c r="AT18" i="2"/>
  <c r="R38" i="2" a="1"/>
  <c r="V46" i="2" s="1" a="1"/>
  <c r="Q38" i="2" a="1"/>
  <c r="L31" i="2"/>
  <c r="N31" i="2"/>
  <c r="U41" i="2" l="1" a="1"/>
  <c r="T44" i="2" a="1"/>
  <c r="T48" i="2" a="1"/>
  <c r="U46" i="2" a="1"/>
  <c r="T38" i="2" a="1"/>
  <c r="T43" i="2" a="1"/>
  <c r="V45" i="2" a="1"/>
  <c r="U38" i="2" a="1"/>
  <c r="V40" i="2" a="1"/>
  <c r="V44" i="2" a="1"/>
  <c r="T40" i="2" a="1"/>
  <c r="U40" i="2" a="1"/>
  <c r="V43" i="2" a="1"/>
  <c r="T39" i="2" a="1"/>
  <c r="T45" i="2" a="1"/>
  <c r="T47" i="2" a="1"/>
  <c r="U48" i="2" a="1"/>
  <c r="U42" i="2" a="1"/>
  <c r="U43" i="2" a="1"/>
  <c r="T41" i="2" a="1"/>
  <c r="V42" i="2" a="1"/>
  <c r="V47" i="2" a="1"/>
  <c r="V39" i="2" a="1"/>
  <c r="T42" i="2" a="1"/>
  <c r="V41" i="2" a="1"/>
  <c r="U39" i="2" a="1"/>
  <c r="V38" i="2" a="1"/>
  <c r="U44" i="2" a="1"/>
  <c r="U45" i="2" a="1"/>
  <c r="U47" i="2" a="1"/>
  <c r="V48" i="2" a="1"/>
  <c r="T46" i="2" a="1"/>
  <c r="C5" i="9" a="1"/>
  <c r="C6" i="9" a="1"/>
  <c r="C7" i="9" a="1"/>
  <c r="C8" i="9" a="1"/>
  <c r="C9" i="9" a="1"/>
  <c r="C10" i="9" a="1"/>
  <c r="C11" i="9" a="1"/>
  <c r="C12" i="9" a="1"/>
  <c r="C13" i="9" a="1"/>
  <c r="C15" i="9" a="1"/>
  <c r="C16" i="9" a="1"/>
  <c r="C17" i="9" a="1"/>
  <c r="C18" i="9" a="1"/>
  <c r="C19" i="9" a="1"/>
  <c r="C20" i="9" a="1"/>
  <c r="C21" i="9" a="1"/>
  <c r="C22" i="9" a="1"/>
  <c r="C23" i="9" a="1"/>
  <c r="C26" i="9" a="1"/>
  <c r="C27" i="9" a="1"/>
  <c r="C28" i="9" a="1"/>
  <c r="C31" i="9" a="1"/>
  <c r="C36" i="9" a="1"/>
  <c r="C37" i="9" a="1"/>
  <c r="C38" i="9" a="1"/>
  <c r="C39" i="9" a="1"/>
  <c r="C40" i="9" a="1"/>
  <c r="C41" i="9" a="1"/>
  <c r="C42" i="9" a="1"/>
  <c r="C46" i="9" a="1"/>
  <c r="C47" i="9" a="1"/>
  <c r="C48" i="9" a="1"/>
  <c r="C51" i="9" a="1"/>
  <c r="C52" i="9" a="1"/>
  <c r="C56" i="9" a="1"/>
  <c r="C57" i="9" a="1"/>
  <c r="C58" i="9" a="1"/>
  <c r="C59" i="9" a="1"/>
  <c r="C60" i="9" a="1"/>
  <c r="C61" i="9" a="1"/>
  <c r="C62" i="9" a="1"/>
  <c r="C63" i="9" a="1"/>
  <c r="C64" i="9" a="1"/>
  <c r="C65" i="9" a="1"/>
  <c r="C66" i="9" a="1"/>
  <c r="C67" i="9" a="1"/>
  <c r="C68" i="9" a="1"/>
  <c r="C69" i="9" a="1"/>
  <c r="C70" i="9" a="1"/>
  <c r="C71" i="9" a="1"/>
  <c r="C72" i="9" a="1"/>
  <c r="C73" i="9" a="1"/>
  <c r="C74" i="9" a="1"/>
  <c r="C75" i="9" a="1"/>
  <c r="C76" i="9" a="1"/>
  <c r="C77" i="9" a="1"/>
  <c r="C78" i="9" a="1"/>
  <c r="C79" i="9" a="1"/>
  <c r="C80" i="9" a="1"/>
  <c r="C81" i="9" a="1"/>
  <c r="C82" i="9" a="1"/>
  <c r="C83" i="9" a="1"/>
  <c r="C84" i="9" a="1"/>
  <c r="C85" i="9" a="1"/>
  <c r="C86" i="9" a="1"/>
  <c r="C87" i="9" a="1"/>
  <c r="C88" i="9" a="1"/>
  <c r="C89" i="9" a="1"/>
  <c r="C90" i="9" a="1"/>
  <c r="C91" i="9" a="1"/>
  <c r="C92" i="9" a="1"/>
  <c r="C93" i="9" a="1"/>
  <c r="C94" i="9" a="1"/>
  <c r="C95" i="9" a="1"/>
  <c r="C96" i="9" a="1"/>
  <c r="C97" i="9" a="1"/>
  <c r="C98" i="9" a="1"/>
  <c r="C99" i="9" a="1"/>
  <c r="C100" i="9" a="1"/>
  <c r="C101" i="9" a="1"/>
  <c r="C102" i="9" a="1"/>
  <c r="C103" i="9" a="1"/>
  <c r="C104" i="9" a="1"/>
  <c r="C105" i="9" a="1"/>
  <c r="C106" i="9" a="1"/>
  <c r="C107" i="9" a="1"/>
  <c r="C108" i="9" a="1"/>
  <c r="C109" i="9" a="1"/>
  <c r="C110" i="9" a="1"/>
  <c r="C111" i="9" a="1"/>
  <c r="C112" i="9" a="1"/>
  <c r="C113" i="9" a="1"/>
  <c r="C114" i="9" a="1"/>
  <c r="C115" i="9" a="1"/>
  <c r="C116" i="9" a="1"/>
  <c r="C117" i="9" a="1"/>
  <c r="C118" i="9" a="1"/>
  <c r="C119" i="9" a="1"/>
  <c r="C120" i="9" a="1"/>
  <c r="C121" i="9" a="1"/>
  <c r="C122" i="9" a="1"/>
  <c r="C123" i="9" a="1"/>
  <c r="C124" i="9" a="1"/>
  <c r="C125" i="9" a="1"/>
  <c r="C126" i="9" a="1"/>
  <c r="C127" i="9" a="1"/>
  <c r="C128" i="9" a="1"/>
  <c r="C129" i="9" a="1"/>
  <c r="C130" i="9" a="1"/>
  <c r="C131" i="9" a="1"/>
  <c r="C132" i="9" a="1"/>
  <c r="C133" i="9" a="1"/>
  <c r="C134" i="9" a="1"/>
  <c r="C135" i="9" a="1"/>
  <c r="C136" i="9" a="1"/>
  <c r="C137" i="9" a="1"/>
  <c r="C138" i="9" a="1"/>
  <c r="C139" i="9" a="1"/>
  <c r="C140" i="9" a="1"/>
  <c r="C141" i="9" a="1"/>
  <c r="C142" i="9" a="1"/>
  <c r="C143" i="9" a="1"/>
  <c r="C144" i="9" a="1"/>
  <c r="C145" i="9" a="1"/>
  <c r="C146" i="9" a="1"/>
  <c r="C147" i="9" a="1"/>
  <c r="C148" i="9" a="1"/>
  <c r="C149" i="9" a="1"/>
  <c r="C150" i="9" a="1"/>
  <c r="C151" i="9" a="1"/>
  <c r="C152" i="9" a="1"/>
  <c r="C153" i="9" a="1"/>
  <c r="C154" i="9" a="1"/>
  <c r="C155" i="9" a="1"/>
  <c r="C156" i="9" a="1"/>
  <c r="C157" i="9" a="1"/>
  <c r="C158" i="9" a="1"/>
  <c r="C159" i="9" a="1"/>
  <c r="C160" i="9" a="1"/>
  <c r="C161" i="9" a="1"/>
  <c r="C162" i="9" a="1"/>
  <c r="C163" i="9" a="1"/>
  <c r="C164" i="9" a="1"/>
  <c r="C165" i="9" a="1"/>
  <c r="C166" i="9" a="1"/>
  <c r="C167" i="9" a="1"/>
  <c r="C168" i="9" a="1"/>
  <c r="C169" i="9" a="1"/>
  <c r="C170" i="9" a="1"/>
  <c r="C171" i="9" a="1"/>
  <c r="C172" i="9" a="1"/>
  <c r="C173" i="9" a="1"/>
  <c r="C174" i="9" a="1"/>
  <c r="C175" i="9" a="1"/>
  <c r="C176" i="9" a="1"/>
  <c r="C177" i="9" a="1"/>
  <c r="C178" i="9" a="1"/>
  <c r="C179" i="9" a="1"/>
  <c r="C180" i="9" a="1"/>
  <c r="C181" i="9" a="1"/>
  <c r="C182" i="9" a="1"/>
  <c r="C183" i="9" a="1"/>
  <c r="C184" i="9" a="1"/>
  <c r="C185" i="9" a="1"/>
  <c r="C186" i="9" a="1"/>
  <c r="C187" i="9" a="1"/>
  <c r="C188" i="9" a="1"/>
  <c r="C189" i="9" a="1"/>
  <c r="C190" i="9" a="1"/>
  <c r="C191" i="9" a="1"/>
  <c r="C192" i="9" a="1"/>
  <c r="C193" i="9" a="1"/>
  <c r="C194" i="9" a="1"/>
  <c r="C195" i="9" a="1"/>
  <c r="C196" i="9" a="1"/>
  <c r="C197" i="9" a="1"/>
  <c r="C198" i="9" a="1"/>
  <c r="C199" i="9" a="1"/>
  <c r="C200" i="9" a="1"/>
  <c r="C201" i="9" a="1"/>
  <c r="C202" i="9" a="1"/>
  <c r="C203" i="9" a="1"/>
  <c r="C204" i="9" a="1"/>
  <c r="C205" i="9" a="1"/>
  <c r="C206" i="9" a="1"/>
  <c r="C207" i="9" a="1"/>
  <c r="C208" i="9" a="1"/>
  <c r="C209" i="9" a="1"/>
  <c r="C210" i="9" a="1"/>
  <c r="C211" i="9" a="1"/>
  <c r="C212" i="9" a="1"/>
  <c r="C213" i="9" a="1"/>
  <c r="C214" i="9" a="1"/>
  <c r="C215" i="9" a="1"/>
  <c r="C216" i="9" a="1"/>
  <c r="C217" i="9" a="1"/>
  <c r="C218" i="9" a="1"/>
  <c r="C219" i="9" a="1"/>
  <c r="C220" i="9" a="1"/>
  <c r="C221" i="9" a="1"/>
  <c r="C222" i="9" a="1"/>
  <c r="C223" i="9" a="1"/>
  <c r="C224" i="9" a="1"/>
  <c r="C225" i="9" a="1"/>
  <c r="C226" i="9" a="1"/>
  <c r="C227" i="9" a="1"/>
  <c r="C228" i="9" a="1"/>
  <c r="C229" i="9" a="1"/>
  <c r="C230" i="9" a="1"/>
  <c r="C231" i="9" a="1"/>
  <c r="C232" i="9" a="1"/>
  <c r="C233" i="9" a="1"/>
  <c r="C234" i="9" a="1"/>
  <c r="C235" i="9" a="1"/>
  <c r="C236" i="9" a="1"/>
  <c r="C237" i="9" a="1"/>
  <c r="C238" i="9" a="1"/>
  <c r="C239" i="9" a="1"/>
  <c r="C240" i="9" a="1"/>
  <c r="C241" i="9" a="1"/>
  <c r="C242" i="9" a="1"/>
  <c r="C243" i="9" a="1"/>
  <c r="C244" i="9" a="1"/>
  <c r="C245" i="9" a="1"/>
  <c r="C246" i="9" a="1"/>
  <c r="C247" i="9" a="1"/>
  <c r="C248" i="9" a="1"/>
  <c r="C249" i="9" a="1"/>
  <c r="C250" i="9" a="1"/>
  <c r="C251" i="9" a="1"/>
  <c r="C252" i="9" a="1"/>
  <c r="C253" i="9" a="1"/>
  <c r="C254" i="9" a="1"/>
  <c r="C255" i="9" a="1"/>
  <c r="C256" i="9" a="1"/>
  <c r="C257" i="9" a="1"/>
  <c r="C258" i="9" a="1"/>
  <c r="C259" i="9" a="1"/>
  <c r="C260" i="9" a="1"/>
  <c r="C261" i="9" a="1"/>
  <c r="C262" i="9" a="1"/>
  <c r="C263" i="9" a="1"/>
  <c r="C264" i="9" a="1"/>
  <c r="C265" i="9" a="1"/>
  <c r="C266" i="9" a="1"/>
  <c r="C267" i="9" a="1"/>
  <c r="C268" i="9" a="1"/>
  <c r="C269" i="9" a="1"/>
  <c r="C270" i="9" a="1"/>
  <c r="C271" i="9" a="1"/>
  <c r="C272" i="9" a="1"/>
  <c r="C273" i="9" a="1"/>
  <c r="C274" i="9" a="1"/>
  <c r="C275" i="9" a="1"/>
  <c r="C276" i="9" a="1"/>
  <c r="C277" i="9" a="1"/>
  <c r="C278" i="9" a="1"/>
  <c r="C279" i="9" a="1"/>
  <c r="C280" i="9" a="1"/>
  <c r="C281" i="9" a="1"/>
  <c r="C282" i="9" a="1"/>
  <c r="C283" i="9" a="1"/>
  <c r="C284" i="9" a="1"/>
  <c r="C285" i="9" a="1"/>
  <c r="C286" i="9" a="1"/>
  <c r="C287" i="9" a="1"/>
  <c r="C288" i="9" a="1"/>
  <c r="C289" i="9" a="1"/>
  <c r="C290" i="9" a="1"/>
  <c r="C291" i="9" a="1"/>
  <c r="C292" i="9" a="1"/>
  <c r="C293" i="9" a="1"/>
  <c r="C294" i="9" a="1"/>
  <c r="C295" i="9" a="1"/>
  <c r="C296" i="9" a="1"/>
  <c r="C297" i="9" a="1"/>
  <c r="C298" i="9" a="1"/>
  <c r="C299" i="9" a="1"/>
  <c r="C300" i="9" a="1"/>
  <c r="C301" i="9" a="1"/>
  <c r="C302" i="9" a="1"/>
  <c r="C303" i="9" a="1"/>
  <c r="C304" i="9" a="1"/>
  <c r="C305" i="9" a="1"/>
  <c r="C306" i="9" a="1"/>
  <c r="C307" i="9" a="1"/>
  <c r="C308" i="9" a="1"/>
  <c r="C309" i="9" a="1"/>
  <c r="C310" i="9" a="1"/>
  <c r="C311" i="9" a="1"/>
  <c r="C312" i="9" a="1"/>
  <c r="C313" i="9" a="1"/>
  <c r="C314" i="9" a="1"/>
  <c r="C315" i="9" a="1"/>
  <c r="C316" i="9" a="1"/>
  <c r="C317" i="9" a="1"/>
  <c r="C318" i="9" a="1"/>
  <c r="C319" i="9" a="1"/>
  <c r="C320" i="9" a="1"/>
  <c r="C321" i="9" a="1"/>
  <c r="C322" i="9" a="1"/>
  <c r="C323" i="9" a="1"/>
  <c r="C324" i="9" a="1"/>
  <c r="C325" i="9" a="1"/>
  <c r="C326" i="9" a="1"/>
  <c r="C327" i="9" a="1"/>
  <c r="C328" i="9" a="1"/>
  <c r="C329" i="9" a="1"/>
  <c r="C330" i="9" a="1"/>
  <c r="C331" i="9" a="1"/>
  <c r="C332" i="9" a="1"/>
  <c r="C333" i="9" a="1"/>
  <c r="C334" i="9" a="1"/>
  <c r="C335" i="9" a="1"/>
  <c r="C336" i="9" a="1"/>
  <c r="C337" i="9" a="1"/>
  <c r="C338" i="9" a="1"/>
  <c r="C339" i="9" a="1"/>
  <c r="C340" i="9" a="1"/>
  <c r="C341" i="9" a="1"/>
  <c r="C342" i="9" a="1"/>
  <c r="C343" i="9" a="1"/>
  <c r="C344" i="9" a="1"/>
  <c r="C345" i="9" a="1"/>
  <c r="C346" i="9" a="1"/>
  <c r="C347" i="9" a="1"/>
  <c r="C348" i="9" a="1"/>
  <c r="C349" i="9" a="1"/>
  <c r="C350" i="9" a="1"/>
  <c r="C351" i="9" a="1"/>
  <c r="C352" i="9" a="1"/>
  <c r="C353" i="9" a="1"/>
  <c r="C354" i="9" a="1"/>
  <c r="C355" i="9" a="1"/>
  <c r="C356" i="9" a="1"/>
  <c r="C357" i="9" a="1"/>
  <c r="C358" i="9" a="1"/>
  <c r="C359" i="9" a="1"/>
  <c r="C360" i="9" a="1"/>
  <c r="C361" i="9" a="1"/>
  <c r="C362" i="9" a="1"/>
  <c r="C363" i="9" a="1"/>
  <c r="C364" i="9" a="1"/>
  <c r="C365" i="9" a="1"/>
  <c r="C366" i="9" a="1"/>
  <c r="C367" i="9" a="1"/>
  <c r="C368" i="9" a="1"/>
  <c r="C369" i="9" a="1"/>
  <c r="C370" i="9" a="1"/>
  <c r="C371" i="9" a="1"/>
  <c r="C372" i="9" a="1"/>
  <c r="C373" i="9" a="1"/>
  <c r="C374" i="9" a="1"/>
  <c r="C375" i="9" a="1"/>
  <c r="C376" i="9" a="1"/>
  <c r="C377" i="9" a="1"/>
  <c r="C378" i="9" a="1"/>
  <c r="C379" i="9" a="1"/>
  <c r="C380" i="9" a="1"/>
  <c r="C381" i="9" a="1"/>
  <c r="C382" i="9" a="1"/>
  <c r="C383" i="9" a="1"/>
  <c r="C384" i="9" a="1"/>
  <c r="C385" i="9" a="1"/>
  <c r="C386" i="9" a="1"/>
  <c r="C387" i="9" a="1"/>
  <c r="C388" i="9" a="1"/>
  <c r="C389" i="9" a="1"/>
  <c r="C390" i="9" a="1"/>
  <c r="C391" i="9" a="1"/>
  <c r="C392" i="9" a="1"/>
  <c r="C393" i="9" a="1"/>
  <c r="C394" i="9" a="1"/>
  <c r="C395" i="9" a="1"/>
  <c r="C396" i="9" a="1"/>
  <c r="C397" i="9" a="1"/>
  <c r="C398" i="9" a="1"/>
  <c r="C399" i="9" a="1"/>
  <c r="C400" i="9" a="1"/>
  <c r="C401" i="9" a="1"/>
  <c r="C402" i="9" a="1"/>
  <c r="C403" i="9" a="1"/>
  <c r="C404" i="9" a="1"/>
  <c r="C405" i="9" a="1"/>
  <c r="C406" i="9" a="1"/>
  <c r="C407" i="9" a="1"/>
  <c r="C408" i="9" a="1"/>
  <c r="C409" i="9" a="1"/>
  <c r="C410" i="9" a="1"/>
  <c r="C411" i="9" a="1"/>
  <c r="C412" i="9" a="1"/>
  <c r="C413" i="9" a="1"/>
  <c r="C414" i="9" a="1"/>
  <c r="C415" i="9" a="1"/>
  <c r="C416" i="9" a="1"/>
  <c r="C417" i="9" a="1"/>
  <c r="C418" i="9" a="1"/>
  <c r="C419" i="9" a="1"/>
  <c r="C420" i="9" a="1"/>
  <c r="C421" i="9" a="1"/>
  <c r="C422" i="9" a="1"/>
  <c r="C423" i="9" a="1"/>
  <c r="C424" i="9" a="1"/>
  <c r="C425" i="9" a="1"/>
  <c r="C426" i="9" a="1"/>
  <c r="C427" i="9" a="1"/>
  <c r="C428" i="9" a="1"/>
  <c r="C429" i="9" a="1"/>
  <c r="C430" i="9" a="1"/>
  <c r="C431" i="9" a="1"/>
  <c r="C432" i="9" a="1"/>
  <c r="C433" i="9" a="1"/>
  <c r="C434" i="9" a="1"/>
  <c r="C435" i="9" a="1"/>
  <c r="C436" i="9" a="1"/>
  <c r="C437" i="9" a="1"/>
  <c r="C438" i="9" a="1"/>
  <c r="C439" i="9" a="1"/>
  <c r="C440" i="9" a="1"/>
  <c r="C441" i="9" a="1"/>
  <c r="C442" i="9" a="1"/>
  <c r="C443" i="9" a="1"/>
  <c r="C444" i="9" a="1"/>
  <c r="C445" i="9" a="1"/>
  <c r="C446" i="9" a="1"/>
  <c r="C447" i="9" a="1"/>
  <c r="C448" i="9" a="1"/>
  <c r="C449" i="9" a="1"/>
  <c r="C450" i="9" a="1"/>
  <c r="C451" i="9" a="1"/>
  <c r="C452" i="9" a="1"/>
  <c r="C453" i="9" a="1"/>
  <c r="C454" i="9" a="1"/>
  <c r="C455" i="9" a="1"/>
  <c r="C456" i="9" a="1"/>
  <c r="C457" i="9" a="1"/>
  <c r="C458" i="9" a="1"/>
  <c r="C459" i="9" a="1"/>
  <c r="C460" i="9" a="1"/>
  <c r="C461" i="9" a="1"/>
  <c r="C462" i="9" a="1"/>
  <c r="C463" i="9" a="1"/>
  <c r="C464" i="9" a="1"/>
  <c r="C465" i="9" a="1"/>
  <c r="C466" i="9" a="1"/>
  <c r="C467" i="9" a="1"/>
  <c r="C468" i="9" a="1"/>
  <c r="C469" i="9" a="1"/>
  <c r="C470" i="9" a="1"/>
  <c r="C471" i="9" a="1"/>
  <c r="C472" i="9" a="1"/>
  <c r="C473" i="9" a="1"/>
  <c r="C474" i="9" a="1"/>
  <c r="C475" i="9" a="1"/>
  <c r="C476" i="9" a="1"/>
  <c r="C477" i="9" a="1"/>
  <c r="C478" i="9" a="1"/>
  <c r="C479" i="9" a="1"/>
  <c r="C480" i="9" a="1"/>
  <c r="C481" i="9" a="1"/>
  <c r="C482" i="9" a="1"/>
  <c r="C483" i="9" a="1"/>
  <c r="C484" i="9" a="1"/>
  <c r="C485" i="9" a="1"/>
  <c r="C486" i="9" a="1"/>
  <c r="C487" i="9" a="1"/>
  <c r="C488" i="9" a="1"/>
  <c r="C489" i="9" a="1"/>
  <c r="C490" i="9" a="1"/>
  <c r="C491" i="9" a="1"/>
  <c r="C492" i="9" a="1"/>
  <c r="C493" i="9" a="1"/>
  <c r="C494" i="9" a="1"/>
  <c r="C495" i="9" a="1"/>
  <c r="C496" i="9" a="1"/>
  <c r="C497" i="9" a="1"/>
  <c r="C498" i="9" a="1"/>
  <c r="C499" i="9" a="1"/>
  <c r="C500" i="9" a="1"/>
  <c r="C501" i="9" a="1"/>
  <c r="C502" i="9" a="1"/>
  <c r="C503" i="9" a="1"/>
  <c r="C504" i="9" a="1"/>
  <c r="C505" i="9" a="1"/>
  <c r="C506" i="9" a="1"/>
  <c r="C507" i="9" a="1"/>
  <c r="C508" i="9" a="1"/>
  <c r="C509" i="9" a="1"/>
  <c r="C510" i="9" a="1"/>
  <c r="C511" i="9" a="1"/>
  <c r="C512" i="9" a="1"/>
  <c r="C513" i="9" a="1"/>
  <c r="C514" i="9" a="1"/>
  <c r="C515" i="9" a="1"/>
  <c r="C516" i="9" a="1"/>
  <c r="C517" i="9" a="1"/>
  <c r="C518" i="9" a="1"/>
  <c r="C519" i="9" a="1"/>
  <c r="C520" i="9" a="1"/>
  <c r="C521" i="9" a="1"/>
  <c r="C522" i="9" a="1"/>
  <c r="C523" i="9" a="1"/>
  <c r="C524" i="9" a="1"/>
  <c r="C525" i="9" a="1"/>
  <c r="C526" i="9" a="1"/>
  <c r="C527" i="9" a="1"/>
  <c r="C528" i="9" a="1"/>
  <c r="C529" i="9" a="1"/>
  <c r="C530" i="9" a="1"/>
  <c r="C531" i="9" a="1"/>
  <c r="C532" i="9" a="1"/>
  <c r="C533" i="9" a="1"/>
  <c r="C534" i="9" a="1"/>
  <c r="C535" i="9" a="1"/>
  <c r="C536" i="9" a="1"/>
  <c r="C537" i="9" a="1"/>
  <c r="C538" i="9" a="1"/>
  <c r="C539" i="9" a="1"/>
  <c r="C540" i="9" a="1"/>
  <c r="C541" i="9" a="1"/>
  <c r="C542" i="9" a="1"/>
  <c r="C543" i="9" a="1"/>
  <c r="C544" i="9" a="1"/>
  <c r="C545" i="9" a="1"/>
  <c r="C546" i="9" a="1"/>
  <c r="C547" i="9" a="1"/>
  <c r="C548" i="9" a="1"/>
  <c r="C549" i="9" a="1"/>
  <c r="C550" i="9" a="1"/>
  <c r="C551" i="9" a="1"/>
  <c r="C552" i="9" a="1"/>
  <c r="C553" i="9" a="1"/>
  <c r="C554" i="9" a="1"/>
  <c r="C555" i="9" a="1"/>
  <c r="C556" i="9" a="1"/>
  <c r="C557" i="9" a="1"/>
  <c r="C558" i="9" a="1"/>
  <c r="C559" i="9" a="1"/>
  <c r="C560" i="9" a="1"/>
  <c r="C561" i="9" a="1"/>
  <c r="C562" i="9" a="1"/>
  <c r="C563" i="9" a="1"/>
  <c r="C564" i="9" a="1"/>
  <c r="C565" i="9" a="1"/>
  <c r="C566" i="9" a="1"/>
  <c r="C567" i="9" a="1"/>
  <c r="C568" i="9" a="1"/>
  <c r="C569" i="9" a="1"/>
  <c r="C570" i="9" a="1"/>
  <c r="C571" i="9" a="1"/>
  <c r="C572" i="9" a="1"/>
  <c r="C573" i="9" a="1"/>
  <c r="C574" i="9" a="1"/>
  <c r="C575" i="9" a="1"/>
  <c r="C576" i="9" a="1"/>
  <c r="C577" i="9" a="1"/>
  <c r="C578" i="9" a="1"/>
  <c r="C579" i="9" a="1"/>
  <c r="C580" i="9" a="1"/>
  <c r="C581" i="9" a="1"/>
  <c r="C582" i="9" a="1"/>
  <c r="C583" i="9" a="1"/>
  <c r="C584" i="9" a="1"/>
  <c r="C585" i="9" a="1"/>
  <c r="C586" i="9" a="1"/>
  <c r="C587" i="9" a="1"/>
  <c r="C588" i="9" a="1"/>
  <c r="C589" i="9" a="1"/>
  <c r="C590" i="9" a="1"/>
  <c r="C591" i="9" a="1"/>
  <c r="C592" i="9" a="1"/>
  <c r="C593" i="9" a="1"/>
  <c r="C594" i="9" a="1"/>
  <c r="C595" i="9" a="1"/>
  <c r="C596" i="9" a="1"/>
  <c r="C597" i="9" a="1"/>
  <c r="C598" i="9" a="1"/>
  <c r="C599" i="9" a="1"/>
  <c r="C600" i="9" a="1"/>
  <c r="C601" i="9" a="1"/>
  <c r="C602" i="9" a="1"/>
  <c r="C603" i="9" a="1"/>
  <c r="C604" i="9" a="1"/>
  <c r="C605" i="9" a="1"/>
  <c r="C606" i="9" a="1"/>
  <c r="C607" i="9" a="1"/>
  <c r="C608" i="9" a="1"/>
  <c r="C609" i="9" a="1"/>
  <c r="C610" i="9" a="1"/>
  <c r="C611" i="9" a="1"/>
  <c r="C612" i="9" a="1"/>
  <c r="C613" i="9" a="1"/>
  <c r="C614" i="9" a="1"/>
  <c r="C615" i="9" a="1"/>
  <c r="C616" i="9" a="1"/>
  <c r="C617" i="9" a="1"/>
  <c r="C618" i="9" a="1"/>
  <c r="C619" i="9" a="1"/>
  <c r="C620" i="9" a="1"/>
  <c r="C621" i="9" a="1"/>
  <c r="C622" i="9" a="1"/>
  <c r="C623" i="9" a="1"/>
  <c r="C624" i="9" a="1"/>
  <c r="C625" i="9" a="1"/>
  <c r="C626" i="9" a="1"/>
  <c r="C627" i="9" a="1"/>
  <c r="C628" i="9" a="1"/>
  <c r="C629" i="9" a="1"/>
  <c r="C630" i="9" a="1"/>
  <c r="C631" i="9" a="1"/>
  <c r="C632" i="9" a="1"/>
  <c r="C633" i="9" a="1"/>
  <c r="C634" i="9" a="1"/>
  <c r="C635" i="9" a="1"/>
  <c r="C636" i="9" a="1"/>
  <c r="C637" i="9" a="1"/>
  <c r="C638" i="9" a="1"/>
  <c r="C639" i="9" a="1"/>
  <c r="C640" i="9" a="1"/>
  <c r="C641" i="9" a="1"/>
  <c r="C642" i="9" a="1"/>
  <c r="C643" i="9" a="1"/>
  <c r="C644" i="9" a="1"/>
  <c r="C645" i="9" a="1"/>
  <c r="C646" i="9" a="1"/>
  <c r="C647" i="9" a="1"/>
  <c r="C648" i="9" a="1"/>
  <c r="C649" i="9" a="1"/>
  <c r="C650" i="9" a="1"/>
  <c r="C651" i="9" a="1"/>
  <c r="C652" i="9" a="1"/>
  <c r="C653" i="9" a="1"/>
  <c r="C654" i="9" a="1"/>
  <c r="C655" i="9" a="1"/>
  <c r="C656" i="9" a="1"/>
  <c r="C657" i="9" a="1"/>
  <c r="C658" i="9" a="1"/>
  <c r="C659" i="9" a="1"/>
  <c r="C660" i="9" a="1"/>
  <c r="C661" i="9" a="1"/>
  <c r="C662" i="9" a="1"/>
  <c r="C663" i="9" a="1"/>
  <c r="C664" i="9" a="1"/>
  <c r="C665" i="9" a="1"/>
  <c r="C666" i="9" a="1"/>
  <c r="C667" i="9" a="1"/>
  <c r="C668" i="9" a="1"/>
  <c r="C669" i="9" a="1"/>
  <c r="C670" i="9" a="1"/>
  <c r="C671" i="9" a="1"/>
  <c r="C672" i="9" a="1"/>
  <c r="C673" i="9" a="1"/>
  <c r="C674" i="9" a="1"/>
  <c r="C675" i="9" a="1"/>
  <c r="C676" i="9" a="1"/>
  <c r="C677" i="9" a="1"/>
  <c r="C678" i="9" a="1"/>
  <c r="C679" i="9" a="1"/>
  <c r="C680" i="9" a="1"/>
  <c r="C681" i="9" a="1"/>
  <c r="C682" i="9" a="1"/>
  <c r="C683" i="9" a="1"/>
  <c r="C684" i="9" a="1"/>
  <c r="C685" i="9" a="1"/>
  <c r="C686" i="9" a="1"/>
  <c r="C687" i="9" a="1"/>
  <c r="C688" i="9" a="1"/>
  <c r="C689" i="9" a="1"/>
  <c r="C690" i="9" a="1"/>
  <c r="C691" i="9" a="1"/>
  <c r="C692" i="9" a="1"/>
  <c r="C693" i="9" a="1"/>
  <c r="C694" i="9" a="1"/>
  <c r="C695" i="9" a="1"/>
  <c r="C696" i="9" a="1"/>
  <c r="C697" i="9" a="1"/>
  <c r="C698" i="9" a="1"/>
  <c r="C699" i="9" a="1"/>
  <c r="C700" i="9" a="1"/>
  <c r="C701" i="9" a="1"/>
  <c r="C702" i="9" a="1"/>
  <c r="C703" i="9" a="1"/>
  <c r="C704" i="9" a="1"/>
  <c r="C705" i="9" a="1"/>
  <c r="C706" i="9" a="1"/>
  <c r="C707" i="9" a="1"/>
  <c r="C708" i="9" a="1"/>
  <c r="C709" i="9" a="1"/>
  <c r="C710" i="9" a="1"/>
  <c r="C711" i="9" a="1"/>
  <c r="C712" i="9" a="1"/>
  <c r="C713" i="9" a="1"/>
  <c r="C714" i="9" a="1"/>
  <c r="C715" i="9" a="1"/>
  <c r="C716" i="9" a="1"/>
  <c r="C717" i="9" a="1"/>
  <c r="C718" i="9" a="1"/>
  <c r="C719" i="9" a="1"/>
  <c r="C720" i="9" a="1"/>
  <c r="C721" i="9" a="1"/>
  <c r="C722" i="9" a="1"/>
  <c r="C723" i="9" a="1"/>
  <c r="C724" i="9" a="1"/>
  <c r="C725" i="9" a="1"/>
  <c r="C726" i="9" a="1"/>
  <c r="C727" i="9" a="1"/>
  <c r="C728" i="9" a="1"/>
  <c r="C729" i="9" a="1"/>
  <c r="C730" i="9" a="1"/>
  <c r="C731" i="9" a="1"/>
  <c r="C732" i="9" a="1"/>
  <c r="C733" i="9" a="1"/>
  <c r="C734" i="9" a="1"/>
  <c r="C735" i="9" a="1"/>
  <c r="C736" i="9" a="1"/>
  <c r="C737" i="9" a="1"/>
  <c r="C738" i="9" a="1"/>
  <c r="C739" i="9" a="1"/>
  <c r="C740" i="9" a="1"/>
  <c r="C741" i="9" a="1"/>
  <c r="C742" i="9" a="1"/>
  <c r="C743" i="9" a="1"/>
  <c r="C744" i="9" a="1"/>
  <c r="C745" i="9" a="1"/>
  <c r="C746" i="9" a="1"/>
  <c r="C747" i="9" a="1"/>
  <c r="C748" i="9" a="1"/>
  <c r="C749" i="9" a="1"/>
  <c r="C750" i="9" a="1"/>
  <c r="C751" i="9" a="1"/>
  <c r="C752" i="9" a="1"/>
  <c r="C753" i="9" a="1"/>
  <c r="C754" i="9" a="1"/>
  <c r="C755" i="9" a="1"/>
  <c r="C756" i="9" a="1"/>
  <c r="C757" i="9" a="1"/>
  <c r="C758" i="9" a="1"/>
  <c r="C759" i="9" a="1"/>
  <c r="C760" i="9" a="1"/>
  <c r="C761" i="9" a="1"/>
  <c r="C762" i="9" a="1"/>
  <c r="C763" i="9" a="1"/>
  <c r="C764" i="9" a="1"/>
  <c r="C765" i="9" a="1"/>
  <c r="C766" i="9" a="1"/>
  <c r="C767" i="9" a="1"/>
  <c r="C768" i="9" a="1"/>
  <c r="C769" i="9" a="1"/>
  <c r="C770" i="9" a="1"/>
  <c r="C771" i="9" a="1"/>
  <c r="C772" i="9" a="1"/>
  <c r="C773" i="9" a="1"/>
  <c r="C774" i="9" a="1"/>
  <c r="C775" i="9" a="1"/>
  <c r="C776" i="9" a="1"/>
  <c r="C777" i="9" a="1"/>
  <c r="C778" i="9" a="1"/>
  <c r="C779" i="9" a="1"/>
  <c r="C780" i="9" a="1"/>
  <c r="C781" i="9" a="1"/>
  <c r="C782" i="9" a="1"/>
  <c r="C783" i="9" a="1"/>
  <c r="C784" i="9" a="1"/>
  <c r="C785" i="9" a="1"/>
  <c r="C786" i="9" a="1"/>
  <c r="C787" i="9" a="1"/>
  <c r="C788" i="9" a="1"/>
  <c r="C789" i="9" a="1"/>
  <c r="C790" i="9" a="1"/>
  <c r="C791" i="9" a="1"/>
  <c r="C792" i="9" a="1"/>
  <c r="C793" i="9" a="1"/>
  <c r="C794" i="9" a="1"/>
  <c r="C795" i="9" a="1"/>
  <c r="C796" i="9" a="1"/>
  <c r="C797" i="9" a="1"/>
  <c r="C798" i="9" a="1"/>
  <c r="C799" i="9" a="1"/>
  <c r="C800" i="9" a="1"/>
  <c r="C801" i="9" a="1"/>
  <c r="C802" i="9" a="1"/>
  <c r="C803" i="9" a="1"/>
  <c r="C804" i="9" a="1"/>
  <c r="C805" i="9" a="1"/>
  <c r="C806" i="9" a="1"/>
  <c r="C4" i="9" a="1"/>
  <c r="J5" i="9"/>
  <c r="J6" i="9"/>
  <c r="J7" i="9"/>
  <c r="J8" i="9"/>
  <c r="J9" i="9"/>
  <c r="J10" i="9"/>
  <c r="J11" i="9"/>
  <c r="J12" i="9"/>
  <c r="J13" i="9"/>
  <c r="J15" i="9"/>
  <c r="J16" i="9"/>
  <c r="J17" i="9"/>
  <c r="J18" i="9"/>
  <c r="J19" i="9"/>
  <c r="J20" i="9"/>
  <c r="J21" i="9"/>
  <c r="J22" i="9"/>
  <c r="J23" i="9"/>
  <c r="J26" i="9"/>
  <c r="J27" i="9"/>
  <c r="J28" i="9"/>
  <c r="J31" i="9"/>
  <c r="J36" i="9"/>
  <c r="J37" i="9"/>
  <c r="J38" i="9"/>
  <c r="J39" i="9"/>
  <c r="J40" i="9"/>
  <c r="J41" i="9"/>
  <c r="J42" i="9"/>
  <c r="J46" i="9"/>
  <c r="J47" i="9"/>
  <c r="J48" i="9"/>
  <c r="J51" i="9"/>
  <c r="J52"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4" i="9"/>
  <c r="B794" i="9"/>
  <c r="D794" i="9"/>
  <c r="L794" i="9"/>
  <c r="M794" i="9" a="1"/>
  <c r="N794" i="9"/>
  <c r="B754" i="9"/>
  <c r="D754" i="9"/>
  <c r="L754" i="9"/>
  <c r="M754" i="9" a="1"/>
  <c r="N754" i="9"/>
  <c r="B766" i="9"/>
  <c r="D766" i="9"/>
  <c r="L766" i="9"/>
  <c r="M766" i="9" a="1"/>
  <c r="N766" i="9"/>
  <c r="B740" i="9"/>
  <c r="D740" i="9"/>
  <c r="L740" i="9"/>
  <c r="M740" i="9" a="1"/>
  <c r="N740" i="9"/>
  <c r="B706" i="9"/>
  <c r="D706" i="9"/>
  <c r="L706" i="9"/>
  <c r="M706" i="9" a="1"/>
  <c r="N706" i="9"/>
  <c r="B670" i="9"/>
  <c r="D670" i="9"/>
  <c r="L670" i="9"/>
  <c r="M670" i="9" a="1"/>
  <c r="N670" i="9"/>
  <c r="B637" i="9"/>
  <c r="D637" i="9"/>
  <c r="L637" i="9"/>
  <c r="M637" i="9" a="1"/>
  <c r="N637" i="9"/>
  <c r="B608" i="9"/>
  <c r="D608" i="9"/>
  <c r="L608" i="9"/>
  <c r="M608" i="9" a="1"/>
  <c r="N608" i="9"/>
  <c r="B576" i="9"/>
  <c r="D576" i="9"/>
  <c r="L576" i="9"/>
  <c r="M576" i="9" a="1"/>
  <c r="N576" i="9"/>
  <c r="B553" i="9"/>
  <c r="D553" i="9"/>
  <c r="L553" i="9"/>
  <c r="M553" i="9" a="1"/>
  <c r="N553" i="9"/>
  <c r="B510" i="9"/>
  <c r="D510" i="9"/>
  <c r="L510" i="9"/>
  <c r="M510" i="9" a="1"/>
  <c r="N510" i="9"/>
  <c r="B490" i="9"/>
  <c r="D490" i="9"/>
  <c r="L490" i="9"/>
  <c r="M490" i="9" a="1"/>
  <c r="N490" i="9"/>
  <c r="B462" i="9"/>
  <c r="D462" i="9"/>
  <c r="L462" i="9"/>
  <c r="M462" i="9" a="1"/>
  <c r="N462" i="9"/>
  <c r="B448" i="9"/>
  <c r="D448" i="9"/>
  <c r="L448" i="9"/>
  <c r="M448" i="9" a="1"/>
  <c r="N448" i="9"/>
  <c r="B417" i="9"/>
  <c r="D417" i="9"/>
  <c r="L417" i="9"/>
  <c r="M417" i="9" a="1"/>
  <c r="N417" i="9"/>
  <c r="B386" i="9"/>
  <c r="D386" i="9"/>
  <c r="L386" i="9"/>
  <c r="M386" i="9" a="1"/>
  <c r="N386" i="9"/>
  <c r="B356" i="9"/>
  <c r="D356" i="9"/>
  <c r="L356" i="9"/>
  <c r="M356" i="9" a="1"/>
  <c r="N356" i="9"/>
  <c r="B329" i="9"/>
  <c r="D329" i="9"/>
  <c r="L329" i="9"/>
  <c r="M329" i="9" a="1"/>
  <c r="N329" i="9"/>
  <c r="B299" i="9"/>
  <c r="D299" i="9"/>
  <c r="L299" i="9"/>
  <c r="M299" i="9" a="1"/>
  <c r="N299" i="9"/>
  <c r="B269" i="9"/>
  <c r="D269" i="9"/>
  <c r="L269" i="9"/>
  <c r="M269" i="9" a="1"/>
  <c r="N269" i="9"/>
  <c r="B234" i="9"/>
  <c r="D234" i="9"/>
  <c r="L234" i="9"/>
  <c r="M234" i="9" a="1"/>
  <c r="N234" i="9"/>
  <c r="B203" i="9"/>
  <c r="D203" i="9"/>
  <c r="L203" i="9"/>
  <c r="M203" i="9" a="1"/>
  <c r="N203" i="9"/>
  <c r="B114" i="9"/>
  <c r="D114" i="9"/>
  <c r="L114" i="9"/>
  <c r="M114" i="9" a="1"/>
  <c r="N114" i="9"/>
  <c r="B60" i="9"/>
  <c r="D60" i="9"/>
  <c r="L60" i="9"/>
  <c r="M60" i="9" a="1"/>
  <c r="N60" i="9"/>
  <c r="B47" i="9"/>
  <c r="D47" i="9"/>
  <c r="L47" i="9"/>
  <c r="M47" i="9" a="1"/>
  <c r="N47" i="9"/>
  <c r="B40" i="9"/>
  <c r="D40" i="9"/>
  <c r="L40" i="9"/>
  <c r="M40" i="9" a="1"/>
  <c r="N40" i="9"/>
  <c r="B52" i="9"/>
  <c r="D52" i="9"/>
  <c r="L52" i="9"/>
  <c r="M52" i="9" a="1"/>
  <c r="N52" i="9"/>
  <c r="B48" i="9"/>
  <c r="D48" i="9"/>
  <c r="L48" i="9"/>
  <c r="M48" i="9" a="1"/>
  <c r="N48" i="9"/>
  <c r="B42" i="9"/>
  <c r="D42" i="9"/>
  <c r="L42" i="9"/>
  <c r="M42" i="9" a="1"/>
  <c r="N42" i="9"/>
  <c r="B23" i="9"/>
  <c r="D23" i="9"/>
  <c r="L23" i="9"/>
  <c r="M23" i="9" a="1"/>
  <c r="N23" i="9"/>
  <c r="B19" i="9"/>
  <c r="D19" i="9"/>
  <c r="L19" i="9"/>
  <c r="M19" i="9" a="1"/>
  <c r="N19" i="9"/>
  <c r="B12" i="9"/>
  <c r="D12" i="9"/>
  <c r="L12" i="9"/>
  <c r="M12" i="9" a="1"/>
  <c r="N12" i="9"/>
  <c r="B8" i="9"/>
  <c r="D8" i="9"/>
  <c r="L8" i="9"/>
  <c r="M8" i="9" a="1"/>
  <c r="N8" i="9"/>
  <c r="C2" i="6"/>
  <c r="G28" i="2"/>
  <c r="G29" i="2"/>
  <c r="G30" i="2"/>
  <c r="G31" i="2"/>
  <c r="G27" i="2"/>
  <c r="R811" i="9"/>
  <c r="Q811" i="9"/>
  <c r="T811" i="9"/>
  <c r="Q19" i="2"/>
  <c r="Q20" i="2" s="1"/>
  <c r="D20" i="2"/>
  <c r="D12" i="2"/>
  <c r="D18" i="2"/>
  <c r="D13" i="2"/>
  <c r="D11" i="2"/>
  <c r="D16" i="2"/>
  <c r="D21" i="2"/>
  <c r="D22" i="2"/>
  <c r="D14" i="2"/>
  <c r="D19" i="2"/>
  <c r="D15" i="2"/>
  <c r="D17" i="2"/>
  <c r="W46" i="2" l="1"/>
  <c r="K17" i="3" s="1"/>
  <c r="W44" i="2"/>
  <c r="K13" i="3" s="1"/>
  <c r="W43" i="2"/>
  <c r="K27" i="3" s="1"/>
  <c r="W42" i="2"/>
  <c r="K25" i="3" s="1"/>
  <c r="W41" i="2"/>
  <c r="K23" i="3" s="1"/>
  <c r="W40" i="2"/>
  <c r="K11" i="3" s="1"/>
  <c r="W39" i="2"/>
  <c r="K9" i="3" s="1"/>
  <c r="W45" i="2"/>
  <c r="K15" i="3" s="1"/>
  <c r="W47" i="2"/>
  <c r="K29" i="3" s="1"/>
  <c r="W38" i="2"/>
  <c r="K7" i="3" s="1"/>
  <c r="W48" i="2"/>
  <c r="K31" i="3" s="1"/>
  <c r="D18" i="7"/>
  <c r="H811" i="9" s="1"/>
  <c r="J811" i="9" s="1"/>
  <c r="F9" i="7"/>
  <c r="L805" i="9"/>
  <c r="M805" i="9" a="1"/>
  <c r="N805" i="9"/>
  <c r="L806" i="9"/>
  <c r="M806" i="9" a="1"/>
  <c r="N806" i="9"/>
  <c r="L61" i="9"/>
  <c r="M61" i="9" a="1"/>
  <c r="N61" i="9"/>
  <c r="L62" i="9"/>
  <c r="M62" i="9" a="1"/>
  <c r="N62" i="9"/>
  <c r="L63" i="9"/>
  <c r="M63" i="9" a="1"/>
  <c r="N63" i="9"/>
  <c r="L64" i="9"/>
  <c r="M64" i="9" a="1"/>
  <c r="N64" i="9"/>
  <c r="L65" i="9"/>
  <c r="M65" i="9" a="1"/>
  <c r="N65" i="9"/>
  <c r="L66" i="9"/>
  <c r="M66" i="9" a="1"/>
  <c r="N66" i="9"/>
  <c r="L67" i="9"/>
  <c r="M67" i="9" a="1"/>
  <c r="N67" i="9"/>
  <c r="L68" i="9"/>
  <c r="M68" i="9" a="1"/>
  <c r="N68" i="9"/>
  <c r="L69" i="9"/>
  <c r="M69" i="9" a="1"/>
  <c r="N69" i="9"/>
  <c r="L70" i="9"/>
  <c r="M70" i="9" a="1"/>
  <c r="N70" i="9"/>
  <c r="L71" i="9"/>
  <c r="M71" i="9" a="1"/>
  <c r="N71" i="9"/>
  <c r="L72" i="9"/>
  <c r="M72" i="9" a="1"/>
  <c r="N72" i="9"/>
  <c r="L73" i="9"/>
  <c r="M73" i="9" a="1"/>
  <c r="N73" i="9"/>
  <c r="L74" i="9"/>
  <c r="M74" i="9" a="1"/>
  <c r="N74" i="9"/>
  <c r="L75" i="9"/>
  <c r="M75" i="9" a="1"/>
  <c r="N75" i="9"/>
  <c r="L76" i="9"/>
  <c r="M76" i="9" a="1"/>
  <c r="N76" i="9"/>
  <c r="L77" i="9"/>
  <c r="M77" i="9" a="1"/>
  <c r="N77" i="9"/>
  <c r="L78" i="9"/>
  <c r="M78" i="9" a="1"/>
  <c r="N78" i="9"/>
  <c r="L79" i="9"/>
  <c r="M79" i="9" a="1"/>
  <c r="N79" i="9"/>
  <c r="L80" i="9"/>
  <c r="M80" i="9" a="1"/>
  <c r="N80" i="9"/>
  <c r="L81" i="9"/>
  <c r="M81" i="9" a="1"/>
  <c r="N81" i="9"/>
  <c r="L82" i="9"/>
  <c r="M82" i="9" a="1"/>
  <c r="N82" i="9"/>
  <c r="L83" i="9"/>
  <c r="M83" i="9" a="1"/>
  <c r="N83" i="9"/>
  <c r="L84" i="9"/>
  <c r="M84" i="9" a="1"/>
  <c r="N84" i="9"/>
  <c r="L85" i="9"/>
  <c r="M85" i="9" a="1"/>
  <c r="N85" i="9"/>
  <c r="L86" i="9"/>
  <c r="M86" i="9" a="1"/>
  <c r="N86" i="9"/>
  <c r="L87" i="9"/>
  <c r="M87" i="9" a="1"/>
  <c r="N87" i="9"/>
  <c r="L88" i="9"/>
  <c r="M88" i="9" a="1"/>
  <c r="N88" i="9"/>
  <c r="L89" i="9"/>
  <c r="M89" i="9" a="1"/>
  <c r="N89" i="9"/>
  <c r="L90" i="9"/>
  <c r="M90" i="9" a="1"/>
  <c r="N90" i="9"/>
  <c r="L91" i="9"/>
  <c r="M91" i="9" a="1"/>
  <c r="N91" i="9"/>
  <c r="L92" i="9"/>
  <c r="M92" i="9" a="1"/>
  <c r="N92" i="9"/>
  <c r="L93" i="9"/>
  <c r="M93" i="9" a="1"/>
  <c r="N93" i="9"/>
  <c r="L94" i="9"/>
  <c r="M94" i="9" a="1"/>
  <c r="N94" i="9"/>
  <c r="L95" i="9"/>
  <c r="M95" i="9" a="1"/>
  <c r="N95" i="9"/>
  <c r="L96" i="9"/>
  <c r="M96" i="9" a="1"/>
  <c r="N96" i="9"/>
  <c r="L97" i="9"/>
  <c r="M97" i="9" a="1"/>
  <c r="N97" i="9"/>
  <c r="L98" i="9"/>
  <c r="M98" i="9" a="1"/>
  <c r="N98" i="9"/>
  <c r="L99" i="9"/>
  <c r="M99" i="9" a="1"/>
  <c r="N99" i="9"/>
  <c r="L100" i="9"/>
  <c r="M100" i="9" a="1"/>
  <c r="N100" i="9"/>
  <c r="L101" i="9"/>
  <c r="M101" i="9" a="1"/>
  <c r="N101" i="9"/>
  <c r="L102" i="9"/>
  <c r="M102" i="9" a="1"/>
  <c r="N102" i="9"/>
  <c r="L103" i="9"/>
  <c r="M103" i="9" a="1"/>
  <c r="N103" i="9"/>
  <c r="L104" i="9"/>
  <c r="M104" i="9" a="1"/>
  <c r="N104" i="9"/>
  <c r="L105" i="9"/>
  <c r="M105" i="9" a="1"/>
  <c r="N105" i="9"/>
  <c r="L106" i="9"/>
  <c r="M106" i="9" a="1"/>
  <c r="N106" i="9"/>
  <c r="L107" i="9"/>
  <c r="M107" i="9" a="1"/>
  <c r="N107" i="9"/>
  <c r="L108" i="9"/>
  <c r="M108" i="9" a="1"/>
  <c r="N108" i="9"/>
  <c r="L109" i="9"/>
  <c r="M109" i="9" a="1"/>
  <c r="N109" i="9"/>
  <c r="L110" i="9"/>
  <c r="M110" i="9" a="1"/>
  <c r="N110" i="9"/>
  <c r="L111" i="9"/>
  <c r="M111" i="9" a="1"/>
  <c r="N111" i="9"/>
  <c r="L112" i="9"/>
  <c r="M112" i="9" a="1"/>
  <c r="N112" i="9"/>
  <c r="L113" i="9"/>
  <c r="M113" i="9" a="1"/>
  <c r="N113" i="9"/>
  <c r="L115" i="9"/>
  <c r="M115" i="9" a="1"/>
  <c r="N115" i="9"/>
  <c r="L116" i="9"/>
  <c r="M116" i="9" a="1"/>
  <c r="N116" i="9"/>
  <c r="L117" i="9"/>
  <c r="M117" i="9" a="1"/>
  <c r="N117" i="9"/>
  <c r="L118" i="9"/>
  <c r="M118" i="9" a="1"/>
  <c r="N118" i="9"/>
  <c r="L119" i="9"/>
  <c r="M119" i="9" a="1"/>
  <c r="N119" i="9"/>
  <c r="L120" i="9"/>
  <c r="M120" i="9" a="1"/>
  <c r="N120" i="9"/>
  <c r="L121" i="9"/>
  <c r="M121" i="9" a="1"/>
  <c r="N121" i="9"/>
  <c r="L122" i="9"/>
  <c r="M122" i="9" a="1"/>
  <c r="N122" i="9"/>
  <c r="L123" i="9"/>
  <c r="M123" i="9" a="1"/>
  <c r="N123" i="9"/>
  <c r="L124" i="9"/>
  <c r="M124" i="9" a="1"/>
  <c r="N124" i="9"/>
  <c r="L125" i="9"/>
  <c r="M125" i="9" a="1"/>
  <c r="N125" i="9"/>
  <c r="L126" i="9"/>
  <c r="M126" i="9" a="1"/>
  <c r="N126" i="9"/>
  <c r="L127" i="9"/>
  <c r="M127" i="9" a="1"/>
  <c r="N127" i="9"/>
  <c r="L128" i="9"/>
  <c r="M128" i="9" a="1"/>
  <c r="N128" i="9"/>
  <c r="L129" i="9"/>
  <c r="M129" i="9" a="1"/>
  <c r="N129" i="9"/>
  <c r="L130" i="9"/>
  <c r="M130" i="9" a="1"/>
  <c r="N130" i="9"/>
  <c r="L131" i="9"/>
  <c r="M131" i="9" a="1"/>
  <c r="N131" i="9"/>
  <c r="L132" i="9"/>
  <c r="M132" i="9" a="1"/>
  <c r="N132" i="9"/>
  <c r="L133" i="9"/>
  <c r="M133" i="9" a="1"/>
  <c r="N133" i="9"/>
  <c r="L134" i="9"/>
  <c r="M134" i="9" a="1"/>
  <c r="N134" i="9"/>
  <c r="L135" i="9"/>
  <c r="M135" i="9" a="1"/>
  <c r="N135" i="9"/>
  <c r="L136" i="9"/>
  <c r="M136" i="9" a="1"/>
  <c r="N136" i="9"/>
  <c r="L137" i="9"/>
  <c r="M137" i="9" a="1"/>
  <c r="N137" i="9"/>
  <c r="L138" i="9"/>
  <c r="M138" i="9" a="1"/>
  <c r="N138" i="9"/>
  <c r="L139" i="9"/>
  <c r="M139" i="9" a="1"/>
  <c r="N139" i="9"/>
  <c r="L140" i="9"/>
  <c r="M140" i="9" a="1"/>
  <c r="N140" i="9"/>
  <c r="L141" i="9"/>
  <c r="M141" i="9" a="1"/>
  <c r="N141" i="9"/>
  <c r="L142" i="9"/>
  <c r="M142" i="9" a="1"/>
  <c r="N142" i="9"/>
  <c r="L143" i="9"/>
  <c r="M143" i="9" a="1"/>
  <c r="N143" i="9"/>
  <c r="L144" i="9"/>
  <c r="M144" i="9" a="1"/>
  <c r="N144" i="9"/>
  <c r="L145" i="9"/>
  <c r="M145" i="9" a="1"/>
  <c r="N145" i="9"/>
  <c r="L146" i="9"/>
  <c r="M146" i="9" a="1"/>
  <c r="N146" i="9"/>
  <c r="L147" i="9"/>
  <c r="M147" i="9" a="1"/>
  <c r="N147" i="9"/>
  <c r="L148" i="9"/>
  <c r="M148" i="9" a="1"/>
  <c r="N148" i="9"/>
  <c r="L149" i="9"/>
  <c r="M149" i="9" a="1"/>
  <c r="N149" i="9"/>
  <c r="L150" i="9"/>
  <c r="M150" i="9" a="1"/>
  <c r="N150" i="9"/>
  <c r="L151" i="9"/>
  <c r="M151" i="9" a="1"/>
  <c r="N151" i="9"/>
  <c r="L152" i="9"/>
  <c r="M152" i="9" a="1"/>
  <c r="N152" i="9"/>
  <c r="L153" i="9"/>
  <c r="M153" i="9" a="1"/>
  <c r="N153" i="9"/>
  <c r="L154" i="9"/>
  <c r="M154" i="9" a="1"/>
  <c r="N154" i="9"/>
  <c r="L155" i="9"/>
  <c r="M155" i="9" a="1"/>
  <c r="N155" i="9"/>
  <c r="L156" i="9"/>
  <c r="M156" i="9" a="1"/>
  <c r="N156" i="9"/>
  <c r="L157" i="9"/>
  <c r="M157" i="9" a="1"/>
  <c r="N157" i="9"/>
  <c r="L158" i="9"/>
  <c r="M158" i="9" a="1"/>
  <c r="N158" i="9"/>
  <c r="L159" i="9"/>
  <c r="M159" i="9" a="1"/>
  <c r="N159" i="9"/>
  <c r="L160" i="9"/>
  <c r="M160" i="9" a="1"/>
  <c r="N160" i="9"/>
  <c r="L161" i="9"/>
  <c r="M161" i="9" a="1"/>
  <c r="N161" i="9"/>
  <c r="L162" i="9"/>
  <c r="M162" i="9" a="1"/>
  <c r="N162" i="9"/>
  <c r="L163" i="9"/>
  <c r="M163" i="9" a="1"/>
  <c r="N163" i="9"/>
  <c r="L164" i="9"/>
  <c r="M164" i="9" a="1"/>
  <c r="N164" i="9"/>
  <c r="L165" i="9"/>
  <c r="M165" i="9" a="1"/>
  <c r="N165" i="9"/>
  <c r="L166" i="9"/>
  <c r="M166" i="9" a="1"/>
  <c r="N166" i="9"/>
  <c r="L167" i="9"/>
  <c r="M167" i="9" a="1"/>
  <c r="N167" i="9"/>
  <c r="L168" i="9"/>
  <c r="M168" i="9" a="1"/>
  <c r="N168" i="9"/>
  <c r="L169" i="9"/>
  <c r="M169" i="9" a="1"/>
  <c r="N169" i="9"/>
  <c r="L170" i="9"/>
  <c r="M170" i="9" a="1"/>
  <c r="N170" i="9"/>
  <c r="L171" i="9"/>
  <c r="M171" i="9" a="1"/>
  <c r="N171" i="9"/>
  <c r="L172" i="9"/>
  <c r="M172" i="9" a="1"/>
  <c r="N172" i="9"/>
  <c r="L173" i="9"/>
  <c r="M173" i="9" a="1"/>
  <c r="N173" i="9"/>
  <c r="L174" i="9"/>
  <c r="M174" i="9" a="1"/>
  <c r="N174" i="9"/>
  <c r="L175" i="9"/>
  <c r="M175" i="9" a="1"/>
  <c r="N175" i="9"/>
  <c r="L176" i="9"/>
  <c r="M176" i="9" a="1"/>
  <c r="N176" i="9"/>
  <c r="L177" i="9"/>
  <c r="M177" i="9" a="1"/>
  <c r="N177" i="9"/>
  <c r="L178" i="9"/>
  <c r="M178" i="9" a="1"/>
  <c r="N178" i="9"/>
  <c r="L179" i="9"/>
  <c r="M179" i="9" a="1"/>
  <c r="N179" i="9"/>
  <c r="L180" i="9"/>
  <c r="M180" i="9" a="1"/>
  <c r="N180" i="9"/>
  <c r="L181" i="9"/>
  <c r="M181" i="9" a="1"/>
  <c r="N181" i="9"/>
  <c r="L182" i="9"/>
  <c r="M182" i="9" a="1"/>
  <c r="N182" i="9"/>
  <c r="L183" i="9"/>
  <c r="M183" i="9" a="1"/>
  <c r="N183" i="9"/>
  <c r="L184" i="9"/>
  <c r="M184" i="9" a="1"/>
  <c r="N184" i="9"/>
  <c r="L185" i="9"/>
  <c r="M185" i="9" a="1"/>
  <c r="N185" i="9"/>
  <c r="L186" i="9"/>
  <c r="M186" i="9" a="1"/>
  <c r="N186" i="9"/>
  <c r="L187" i="9"/>
  <c r="M187" i="9" a="1"/>
  <c r="N187" i="9"/>
  <c r="L188" i="9"/>
  <c r="M188" i="9" a="1"/>
  <c r="N188" i="9"/>
  <c r="L189" i="9"/>
  <c r="M189" i="9" a="1"/>
  <c r="N189" i="9"/>
  <c r="L190" i="9"/>
  <c r="M190" i="9" a="1"/>
  <c r="N190" i="9"/>
  <c r="L191" i="9"/>
  <c r="M191" i="9" a="1"/>
  <c r="N191" i="9"/>
  <c r="L192" i="9"/>
  <c r="M192" i="9" a="1"/>
  <c r="N192" i="9"/>
  <c r="L193" i="9"/>
  <c r="M193" i="9" a="1"/>
  <c r="N193" i="9"/>
  <c r="L194" i="9"/>
  <c r="M194" i="9" a="1"/>
  <c r="N194" i="9"/>
  <c r="L195" i="9"/>
  <c r="M195" i="9" a="1"/>
  <c r="N195" i="9"/>
  <c r="L196" i="9"/>
  <c r="M196" i="9" a="1"/>
  <c r="N196" i="9"/>
  <c r="L197" i="9"/>
  <c r="M197" i="9" a="1"/>
  <c r="N197" i="9"/>
  <c r="L198" i="9"/>
  <c r="M198" i="9" a="1"/>
  <c r="N198" i="9"/>
  <c r="L199" i="9"/>
  <c r="M199" i="9" a="1"/>
  <c r="N199" i="9"/>
  <c r="L200" i="9"/>
  <c r="M200" i="9" a="1"/>
  <c r="N200" i="9"/>
  <c r="L201" i="9"/>
  <c r="M201" i="9" a="1"/>
  <c r="N201" i="9"/>
  <c r="L202" i="9"/>
  <c r="M202" i="9" a="1"/>
  <c r="N202" i="9"/>
  <c r="L204" i="9"/>
  <c r="M204" i="9" a="1"/>
  <c r="N204" i="9"/>
  <c r="L205" i="9"/>
  <c r="M205" i="9" a="1"/>
  <c r="N205" i="9"/>
  <c r="L206" i="9"/>
  <c r="M206" i="9" a="1"/>
  <c r="N206" i="9"/>
  <c r="L207" i="9"/>
  <c r="M207" i="9" a="1"/>
  <c r="N207" i="9"/>
  <c r="L208" i="9"/>
  <c r="M208" i="9" a="1"/>
  <c r="N208" i="9"/>
  <c r="L209" i="9"/>
  <c r="M209" i="9" a="1"/>
  <c r="N209" i="9"/>
  <c r="L210" i="9"/>
  <c r="M210" i="9" a="1"/>
  <c r="N210" i="9"/>
  <c r="L211" i="9"/>
  <c r="M211" i="9" a="1"/>
  <c r="N211" i="9"/>
  <c r="L212" i="9"/>
  <c r="M212" i="9" a="1"/>
  <c r="N212" i="9"/>
  <c r="L213" i="9"/>
  <c r="M213" i="9" a="1"/>
  <c r="N213" i="9"/>
  <c r="L214" i="9"/>
  <c r="M214" i="9" a="1"/>
  <c r="N214" i="9"/>
  <c r="L215" i="9"/>
  <c r="M215" i="9" a="1"/>
  <c r="N215" i="9"/>
  <c r="L216" i="9"/>
  <c r="M216" i="9" a="1"/>
  <c r="N216" i="9"/>
  <c r="L217" i="9"/>
  <c r="M217" i="9" a="1"/>
  <c r="N217" i="9"/>
  <c r="L218" i="9"/>
  <c r="M218" i="9" a="1"/>
  <c r="N218" i="9"/>
  <c r="L219" i="9"/>
  <c r="M219" i="9" a="1"/>
  <c r="N219" i="9"/>
  <c r="L220" i="9"/>
  <c r="M220" i="9" a="1"/>
  <c r="N220" i="9"/>
  <c r="L221" i="9"/>
  <c r="M221" i="9" a="1"/>
  <c r="N221" i="9"/>
  <c r="L222" i="9"/>
  <c r="M222" i="9" a="1"/>
  <c r="N222" i="9"/>
  <c r="L223" i="9"/>
  <c r="M223" i="9" a="1"/>
  <c r="N223" i="9"/>
  <c r="L224" i="9"/>
  <c r="M224" i="9" a="1"/>
  <c r="N224" i="9"/>
  <c r="L225" i="9"/>
  <c r="M225" i="9" a="1"/>
  <c r="N225" i="9"/>
  <c r="L226" i="9"/>
  <c r="M226" i="9" a="1"/>
  <c r="N226" i="9"/>
  <c r="L227" i="9"/>
  <c r="M227" i="9" a="1"/>
  <c r="N227" i="9"/>
  <c r="L228" i="9"/>
  <c r="M228" i="9" a="1"/>
  <c r="N228" i="9"/>
  <c r="L229" i="9"/>
  <c r="M229" i="9" a="1"/>
  <c r="N229" i="9"/>
  <c r="L230" i="9"/>
  <c r="M230" i="9" a="1"/>
  <c r="N230" i="9"/>
  <c r="L231" i="9"/>
  <c r="M231" i="9" a="1"/>
  <c r="N231" i="9"/>
  <c r="L232" i="9"/>
  <c r="M232" i="9" a="1"/>
  <c r="N232" i="9"/>
  <c r="L233" i="9"/>
  <c r="M233" i="9" a="1"/>
  <c r="N233" i="9"/>
  <c r="L235" i="9"/>
  <c r="M235" i="9" a="1"/>
  <c r="N235" i="9"/>
  <c r="L236" i="9"/>
  <c r="M236" i="9" a="1"/>
  <c r="N236" i="9"/>
  <c r="L237" i="9"/>
  <c r="M237" i="9" a="1"/>
  <c r="N237" i="9"/>
  <c r="L238" i="9"/>
  <c r="M238" i="9" a="1"/>
  <c r="N238" i="9"/>
  <c r="L239" i="9"/>
  <c r="M239" i="9" a="1"/>
  <c r="N239" i="9"/>
  <c r="L240" i="9"/>
  <c r="M240" i="9" a="1"/>
  <c r="N240" i="9"/>
  <c r="L241" i="9"/>
  <c r="M241" i="9" a="1"/>
  <c r="N241" i="9"/>
  <c r="L242" i="9"/>
  <c r="M242" i="9" a="1"/>
  <c r="N242" i="9"/>
  <c r="L243" i="9"/>
  <c r="M243" i="9" a="1"/>
  <c r="N243" i="9"/>
  <c r="L244" i="9"/>
  <c r="M244" i="9" a="1"/>
  <c r="N244" i="9"/>
  <c r="L245" i="9"/>
  <c r="M245" i="9" a="1"/>
  <c r="N245" i="9"/>
  <c r="L246" i="9"/>
  <c r="M246" i="9" a="1"/>
  <c r="N246" i="9"/>
  <c r="L247" i="9"/>
  <c r="M247" i="9" a="1"/>
  <c r="N247" i="9"/>
  <c r="L248" i="9"/>
  <c r="M248" i="9" a="1"/>
  <c r="N248" i="9"/>
  <c r="L249" i="9"/>
  <c r="M249" i="9" a="1"/>
  <c r="N249" i="9"/>
  <c r="L250" i="9"/>
  <c r="M250" i="9" a="1"/>
  <c r="N250" i="9"/>
  <c r="L251" i="9"/>
  <c r="M251" i="9" a="1"/>
  <c r="N251" i="9"/>
  <c r="L252" i="9"/>
  <c r="M252" i="9" a="1"/>
  <c r="N252" i="9"/>
  <c r="L253" i="9"/>
  <c r="M253" i="9" a="1"/>
  <c r="N253" i="9"/>
  <c r="L254" i="9"/>
  <c r="M254" i="9" a="1"/>
  <c r="N254" i="9"/>
  <c r="L255" i="9"/>
  <c r="M255" i="9" a="1"/>
  <c r="N255" i="9"/>
  <c r="L256" i="9"/>
  <c r="M256" i="9" a="1"/>
  <c r="N256" i="9"/>
  <c r="L257" i="9"/>
  <c r="M257" i="9" a="1"/>
  <c r="N257" i="9"/>
  <c r="L258" i="9"/>
  <c r="M258" i="9" a="1"/>
  <c r="N258" i="9"/>
  <c r="L259" i="9"/>
  <c r="M259" i="9" a="1"/>
  <c r="N259" i="9"/>
  <c r="L260" i="9"/>
  <c r="M260" i="9" a="1"/>
  <c r="N260" i="9"/>
  <c r="L261" i="9"/>
  <c r="M261" i="9" a="1"/>
  <c r="N261" i="9"/>
  <c r="L262" i="9"/>
  <c r="M262" i="9" a="1"/>
  <c r="N262" i="9"/>
  <c r="L263" i="9"/>
  <c r="M263" i="9" a="1"/>
  <c r="N263" i="9"/>
  <c r="L264" i="9"/>
  <c r="M264" i="9" a="1"/>
  <c r="N264" i="9"/>
  <c r="L265" i="9"/>
  <c r="M265" i="9" a="1"/>
  <c r="N265" i="9"/>
  <c r="L266" i="9"/>
  <c r="M266" i="9" a="1"/>
  <c r="N266" i="9"/>
  <c r="L267" i="9"/>
  <c r="M267" i="9" a="1"/>
  <c r="N267" i="9"/>
  <c r="L268" i="9"/>
  <c r="M268" i="9" a="1"/>
  <c r="N268" i="9"/>
  <c r="L270" i="9"/>
  <c r="M270" i="9" a="1"/>
  <c r="N270" i="9"/>
  <c r="L271" i="9"/>
  <c r="M271" i="9" a="1"/>
  <c r="N271" i="9"/>
  <c r="L272" i="9"/>
  <c r="M272" i="9" a="1"/>
  <c r="N272" i="9"/>
  <c r="L273" i="9"/>
  <c r="M273" i="9" a="1"/>
  <c r="N273" i="9"/>
  <c r="L274" i="9"/>
  <c r="M274" i="9" a="1"/>
  <c r="N274" i="9"/>
  <c r="L275" i="9"/>
  <c r="M275" i="9" a="1"/>
  <c r="N275" i="9"/>
  <c r="L276" i="9"/>
  <c r="M276" i="9" a="1"/>
  <c r="N276" i="9"/>
  <c r="L277" i="9"/>
  <c r="M277" i="9" a="1"/>
  <c r="N277" i="9"/>
  <c r="L278" i="9"/>
  <c r="M278" i="9" a="1"/>
  <c r="N278" i="9"/>
  <c r="L279" i="9"/>
  <c r="M279" i="9" a="1"/>
  <c r="N279" i="9"/>
  <c r="L280" i="9"/>
  <c r="M280" i="9" a="1"/>
  <c r="N280" i="9"/>
  <c r="L281" i="9"/>
  <c r="M281" i="9" a="1"/>
  <c r="N281" i="9"/>
  <c r="L282" i="9"/>
  <c r="M282" i="9" a="1"/>
  <c r="N282" i="9"/>
  <c r="L283" i="9"/>
  <c r="M283" i="9" a="1"/>
  <c r="N283" i="9"/>
  <c r="L284" i="9"/>
  <c r="M284" i="9" a="1"/>
  <c r="N284" i="9"/>
  <c r="L285" i="9"/>
  <c r="M285" i="9" a="1"/>
  <c r="N285" i="9"/>
  <c r="L286" i="9"/>
  <c r="M286" i="9" a="1"/>
  <c r="N286" i="9"/>
  <c r="L287" i="9"/>
  <c r="M287" i="9" a="1"/>
  <c r="N287" i="9"/>
  <c r="L288" i="9"/>
  <c r="M288" i="9" a="1"/>
  <c r="N288" i="9"/>
  <c r="L289" i="9"/>
  <c r="M289" i="9" a="1"/>
  <c r="N289" i="9"/>
  <c r="L290" i="9"/>
  <c r="M290" i="9" a="1"/>
  <c r="N290" i="9"/>
  <c r="L291" i="9"/>
  <c r="M291" i="9" a="1"/>
  <c r="N291" i="9"/>
  <c r="L292" i="9"/>
  <c r="M292" i="9" a="1"/>
  <c r="N292" i="9"/>
  <c r="L293" i="9"/>
  <c r="M293" i="9" a="1"/>
  <c r="N293" i="9"/>
  <c r="L294" i="9"/>
  <c r="M294" i="9" a="1"/>
  <c r="N294" i="9"/>
  <c r="L295" i="9"/>
  <c r="M295" i="9" a="1"/>
  <c r="N295" i="9"/>
  <c r="L296" i="9"/>
  <c r="M296" i="9" a="1"/>
  <c r="N296" i="9"/>
  <c r="L297" i="9"/>
  <c r="M297" i="9" a="1"/>
  <c r="N297" i="9"/>
  <c r="L298" i="9"/>
  <c r="M298" i="9" a="1"/>
  <c r="N298" i="9"/>
  <c r="L300" i="9"/>
  <c r="M300" i="9" a="1"/>
  <c r="N300" i="9"/>
  <c r="L301" i="9"/>
  <c r="M301" i="9" a="1"/>
  <c r="N301" i="9"/>
  <c r="L302" i="9"/>
  <c r="M302" i="9" a="1"/>
  <c r="N302" i="9"/>
  <c r="L303" i="9"/>
  <c r="M303" i="9" a="1"/>
  <c r="N303" i="9"/>
  <c r="L304" i="9"/>
  <c r="M304" i="9" a="1"/>
  <c r="N304" i="9"/>
  <c r="L305" i="9"/>
  <c r="M305" i="9" a="1"/>
  <c r="N305" i="9"/>
  <c r="L306" i="9"/>
  <c r="M306" i="9" a="1"/>
  <c r="N306" i="9"/>
  <c r="L307" i="9"/>
  <c r="M307" i="9" a="1"/>
  <c r="N307" i="9"/>
  <c r="L308" i="9"/>
  <c r="M308" i="9" a="1"/>
  <c r="N308" i="9"/>
  <c r="L309" i="9"/>
  <c r="M309" i="9" a="1"/>
  <c r="N309" i="9"/>
  <c r="L310" i="9"/>
  <c r="M310" i="9" a="1"/>
  <c r="N310" i="9"/>
  <c r="L311" i="9"/>
  <c r="M311" i="9" a="1"/>
  <c r="N311" i="9"/>
  <c r="L312" i="9"/>
  <c r="M312" i="9" a="1"/>
  <c r="N312" i="9"/>
  <c r="L313" i="9"/>
  <c r="M313" i="9" a="1"/>
  <c r="N313" i="9"/>
  <c r="L314" i="9"/>
  <c r="M314" i="9" a="1"/>
  <c r="N314" i="9"/>
  <c r="L315" i="9"/>
  <c r="M315" i="9" a="1"/>
  <c r="N315" i="9"/>
  <c r="L316" i="9"/>
  <c r="M316" i="9" a="1"/>
  <c r="N316" i="9"/>
  <c r="L317" i="9"/>
  <c r="M317" i="9" a="1"/>
  <c r="N317" i="9"/>
  <c r="L318" i="9"/>
  <c r="M318" i="9" a="1"/>
  <c r="N318" i="9"/>
  <c r="L319" i="9"/>
  <c r="M319" i="9" a="1"/>
  <c r="N319" i="9"/>
  <c r="L320" i="9"/>
  <c r="M320" i="9" a="1"/>
  <c r="N320" i="9"/>
  <c r="L321" i="9"/>
  <c r="M321" i="9" a="1"/>
  <c r="N321" i="9"/>
  <c r="L322" i="9"/>
  <c r="M322" i="9" a="1"/>
  <c r="N322" i="9"/>
  <c r="L323" i="9"/>
  <c r="M323" i="9" a="1"/>
  <c r="N323" i="9"/>
  <c r="L324" i="9"/>
  <c r="M324" i="9" a="1"/>
  <c r="N324" i="9"/>
  <c r="L325" i="9"/>
  <c r="M325" i="9" a="1"/>
  <c r="N325" i="9"/>
  <c r="L326" i="9"/>
  <c r="M326" i="9" a="1"/>
  <c r="N326" i="9"/>
  <c r="L327" i="9"/>
  <c r="M327" i="9" a="1"/>
  <c r="N327" i="9"/>
  <c r="L328" i="9"/>
  <c r="M328" i="9" a="1"/>
  <c r="N328" i="9"/>
  <c r="L330" i="9"/>
  <c r="M330" i="9" a="1"/>
  <c r="N330" i="9"/>
  <c r="L331" i="9"/>
  <c r="M331" i="9" a="1"/>
  <c r="N331" i="9"/>
  <c r="L332" i="9"/>
  <c r="M332" i="9" a="1"/>
  <c r="N332" i="9"/>
  <c r="L333" i="9"/>
  <c r="M333" i="9" a="1"/>
  <c r="N333" i="9"/>
  <c r="L334" i="9"/>
  <c r="M334" i="9" a="1"/>
  <c r="N334" i="9"/>
  <c r="L335" i="9"/>
  <c r="M335" i="9" a="1"/>
  <c r="N335" i="9"/>
  <c r="L336" i="9"/>
  <c r="M336" i="9" a="1"/>
  <c r="N336" i="9"/>
  <c r="L337" i="9"/>
  <c r="M337" i="9" a="1"/>
  <c r="N337" i="9"/>
  <c r="L338" i="9"/>
  <c r="M338" i="9" a="1"/>
  <c r="N338" i="9"/>
  <c r="L339" i="9"/>
  <c r="M339" i="9" a="1"/>
  <c r="N339" i="9"/>
  <c r="L340" i="9"/>
  <c r="M340" i="9" a="1"/>
  <c r="N340" i="9"/>
  <c r="L341" i="9"/>
  <c r="M341" i="9" a="1"/>
  <c r="N341" i="9"/>
  <c r="L342" i="9"/>
  <c r="M342" i="9" a="1"/>
  <c r="N342" i="9"/>
  <c r="L343" i="9"/>
  <c r="M343" i="9" a="1"/>
  <c r="N343" i="9"/>
  <c r="L344" i="9"/>
  <c r="M344" i="9" a="1"/>
  <c r="N344" i="9"/>
  <c r="L345" i="9"/>
  <c r="M345" i="9" a="1"/>
  <c r="N345" i="9"/>
  <c r="L346" i="9"/>
  <c r="M346" i="9" a="1"/>
  <c r="N346" i="9"/>
  <c r="L347" i="9"/>
  <c r="M347" i="9" a="1"/>
  <c r="N347" i="9"/>
  <c r="L348" i="9"/>
  <c r="M348" i="9" a="1"/>
  <c r="N348" i="9"/>
  <c r="L349" i="9"/>
  <c r="M349" i="9" a="1"/>
  <c r="N349" i="9"/>
  <c r="L350" i="9"/>
  <c r="M350" i="9" a="1"/>
  <c r="N350" i="9"/>
  <c r="L351" i="9"/>
  <c r="M351" i="9" a="1"/>
  <c r="N351" i="9"/>
  <c r="L352" i="9"/>
  <c r="M352" i="9" a="1"/>
  <c r="N352" i="9"/>
  <c r="L353" i="9"/>
  <c r="M353" i="9" a="1"/>
  <c r="N353" i="9"/>
  <c r="L354" i="9"/>
  <c r="M354" i="9" a="1"/>
  <c r="N354" i="9"/>
  <c r="L355" i="9"/>
  <c r="M355" i="9" a="1"/>
  <c r="N355" i="9"/>
  <c r="L357" i="9"/>
  <c r="M357" i="9" a="1"/>
  <c r="N357" i="9"/>
  <c r="L358" i="9"/>
  <c r="M358" i="9" a="1"/>
  <c r="N358" i="9"/>
  <c r="L359" i="9"/>
  <c r="M359" i="9" a="1"/>
  <c r="N359" i="9"/>
  <c r="L360" i="9"/>
  <c r="M360" i="9" a="1"/>
  <c r="N360" i="9"/>
  <c r="L361" i="9"/>
  <c r="M361" i="9" a="1"/>
  <c r="N361" i="9"/>
  <c r="L362" i="9"/>
  <c r="M362" i="9" a="1"/>
  <c r="N362" i="9"/>
  <c r="L363" i="9"/>
  <c r="M363" i="9" a="1"/>
  <c r="N363" i="9"/>
  <c r="L364" i="9"/>
  <c r="M364" i="9" a="1"/>
  <c r="N364" i="9"/>
  <c r="L365" i="9"/>
  <c r="M365" i="9" a="1"/>
  <c r="N365" i="9"/>
  <c r="L366" i="9"/>
  <c r="M366" i="9" a="1"/>
  <c r="N366" i="9"/>
  <c r="L367" i="9"/>
  <c r="M367" i="9" a="1"/>
  <c r="N367" i="9"/>
  <c r="L368" i="9"/>
  <c r="M368" i="9" a="1"/>
  <c r="N368" i="9"/>
  <c r="L369" i="9"/>
  <c r="M369" i="9" a="1"/>
  <c r="N369" i="9"/>
  <c r="L370" i="9"/>
  <c r="M370" i="9" a="1"/>
  <c r="N370" i="9"/>
  <c r="L371" i="9"/>
  <c r="M371" i="9" a="1"/>
  <c r="N371" i="9"/>
  <c r="L372" i="9"/>
  <c r="M372" i="9" a="1"/>
  <c r="N372" i="9"/>
  <c r="L373" i="9"/>
  <c r="M373" i="9" a="1"/>
  <c r="N373" i="9"/>
  <c r="L374" i="9"/>
  <c r="M374" i="9" a="1"/>
  <c r="N374" i="9"/>
  <c r="L375" i="9"/>
  <c r="M375" i="9" a="1"/>
  <c r="N375" i="9"/>
  <c r="L376" i="9"/>
  <c r="M376" i="9" a="1"/>
  <c r="N376" i="9"/>
  <c r="L377" i="9"/>
  <c r="M377" i="9" a="1"/>
  <c r="N377" i="9"/>
  <c r="L378" i="9"/>
  <c r="M378" i="9" a="1"/>
  <c r="N378" i="9"/>
  <c r="L379" i="9"/>
  <c r="M379" i="9" a="1"/>
  <c r="N379" i="9"/>
  <c r="L380" i="9"/>
  <c r="M380" i="9" a="1"/>
  <c r="N380" i="9"/>
  <c r="L381" i="9"/>
  <c r="M381" i="9" a="1"/>
  <c r="N381" i="9"/>
  <c r="L382" i="9"/>
  <c r="M382" i="9" a="1"/>
  <c r="N382" i="9"/>
  <c r="L383" i="9"/>
  <c r="M383" i="9" a="1"/>
  <c r="N383" i="9"/>
  <c r="L384" i="9"/>
  <c r="M384" i="9" a="1"/>
  <c r="N384" i="9"/>
  <c r="L385" i="9"/>
  <c r="M385" i="9" a="1"/>
  <c r="N385" i="9"/>
  <c r="L387" i="9"/>
  <c r="M387" i="9" a="1"/>
  <c r="N387" i="9"/>
  <c r="L388" i="9"/>
  <c r="M388" i="9" a="1"/>
  <c r="N388" i="9"/>
  <c r="L389" i="9"/>
  <c r="M389" i="9" a="1"/>
  <c r="N389" i="9"/>
  <c r="L390" i="9"/>
  <c r="M390" i="9" a="1"/>
  <c r="N390" i="9"/>
  <c r="L391" i="9"/>
  <c r="M391" i="9" a="1"/>
  <c r="N391" i="9"/>
  <c r="L392" i="9"/>
  <c r="M392" i="9" a="1"/>
  <c r="N392" i="9"/>
  <c r="L393" i="9"/>
  <c r="M393" i="9" a="1"/>
  <c r="N393" i="9"/>
  <c r="L394" i="9"/>
  <c r="M394" i="9" a="1"/>
  <c r="N394" i="9"/>
  <c r="L395" i="9"/>
  <c r="M395" i="9" a="1"/>
  <c r="N395" i="9"/>
  <c r="L396" i="9"/>
  <c r="M396" i="9" a="1"/>
  <c r="N396" i="9"/>
  <c r="L397" i="9"/>
  <c r="M397" i="9" a="1"/>
  <c r="N397" i="9"/>
  <c r="L398" i="9"/>
  <c r="M398" i="9" a="1"/>
  <c r="N398" i="9"/>
  <c r="L399" i="9"/>
  <c r="M399" i="9" a="1"/>
  <c r="N399" i="9"/>
  <c r="L400" i="9"/>
  <c r="M400" i="9" a="1"/>
  <c r="N400" i="9"/>
  <c r="L401" i="9"/>
  <c r="M401" i="9" a="1"/>
  <c r="N401" i="9"/>
  <c r="L402" i="9"/>
  <c r="M402" i="9" a="1"/>
  <c r="N402" i="9"/>
  <c r="L403" i="9"/>
  <c r="M403" i="9" a="1"/>
  <c r="N403" i="9"/>
  <c r="L404" i="9"/>
  <c r="M404" i="9" a="1"/>
  <c r="N404" i="9"/>
  <c r="L405" i="9"/>
  <c r="M405" i="9" a="1"/>
  <c r="N405" i="9"/>
  <c r="L406" i="9"/>
  <c r="M406" i="9" a="1"/>
  <c r="N406" i="9"/>
  <c r="L407" i="9"/>
  <c r="M407" i="9" a="1"/>
  <c r="N407" i="9"/>
  <c r="L408" i="9"/>
  <c r="M408" i="9" a="1"/>
  <c r="N408" i="9"/>
  <c r="L409" i="9"/>
  <c r="M409" i="9" a="1"/>
  <c r="N409" i="9"/>
  <c r="L410" i="9"/>
  <c r="M410" i="9" a="1"/>
  <c r="N410" i="9"/>
  <c r="L411" i="9"/>
  <c r="M411" i="9" a="1"/>
  <c r="N411" i="9"/>
  <c r="L412" i="9"/>
  <c r="M412" i="9" a="1"/>
  <c r="N412" i="9"/>
  <c r="L413" i="9"/>
  <c r="M413" i="9" a="1"/>
  <c r="N413" i="9"/>
  <c r="L414" i="9"/>
  <c r="M414" i="9" a="1"/>
  <c r="N414" i="9"/>
  <c r="L415" i="9"/>
  <c r="M415" i="9" a="1"/>
  <c r="N415" i="9"/>
  <c r="L416" i="9"/>
  <c r="M416" i="9" a="1"/>
  <c r="N416" i="9"/>
  <c r="L418" i="9"/>
  <c r="M418" i="9" a="1"/>
  <c r="N418" i="9"/>
  <c r="L419" i="9"/>
  <c r="M419" i="9" a="1"/>
  <c r="N419" i="9"/>
  <c r="L420" i="9"/>
  <c r="M420" i="9" a="1"/>
  <c r="N420" i="9"/>
  <c r="L421" i="9"/>
  <c r="M421" i="9" a="1"/>
  <c r="N421" i="9"/>
  <c r="L422" i="9"/>
  <c r="M422" i="9" a="1"/>
  <c r="N422" i="9"/>
  <c r="L423" i="9"/>
  <c r="M423" i="9" a="1"/>
  <c r="N423" i="9"/>
  <c r="L424" i="9"/>
  <c r="M424" i="9" a="1"/>
  <c r="N424" i="9"/>
  <c r="L425" i="9"/>
  <c r="M425" i="9" a="1"/>
  <c r="N425" i="9"/>
  <c r="L426" i="9"/>
  <c r="M426" i="9" a="1"/>
  <c r="N426" i="9"/>
  <c r="L427" i="9"/>
  <c r="M427" i="9" a="1"/>
  <c r="N427" i="9"/>
  <c r="L428" i="9"/>
  <c r="M428" i="9" a="1"/>
  <c r="N428" i="9"/>
  <c r="L429" i="9"/>
  <c r="M429" i="9" a="1"/>
  <c r="N429" i="9"/>
  <c r="L430" i="9"/>
  <c r="M430" i="9" a="1"/>
  <c r="N430" i="9"/>
  <c r="L431" i="9"/>
  <c r="M431" i="9" a="1"/>
  <c r="N431" i="9"/>
  <c r="L432" i="9"/>
  <c r="M432" i="9" a="1"/>
  <c r="N432" i="9"/>
  <c r="L433" i="9"/>
  <c r="M433" i="9" a="1"/>
  <c r="N433" i="9"/>
  <c r="L434" i="9"/>
  <c r="M434" i="9" a="1"/>
  <c r="N434" i="9"/>
  <c r="L435" i="9"/>
  <c r="M435" i="9" a="1"/>
  <c r="N435" i="9"/>
  <c r="L436" i="9"/>
  <c r="M436" i="9" a="1"/>
  <c r="N436" i="9"/>
  <c r="L437" i="9"/>
  <c r="M437" i="9" a="1"/>
  <c r="N437" i="9"/>
  <c r="L438" i="9"/>
  <c r="M438" i="9" a="1"/>
  <c r="N438" i="9"/>
  <c r="L439" i="9"/>
  <c r="M439" i="9" a="1"/>
  <c r="N439" i="9"/>
  <c r="L440" i="9"/>
  <c r="M440" i="9" a="1"/>
  <c r="N440" i="9"/>
  <c r="L441" i="9"/>
  <c r="M441" i="9" a="1"/>
  <c r="N441" i="9"/>
  <c r="L442" i="9"/>
  <c r="M442" i="9" a="1"/>
  <c r="N442" i="9"/>
  <c r="L443" i="9"/>
  <c r="M443" i="9" a="1"/>
  <c r="N443" i="9"/>
  <c r="L444" i="9"/>
  <c r="M444" i="9" a="1"/>
  <c r="N444" i="9"/>
  <c r="L445" i="9"/>
  <c r="M445" i="9" a="1"/>
  <c r="N445" i="9"/>
  <c r="L446" i="9"/>
  <c r="M446" i="9" a="1"/>
  <c r="N446" i="9"/>
  <c r="L447" i="9"/>
  <c r="M447" i="9" a="1"/>
  <c r="N447" i="9"/>
  <c r="L449" i="9"/>
  <c r="M449" i="9" a="1"/>
  <c r="N449" i="9"/>
  <c r="L450" i="9"/>
  <c r="M450" i="9" a="1"/>
  <c r="N450" i="9"/>
  <c r="L451" i="9"/>
  <c r="M451" i="9" a="1"/>
  <c r="N451" i="9"/>
  <c r="L452" i="9"/>
  <c r="M452" i="9" a="1"/>
  <c r="N452" i="9"/>
  <c r="L453" i="9"/>
  <c r="M453" i="9" a="1"/>
  <c r="N453" i="9"/>
  <c r="L454" i="9"/>
  <c r="M454" i="9" a="1"/>
  <c r="N454" i="9"/>
  <c r="L455" i="9"/>
  <c r="M455" i="9" a="1"/>
  <c r="N455" i="9"/>
  <c r="L456" i="9"/>
  <c r="M456" i="9" a="1"/>
  <c r="N456" i="9"/>
  <c r="L457" i="9"/>
  <c r="M457" i="9" a="1"/>
  <c r="N457" i="9"/>
  <c r="L458" i="9"/>
  <c r="M458" i="9" a="1"/>
  <c r="N458" i="9"/>
  <c r="L459" i="9"/>
  <c r="M459" i="9" a="1"/>
  <c r="N459" i="9"/>
  <c r="L460" i="9"/>
  <c r="M460" i="9" a="1"/>
  <c r="N460" i="9"/>
  <c r="L461" i="9"/>
  <c r="M461" i="9" a="1"/>
  <c r="N461" i="9"/>
  <c r="L463" i="9"/>
  <c r="M463" i="9" a="1"/>
  <c r="N463" i="9"/>
  <c r="L464" i="9"/>
  <c r="M464" i="9" a="1"/>
  <c r="N464" i="9"/>
  <c r="L465" i="9"/>
  <c r="M465" i="9" a="1"/>
  <c r="N465" i="9"/>
  <c r="L466" i="9"/>
  <c r="M466" i="9" a="1"/>
  <c r="N466" i="9"/>
  <c r="L467" i="9"/>
  <c r="M467" i="9" a="1"/>
  <c r="N467" i="9"/>
  <c r="L468" i="9"/>
  <c r="M468" i="9" a="1"/>
  <c r="N468" i="9"/>
  <c r="L469" i="9"/>
  <c r="M469" i="9" a="1"/>
  <c r="N469" i="9"/>
  <c r="L470" i="9"/>
  <c r="M470" i="9" a="1"/>
  <c r="N470" i="9"/>
  <c r="L471" i="9"/>
  <c r="M471" i="9" a="1"/>
  <c r="N471" i="9"/>
  <c r="L472" i="9"/>
  <c r="M472" i="9" a="1"/>
  <c r="N472" i="9"/>
  <c r="L473" i="9"/>
  <c r="M473" i="9" a="1"/>
  <c r="N473" i="9"/>
  <c r="L474" i="9"/>
  <c r="M474" i="9" a="1"/>
  <c r="N474" i="9"/>
  <c r="L475" i="9"/>
  <c r="M475" i="9" a="1"/>
  <c r="N475" i="9"/>
  <c r="L476" i="9"/>
  <c r="M476" i="9" a="1"/>
  <c r="N476" i="9"/>
  <c r="L477" i="9"/>
  <c r="M477" i="9" a="1"/>
  <c r="N477" i="9"/>
  <c r="L478" i="9"/>
  <c r="M478" i="9" a="1"/>
  <c r="N478" i="9"/>
  <c r="L479" i="9"/>
  <c r="M479" i="9" a="1"/>
  <c r="N479" i="9"/>
  <c r="L480" i="9"/>
  <c r="M480" i="9" a="1"/>
  <c r="N480" i="9"/>
  <c r="L481" i="9"/>
  <c r="M481" i="9" a="1"/>
  <c r="N481" i="9"/>
  <c r="L482" i="9"/>
  <c r="M482" i="9" a="1"/>
  <c r="N482" i="9"/>
  <c r="L483" i="9"/>
  <c r="M483" i="9" a="1"/>
  <c r="N483" i="9"/>
  <c r="L484" i="9"/>
  <c r="M484" i="9" a="1"/>
  <c r="N484" i="9"/>
  <c r="L485" i="9"/>
  <c r="M485" i="9" a="1"/>
  <c r="N485" i="9"/>
  <c r="L486" i="9"/>
  <c r="M486" i="9" a="1"/>
  <c r="N486" i="9"/>
  <c r="L487" i="9"/>
  <c r="M487" i="9" a="1"/>
  <c r="N487" i="9"/>
  <c r="L488" i="9"/>
  <c r="M488" i="9" a="1"/>
  <c r="N488" i="9"/>
  <c r="L489" i="9"/>
  <c r="M489" i="9" a="1"/>
  <c r="N489" i="9"/>
  <c r="L491" i="9"/>
  <c r="M491" i="9" a="1"/>
  <c r="N491" i="9"/>
  <c r="L492" i="9"/>
  <c r="M492" i="9" a="1"/>
  <c r="N492" i="9"/>
  <c r="L493" i="9"/>
  <c r="M493" i="9" a="1"/>
  <c r="N493" i="9"/>
  <c r="L494" i="9"/>
  <c r="M494" i="9" a="1"/>
  <c r="N494" i="9"/>
  <c r="L495" i="9"/>
  <c r="M495" i="9" a="1"/>
  <c r="N495" i="9"/>
  <c r="L496" i="9"/>
  <c r="M496" i="9" a="1"/>
  <c r="N496" i="9"/>
  <c r="L497" i="9"/>
  <c r="M497" i="9" a="1"/>
  <c r="N497" i="9"/>
  <c r="L498" i="9"/>
  <c r="M498" i="9" a="1"/>
  <c r="N498" i="9"/>
  <c r="L499" i="9"/>
  <c r="M499" i="9" a="1"/>
  <c r="N499" i="9"/>
  <c r="L500" i="9"/>
  <c r="M500" i="9" a="1"/>
  <c r="N500" i="9"/>
  <c r="L501" i="9"/>
  <c r="M501" i="9" a="1"/>
  <c r="N501" i="9"/>
  <c r="L502" i="9"/>
  <c r="M502" i="9" a="1"/>
  <c r="N502" i="9"/>
  <c r="L503" i="9"/>
  <c r="M503" i="9" a="1"/>
  <c r="N503" i="9"/>
  <c r="L504" i="9"/>
  <c r="M504" i="9" a="1"/>
  <c r="N504" i="9"/>
  <c r="L505" i="9"/>
  <c r="M505" i="9" a="1"/>
  <c r="N505" i="9"/>
  <c r="L506" i="9"/>
  <c r="M506" i="9" a="1"/>
  <c r="N506" i="9"/>
  <c r="L507" i="9"/>
  <c r="M507" i="9" a="1"/>
  <c r="N507" i="9"/>
  <c r="L508" i="9"/>
  <c r="M508" i="9" a="1"/>
  <c r="N508" i="9"/>
  <c r="L509" i="9"/>
  <c r="M509" i="9" a="1"/>
  <c r="N509" i="9"/>
  <c r="L511" i="9"/>
  <c r="M511" i="9" a="1"/>
  <c r="N511" i="9"/>
  <c r="L512" i="9"/>
  <c r="M512" i="9" a="1"/>
  <c r="N512" i="9"/>
  <c r="L513" i="9"/>
  <c r="M513" i="9" a="1"/>
  <c r="N513" i="9"/>
  <c r="L514" i="9"/>
  <c r="M514" i="9" a="1"/>
  <c r="N514" i="9"/>
  <c r="L515" i="9"/>
  <c r="M515" i="9" a="1"/>
  <c r="N515" i="9"/>
  <c r="L516" i="9"/>
  <c r="M516" i="9" a="1"/>
  <c r="N516" i="9"/>
  <c r="L517" i="9"/>
  <c r="M517" i="9" a="1"/>
  <c r="N517" i="9"/>
  <c r="L518" i="9"/>
  <c r="M518" i="9" a="1"/>
  <c r="N518" i="9"/>
  <c r="L519" i="9"/>
  <c r="M519" i="9" a="1"/>
  <c r="N519" i="9"/>
  <c r="L520" i="9"/>
  <c r="M520" i="9" a="1"/>
  <c r="N520" i="9"/>
  <c r="L521" i="9"/>
  <c r="M521" i="9" a="1"/>
  <c r="N521" i="9"/>
  <c r="L522" i="9"/>
  <c r="M522" i="9" a="1"/>
  <c r="N522" i="9"/>
  <c r="L523" i="9"/>
  <c r="M523" i="9" a="1"/>
  <c r="N523" i="9"/>
  <c r="L524" i="9"/>
  <c r="M524" i="9" a="1"/>
  <c r="N524" i="9"/>
  <c r="L525" i="9"/>
  <c r="M525" i="9" a="1"/>
  <c r="N525" i="9"/>
  <c r="L526" i="9"/>
  <c r="M526" i="9" a="1"/>
  <c r="N526" i="9"/>
  <c r="L527" i="9"/>
  <c r="M527" i="9" a="1"/>
  <c r="N527" i="9"/>
  <c r="L528" i="9"/>
  <c r="M528" i="9" a="1"/>
  <c r="N528" i="9"/>
  <c r="L529" i="9"/>
  <c r="M529" i="9" a="1"/>
  <c r="N529" i="9"/>
  <c r="L530" i="9"/>
  <c r="M530" i="9" a="1"/>
  <c r="N530" i="9"/>
  <c r="L531" i="9"/>
  <c r="M531" i="9" a="1"/>
  <c r="N531" i="9"/>
  <c r="L532" i="9"/>
  <c r="M532" i="9" a="1"/>
  <c r="N532" i="9"/>
  <c r="L533" i="9"/>
  <c r="M533" i="9" a="1"/>
  <c r="N533" i="9"/>
  <c r="L534" i="9"/>
  <c r="M534" i="9" a="1"/>
  <c r="N534" i="9"/>
  <c r="L535" i="9"/>
  <c r="M535" i="9" a="1"/>
  <c r="N535" i="9"/>
  <c r="L536" i="9"/>
  <c r="M536" i="9" a="1"/>
  <c r="N536" i="9"/>
  <c r="L537" i="9"/>
  <c r="M537" i="9" a="1"/>
  <c r="N537" i="9"/>
  <c r="L538" i="9"/>
  <c r="M538" i="9" a="1"/>
  <c r="N538" i="9"/>
  <c r="L539" i="9"/>
  <c r="M539" i="9" a="1"/>
  <c r="N539" i="9"/>
  <c r="L540" i="9"/>
  <c r="M540" i="9" a="1"/>
  <c r="N540" i="9"/>
  <c r="L541" i="9"/>
  <c r="M541" i="9" a="1"/>
  <c r="N541" i="9"/>
  <c r="L542" i="9"/>
  <c r="M542" i="9" a="1"/>
  <c r="N542" i="9"/>
  <c r="L543" i="9"/>
  <c r="M543" i="9" a="1"/>
  <c r="N543" i="9"/>
  <c r="L544" i="9"/>
  <c r="M544" i="9" a="1"/>
  <c r="N544" i="9"/>
  <c r="L545" i="9"/>
  <c r="M545" i="9" a="1"/>
  <c r="N545" i="9"/>
  <c r="L546" i="9"/>
  <c r="M546" i="9" a="1"/>
  <c r="N546" i="9"/>
  <c r="L547" i="9"/>
  <c r="M547" i="9" a="1"/>
  <c r="N547" i="9"/>
  <c r="L548" i="9"/>
  <c r="M548" i="9" a="1"/>
  <c r="N548" i="9"/>
  <c r="L549" i="9"/>
  <c r="M549" i="9" a="1"/>
  <c r="N549" i="9"/>
  <c r="L550" i="9"/>
  <c r="M550" i="9" a="1"/>
  <c r="N550" i="9"/>
  <c r="L551" i="9"/>
  <c r="M551" i="9" a="1"/>
  <c r="N551" i="9"/>
  <c r="L552" i="9"/>
  <c r="M552" i="9" a="1"/>
  <c r="N552" i="9"/>
  <c r="L554" i="9"/>
  <c r="M554" i="9" a="1"/>
  <c r="N554" i="9"/>
  <c r="L555" i="9"/>
  <c r="M555" i="9" a="1"/>
  <c r="N555" i="9"/>
  <c r="L556" i="9"/>
  <c r="M556" i="9" a="1"/>
  <c r="N556" i="9"/>
  <c r="L557" i="9"/>
  <c r="M557" i="9" a="1"/>
  <c r="N557" i="9"/>
  <c r="L558" i="9"/>
  <c r="M558" i="9" a="1"/>
  <c r="N558" i="9"/>
  <c r="L559" i="9"/>
  <c r="M559" i="9" a="1"/>
  <c r="N559" i="9"/>
  <c r="L560" i="9"/>
  <c r="M560" i="9" a="1"/>
  <c r="N560" i="9"/>
  <c r="L561" i="9"/>
  <c r="M561" i="9" a="1"/>
  <c r="N561" i="9"/>
  <c r="L562" i="9"/>
  <c r="M562" i="9" a="1"/>
  <c r="N562" i="9"/>
  <c r="L563" i="9"/>
  <c r="M563" i="9" a="1"/>
  <c r="N563" i="9"/>
  <c r="L564" i="9"/>
  <c r="M564" i="9" a="1"/>
  <c r="N564" i="9"/>
  <c r="L565" i="9"/>
  <c r="M565" i="9" a="1"/>
  <c r="N565" i="9"/>
  <c r="L566" i="9"/>
  <c r="M566" i="9" a="1"/>
  <c r="N566" i="9"/>
  <c r="L567" i="9"/>
  <c r="M567" i="9" a="1"/>
  <c r="N567" i="9"/>
  <c r="L568" i="9"/>
  <c r="M568" i="9" a="1"/>
  <c r="N568" i="9"/>
  <c r="L569" i="9"/>
  <c r="M569" i="9" a="1"/>
  <c r="N569" i="9"/>
  <c r="L570" i="9"/>
  <c r="M570" i="9" a="1"/>
  <c r="N570" i="9"/>
  <c r="L571" i="9"/>
  <c r="M571" i="9" a="1"/>
  <c r="N571" i="9"/>
  <c r="L572" i="9"/>
  <c r="M572" i="9" a="1"/>
  <c r="N572" i="9"/>
  <c r="L573" i="9"/>
  <c r="M573" i="9" a="1"/>
  <c r="N573" i="9"/>
  <c r="L574" i="9"/>
  <c r="M574" i="9" a="1"/>
  <c r="N574" i="9"/>
  <c r="L575" i="9"/>
  <c r="M575" i="9" a="1"/>
  <c r="N575" i="9"/>
  <c r="L577" i="9"/>
  <c r="M577" i="9" a="1"/>
  <c r="N577" i="9"/>
  <c r="L578" i="9"/>
  <c r="M578" i="9" a="1"/>
  <c r="N578" i="9"/>
  <c r="L579" i="9"/>
  <c r="M579" i="9" a="1"/>
  <c r="N579" i="9"/>
  <c r="L580" i="9"/>
  <c r="M580" i="9" a="1"/>
  <c r="N580" i="9"/>
  <c r="L581" i="9"/>
  <c r="M581" i="9" a="1"/>
  <c r="N581" i="9"/>
  <c r="L582" i="9"/>
  <c r="M582" i="9" a="1"/>
  <c r="N582" i="9"/>
  <c r="L583" i="9"/>
  <c r="M583" i="9" a="1"/>
  <c r="N583" i="9"/>
  <c r="L584" i="9"/>
  <c r="M584" i="9" a="1"/>
  <c r="N584" i="9"/>
  <c r="L585" i="9"/>
  <c r="M585" i="9" a="1"/>
  <c r="N585" i="9"/>
  <c r="L586" i="9"/>
  <c r="M586" i="9" a="1"/>
  <c r="N586" i="9"/>
  <c r="L587" i="9"/>
  <c r="M587" i="9" a="1"/>
  <c r="N587" i="9"/>
  <c r="L588" i="9"/>
  <c r="M588" i="9" a="1"/>
  <c r="N588" i="9"/>
  <c r="L589" i="9"/>
  <c r="M589" i="9" a="1"/>
  <c r="N589" i="9"/>
  <c r="L590" i="9"/>
  <c r="M590" i="9" a="1"/>
  <c r="N590" i="9"/>
  <c r="L591" i="9"/>
  <c r="M591" i="9" a="1"/>
  <c r="N591" i="9"/>
  <c r="L592" i="9"/>
  <c r="M592" i="9" a="1"/>
  <c r="N592" i="9"/>
  <c r="L593" i="9"/>
  <c r="M593" i="9" a="1"/>
  <c r="N593" i="9"/>
  <c r="L594" i="9"/>
  <c r="M594" i="9" a="1"/>
  <c r="N594" i="9"/>
  <c r="L595" i="9"/>
  <c r="M595" i="9" a="1"/>
  <c r="N595" i="9"/>
  <c r="L596" i="9"/>
  <c r="M596" i="9" a="1"/>
  <c r="N596" i="9"/>
  <c r="L597" i="9"/>
  <c r="M597" i="9" a="1"/>
  <c r="N597" i="9"/>
  <c r="L598" i="9"/>
  <c r="M598" i="9" a="1"/>
  <c r="N598" i="9"/>
  <c r="L599" i="9"/>
  <c r="M599" i="9" a="1"/>
  <c r="N599" i="9"/>
  <c r="L600" i="9"/>
  <c r="M600" i="9" a="1"/>
  <c r="N600" i="9"/>
  <c r="L601" i="9"/>
  <c r="M601" i="9" a="1"/>
  <c r="N601" i="9"/>
  <c r="L602" i="9"/>
  <c r="M602" i="9" a="1"/>
  <c r="N602" i="9"/>
  <c r="L603" i="9"/>
  <c r="M603" i="9" a="1"/>
  <c r="N603" i="9"/>
  <c r="L604" i="9"/>
  <c r="M604" i="9" a="1"/>
  <c r="N604" i="9"/>
  <c r="L605" i="9"/>
  <c r="M605" i="9" a="1"/>
  <c r="N605" i="9"/>
  <c r="L606" i="9"/>
  <c r="M606" i="9" a="1"/>
  <c r="N606" i="9"/>
  <c r="L607" i="9"/>
  <c r="M607" i="9" a="1"/>
  <c r="N607" i="9"/>
  <c r="L609" i="9"/>
  <c r="M609" i="9" a="1"/>
  <c r="N609" i="9"/>
  <c r="L610" i="9"/>
  <c r="M610" i="9" a="1"/>
  <c r="N610" i="9"/>
  <c r="L611" i="9"/>
  <c r="M611" i="9" a="1"/>
  <c r="N611" i="9"/>
  <c r="L612" i="9"/>
  <c r="M612" i="9" a="1"/>
  <c r="N612" i="9"/>
  <c r="L613" i="9"/>
  <c r="M613" i="9" a="1"/>
  <c r="N613" i="9"/>
  <c r="L614" i="9"/>
  <c r="M614" i="9" a="1"/>
  <c r="N614" i="9"/>
  <c r="L615" i="9"/>
  <c r="M615" i="9" a="1"/>
  <c r="N615" i="9"/>
  <c r="L616" i="9"/>
  <c r="M616" i="9" a="1"/>
  <c r="N616" i="9"/>
  <c r="L617" i="9"/>
  <c r="M617" i="9" a="1"/>
  <c r="N617" i="9"/>
  <c r="L618" i="9"/>
  <c r="M618" i="9" a="1"/>
  <c r="N618" i="9"/>
  <c r="L619" i="9"/>
  <c r="M619" i="9" a="1"/>
  <c r="N619" i="9"/>
  <c r="L620" i="9"/>
  <c r="M620" i="9" a="1"/>
  <c r="N620" i="9"/>
  <c r="L621" i="9"/>
  <c r="M621" i="9" a="1"/>
  <c r="N621" i="9"/>
  <c r="L622" i="9"/>
  <c r="M622" i="9" a="1"/>
  <c r="N622" i="9"/>
  <c r="L623" i="9"/>
  <c r="M623" i="9" a="1"/>
  <c r="N623" i="9"/>
  <c r="L624" i="9"/>
  <c r="M624" i="9" a="1"/>
  <c r="N624" i="9"/>
  <c r="L625" i="9"/>
  <c r="M625" i="9" a="1"/>
  <c r="N625" i="9"/>
  <c r="L626" i="9"/>
  <c r="M626" i="9" a="1"/>
  <c r="N626" i="9"/>
  <c r="L627" i="9"/>
  <c r="M627" i="9" a="1"/>
  <c r="N627" i="9"/>
  <c r="L628" i="9"/>
  <c r="M628" i="9" a="1"/>
  <c r="N628" i="9"/>
  <c r="L629" i="9"/>
  <c r="M629" i="9" a="1"/>
  <c r="N629" i="9"/>
  <c r="L630" i="9"/>
  <c r="M630" i="9" a="1"/>
  <c r="N630" i="9"/>
  <c r="L631" i="9"/>
  <c r="M631" i="9" a="1"/>
  <c r="N631" i="9"/>
  <c r="L632" i="9"/>
  <c r="M632" i="9" a="1"/>
  <c r="N632" i="9"/>
  <c r="L633" i="9"/>
  <c r="M633" i="9" a="1"/>
  <c r="N633" i="9"/>
  <c r="L634" i="9"/>
  <c r="M634" i="9" a="1"/>
  <c r="N634" i="9"/>
  <c r="L635" i="9"/>
  <c r="M635" i="9" a="1"/>
  <c r="N635" i="9"/>
  <c r="L636" i="9"/>
  <c r="M636" i="9" a="1"/>
  <c r="N636" i="9"/>
  <c r="L638" i="9"/>
  <c r="M638" i="9" a="1"/>
  <c r="N638" i="9"/>
  <c r="L639" i="9"/>
  <c r="M639" i="9" a="1"/>
  <c r="N639" i="9"/>
  <c r="L640" i="9"/>
  <c r="M640" i="9" a="1"/>
  <c r="N640" i="9"/>
  <c r="L641" i="9"/>
  <c r="M641" i="9" a="1"/>
  <c r="N641" i="9"/>
  <c r="L642" i="9"/>
  <c r="M642" i="9" a="1"/>
  <c r="N642" i="9"/>
  <c r="L643" i="9"/>
  <c r="M643" i="9" a="1"/>
  <c r="N643" i="9"/>
  <c r="L644" i="9"/>
  <c r="M644" i="9" a="1"/>
  <c r="N644" i="9"/>
  <c r="L645" i="9"/>
  <c r="M645" i="9" a="1"/>
  <c r="N645" i="9"/>
  <c r="L646" i="9"/>
  <c r="M646" i="9" a="1"/>
  <c r="N646" i="9"/>
  <c r="L647" i="9"/>
  <c r="M647" i="9" a="1"/>
  <c r="N647" i="9"/>
  <c r="L648" i="9"/>
  <c r="M648" i="9" a="1"/>
  <c r="N648" i="9"/>
  <c r="L649" i="9"/>
  <c r="M649" i="9" a="1"/>
  <c r="N649" i="9"/>
  <c r="L650" i="9"/>
  <c r="M650" i="9" a="1"/>
  <c r="N650" i="9"/>
  <c r="L651" i="9"/>
  <c r="M651" i="9" a="1"/>
  <c r="N651" i="9"/>
  <c r="L652" i="9"/>
  <c r="M652" i="9" a="1"/>
  <c r="N652" i="9"/>
  <c r="L653" i="9"/>
  <c r="M653" i="9" a="1"/>
  <c r="N653" i="9"/>
  <c r="L654" i="9"/>
  <c r="M654" i="9" a="1"/>
  <c r="N654" i="9"/>
  <c r="L655" i="9"/>
  <c r="M655" i="9" a="1"/>
  <c r="N655" i="9"/>
  <c r="L656" i="9"/>
  <c r="M656" i="9" a="1"/>
  <c r="N656" i="9"/>
  <c r="L657" i="9"/>
  <c r="M657" i="9" a="1"/>
  <c r="N657" i="9"/>
  <c r="L658" i="9"/>
  <c r="M658" i="9" a="1"/>
  <c r="N658" i="9"/>
  <c r="L659" i="9"/>
  <c r="M659" i="9" a="1"/>
  <c r="N659" i="9"/>
  <c r="L660" i="9"/>
  <c r="M660" i="9" a="1"/>
  <c r="N660" i="9"/>
  <c r="L661" i="9"/>
  <c r="M661" i="9" a="1"/>
  <c r="N661" i="9"/>
  <c r="L662" i="9"/>
  <c r="M662" i="9" a="1"/>
  <c r="N662" i="9"/>
  <c r="L663" i="9"/>
  <c r="M663" i="9" a="1"/>
  <c r="N663" i="9"/>
  <c r="L664" i="9"/>
  <c r="M664" i="9" a="1"/>
  <c r="N664" i="9"/>
  <c r="L665" i="9"/>
  <c r="M665" i="9" a="1"/>
  <c r="N665" i="9"/>
  <c r="L666" i="9"/>
  <c r="M666" i="9" a="1"/>
  <c r="N666" i="9"/>
  <c r="L667" i="9"/>
  <c r="M667" i="9" a="1"/>
  <c r="N667" i="9"/>
  <c r="L668" i="9"/>
  <c r="M668" i="9" a="1"/>
  <c r="N668" i="9"/>
  <c r="L669" i="9"/>
  <c r="M669" i="9" a="1"/>
  <c r="N669" i="9"/>
  <c r="L671" i="9"/>
  <c r="M671" i="9" a="1"/>
  <c r="N671" i="9"/>
  <c r="L672" i="9"/>
  <c r="M672" i="9" a="1"/>
  <c r="N672" i="9"/>
  <c r="L673" i="9"/>
  <c r="M673" i="9" a="1"/>
  <c r="N673" i="9"/>
  <c r="L674" i="9"/>
  <c r="M674" i="9" a="1"/>
  <c r="N674" i="9"/>
  <c r="L675" i="9"/>
  <c r="M675" i="9" a="1"/>
  <c r="N675" i="9"/>
  <c r="L676" i="9"/>
  <c r="M676" i="9" a="1"/>
  <c r="N676" i="9"/>
  <c r="L677" i="9"/>
  <c r="M677" i="9" a="1"/>
  <c r="N677" i="9"/>
  <c r="L678" i="9"/>
  <c r="M678" i="9" a="1"/>
  <c r="N678" i="9"/>
  <c r="L679" i="9"/>
  <c r="M679" i="9" a="1"/>
  <c r="N679" i="9"/>
  <c r="L680" i="9"/>
  <c r="M680" i="9" a="1"/>
  <c r="N680" i="9"/>
  <c r="L681" i="9"/>
  <c r="M681" i="9" a="1"/>
  <c r="N681" i="9"/>
  <c r="L682" i="9"/>
  <c r="M682" i="9" a="1"/>
  <c r="N682" i="9"/>
  <c r="L683" i="9"/>
  <c r="M683" i="9" a="1"/>
  <c r="N683" i="9"/>
  <c r="L684" i="9"/>
  <c r="M684" i="9" a="1"/>
  <c r="N684" i="9"/>
  <c r="L685" i="9"/>
  <c r="M685" i="9" a="1"/>
  <c r="N685" i="9"/>
  <c r="L686" i="9"/>
  <c r="M686" i="9" a="1"/>
  <c r="N686" i="9"/>
  <c r="L687" i="9"/>
  <c r="M687" i="9" a="1"/>
  <c r="N687" i="9"/>
  <c r="L688" i="9"/>
  <c r="M688" i="9" a="1"/>
  <c r="N688" i="9"/>
  <c r="L689" i="9"/>
  <c r="M689" i="9" a="1"/>
  <c r="N689" i="9"/>
  <c r="L690" i="9"/>
  <c r="M690" i="9" a="1"/>
  <c r="N690" i="9"/>
  <c r="L691" i="9"/>
  <c r="M691" i="9" a="1"/>
  <c r="N691" i="9"/>
  <c r="L692" i="9"/>
  <c r="M692" i="9" a="1"/>
  <c r="N692" i="9"/>
  <c r="L693" i="9"/>
  <c r="M693" i="9" a="1"/>
  <c r="N693" i="9"/>
  <c r="L694" i="9"/>
  <c r="M694" i="9" a="1"/>
  <c r="N694" i="9"/>
  <c r="L695" i="9"/>
  <c r="M695" i="9" a="1"/>
  <c r="N695" i="9"/>
  <c r="L696" i="9"/>
  <c r="M696" i="9" a="1"/>
  <c r="N696" i="9"/>
  <c r="L697" i="9"/>
  <c r="M697" i="9" a="1"/>
  <c r="N697" i="9"/>
  <c r="L698" i="9"/>
  <c r="M698" i="9" a="1"/>
  <c r="N698" i="9"/>
  <c r="L699" i="9"/>
  <c r="M699" i="9" a="1"/>
  <c r="N699" i="9"/>
  <c r="L700" i="9"/>
  <c r="M700" i="9" a="1"/>
  <c r="N700" i="9"/>
  <c r="L701" i="9"/>
  <c r="M701" i="9" a="1"/>
  <c r="N701" i="9"/>
  <c r="L702" i="9"/>
  <c r="M702" i="9" a="1"/>
  <c r="N702" i="9"/>
  <c r="L703" i="9"/>
  <c r="M703" i="9" a="1"/>
  <c r="N703" i="9"/>
  <c r="L704" i="9"/>
  <c r="M704" i="9" a="1"/>
  <c r="N704" i="9"/>
  <c r="L705" i="9"/>
  <c r="M705" i="9" a="1"/>
  <c r="N705" i="9"/>
  <c r="L707" i="9"/>
  <c r="M707" i="9" a="1"/>
  <c r="N707" i="9"/>
  <c r="L708" i="9"/>
  <c r="M708" i="9" a="1"/>
  <c r="N708" i="9"/>
  <c r="L709" i="9"/>
  <c r="M709" i="9" a="1"/>
  <c r="N709" i="9"/>
  <c r="L710" i="9"/>
  <c r="M710" i="9" a="1"/>
  <c r="N710" i="9"/>
  <c r="L711" i="9"/>
  <c r="M711" i="9" a="1"/>
  <c r="N711" i="9"/>
  <c r="L712" i="9"/>
  <c r="M712" i="9" a="1"/>
  <c r="N712" i="9"/>
  <c r="L713" i="9"/>
  <c r="M713" i="9" a="1"/>
  <c r="N713" i="9"/>
  <c r="L714" i="9"/>
  <c r="M714" i="9" a="1"/>
  <c r="N714" i="9"/>
  <c r="L715" i="9"/>
  <c r="M715" i="9" a="1"/>
  <c r="N715" i="9"/>
  <c r="L716" i="9"/>
  <c r="M716" i="9" a="1"/>
  <c r="N716" i="9"/>
  <c r="L717" i="9"/>
  <c r="M717" i="9" a="1"/>
  <c r="N717" i="9"/>
  <c r="L718" i="9"/>
  <c r="M718" i="9" a="1"/>
  <c r="N718" i="9"/>
  <c r="L719" i="9"/>
  <c r="M719" i="9" a="1"/>
  <c r="N719" i="9"/>
  <c r="L720" i="9"/>
  <c r="M720" i="9" a="1"/>
  <c r="N720" i="9"/>
  <c r="L721" i="9"/>
  <c r="M721" i="9" a="1"/>
  <c r="N721" i="9"/>
  <c r="L722" i="9"/>
  <c r="M722" i="9" a="1"/>
  <c r="N722" i="9"/>
  <c r="L723" i="9"/>
  <c r="M723" i="9" a="1"/>
  <c r="N723" i="9"/>
  <c r="L724" i="9"/>
  <c r="M724" i="9" a="1"/>
  <c r="N724" i="9"/>
  <c r="L725" i="9"/>
  <c r="M725" i="9" a="1"/>
  <c r="N725" i="9"/>
  <c r="L726" i="9"/>
  <c r="M726" i="9" a="1"/>
  <c r="N726" i="9"/>
  <c r="L727" i="9"/>
  <c r="M727" i="9" a="1"/>
  <c r="N727" i="9"/>
  <c r="L728" i="9"/>
  <c r="M728" i="9" a="1"/>
  <c r="N728" i="9"/>
  <c r="L729" i="9"/>
  <c r="M729" i="9" a="1"/>
  <c r="N729" i="9"/>
  <c r="L730" i="9"/>
  <c r="M730" i="9" a="1"/>
  <c r="N730" i="9"/>
  <c r="L731" i="9"/>
  <c r="M731" i="9" a="1"/>
  <c r="N731" i="9"/>
  <c r="L732" i="9"/>
  <c r="M732" i="9" a="1"/>
  <c r="N732" i="9"/>
  <c r="L733" i="9"/>
  <c r="M733" i="9" a="1"/>
  <c r="N733" i="9"/>
  <c r="L734" i="9"/>
  <c r="M734" i="9" a="1"/>
  <c r="N734" i="9"/>
  <c r="L735" i="9"/>
  <c r="M735" i="9" a="1"/>
  <c r="N735" i="9"/>
  <c r="L736" i="9"/>
  <c r="M736" i="9" a="1"/>
  <c r="N736" i="9"/>
  <c r="L737" i="9"/>
  <c r="M737" i="9" a="1"/>
  <c r="N737" i="9"/>
  <c r="L738" i="9"/>
  <c r="M738" i="9" a="1"/>
  <c r="N738" i="9"/>
  <c r="L739" i="9"/>
  <c r="M739" i="9" a="1"/>
  <c r="N739" i="9"/>
  <c r="L741" i="9"/>
  <c r="M741" i="9" a="1"/>
  <c r="N741" i="9"/>
  <c r="L742" i="9"/>
  <c r="M742" i="9" a="1"/>
  <c r="N742" i="9"/>
  <c r="L743" i="9"/>
  <c r="M743" i="9" a="1"/>
  <c r="N743" i="9"/>
  <c r="L744" i="9"/>
  <c r="M744" i="9" a="1"/>
  <c r="N744" i="9"/>
  <c r="L745" i="9"/>
  <c r="M745" i="9" a="1"/>
  <c r="N745" i="9"/>
  <c r="L746" i="9"/>
  <c r="M746" i="9" a="1"/>
  <c r="N746" i="9"/>
  <c r="L747" i="9"/>
  <c r="M747" i="9" a="1"/>
  <c r="N747" i="9"/>
  <c r="L748" i="9"/>
  <c r="M748" i="9" a="1"/>
  <c r="N748" i="9"/>
  <c r="L749" i="9"/>
  <c r="M749" i="9" a="1"/>
  <c r="N749" i="9"/>
  <c r="L750" i="9"/>
  <c r="M750" i="9" a="1"/>
  <c r="N750" i="9"/>
  <c r="L751" i="9"/>
  <c r="M751" i="9" a="1"/>
  <c r="N751" i="9"/>
  <c r="L752" i="9"/>
  <c r="M752" i="9" a="1"/>
  <c r="N752" i="9"/>
  <c r="L753" i="9"/>
  <c r="M753" i="9" a="1"/>
  <c r="N753" i="9"/>
  <c r="L755" i="9"/>
  <c r="M755" i="9" a="1"/>
  <c r="N755" i="9"/>
  <c r="L756" i="9"/>
  <c r="M756" i="9" a="1"/>
  <c r="N756" i="9"/>
  <c r="L757" i="9"/>
  <c r="M757" i="9" a="1"/>
  <c r="N757" i="9"/>
  <c r="L758" i="9"/>
  <c r="M758" i="9" a="1"/>
  <c r="N758" i="9"/>
  <c r="L759" i="9"/>
  <c r="M759" i="9" a="1"/>
  <c r="N759" i="9"/>
  <c r="L760" i="9"/>
  <c r="M760" i="9" a="1"/>
  <c r="N760" i="9"/>
  <c r="L761" i="9"/>
  <c r="M761" i="9" a="1"/>
  <c r="N761" i="9"/>
  <c r="L762" i="9"/>
  <c r="M762" i="9" a="1"/>
  <c r="N762" i="9"/>
  <c r="L763" i="9"/>
  <c r="M763" i="9" a="1"/>
  <c r="N763" i="9"/>
  <c r="L764" i="9"/>
  <c r="M764" i="9" a="1"/>
  <c r="N764" i="9"/>
  <c r="L765" i="9"/>
  <c r="M765" i="9" a="1"/>
  <c r="N765" i="9"/>
  <c r="L767" i="9"/>
  <c r="M767" i="9" a="1"/>
  <c r="N767" i="9"/>
  <c r="L768" i="9"/>
  <c r="M768" i="9" a="1"/>
  <c r="N768" i="9"/>
  <c r="L769" i="9"/>
  <c r="M769" i="9" a="1"/>
  <c r="N769" i="9"/>
  <c r="L770" i="9"/>
  <c r="M770" i="9" a="1"/>
  <c r="N770" i="9"/>
  <c r="L771" i="9"/>
  <c r="M771" i="9" a="1"/>
  <c r="N771" i="9"/>
  <c r="L772" i="9"/>
  <c r="M772" i="9" a="1"/>
  <c r="N772" i="9"/>
  <c r="L773" i="9"/>
  <c r="M773" i="9" a="1"/>
  <c r="N773" i="9"/>
  <c r="L774" i="9"/>
  <c r="M774" i="9" a="1"/>
  <c r="N774" i="9"/>
  <c r="L775" i="9"/>
  <c r="M775" i="9" a="1"/>
  <c r="N775" i="9"/>
  <c r="L776" i="9"/>
  <c r="M776" i="9" a="1"/>
  <c r="N776" i="9"/>
  <c r="L777" i="9"/>
  <c r="M777" i="9" a="1"/>
  <c r="N777" i="9"/>
  <c r="L778" i="9"/>
  <c r="M778" i="9" a="1"/>
  <c r="N778" i="9"/>
  <c r="L779" i="9"/>
  <c r="M779" i="9" a="1"/>
  <c r="N779" i="9"/>
  <c r="L780" i="9"/>
  <c r="M780" i="9" a="1"/>
  <c r="N780" i="9"/>
  <c r="L781" i="9"/>
  <c r="M781" i="9" a="1"/>
  <c r="N781" i="9"/>
  <c r="L782" i="9"/>
  <c r="M782" i="9" a="1"/>
  <c r="N782" i="9"/>
  <c r="L783" i="9"/>
  <c r="M783" i="9" a="1"/>
  <c r="N783" i="9"/>
  <c r="L784" i="9"/>
  <c r="M784" i="9" a="1"/>
  <c r="N784" i="9"/>
  <c r="L785" i="9"/>
  <c r="M785" i="9" a="1"/>
  <c r="N785" i="9"/>
  <c r="L786" i="9"/>
  <c r="M786" i="9" a="1"/>
  <c r="N786" i="9"/>
  <c r="L787" i="9"/>
  <c r="M787" i="9" a="1"/>
  <c r="N787" i="9"/>
  <c r="L788" i="9"/>
  <c r="M788" i="9" a="1"/>
  <c r="N788" i="9"/>
  <c r="L789" i="9"/>
  <c r="M789" i="9" a="1"/>
  <c r="N789" i="9"/>
  <c r="L790" i="9"/>
  <c r="M790" i="9" a="1"/>
  <c r="N790" i="9"/>
  <c r="L791" i="9"/>
  <c r="M791" i="9" a="1"/>
  <c r="N791" i="9"/>
  <c r="L792" i="9"/>
  <c r="M792" i="9" a="1"/>
  <c r="N792" i="9"/>
  <c r="L793" i="9"/>
  <c r="M793" i="9" a="1"/>
  <c r="N793" i="9"/>
  <c r="L795" i="9"/>
  <c r="M795" i="9" a="1"/>
  <c r="N795" i="9"/>
  <c r="L796" i="9"/>
  <c r="M796" i="9" a="1"/>
  <c r="N796" i="9"/>
  <c r="L797" i="9"/>
  <c r="M797" i="9" a="1"/>
  <c r="N797" i="9"/>
  <c r="L798" i="9"/>
  <c r="M798" i="9" a="1"/>
  <c r="N798" i="9"/>
  <c r="L799" i="9"/>
  <c r="M799" i="9" a="1"/>
  <c r="N799" i="9"/>
  <c r="L800" i="9"/>
  <c r="M800" i="9" a="1"/>
  <c r="N800" i="9"/>
  <c r="L801" i="9"/>
  <c r="M801" i="9" a="1"/>
  <c r="N801" i="9"/>
  <c r="L802" i="9"/>
  <c r="M802" i="9" a="1"/>
  <c r="N802" i="9"/>
  <c r="L803" i="9"/>
  <c r="M803" i="9" a="1"/>
  <c r="N803" i="9"/>
  <c r="L804" i="9"/>
  <c r="M804" i="9" a="1"/>
  <c r="N804" i="9"/>
  <c r="L5" i="9"/>
  <c r="M5" i="9" a="1"/>
  <c r="N5" i="9"/>
  <c r="L6" i="9"/>
  <c r="M6" i="9" a="1"/>
  <c r="N6" i="9"/>
  <c r="L7" i="9"/>
  <c r="M7" i="9" a="1"/>
  <c r="N7" i="9"/>
  <c r="L9" i="9"/>
  <c r="M9" i="9" a="1"/>
  <c r="N9" i="9"/>
  <c r="L10" i="9"/>
  <c r="M10" i="9" a="1"/>
  <c r="N10" i="9"/>
  <c r="L11" i="9"/>
  <c r="M11" i="9" a="1"/>
  <c r="N11" i="9"/>
  <c r="L13" i="9"/>
  <c r="M13" i="9" a="1"/>
  <c r="N13" i="9"/>
  <c r="L15" i="9"/>
  <c r="M15" i="9" a="1"/>
  <c r="N15" i="9"/>
  <c r="L16" i="9"/>
  <c r="M16" i="9" a="1"/>
  <c r="N16" i="9"/>
  <c r="L17" i="9"/>
  <c r="M17" i="9" a="1"/>
  <c r="N17" i="9"/>
  <c r="L18" i="9"/>
  <c r="M18" i="9" a="1"/>
  <c r="N18" i="9"/>
  <c r="L20" i="9"/>
  <c r="M20" i="9" a="1"/>
  <c r="N20" i="9"/>
  <c r="L21" i="9"/>
  <c r="M21" i="9" a="1"/>
  <c r="N21" i="9"/>
  <c r="L22" i="9"/>
  <c r="M22" i="9" a="1"/>
  <c r="N22" i="9"/>
  <c r="L26" i="9"/>
  <c r="M26" i="9" a="1"/>
  <c r="N26" i="9"/>
  <c r="L27" i="9"/>
  <c r="M27" i="9" a="1"/>
  <c r="N27" i="9"/>
  <c r="L28" i="9"/>
  <c r="M28" i="9" a="1"/>
  <c r="N28" i="9"/>
  <c r="L31" i="9"/>
  <c r="M31" i="9" a="1"/>
  <c r="N31" i="9"/>
  <c r="L36" i="9"/>
  <c r="M36" i="9" a="1"/>
  <c r="N36" i="9"/>
  <c r="L37" i="9"/>
  <c r="M37" i="9" a="1"/>
  <c r="N37" i="9"/>
  <c r="L38" i="9"/>
  <c r="M38" i="9" a="1"/>
  <c r="N38" i="9"/>
  <c r="L39" i="9"/>
  <c r="M39" i="9" a="1"/>
  <c r="N39" i="9"/>
  <c r="L41" i="9"/>
  <c r="M41" i="9" a="1"/>
  <c r="N41" i="9"/>
  <c r="L46" i="9"/>
  <c r="M46" i="9" a="1"/>
  <c r="N46" i="9"/>
  <c r="L51" i="9"/>
  <c r="M51" i="9" a="1"/>
  <c r="N51" i="9"/>
  <c r="L56" i="9"/>
  <c r="M56" i="9" a="1"/>
  <c r="N56" i="9"/>
  <c r="L57" i="9"/>
  <c r="M57" i="9" a="1"/>
  <c r="N57" i="9"/>
  <c r="L58" i="9"/>
  <c r="M58" i="9" a="1"/>
  <c r="N58" i="9"/>
  <c r="L59" i="9"/>
  <c r="M59" i="9" a="1"/>
  <c r="N59" i="9"/>
  <c r="N4" i="9"/>
  <c r="M4" i="9" a="1"/>
  <c r="L4" i="9"/>
  <c r="F28" i="2"/>
  <c r="F29" i="2"/>
  <c r="F30" i="2"/>
  <c r="F31" i="2"/>
  <c r="F27" i="2"/>
  <c r="D5" i="9"/>
  <c r="D6" i="9"/>
  <c r="D7" i="9"/>
  <c r="D9" i="9"/>
  <c r="D10" i="9"/>
  <c r="D11" i="9"/>
  <c r="D13" i="9"/>
  <c r="D15" i="9"/>
  <c r="D16" i="9"/>
  <c r="D17" i="9"/>
  <c r="D18" i="9"/>
  <c r="D20" i="9"/>
  <c r="D21" i="9"/>
  <c r="D22" i="9"/>
  <c r="D26" i="9"/>
  <c r="D27" i="9"/>
  <c r="D28" i="9"/>
  <c r="D31" i="9"/>
  <c r="D36" i="9"/>
  <c r="D37" i="9"/>
  <c r="D38" i="9"/>
  <c r="D39" i="9"/>
  <c r="D41" i="9"/>
  <c r="D46" i="9"/>
  <c r="D51" i="9"/>
  <c r="D56" i="9"/>
  <c r="D57" i="9"/>
  <c r="D58" i="9"/>
  <c r="D59"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9" i="9"/>
  <c r="D450" i="9"/>
  <c r="D451" i="9"/>
  <c r="D452" i="9"/>
  <c r="D453" i="9"/>
  <c r="D454" i="9"/>
  <c r="D455" i="9"/>
  <c r="D456" i="9"/>
  <c r="D457" i="9"/>
  <c r="D458" i="9"/>
  <c r="D459" i="9"/>
  <c r="D460" i="9"/>
  <c r="D461"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1" i="9"/>
  <c r="D492" i="9"/>
  <c r="D493" i="9"/>
  <c r="D494" i="9"/>
  <c r="D495" i="9"/>
  <c r="D496" i="9"/>
  <c r="D497" i="9"/>
  <c r="D498" i="9"/>
  <c r="D499" i="9"/>
  <c r="D500" i="9"/>
  <c r="D501" i="9"/>
  <c r="D502" i="9"/>
  <c r="D503" i="9"/>
  <c r="D504" i="9"/>
  <c r="D505" i="9"/>
  <c r="D506" i="9"/>
  <c r="D507" i="9"/>
  <c r="D508" i="9"/>
  <c r="D509"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4" i="9"/>
  <c r="D555" i="9"/>
  <c r="D556" i="9"/>
  <c r="D557" i="9"/>
  <c r="D558" i="9"/>
  <c r="D559" i="9"/>
  <c r="D560" i="9"/>
  <c r="D561" i="9"/>
  <c r="D562" i="9"/>
  <c r="D563" i="9"/>
  <c r="D564" i="9"/>
  <c r="D565" i="9"/>
  <c r="D566" i="9"/>
  <c r="D567" i="9"/>
  <c r="D568" i="9"/>
  <c r="D569" i="9"/>
  <c r="D570" i="9"/>
  <c r="D571" i="9"/>
  <c r="D572" i="9"/>
  <c r="D573" i="9"/>
  <c r="D574" i="9"/>
  <c r="D575"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1" i="9"/>
  <c r="D742" i="9"/>
  <c r="D743" i="9"/>
  <c r="D744" i="9"/>
  <c r="D745" i="9"/>
  <c r="D746" i="9"/>
  <c r="D747" i="9"/>
  <c r="D748" i="9"/>
  <c r="D749" i="9"/>
  <c r="D750" i="9"/>
  <c r="D751" i="9"/>
  <c r="D752" i="9"/>
  <c r="D753" i="9"/>
  <c r="D755" i="9"/>
  <c r="D756" i="9"/>
  <c r="D757" i="9"/>
  <c r="D758" i="9"/>
  <c r="D759" i="9"/>
  <c r="D760" i="9"/>
  <c r="D761" i="9"/>
  <c r="D762" i="9"/>
  <c r="D763" i="9"/>
  <c r="D764" i="9"/>
  <c r="D765"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5" i="9"/>
  <c r="D796" i="9"/>
  <c r="D797" i="9"/>
  <c r="D798" i="9"/>
  <c r="D799" i="9"/>
  <c r="D800" i="9"/>
  <c r="D801" i="9"/>
  <c r="D802" i="9"/>
  <c r="D803" i="9"/>
  <c r="D804" i="9"/>
  <c r="D805" i="9"/>
  <c r="D806" i="9"/>
  <c r="D4" i="9"/>
  <c r="B5" i="9"/>
  <c r="B6" i="9"/>
  <c r="B7" i="9"/>
  <c r="B9" i="9"/>
  <c r="B10" i="9"/>
  <c r="B11" i="9"/>
  <c r="B13" i="9"/>
  <c r="B15" i="9"/>
  <c r="B16" i="9"/>
  <c r="B17" i="9"/>
  <c r="B18" i="9"/>
  <c r="B20" i="9"/>
  <c r="B21" i="9"/>
  <c r="B22" i="9"/>
  <c r="B26" i="9"/>
  <c r="B27" i="9"/>
  <c r="B28" i="9"/>
  <c r="B31" i="9"/>
  <c r="B36" i="9"/>
  <c r="B37" i="9"/>
  <c r="B38" i="9"/>
  <c r="B39" i="9"/>
  <c r="B41" i="9"/>
  <c r="B46" i="9"/>
  <c r="B51" i="9"/>
  <c r="B56" i="9"/>
  <c r="B57" i="9"/>
  <c r="B58" i="9"/>
  <c r="B59"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9" i="9"/>
  <c r="B450" i="9"/>
  <c r="B451" i="9"/>
  <c r="B452" i="9"/>
  <c r="B453" i="9"/>
  <c r="B454" i="9"/>
  <c r="B455" i="9"/>
  <c r="B456" i="9"/>
  <c r="B457" i="9"/>
  <c r="B458" i="9"/>
  <c r="B459" i="9"/>
  <c r="B460" i="9"/>
  <c r="B461"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1" i="9"/>
  <c r="B492" i="9"/>
  <c r="B493" i="9"/>
  <c r="B494" i="9"/>
  <c r="B495" i="9"/>
  <c r="B496" i="9"/>
  <c r="B497" i="9"/>
  <c r="B498" i="9"/>
  <c r="B499" i="9"/>
  <c r="B500" i="9"/>
  <c r="B501" i="9"/>
  <c r="B502" i="9"/>
  <c r="B503" i="9"/>
  <c r="B504" i="9"/>
  <c r="B505" i="9"/>
  <c r="B506" i="9"/>
  <c r="B507" i="9"/>
  <c r="B508" i="9"/>
  <c r="B509"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4" i="9"/>
  <c r="B555" i="9"/>
  <c r="B556" i="9"/>
  <c r="B557" i="9"/>
  <c r="B558" i="9"/>
  <c r="B559" i="9"/>
  <c r="B560" i="9"/>
  <c r="B561" i="9"/>
  <c r="B562" i="9"/>
  <c r="B563" i="9"/>
  <c r="B564" i="9"/>
  <c r="B565" i="9"/>
  <c r="B566" i="9"/>
  <c r="B567" i="9"/>
  <c r="B568" i="9"/>
  <c r="B569" i="9"/>
  <c r="B570" i="9"/>
  <c r="B571" i="9"/>
  <c r="B572" i="9"/>
  <c r="B573" i="9"/>
  <c r="B574" i="9"/>
  <c r="B575"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1" i="9"/>
  <c r="B742" i="9"/>
  <c r="B743" i="9"/>
  <c r="B744" i="9"/>
  <c r="B745" i="9"/>
  <c r="B746" i="9"/>
  <c r="B747" i="9"/>
  <c r="B748" i="9"/>
  <c r="B749" i="9"/>
  <c r="B750" i="9"/>
  <c r="B751" i="9"/>
  <c r="B752" i="9"/>
  <c r="B753" i="9"/>
  <c r="B755" i="9"/>
  <c r="B756" i="9"/>
  <c r="B757" i="9"/>
  <c r="B758" i="9"/>
  <c r="B759" i="9"/>
  <c r="B760" i="9"/>
  <c r="B761" i="9"/>
  <c r="B762" i="9"/>
  <c r="B763" i="9"/>
  <c r="B764" i="9"/>
  <c r="B765"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5" i="9"/>
  <c r="B796" i="9"/>
  <c r="B797" i="9"/>
  <c r="B798" i="9"/>
  <c r="B799" i="9"/>
  <c r="B800" i="9"/>
  <c r="B801" i="9"/>
  <c r="B802" i="9"/>
  <c r="B803" i="9"/>
  <c r="B804" i="9"/>
  <c r="B805" i="9"/>
  <c r="B806" i="9"/>
  <c r="B4" i="9"/>
  <c r="O3" i="2"/>
  <c r="O4" i="2"/>
  <c r="O5" i="2"/>
  <c r="O6" i="2"/>
  <c r="O2" i="2"/>
  <c r="R19" i="2"/>
  <c r="R18" i="2"/>
  <c r="T11" i="2"/>
  <c r="K17" i="2" s="1"/>
  <c r="T10" i="2"/>
  <c r="N17" i="2" s="1"/>
  <c r="S11" i="2"/>
  <c r="K19" i="2" s="1"/>
  <c r="AD2" i="2" s="1"/>
  <c r="S12" i="2"/>
  <c r="K20" i="2" s="1"/>
  <c r="AD3" i="2" s="1"/>
  <c r="S13" i="2"/>
  <c r="K21" i="2" s="1"/>
  <c r="AD4" i="2" s="1"/>
  <c r="S14" i="2"/>
  <c r="K22" i="2" s="1"/>
  <c r="AD5" i="2" s="1"/>
  <c r="S10" i="2"/>
  <c r="K18" i="2" s="1"/>
  <c r="AD1" i="2" s="1"/>
  <c r="R11" i="2"/>
  <c r="N19" i="2" s="1"/>
  <c r="AJ2" i="2" s="1"/>
  <c r="R12" i="2"/>
  <c r="N20" i="2" s="1"/>
  <c r="AJ3" i="2" s="1"/>
  <c r="R13" i="2"/>
  <c r="N21" i="2" s="1"/>
  <c r="AJ4" i="2" s="1"/>
  <c r="R14" i="2"/>
  <c r="N22" i="2" s="1"/>
  <c r="AJ5" i="2" s="1"/>
  <c r="R15" i="2"/>
  <c r="N23" i="2" s="1"/>
  <c r="AJ6" i="2" s="1"/>
  <c r="R10" i="2"/>
  <c r="N18" i="2" s="1"/>
  <c r="AJ1" i="2" s="1"/>
  <c r="O19" i="2"/>
  <c r="O20" i="2"/>
  <c r="L19" i="2"/>
  <c r="Q4" i="2"/>
  <c r="L18" i="2"/>
  <c r="Q5" i="2"/>
  <c r="L21" i="2"/>
  <c r="O18" i="2"/>
  <c r="L22" i="2"/>
  <c r="L20" i="2"/>
  <c r="O23" i="2"/>
  <c r="Q3" i="2"/>
  <c r="Q6" i="2"/>
  <c r="Q2" i="2"/>
  <c r="O22" i="2"/>
  <c r="O21" i="2"/>
  <c r="O13" i="3" l="1"/>
  <c r="O15" i="3"/>
  <c r="O17" i="3"/>
  <c r="O7" i="3"/>
  <c r="O25" i="3"/>
  <c r="O27" i="3"/>
  <c r="O9" i="3"/>
  <c r="O29" i="3"/>
  <c r="O31" i="3"/>
  <c r="O11" i="3"/>
  <c r="O23" i="3"/>
  <c r="X37" i="2"/>
  <c r="Q7" i="2"/>
  <c r="P2" i="2" s="1"/>
  <c r="P19" i="2"/>
  <c r="P20" i="2"/>
  <c r="P21" i="2"/>
  <c r="P22" i="2"/>
  <c r="P23" i="2"/>
  <c r="P18" i="2"/>
  <c r="M20" i="2"/>
  <c r="M21" i="2"/>
  <c r="M22" i="2"/>
  <c r="M19" i="2"/>
  <c r="M18" i="2"/>
  <c r="D32" i="6"/>
  <c r="D27" i="6"/>
  <c r="D22" i="6"/>
  <c r="D17" i="6"/>
  <c r="W2" i="2"/>
  <c r="W3" i="2" s="1" a="1"/>
  <c r="M9" i="2"/>
  <c r="I21" i="3" s="1"/>
  <c r="L9" i="2"/>
  <c r="I5" i="3" s="1"/>
  <c r="C23" i="4"/>
  <c r="A15" i="13" s="1"/>
  <c r="H9" i="2"/>
  <c r="H12" i="2" s="1"/>
  <c r="AE1" i="2" l="1"/>
  <c r="Q23" i="3"/>
  <c r="R23" i="3" s="1"/>
  <c r="AE5" i="2"/>
  <c r="Q31" i="3"/>
  <c r="R31" i="3" s="1"/>
  <c r="AE4" i="2"/>
  <c r="Q29" i="3"/>
  <c r="R29" i="3" s="1"/>
  <c r="AE3" i="2"/>
  <c r="Q27" i="3"/>
  <c r="R27" i="3" s="1"/>
  <c r="Q7" i="3"/>
  <c r="R7" i="3" s="1"/>
  <c r="X43" i="2"/>
  <c r="Y43" i="2" s="1"/>
  <c r="X41" i="2"/>
  <c r="Y41" i="2" s="1"/>
  <c r="X44" i="2"/>
  <c r="Y44" i="2" s="1"/>
  <c r="X42" i="2"/>
  <c r="Y42" i="2" s="1"/>
  <c r="X45" i="2"/>
  <c r="Y45" i="2" s="1"/>
  <c r="X46" i="2"/>
  <c r="Y46" i="2" s="1"/>
  <c r="X39" i="2"/>
  <c r="Y39" i="2" s="1"/>
  <c r="X47" i="2"/>
  <c r="Y47" i="2" s="1"/>
  <c r="X38" i="2"/>
  <c r="X40" i="2"/>
  <c r="Y40" i="2" s="1"/>
  <c r="X48" i="2"/>
  <c r="Y48" i="2" s="1"/>
  <c r="AE2" i="2"/>
  <c r="Q25" i="3"/>
  <c r="R25" i="3" s="1"/>
  <c r="AK6" i="2"/>
  <c r="Q17" i="3"/>
  <c r="R17" i="3" s="1"/>
  <c r="AK5" i="2"/>
  <c r="Q15" i="3"/>
  <c r="R15" i="3" s="1"/>
  <c r="AK4" i="2"/>
  <c r="Q13" i="3"/>
  <c r="R13" i="3" s="1"/>
  <c r="AK3" i="2"/>
  <c r="Q11" i="3"/>
  <c r="R11" i="3" s="1"/>
  <c r="AK2" i="2"/>
  <c r="Q9" i="3"/>
  <c r="R9" i="3" s="1"/>
  <c r="P4" i="2"/>
  <c r="P5" i="2"/>
  <c r="P6" i="2"/>
  <c r="P3" i="2"/>
  <c r="AK1" i="2"/>
  <c r="R9" i="2"/>
  <c r="S9" i="2"/>
  <c r="Z28" i="2"/>
  <c r="Z27" i="2"/>
  <c r="Z20" i="2"/>
  <c r="Z19" i="2"/>
  <c r="Z12" i="2"/>
  <c r="Z11" i="2"/>
  <c r="Z4" i="2"/>
  <c r="Z3" i="2"/>
  <c r="Z25" i="2"/>
  <c r="Z17" i="2"/>
  <c r="Z9" i="2"/>
  <c r="Z23" i="2"/>
  <c r="Z15" i="2"/>
  <c r="Z30" i="2"/>
  <c r="Z22" i="2"/>
  <c r="Z14" i="2"/>
  <c r="Z6" i="2"/>
  <c r="Z26" i="2"/>
  <c r="Z18" i="2"/>
  <c r="Z10" i="2"/>
  <c r="Z32" i="2"/>
  <c r="Z24" i="2"/>
  <c r="Z16" i="2"/>
  <c r="Z8" i="2"/>
  <c r="Z31" i="2"/>
  <c r="Z7" i="2"/>
  <c r="Z29" i="2"/>
  <c r="Z21" i="2"/>
  <c r="Z13" i="2"/>
  <c r="Z5" i="2"/>
  <c r="Z2" i="2"/>
  <c r="W4" i="2" a="1"/>
  <c r="H21" i="2"/>
  <c r="H19" i="2"/>
  <c r="H18" i="2"/>
  <c r="H17" i="2"/>
  <c r="H16" i="2"/>
  <c r="H11" i="2"/>
  <c r="H15" i="2"/>
  <c r="H22" i="2"/>
  <c r="H14" i="2"/>
  <c r="H13" i="2"/>
  <c r="H20" i="2"/>
  <c r="Z38" i="2" l="1"/>
  <c r="Y38" i="2"/>
  <c r="W49" i="2" s="1"/>
  <c r="AG5" i="2"/>
  <c r="AG1" i="2"/>
  <c r="AF1" i="2" s="1" a="1"/>
  <c r="AG2" i="2"/>
  <c r="AF2" i="2" s="1" a="1"/>
  <c r="AG3" i="2"/>
  <c r="AG4" i="2"/>
  <c r="AM5" i="2"/>
  <c r="AM6" i="2"/>
  <c r="AM1" i="2"/>
  <c r="AM3" i="2"/>
  <c r="AM4" i="2"/>
  <c r="AM2" i="2"/>
  <c r="O11" i="2"/>
  <c r="O12" i="2"/>
  <c r="O13" i="2"/>
  <c r="O14" i="2"/>
  <c r="O10" i="2"/>
  <c r="AF3" i="2" l="1" a="1"/>
  <c r="AF4" i="2" a="1"/>
  <c r="AF5" i="2" a="1"/>
  <c r="AI38" i="2"/>
  <c r="AG38" i="2"/>
  <c r="AB38" i="2"/>
  <c r="AF38" i="2"/>
  <c r="AH38" i="2"/>
  <c r="AE38" i="2"/>
  <c r="AD38" i="2"/>
  <c r="AA38" i="2"/>
  <c r="AJ38" i="2"/>
  <c r="AC38" i="2"/>
  <c r="L15" i="2"/>
  <c r="AL3" i="2" a="1"/>
  <c r="AL4" i="2" a="1"/>
  <c r="AL6" i="2" a="1"/>
  <c r="AL1" i="2" a="1"/>
  <c r="AL5" i="2" a="1"/>
  <c r="AL2" i="2" a="1"/>
  <c r="J7" i="2"/>
  <c r="S2" i="2"/>
  <c r="L2" i="2"/>
  <c r="L3" i="2"/>
  <c r="L4" i="2"/>
  <c r="L5" i="2"/>
  <c r="L6" i="2"/>
  <c r="L1" i="2"/>
  <c r="K4" i="2" s="1"/>
  <c r="E9" i="2"/>
  <c r="E12" i="2" s="1"/>
  <c r="G12" i="2" s="1"/>
  <c r="C3" i="2"/>
  <c r="C2" i="2"/>
  <c r="L13" i="2" l="1"/>
  <c r="K13" i="2" s="1"/>
  <c r="L10" i="2"/>
  <c r="K10" i="2" s="1"/>
  <c r="L11" i="2"/>
  <c r="K11" i="2" s="1"/>
  <c r="L14" i="2"/>
  <c r="K14" i="2" s="1"/>
  <c r="L12" i="2"/>
  <c r="K12" i="2" s="1"/>
  <c r="M14" i="2"/>
  <c r="M13" i="2"/>
  <c r="M11" i="2"/>
  <c r="M10" i="2"/>
  <c r="M12" i="2"/>
  <c r="N10" i="2"/>
  <c r="N12" i="2"/>
  <c r="N11" i="2"/>
  <c r="N14" i="2"/>
  <c r="N13" i="2"/>
  <c r="K5" i="2"/>
  <c r="K3" i="2"/>
  <c r="K2" i="2"/>
  <c r="K6" i="2"/>
  <c r="E11" i="2"/>
  <c r="G11" i="2" s="1"/>
  <c r="E22" i="2"/>
  <c r="G22" i="2" s="1"/>
  <c r="E21" i="2"/>
  <c r="G21" i="2" s="1"/>
  <c r="E20" i="2"/>
  <c r="G20" i="2" s="1"/>
  <c r="E19" i="2"/>
  <c r="G19" i="2" s="1"/>
  <c r="E18" i="2"/>
  <c r="G18" i="2" s="1"/>
  <c r="E17" i="2"/>
  <c r="G17" i="2" s="1"/>
  <c r="E16" i="2"/>
  <c r="G16" i="2" s="1"/>
  <c r="E15" i="2"/>
  <c r="G15" i="2" s="1"/>
  <c r="E14" i="2"/>
  <c r="G14" i="2" s="1"/>
  <c r="E13" i="2"/>
  <c r="G13" i="2" s="1"/>
  <c r="J10" i="2" l="1"/>
  <c r="J12" i="2"/>
  <c r="J13" i="2"/>
  <c r="J11" i="2"/>
  <c r="J14" i="2"/>
  <c r="P13" i="2" l="1" a="1"/>
  <c r="P12" i="2" a="1"/>
  <c r="P11" i="2" a="1"/>
  <c r="P14" i="2" a="1"/>
  <c r="P10" i="2"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<sst xmlns="http://schemas.openxmlformats.org/spreadsheetml/2006/main" count="8380" uniqueCount="1167">
  <si>
    <t>JAN</t>
  </si>
  <si>
    <t>FEB</t>
  </si>
  <si>
    <t>MAR</t>
  </si>
  <si>
    <t>APR</t>
  </si>
  <si>
    <t>MAY</t>
  </si>
  <si>
    <t>JUN</t>
  </si>
  <si>
    <t>JUL</t>
  </si>
  <si>
    <t>AUG</t>
  </si>
  <si>
    <t>SEP</t>
  </si>
  <si>
    <t>OCT</t>
  </si>
  <si>
    <t>NOV</t>
  </si>
  <si>
    <t>DEC</t>
  </si>
  <si>
    <t>Month</t>
  </si>
  <si>
    <t>Year</t>
  </si>
  <si>
    <t>Number</t>
  </si>
  <si>
    <t>Selected M</t>
  </si>
  <si>
    <t>Selected I</t>
  </si>
  <si>
    <t>Indent</t>
  </si>
  <si>
    <t>Dismantling the balcony block</t>
  </si>
  <si>
    <t>Laying parquet boards with glue</t>
  </si>
  <si>
    <t>Laying quartz vinyl tiles on a substrate</t>
  </si>
  <si>
    <t>Laying parquet boards on a substrate</t>
  </si>
  <si>
    <t>Laying solid boards</t>
  </si>
  <si>
    <t>Facebook</t>
  </si>
  <si>
    <t>Reddit</t>
  </si>
  <si>
    <t>Instagram</t>
  </si>
  <si>
    <t>YouTube</t>
  </si>
  <si>
    <t>WhatsApp</t>
  </si>
  <si>
    <t>Lable</t>
  </si>
  <si>
    <t xml:space="preserve">        </t>
  </si>
  <si>
    <t>Total</t>
  </si>
  <si>
    <t>Manager</t>
  </si>
  <si>
    <t>Indent Center</t>
  </si>
  <si>
    <t>Indents</t>
  </si>
  <si>
    <t>Indent Left</t>
  </si>
  <si>
    <t>Indent2</t>
  </si>
  <si>
    <t>SALARY</t>
  </si>
  <si>
    <t>SALES PLAN</t>
  </si>
  <si>
    <t>DONE</t>
  </si>
  <si>
    <t>KPI %</t>
  </si>
  <si>
    <t>PRIZE</t>
  </si>
  <si>
    <t>Jack</t>
  </si>
  <si>
    <t>William</t>
  </si>
  <si>
    <t>James</t>
  </si>
  <si>
    <t>Oliver</t>
  </si>
  <si>
    <t>Lucas</t>
  </si>
  <si>
    <t>Sofia</t>
  </si>
  <si>
    <t>Isabella</t>
  </si>
  <si>
    <t>Joseph</t>
  </si>
  <si>
    <t>Liam</t>
  </si>
  <si>
    <t>Charlotte</t>
  </si>
  <si>
    <t>Jacob</t>
  </si>
  <si>
    <t>Contact</t>
  </si>
  <si>
    <t>Date of Birth</t>
  </si>
  <si>
    <t>Age</t>
  </si>
  <si>
    <t>Job Title</t>
  </si>
  <si>
    <t>Salary</t>
  </si>
  <si>
    <t>Hiring Date</t>
  </si>
  <si>
    <t>Job Titles</t>
  </si>
  <si>
    <t>Master</t>
  </si>
  <si>
    <t>Luna</t>
  </si>
  <si>
    <t>Emma</t>
  </si>
  <si>
    <t>Name</t>
  </si>
  <si>
    <t>Termination Date</t>
  </si>
  <si>
    <t>State</t>
  </si>
  <si>
    <t>EMPLOYEES</t>
  </si>
  <si>
    <t>Num</t>
  </si>
  <si>
    <t>fired</t>
  </si>
  <si>
    <t>ToDay</t>
  </si>
  <si>
    <t>January</t>
  </si>
  <si>
    <t>February</t>
  </si>
  <si>
    <t>March</t>
  </si>
  <si>
    <t>April</t>
  </si>
  <si>
    <t>May</t>
  </si>
  <si>
    <t>June</t>
  </si>
  <si>
    <t>July</t>
  </si>
  <si>
    <t>August</t>
  </si>
  <si>
    <t>September</t>
  </si>
  <si>
    <t>October</t>
  </si>
  <si>
    <t>November</t>
  </si>
  <si>
    <t>December</t>
  </si>
  <si>
    <t xml:space="preserve"> </t>
  </si>
  <si>
    <t>Sunday</t>
  </si>
  <si>
    <t>Monday</t>
  </si>
  <si>
    <t>Tuesday</t>
  </si>
  <si>
    <t>Wednesday</t>
  </si>
  <si>
    <t>Thursday</t>
  </si>
  <si>
    <t>Friday</t>
  </si>
  <si>
    <t>Saturday</t>
  </si>
  <si>
    <t>City</t>
  </si>
  <si>
    <t>New York</t>
  </si>
  <si>
    <t>Miami</t>
  </si>
  <si>
    <t>New Orleans</t>
  </si>
  <si>
    <t>Dallas</t>
  </si>
  <si>
    <t>Chikago</t>
  </si>
  <si>
    <t>Time</t>
  </si>
  <si>
    <t>SERVICE</t>
  </si>
  <si>
    <t>TIME</t>
  </si>
  <si>
    <t>CONTACT</t>
  </si>
  <si>
    <t>CLIENT</t>
  </si>
  <si>
    <t>MASTER</t>
  </si>
  <si>
    <t>PRIСE</t>
  </si>
  <si>
    <t>Client Name</t>
  </si>
  <si>
    <t>Service</t>
  </si>
  <si>
    <t>Quantity (pcs, sq.m, etc.)</t>
  </si>
  <si>
    <t>Address</t>
  </si>
  <si>
    <t>Total Payable</t>
  </si>
  <si>
    <t>Price</t>
  </si>
  <si>
    <t>Payment Method</t>
  </si>
  <si>
    <t>Discount</t>
  </si>
  <si>
    <t>CUSTOMER</t>
  </si>
  <si>
    <t>DETAILS</t>
  </si>
  <si>
    <t>PAYMENT</t>
  </si>
  <si>
    <t>Personnel</t>
  </si>
  <si>
    <t>Cash Money</t>
  </si>
  <si>
    <t>Credit Cards</t>
  </si>
  <si>
    <t>Channels Attracting</t>
  </si>
  <si>
    <t>Current Month</t>
  </si>
  <si>
    <t>Date of Visit</t>
  </si>
  <si>
    <t>Visit Time</t>
  </si>
  <si>
    <t>LIST OF SERVICES PROVIDED</t>
  </si>
  <si>
    <t>Removing the shower cabin</t>
  </si>
  <si>
    <t>Removing the shower tray</t>
  </si>
  <si>
    <t>Removing the sink</t>
  </si>
  <si>
    <t>Removing the front door</t>
  </si>
  <si>
    <t>Dismantling the window block</t>
  </si>
  <si>
    <t>Laying plywood in 1 layer</t>
  </si>
  <si>
    <t>Laying linoleum with glue</t>
  </si>
  <si>
    <t>Laying quartz vinyl tiles with glue</t>
  </si>
  <si>
    <t>Laying ceramic tiles, porcelain tiles on the floor with grout</t>
  </si>
  <si>
    <t>Threshold installation</t>
  </si>
  <si>
    <t>Installation of PVC skirting boards</t>
  </si>
  <si>
    <t>Installation of thermal vapor barrier of the ceiling</t>
  </si>
  <si>
    <t>Installation of slatted ceilings</t>
  </si>
  <si>
    <t>Wallpapering ceilings</t>
  </si>
  <si>
    <t>Installation of ceiling plinth</t>
  </si>
  <si>
    <t>Production and installation of suspended ceilings (matte, glossy)</t>
  </si>
  <si>
    <t>Cutting and installation of additional corners</t>
  </si>
  <si>
    <t>Removing an interior door</t>
  </si>
  <si>
    <t>PRICE</t>
  </si>
  <si>
    <t>PAYMENT METHOD</t>
  </si>
  <si>
    <t>MASTERS</t>
  </si>
  <si>
    <t>MANAGERS</t>
  </si>
  <si>
    <t>JOB TITLES</t>
  </si>
  <si>
    <t>STATE</t>
  </si>
  <si>
    <t>PERSONNEL</t>
  </si>
  <si>
    <t>Running</t>
  </si>
  <si>
    <t>Completed</t>
  </si>
  <si>
    <t>Canceled</t>
  </si>
  <si>
    <t>CHANELS</t>
  </si>
  <si>
    <t>ORDER</t>
  </si>
  <si>
    <t>Day</t>
  </si>
  <si>
    <t>Application of decorative plaster</t>
  </si>
  <si>
    <t>Wallpapering</t>
  </si>
  <si>
    <t>Client</t>
  </si>
  <si>
    <t>Client 1</t>
  </si>
  <si>
    <t>Client 2</t>
  </si>
  <si>
    <t>Client 3</t>
  </si>
  <si>
    <t>Client 4</t>
  </si>
  <si>
    <t>Client 5</t>
  </si>
  <si>
    <t>Client 6</t>
  </si>
  <si>
    <t>Client 8</t>
  </si>
  <si>
    <t>Client 9</t>
  </si>
  <si>
    <t>Client 10</t>
  </si>
  <si>
    <t>Client 11</t>
  </si>
  <si>
    <t>Client 12</t>
  </si>
  <si>
    <t>Client 13</t>
  </si>
  <si>
    <t>Client 14</t>
  </si>
  <si>
    <t>Client 15</t>
  </si>
  <si>
    <t>Client 16</t>
  </si>
  <si>
    <t>Client 18</t>
  </si>
  <si>
    <t>Client 19</t>
  </si>
  <si>
    <t>Client 20</t>
  </si>
  <si>
    <t>Client 21</t>
  </si>
  <si>
    <t>Client 22</t>
  </si>
  <si>
    <t>Client 23</t>
  </si>
  <si>
    <t>Client 24</t>
  </si>
  <si>
    <t>Client 25</t>
  </si>
  <si>
    <t>Client 26</t>
  </si>
  <si>
    <t>Client 28</t>
  </si>
  <si>
    <t>Client 29</t>
  </si>
  <si>
    <t>Client 30</t>
  </si>
  <si>
    <t>Client 31</t>
  </si>
  <si>
    <t>Client 32</t>
  </si>
  <si>
    <t>Client 33</t>
  </si>
  <si>
    <t>Client 34</t>
  </si>
  <si>
    <t>Client 35</t>
  </si>
  <si>
    <t>Client 36</t>
  </si>
  <si>
    <t>Client 38</t>
  </si>
  <si>
    <t>Client 39</t>
  </si>
  <si>
    <t>Client 40</t>
  </si>
  <si>
    <t>Client 41</t>
  </si>
  <si>
    <t>Client 42</t>
  </si>
  <si>
    <t>Client 43</t>
  </si>
  <si>
    <t>Client 44</t>
  </si>
  <si>
    <t>Client 45</t>
  </si>
  <si>
    <t>Client 46</t>
  </si>
  <si>
    <t>Client 48</t>
  </si>
  <si>
    <t>Client 49</t>
  </si>
  <si>
    <t>Client 50</t>
  </si>
  <si>
    <t>Client 51</t>
  </si>
  <si>
    <t>Client 52</t>
  </si>
  <si>
    <t>Client 53</t>
  </si>
  <si>
    <t>Client 54</t>
  </si>
  <si>
    <t>Client 55</t>
  </si>
  <si>
    <t>Client 56</t>
  </si>
  <si>
    <t>Client 58</t>
  </si>
  <si>
    <t>Client 59</t>
  </si>
  <si>
    <t>Client 60</t>
  </si>
  <si>
    <t>Client 61</t>
  </si>
  <si>
    <t>Client 62</t>
  </si>
  <si>
    <t>Client 63</t>
  </si>
  <si>
    <t>Client 64</t>
  </si>
  <si>
    <t>Client 65</t>
  </si>
  <si>
    <t>Client 66</t>
  </si>
  <si>
    <t>Client 68</t>
  </si>
  <si>
    <t>Client 69</t>
  </si>
  <si>
    <t>Client 80</t>
  </si>
  <si>
    <t>Client 81</t>
  </si>
  <si>
    <t>Client 82</t>
  </si>
  <si>
    <t>Client 83</t>
  </si>
  <si>
    <t>Client 84</t>
  </si>
  <si>
    <t>Client 85</t>
  </si>
  <si>
    <t>Client 86</t>
  </si>
  <si>
    <t>Client 88</t>
  </si>
  <si>
    <t>Client 89</t>
  </si>
  <si>
    <t>Client 90</t>
  </si>
  <si>
    <t>Client 91</t>
  </si>
  <si>
    <t>Client 92</t>
  </si>
  <si>
    <t>Client 93</t>
  </si>
  <si>
    <t>Client 94</t>
  </si>
  <si>
    <t>Client 95</t>
  </si>
  <si>
    <t>Client 96</t>
  </si>
  <si>
    <t>Client 98</t>
  </si>
  <si>
    <t>Client 99</t>
  </si>
  <si>
    <t>Client 100</t>
  </si>
  <si>
    <t>Client 101</t>
  </si>
  <si>
    <t>123 Elm Street, Apt. 4B</t>
  </si>
  <si>
    <t>456 Willow Avenue, Unit 7</t>
  </si>
  <si>
    <t>789 Oak Lane, Suite 12</t>
  </si>
  <si>
    <t>234 Pine Road, Apt. 3C</t>
  </si>
  <si>
    <t>567 Birch Street, Unit 8D</t>
  </si>
  <si>
    <t>890 Maple Drive, Apt. 2A</t>
  </si>
  <si>
    <t>345 Cedar Court, Suite 6E</t>
  </si>
  <si>
    <t>678 Spruce Lane, Apt. 1F</t>
  </si>
  <si>
    <t>1234 Redwood Road, Unit 5G</t>
  </si>
  <si>
    <t>5678 Juniper Street, Apt. 9H</t>
  </si>
  <si>
    <t>987 Aspen Avenue, Suite 10I</t>
  </si>
  <si>
    <t>654 Pinecone Lane, Unit 11J</t>
  </si>
  <si>
    <t>321 Acorn Drive, Apt. 12K</t>
  </si>
  <si>
    <t>876 Sequoia Road, Suite 13L</t>
  </si>
  <si>
    <t>543 Willowbrook Lane, Apt. 14M</t>
  </si>
  <si>
    <t>210 Magnolia Street, Unit 15N</t>
  </si>
  <si>
    <t>8765 Sycamore Court, Suite 16O</t>
  </si>
  <si>
    <t>4321 Cedarwood Drive, Apt. 17P</t>
  </si>
  <si>
    <t>123 Elm Street, Unit 18Q</t>
  </si>
  <si>
    <t>456 Birch Avenue, Suite 19R</t>
  </si>
  <si>
    <t>789 Oak Lane, Apt. 20S</t>
  </si>
  <si>
    <t>234 Maple Road, Unit 21T</t>
  </si>
  <si>
    <t>567 Pine Street, Suite 22U</t>
  </si>
  <si>
    <t>890 Willow Drive, Apt. 23V</t>
  </si>
  <si>
    <t>345 Redwood Lane, Unit 24W</t>
  </si>
  <si>
    <t>678 Spruce Street, Suite 25X</t>
  </si>
  <si>
    <t>1234 Aspen Road, Apt. 26Y</t>
  </si>
  <si>
    <t>5678 Cedar Drive, Unit 27Z</t>
  </si>
  <si>
    <t>987 Pinecone Avenue, Suite 28AA</t>
  </si>
  <si>
    <t>654 Magnolia Lane, Apt. 29BB</t>
  </si>
  <si>
    <t>321 Sequoia Street, Unit 30CC</t>
  </si>
  <si>
    <t>876 Willowbrook Drive, Suite 31DD</t>
  </si>
  <si>
    <t>543 Acorn Lane, Apt. 32EE</t>
  </si>
  <si>
    <t>210 Sycamore Road, Unit 33FF</t>
  </si>
  <si>
    <t>8765 Cedarwood Street, Suite 34GG</t>
  </si>
  <si>
    <t>4321 Elm Drive, Apt. 35HH</t>
  </si>
  <si>
    <t>123 Birch Lane, Suite 36II</t>
  </si>
  <si>
    <t>456 Oak Avenue, Unit 37JJ</t>
  </si>
  <si>
    <t>789 Maple Street, Apt. 38KK</t>
  </si>
  <si>
    <t>234 Pine Road, Suite 39LL</t>
  </si>
  <si>
    <t>567 Willow Drive, Unit 40MM</t>
  </si>
  <si>
    <t>890 Redwood Lane, Apt. 41NN</t>
  </si>
  <si>
    <t>345 Spruce Street, Suite 42OO</t>
  </si>
  <si>
    <t>678 Aspen Avenue, Unit 43PP</t>
  </si>
  <si>
    <t>1234 Sequoia Road, Apt. 44QQ</t>
  </si>
  <si>
    <t>5678 Willowbrook Drive, Suite 45RR</t>
  </si>
  <si>
    <t>987 Acorn Street, Unit 46SS</t>
  </si>
  <si>
    <t>654 Sycamore Avenue, Apt. 47TT</t>
  </si>
  <si>
    <t>321 Cedarwood Lane, Suite 48UU</t>
  </si>
  <si>
    <t>876 Elm Drive, Unit 49VV</t>
  </si>
  <si>
    <t>543 Birch Road, Apt. 50WW</t>
  </si>
  <si>
    <t>210 Oak Lane, Suite 51XX</t>
  </si>
  <si>
    <t>8765 Maple Street, Unit 52YY</t>
  </si>
  <si>
    <t>4321 Pine Street, Apt. 53ZZ</t>
  </si>
  <si>
    <t>123 Redwood Avenue, Suite 54AAA</t>
  </si>
  <si>
    <t>456 Willow Lane, Unit 55BBB</t>
  </si>
  <si>
    <t>789 Magnolia Road, Apt. 56CCC</t>
  </si>
  <si>
    <t>234 Sequoia Street, Suite 57DDD</t>
  </si>
  <si>
    <t>567 Willowbrook Drive, Unit 58EEE</t>
  </si>
  <si>
    <t>890 Acorn Avenue, Apt. 59FFF</t>
  </si>
  <si>
    <t>345 Sycamore Lane, Suite 60GGG</t>
  </si>
  <si>
    <t>678 Cedarwood Road, Unit 61HHH</t>
  </si>
  <si>
    <t>123 Elm Street, Apt. 62III</t>
  </si>
  <si>
    <t>456 Birch Avenue, Suite 63JJJ</t>
  </si>
  <si>
    <t>789 Oak Lane, Unit 64KKK</t>
  </si>
  <si>
    <t>234 Maple Road, Apt. 65LLL</t>
  </si>
  <si>
    <t>567 Pine Street, Suite 66MMM</t>
  </si>
  <si>
    <t>890 Willow Drive, Unit 67NNN</t>
  </si>
  <si>
    <t>345 Redwood Lane, Apt. 68OOO</t>
  </si>
  <si>
    <t>678 Spruce Street, Suite 69PPP</t>
  </si>
  <si>
    <t>1234 Aspen Road, Unit 70QQQ</t>
  </si>
  <si>
    <t>5678 Cedar Drive, Apt. 71RRR</t>
  </si>
  <si>
    <t>987 Pinecone Avenue, Suite 72SSS</t>
  </si>
  <si>
    <t>654 Magnolia Lane, Unit 73TTT</t>
  </si>
  <si>
    <t>321 Sequoia Street, Apt. 74UUU</t>
  </si>
  <si>
    <t>876 Willowbrook Drive, Suite 75VVV</t>
  </si>
  <si>
    <t>543 Acorn Lane, Unit 76WWW</t>
  </si>
  <si>
    <t>210 Sycamore Road, Apt. 77XXX</t>
  </si>
  <si>
    <t>8765 Cedarwood Street, Suite 78YYY</t>
  </si>
  <si>
    <t>4321 Elm Drive, Unit 79ZZZ</t>
  </si>
  <si>
    <t>123 Birch Lane, Apt. 80AAAA</t>
  </si>
  <si>
    <t>456 Oak Avenue, Suite 81BBBB</t>
  </si>
  <si>
    <t>789 Maple Street, Unit 82CCCC</t>
  </si>
  <si>
    <t>234 Pine Road, Apt. 83DDDD</t>
  </si>
  <si>
    <t>567 Willow Drive, Suite 84EEEE</t>
  </si>
  <si>
    <t>890 Redwood Lane, Unit 85FFFF</t>
  </si>
  <si>
    <t>345 Spruce Street, Apt. 86GGGG</t>
  </si>
  <si>
    <t>678 Aspen Avenue, Suite 87HHHH</t>
  </si>
  <si>
    <t>1234 Sequoia Road, Unit 88IIII</t>
  </si>
  <si>
    <t>5678 Willowbrook Drive, Apt. 89JJJJ</t>
  </si>
  <si>
    <t>987 Acorn Street, Suite 90KKKK</t>
  </si>
  <si>
    <t>654 Sycamore Avenue, Unit 91LLLL</t>
  </si>
  <si>
    <t>321 Cedarwood Lane, Apt. 92MMMM</t>
  </si>
  <si>
    <t>876 Elm Drive, Suite 93NNNN</t>
  </si>
  <si>
    <t>543 Birch Road, Unit 94OOOO</t>
  </si>
  <si>
    <t>210 Oak Lane, Apt. 95PPPP</t>
  </si>
  <si>
    <t>8765 Maple Street, Suite 96QQQQ</t>
  </si>
  <si>
    <t>4321 Pine Street, Unit 97RRRR</t>
  </si>
  <si>
    <t>123 Redwood Avenue, Apt. 98SSSS</t>
  </si>
  <si>
    <t>456 Willow Lane, Suite 99TTTT</t>
  </si>
  <si>
    <t>Client 7</t>
  </si>
  <si>
    <t>Client 17</t>
  </si>
  <si>
    <t>Client 27</t>
  </si>
  <si>
    <t>Client 37</t>
  </si>
  <si>
    <t>Client 47</t>
  </si>
  <si>
    <t>Client 57</t>
  </si>
  <si>
    <t>Client 67</t>
  </si>
  <si>
    <t>Client 70</t>
  </si>
  <si>
    <t>Client 71</t>
  </si>
  <si>
    <t>Client 72</t>
  </si>
  <si>
    <t>Client 73</t>
  </si>
  <si>
    <t>Client 74</t>
  </si>
  <si>
    <t>Client 75</t>
  </si>
  <si>
    <t>Client 76</t>
  </si>
  <si>
    <t>Client 77</t>
  </si>
  <si>
    <t>Client 78</t>
  </si>
  <si>
    <t>Client 79</t>
  </si>
  <si>
    <t>Client 87</t>
  </si>
  <si>
    <t>Client 97</t>
  </si>
  <si>
    <t>Map</t>
  </si>
  <si>
    <t>CITYs</t>
  </si>
  <si>
    <t>Cash</t>
  </si>
  <si>
    <t>Date of visit</t>
  </si>
  <si>
    <t>Day of visit</t>
  </si>
  <si>
    <t>Month of visit</t>
  </si>
  <si>
    <t>Year of visit</t>
  </si>
  <si>
    <t>Visit time</t>
  </si>
  <si>
    <t>Status</t>
  </si>
  <si>
    <t>Client rating</t>
  </si>
  <si>
    <t>Order</t>
  </si>
  <si>
    <t>Get Price</t>
  </si>
  <si>
    <t>DISCOUNT</t>
  </si>
  <si>
    <t>Channel</t>
  </si>
  <si>
    <t>(212) 555-1234</t>
  </si>
  <si>
    <t>(917) 555-5678</t>
  </si>
  <si>
    <t>(718) 555-8765</t>
  </si>
  <si>
    <t>(646) 555-2345</t>
  </si>
  <si>
    <t>(212) 555-7890</t>
  </si>
  <si>
    <t>(917) 555-4321</t>
  </si>
  <si>
    <t>(718) 555-3456</t>
  </si>
  <si>
    <t>(646) 555-6789</t>
  </si>
  <si>
    <t>(212) 555-9876</t>
  </si>
  <si>
    <t>(917) 555-7890</t>
  </si>
  <si>
    <t>(718) 555-2345</t>
  </si>
  <si>
    <t>Full Name</t>
  </si>
  <si>
    <t>Registration Date</t>
  </si>
  <si>
    <t>(212) 555-1235</t>
  </si>
  <si>
    <t>(917) 555-5679</t>
  </si>
  <si>
    <t>(718) 555-8766</t>
  </si>
  <si>
    <t>(646) 555-2346</t>
  </si>
  <si>
    <t>(212) 555-7891</t>
  </si>
  <si>
    <t>(917) 555-4322</t>
  </si>
  <si>
    <t>(718) 555-3457</t>
  </si>
  <si>
    <t>(646) 555-6790</t>
  </si>
  <si>
    <t>(212) 555-9877</t>
  </si>
  <si>
    <t>(917) 555-7891</t>
  </si>
  <si>
    <t>(917) 555-5616</t>
  </si>
  <si>
    <t>(718) 555-8703</t>
  </si>
  <si>
    <t>(646) 555-2283</t>
  </si>
  <si>
    <t>(212) 555-7828</t>
  </si>
  <si>
    <t>(917) 555-4259</t>
  </si>
  <si>
    <t>(718) 555-3394</t>
  </si>
  <si>
    <t>(646) 555-6727</t>
  </si>
  <si>
    <t>(212) 555-9814</t>
  </si>
  <si>
    <t>(917) 555-7828</t>
  </si>
  <si>
    <t>(718) 555-2283</t>
  </si>
  <si>
    <t>(212) 555-1173</t>
  </si>
  <si>
    <t>(917) 555-5617</t>
  </si>
  <si>
    <t>(718) 555-8704</t>
  </si>
  <si>
    <t>(646) 555-2284</t>
  </si>
  <si>
    <t>(212) 555-7829</t>
  </si>
  <si>
    <t>(917) 555-4260</t>
  </si>
  <si>
    <t>(718) 555-3395</t>
  </si>
  <si>
    <t>(646) 555-6728</t>
  </si>
  <si>
    <t>(212) 555-9815</t>
  </si>
  <si>
    <t>(917) 555-7829</t>
  </si>
  <si>
    <t>(718) 555-2284</t>
  </si>
  <si>
    <t>(212) 555-1174</t>
  </si>
  <si>
    <t>(917) 555-5618</t>
  </si>
  <si>
    <t>(718) 555-8705</t>
  </si>
  <si>
    <t>(646) 555-2285</t>
  </si>
  <si>
    <t>(212) 555-7830</t>
  </si>
  <si>
    <t>(917) 555-4261</t>
  </si>
  <si>
    <t>(718) 555-3396</t>
  </si>
  <si>
    <t>(646) 555-6729</t>
  </si>
  <si>
    <t>(212) 555-9816</t>
  </si>
  <si>
    <t>(917) 555-7830</t>
  </si>
  <si>
    <t>(718) 555-2285</t>
  </si>
  <si>
    <t>(212) 555-1175</t>
  </si>
  <si>
    <t>(917) 555-5619</t>
  </si>
  <si>
    <t>(718) 555-8706</t>
  </si>
  <si>
    <t>(646) 555-2286</t>
  </si>
  <si>
    <t>(212) 555-7831</t>
  </si>
  <si>
    <t>(917) 555-4262</t>
  </si>
  <si>
    <t>(718) 555-3397</t>
  </si>
  <si>
    <t>(646) 555-6730</t>
  </si>
  <si>
    <t>(212) 555-9817</t>
  </si>
  <si>
    <t>(917) 555-7831</t>
  </si>
  <si>
    <t>(718) 555-2286</t>
  </si>
  <si>
    <t>(212) 555-1176</t>
  </si>
  <si>
    <t>(917) 555-5620</t>
  </si>
  <si>
    <t>(718) 555-8707</t>
  </si>
  <si>
    <t>(646) 555-2287</t>
  </si>
  <si>
    <t>(212) 555-7832</t>
  </si>
  <si>
    <t>(917) 555-4263</t>
  </si>
  <si>
    <t>(718) 555-3398</t>
  </si>
  <si>
    <t>(646) 555-6731</t>
  </si>
  <si>
    <t>(212) 555-9818</t>
  </si>
  <si>
    <t>(917) 555-7832</t>
  </si>
  <si>
    <t>(718) 555-2287</t>
  </si>
  <si>
    <t>(212) 555-1177</t>
  </si>
  <si>
    <t>(917) 555-5621</t>
  </si>
  <si>
    <t>(718) 555-8708</t>
  </si>
  <si>
    <t>(646) 555-2288</t>
  </si>
  <si>
    <t>(212) 555-7833</t>
  </si>
  <si>
    <t>(917) 555-4264</t>
  </si>
  <si>
    <t>(718) 555-3399</t>
  </si>
  <si>
    <t>(646) 555-6732</t>
  </si>
  <si>
    <t>(212) 555-9819</t>
  </si>
  <si>
    <t>(917) 555-7833</t>
  </si>
  <si>
    <t>(718) 555-2288</t>
  </si>
  <si>
    <t>(212) 555-1178</t>
  </si>
  <si>
    <t>(917) 555-5622</t>
  </si>
  <si>
    <t>(718) 555-8709</t>
  </si>
  <si>
    <t>(646) 555-2289</t>
  </si>
  <si>
    <t>(212) 555-7834</t>
  </si>
  <si>
    <t>(917) 555-4265</t>
  </si>
  <si>
    <t>(718) 555-3400</t>
  </si>
  <si>
    <t>(646) 555-6733</t>
  </si>
  <si>
    <t>(212) 555-9820</t>
  </si>
  <si>
    <t>(917) 555-7834</t>
  </si>
  <si>
    <t>(718) 555-2289</t>
  </si>
  <si>
    <t>(212) 555-1179</t>
  </si>
  <si>
    <t>(917) 555-5623</t>
  </si>
  <si>
    <t>(718) 555-8710</t>
  </si>
  <si>
    <t>(646) 555-2290</t>
  </si>
  <si>
    <t>(212) 555-7835</t>
  </si>
  <si>
    <t>(917) 555-4266</t>
  </si>
  <si>
    <t>(718) 555-3401</t>
  </si>
  <si>
    <t>(646) 555-6734</t>
  </si>
  <si>
    <t>(212) 555-9821</t>
  </si>
  <si>
    <t>(917) 555-7835</t>
  </si>
  <si>
    <t>(718) 555-2290</t>
  </si>
  <si>
    <t>(212) 555-1180</t>
  </si>
  <si>
    <t>(917) 555-5624</t>
  </si>
  <si>
    <t>(718) 555-8711</t>
  </si>
  <si>
    <t>(646) 555-2291</t>
  </si>
  <si>
    <t>(212) 555-7836</t>
  </si>
  <si>
    <t>(917) 555-4267</t>
  </si>
  <si>
    <t>(718) 555-3402</t>
  </si>
  <si>
    <t>(646) 555-6735</t>
  </si>
  <si>
    <t>(212) 555-9822</t>
  </si>
  <si>
    <t>(917) 555-7836</t>
  </si>
  <si>
    <t>(718) 555-2291</t>
  </si>
  <si>
    <t>(212) 555-1181</t>
  </si>
  <si>
    <t>(917) 555-5625</t>
  </si>
  <si>
    <t>(718) 555-8712</t>
  </si>
  <si>
    <t>(646) 555-2292</t>
  </si>
  <si>
    <t>(212) 555-7837</t>
  </si>
  <si>
    <t>(917) 555-4268</t>
  </si>
  <si>
    <t>(718) 555-3403</t>
  </si>
  <si>
    <t>(646) 555-6736</t>
  </si>
  <si>
    <t>(212) 555-9823</t>
  </si>
  <si>
    <t>(917) 555-7837</t>
  </si>
  <si>
    <t>(718) 555-2292</t>
  </si>
  <si>
    <t>(212) 555-1182</t>
  </si>
  <si>
    <t>(917) 555-5626</t>
  </si>
  <si>
    <t>(718) 555-8713</t>
  </si>
  <si>
    <t>(646) 555-2293</t>
  </si>
  <si>
    <t>(212) 555-7838</t>
  </si>
  <si>
    <t>(917) 555-4269</t>
  </si>
  <si>
    <t>(718) 555-3404</t>
  </si>
  <si>
    <t>(646) 555-6737</t>
  </si>
  <si>
    <t>(212) 555-9824</t>
  </si>
  <si>
    <t>(917) 555-7838</t>
  </si>
  <si>
    <t>(718) 555-2293</t>
  </si>
  <si>
    <t>(212) 555-1183</t>
  </si>
  <si>
    <t>(917) 555-5627</t>
  </si>
  <si>
    <t>(718) 555-8714</t>
  </si>
  <si>
    <t>(646) 555-2294</t>
  </si>
  <si>
    <t>(212) 555-7839</t>
  </si>
  <si>
    <t>(917) 555-4270</t>
  </si>
  <si>
    <t>(718) 555-3405</t>
  </si>
  <si>
    <t>(646) 555-6738</t>
  </si>
  <si>
    <t>(212) 555-9825</t>
  </si>
  <si>
    <t>(917) 555-7839</t>
  </si>
  <si>
    <t>(718) 555-2294</t>
  </si>
  <si>
    <t>(212) 555-1184</t>
  </si>
  <si>
    <t>(917) 555-5628</t>
  </si>
  <si>
    <t>(718) 555-8715</t>
  </si>
  <si>
    <t>(646) 555-2295</t>
  </si>
  <si>
    <t>(212) 555-7840</t>
  </si>
  <si>
    <t>(917) 555-4271</t>
  </si>
  <si>
    <t>(718) 555-3406</t>
  </si>
  <si>
    <t>(646) 555-6739</t>
  </si>
  <si>
    <t>(212) 555-9826</t>
  </si>
  <si>
    <t>(917) 555-7840</t>
  </si>
  <si>
    <t>(718) 555-2295</t>
  </si>
  <si>
    <t>(212) 555-1185</t>
  </si>
  <si>
    <t>(917) 555-5629</t>
  </si>
  <si>
    <t>(718) 555-8716</t>
  </si>
  <si>
    <t>(646) 555-2296</t>
  </si>
  <si>
    <t>(212) 555-7841</t>
  </si>
  <si>
    <t>(917) 555-4272</t>
  </si>
  <si>
    <t>(718) 555-3407</t>
  </si>
  <si>
    <t>(646) 555-6740</t>
  </si>
  <si>
    <t>(212) 555-9827</t>
  </si>
  <si>
    <t>(917) 555-7841</t>
  </si>
  <si>
    <t>(718) 555-2296</t>
  </si>
  <si>
    <t>(212) 555-1186</t>
  </si>
  <si>
    <t>(917) 555-5630</t>
  </si>
  <si>
    <t>(718) 555-8717</t>
  </si>
  <si>
    <t>(646) 555-2297</t>
  </si>
  <si>
    <t>(212) 555-7842</t>
  </si>
  <si>
    <t>(917) 555-4273</t>
  </si>
  <si>
    <t>(718) 555-3408</t>
  </si>
  <si>
    <t>(646) 555-6741</t>
  </si>
  <si>
    <t>(212) 555-9828</t>
  </si>
  <si>
    <t>(917) 555-7842</t>
  </si>
  <si>
    <t>(718) 555-2297</t>
  </si>
  <si>
    <t>(212) 555-1187</t>
  </si>
  <si>
    <t>(917) 555-5631</t>
  </si>
  <si>
    <t>(718) 555-8718</t>
  </si>
  <si>
    <t>(646) 555-2298</t>
  </si>
  <si>
    <t>(212) 555-7843</t>
  </si>
  <si>
    <t>(917) 555-4274</t>
  </si>
  <si>
    <t>(718) 555-3409</t>
  </si>
  <si>
    <t>(646) 555-6742</t>
  </si>
  <si>
    <t>(212) 555-9829</t>
  </si>
  <si>
    <t>(917) 555-7843</t>
  </si>
  <si>
    <t>(718) 555-2298</t>
  </si>
  <si>
    <t>(212) 555-1188</t>
  </si>
  <si>
    <t>(917) 555-5632</t>
  </si>
  <si>
    <t>(718) 555-8719</t>
  </si>
  <si>
    <t>(646) 555-2299</t>
  </si>
  <si>
    <t>(212) 555-7844</t>
  </si>
  <si>
    <t>(917) 555-4275</t>
  </si>
  <si>
    <t>(718) 555-3410</t>
  </si>
  <si>
    <t>(646) 555-6743</t>
  </si>
  <si>
    <t>(212) 555-9830</t>
  </si>
  <si>
    <t>(917) 555-7844</t>
  </si>
  <si>
    <t>(718) 555-2299</t>
  </si>
  <si>
    <t>(212) 555-1189</t>
  </si>
  <si>
    <t>(917) 555-5633</t>
  </si>
  <si>
    <t>(718) 555-8720</t>
  </si>
  <si>
    <t>(646) 555-2300</t>
  </si>
  <si>
    <t>(212) 555-7845</t>
  </si>
  <si>
    <t>(917) 555-4276</t>
  </si>
  <si>
    <t>(718) 555-3411</t>
  </si>
  <si>
    <t>(646) 555-6744</t>
  </si>
  <si>
    <t>(212) 555-9831</t>
  </si>
  <si>
    <t>(917) 555-7845</t>
  </si>
  <si>
    <t>(718) 555-2300</t>
  </si>
  <si>
    <t>(212) 555-1190</t>
  </si>
  <si>
    <t>(917) 555-5634</t>
  </si>
  <si>
    <t>(718) 555-8721</t>
  </si>
  <si>
    <t>(646) 555-2301</t>
  </si>
  <si>
    <t>(212) 555-7846</t>
  </si>
  <si>
    <t>(917) 555-4277</t>
  </si>
  <si>
    <t>(718) 555-3412</t>
  </si>
  <si>
    <t>(646) 555-6745</t>
  </si>
  <si>
    <t>(212) 555-9832</t>
  </si>
  <si>
    <t>(917) 555-7846</t>
  </si>
  <si>
    <t>(718) 555-2301</t>
  </si>
  <si>
    <t>(212) 555-1191</t>
  </si>
  <si>
    <t>(917) 555-5635</t>
  </si>
  <si>
    <t>(718) 555-8722</t>
  </si>
  <si>
    <t>(646) 555-2302</t>
  </si>
  <si>
    <t>(212) 555-7847</t>
  </si>
  <si>
    <t>(917) 555-4278</t>
  </si>
  <si>
    <t>(718) 555-3413</t>
  </si>
  <si>
    <t>(646) 555-6746</t>
  </si>
  <si>
    <t>(212) 555-9833</t>
  </si>
  <si>
    <t>(917) 555-7847</t>
  </si>
  <si>
    <t>(718) 555-2302</t>
  </si>
  <si>
    <t>(212) 555-1192</t>
  </si>
  <si>
    <t>(917) 555-5636</t>
  </si>
  <si>
    <t>(718) 555-8723</t>
  </si>
  <si>
    <t>(646) 555-2303</t>
  </si>
  <si>
    <t>(212) 555-7848</t>
  </si>
  <si>
    <t>(917) 555-4279</t>
  </si>
  <si>
    <t>(718) 555-3414</t>
  </si>
  <si>
    <t>(646) 555-6747</t>
  </si>
  <si>
    <t>(212) 555-9834</t>
  </si>
  <si>
    <t>(917) 555-7848</t>
  </si>
  <si>
    <t>(718) 555-2303</t>
  </si>
  <si>
    <t>(212) 555-1193</t>
  </si>
  <si>
    <t>(917) 555-5637</t>
  </si>
  <si>
    <t>(718) 555-8724</t>
  </si>
  <si>
    <t>(646) 555-2304</t>
  </si>
  <si>
    <t>(212) 555-7849</t>
  </si>
  <si>
    <t>(917) 555-4280</t>
  </si>
  <si>
    <t>(718) 555-3415</t>
  </si>
  <si>
    <t>(646) 555-6748</t>
  </si>
  <si>
    <t>(212) 555-9835</t>
  </si>
  <si>
    <t>(917) 555-7849</t>
  </si>
  <si>
    <t>(718) 555-2304</t>
  </si>
  <si>
    <t>(212) 555-1194</t>
  </si>
  <si>
    <t>(917) 555-5638</t>
  </si>
  <si>
    <t>(718) 555-8725</t>
  </si>
  <si>
    <t>(646) 555-2305</t>
  </si>
  <si>
    <t>(212) 555-7850</t>
  </si>
  <si>
    <t>(917) 555-4281</t>
  </si>
  <si>
    <t>(718) 555-3416</t>
  </si>
  <si>
    <t>(646) 555-6749</t>
  </si>
  <si>
    <t>(212) 555-9836</t>
  </si>
  <si>
    <t>(917) 555-7850</t>
  </si>
  <si>
    <t>(718) 555-2305</t>
  </si>
  <si>
    <t>(212) 555-1195</t>
  </si>
  <si>
    <t>(917) 555-5639</t>
  </si>
  <si>
    <t>(718) 555-8726</t>
  </si>
  <si>
    <t>(646) 555-2306</t>
  </si>
  <si>
    <t>(212) 555-7851</t>
  </si>
  <si>
    <t>(917) 555-4282</t>
  </si>
  <si>
    <t>(718) 555-3417</t>
  </si>
  <si>
    <t>(646) 555-6750</t>
  </si>
  <si>
    <t>(212) 555-9837</t>
  </si>
  <si>
    <t>(917) 555-7851</t>
  </si>
  <si>
    <t>(718) 555-2306</t>
  </si>
  <si>
    <t>(212) 555-1196</t>
  </si>
  <si>
    <t>(917) 555-5640</t>
  </si>
  <si>
    <t>(718) 555-8727</t>
  </si>
  <si>
    <t>(646) 555-2307</t>
  </si>
  <si>
    <t>(212) 555-7852</t>
  </si>
  <si>
    <t>(917) 555-4283</t>
  </si>
  <si>
    <t>(718) 555-3418</t>
  </si>
  <si>
    <t>(646) 555-6751</t>
  </si>
  <si>
    <t>(212) 555-9838</t>
  </si>
  <si>
    <t>(917) 555-7852</t>
  </si>
  <si>
    <t>(718) 555-2307</t>
  </si>
  <si>
    <t>(212) 555-1197</t>
  </si>
  <si>
    <t>(917) 555-5641</t>
  </si>
  <si>
    <t>(718) 555-8728</t>
  </si>
  <si>
    <t>(646) 555-2308</t>
  </si>
  <si>
    <t>(212) 555-7853</t>
  </si>
  <si>
    <t>(917) 555-4284</t>
  </si>
  <si>
    <t>(718) 555-3419</t>
  </si>
  <si>
    <t>(646) 555-6752</t>
  </si>
  <si>
    <t>(212) 555-9839</t>
  </si>
  <si>
    <t>(917) 555-7853</t>
  </si>
  <si>
    <t>(718) 555-2308</t>
  </si>
  <si>
    <t>(212) 555-1198</t>
  </si>
  <si>
    <t>(917) 555-5642</t>
  </si>
  <si>
    <t>(718) 555-8729</t>
  </si>
  <si>
    <t>(646) 555-2309</t>
  </si>
  <si>
    <t>(212) 555-7854</t>
  </si>
  <si>
    <t>(917) 555-4285</t>
  </si>
  <si>
    <t>(718) 555-3420</t>
  </si>
  <si>
    <t>(646) 555-6753</t>
  </si>
  <si>
    <t>(212) 555-9840</t>
  </si>
  <si>
    <t>(917) 555-7854</t>
  </si>
  <si>
    <t>(718) 555-2309</t>
  </si>
  <si>
    <t>(212) 555-1199</t>
  </si>
  <si>
    <t>(917) 555-5643</t>
  </si>
  <si>
    <t>(718) 555-8730</t>
  </si>
  <si>
    <t>(646) 555-2310</t>
  </si>
  <si>
    <t>(212) 555-7855</t>
  </si>
  <si>
    <t>(917) 555-4286</t>
  </si>
  <si>
    <t>(718) 555-3421</t>
  </si>
  <si>
    <t>(646) 555-6754</t>
  </si>
  <si>
    <t>(212) 555-9841</t>
  </si>
  <si>
    <t>(917) 555-7855</t>
  </si>
  <si>
    <t>(718) 555-2310</t>
  </si>
  <si>
    <t>(212) 555-1200</t>
  </si>
  <si>
    <t>(917) 555-5644</t>
  </si>
  <si>
    <t>(718) 555-8731</t>
  </si>
  <si>
    <t>(646) 555-2311</t>
  </si>
  <si>
    <t>(212) 555-7856</t>
  </si>
  <si>
    <t>(917) 555-4287</t>
  </si>
  <si>
    <t>(718) 555-3422</t>
  </si>
  <si>
    <t>(646) 555-6755</t>
  </si>
  <si>
    <t>(212) 555-9842</t>
  </si>
  <si>
    <t>(917) 555-7856</t>
  </si>
  <si>
    <t>(718) 555-2311</t>
  </si>
  <si>
    <t>(212) 555-1201</t>
  </si>
  <si>
    <t>(917) 555-5645</t>
  </si>
  <si>
    <t>(718) 555-8732</t>
  </si>
  <si>
    <t>(646) 555-2312</t>
  </si>
  <si>
    <t>(212) 555-7857</t>
  </si>
  <si>
    <t>(917) 555-4288</t>
  </si>
  <si>
    <t>(718) 555-3423</t>
  </si>
  <si>
    <t>(646) 555-6756</t>
  </si>
  <si>
    <t>(212) 555-9843</t>
  </si>
  <si>
    <t>(917) 555-7857</t>
  </si>
  <si>
    <t>(718) 555-2312</t>
  </si>
  <si>
    <t>(212) 555-1202</t>
  </si>
  <si>
    <t>(917) 555-5646</t>
  </si>
  <si>
    <t>(718) 555-8733</t>
  </si>
  <si>
    <t>(646) 555-2313</t>
  </si>
  <si>
    <t>(212) 555-7858</t>
  </si>
  <si>
    <t>(917) 555-4289</t>
  </si>
  <si>
    <t>(718) 555-3424</t>
  </si>
  <si>
    <t>(646) 555-6757</t>
  </si>
  <si>
    <t>(212) 555-9844</t>
  </si>
  <si>
    <t>(917) 555-7858</t>
  </si>
  <si>
    <t>(718) 555-2313</t>
  </si>
  <si>
    <t>(212) 555-1203</t>
  </si>
  <si>
    <t>(917) 555-5647</t>
  </si>
  <si>
    <t>(718) 555-8734</t>
  </si>
  <si>
    <t>(646) 555-2314</t>
  </si>
  <si>
    <t>(212) 555-7859</t>
  </si>
  <si>
    <t>(917) 555-4290</t>
  </si>
  <si>
    <t>(718) 555-3425</t>
  </si>
  <si>
    <t>(646) 555-6758</t>
  </si>
  <si>
    <t>(212) 555-9845</t>
  </si>
  <si>
    <t>(917) 555-7859</t>
  </si>
  <si>
    <t>(718) 555-2314</t>
  </si>
  <si>
    <t>(212) 555-1204</t>
  </si>
  <si>
    <t>(917) 555-5648</t>
  </si>
  <si>
    <t>(718) 555-8735</t>
  </si>
  <si>
    <t>(646) 555-2315</t>
  </si>
  <si>
    <t>(212) 555-7860</t>
  </si>
  <si>
    <t>(917) 555-4291</t>
  </si>
  <si>
    <t>(718) 555-3426</t>
  </si>
  <si>
    <t>(646) 555-6759</t>
  </si>
  <si>
    <t>(212) 555-9846</t>
  </si>
  <si>
    <t>(917) 555-7860</t>
  </si>
  <si>
    <t>(718) 555-2315</t>
  </si>
  <si>
    <t>(212) 555-1205</t>
  </si>
  <si>
    <t>(917) 555-5649</t>
  </si>
  <si>
    <t>(718) 555-8736</t>
  </si>
  <si>
    <t>(646) 555-2316</t>
  </si>
  <si>
    <t>(212) 555-7861</t>
  </si>
  <si>
    <t>(917) 555-4292</t>
  </si>
  <si>
    <t>(718) 555-3427</t>
  </si>
  <si>
    <t>(646) 555-6760</t>
  </si>
  <si>
    <t>(212) 555-9847</t>
  </si>
  <si>
    <t>(917) 555-7861</t>
  </si>
  <si>
    <t>(718) 555-2316</t>
  </si>
  <si>
    <t>(212) 555-1206</t>
  </si>
  <si>
    <t>(917) 555-5650</t>
  </si>
  <si>
    <t>(718) 555-8737</t>
  </si>
  <si>
    <t>(646) 555-2317</t>
  </si>
  <si>
    <t>(212) 555-7862</t>
  </si>
  <si>
    <t>(917) 555-4293</t>
  </si>
  <si>
    <t>(718) 555-3428</t>
  </si>
  <si>
    <t>(646) 555-6761</t>
  </si>
  <si>
    <t>(212) 555-9848</t>
  </si>
  <si>
    <t>(917) 555-7862</t>
  </si>
  <si>
    <t>(718) 555-2317</t>
  </si>
  <si>
    <t>(212) 555-1207</t>
  </si>
  <si>
    <t>(917) 555-5651</t>
  </si>
  <si>
    <t>(718) 555-8738</t>
  </si>
  <si>
    <t>(646) 555-2318</t>
  </si>
  <si>
    <t>(212) 555-7863</t>
  </si>
  <si>
    <t>(917) 555-4294</t>
  </si>
  <si>
    <t>(718) 555-3429</t>
  </si>
  <si>
    <t>(646) 555-6762</t>
  </si>
  <si>
    <t>(212) 555-9849</t>
  </si>
  <si>
    <t>(917) 555-7863</t>
  </si>
  <si>
    <t>(718) 555-2318</t>
  </si>
  <si>
    <t>(212) 555-1208</t>
  </si>
  <si>
    <t>(917) 555-5652</t>
  </si>
  <si>
    <t>(718) 555-8739</t>
  </si>
  <si>
    <t>(646) 555-2319</t>
  </si>
  <si>
    <t>(212) 555-7864</t>
  </si>
  <si>
    <t>(917) 555-4295</t>
  </si>
  <si>
    <t>(718) 555-3430</t>
  </si>
  <si>
    <t>(646) 555-6763</t>
  </si>
  <si>
    <t>(212) 555-9850</t>
  </si>
  <si>
    <t>(917) 555-7864</t>
  </si>
  <si>
    <t>(718) 555-2319</t>
  </si>
  <si>
    <t>(212) 555-1209</t>
  </si>
  <si>
    <t>(917) 555-5653</t>
  </si>
  <si>
    <t>(718) 555-8740</t>
  </si>
  <si>
    <t>(646) 555-2320</t>
  </si>
  <si>
    <t>(212) 555-7865</t>
  </si>
  <si>
    <t>(917) 555-4296</t>
  </si>
  <si>
    <t>(718) 555-3431</t>
  </si>
  <si>
    <t>(646) 555-6764</t>
  </si>
  <si>
    <t>(212) 555-9851</t>
  </si>
  <si>
    <t>(917) 555-7865</t>
  </si>
  <si>
    <t>(718) 555-2320</t>
  </si>
  <si>
    <t>(212) 555-1210</t>
  </si>
  <si>
    <t>(917) 555-5654</t>
  </si>
  <si>
    <t>(718) 555-8741</t>
  </si>
  <si>
    <t>(646) 555-2321</t>
  </si>
  <si>
    <t>(212) 555-7866</t>
  </si>
  <si>
    <t>(917) 555-4297</t>
  </si>
  <si>
    <t>(718) 555-3432</t>
  </si>
  <si>
    <t>(646) 555-6765</t>
  </si>
  <si>
    <t>(212) 555-9852</t>
  </si>
  <si>
    <t>(917) 555-7866</t>
  </si>
  <si>
    <t>(718) 555-2321</t>
  </si>
  <si>
    <t>(212) 555-1211</t>
  </si>
  <si>
    <t>(917) 555-5655</t>
  </si>
  <si>
    <t>(718) 555-8742</t>
  </si>
  <si>
    <t>(646) 555-2322</t>
  </si>
  <si>
    <t>(212) 555-7867</t>
  </si>
  <si>
    <t>(917) 555-4298</t>
  </si>
  <si>
    <t>(718) 555-3433</t>
  </si>
  <si>
    <t>(646) 555-6766</t>
  </si>
  <si>
    <t>(212) 555-9853</t>
  </si>
  <si>
    <t>(917) 555-7867</t>
  </si>
  <si>
    <t>(718) 555-2322</t>
  </si>
  <si>
    <t>(212) 555-1212</t>
  </si>
  <si>
    <t>(917) 555-5656</t>
  </si>
  <si>
    <t>(718) 555-8743</t>
  </si>
  <si>
    <t>(646) 555-2323</t>
  </si>
  <si>
    <t>(212) 555-7868</t>
  </si>
  <si>
    <t>(917) 555-4299</t>
  </si>
  <si>
    <t>(718) 555-3434</t>
  </si>
  <si>
    <t>(646) 555-6767</t>
  </si>
  <si>
    <t>(212) 555-9854</t>
  </si>
  <si>
    <t>(917) 555-7868</t>
  </si>
  <si>
    <t>(718) 555-2323</t>
  </si>
  <si>
    <t>(212) 555-1213</t>
  </si>
  <si>
    <t>(917) 555-5657</t>
  </si>
  <si>
    <t>(718) 555-8744</t>
  </si>
  <si>
    <t>(646) 555-2324</t>
  </si>
  <si>
    <t>(212) 555-7869</t>
  </si>
  <si>
    <t>(917) 555-4300</t>
  </si>
  <si>
    <t>(718) 555-3435</t>
  </si>
  <si>
    <t>(646) 555-6768</t>
  </si>
  <si>
    <t>(212) 555-9855</t>
  </si>
  <si>
    <t>(917) 555-7869</t>
  </si>
  <si>
    <t>(718) 555-2324</t>
  </si>
  <si>
    <t>(212) 555-1214</t>
  </si>
  <si>
    <t>(917) 555-5658</t>
  </si>
  <si>
    <t>(718) 555-8745</t>
  </si>
  <si>
    <t>(646) 555-2325</t>
  </si>
  <si>
    <t>(212) 555-7870</t>
  </si>
  <si>
    <t>(917) 555-4301</t>
  </si>
  <si>
    <t>(718) 555-3436</t>
  </si>
  <si>
    <t>(646) 555-6769</t>
  </si>
  <si>
    <t>(212) 555-9856</t>
  </si>
  <si>
    <t>(917) 555-7870</t>
  </si>
  <si>
    <t>(718) 555-2325</t>
  </si>
  <si>
    <t>(212) 555-1215</t>
  </si>
  <si>
    <t>(917) 555-5659</t>
  </si>
  <si>
    <t>(718) 555-8746</t>
  </si>
  <si>
    <t>(646) 555-2326</t>
  </si>
  <si>
    <t>(212) 555-7871</t>
  </si>
  <si>
    <t>(917) 555-4302</t>
  </si>
  <si>
    <t>(718) 555-3437</t>
  </si>
  <si>
    <t>(646) 555-6770</t>
  </si>
  <si>
    <t>(212) 555-9857</t>
  </si>
  <si>
    <t>(917) 555-7871</t>
  </si>
  <si>
    <t>(718) 555-2326</t>
  </si>
  <si>
    <t>(212) 555-1216</t>
  </si>
  <si>
    <t>(917) 555-5660</t>
  </si>
  <si>
    <t>(718) 555-8747</t>
  </si>
  <si>
    <t>(646) 555-2327</t>
  </si>
  <si>
    <t>(212) 555-7872</t>
  </si>
  <si>
    <t>(917) 555-4303</t>
  </si>
  <si>
    <t>(718) 555-3438</t>
  </si>
  <si>
    <t>(646) 555-6771</t>
  </si>
  <si>
    <t>(212) 555-9858</t>
  </si>
  <si>
    <t>(917) 555-7872</t>
  </si>
  <si>
    <t>(718) 555-2327</t>
  </si>
  <si>
    <t>(212) 555-1217</t>
  </si>
  <si>
    <t>(917) 555-5661</t>
  </si>
  <si>
    <t>(718) 555-8748</t>
  </si>
  <si>
    <t>(646) 555-2328</t>
  </si>
  <si>
    <t>(212) 555-7873</t>
  </si>
  <si>
    <t>(917) 555-4304</t>
  </si>
  <si>
    <t>(718) 555-3439</t>
  </si>
  <si>
    <t>(646) 555-6772</t>
  </si>
  <si>
    <t>(212) 555-9859</t>
  </si>
  <si>
    <t>(917) 555-7873</t>
  </si>
  <si>
    <t>(718) 555-2328</t>
  </si>
  <si>
    <t>(212) 555-1218</t>
  </si>
  <si>
    <t>(917) 555-5662</t>
  </si>
  <si>
    <t>(718) 555-8749</t>
  </si>
  <si>
    <t>(646) 555-2329</t>
  </si>
  <si>
    <t>(212) 555-7874</t>
  </si>
  <si>
    <t>(917) 555-4305</t>
  </si>
  <si>
    <t>(718) 555-3440</t>
  </si>
  <si>
    <t>(646) 555-6773</t>
  </si>
  <si>
    <t>(212) 555-9860</t>
  </si>
  <si>
    <t>(917) 555-7874</t>
  </si>
  <si>
    <t>(718) 555-2329</t>
  </si>
  <si>
    <t>(212) 555-1219</t>
  </si>
  <si>
    <t>(917) 555-5663</t>
  </si>
  <si>
    <t>(718) 555-8750</t>
  </si>
  <si>
    <t>(646) 555-2330</t>
  </si>
  <si>
    <t>(212) 555-7875</t>
  </si>
  <si>
    <t>(917) 555-4306</t>
  </si>
  <si>
    <t>(718) 555-3441</t>
  </si>
  <si>
    <t>(646) 555-6774</t>
  </si>
  <si>
    <t>(212) 555-9861</t>
  </si>
  <si>
    <t>(917) 555-7875</t>
  </si>
  <si>
    <t>(718) 555-2330</t>
  </si>
  <si>
    <t>(212) 555-1220</t>
  </si>
  <si>
    <t>(917) 555-5664</t>
  </si>
  <si>
    <t>(718) 555-8751</t>
  </si>
  <si>
    <t>(646) 555-2331</t>
  </si>
  <si>
    <t>(212) 555-7876</t>
  </si>
  <si>
    <t>(917) 555-4307</t>
  </si>
  <si>
    <t>(718) 555-3442</t>
  </si>
  <si>
    <t>(646) 555-6775</t>
  </si>
  <si>
    <t>(212) 555-9862</t>
  </si>
  <si>
    <t>(917) 555-7876</t>
  </si>
  <si>
    <t>(718) 555-2331</t>
  </si>
  <si>
    <t>(212) 555-1221</t>
  </si>
  <si>
    <t>(917) 555-5665</t>
  </si>
  <si>
    <t>(718) 555-8752</t>
  </si>
  <si>
    <t>(646) 555-2332</t>
  </si>
  <si>
    <t>(212) 555-7877</t>
  </si>
  <si>
    <t>(917) 555-4308</t>
  </si>
  <si>
    <t>(718) 555-3443</t>
  </si>
  <si>
    <t>(646) 555-6776</t>
  </si>
  <si>
    <t>(212) 555-9863</t>
  </si>
  <si>
    <t>(917) 555-7877</t>
  </si>
  <si>
    <t>(718) 555-2332</t>
  </si>
  <si>
    <t>(212) 555-1222</t>
  </si>
  <si>
    <t>(917) 555-5666</t>
  </si>
  <si>
    <t>(718) 555-8753</t>
  </si>
  <si>
    <t>(646) 555-2333</t>
  </si>
  <si>
    <t>(212) 555-7878</t>
  </si>
  <si>
    <t>(917) 555-4309</t>
  </si>
  <si>
    <t>(718) 555-3444</t>
  </si>
  <si>
    <t>(646) 555-6777</t>
  </si>
  <si>
    <t>(212) 555-9864</t>
  </si>
  <si>
    <t>(917) 555-7878</t>
  </si>
  <si>
    <t>(718) 555-2333</t>
  </si>
  <si>
    <t>(212) 555-1223</t>
  </si>
  <si>
    <t>(917) 555-5667</t>
  </si>
  <si>
    <t>(718) 555-8754</t>
  </si>
  <si>
    <t>(646) 555-2334</t>
  </si>
  <si>
    <t>(212) 555-7879</t>
  </si>
  <si>
    <t>(917) 555-4310</t>
  </si>
  <si>
    <t>(718) 555-3445</t>
  </si>
  <si>
    <t>(646) 555-6778</t>
  </si>
  <si>
    <t>(212) 555-9865</t>
  </si>
  <si>
    <t>(917) 555-7879</t>
  </si>
  <si>
    <t>(718) 555-2334</t>
  </si>
  <si>
    <t>(212) 555-1224</t>
  </si>
  <si>
    <t>(917) 555-5668</t>
  </si>
  <si>
    <t>(718) 555-8755</t>
  </si>
  <si>
    <t>(646) 555-2335</t>
  </si>
  <si>
    <t>(212) 555-7880</t>
  </si>
  <si>
    <t>(917) 555-4311</t>
  </si>
  <si>
    <t>(718) 555-3446</t>
  </si>
  <si>
    <t>(646) 555-6779</t>
  </si>
  <si>
    <t>(212) 555-9866</t>
  </si>
  <si>
    <t>(917) 555-7880</t>
  </si>
  <si>
    <t>(718) 555-2335</t>
  </si>
  <si>
    <t>(212) 555-1225</t>
  </si>
  <si>
    <t>(917) 555-5669</t>
  </si>
  <si>
    <t>(718) 555-8756</t>
  </si>
  <si>
    <t>(646) 555-2336</t>
  </si>
  <si>
    <t>(212) 555-7881</t>
  </si>
  <si>
    <t>(917) 555-4312</t>
  </si>
  <si>
    <t>(718) 555-3447</t>
  </si>
  <si>
    <t>(646) 555-6780</t>
  </si>
  <si>
    <t>(212) 555-9867</t>
  </si>
  <si>
    <t>(917) 555-7881</t>
  </si>
  <si>
    <t>(718) 555-2336</t>
  </si>
  <si>
    <t>(212) 555-1226</t>
  </si>
  <si>
    <t>(917) 555-5670</t>
  </si>
  <si>
    <t>(718) 555-8757</t>
  </si>
  <si>
    <t>(646) 555-2337</t>
  </si>
  <si>
    <t>(212) 555-7882</t>
  </si>
  <si>
    <t>(917) 555-4313</t>
  </si>
  <si>
    <t>(718) 555-3448</t>
  </si>
  <si>
    <t>(646) 555-6781</t>
  </si>
  <si>
    <t>(212) 555-9868</t>
  </si>
  <si>
    <t>(917) 555-7882</t>
  </si>
  <si>
    <t>(718) 555-2337</t>
  </si>
  <si>
    <t>(212) 555-1227</t>
  </si>
  <si>
    <t>(917) 555-5671</t>
  </si>
  <si>
    <t>(718) 555-8758</t>
  </si>
  <si>
    <t>(646) 555-2338</t>
  </si>
  <si>
    <t>(212) 555-7883</t>
  </si>
  <si>
    <t>(917) 555-4314</t>
  </si>
  <si>
    <t>(718) 555-3449</t>
  </si>
  <si>
    <t>(646) 555-6782</t>
  </si>
  <si>
    <t>(212) 555-9869</t>
  </si>
  <si>
    <t>(917) 555-7883</t>
  </si>
  <si>
    <t>(718) 555-2338</t>
  </si>
  <si>
    <t>(212) 555-1228</t>
  </si>
  <si>
    <t>(917) 555-5672</t>
  </si>
  <si>
    <t>(718) 555-8759</t>
  </si>
  <si>
    <t>(646) 555-2339</t>
  </si>
  <si>
    <t>(212) 555-7884</t>
  </si>
  <si>
    <t>(917) 555-4315</t>
  </si>
  <si>
    <t>(718) 555-3450</t>
  </si>
  <si>
    <t>(646) 555-6783</t>
  </si>
  <si>
    <t>(212) 555-9870</t>
  </si>
  <si>
    <t>(917) 555-7884</t>
  </si>
  <si>
    <t>(718) 555-2339</t>
  </si>
  <si>
    <t>(212) 555-1229</t>
  </si>
  <si>
    <t>(917) 555-5673</t>
  </si>
  <si>
    <t>(718) 555-8760</t>
  </si>
  <si>
    <t>(646) 555-2340</t>
  </si>
  <si>
    <t>(212) 555-7885</t>
  </si>
  <si>
    <t>(917) 555-4316</t>
  </si>
  <si>
    <t>(718) 555-3451</t>
  </si>
  <si>
    <t>(646) 555-6784</t>
  </si>
  <si>
    <t>(212) 555-9871</t>
  </si>
  <si>
    <t>(917) 555-7885</t>
  </si>
  <si>
    <t>(718) 555-2340</t>
  </si>
  <si>
    <t>(212) 555-1230</t>
  </si>
  <si>
    <t>(917) 555-5674</t>
  </si>
  <si>
    <t>(718) 555-8761</t>
  </si>
  <si>
    <t>(646) 555-2341</t>
  </si>
  <si>
    <t>(212) 555-7886</t>
  </si>
  <si>
    <t>(917) 555-4317</t>
  </si>
  <si>
    <t>(718) 555-3452</t>
  </si>
  <si>
    <t>(646) 555-6785</t>
  </si>
  <si>
    <t>(212) 555-9872</t>
  </si>
  <si>
    <t>(917) 555-7886</t>
  </si>
  <si>
    <t>(718) 555-2341</t>
  </si>
  <si>
    <t>(212) 555-1231</t>
  </si>
  <si>
    <t>(917) 555-5675</t>
  </si>
  <si>
    <t>(718) 555-8762</t>
  </si>
  <si>
    <t>(646) 555-2342</t>
  </si>
  <si>
    <t>(212) 555-7887</t>
  </si>
  <si>
    <t>(917) 555-4318</t>
  </si>
  <si>
    <t>(718) 555-3453</t>
  </si>
  <si>
    <t>(646) 555-6786</t>
  </si>
  <si>
    <t>(212) 555-9873</t>
  </si>
  <si>
    <t>(917) 555-7887</t>
  </si>
  <si>
    <t>(718) 555-2342</t>
  </si>
  <si>
    <t>(212) 555-1232</t>
  </si>
  <si>
    <t>(917) 555-5676</t>
  </si>
  <si>
    <t>(718) 555-8763</t>
  </si>
  <si>
    <t>(646) 555-2343</t>
  </si>
  <si>
    <t>(212) 555-7888</t>
  </si>
  <si>
    <t>(917) 555-4319</t>
  </si>
  <si>
    <t>(718) 555-3454</t>
  </si>
  <si>
    <t>(646) 555-6787</t>
  </si>
  <si>
    <t>(212) 555-9874</t>
  </si>
  <si>
    <t>(917) 555-7888</t>
  </si>
  <si>
    <t>(718) 555-2343</t>
  </si>
  <si>
    <t>0 900 888 990</t>
  </si>
  <si>
    <t>(212) 555-1233</t>
  </si>
  <si>
    <t>(917) 555-5677</t>
  </si>
  <si>
    <t>(718) 555-8764</t>
  </si>
  <si>
    <t>(646) 555-2344</t>
  </si>
  <si>
    <t>(212) 555-7889</t>
  </si>
  <si>
    <t>(917) 555-4320</t>
  </si>
  <si>
    <t>(718) 555-3455</t>
  </si>
  <si>
    <t>(646) 555-6788</t>
  </si>
  <si>
    <t>(212) 555-9875</t>
  </si>
  <si>
    <t>(917) 555-7889</t>
  </si>
  <si>
    <t>(718) 555-2344</t>
  </si>
  <si>
    <t>Row Labels</t>
  </si>
  <si>
    <t>Grand Total</t>
  </si>
  <si>
    <t>Card</t>
  </si>
  <si>
    <t>Sum of Cash</t>
  </si>
  <si>
    <t>Sum of Card</t>
  </si>
  <si>
    <t>235 Pine Road, Apt. 3C</t>
  </si>
  <si>
    <t>346 Cedar Court, Suite 6E</t>
  </si>
  <si>
    <t>320 Acorn Drive, Apt. 12K</t>
  </si>
  <si>
    <t>544 Willowbrook Lane, Apt. 14M</t>
  </si>
  <si>
    <t>891 Willow Drive, Apt. 23V</t>
  </si>
  <si>
    <t>346 Redwood Lane, Unit 24W</t>
  </si>
  <si>
    <t>679 Spruce Street, Suite 25X</t>
  </si>
  <si>
    <t>568 Pine Street, Suite 22U</t>
  </si>
  <si>
    <t>655 Magnolia Lane, Apt. 29BB</t>
  </si>
  <si>
    <t>544 Birch Road, Unit 94OOOO</t>
  </si>
  <si>
    <t>8766 Cedarwood Street, Suite 78YYY</t>
  </si>
  <si>
    <t>211 Sycamore Road, Unit 33FF</t>
  </si>
  <si>
    <t>891 Maple Drive, Apt. 2A</t>
  </si>
  <si>
    <t>235 Sequoia Street, Suite 57DDD</t>
  </si>
  <si>
    <t>877 Elm Drive, Suite 93NNNN</t>
  </si>
  <si>
    <t>790 Oak Lane, Unit 64KKK</t>
  </si>
  <si>
    <t>544 Acorn Lane, Unit 76WWW</t>
  </si>
  <si>
    <t>1235 Aspen Road, Apt. 26Y</t>
  </si>
  <si>
    <t>568 Birch Street, Unit 8D</t>
  </si>
  <si>
    <t>568 Willowbrook Drive, Unit 58EEE</t>
  </si>
  <si>
    <t>679 Spruce Street, Suite 69PPP</t>
  </si>
  <si>
    <t>5679 Cedar Drive, Apt. 71RRR</t>
  </si>
  <si>
    <t>457 Willow Lane, Unit 55BBB</t>
  </si>
  <si>
    <t>322 Sequoia Street, Apt. 74UUU</t>
  </si>
  <si>
    <t>655 Sycamore Avenue, Unit 91LLLL</t>
  </si>
  <si>
    <t>790 Magnolia Road, Apt. 56CCC</t>
  </si>
  <si>
    <t>124 Redwood Avenue, Suite 54AAA</t>
  </si>
  <si>
    <t>457 Willow Lane, Suite 99TTTT</t>
  </si>
  <si>
    <t>8766 Cedarwood Street, Suite 34GG</t>
  </si>
  <si>
    <t>877 Willowbrook Drive, Suite 31DD</t>
  </si>
  <si>
    <t>Sum of Total</t>
  </si>
  <si>
    <t>Managers Sales</t>
  </si>
  <si>
    <t>Masters
Order Quantity</t>
  </si>
  <si>
    <t>&lt;100%</t>
  </si>
  <si>
    <t>&gt;100%</t>
  </si>
  <si>
    <t>KPI</t>
  </si>
  <si>
    <t>KPI PLAN</t>
  </si>
  <si>
    <t>REWARD</t>
  </si>
  <si>
    <t>Count of Client rating</t>
  </si>
  <si>
    <t>Masters Top</t>
  </si>
  <si>
    <t>Managers Top</t>
  </si>
  <si>
    <t>Indent Right</t>
  </si>
  <si>
    <t>679 Spruce Lane, Apt. 1F</t>
  </si>
  <si>
    <t>545 Willowbrook Lane, Apt. 14M</t>
  </si>
  <si>
    <t>546 Willowbrook Lane, Apt. 14M</t>
  </si>
  <si>
    <t>4322 Cedarwood Drive, Apt. 17P</t>
  </si>
  <si>
    <t>4323 Cedarwood Drive, Apt. 17P</t>
  </si>
  <si>
    <t>124 Elm Street, Unit 18Q</t>
  </si>
  <si>
    <t>125 Elm Street, Unit 18Q</t>
  </si>
  <si>
    <t>126 Elm Street, Unit 18Q</t>
  </si>
  <si>
    <t>127 Elm Street, Unit 18Q</t>
  </si>
  <si>
    <t>892 Willow Drive, Apt. 23V</t>
  </si>
  <si>
    <t>893 Willow Drive, Apt. 23V</t>
  </si>
  <si>
    <t>894 Willow Drive, Apt. 23V</t>
  </si>
  <si>
    <t>347 Redwood Lane, Unit 24W</t>
  </si>
  <si>
    <t>348 Redwood Lane, Unit 24W</t>
  </si>
  <si>
    <t>680 Spruce Street, Suite 25X</t>
  </si>
  <si>
    <t>681 Spruce Street, Suite 25X</t>
  </si>
  <si>
    <t>682 Spruce Street, Suite 25X</t>
  </si>
  <si>
    <t>Count of Channel</t>
  </si>
  <si>
    <t>Count of Status</t>
  </si>
  <si>
    <t>Amount</t>
  </si>
  <si>
    <t>Services</t>
  </si>
  <si>
    <t>Count of Service</t>
  </si>
  <si>
    <t>Margin</t>
  </si>
  <si>
    <t>%</t>
  </si>
  <si>
    <t>$</t>
  </si>
  <si>
    <t>Visual</t>
  </si>
  <si>
    <t>Total cach flow</t>
  </si>
  <si>
    <t>Cost</t>
  </si>
  <si>
    <t>Sum of Cost</t>
  </si>
  <si>
    <t>Total Cost</t>
  </si>
  <si>
    <t>Count Month</t>
  </si>
  <si>
    <t>Count Years</t>
  </si>
  <si>
    <t>Employee</t>
  </si>
  <si>
    <t>&gt;120%</t>
  </si>
  <si>
    <t>Prize</t>
  </si>
  <si>
    <t>Rank</t>
  </si>
  <si>
    <t>INCOME AND EXPENSES</t>
  </si>
  <si>
    <t>SERVICES PROVIDED</t>
  </si>
  <si>
    <t>ALL ORDERS</t>
  </si>
  <si>
    <t>EMPLOYEE DATABASE</t>
  </si>
  <si>
    <t>Running %</t>
  </si>
  <si>
    <t>Done %</t>
  </si>
  <si>
    <t>Total Order Today</t>
  </si>
  <si>
    <t>MANAGER</t>
  </si>
  <si>
    <t>Joy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</si>
</sst>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 #,##0.00_-;_-* &quot;-&quot;??_-;_-@_-"/>
    <numFmt numFmtId="165" formatCode="_-[$$-409]* #,##0_ ;_-[$$-409]* \-#,##0\ ;_-[$$-409]* &quot;-&quot;??_ ;_-@_ "/>
    <numFmt numFmtId="166" formatCode="mm/dd/yyyy"/>
    <numFmt numFmtId="167" formatCode="_-[$$-409]* #,##0.00_ ;_-[$$-409]* \-#,##0.00\ ;_-[$$-409]* &quot;-&quot;??_ ;_-@_ "/>
    <numFmt numFmtId="168" formatCode="mmmm"/>
    <numFmt numFmtId="169" formatCode="&quot;+&quot;0%"/>
    <numFmt numFmtId="170" formatCode="0.0%"/>
  </numFmts>
  <fonts count="41" x14ac:knownFonts="1">
    <font>
      <sz val="11"/>
      <color theme="1"/>
      <name val="Calibri"/>
      <family val="2"/>
      <scheme val="minor"/>
    </font>
    <font>
      <sz val="11"/>
      <color theme="1"/>
      <name val="Calibri"/>
      <family val="2"/>
      <charset val="204"/>
      <scheme val="minor"/>
    </font>
    <font>
      <sz val="11"/>
      <color theme="1"/>
      <name val="Calibri"/>
      <family val="2"/>
      <scheme val="minor"/>
    </font>
    <font>
      <b/>
      <sz val="11"/>
      <color theme="1"/>
      <name val="Calibri"/>
      <family val="2"/>
      <charset val="204"/>
      <scheme val="minor"/>
    </font>
    <font>
      <sz val="8"/>
      <name val="Calibri"/>
      <family val="2"/>
      <scheme val="minor"/>
    </font>
    <font>
      <b/>
      <sz val="8"/>
      <color theme="1"/>
      <name val="Calibri"/>
      <family val="2"/>
      <charset val="204"/>
      <scheme val="minor"/>
    </font>
    <font>
      <sz val="14"/>
      <color theme="0"/>
      <name val="Roboto Light"/>
    </font>
    <font>
      <sz val="14"/>
      <color theme="7" tint="0.59999389629810485"/>
      <name val="Roboto Light"/>
    </font>
    <font>
      <sz val="11"/>
      <color theme="0"/>
      <name val="Roboto Light"/>
    </font>
    <font>
      <sz val="14"/>
      <color rgb="FFFFE699"/>
      <name val="Roboto Light"/>
    </font>
    <font>
      <sz val="14"/>
      <color rgb="FF3D8ED9"/>
      <name val="Roboto Light"/>
    </font>
    <font>
      <sz val="11"/>
      <color theme="0"/>
      <name val="Calibri"/>
      <family val="2"/>
      <scheme val="minor"/>
    </font>
    <font>
      <sz val="14"/>
      <color theme="0"/>
      <name val="Roboto"/>
    </font>
    <font>
      <sz val="14"/>
      <color theme="1"/>
      <name val="Roboto"/>
    </font>
    <font>
      <b/>
      <sz val="16"/>
      <color rgb="FF3D8ED9"/>
      <name val="Roboto Light"/>
    </font>
    <font>
      <sz val="11"/>
      <color rgb="FFFFE699"/>
      <name val="Roboto Light"/>
    </font>
    <font>
      <sz val="11"/>
      <name val="Calibri"/>
      <family val="2"/>
      <scheme val="minor"/>
    </font>
    <font>
      <sz val="18"/>
      <color rgb="FFFFE699"/>
      <name val="Calibri"/>
      <family val="2"/>
      <scheme val="minor"/>
    </font>
    <font>
      <sz val="13"/>
      <color theme="0"/>
      <name val="Calibri"/>
      <family val="2"/>
      <scheme val="minor"/>
    </font>
    <font>
      <sz val="16"/>
      <color rgb="FFFFE699"/>
      <name val="Roboto Light"/>
    </font>
    <font>
      <sz val="16"/>
      <color theme="0"/>
      <name val="Roboto Light"/>
    </font>
    <font>
      <b/>
      <sz val="9"/>
      <color rgb="FFFFE699"/>
      <name val="Roboto Light"/>
    </font>
    <font>
      <sz val="11"/>
      <color rgb="FFFF0000"/>
      <name val="Calibri"/>
      <family val="2"/>
      <scheme val="minor"/>
    </font>
    <font>
      <sz val="9"/>
      <color theme="0" tint="-0.14999847407452621"/>
      <name val="Arial"/>
      <family val="2"/>
      <charset val="204"/>
    </font>
    <font>
      <sz val="13"/>
      <color rgb="FF00B0F0"/>
      <name val="Calibri"/>
      <family val="2"/>
      <scheme val="minor"/>
    </font>
    <font>
      <b/>
      <sz val="11"/>
      <color rgb="FFFFE699"/>
      <name val="Roboto Light"/>
    </font>
    <font>
      <b/>
      <sz val="12"/>
      <color rgb="FFFFE699"/>
      <name val="Roboto Light"/>
    </font>
    <font>
      <sz val="12"/>
      <color theme="0" tint="-0.14999847407452621"/>
      <name val="Roboto Light"/>
    </font>
    <font>
      <sz val="12"/>
      <color theme="1"/>
      <name val="Roboto Light"/>
    </font>
    <font>
      <sz val="12"/>
      <color theme="0"/>
      <name val="Roboto Light"/>
    </font>
    <font>
      <sz val="11"/>
      <color theme="1"/>
      <name val="Calibri"/>
      <family val="2"/>
      <charset val="1"/>
      <scheme val="minor"/>
    </font>
    <font>
      <b/>
      <sz val="9"/>
      <color theme="1"/>
      <name val="Bahnschrift"/>
      <family val="2"/>
      <charset val="204"/>
    </font>
    <font>
      <sz val="11"/>
      <color theme="7" tint="0.59999389629810485"/>
      <name val="Roboto Light"/>
    </font>
    <font>
      <sz val="18"/>
      <color rgb="FFFFE699"/>
      <name val="Roboto Light"/>
    </font>
    <font>
      <sz val="9"/>
      <color rgb="FFFFE699"/>
      <name val="Arial"/>
      <family val="2"/>
      <charset val="204"/>
    </font>
    <font>
      <sz val="22"/>
      <color rgb="FFFF0167"/>
      <name val="Roboto Light"/>
    </font>
    <font>
      <sz val="22"/>
      <color rgb="FF00CCC7"/>
      <name val="Roboto Light"/>
    </font>
    <font>
      <sz val="11"/>
      <color theme="0" tint="-0.14999847407452621"/>
      <name val="Roboto Light"/>
    </font>
    <font>
      <sz val="11"/>
      <color rgb="FF00B0F0"/>
      <name val="Roboto Light"/>
    </font>
    <font>
      <sz val="18"/>
      <color rgb="FF00B0F0"/>
      <name val="Calibri"/>
      <family val="2"/>
      <scheme val="minor"/>
    </font>
    <font>
      <sz val="18"/>
      <color theme="0"/>
      <name val="Calibri"/>
      <family val="2"/>
      <scheme val="minor"/>
    </font>
  </fonts>
  <fills count="8">
    <fill>
      <patternFill patternType="none"/>
    </fill>
    <fill>
      <patternFill patternType="gray125"/>
    </fill>
    <fill>
      <patternFill patternType="solid">
        <fgColor theme="1"/>
        <bgColor indexed="64"/>
      </patternFill>
    </fill>
    <fill>
      <patternFill patternType="solid">
        <fgColor rgb="FF7F7F7F"/>
        <bgColor indexed="64"/>
      </patternFill>
    </fill>
    <fill>
      <patternFill patternType="solid">
        <fgColor rgb="FF091A2C"/>
        <bgColor indexed="64"/>
      </patternFill>
    </fill>
    <fill>
      <patternFill patternType="solid">
        <fgColor rgb="FF0D2741"/>
        <bgColor indexed="64"/>
      </patternFill>
    </fill>
    <fill>
      <patternFill patternType="solid">
        <fgColor rgb="FF113456"/>
        <bgColor indexed="64"/>
      </patternFill>
    </fill>
    <fill>
      <patternFill patternType="solid">
        <fgColor rgb="FF091B2D"/>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3D8ED9"/>
      </left>
      <right/>
      <top style="thin">
        <color rgb="FF3D8ED9"/>
      </top>
      <bottom/>
      <diagonal/>
    </border>
    <border>
      <left/>
      <right/>
      <top style="thin">
        <color rgb="FF3D8ED9"/>
      </top>
      <bottom/>
      <diagonal/>
    </border>
    <border>
      <left/>
      <right style="thin">
        <color rgb="FF3D8ED9"/>
      </right>
      <top style="thin">
        <color rgb="FF3D8ED9"/>
      </top>
      <bottom/>
      <diagonal/>
    </border>
    <border>
      <left style="thin">
        <color rgb="FF3D8ED9"/>
      </left>
      <right/>
      <top/>
      <bottom style="thin">
        <color rgb="FF3D8ED9"/>
      </bottom>
      <diagonal/>
    </border>
    <border>
      <left/>
      <right/>
      <top/>
      <bottom style="thin">
        <color rgb="FF3D8ED9"/>
      </bottom>
      <diagonal/>
    </border>
    <border>
      <left/>
      <right style="thin">
        <color rgb="FF3D8ED9"/>
      </right>
      <top/>
      <bottom style="thin">
        <color rgb="FF3D8ED9"/>
      </bottom>
      <diagonal/>
    </border>
    <border>
      <left style="thin">
        <color rgb="FF236CAF"/>
      </left>
      <right style="thin">
        <color rgb="FF236CAF"/>
      </right>
      <top style="thin">
        <color rgb="FF236CAF"/>
      </top>
      <bottom style="thin">
        <color rgb="FF236CAF"/>
      </bottom>
      <diagonal/>
    </border>
    <border>
      <left/>
      <right/>
      <top/>
      <bottom style="thin">
        <color rgb="FFFFE699"/>
      </bottom>
      <diagonal/>
    </border>
    <border>
      <left style="thin">
        <color rgb="FF3D8ED9"/>
      </left>
      <right style="thin">
        <color rgb="FF3D8ED9"/>
      </right>
      <top style="thin">
        <color rgb="FF3D8ED9"/>
      </top>
      <bottom style="thin">
        <color rgb="FF3D8ED9"/>
      </bottom>
      <diagonal/>
    </border>
    <border>
      <left style="thin">
        <color rgb="FF113456"/>
      </left>
      <right style="thin">
        <color rgb="FF113456"/>
      </right>
      <top style="thin">
        <color rgb="FF113456"/>
      </top>
      <bottom style="thin">
        <color rgb="FF113456"/>
      </bottom>
      <diagonal/>
    </border>
    <border>
      <left style="medium">
        <color rgb="FF3D8ED9"/>
      </left>
      <right style="thin">
        <color rgb="FF3D8ED9"/>
      </right>
      <top style="thin">
        <color rgb="FF3D8ED9"/>
      </top>
      <bottom style="thin">
        <color rgb="FF3D8ED9"/>
      </bottom>
      <diagonal/>
    </border>
    <border>
      <left style="thin">
        <color rgb="FF113456"/>
      </left>
      <right/>
      <top style="thin">
        <color rgb="FF113456"/>
      </top>
      <bottom style="thin">
        <color rgb="FF113456"/>
      </bottom>
      <diagonal/>
    </border>
    <border>
      <left/>
      <right/>
      <top style="thin">
        <color rgb="FF113456"/>
      </top>
      <bottom style="thin">
        <color rgb="FF113456"/>
      </bottom>
      <diagonal/>
    </border>
    <border>
      <left/>
      <right style="thin">
        <color rgb="FF113456"/>
      </right>
      <top style="thin">
        <color rgb="FF113456"/>
      </top>
      <bottom style="thin">
        <color rgb="FF113456"/>
      </bottom>
      <diagonal/>
    </border>
    <border>
      <left/>
      <right/>
      <top/>
      <bottom style="thin">
        <color indexed="64"/>
      </bottom>
      <diagonal/>
    </border>
    <border>
      <left style="thin">
        <color rgb="FF113456"/>
      </left>
      <right style="thin">
        <color rgb="FF113456"/>
      </right>
      <top/>
      <bottom style="thin">
        <color rgb="FF113456"/>
      </bottom>
      <diagonal/>
    </border>
    <border>
      <left style="thin">
        <color rgb="FF3D8ED9"/>
      </left>
      <right/>
      <top style="thin">
        <color rgb="FF3D8ED9"/>
      </top>
      <bottom style="thin">
        <color rgb="FF3D8ED9"/>
      </bottom>
      <diagonal/>
    </border>
    <border>
      <left/>
      <right/>
      <top style="thin">
        <color rgb="FF3D8ED9"/>
      </top>
      <bottom style="thin">
        <color rgb="FF3D8ED9"/>
      </bottom>
      <diagonal/>
    </border>
    <border>
      <left/>
      <right style="thin">
        <color rgb="FF3D8ED9"/>
      </right>
      <top style="thin">
        <color rgb="FF3D8ED9"/>
      </top>
      <bottom style="thin">
        <color rgb="FF3D8ED9"/>
      </bottom>
      <diagonal/>
    </border>
    <border>
      <left/>
      <right/>
      <top/>
      <bottom style="thin">
        <color rgb="FF113456"/>
      </bottom>
      <diagonal/>
    </border>
    <border>
      <left style="thin">
        <color rgb="FF3D8ED9"/>
      </left>
      <right/>
      <top/>
      <bottom/>
      <diagonal/>
    </border>
  </borders>
  <cellStyleXfs count="4">
    <xf numFmtId="0" fontId="0" fillId="0" borderId="0"/>
    <xf numFmtId="9" fontId="2" fillId="0" borderId="0" applyFont="0" applyFill="0" applyBorder="0" applyAlignment="0" applyProtection="0"/>
    <xf numFmtId="164" fontId="2" fillId="0" borderId="0" applyFont="0" applyFill="0" applyBorder="0" applyAlignment="0" applyProtection="0"/>
    <xf numFmtId="0" fontId="30" fillId="0" borderId="0"/>
  </cellStyleXfs>
  <cellXfs count="213">
    <xf numFmtId="0" fontId="0" fillId="0" borderId="0" xfId="0"/>
    <xf numFmtId="0" fontId="0" fillId="2" borderId="0" xfId="0" applyFill="1"/>
    <xf numFmtId="0" fontId="0" fillId="3" borderId="0" xfId="0" applyFill="1"/>
    <xf numFmtId="9" fontId="0" fillId="0" borderId="0" xfId="1" applyFont="1"/>
    <xf numFmtId="9" fontId="0" fillId="0" borderId="0" xfId="0" applyNumberFormat="1"/>
    <xf numFmtId="0" fontId="0" fillId="2" borderId="0" xfId="0" applyFill="1" applyAlignment="1">
      <alignment horizontal="center" vertical="center"/>
    </xf>
    <xf numFmtId="0" fontId="3" fillId="0" borderId="0" xfId="0" applyFont="1"/>
    <xf numFmtId="0" fontId="0" fillId="0" borderId="1" xfId="0"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0" fillId="0" borderId="0" xfId="0" applyAlignment="1">
      <alignment horizontal="right"/>
    </xf>
    <xf numFmtId="0" fontId="0" fillId="0" borderId="0" xfId="0" applyAlignment="1">
      <alignment horizontal="left"/>
    </xf>
    <xf numFmtId="3" fontId="0" fillId="0" borderId="0" xfId="0" applyNumberFormat="1"/>
    <xf numFmtId="0" fontId="0" fillId="0" borderId="1" xfId="0" applyBorder="1"/>
    <xf numFmtId="0" fontId="5" fillId="0" borderId="1" xfId="0" applyFont="1" applyBorder="1" applyAlignment="1">
      <alignment horizontal="center"/>
    </xf>
    <xf numFmtId="0" fontId="5" fillId="0" borderId="0" xfId="0" applyFont="1" applyAlignment="1">
      <alignment horizontal="center"/>
    </xf>
    <xf numFmtId="0" fontId="0" fillId="4" borderId="0" xfId="0" applyFill="1"/>
    <xf numFmtId="0" fontId="7" fillId="2" borderId="0" xfId="0" applyFont="1" applyFill="1"/>
    <xf numFmtId="0" fontId="6" fillId="2" borderId="0" xfId="0" applyFont="1" applyFill="1"/>
    <xf numFmtId="0" fontId="11" fillId="4" borderId="0" xfId="0" applyFont="1" applyFill="1"/>
    <xf numFmtId="14" fontId="11" fillId="4" borderId="0" xfId="0" applyNumberFormat="1" applyFont="1" applyFill="1"/>
    <xf numFmtId="0" fontId="9" fillId="6" borderId="8" xfId="0" applyFont="1" applyFill="1" applyBorder="1" applyAlignment="1">
      <alignment horizontal="center" vertical="center"/>
    </xf>
    <xf numFmtId="0" fontId="9" fillId="6" borderId="8" xfId="0" applyFont="1" applyFill="1" applyBorder="1" applyAlignment="1">
      <alignment horizontal="center" vertical="center" wrapText="1"/>
    </xf>
    <xf numFmtId="0" fontId="12" fillId="4" borderId="8" xfId="0" applyFont="1" applyFill="1" applyBorder="1"/>
    <xf numFmtId="14" fontId="12" fillId="4" borderId="8" xfId="0" applyNumberFormat="1" applyFont="1" applyFill="1" applyBorder="1" applyAlignment="1">
      <alignment horizontal="center"/>
    </xf>
    <xf numFmtId="165" fontId="12" fillId="4" borderId="8" xfId="0" applyNumberFormat="1" applyFont="1" applyFill="1" applyBorder="1" applyAlignment="1">
      <alignment horizontal="center"/>
    </xf>
    <xf numFmtId="0" fontId="13" fillId="4" borderId="8" xfId="0" applyFont="1" applyFill="1" applyBorder="1" applyAlignment="1">
      <alignment horizontal="center"/>
    </xf>
    <xf numFmtId="0" fontId="14" fillId="4" borderId="0" xfId="0" applyFont="1" applyFill="1" applyAlignment="1">
      <alignment vertical="center"/>
    </xf>
    <xf numFmtId="0" fontId="14" fillId="4" borderId="0" xfId="0" applyFont="1" applyFill="1"/>
    <xf numFmtId="0" fontId="12" fillId="4" borderId="8" xfId="0" applyFont="1" applyFill="1" applyBorder="1" applyAlignment="1">
      <alignment horizontal="center"/>
    </xf>
    <xf numFmtId="14" fontId="0" fillId="0" borderId="0" xfId="0" applyNumberFormat="1"/>
    <xf numFmtId="0" fontId="0" fillId="7" borderId="0" xfId="0" applyFill="1"/>
    <xf numFmtId="0" fontId="8" fillId="2" borderId="0" xfId="0" applyFont="1" applyFill="1"/>
    <xf numFmtId="0" fontId="16" fillId="2" borderId="0" xfId="0" applyFont="1" applyFill="1"/>
    <xf numFmtId="0" fontId="17" fillId="4" borderId="0" xfId="0" applyFont="1" applyFill="1" applyAlignment="1">
      <alignment horizontal="center"/>
    </xf>
    <xf numFmtId="0" fontId="9" fillId="4" borderId="0" xfId="0" applyFont="1" applyFill="1"/>
    <xf numFmtId="0" fontId="19" fillId="4" borderId="9" xfId="0" applyFont="1" applyFill="1" applyBorder="1" applyAlignment="1">
      <alignment horizontal="center"/>
    </xf>
    <xf numFmtId="18" fontId="0" fillId="0" borderId="0" xfId="0" applyNumberFormat="1"/>
    <xf numFmtId="166" fontId="0" fillId="0" borderId="0" xfId="0" applyNumberFormat="1"/>
    <xf numFmtId="167" fontId="6" fillId="4" borderId="10" xfId="0" applyNumberFormat="1" applyFont="1" applyFill="1" applyBorder="1"/>
    <xf numFmtId="0" fontId="19" fillId="6" borderId="10" xfId="0" applyFont="1" applyFill="1" applyBorder="1" applyAlignment="1">
      <alignment horizontal="center" vertical="center"/>
    </xf>
    <xf numFmtId="0" fontId="6" fillId="4" borderId="10" xfId="0" applyFont="1" applyFill="1" applyBorder="1" applyAlignment="1">
      <alignment horizontal="left" indent="1"/>
    </xf>
    <xf numFmtId="0" fontId="0" fillId="7" borderId="0" xfId="0" applyFill="1" applyAlignment="1">
      <alignment horizontal="center"/>
    </xf>
    <xf numFmtId="166" fontId="12" fillId="4" borderId="8" xfId="0" applyNumberFormat="1" applyFont="1" applyFill="1" applyBorder="1" applyAlignment="1">
      <alignment horizontal="center"/>
    </xf>
    <xf numFmtId="0" fontId="21" fillId="5" borderId="11" xfId="0" applyFont="1" applyFill="1" applyBorder="1" applyAlignment="1">
      <alignment horizontal="center" vertical="center" wrapText="1"/>
    </xf>
    <xf numFmtId="9" fontId="21" fillId="5" borderId="11" xfId="1" applyFont="1" applyFill="1" applyBorder="1" applyAlignment="1">
      <alignment horizontal="center" vertical="center" wrapText="1"/>
    </xf>
    <xf numFmtId="49" fontId="21" fillId="5" borderId="11" xfId="0" applyNumberFormat="1" applyFont="1" applyFill="1" applyBorder="1" applyAlignment="1">
      <alignment horizontal="center" vertical="center" wrapText="1"/>
    </xf>
    <xf numFmtId="0" fontId="11" fillId="7" borderId="0" xfId="0" applyFont="1" applyFill="1"/>
    <xf numFmtId="0" fontId="20" fillId="4" borderId="0" xfId="0" applyFont="1" applyFill="1" applyAlignment="1">
      <alignment horizontal="center" vertical="center"/>
    </xf>
    <xf numFmtId="0" fontId="22" fillId="4" borderId="0" xfId="0" applyFont="1" applyFill="1"/>
    <xf numFmtId="0" fontId="19" fillId="6" borderId="12" xfId="0" applyFont="1" applyFill="1" applyBorder="1" applyAlignment="1">
      <alignment horizontal="left" vertical="center" indent="2"/>
    </xf>
    <xf numFmtId="0" fontId="6" fillId="4" borderId="12" xfId="0" applyFont="1" applyFill="1" applyBorder="1" applyAlignment="1">
      <alignment horizontal="left" indent="1"/>
    </xf>
    <xf numFmtId="14" fontId="11" fillId="7" borderId="0" xfId="0" applyNumberFormat="1" applyFont="1" applyFill="1"/>
    <xf numFmtId="14" fontId="23" fillId="7" borderId="11" xfId="0" applyNumberFormat="1" applyFont="1" applyFill="1" applyBorder="1" applyAlignment="1">
      <alignment horizontal="center" vertical="center"/>
    </xf>
    <xf numFmtId="1" fontId="23" fillId="7" borderId="11" xfId="0" applyNumberFormat="1" applyFont="1" applyFill="1" applyBorder="1" applyAlignment="1">
      <alignment horizontal="center" vertical="center" wrapText="1"/>
    </xf>
    <xf numFmtId="168" fontId="23" fillId="7" borderId="11" xfId="0" applyNumberFormat="1" applyFont="1" applyFill="1" applyBorder="1" applyAlignment="1">
      <alignment horizontal="center" vertical="center" wrapText="1"/>
    </xf>
    <xf numFmtId="0" fontId="23" fillId="7" borderId="11" xfId="0" applyFont="1" applyFill="1" applyBorder="1" applyAlignment="1">
      <alignment horizontal="left"/>
    </xf>
    <xf numFmtId="9" fontId="23" fillId="7" borderId="11" xfId="1" applyFont="1" applyFill="1" applyBorder="1" applyAlignment="1">
      <alignment horizontal="center" vertical="center"/>
    </xf>
    <xf numFmtId="18" fontId="23" fillId="7" borderId="11" xfId="0" applyNumberFormat="1" applyFont="1" applyFill="1" applyBorder="1" applyAlignment="1">
      <alignment horizontal="center" vertical="center"/>
    </xf>
    <xf numFmtId="0" fontId="23" fillId="7" borderId="11" xfId="0" applyFont="1" applyFill="1" applyBorder="1"/>
    <xf numFmtId="20" fontId="23" fillId="7" borderId="11" xfId="0" applyNumberFormat="1" applyFont="1" applyFill="1" applyBorder="1" applyAlignment="1">
      <alignment horizontal="center" vertical="center"/>
    </xf>
    <xf numFmtId="0" fontId="23" fillId="7" borderId="11" xfId="0" applyFont="1" applyFill="1" applyBorder="1" applyAlignment="1">
      <alignment vertical="center"/>
    </xf>
    <xf numFmtId="49" fontId="23" fillId="7" borderId="11" xfId="0" applyNumberFormat="1" applyFont="1" applyFill="1" applyBorder="1" applyAlignment="1">
      <alignment horizontal="center" vertical="center"/>
    </xf>
    <xf numFmtId="0" fontId="23" fillId="7" borderId="11" xfId="0" applyFont="1" applyFill="1" applyBorder="1" applyAlignment="1">
      <alignment horizontal="left" vertical="center"/>
    </xf>
    <xf numFmtId="0" fontId="23" fillId="7" borderId="11" xfId="0" applyFont="1" applyFill="1" applyBorder="1" applyAlignment="1">
      <alignment horizontal="center" vertical="center"/>
    </xf>
    <xf numFmtId="0" fontId="24" fillId="5" borderId="10" xfId="0" applyFont="1" applyFill="1" applyBorder="1" applyAlignment="1">
      <alignment horizontal="left" vertical="center" indent="1"/>
    </xf>
    <xf numFmtId="9" fontId="6" fillId="4" borderId="10" xfId="0" applyNumberFormat="1" applyFont="1" applyFill="1" applyBorder="1" applyAlignment="1">
      <alignment horizontal="left" indent="1"/>
    </xf>
    <xf numFmtId="167" fontId="24" fillId="5" borderId="10" xfId="0" applyNumberFormat="1" applyFont="1" applyFill="1" applyBorder="1" applyAlignment="1">
      <alignment horizontal="left" vertical="center" indent="1"/>
    </xf>
    <xf numFmtId="0" fontId="0" fillId="7" borderId="0" xfId="0" applyFill="1" applyAlignment="1">
      <alignment horizontal="left"/>
    </xf>
    <xf numFmtId="20" fontId="23" fillId="7" borderId="11" xfId="0" applyNumberFormat="1" applyFont="1" applyFill="1" applyBorder="1" applyAlignment="1">
      <alignment horizontal="left" vertical="center"/>
    </xf>
    <xf numFmtId="3" fontId="23" fillId="7" borderId="11" xfId="0" applyNumberFormat="1" applyFont="1" applyFill="1" applyBorder="1" applyAlignment="1">
      <alignment horizontal="center" vertical="center"/>
    </xf>
    <xf numFmtId="18" fontId="0" fillId="3" borderId="0" xfId="0" applyNumberFormat="1" applyFill="1"/>
    <xf numFmtId="0" fontId="0" fillId="0" borderId="0" xfId="0" pivotButton="1"/>
    <xf numFmtId="0" fontId="25" fillId="5" borderId="11" xfId="0" applyFont="1" applyFill="1" applyBorder="1" applyAlignment="1">
      <alignment horizontal="center" vertical="center" wrapText="1"/>
    </xf>
    <xf numFmtId="0" fontId="27" fillId="7" borderId="11" xfId="0" applyFont="1" applyFill="1" applyBorder="1" applyAlignment="1">
      <alignment horizontal="center" vertical="center"/>
    </xf>
    <xf numFmtId="0" fontId="28" fillId="7" borderId="0" xfId="0" applyFont="1" applyFill="1"/>
    <xf numFmtId="14" fontId="29" fillId="7" borderId="0" xfId="0" applyNumberFormat="1" applyFont="1" applyFill="1"/>
    <xf numFmtId="165" fontId="27" fillId="7" borderId="11" xfId="0" applyNumberFormat="1" applyFont="1" applyFill="1" applyBorder="1" applyAlignment="1">
      <alignment horizontal="left"/>
    </xf>
    <xf numFmtId="0" fontId="27" fillId="7" borderId="11" xfId="1" applyNumberFormat="1" applyFont="1" applyFill="1" applyBorder="1" applyAlignment="1">
      <alignment horizontal="center" vertical="center"/>
    </xf>
    <xf numFmtId="0" fontId="27" fillId="7" borderId="11" xfId="0" applyFont="1" applyFill="1" applyBorder="1" applyAlignment="1">
      <alignment horizontal="center"/>
    </xf>
    <xf numFmtId="169" fontId="27" fillId="7" borderId="11" xfId="0" applyNumberFormat="1" applyFont="1" applyFill="1" applyBorder="1" applyAlignment="1">
      <alignment horizontal="center"/>
    </xf>
    <xf numFmtId="1" fontId="0" fillId="0" borderId="0" xfId="0" applyNumberFormat="1" applyAlignment="1">
      <alignment horizontal="left"/>
    </xf>
    <xf numFmtId="0" fontId="3" fillId="0" borderId="0" xfId="0" applyFont="1" applyAlignment="1">
      <alignment horizontal="right"/>
    </xf>
    <xf numFmtId="1" fontId="0" fillId="0" borderId="0" xfId="0" applyNumberFormat="1"/>
    <xf numFmtId="0" fontId="31" fillId="0" borderId="0" xfId="3" applyFont="1" applyAlignment="1">
      <alignment horizontal="center" vertical="center"/>
    </xf>
    <xf numFmtId="3" fontId="3" fillId="0" borderId="0" xfId="0" applyNumberFormat="1" applyFont="1"/>
    <xf numFmtId="165" fontId="0" fillId="0" borderId="0" xfId="0" applyNumberFormat="1"/>
    <xf numFmtId="170" fontId="0" fillId="0" borderId="0" xfId="1" applyNumberFormat="1" applyFont="1"/>
    <xf numFmtId="170" fontId="0" fillId="0" borderId="0" xfId="0" applyNumberFormat="1"/>
    <xf numFmtId="14" fontId="6" fillId="4" borderId="10" xfId="0" applyNumberFormat="1" applyFont="1" applyFill="1" applyBorder="1" applyAlignment="1">
      <alignment horizontal="left" indent="1"/>
    </xf>
    <xf numFmtId="14" fontId="23" fillId="7" borderId="17" xfId="0" applyNumberFormat="1" applyFont="1" applyFill="1" applyBorder="1" applyAlignment="1">
      <alignment horizontal="center" vertical="center"/>
    </xf>
    <xf numFmtId="0" fontId="23" fillId="7" borderId="17" xfId="0" applyFont="1" applyFill="1" applyBorder="1" applyAlignment="1">
      <alignment horizontal="left"/>
    </xf>
    <xf numFmtId="9" fontId="23" fillId="7" borderId="17" xfId="1" applyFont="1" applyFill="1" applyBorder="1" applyAlignment="1">
      <alignment horizontal="center" vertical="center"/>
    </xf>
    <xf numFmtId="0" fontId="23" fillId="7" borderId="17" xfId="0" applyFont="1" applyFill="1" applyBorder="1"/>
    <xf numFmtId="20" fontId="23" fillId="7" borderId="17" xfId="0" applyNumberFormat="1" applyFont="1" applyFill="1" applyBorder="1" applyAlignment="1">
      <alignment horizontal="center" vertical="center"/>
    </xf>
    <xf numFmtId="0" fontId="23" fillId="7" borderId="17" xfId="0" applyFont="1" applyFill="1" applyBorder="1" applyAlignment="1">
      <alignment vertical="center"/>
    </xf>
    <xf numFmtId="0" fontId="6" fillId="4" borderId="10" xfId="0" applyFont="1" applyFill="1" applyBorder="1" applyAlignment="1">
      <alignment horizontal="center"/>
    </xf>
    <xf numFmtId="167" fontId="6" fillId="4" borderId="10" xfId="0" applyNumberFormat="1" applyFont="1" applyFill="1" applyBorder="1" applyAlignment="1">
      <alignment horizontal="left" indent="1"/>
    </xf>
    <xf numFmtId="165" fontId="3" fillId="0" borderId="0" xfId="0" applyNumberFormat="1" applyFont="1"/>
    <xf numFmtId="165" fontId="23" fillId="7" borderId="11" xfId="2" applyNumberFormat="1" applyFont="1" applyFill="1" applyBorder="1" applyAlignment="1">
      <alignment horizontal="center" vertical="center"/>
    </xf>
    <xf numFmtId="165" fontId="23" fillId="7" borderId="11" xfId="0" applyNumberFormat="1" applyFont="1" applyFill="1" applyBorder="1" applyAlignment="1">
      <alignment horizontal="left"/>
    </xf>
    <xf numFmtId="0" fontId="34" fillId="7" borderId="11" xfId="0" applyFont="1" applyFill="1" applyBorder="1" applyAlignment="1">
      <alignment horizontal="center" vertical="center"/>
    </xf>
    <xf numFmtId="0" fontId="33" fillId="4" borderId="0" xfId="0" applyFont="1" applyFill="1"/>
    <xf numFmtId="165" fontId="33" fillId="4" borderId="0" xfId="0" applyNumberFormat="1" applyFont="1" applyFill="1"/>
    <xf numFmtId="0" fontId="33" fillId="4" borderId="0" xfId="0" applyFont="1" applyFill="1" applyAlignment="1">
      <alignment vertical="center"/>
    </xf>
    <xf numFmtId="14" fontId="12" fillId="4" borderId="8" xfId="0" applyNumberFormat="1" applyFont="1" applyFill="1" applyBorder="1" applyAlignment="1" applyProtection="1">
      <alignment horizontal="center"/>
      <protection locked="0"/>
    </xf>
    <xf numFmtId="165" fontId="1" fillId="0" borderId="0" xfId="0" applyNumberFormat="1" applyFont="1"/>
    <xf numFmtId="0" fontId="40" fillId="5" borderId="10" xfId="0" applyFont="1" applyFill="1" applyBorder="1" applyAlignment="1" applyProtection="1">
      <alignment horizontal="center" vertical="center"/>
      <protection locked="0"/>
    </xf>
    <xf numFmtId="0" fontId="0" fillId="4" borderId="0" xfId="0" applyFill="1" applyProtection="1">
      <protection locked="0"/>
    </xf>
    <xf numFmtId="0" fontId="18" fillId="5" borderId="10" xfId="0" applyFont="1" applyFill="1" applyBorder="1" applyAlignment="1" applyProtection="1">
      <alignment horizontal="left" vertical="center" indent="1"/>
      <protection locked="0"/>
    </xf>
    <xf numFmtId="166" fontId="18" fillId="5" borderId="10" xfId="0" applyNumberFormat="1" applyFont="1" applyFill="1" applyBorder="1" applyAlignment="1" applyProtection="1">
      <alignment horizontal="left" vertical="center" indent="1"/>
      <protection locked="0"/>
    </xf>
    <xf numFmtId="18" fontId="18" fillId="5" borderId="10" xfId="0" applyNumberFormat="1" applyFont="1" applyFill="1" applyBorder="1" applyAlignment="1" applyProtection="1">
      <alignment horizontal="left" vertical="center" indent="1"/>
      <protection locked="0"/>
    </xf>
    <xf numFmtId="9" fontId="18" fillId="5" borderId="10" xfId="0" applyNumberFormat="1" applyFont="1" applyFill="1" applyBorder="1" applyAlignment="1" applyProtection="1">
      <alignment horizontal="center" vertical="center"/>
      <protection locked="0"/>
    </xf>
    <xf numFmtId="166" fontId="6" fillId="4" borderId="10" xfId="0" applyNumberFormat="1" applyFont="1" applyFill="1" applyBorder="1" applyAlignment="1">
      <alignment horizontal="left" indent="1"/>
    </xf>
    <xf numFmtId="0" fontId="9" fillId="7" borderId="21" xfId="0" applyFont="1" applyFill="1" applyBorder="1" applyAlignment="1">
      <alignment horizontal="center" vertical="center"/>
    </xf>
    <xf numFmtId="0" fontId="39" fillId="4" borderId="22" xfId="0" applyFont="1" applyFill="1" applyBorder="1" applyAlignment="1">
      <alignment horizontal="left" vertical="center" indent="2"/>
    </xf>
    <xf numFmtId="0" fontId="39" fillId="4" borderId="0" xfId="0" applyFont="1" applyFill="1" applyAlignment="1">
      <alignment horizontal="left" vertical="center" indent="2"/>
    </xf>
    <xf numFmtId="0" fontId="8" fillId="2" borderId="0" xfId="0" applyFont="1" applyFill="1" applyAlignment="1">
      <alignment horizontal="center"/>
    </xf>
    <xf numFmtId="0" fontId="32" fillId="4" borderId="0" xfId="0" applyFont="1" applyFill="1" applyAlignment="1">
      <alignment horizontal="center" vertical="center"/>
    </xf>
    <xf numFmtId="9" fontId="29" fillId="5" borderId="0" xfId="1" applyFont="1" applyFill="1" applyAlignment="1">
      <alignment horizontal="center" vertical="center"/>
    </xf>
    <xf numFmtId="9" fontId="29" fillId="4" borderId="0" xfId="1" applyFont="1" applyFill="1" applyAlignment="1">
      <alignment horizontal="center" vertical="center"/>
    </xf>
    <xf numFmtId="169" fontId="29" fillId="5" borderId="0" xfId="0" applyNumberFormat="1" applyFont="1" applyFill="1" applyAlignment="1">
      <alignment horizontal="center" vertical="center"/>
    </xf>
    <xf numFmtId="0" fontId="6" fillId="2" borderId="0" xfId="0" applyFont="1" applyFill="1"/>
    <xf numFmtId="169" fontId="29" fillId="4" borderId="0" xfId="0" applyNumberFormat="1" applyFont="1" applyFill="1" applyAlignment="1">
      <alignment horizontal="center" vertical="center"/>
    </xf>
    <xf numFmtId="0" fontId="6" fillId="2" borderId="0" xfId="0" applyFont="1" applyFill="1" applyAlignment="1">
      <alignment horizontal="center"/>
    </xf>
    <xf numFmtId="165" fontId="29" fillId="4" borderId="0" xfId="0" applyNumberFormat="1" applyFont="1" applyFill="1" applyAlignment="1">
      <alignment horizontal="center" vertical="center"/>
    </xf>
    <xf numFmtId="165" fontId="29" fillId="5" borderId="0" xfId="0" applyNumberFormat="1" applyFont="1" applyFill="1" applyAlignment="1">
      <alignment horizontal="center" vertical="center"/>
    </xf>
    <xf numFmtId="0" fontId="29" fillId="5" borderId="0" xfId="0" applyFont="1" applyFill="1" applyAlignment="1">
      <alignment horizontal="center" vertical="center"/>
    </xf>
    <xf numFmtId="0" fontId="29" fillId="4" borderId="0" xfId="0" applyFont="1" applyFill="1" applyAlignment="1">
      <alignment horizontal="center" vertical="center"/>
    </xf>
    <xf numFmtId="0" fontId="0" fillId="2" borderId="0" xfId="0" applyFill="1"/>
    <xf numFmtId="0" fontId="3" fillId="0" borderId="16" xfId="0" applyFont="1" applyBorder="1" applyAlignment="1">
      <alignment horizontal="center"/>
    </xf>
    <xf numFmtId="0" fontId="3" fillId="0" borderId="0" xfId="0" applyFont="1" applyAlignment="1">
      <alignment horizontal="center" vertical="center"/>
    </xf>
    <xf numFmtId="0" fontId="15" fillId="7" borderId="0" xfId="0" applyFont="1" applyFill="1" applyAlignment="1">
      <alignment horizontal="left" vertical="center" indent="5"/>
    </xf>
    <xf numFmtId="0" fontId="38" fillId="7" borderId="0" xfId="0" applyFont="1" applyFill="1" applyAlignment="1">
      <alignment horizontal="left" vertical="center" indent="2"/>
    </xf>
    <xf numFmtId="0" fontId="8" fillId="7" borderId="0" xfId="0" applyFont="1" applyFill="1" applyAlignment="1">
      <alignment horizontal="left" vertical="center" indent="2"/>
    </xf>
    <xf numFmtId="0" fontId="8" fillId="4" borderId="0" xfId="0" applyFont="1" applyFill="1" applyAlignment="1">
      <alignment horizontal="left" vertical="center" indent="2"/>
    </xf>
    <xf numFmtId="0" fontId="37" fillId="4" borderId="0" xfId="0" applyFont="1" applyFill="1" applyAlignment="1">
      <alignment horizontal="left" vertical="center" indent="2"/>
    </xf>
    <xf numFmtId="165" fontId="8" fillId="4" borderId="0" xfId="0" applyNumberFormat="1" applyFont="1" applyFill="1" applyAlignment="1">
      <alignment horizontal="center" vertical="center"/>
    </xf>
    <xf numFmtId="0" fontId="8" fillId="4" borderId="0" xfId="0" applyFont="1" applyFill="1" applyAlignment="1">
      <alignment horizontal="center" vertical="center"/>
    </xf>
    <xf numFmtId="0" fontId="37" fillId="4" borderId="0" xfId="0" applyFont="1" applyFill="1" applyAlignment="1">
      <alignment horizontal="center" vertical="center"/>
    </xf>
    <xf numFmtId="165" fontId="37" fillId="4" borderId="0" xfId="0" applyNumberFormat="1" applyFont="1" applyFill="1" applyAlignment="1">
      <alignment horizontal="center" vertical="center"/>
    </xf>
    <xf numFmtId="165" fontId="38" fillId="7" borderId="0" xfId="0" applyNumberFormat="1" applyFont="1" applyFill="1" applyAlignment="1">
      <alignment horizontal="center" vertical="center"/>
    </xf>
    <xf numFmtId="165" fontId="8" fillId="7" borderId="0" xfId="0" applyNumberFormat="1" applyFont="1" applyFill="1" applyAlignment="1">
      <alignment horizontal="center" vertical="center"/>
    </xf>
    <xf numFmtId="0" fontId="8" fillId="7" borderId="0" xfId="0" applyFont="1" applyFill="1" applyAlignment="1">
      <alignment horizontal="center" vertical="center"/>
    </xf>
    <xf numFmtId="0" fontId="38" fillId="7" borderId="0" xfId="0" applyFont="1" applyFill="1" applyAlignment="1">
      <alignment horizontal="center" vertical="center"/>
    </xf>
    <xf numFmtId="0" fontId="16" fillId="2" borderId="0" xfId="0" applyFont="1" applyFill="1" applyAlignment="1">
      <alignment horizontal="center"/>
    </xf>
    <xf numFmtId="0" fontId="0" fillId="4" borderId="0" xfId="0" applyFill="1"/>
    <xf numFmtId="49" fontId="8" fillId="4" borderId="0" xfId="0" applyNumberFormat="1" applyFont="1" applyFill="1" applyAlignment="1">
      <alignment horizontal="center" vertical="center"/>
    </xf>
    <xf numFmtId="18" fontId="8" fillId="4" borderId="0" xfId="0" applyNumberFormat="1" applyFont="1" applyFill="1" applyAlignment="1">
      <alignment horizontal="center" vertical="center"/>
    </xf>
    <xf numFmtId="18" fontId="8" fillId="7" borderId="0" xfId="0" applyNumberFormat="1" applyFont="1" applyFill="1" applyAlignment="1">
      <alignment horizontal="center" vertical="center"/>
    </xf>
    <xf numFmtId="49" fontId="8" fillId="7" borderId="0" xfId="0" applyNumberFormat="1" applyFont="1" applyFill="1" applyAlignment="1">
      <alignment horizontal="center" vertical="center"/>
    </xf>
    <xf numFmtId="18" fontId="37" fillId="4" borderId="0" xfId="0" applyNumberFormat="1" applyFont="1" applyFill="1" applyAlignment="1">
      <alignment horizontal="center" vertical="center"/>
    </xf>
    <xf numFmtId="0" fontId="0" fillId="7" borderId="0" xfId="0" applyFill="1"/>
    <xf numFmtId="0" fontId="0" fillId="7" borderId="0" xfId="0" applyFill="1" applyAlignment="1">
      <alignment horizontal="center"/>
    </xf>
    <xf numFmtId="49" fontId="38" fillId="7" borderId="0" xfId="0" applyNumberFormat="1" applyFont="1" applyFill="1" applyAlignment="1">
      <alignment horizontal="center" vertical="center"/>
    </xf>
    <xf numFmtId="18" fontId="38" fillId="7" borderId="0" xfId="0" applyNumberFormat="1" applyFont="1" applyFill="1" applyAlignment="1">
      <alignment horizontal="center" vertical="center"/>
    </xf>
    <xf numFmtId="0" fontId="15" fillId="7" borderId="0" xfId="0" applyFont="1" applyFill="1" applyAlignment="1">
      <alignment horizontal="center" vertical="center"/>
    </xf>
    <xf numFmtId="0" fontId="15" fillId="7" borderId="0" xfId="0" applyFont="1" applyFill="1" applyAlignment="1">
      <alignment vertical="center"/>
    </xf>
    <xf numFmtId="49" fontId="37" fillId="4" borderId="0" xfId="0" applyNumberFormat="1" applyFont="1" applyFill="1" applyAlignment="1">
      <alignment horizontal="center" vertical="center"/>
    </xf>
    <xf numFmtId="165" fontId="0" fillId="4" borderId="0" xfId="0" applyNumberFormat="1" applyFill="1"/>
    <xf numFmtId="165" fontId="0" fillId="7" borderId="0" xfId="0" applyNumberFormat="1" applyFill="1"/>
    <xf numFmtId="0" fontId="20" fillId="4" borderId="0" xfId="0" applyFont="1" applyFill="1" applyAlignment="1">
      <alignment horizontal="center" vertical="center"/>
    </xf>
    <xf numFmtId="0" fontId="14" fillId="4" borderId="0" xfId="0" applyFont="1" applyFill="1" applyAlignment="1">
      <alignment horizontal="center" vertical="center"/>
    </xf>
    <xf numFmtId="165" fontId="36" fillId="4" borderId="0" xfId="0" applyNumberFormat="1" applyFont="1" applyFill="1"/>
    <xf numFmtId="165" fontId="35" fillId="4" borderId="0" xfId="0" applyNumberFormat="1" applyFont="1" applyFill="1"/>
    <xf numFmtId="0" fontId="9" fillId="4" borderId="0" xfId="0" applyFont="1" applyFill="1" applyAlignment="1">
      <alignment horizontal="left" indent="1"/>
    </xf>
    <xf numFmtId="0" fontId="9" fillId="4" borderId="6" xfId="0" applyFont="1" applyFill="1" applyBorder="1" applyAlignment="1">
      <alignment horizontal="left" indent="1"/>
    </xf>
    <xf numFmtId="0" fontId="9" fillId="4" borderId="0" xfId="0" applyFont="1" applyFill="1" applyAlignment="1">
      <alignment horizontal="center"/>
    </xf>
    <xf numFmtId="0" fontId="6" fillId="5" borderId="2" xfId="0" applyFont="1" applyFill="1" applyBorder="1" applyAlignment="1" applyProtection="1">
      <alignment horizontal="left" vertical="center" indent="2"/>
      <protection locked="0"/>
    </xf>
    <xf numFmtId="0" fontId="6" fillId="5" borderId="3" xfId="0" applyFont="1" applyFill="1" applyBorder="1" applyAlignment="1" applyProtection="1">
      <alignment horizontal="left" vertical="center" indent="2"/>
      <protection locked="0"/>
    </xf>
    <xf numFmtId="0" fontId="6" fillId="5" borderId="4" xfId="0" applyFont="1" applyFill="1" applyBorder="1" applyAlignment="1" applyProtection="1">
      <alignment horizontal="left" vertical="center" indent="2"/>
      <protection locked="0"/>
    </xf>
    <xf numFmtId="0" fontId="6" fillId="5" borderId="5" xfId="0" applyFont="1" applyFill="1" applyBorder="1" applyAlignment="1" applyProtection="1">
      <alignment horizontal="left" vertical="center" indent="2"/>
      <protection locked="0"/>
    </xf>
    <xf numFmtId="0" fontId="6" fillId="5" borderId="6" xfId="0" applyFont="1" applyFill="1" applyBorder="1" applyAlignment="1" applyProtection="1">
      <alignment horizontal="left" vertical="center" indent="2"/>
      <protection locked="0"/>
    </xf>
    <xf numFmtId="0" fontId="6" fillId="5" borderId="7" xfId="0" applyFont="1" applyFill="1" applyBorder="1" applyAlignment="1" applyProtection="1">
      <alignment horizontal="left" vertical="center" indent="2"/>
      <protection locked="0"/>
    </xf>
    <xf numFmtId="166" fontId="10" fillId="5" borderId="2" xfId="0" applyNumberFormat="1" applyFont="1" applyFill="1" applyBorder="1" applyAlignment="1">
      <alignment horizontal="left" vertical="center" indent="2"/>
    </xf>
    <xf numFmtId="166" fontId="10" fillId="5" borderId="3" xfId="0" applyNumberFormat="1" applyFont="1" applyFill="1" applyBorder="1" applyAlignment="1">
      <alignment horizontal="left" vertical="center" indent="2"/>
    </xf>
    <xf numFmtId="166" fontId="10" fillId="5" borderId="4" xfId="0" applyNumberFormat="1" applyFont="1" applyFill="1" applyBorder="1" applyAlignment="1">
      <alignment horizontal="left" vertical="center" indent="2"/>
    </xf>
    <xf numFmtId="166" fontId="10" fillId="5" borderId="5" xfId="0" applyNumberFormat="1" applyFont="1" applyFill="1" applyBorder="1" applyAlignment="1">
      <alignment horizontal="left" vertical="center" indent="2"/>
    </xf>
    <xf numFmtId="166" fontId="10" fillId="5" borderId="6" xfId="0" applyNumberFormat="1" applyFont="1" applyFill="1" applyBorder="1" applyAlignment="1">
      <alignment horizontal="left" vertical="center" indent="2"/>
    </xf>
    <xf numFmtId="166" fontId="10" fillId="5" borderId="7" xfId="0" applyNumberFormat="1" applyFont="1" applyFill="1" applyBorder="1" applyAlignment="1">
      <alignment horizontal="left" vertical="center" indent="2"/>
    </xf>
    <xf numFmtId="0" fontId="6" fillId="5" borderId="2" xfId="0" applyFont="1" applyFill="1" applyBorder="1" applyAlignment="1" applyProtection="1">
      <alignment horizontal="center" vertical="center"/>
      <protection locked="0"/>
    </xf>
    <xf numFmtId="0" fontId="6" fillId="5" borderId="3" xfId="0" applyFont="1" applyFill="1" applyBorder="1" applyAlignment="1" applyProtection="1">
      <alignment horizontal="center" vertical="center"/>
      <protection locked="0"/>
    </xf>
    <xf numFmtId="0" fontId="6" fillId="5" borderId="4" xfId="0" applyFont="1" applyFill="1" applyBorder="1" applyAlignment="1" applyProtection="1">
      <alignment horizontal="center" vertical="center"/>
      <protection locked="0"/>
    </xf>
    <xf numFmtId="0" fontId="6" fillId="5" borderId="5" xfId="0" applyFont="1" applyFill="1" applyBorder="1" applyAlignment="1" applyProtection="1">
      <alignment horizontal="center" vertical="center"/>
      <protection locked="0"/>
    </xf>
    <xf numFmtId="0" fontId="6" fillId="5" borderId="6" xfId="0" applyFont="1" applyFill="1" applyBorder="1" applyAlignment="1" applyProtection="1">
      <alignment horizontal="center" vertical="center"/>
      <protection locked="0"/>
    </xf>
    <xf numFmtId="0" fontId="6" fillId="5" borderId="7" xfId="0" applyFont="1" applyFill="1" applyBorder="1" applyAlignment="1" applyProtection="1">
      <alignment horizontal="center" vertical="center"/>
      <protection locked="0"/>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165" fontId="6" fillId="5" borderId="2" xfId="0" applyNumberFormat="1" applyFont="1" applyFill="1" applyBorder="1" applyAlignment="1" applyProtection="1">
      <alignment horizontal="center" vertical="center"/>
      <protection locked="0"/>
    </xf>
    <xf numFmtId="165" fontId="6" fillId="5" borderId="3" xfId="0" applyNumberFormat="1" applyFont="1" applyFill="1" applyBorder="1" applyAlignment="1" applyProtection="1">
      <alignment horizontal="center" vertical="center"/>
      <protection locked="0"/>
    </xf>
    <xf numFmtId="165" fontId="6" fillId="5" borderId="4" xfId="0" applyNumberFormat="1" applyFont="1" applyFill="1" applyBorder="1" applyAlignment="1" applyProtection="1">
      <alignment horizontal="center" vertical="center"/>
      <protection locked="0"/>
    </xf>
    <xf numFmtId="165" fontId="6" fillId="5" borderId="5" xfId="0" applyNumberFormat="1" applyFont="1" applyFill="1" applyBorder="1" applyAlignment="1" applyProtection="1">
      <alignment horizontal="center" vertical="center"/>
      <protection locked="0"/>
    </xf>
    <xf numFmtId="165" fontId="6" fillId="5" borderId="6" xfId="0" applyNumberFormat="1" applyFont="1" applyFill="1" applyBorder="1" applyAlignment="1" applyProtection="1">
      <alignment horizontal="center" vertical="center"/>
      <protection locked="0"/>
    </xf>
    <xf numFmtId="165" fontId="6" fillId="5" borderId="7" xfId="0" applyNumberFormat="1" applyFont="1" applyFill="1" applyBorder="1" applyAlignment="1" applyProtection="1">
      <alignment horizontal="center" vertical="center"/>
      <protection locked="0"/>
    </xf>
    <xf numFmtId="166" fontId="6" fillId="5" borderId="2" xfId="0" applyNumberFormat="1" applyFont="1" applyFill="1" applyBorder="1" applyAlignment="1" applyProtection="1">
      <alignment horizontal="left" vertical="center" indent="2"/>
      <protection locked="0"/>
    </xf>
    <xf numFmtId="166" fontId="6" fillId="5" borderId="3" xfId="0" applyNumberFormat="1" applyFont="1" applyFill="1" applyBorder="1" applyAlignment="1" applyProtection="1">
      <alignment horizontal="left" vertical="center" indent="2"/>
      <protection locked="0"/>
    </xf>
    <xf numFmtId="166" fontId="6" fillId="5" borderId="4" xfId="0" applyNumberFormat="1" applyFont="1" applyFill="1" applyBorder="1" applyAlignment="1" applyProtection="1">
      <alignment horizontal="left" vertical="center" indent="2"/>
      <protection locked="0"/>
    </xf>
    <xf numFmtId="166" fontId="6" fillId="5" borderId="5" xfId="0" applyNumberFormat="1" applyFont="1" applyFill="1" applyBorder="1" applyAlignment="1" applyProtection="1">
      <alignment horizontal="left" vertical="center" indent="2"/>
      <protection locked="0"/>
    </xf>
    <xf numFmtId="166" fontId="6" fillId="5" borderId="6" xfId="0" applyNumberFormat="1" applyFont="1" applyFill="1" applyBorder="1" applyAlignment="1" applyProtection="1">
      <alignment horizontal="left" vertical="center" indent="2"/>
      <protection locked="0"/>
    </xf>
    <xf numFmtId="166" fontId="6" fillId="5" borderId="7" xfId="0" applyNumberFormat="1" applyFont="1" applyFill="1" applyBorder="1" applyAlignment="1" applyProtection="1">
      <alignment horizontal="left" vertical="center" indent="2"/>
      <protection locked="0"/>
    </xf>
    <xf numFmtId="0" fontId="9" fillId="7" borderId="18" xfId="0" applyFont="1" applyFill="1" applyBorder="1" applyAlignment="1">
      <alignment horizontal="center" vertical="center"/>
    </xf>
    <xf numFmtId="0" fontId="9" fillId="7" borderId="19" xfId="0" applyFont="1" applyFill="1" applyBorder="1" applyAlignment="1">
      <alignment horizontal="center" vertical="center"/>
    </xf>
    <xf numFmtId="0" fontId="9" fillId="7" borderId="20" xfId="0" applyFont="1" applyFill="1" applyBorder="1" applyAlignment="1">
      <alignment horizontal="center" vertical="center"/>
    </xf>
    <xf numFmtId="0" fontId="19" fillId="7" borderId="6" xfId="0" applyFont="1" applyFill="1" applyBorder="1" applyAlignment="1">
      <alignment horizontal="center" vertical="top"/>
    </xf>
    <xf numFmtId="0" fontId="19" fillId="7" borderId="7" xfId="0" applyFont="1" applyFill="1" applyBorder="1" applyAlignment="1">
      <alignment horizontal="center" vertical="top"/>
    </xf>
    <xf numFmtId="0" fontId="26" fillId="4" borderId="13" xfId="0" applyFont="1" applyFill="1" applyBorder="1" applyAlignment="1">
      <alignment horizontal="center" vertical="center" wrapText="1"/>
    </xf>
    <xf numFmtId="0" fontId="26" fillId="4" borderId="14" xfId="0" applyFont="1" applyFill="1" applyBorder="1" applyAlignment="1">
      <alignment horizontal="center" vertical="center" wrapText="1"/>
    </xf>
    <xf numFmtId="0" fontId="26" fillId="4" borderId="15" xfId="0" applyFont="1" applyFill="1" applyBorder="1" applyAlignment="1">
      <alignment horizontal="center" vertical="center" wrapText="1"/>
    </xf>
    <xf numFmtId="0" fontId="0" fillId="0" borderId="0" xfId="0" applyNumberFormat="1"/>
  </cellXfs>
  <cellStyles count="4">
    <cellStyle name="Comma" xfId="2" builtinId="3"/>
    <cellStyle name="Normal" xfId="0" builtinId="0"/>
    <cellStyle name="Normal 2" xfId="3" xr:uid="{DCAF266B-AD33-45DC-89BD-ED324D26365B}"/>
    <cellStyle name="Percent" xfId="1" builtinId="5"/>
  </cellStyles>
  <dxfs count="10">
    <dxf>
      <fill>
        <patternFill>
          <bgColor rgb="FF0D2741"/>
        </patternFill>
      </fill>
    </dxf>
    <dxf>
      <fill>
        <patternFill>
          <bgColor rgb="FF0D2741"/>
        </patternFill>
      </fill>
    </dxf>
    <dxf>
      <font>
        <b/>
        <i val="0"/>
        <color rgb="FFB27A87"/>
      </font>
      <fill>
        <patternFill>
          <bgColor rgb="FFB27A87"/>
        </patternFill>
      </fill>
      <border>
        <bottom style="medium">
          <color rgb="FFDDC5CB"/>
        </bottom>
      </border>
    </dxf>
    <dxf>
      <font>
        <color rgb="FFF4F0F2"/>
      </font>
      <fill>
        <patternFill>
          <bgColor rgb="FF2C1E38"/>
        </patternFill>
      </fill>
      <border>
        <left style="thin">
          <color rgb="FF452F57"/>
        </left>
        <right style="thin">
          <color rgb="FF452F57"/>
        </right>
        <top style="thin">
          <color rgb="FF452F57"/>
        </top>
        <bottom style="thin">
          <color rgb="FF452F57"/>
        </bottom>
        <vertical style="thin">
          <color rgb="FF452F57"/>
        </vertical>
        <horizontal style="thin">
          <color rgb="FF452F57"/>
        </horizontal>
      </border>
    </dxf>
    <dxf>
      <font>
        <b/>
        <color theme="1"/>
      </font>
      <border>
        <left/>
        <right/>
        <top/>
        <bottom/>
        <vertical/>
        <horizontal/>
      </border>
    </dxf>
    <dxf>
      <font>
        <color theme="0"/>
      </font>
      <fill>
        <patternFill patternType="solid">
          <fgColor auto="1"/>
          <bgColor theme="1"/>
        </patternFill>
      </fill>
      <border diagonalUp="0">
        <left/>
        <right/>
        <top/>
        <bottom/>
        <vertical/>
        <horizontal/>
      </border>
    </dxf>
    <dxf>
      <font>
        <b/>
        <color theme="1"/>
      </font>
      <border>
        <left/>
        <right/>
        <top/>
        <bottom/>
        <vertical/>
        <horizontal/>
      </border>
    </dxf>
    <dxf>
      <font>
        <color theme="0"/>
      </font>
      <fill>
        <patternFill patternType="solid">
          <fgColor auto="1"/>
          <bgColor theme="1"/>
        </patternFill>
      </fill>
      <border diagonalUp="0">
        <left/>
        <right/>
        <top/>
        <bottom/>
        <vertical/>
        <horizontal/>
      </border>
    </dxf>
    <dxf>
      <font>
        <b/>
        <color theme="1"/>
      </font>
      <border>
        <left/>
        <right/>
        <top/>
        <bottom/>
        <vertical/>
        <horizontal/>
      </border>
    </dxf>
    <dxf>
      <font>
        <color theme="0"/>
      </font>
      <fill>
        <patternFill patternType="solid">
          <fgColor auto="1"/>
          <bgColor theme="1"/>
        </patternFill>
      </fill>
      <border diagonalUp="0">
        <left/>
        <right/>
        <top/>
        <bottom/>
        <vertical/>
        <horizontal/>
      </border>
    </dxf>
  </dxfs>
  <tableStyles count="4" defaultTableStyle="TableStyleMedium2" defaultPivotStyle="PivotStyleLight16">
    <tableStyle name="SlicerStyleLight1 2" pivot="0" table="0" count="10" xr9:uid="{D3AC5ED1-62F3-4EF7-A4F4-10BB1B86F2DA}">
      <tableStyleElement type="wholeTable" dxfId="9"/>
      <tableStyleElement type="headerRow" dxfId="8"/>
    </tableStyle>
    <tableStyle name="SlicerStyleLight1 2 2" pivot="0" table="0" count="10" xr9:uid="{F32B31EE-B308-4C9D-A7E4-37FEC2360B36}">
      <tableStyleElement type="wholeTable" dxfId="7"/>
      <tableStyleElement type="headerRow" dxfId="6"/>
    </tableStyle>
    <tableStyle name="SlicerStyleLight1 2 2 2" pivot="0" table="0" count="10" xr9:uid="{92474E91-1AC0-4D19-A25D-F03EC6C431B6}">
      <tableStyleElement type="wholeTable" dxfId="5"/>
      <tableStyleElement type="headerRow" dxfId="4"/>
    </tableStyle>
    <tableStyle name="Стиль таблицы 1 2" pivot="0" count="2" xr9:uid="{6DCE1E19-403F-478A-A6D1-B3D0D612BC92}">
      <tableStyleElement type="wholeTable" dxfId="3"/>
      <tableStyleElement type="headerRow" dxfId="2"/>
    </tableStyle>
  </tableStyles>
  <colors>
    <mruColors>
      <color rgb="FFFFE699"/>
      <color rgb="FF091A2C"/>
      <color rgb="FF00CCC7"/>
      <color rgb="FFFF0167"/>
      <color rgb="FF236CAF"/>
      <color rgb="FF00928F"/>
      <color rgb="FF00E6E1"/>
      <color rgb="FF0A1721"/>
      <color rgb="FF015F8B"/>
      <color rgb="FF113456"/>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FF9A20"/>
              </stop>
              <stop position="1">
                <color rgb="FFFF5F00"/>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091A2C"/>
            </patternFill>
          </fill>
          <border>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0"/>
          </font>
          <fill>
            <patternFill patternType="solid">
              <fgColor auto="1"/>
              <bgColor rgb="FF091A2C"/>
            </pattern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0" tint="-0.24994659260841701"/>
          </font>
          <fill>
            <patternFill patternType="solid">
              <fgColor rgb="FFFFFFFF"/>
              <bgColor rgb="FF091A2C"/>
            </patternFill>
          </fill>
          <border>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color theme="0"/>
          </font>
          <fill>
            <gradientFill degree="90">
              <stop position="0">
                <color rgb="FFFF9A20"/>
              </stop>
              <stop position="1">
                <color rgb="FFFF5F00"/>
              </stop>
            </gradientFill>
          </fill>
          <border>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24994659260841701"/>
          </font>
          <fill>
            <patternFill patternType="solid">
              <fgColor rgb="FFFFFFFF"/>
              <bgColor rgb="FF091A2C"/>
            </patternFill>
          </fill>
          <border>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image" Target="../media/image10.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11.png"/></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image" Target="../media/image18.png"/><Relationship Id="rId2" Type="http://schemas.microsoft.com/office/2011/relationships/chartColorStyle" Target="colors5.xml"/><Relationship Id="rId1" Type="http://schemas.microsoft.com/office/2011/relationships/chartStyle" Target="style5.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tx>
            <c:strRef>
              <c:f>Processing!$E$10</c:f>
              <c:strCache>
                <c:ptCount val="1"/>
                <c:pt idx="0">
                  <c:v>Indent</c:v>
                </c:pt>
              </c:strCache>
            </c:strRef>
          </c:tx>
          <c:spPr>
            <a:blipFill>
              <a:blip xmlns:r="http://schemas.openxmlformats.org/officeDocument/2006/relationships" r:embed="rId3"/>
              <a:stretch>
                <a:fillRect/>
              </a:stretch>
            </a:blipFill>
            <a:ln>
              <a:noFill/>
            </a:ln>
            <a:effectLst/>
          </c:spPr>
          <c:invertIfNegative val="0"/>
          <c:val>
            <c:numRef>
              <c:f>Processing!$E$11:$E$22</c:f>
              <c:numCache>
                <c:formatCode>General</c:formatCode>
                <c:ptCount val="12"/>
                <c:pt idx="0">
                  <c:v>7250</c:v>
                </c:pt>
                <c:pt idx="1">
                  <c:v>7250</c:v>
                </c:pt>
                <c:pt idx="2">
                  <c:v>7250</c:v>
                </c:pt>
                <c:pt idx="3">
                  <c:v>7250</c:v>
                </c:pt>
                <c:pt idx="4">
                  <c:v>7250</c:v>
                </c:pt>
                <c:pt idx="5">
                  <c:v>7250</c:v>
                </c:pt>
                <c:pt idx="6">
                  <c:v>7250</c:v>
                </c:pt>
                <c:pt idx="7">
                  <c:v>7250</c:v>
                </c:pt>
                <c:pt idx="8">
                  <c:v>7250</c:v>
                </c:pt>
                <c:pt idx="9">
                  <c:v>7250</c:v>
                </c:pt>
                <c:pt idx="10">
                  <c:v>7250</c:v>
                </c:pt>
                <c:pt idx="11">
                  <c:v>7250</c:v>
                </c:pt>
              </c:numCache>
            </c:numRef>
          </c:val>
          <c:extLst>
            <c:ext xmlns:c16="http://schemas.microsoft.com/office/drawing/2014/chart" uri="{C3380CC4-5D6E-409C-BE32-E72D297353CC}">
              <c16:uniqueId val="{00000001-3DCE-40B3-93E9-4AF399B00549}"/>
            </c:ext>
          </c:extLst>
        </c:ser>
        <c:ser>
          <c:idx val="0"/>
          <c:order val="1"/>
          <c:tx>
            <c:strRef>
              <c:f>Processing!$D$10</c:f>
              <c:strCache>
                <c:ptCount val="1"/>
                <c:pt idx="0">
                  <c:v>Total</c:v>
                </c:pt>
              </c:strCache>
            </c:strRef>
          </c:tx>
          <c:spPr>
            <a:gradFill>
              <a:gsLst>
                <a:gs pos="0">
                  <a:srgbClr val="1287FF"/>
                </a:gs>
                <a:gs pos="100000">
                  <a:srgbClr val="023F87"/>
                </a:gs>
              </a:gsLst>
              <a:lin ang="5400000" scaled="1"/>
            </a:gradFill>
            <a:ln>
              <a:noFill/>
            </a:ln>
            <a:effectLst/>
          </c:spPr>
          <c:invertIfNegative val="0"/>
          <c:cat>
            <c:strRef>
              <c:f>Processing!$C$11:$C$22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Processing!$D$11:$D$22</c:f>
              <c:numCache>
                <c:formatCode>General</c:formatCode>
                <c:ptCount val="12"/>
                <c:pt idx="0">
                  <c:v>77600</c:v>
                </c:pt>
                <c:pt idx="1">
                  <c:v>95100</c:v>
                </c:pt>
                <c:pt idx="2">
                  <c:v>109600</c:v>
                </c:pt>
                <c:pt idx="3">
                  <c:v>117100</c:v>
                </c:pt>
                <c:pt idx="4">
                  <c:v>109400</c:v>
                </c:pt>
                <c:pt idx="5">
                  <c:v>95600</c:v>
                </c:pt>
                <c:pt idx="6">
                  <c:v>89700</c:v>
                </c:pt>
                <c:pt idx="7">
                  <c:v>102600</c:v>
                </c:pt>
                <c:pt idx="8">
                  <c:v>124500</c:v>
                </c:pt>
                <c:pt idx="9">
                  <c:v>137200</c:v>
                </c:pt>
                <c:pt idx="10">
                  <c:v>145000</c:v>
                </c:pt>
                <c:pt idx="11">
                  <c:v>133700</c:v>
                </c:pt>
              </c:numCache>
            </c:numRef>
          </c:val>
          <c:extLst>
            <c:ext xmlns:c16="http://schemas.microsoft.com/office/drawing/2014/chart" uri="{C3380CC4-5D6E-409C-BE32-E72D297353CC}">
              <c16:uniqueId val="{00000000-3DCE-40B3-93E9-4AF399B00549}"/>
            </c:ext>
          </c:extLst>
        </c:ser>
        <c:ser>
          <c:idx val="2"/>
          <c:order val="2"/>
          <c:tx>
            <c:strRef>
              <c:f>Processing!$E$10</c:f>
              <c:strCache>
                <c:ptCount val="1"/>
                <c:pt idx="0">
                  <c:v>Indent</c:v>
                </c:pt>
              </c:strCache>
            </c:strRef>
          </c:tx>
          <c:spPr>
            <a:blipFill>
              <a:blip xmlns:r="http://schemas.openxmlformats.org/officeDocument/2006/relationships" r:embed="rId4"/>
              <a:stretch>
                <a:fillRect/>
              </a:stretch>
            </a:blipFill>
            <a:ln>
              <a:noFill/>
            </a:ln>
            <a:effectLst/>
          </c:spPr>
          <c:invertIfNegative val="0"/>
          <c:dLbls>
            <c:dLbl>
              <c:idx val="0"/>
              <c:tx>
                <c:rich>
                  <a:bodyPr/>
                  <a:lstStyle/>
                  <a:p>
                    <a:fld id="{9EB7275B-851D-4FD4-BC84-7A2281F63A3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347-40BF-A647-832EF3E90DE1}"/>
                </c:ext>
              </c:extLst>
            </c:dLbl>
            <c:dLbl>
              <c:idx val="1"/>
              <c:tx>
                <c:rich>
                  <a:bodyPr/>
                  <a:lstStyle/>
                  <a:p>
                    <a:fld id="{30DF727D-0F3A-417D-8602-D00E4FB5452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347-40BF-A647-832EF3E90DE1}"/>
                </c:ext>
              </c:extLst>
            </c:dLbl>
            <c:dLbl>
              <c:idx val="2"/>
              <c:tx>
                <c:rich>
                  <a:bodyPr/>
                  <a:lstStyle/>
                  <a:p>
                    <a:fld id="{DF44E1BC-9ADE-4A36-AA2A-66F1E5776DF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347-40BF-A647-832EF3E90DE1}"/>
                </c:ext>
              </c:extLst>
            </c:dLbl>
            <c:dLbl>
              <c:idx val="3"/>
              <c:tx>
                <c:rich>
                  <a:bodyPr/>
                  <a:lstStyle/>
                  <a:p>
                    <a:fld id="{E284BBC1-BFC3-475F-B528-9ECC95AB678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347-40BF-A647-832EF3E90DE1}"/>
                </c:ext>
              </c:extLst>
            </c:dLbl>
            <c:dLbl>
              <c:idx val="4"/>
              <c:tx>
                <c:rich>
                  <a:bodyPr/>
                  <a:lstStyle/>
                  <a:p>
                    <a:fld id="{2674149F-B152-449B-B4F8-7E5C1F7BDC9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347-40BF-A647-832EF3E90DE1}"/>
                </c:ext>
              </c:extLst>
            </c:dLbl>
            <c:dLbl>
              <c:idx val="5"/>
              <c:tx>
                <c:rich>
                  <a:bodyPr/>
                  <a:lstStyle/>
                  <a:p>
                    <a:fld id="{A040732C-F4E5-4A4E-A22B-274D9634BFC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347-40BF-A647-832EF3E90DE1}"/>
                </c:ext>
              </c:extLst>
            </c:dLbl>
            <c:dLbl>
              <c:idx val="6"/>
              <c:tx>
                <c:rich>
                  <a:bodyPr/>
                  <a:lstStyle/>
                  <a:p>
                    <a:fld id="{226CFB73-95EE-4F29-954F-1872A2D6DDC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347-40BF-A647-832EF3E90DE1}"/>
                </c:ext>
              </c:extLst>
            </c:dLbl>
            <c:dLbl>
              <c:idx val="7"/>
              <c:tx>
                <c:rich>
                  <a:bodyPr/>
                  <a:lstStyle/>
                  <a:p>
                    <a:fld id="{C8C00568-1BB6-43D3-8426-C0809A5E98E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347-40BF-A647-832EF3E90DE1}"/>
                </c:ext>
              </c:extLst>
            </c:dLbl>
            <c:dLbl>
              <c:idx val="8"/>
              <c:tx>
                <c:rich>
                  <a:bodyPr/>
                  <a:lstStyle/>
                  <a:p>
                    <a:fld id="{29F9803B-817D-45CA-86E0-B6DD3D1D319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347-40BF-A647-832EF3E90DE1}"/>
                </c:ext>
              </c:extLst>
            </c:dLbl>
            <c:dLbl>
              <c:idx val="9"/>
              <c:tx>
                <c:rich>
                  <a:bodyPr/>
                  <a:lstStyle/>
                  <a:p>
                    <a:fld id="{14222ED5-B591-451A-8BAF-4BF4113B80B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347-40BF-A647-832EF3E90DE1}"/>
                </c:ext>
              </c:extLst>
            </c:dLbl>
            <c:dLbl>
              <c:idx val="10"/>
              <c:tx>
                <c:rich>
                  <a:bodyPr/>
                  <a:lstStyle/>
                  <a:p>
                    <a:fld id="{9B941D6B-0334-4481-8845-27EA87420EE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347-40BF-A647-832EF3E90DE1}"/>
                </c:ext>
              </c:extLst>
            </c:dLbl>
            <c:dLbl>
              <c:idx val="11"/>
              <c:tx>
                <c:rich>
                  <a:bodyPr/>
                  <a:lstStyle/>
                  <a:p>
                    <a:fld id="{5827FD94-89D4-4716-88AA-838B31C97C5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347-40BF-A647-832EF3E90D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Processing!$E$11:$E$22</c:f>
              <c:numCache>
                <c:formatCode>General</c:formatCode>
                <c:ptCount val="12"/>
                <c:pt idx="0">
                  <c:v>7250</c:v>
                </c:pt>
                <c:pt idx="1">
                  <c:v>7250</c:v>
                </c:pt>
                <c:pt idx="2">
                  <c:v>7250</c:v>
                </c:pt>
                <c:pt idx="3">
                  <c:v>7250</c:v>
                </c:pt>
                <c:pt idx="4">
                  <c:v>7250</c:v>
                </c:pt>
                <c:pt idx="5">
                  <c:v>7250</c:v>
                </c:pt>
                <c:pt idx="6">
                  <c:v>7250</c:v>
                </c:pt>
                <c:pt idx="7">
                  <c:v>7250</c:v>
                </c:pt>
                <c:pt idx="8">
                  <c:v>7250</c:v>
                </c:pt>
                <c:pt idx="9">
                  <c:v>7250</c:v>
                </c:pt>
                <c:pt idx="10">
                  <c:v>7250</c:v>
                </c:pt>
                <c:pt idx="11">
                  <c:v>7250</c:v>
                </c:pt>
              </c:numCache>
            </c:numRef>
          </c:val>
          <c:extLst>
            <c:ext xmlns:c15="http://schemas.microsoft.com/office/drawing/2012/chart" uri="{02D57815-91ED-43cb-92C2-25804820EDAC}">
              <c15:datalabelsRange>
                <c15:f>Processing!$D$11:$D$22</c15:f>
                <c15:dlblRangeCache>
                  <c:ptCount val="12"/>
                  <c:pt idx="0">
                    <c:v>77600</c:v>
                  </c:pt>
                  <c:pt idx="1">
                    <c:v>95100</c:v>
                  </c:pt>
                  <c:pt idx="2">
                    <c:v>109600</c:v>
                  </c:pt>
                  <c:pt idx="3">
                    <c:v>117100</c:v>
                  </c:pt>
                  <c:pt idx="4">
                    <c:v>109400</c:v>
                  </c:pt>
                  <c:pt idx="5">
                    <c:v>95600</c:v>
                  </c:pt>
                  <c:pt idx="6">
                    <c:v>89700</c:v>
                  </c:pt>
                  <c:pt idx="7">
                    <c:v>102600</c:v>
                  </c:pt>
                  <c:pt idx="8">
                    <c:v>124500</c:v>
                  </c:pt>
                  <c:pt idx="9">
                    <c:v>137200</c:v>
                  </c:pt>
                  <c:pt idx="10">
                    <c:v>145000</c:v>
                  </c:pt>
                  <c:pt idx="11">
                    <c:v>133700</c:v>
                  </c:pt>
                </c15:dlblRangeCache>
              </c15:datalabelsRange>
            </c:ext>
            <c:ext xmlns:c16="http://schemas.microsoft.com/office/drawing/2014/chart" uri="{C3380CC4-5D6E-409C-BE32-E72D297353CC}">
              <c16:uniqueId val="{00000002-3DCE-40B3-93E9-4AF399B00549}"/>
            </c:ext>
          </c:extLst>
        </c:ser>
        <c:dLbls>
          <c:showLegendKey val="0"/>
          <c:showVal val="0"/>
          <c:showCatName val="0"/>
          <c:showSerName val="0"/>
          <c:showPercent val="0"/>
          <c:showBubbleSize val="0"/>
        </c:dLbls>
        <c:gapWidth val="38"/>
        <c:overlap val="100"/>
        <c:axId val="41682272"/>
        <c:axId val="2063491264"/>
      </c:barChart>
      <c:barChart>
        <c:barDir val="col"/>
        <c:grouping val="stacked"/>
        <c:varyColors val="0"/>
        <c:ser>
          <c:idx val="4"/>
          <c:order val="3"/>
          <c:tx>
            <c:strRef>
              <c:f>Processing!$G$10</c:f>
              <c:strCache>
                <c:ptCount val="1"/>
                <c:pt idx="0">
                  <c:v>Selected I</c:v>
                </c:pt>
              </c:strCache>
            </c:strRef>
          </c:tx>
          <c:spPr>
            <a:blipFill>
              <a:blip xmlns:r="http://schemas.openxmlformats.org/officeDocument/2006/relationships" r:embed="rId5"/>
              <a:stretch>
                <a:fillRect/>
              </a:stretch>
            </a:blipFill>
            <a:ln>
              <a:noFill/>
            </a:ln>
            <a:effectLst/>
          </c:spPr>
          <c:invertIfNegative val="0"/>
          <c:val>
            <c:numRef>
              <c:f>Processing!$G$11:$G$22</c:f>
              <c:numCache>
                <c:formatCode>General</c:formatCode>
                <c:ptCount val="12"/>
                <c:pt idx="0">
                  <c:v>7250</c:v>
                </c:pt>
                <c:pt idx="1">
                  <c:v>7250</c:v>
                </c:pt>
                <c:pt idx="2">
                  <c:v>7250</c:v>
                </c:pt>
                <c:pt idx="3">
                  <c:v>7250</c:v>
                </c:pt>
                <c:pt idx="4">
                  <c:v>7250</c:v>
                </c:pt>
                <c:pt idx="5">
                  <c:v>7250</c:v>
                </c:pt>
                <c:pt idx="6">
                  <c:v>7250</c:v>
                </c:pt>
                <c:pt idx="7">
                  <c:v>7250</c:v>
                </c:pt>
                <c:pt idx="8">
                  <c:v>7250</c:v>
                </c:pt>
                <c:pt idx="9">
                  <c:v>7250</c:v>
                </c:pt>
                <c:pt idx="10">
                  <c:v>7250</c:v>
                </c:pt>
                <c:pt idx="11">
                  <c:v>7250</c:v>
                </c:pt>
              </c:numCache>
            </c:numRef>
          </c:val>
          <c:extLst>
            <c:ext xmlns:c16="http://schemas.microsoft.com/office/drawing/2014/chart" uri="{C3380CC4-5D6E-409C-BE32-E72D297353CC}">
              <c16:uniqueId val="{00000004-3DCE-40B3-93E9-4AF399B00549}"/>
            </c:ext>
          </c:extLst>
        </c:ser>
        <c:ser>
          <c:idx val="3"/>
          <c:order val="4"/>
          <c:tx>
            <c:strRef>
              <c:f>Processing!$F$10</c:f>
              <c:strCache>
                <c:ptCount val="1"/>
                <c:pt idx="0">
                  <c:v>Selected M</c:v>
                </c:pt>
              </c:strCache>
            </c:strRef>
          </c:tx>
          <c:spPr>
            <a:gradFill>
              <a:gsLst>
                <a:gs pos="0">
                  <a:srgbClr val="1287FF"/>
                </a:gs>
                <a:gs pos="100000">
                  <a:schemeClr val="accent1">
                    <a:lumMod val="30000"/>
                    <a:lumOff val="70000"/>
                  </a:schemeClr>
                </a:gs>
              </a:gsLst>
              <a:lin ang="5400000" scaled="1"/>
            </a:gradFill>
            <a:ln>
              <a:noFill/>
            </a:ln>
            <a:effectLst/>
          </c:spPr>
          <c:invertIfNegative val="0"/>
          <c:val>
            <c:numRef>
              <c:f>Processing!$F$11:$F$22</c:f>
              <c:numCache>
                <c:formatCode>General</c:formatCode>
                <c:ptCount val="12"/>
                <c:pt idx="0">
                  <c:v>77600</c:v>
                </c:pt>
                <c:pt idx="1">
                  <c:v>95100</c:v>
                </c:pt>
                <c:pt idx="2">
                  <c:v>109600</c:v>
                </c:pt>
                <c:pt idx="3">
                  <c:v>117100</c:v>
                </c:pt>
                <c:pt idx="4">
                  <c:v>109400</c:v>
                </c:pt>
                <c:pt idx="5">
                  <c:v>95600</c:v>
                </c:pt>
                <c:pt idx="6">
                  <c:v>89700</c:v>
                </c:pt>
                <c:pt idx="7">
                  <c:v>102600</c:v>
                </c:pt>
                <c:pt idx="8">
                  <c:v>124500</c:v>
                </c:pt>
                <c:pt idx="9">
                  <c:v>137200</c:v>
                </c:pt>
                <c:pt idx="10">
                  <c:v>145000</c:v>
                </c:pt>
                <c:pt idx="11">
                  <c:v>133700</c:v>
                </c:pt>
              </c:numCache>
            </c:numRef>
          </c:val>
          <c:extLst>
            <c:ext xmlns:c16="http://schemas.microsoft.com/office/drawing/2014/chart" uri="{C3380CC4-5D6E-409C-BE32-E72D297353CC}">
              <c16:uniqueId val="{00000003-3DCE-40B3-93E9-4AF399B00549}"/>
            </c:ext>
          </c:extLst>
        </c:ser>
        <c:ser>
          <c:idx val="5"/>
          <c:order val="5"/>
          <c:tx>
            <c:strRef>
              <c:f>Processing!$G$10</c:f>
              <c:strCache>
                <c:ptCount val="1"/>
                <c:pt idx="0">
                  <c:v>Selected I</c:v>
                </c:pt>
              </c:strCache>
            </c:strRef>
          </c:tx>
          <c:spPr>
            <a:blipFill>
              <a:blip xmlns:r="http://schemas.openxmlformats.org/officeDocument/2006/relationships" r:embed="rId4"/>
              <a:stretch>
                <a:fillRect/>
              </a:stretch>
            </a:blipFill>
            <a:ln>
              <a:noFill/>
            </a:ln>
            <a:effectLst/>
          </c:spPr>
          <c:invertIfNegative val="0"/>
          <c:val>
            <c:numRef>
              <c:f>Processing!$G$11:$G$22</c:f>
              <c:numCache>
                <c:formatCode>General</c:formatCode>
                <c:ptCount val="12"/>
                <c:pt idx="0">
                  <c:v>7250</c:v>
                </c:pt>
                <c:pt idx="1">
                  <c:v>7250</c:v>
                </c:pt>
                <c:pt idx="2">
                  <c:v>7250</c:v>
                </c:pt>
                <c:pt idx="3">
                  <c:v>7250</c:v>
                </c:pt>
                <c:pt idx="4">
                  <c:v>7250</c:v>
                </c:pt>
                <c:pt idx="5">
                  <c:v>7250</c:v>
                </c:pt>
                <c:pt idx="6">
                  <c:v>7250</c:v>
                </c:pt>
                <c:pt idx="7">
                  <c:v>7250</c:v>
                </c:pt>
                <c:pt idx="8">
                  <c:v>7250</c:v>
                </c:pt>
                <c:pt idx="9">
                  <c:v>7250</c:v>
                </c:pt>
                <c:pt idx="10">
                  <c:v>7250</c:v>
                </c:pt>
                <c:pt idx="11">
                  <c:v>7250</c:v>
                </c:pt>
              </c:numCache>
            </c:numRef>
          </c:val>
          <c:extLst>
            <c:ext xmlns:c16="http://schemas.microsoft.com/office/drawing/2014/chart" uri="{C3380CC4-5D6E-409C-BE32-E72D297353CC}">
              <c16:uniqueId val="{00000005-3DCE-40B3-93E9-4AF399B00549}"/>
            </c:ext>
          </c:extLst>
        </c:ser>
        <c:dLbls>
          <c:showLegendKey val="0"/>
          <c:showVal val="0"/>
          <c:showCatName val="0"/>
          <c:showSerName val="0"/>
          <c:showPercent val="0"/>
          <c:showBubbleSize val="0"/>
        </c:dLbls>
        <c:gapWidth val="38"/>
        <c:overlap val="100"/>
        <c:axId val="166839552"/>
        <c:axId val="169310352"/>
      </c:barChart>
      <c:lineChart>
        <c:grouping val="standard"/>
        <c:varyColors val="0"/>
        <c:ser>
          <c:idx val="6"/>
          <c:order val="6"/>
          <c:tx>
            <c:strRef>
              <c:f>Processing!$H$10</c:f>
              <c:strCache>
                <c:ptCount val="1"/>
                <c:pt idx="0">
                  <c:v>Indent2</c:v>
                </c:pt>
              </c:strCache>
            </c:strRef>
          </c:tx>
          <c:spPr>
            <a:ln w="19050" cap="rnd">
              <a:solidFill>
                <a:schemeClr val="tx1">
                  <a:lumMod val="65000"/>
                  <a:lumOff val="35000"/>
                </a:schemeClr>
              </a:solidFill>
              <a:prstDash val="sysDash"/>
              <a:round/>
            </a:ln>
            <a:effectLst/>
          </c:spPr>
          <c:marker>
            <c:symbol val="none"/>
          </c:marker>
          <c:val>
            <c:numRef>
              <c:f>Processing!$H$11:$H$22</c:f>
              <c:numCache>
                <c:formatCode>General</c:formatCode>
                <c:ptCount val="12"/>
                <c:pt idx="0">
                  <c:v>150100</c:v>
                </c:pt>
                <c:pt idx="1">
                  <c:v>167600</c:v>
                </c:pt>
                <c:pt idx="2">
                  <c:v>182100</c:v>
                </c:pt>
                <c:pt idx="3">
                  <c:v>189600</c:v>
                </c:pt>
                <c:pt idx="4">
                  <c:v>181900</c:v>
                </c:pt>
                <c:pt idx="5">
                  <c:v>168100</c:v>
                </c:pt>
                <c:pt idx="6">
                  <c:v>162200</c:v>
                </c:pt>
                <c:pt idx="7">
                  <c:v>175100</c:v>
                </c:pt>
                <c:pt idx="8">
                  <c:v>197000</c:v>
                </c:pt>
                <c:pt idx="9">
                  <c:v>209700</c:v>
                </c:pt>
                <c:pt idx="10">
                  <c:v>217500</c:v>
                </c:pt>
                <c:pt idx="11">
                  <c:v>206200</c:v>
                </c:pt>
              </c:numCache>
            </c:numRef>
          </c:val>
          <c:smooth val="1"/>
          <c:extLst>
            <c:ext xmlns:c16="http://schemas.microsoft.com/office/drawing/2014/chart" uri="{C3380CC4-5D6E-409C-BE32-E72D297353CC}">
              <c16:uniqueId val="{0000000C-B347-40BF-A647-832EF3E90DE1}"/>
            </c:ext>
          </c:extLst>
        </c:ser>
        <c:dLbls>
          <c:showLegendKey val="0"/>
          <c:showVal val="0"/>
          <c:showCatName val="0"/>
          <c:showSerName val="0"/>
          <c:showPercent val="0"/>
          <c:showBubbleSize val="0"/>
        </c:dLbls>
        <c:marker val="1"/>
        <c:smooth val="0"/>
        <c:axId val="41682272"/>
        <c:axId val="2063491264"/>
      </c:lineChart>
      <c:catAx>
        <c:axId val="416822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63491264"/>
        <c:crosses val="autoZero"/>
        <c:auto val="1"/>
        <c:lblAlgn val="ctr"/>
        <c:lblOffset val="100"/>
        <c:noMultiLvlLbl val="0"/>
      </c:catAx>
      <c:valAx>
        <c:axId val="2063491264"/>
        <c:scaling>
          <c:orientation val="minMax"/>
        </c:scaling>
        <c:delete val="1"/>
        <c:axPos val="l"/>
        <c:numFmt formatCode="General" sourceLinked="1"/>
        <c:majorTickMark val="none"/>
        <c:minorTickMark val="none"/>
        <c:tickLblPos val="nextTo"/>
        <c:crossAx val="41682272"/>
        <c:crosses val="autoZero"/>
        <c:crossBetween val="between"/>
      </c:valAx>
      <c:valAx>
        <c:axId val="169310352"/>
        <c:scaling>
          <c:orientation val="minMax"/>
        </c:scaling>
        <c:delete val="1"/>
        <c:axPos val="r"/>
        <c:numFmt formatCode="General" sourceLinked="1"/>
        <c:majorTickMark val="out"/>
        <c:minorTickMark val="none"/>
        <c:tickLblPos val="nextTo"/>
        <c:crossAx val="166839552"/>
        <c:crosses val="max"/>
        <c:crossBetween val="between"/>
      </c:valAx>
      <c:catAx>
        <c:axId val="166839552"/>
        <c:scaling>
          <c:orientation val="minMax"/>
        </c:scaling>
        <c:delete val="1"/>
        <c:axPos val="b"/>
        <c:majorTickMark val="out"/>
        <c:minorTickMark val="none"/>
        <c:tickLblPos val="nextTo"/>
        <c:crossAx val="1693103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13500000" algn="br" rotWithShape="0">
                <a:prstClr val="black">
                  <a:alpha val="40000"/>
                </a:prstClr>
              </a:outerShdw>
            </a:effectLst>
          </c:spPr>
          <c:dPt>
            <c:idx val="0"/>
            <c:bubble3D val="0"/>
            <c:spPr>
              <a:gradFill flip="none" rotWithShape="1">
                <a:gsLst>
                  <a:gs pos="100000">
                    <a:srgbClr val="1075EB"/>
                  </a:gs>
                  <a:gs pos="0">
                    <a:srgbClr val="024088"/>
                  </a:gs>
                </a:gsLst>
                <a:lin ang="0" scaled="1"/>
                <a:tileRect/>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1-D350-4DE3-80DE-37EA0C41A1FA}"/>
              </c:ext>
            </c:extLst>
          </c:dPt>
          <c:dPt>
            <c:idx val="1"/>
            <c:bubble3D val="0"/>
            <c:spPr>
              <a:solidFill>
                <a:schemeClr val="bg1">
                  <a:alpha val="20000"/>
                </a:schemeClr>
              </a:soli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03-D350-4DE3-80DE-37EA0C41A1FA}"/>
              </c:ext>
            </c:extLst>
          </c:dPt>
          <c:val>
            <c:numRef>
              <c:f>Processing!$B$3:$C$3</c:f>
              <c:numCache>
                <c:formatCode>0%</c:formatCode>
                <c:ptCount val="2"/>
                <c:pt idx="0">
                  <c:v>0.63341560092738014</c:v>
                </c:pt>
                <c:pt idx="1">
                  <c:v>0.36658439907261986</c:v>
                </c:pt>
              </c:numCache>
            </c:numRef>
          </c:val>
          <c:extLst>
            <c:ext xmlns:c16="http://schemas.microsoft.com/office/drawing/2014/chart" uri="{C3380CC4-5D6E-409C-BE32-E72D297353CC}">
              <c16:uniqueId val="{00000004-D350-4DE3-80DE-37EA0C41A1F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38100" dir="8100000" algn="tr" rotWithShape="0">
                <a:prstClr val="black">
                  <a:alpha val="40000"/>
                </a:prstClr>
              </a:outerShdw>
            </a:effectLst>
          </c:spPr>
          <c:dPt>
            <c:idx val="0"/>
            <c:bubble3D val="0"/>
            <c:spPr>
              <a:gradFill>
                <a:gsLst>
                  <a:gs pos="100000">
                    <a:srgbClr val="009A96"/>
                  </a:gs>
                  <a:gs pos="0">
                    <a:srgbClr val="35D7C7"/>
                  </a:gs>
                </a:gsLst>
                <a:lin ang="54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7-97D0-4A71-A170-A811BE77B3F6}"/>
              </c:ext>
            </c:extLst>
          </c:dPt>
          <c:dPt>
            <c:idx val="1"/>
            <c:bubble3D val="0"/>
            <c:spPr>
              <a:solidFill>
                <a:schemeClr val="bg1">
                  <a:alpha val="20000"/>
                </a:schemeClr>
              </a:soli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97D0-4A71-A170-A811BE77B3F6}"/>
              </c:ext>
            </c:extLst>
          </c:dPt>
          <c:val>
            <c:numRef>
              <c:f>Processing!$B$2:$C$2</c:f>
              <c:numCache>
                <c:formatCode>0%</c:formatCode>
                <c:ptCount val="2"/>
                <c:pt idx="0">
                  <c:v>0.36658439907261986</c:v>
                </c:pt>
                <c:pt idx="1">
                  <c:v>0.63341560092738014</c:v>
                </c:pt>
              </c:numCache>
            </c:numRef>
          </c:val>
          <c:extLst>
            <c:ext xmlns:c16="http://schemas.microsoft.com/office/drawing/2014/chart" uri="{C3380CC4-5D6E-409C-BE32-E72D297353CC}">
              <c16:uniqueId val="{0000000A-97D0-4A71-A170-A811BE77B3F6}"/>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Processing!$K$1</c:f>
              <c:strCache>
                <c:ptCount val="1"/>
                <c:pt idx="0">
                  <c:v>Indent</c:v>
                </c:pt>
              </c:strCache>
            </c:strRef>
          </c:tx>
          <c:spPr>
            <a:blipFill>
              <a:blip xmlns:r="http://schemas.openxmlformats.org/officeDocument/2006/relationships" r:embed="rId3"/>
              <a:stretch>
                <a:fillRect/>
              </a:stretch>
            </a:blipFill>
            <a:ln>
              <a:noFill/>
            </a:ln>
            <a:effectLst/>
          </c:spPr>
          <c:invertIfNegative val="0"/>
          <c:val>
            <c:numRef>
              <c:f>Processing!$K$2:$K$6</c:f>
              <c:numCache>
                <c:formatCode>General</c:formatCode>
                <c:ptCount val="5"/>
                <c:pt idx="0">
                  <c:v>3.6</c:v>
                </c:pt>
                <c:pt idx="1">
                  <c:v>3.6</c:v>
                </c:pt>
                <c:pt idx="2">
                  <c:v>3.6</c:v>
                </c:pt>
                <c:pt idx="3">
                  <c:v>3.6</c:v>
                </c:pt>
                <c:pt idx="4">
                  <c:v>3.6</c:v>
                </c:pt>
              </c:numCache>
            </c:numRef>
          </c:val>
          <c:extLst>
            <c:ext xmlns:c16="http://schemas.microsoft.com/office/drawing/2014/chart" uri="{C3380CC4-5D6E-409C-BE32-E72D297353CC}">
              <c16:uniqueId val="{00000000-027A-4FB3-BF38-B953F05CA1AD}"/>
            </c:ext>
          </c:extLst>
        </c:ser>
        <c:ser>
          <c:idx val="1"/>
          <c:order val="1"/>
          <c:spPr>
            <a:gradFill>
              <a:gsLst>
                <a:gs pos="0">
                  <a:srgbClr val="302B55"/>
                </a:gs>
                <a:gs pos="100000">
                  <a:srgbClr val="6D40CF"/>
                </a:gs>
              </a:gsLst>
              <a:lin ang="0" scaled="0"/>
            </a:gra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Processing!$J$2:$J$6</c:f>
              <c:numCache>
                <c:formatCode>General</c:formatCode>
                <c:ptCount val="5"/>
                <c:pt idx="0">
                  <c:v>72</c:v>
                </c:pt>
                <c:pt idx="1">
                  <c:v>49</c:v>
                </c:pt>
                <c:pt idx="2">
                  <c:v>49</c:v>
                </c:pt>
                <c:pt idx="3">
                  <c:v>27</c:v>
                </c:pt>
                <c:pt idx="4">
                  <c:v>26</c:v>
                </c:pt>
              </c:numCache>
            </c:numRef>
          </c:val>
          <c:extLst>
            <c:ext xmlns:c16="http://schemas.microsoft.com/office/drawing/2014/chart" uri="{C3380CC4-5D6E-409C-BE32-E72D297353CC}">
              <c16:uniqueId val="{00000001-027A-4FB3-BF38-B953F05CA1AD}"/>
            </c:ext>
          </c:extLst>
        </c:ser>
        <c:ser>
          <c:idx val="2"/>
          <c:order val="2"/>
          <c:tx>
            <c:strRef>
              <c:f>Processing!$K$1</c:f>
              <c:strCache>
                <c:ptCount val="1"/>
                <c:pt idx="0">
                  <c:v>Indent</c:v>
                </c:pt>
              </c:strCache>
            </c:strRef>
          </c:tx>
          <c:spPr>
            <a:blipFill>
              <a:blip xmlns:r="http://schemas.openxmlformats.org/officeDocument/2006/relationships" r:embed="rId4"/>
              <a:stretch>
                <a:fillRect/>
              </a:stretch>
            </a:blipFill>
            <a:ln>
              <a:noFill/>
            </a:ln>
            <a:effectLst/>
          </c:spPr>
          <c:invertIfNegative val="0"/>
          <c:val>
            <c:numRef>
              <c:f>Processing!$K$2:$K$6</c:f>
              <c:numCache>
                <c:formatCode>General</c:formatCode>
                <c:ptCount val="5"/>
                <c:pt idx="0">
                  <c:v>3.6</c:v>
                </c:pt>
                <c:pt idx="1">
                  <c:v>3.6</c:v>
                </c:pt>
                <c:pt idx="2">
                  <c:v>3.6</c:v>
                </c:pt>
                <c:pt idx="3">
                  <c:v>3.6</c:v>
                </c:pt>
                <c:pt idx="4">
                  <c:v>3.6</c:v>
                </c:pt>
              </c:numCache>
            </c:numRef>
          </c:val>
          <c:extLst>
            <c:ext xmlns:c16="http://schemas.microsoft.com/office/drawing/2014/chart" uri="{C3380CC4-5D6E-409C-BE32-E72D297353CC}">
              <c16:uniqueId val="{00000002-027A-4FB3-BF38-B953F05CA1AD}"/>
            </c:ext>
          </c:extLst>
        </c:ser>
        <c:dLbls>
          <c:showLegendKey val="0"/>
          <c:showVal val="0"/>
          <c:showCatName val="0"/>
          <c:showSerName val="0"/>
          <c:showPercent val="0"/>
          <c:showBubbleSize val="0"/>
        </c:dLbls>
        <c:gapWidth val="67"/>
        <c:overlap val="100"/>
        <c:axId val="1220547040"/>
        <c:axId val="253978384"/>
      </c:barChart>
      <c:catAx>
        <c:axId val="1220547040"/>
        <c:scaling>
          <c:orientation val="maxMin"/>
        </c:scaling>
        <c:delete val="1"/>
        <c:axPos val="l"/>
        <c:majorTickMark val="none"/>
        <c:minorTickMark val="none"/>
        <c:tickLblPos val="nextTo"/>
        <c:crossAx val="253978384"/>
        <c:crosses val="autoZero"/>
        <c:auto val="1"/>
        <c:lblAlgn val="ctr"/>
        <c:lblOffset val="100"/>
        <c:noMultiLvlLbl val="0"/>
      </c:catAx>
      <c:valAx>
        <c:axId val="253978384"/>
        <c:scaling>
          <c:orientation val="minMax"/>
        </c:scaling>
        <c:delete val="1"/>
        <c:axPos val="t"/>
        <c:numFmt formatCode="General" sourceLinked="1"/>
        <c:majorTickMark val="none"/>
        <c:minorTickMark val="none"/>
        <c:tickLblPos val="nextTo"/>
        <c:crossAx val="122054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1"/>
          <c:spPr>
            <a:noFill/>
            <a:ln w="12700">
              <a:solidFill>
                <a:schemeClr val="bg1">
                  <a:alpha val="37000"/>
                </a:schemeClr>
              </a:solidFill>
            </a:ln>
          </c:spPr>
          <c:dPt>
            <c:idx val="0"/>
            <c:bubble3D val="0"/>
            <c:spPr>
              <a:noFill/>
              <a:ln w="12700">
                <a:solidFill>
                  <a:schemeClr val="bg1">
                    <a:alpha val="37000"/>
                  </a:schemeClr>
                </a:solidFill>
              </a:ln>
              <a:effectLst/>
            </c:spPr>
            <c:extLst>
              <c:ext xmlns:c16="http://schemas.microsoft.com/office/drawing/2014/chart" uri="{C3380CC4-5D6E-409C-BE32-E72D297353CC}">
                <c16:uniqueId val="{0000000C-B681-44B7-8011-CDF12B2D1906}"/>
              </c:ext>
            </c:extLst>
          </c:dPt>
          <c:dPt>
            <c:idx val="1"/>
            <c:bubble3D val="0"/>
            <c:spPr>
              <a:noFill/>
              <a:ln w="12700">
                <a:solidFill>
                  <a:schemeClr val="bg1">
                    <a:alpha val="37000"/>
                  </a:schemeClr>
                </a:solidFill>
              </a:ln>
              <a:effectLst/>
            </c:spPr>
            <c:extLst>
              <c:ext xmlns:c16="http://schemas.microsoft.com/office/drawing/2014/chart" uri="{C3380CC4-5D6E-409C-BE32-E72D297353CC}">
                <c16:uniqueId val="{0000000D-B681-44B7-8011-CDF12B2D1906}"/>
              </c:ext>
            </c:extLst>
          </c:dPt>
          <c:dPt>
            <c:idx val="2"/>
            <c:bubble3D val="0"/>
            <c:spPr>
              <a:noFill/>
              <a:ln w="12700">
                <a:solidFill>
                  <a:schemeClr val="bg1">
                    <a:alpha val="37000"/>
                  </a:schemeClr>
                </a:solidFill>
              </a:ln>
              <a:effectLst/>
            </c:spPr>
            <c:extLst>
              <c:ext xmlns:c16="http://schemas.microsoft.com/office/drawing/2014/chart" uri="{C3380CC4-5D6E-409C-BE32-E72D297353CC}">
                <c16:uniqueId val="{0000000E-B681-44B7-8011-CDF12B2D1906}"/>
              </c:ext>
            </c:extLst>
          </c:dPt>
          <c:dPt>
            <c:idx val="3"/>
            <c:bubble3D val="0"/>
            <c:spPr>
              <a:noFill/>
              <a:ln w="12700">
                <a:solidFill>
                  <a:schemeClr val="bg1">
                    <a:alpha val="37000"/>
                  </a:schemeClr>
                </a:solidFill>
              </a:ln>
              <a:effectLst/>
            </c:spPr>
            <c:extLst>
              <c:ext xmlns:c16="http://schemas.microsoft.com/office/drawing/2014/chart" uri="{C3380CC4-5D6E-409C-BE32-E72D297353CC}">
                <c16:uniqueId val="{0000000F-B681-44B7-8011-CDF12B2D1906}"/>
              </c:ext>
            </c:extLst>
          </c:dPt>
          <c:dPt>
            <c:idx val="4"/>
            <c:bubble3D val="0"/>
            <c:spPr>
              <a:noFill/>
              <a:ln w="12700">
                <a:solidFill>
                  <a:schemeClr val="bg1">
                    <a:alpha val="37000"/>
                  </a:schemeClr>
                </a:solidFill>
              </a:ln>
              <a:effectLst/>
            </c:spPr>
            <c:extLst>
              <c:ext xmlns:c16="http://schemas.microsoft.com/office/drawing/2014/chart" uri="{C3380CC4-5D6E-409C-BE32-E72D297353CC}">
                <c16:uniqueId val="{00000010-B681-44B7-8011-CDF12B2D1906}"/>
              </c:ext>
            </c:extLst>
          </c:dPt>
          <c:dLbls>
            <c:dLbl>
              <c:idx val="0"/>
              <c:layout>
                <c:manualLayout>
                  <c:x val="-1.730471031274543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681-44B7-8011-CDF12B2D1906}"/>
                </c:ext>
              </c:extLst>
            </c:dLbl>
            <c:dLbl>
              <c:idx val="1"/>
              <c:layout>
                <c:manualLayout>
                  <c:x val="-4.2625745950554137E-3"/>
                  <c:y val="-1.83584944676442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81-44B7-8011-CDF12B2D1906}"/>
                </c:ext>
              </c:extLst>
            </c:dLbl>
            <c:dLbl>
              <c:idx val="2"/>
              <c:layout>
                <c:manualLayout>
                  <c:x val="1.304213571769002E-2"/>
                  <c:y val="-8.66723219788057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81-44B7-8011-CDF12B2D1906}"/>
                </c:ext>
              </c:extLst>
            </c:dLbl>
            <c:dLbl>
              <c:idx val="3"/>
              <c:layout>
                <c:manualLayout>
                  <c:x val="2.006160650817471E-2"/>
                  <c:y val="5.09899068089191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681-44B7-8011-CDF12B2D1906}"/>
                </c:ext>
              </c:extLst>
            </c:dLbl>
            <c:dLbl>
              <c:idx val="4"/>
              <c:layout>
                <c:manualLayout>
                  <c:x val="1.0030803254087308E-2"/>
                  <c:y val="1.52969720426757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681-44B7-8011-CDF12B2D1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Processing!$P$2:$P$6</c:f>
              <c:numCache>
                <c:formatCode>0%</c:formatCode>
                <c:ptCount val="5"/>
                <c:pt idx="0">
                  <c:v>0.13390313390313391</c:v>
                </c:pt>
                <c:pt idx="1">
                  <c:v>0.22507122507122507</c:v>
                </c:pt>
                <c:pt idx="2">
                  <c:v>0.27920227920227919</c:v>
                </c:pt>
                <c:pt idx="3">
                  <c:v>0.24216524216524216</c:v>
                </c:pt>
                <c:pt idx="4">
                  <c:v>0.11965811965811966</c:v>
                </c:pt>
              </c:numCache>
            </c:numRef>
          </c:val>
          <c:extLst>
            <c:ext xmlns:c16="http://schemas.microsoft.com/office/drawing/2014/chart" uri="{C3380CC4-5D6E-409C-BE32-E72D297353CC}">
              <c16:uniqueId val="{0000000B-B681-44B7-8011-CDF12B2D1906}"/>
            </c:ext>
          </c:extLst>
        </c:ser>
        <c:dLbls>
          <c:showLegendKey val="0"/>
          <c:showVal val="1"/>
          <c:showCatName val="0"/>
          <c:showSerName val="0"/>
          <c:showPercent val="0"/>
          <c:showBubbleSize val="0"/>
          <c:showLeaderLines val="1"/>
        </c:dLbls>
        <c:firstSliceAng val="0"/>
        <c:holeSize val="55"/>
      </c:doughnutChart>
      <c:doughnutChart>
        <c:varyColors val="1"/>
        <c:ser>
          <c:idx val="0"/>
          <c:order val="0"/>
          <c:spPr>
            <a:ln>
              <a:noFill/>
            </a:ln>
            <a:effectLst>
              <a:outerShdw blurRad="63500" sx="102000" sy="102000" algn="ctr" rotWithShape="0">
                <a:prstClr val="black">
                  <a:alpha val="40000"/>
                </a:prstClr>
              </a:outerShdw>
            </a:effectLst>
          </c:spPr>
          <c:dPt>
            <c:idx val="0"/>
            <c:bubble3D val="0"/>
            <c:spPr>
              <a:gradFill>
                <a:gsLst>
                  <a:gs pos="0">
                    <a:srgbClr val="1287FF"/>
                  </a:gs>
                  <a:gs pos="100000">
                    <a:srgbClr val="023F87"/>
                  </a:gs>
                </a:gsLst>
                <a:lin ang="5400000" scaled="1"/>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B681-44B7-8011-CDF12B2D1906}"/>
              </c:ext>
            </c:extLst>
          </c:dPt>
          <c:dPt>
            <c:idx val="1"/>
            <c:bubble3D val="0"/>
            <c:spPr>
              <a:gradFill>
                <a:gsLst>
                  <a:gs pos="11000">
                    <a:srgbClr val="FF5F00"/>
                  </a:gs>
                  <a:gs pos="100000">
                    <a:srgbClr val="FF9A20"/>
                  </a:gs>
                </a:gsLst>
                <a:path path="circle">
                  <a:fillToRect l="100000" t="100000"/>
                </a:path>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B681-44B7-8011-CDF12B2D1906}"/>
              </c:ext>
            </c:extLst>
          </c:dPt>
          <c:dPt>
            <c:idx val="2"/>
            <c:bubble3D val="0"/>
            <c:spPr>
              <a:gradFill flip="none" rotWithShape="1">
                <a:gsLst>
                  <a:gs pos="100000">
                    <a:srgbClr val="302B55"/>
                  </a:gs>
                  <a:gs pos="0">
                    <a:srgbClr val="6D40CF"/>
                  </a:gs>
                </a:gsLst>
                <a:lin ang="18900000" scaled="1"/>
                <a:tileRect/>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B681-44B7-8011-CDF12B2D1906}"/>
              </c:ext>
            </c:extLst>
          </c:dPt>
          <c:dPt>
            <c:idx val="3"/>
            <c:bubble3D val="0"/>
            <c:spPr>
              <a:gradFill>
                <a:gsLst>
                  <a:gs pos="0">
                    <a:srgbClr val="FF0167"/>
                  </a:gs>
                  <a:gs pos="100000">
                    <a:srgbClr val="FF3A89"/>
                  </a:gs>
                </a:gsLst>
                <a:lin ang="5400000" scaled="1"/>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B681-44B7-8011-CDF12B2D1906}"/>
              </c:ext>
            </c:extLst>
          </c:dPt>
          <c:dPt>
            <c:idx val="4"/>
            <c:bubble3D val="0"/>
            <c:spPr>
              <a:gradFill>
                <a:gsLst>
                  <a:gs pos="100000">
                    <a:srgbClr val="009A96"/>
                  </a:gs>
                  <a:gs pos="0">
                    <a:srgbClr val="35D7C7"/>
                  </a:gs>
                </a:gsLst>
                <a:lin ang="5400000" scaled="0"/>
              </a:gra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9-B681-44B7-8011-CDF12B2D1906}"/>
              </c:ext>
            </c:extLst>
          </c:dPt>
          <c:dLbls>
            <c:delete val="1"/>
          </c:dLbls>
          <c:val>
            <c:numRef>
              <c:f>Processing!$P$2:$P$6</c:f>
              <c:numCache>
                <c:formatCode>0%</c:formatCode>
                <c:ptCount val="5"/>
                <c:pt idx="0">
                  <c:v>0.13390313390313391</c:v>
                </c:pt>
                <c:pt idx="1">
                  <c:v>0.22507122507122507</c:v>
                </c:pt>
                <c:pt idx="2">
                  <c:v>0.27920227920227919</c:v>
                </c:pt>
                <c:pt idx="3">
                  <c:v>0.24216524216524216</c:v>
                </c:pt>
                <c:pt idx="4">
                  <c:v>0.11965811965811966</c:v>
                </c:pt>
              </c:numCache>
            </c:numRef>
          </c:val>
          <c:extLst>
            <c:ext xmlns:c16="http://schemas.microsoft.com/office/drawing/2014/chart" uri="{C3380CC4-5D6E-409C-BE32-E72D297353CC}">
              <c16:uniqueId val="{0000000A-B681-44B7-8011-CDF12B2D1906}"/>
            </c:ext>
          </c:extLst>
        </c:ser>
        <c:dLbls>
          <c:showLegendKey val="0"/>
          <c:showVal val="1"/>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Processing!$K$9</c:f>
              <c:strCache>
                <c:ptCount val="1"/>
                <c:pt idx="0">
                  <c:v>Indent Left</c:v>
                </c:pt>
              </c:strCache>
            </c:strRef>
          </c:tx>
          <c:spPr>
            <a:noFill/>
            <a:ln>
              <a:noFill/>
            </a:ln>
            <a:effectLst/>
          </c:spPr>
          <c:invertIfNegative val="0"/>
          <c:val>
            <c:numRef>
              <c:f>Processing!$K$10:$K$14</c:f>
              <c:numCache>
                <c:formatCode>0%</c:formatCode>
                <c:ptCount val="5"/>
                <c:pt idx="0">
                  <c:v>0.2401054230322523</c:v>
                </c:pt>
                <c:pt idx="1">
                  <c:v>0.27715238690848443</c:v>
                </c:pt>
                <c:pt idx="2">
                  <c:v>0.31031299323982253</c:v>
                </c:pt>
                <c:pt idx="3">
                  <c:v>0.32061705232436943</c:v>
                </c:pt>
                <c:pt idx="4">
                  <c:v>0.35632389290925881</c:v>
                </c:pt>
              </c:numCache>
            </c:numRef>
          </c:val>
          <c:extLst>
            <c:ext xmlns:c16="http://schemas.microsoft.com/office/drawing/2014/chart" uri="{C3380CC4-5D6E-409C-BE32-E72D297353CC}">
              <c16:uniqueId val="{00000000-453C-4E0C-944E-16491B19CB3D}"/>
            </c:ext>
          </c:extLst>
        </c:ser>
        <c:ser>
          <c:idx val="5"/>
          <c:order val="1"/>
          <c:tx>
            <c:strRef>
              <c:f>Processing!$O$9</c:f>
              <c:strCache>
                <c:ptCount val="1"/>
                <c:pt idx="0">
                  <c:v>Indents</c:v>
                </c:pt>
              </c:strCache>
            </c:strRef>
          </c:tx>
          <c:spPr>
            <a:blipFill>
              <a:blip xmlns:r="http://schemas.openxmlformats.org/officeDocument/2006/relationships" r:embed="rId3"/>
              <a:stretch>
                <a:fillRect/>
              </a:stretch>
            </a:blipFill>
            <a:ln>
              <a:noFill/>
            </a:ln>
            <a:effectLst/>
          </c:spPr>
          <c:invertIfNegative val="0"/>
          <c:val>
            <c:numRef>
              <c:f>Processing!$O$10:$O$14</c:f>
              <c:numCache>
                <c:formatCode>General</c:formatCode>
                <c:ptCount val="5"/>
                <c:pt idx="0">
                  <c:v>0.03</c:v>
                </c:pt>
                <c:pt idx="1">
                  <c:v>0.03</c:v>
                </c:pt>
                <c:pt idx="2">
                  <c:v>0.03</c:v>
                </c:pt>
                <c:pt idx="3">
                  <c:v>0.03</c:v>
                </c:pt>
                <c:pt idx="4">
                  <c:v>0.03</c:v>
                </c:pt>
              </c:numCache>
            </c:numRef>
          </c:val>
          <c:extLst>
            <c:ext xmlns:c16="http://schemas.microsoft.com/office/drawing/2014/chart" uri="{C3380CC4-5D6E-409C-BE32-E72D297353CC}">
              <c16:uniqueId val="{00000001-453C-4E0C-944E-16491B19CB3D}"/>
            </c:ext>
          </c:extLst>
        </c:ser>
        <c:ser>
          <c:idx val="1"/>
          <c:order val="2"/>
          <c:tx>
            <c:strRef>
              <c:f>Processing!$L$9</c:f>
              <c:strCache>
                <c:ptCount val="1"/>
                <c:pt idx="0">
                  <c:v>Masters</c:v>
                </c:pt>
              </c:strCache>
            </c:strRef>
          </c:tx>
          <c:spPr>
            <a:gradFill>
              <a:gsLst>
                <a:gs pos="0">
                  <a:srgbClr val="FF0167"/>
                </a:gs>
                <a:gs pos="100000">
                  <a:srgbClr val="FF3A89"/>
                </a:gs>
              </a:gsLst>
              <a:lin ang="10800000" scaled="0"/>
            </a:gradFill>
            <a:ln>
              <a:noFill/>
            </a:ln>
            <a:effectLst/>
          </c:spPr>
          <c:invertIfNegative val="0"/>
          <c:dLbls>
            <c:dLbl>
              <c:idx val="0"/>
              <c:tx>
                <c:rich>
                  <a:bodyPr/>
                  <a:lstStyle/>
                  <a:p>
                    <a:fld id="{AAA8C51E-2908-4BB1-B284-645524AB912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78D-43A0-8A19-193901F3A192}"/>
                </c:ext>
              </c:extLst>
            </c:dLbl>
            <c:dLbl>
              <c:idx val="1"/>
              <c:tx>
                <c:rich>
                  <a:bodyPr/>
                  <a:lstStyle/>
                  <a:p>
                    <a:fld id="{3A3E5704-94F4-4354-9453-8F3A3165475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78D-43A0-8A19-193901F3A192}"/>
                </c:ext>
              </c:extLst>
            </c:dLbl>
            <c:dLbl>
              <c:idx val="2"/>
              <c:tx>
                <c:rich>
                  <a:bodyPr/>
                  <a:lstStyle/>
                  <a:p>
                    <a:fld id="{1F49C068-9B1B-4A6D-98C7-BEE7C309D4E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78D-43A0-8A19-193901F3A192}"/>
                </c:ext>
              </c:extLst>
            </c:dLbl>
            <c:dLbl>
              <c:idx val="3"/>
              <c:tx>
                <c:rich>
                  <a:bodyPr/>
                  <a:lstStyle/>
                  <a:p>
                    <a:fld id="{0A59D872-6AF3-413E-9930-DC0283E0966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78D-43A0-8A19-193901F3A192}"/>
                </c:ext>
              </c:extLst>
            </c:dLbl>
            <c:dLbl>
              <c:idx val="4"/>
              <c:tx>
                <c:rich>
                  <a:bodyPr/>
                  <a:lstStyle/>
                  <a:p>
                    <a:fld id="{45D0FA9B-B45B-4B20-B128-BC096D62D06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78D-43A0-8A19-193901F3A1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Processing!$L$10:$L$14</c:f>
              <c:numCache>
                <c:formatCode>0%</c:formatCode>
                <c:ptCount val="5"/>
                <c:pt idx="0">
                  <c:v>0.2598945769677477</c:v>
                </c:pt>
                <c:pt idx="1">
                  <c:v>0.22284761309151555</c:v>
                </c:pt>
                <c:pt idx="2">
                  <c:v>0.1896870067601775</c:v>
                </c:pt>
                <c:pt idx="3">
                  <c:v>0.17938294767563059</c:v>
                </c:pt>
                <c:pt idx="4">
                  <c:v>0.14367610709074122</c:v>
                </c:pt>
              </c:numCache>
            </c:numRef>
          </c:val>
          <c:extLst>
            <c:ext xmlns:c15="http://schemas.microsoft.com/office/drawing/2012/chart" uri="{02D57815-91ED-43cb-92C2-25804820EDAC}">
              <c15:datalabelsRange>
                <c15:f>Processing!$AG$1:$AG$5</c15:f>
                <c15:dlblRangeCache>
                  <c:ptCount val="5"/>
                  <c:pt idx="0">
                    <c:v>194%</c:v>
                  </c:pt>
                  <c:pt idx="1">
                    <c:v>166%</c:v>
                  </c:pt>
                  <c:pt idx="2">
                    <c:v>142%</c:v>
                  </c:pt>
                  <c:pt idx="3">
                    <c:v>134%</c:v>
                  </c:pt>
                  <c:pt idx="4">
                    <c:v>107%</c:v>
                  </c:pt>
                </c15:dlblRangeCache>
              </c15:datalabelsRange>
            </c:ext>
            <c:ext xmlns:c16="http://schemas.microsoft.com/office/drawing/2014/chart" uri="{C3380CC4-5D6E-409C-BE32-E72D297353CC}">
              <c16:uniqueId val="{00000002-453C-4E0C-944E-16491B19CB3D}"/>
            </c:ext>
          </c:extLst>
        </c:ser>
        <c:ser>
          <c:idx val="7"/>
          <c:order val="3"/>
          <c:tx>
            <c:strRef>
              <c:f>Processing!$O$9</c:f>
              <c:strCache>
                <c:ptCount val="1"/>
                <c:pt idx="0">
                  <c:v>Indents</c:v>
                </c:pt>
              </c:strCache>
            </c:strRef>
          </c:tx>
          <c:spPr>
            <a:blipFill>
              <a:blip xmlns:r="http://schemas.openxmlformats.org/officeDocument/2006/relationships" r:embed="rId4"/>
              <a:stretch>
                <a:fillRect/>
              </a:stretch>
            </a:blipFill>
            <a:ln>
              <a:noFill/>
            </a:ln>
            <a:effectLst/>
          </c:spPr>
          <c:invertIfNegative val="0"/>
          <c:val>
            <c:numRef>
              <c:f>Processing!$O$10:$O$14</c:f>
              <c:numCache>
                <c:formatCode>General</c:formatCode>
                <c:ptCount val="5"/>
                <c:pt idx="0">
                  <c:v>0.03</c:v>
                </c:pt>
                <c:pt idx="1">
                  <c:v>0.03</c:v>
                </c:pt>
                <c:pt idx="2">
                  <c:v>0.03</c:v>
                </c:pt>
                <c:pt idx="3">
                  <c:v>0.03</c:v>
                </c:pt>
                <c:pt idx="4">
                  <c:v>0.03</c:v>
                </c:pt>
              </c:numCache>
            </c:numRef>
          </c:val>
          <c:extLst>
            <c:ext xmlns:c16="http://schemas.microsoft.com/office/drawing/2014/chart" uri="{C3380CC4-5D6E-409C-BE32-E72D297353CC}">
              <c16:uniqueId val="{00000003-453C-4E0C-944E-16491B19CB3D}"/>
            </c:ext>
          </c:extLst>
        </c:ser>
        <c:ser>
          <c:idx val="3"/>
          <c:order val="4"/>
          <c:tx>
            <c:strRef>
              <c:f>Processing!$N$9</c:f>
              <c:strCache>
                <c:ptCount val="1"/>
                <c:pt idx="0">
                  <c:v>Indent Center</c:v>
                </c:pt>
              </c:strCache>
            </c:strRef>
          </c:tx>
          <c:spPr>
            <a:noFill/>
            <a:ln>
              <a:noFill/>
            </a:ln>
            <a:effectLst/>
          </c:spPr>
          <c:invertIfNegative val="0"/>
          <c:val>
            <c:numRef>
              <c:f>Processing!$N$10:$N$14</c:f>
              <c:numCache>
                <c:formatCode>General</c:formatCode>
                <c:ptCount val="5"/>
                <c:pt idx="0">
                  <c:v>0.1</c:v>
                </c:pt>
                <c:pt idx="1">
                  <c:v>0.1</c:v>
                </c:pt>
                <c:pt idx="2">
                  <c:v>0.1</c:v>
                </c:pt>
                <c:pt idx="3">
                  <c:v>0.1</c:v>
                </c:pt>
                <c:pt idx="4">
                  <c:v>0.1</c:v>
                </c:pt>
              </c:numCache>
            </c:numRef>
          </c:val>
          <c:extLst>
            <c:ext xmlns:c16="http://schemas.microsoft.com/office/drawing/2014/chart" uri="{C3380CC4-5D6E-409C-BE32-E72D297353CC}">
              <c16:uniqueId val="{00000004-453C-4E0C-944E-16491B19CB3D}"/>
            </c:ext>
          </c:extLst>
        </c:ser>
        <c:ser>
          <c:idx val="6"/>
          <c:order val="5"/>
          <c:tx>
            <c:strRef>
              <c:f>Processing!$O$9</c:f>
              <c:strCache>
                <c:ptCount val="1"/>
                <c:pt idx="0">
                  <c:v>Indents</c:v>
                </c:pt>
              </c:strCache>
            </c:strRef>
          </c:tx>
          <c:spPr>
            <a:blipFill>
              <a:blip xmlns:r="http://schemas.openxmlformats.org/officeDocument/2006/relationships" r:embed="rId5"/>
              <a:stretch>
                <a:fillRect/>
              </a:stretch>
            </a:blipFill>
            <a:ln>
              <a:noFill/>
            </a:ln>
            <a:effectLst/>
          </c:spPr>
          <c:invertIfNegative val="0"/>
          <c:val>
            <c:numRef>
              <c:f>Processing!$O$10:$O$14</c:f>
              <c:numCache>
                <c:formatCode>General</c:formatCode>
                <c:ptCount val="5"/>
                <c:pt idx="0">
                  <c:v>0.03</c:v>
                </c:pt>
                <c:pt idx="1">
                  <c:v>0.03</c:v>
                </c:pt>
                <c:pt idx="2">
                  <c:v>0.03</c:v>
                </c:pt>
                <c:pt idx="3">
                  <c:v>0.03</c:v>
                </c:pt>
                <c:pt idx="4">
                  <c:v>0.03</c:v>
                </c:pt>
              </c:numCache>
            </c:numRef>
          </c:val>
          <c:extLst>
            <c:ext xmlns:c16="http://schemas.microsoft.com/office/drawing/2014/chart" uri="{C3380CC4-5D6E-409C-BE32-E72D297353CC}">
              <c16:uniqueId val="{00000005-453C-4E0C-944E-16491B19CB3D}"/>
            </c:ext>
          </c:extLst>
        </c:ser>
        <c:ser>
          <c:idx val="2"/>
          <c:order val="6"/>
          <c:tx>
            <c:strRef>
              <c:f>Processing!$M$9</c:f>
              <c:strCache>
                <c:ptCount val="1"/>
                <c:pt idx="0">
                  <c:v>Managers</c:v>
                </c:pt>
              </c:strCache>
            </c:strRef>
          </c:tx>
          <c:spPr>
            <a:gradFill>
              <a:gsLst>
                <a:gs pos="100000">
                  <a:srgbClr val="009A96"/>
                </a:gs>
                <a:gs pos="0">
                  <a:srgbClr val="35D7C7"/>
                </a:gs>
              </a:gsLst>
              <a:lin ang="10800000" scaled="0"/>
            </a:gradFill>
            <a:ln>
              <a:noFill/>
            </a:ln>
            <a:effectLst/>
          </c:spPr>
          <c:invertIfNegative val="0"/>
          <c:dLbls>
            <c:dLbl>
              <c:idx val="0"/>
              <c:tx>
                <c:rich>
                  <a:bodyPr/>
                  <a:lstStyle/>
                  <a:p>
                    <a:fld id="{174E9FFC-90E0-4226-B670-CC68DE516AF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78D-43A0-8A19-193901F3A192}"/>
                </c:ext>
              </c:extLst>
            </c:dLbl>
            <c:dLbl>
              <c:idx val="1"/>
              <c:tx>
                <c:rich>
                  <a:bodyPr/>
                  <a:lstStyle/>
                  <a:p>
                    <a:fld id="{3EF20AEC-932B-4626-A58D-FFADB81A08C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78D-43A0-8A19-193901F3A192}"/>
                </c:ext>
              </c:extLst>
            </c:dLbl>
            <c:dLbl>
              <c:idx val="2"/>
              <c:tx>
                <c:rich>
                  <a:bodyPr/>
                  <a:lstStyle/>
                  <a:p>
                    <a:fld id="{290F55CF-35F2-4491-B602-65C1D61BA15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78D-43A0-8A19-193901F3A192}"/>
                </c:ext>
              </c:extLst>
            </c:dLbl>
            <c:dLbl>
              <c:idx val="3"/>
              <c:tx>
                <c:rich>
                  <a:bodyPr/>
                  <a:lstStyle/>
                  <a:p>
                    <a:fld id="{17515C03-95CA-4F2B-9557-9F3282EF52E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78D-43A0-8A19-193901F3A192}"/>
                </c:ext>
              </c:extLst>
            </c:dLbl>
            <c:dLbl>
              <c:idx val="4"/>
              <c:tx>
                <c:rich>
                  <a:bodyPr/>
                  <a:lstStyle/>
                  <a:p>
                    <a:fld id="{8A990714-8BFA-412D-A53E-4CEC9AA6F49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78D-43A0-8A19-193901F3A1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Processing!$M$10:$M$14</c:f>
              <c:numCache>
                <c:formatCode>0%</c:formatCode>
                <c:ptCount val="5"/>
                <c:pt idx="0">
                  <c:v>0.24010542303225232</c:v>
                </c:pt>
                <c:pt idx="1">
                  <c:v>0.20381041722505136</c:v>
                </c:pt>
                <c:pt idx="2">
                  <c:v>0.16751541141785045</c:v>
                </c:pt>
                <c:pt idx="3">
                  <c:v>0.10330117037434111</c:v>
                </c:pt>
                <c:pt idx="4">
                  <c:v>0.10330117037434111</c:v>
                </c:pt>
              </c:numCache>
            </c:numRef>
          </c:val>
          <c:extLst>
            <c:ext xmlns:c15="http://schemas.microsoft.com/office/drawing/2012/chart" uri="{02D57815-91ED-43cb-92C2-25804820EDAC}">
              <c15:datalabelsRange>
                <c15:f>Processing!$AM$1:$AM$5</c15:f>
                <c15:dlblRangeCache>
                  <c:ptCount val="5"/>
                  <c:pt idx="0">
                    <c:v>179%</c:v>
                  </c:pt>
                  <c:pt idx="1">
                    <c:v>152%</c:v>
                  </c:pt>
                  <c:pt idx="2">
                    <c:v>125%</c:v>
                  </c:pt>
                  <c:pt idx="3">
                    <c:v>77%</c:v>
                  </c:pt>
                  <c:pt idx="4">
                    <c:v>77%</c:v>
                  </c:pt>
                </c15:dlblRangeCache>
              </c15:datalabelsRange>
            </c:ext>
            <c:ext xmlns:c16="http://schemas.microsoft.com/office/drawing/2014/chart" uri="{C3380CC4-5D6E-409C-BE32-E72D297353CC}">
              <c16:uniqueId val="{00000006-453C-4E0C-944E-16491B19CB3D}"/>
            </c:ext>
          </c:extLst>
        </c:ser>
        <c:ser>
          <c:idx val="4"/>
          <c:order val="7"/>
          <c:tx>
            <c:strRef>
              <c:f>Processing!$O$9</c:f>
              <c:strCache>
                <c:ptCount val="1"/>
                <c:pt idx="0">
                  <c:v>Indents</c:v>
                </c:pt>
              </c:strCache>
            </c:strRef>
          </c:tx>
          <c:spPr>
            <a:blipFill>
              <a:blip xmlns:r="http://schemas.openxmlformats.org/officeDocument/2006/relationships" r:embed="rId6"/>
              <a:stretch>
                <a:fillRect/>
              </a:stretch>
            </a:blipFill>
            <a:ln>
              <a:noFill/>
            </a:ln>
            <a:effectLst/>
          </c:spPr>
          <c:invertIfNegative val="0"/>
          <c:val>
            <c:numRef>
              <c:f>Processing!$O$10:$O$14</c:f>
              <c:numCache>
                <c:formatCode>General</c:formatCode>
                <c:ptCount val="5"/>
                <c:pt idx="0">
                  <c:v>0.03</c:v>
                </c:pt>
                <c:pt idx="1">
                  <c:v>0.03</c:v>
                </c:pt>
                <c:pt idx="2">
                  <c:v>0.03</c:v>
                </c:pt>
                <c:pt idx="3">
                  <c:v>0.03</c:v>
                </c:pt>
                <c:pt idx="4">
                  <c:v>0.03</c:v>
                </c:pt>
              </c:numCache>
            </c:numRef>
          </c:val>
          <c:extLst>
            <c:ext xmlns:c16="http://schemas.microsoft.com/office/drawing/2014/chart" uri="{C3380CC4-5D6E-409C-BE32-E72D297353CC}">
              <c16:uniqueId val="{00000007-453C-4E0C-944E-16491B19CB3D}"/>
            </c:ext>
          </c:extLst>
        </c:ser>
        <c:dLbls>
          <c:showLegendKey val="0"/>
          <c:showVal val="0"/>
          <c:showCatName val="0"/>
          <c:showSerName val="0"/>
          <c:showPercent val="0"/>
          <c:showBubbleSize val="0"/>
        </c:dLbls>
        <c:gapWidth val="67"/>
        <c:overlap val="100"/>
        <c:axId val="1261590975"/>
        <c:axId val="1552838175"/>
      </c:barChart>
      <c:catAx>
        <c:axId val="1261590975"/>
        <c:scaling>
          <c:orientation val="maxMin"/>
        </c:scaling>
        <c:delete val="1"/>
        <c:axPos val="l"/>
        <c:numFmt formatCode="General" sourceLinked="1"/>
        <c:majorTickMark val="out"/>
        <c:minorTickMark val="none"/>
        <c:tickLblPos val="nextTo"/>
        <c:crossAx val="1552838175"/>
        <c:crosses val="autoZero"/>
        <c:auto val="1"/>
        <c:lblAlgn val="ctr"/>
        <c:lblOffset val="100"/>
        <c:noMultiLvlLbl val="0"/>
      </c:catAx>
      <c:valAx>
        <c:axId val="1552838175"/>
        <c:scaling>
          <c:orientation val="minMax"/>
          <c:max val="1.1600000000000001"/>
          <c:min val="0"/>
        </c:scaling>
        <c:delete val="1"/>
        <c:axPos val="t"/>
        <c:numFmt formatCode="0%" sourceLinked="1"/>
        <c:majorTickMark val="out"/>
        <c:minorTickMark val="none"/>
        <c:tickLblPos val="nextTo"/>
        <c:crossAx val="126159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95000"/>
              </a:schemeClr>
            </a:solid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50ED-4C87-BB3C-92755461557C}"/>
              </c:ext>
            </c:extLst>
          </c:dPt>
          <c:dPt>
            <c:idx val="1"/>
            <c:bubble3D val="0"/>
            <c:spPr>
              <a:solidFill>
                <a:schemeClr val="bg1">
                  <a:lumMod val="95000"/>
                  <a:alpha val="25000"/>
                </a:schemeClr>
              </a:solidFill>
              <a:ln w="19050">
                <a:noFill/>
              </a:ln>
              <a:effectLst/>
            </c:spPr>
            <c:extLst>
              <c:ext xmlns:c16="http://schemas.microsoft.com/office/drawing/2014/chart" uri="{C3380CC4-5D6E-409C-BE32-E72D297353CC}">
                <c16:uniqueId val="{00000003-50ED-4C87-BB3C-92755461557C}"/>
              </c:ext>
            </c:extLst>
          </c:dPt>
          <c:val>
            <c:numRef>
              <c:f>Processing!$S$27:$T$27</c:f>
              <c:numCache>
                <c:formatCode>0.0%</c:formatCode>
                <c:ptCount val="2"/>
                <c:pt idx="0">
                  <c:v>0.15826116221673772</c:v>
                </c:pt>
                <c:pt idx="1">
                  <c:v>0.84173883778326231</c:v>
                </c:pt>
              </c:numCache>
            </c:numRef>
          </c:val>
          <c:extLst>
            <c:ext xmlns:c16="http://schemas.microsoft.com/office/drawing/2014/chart" uri="{C3380CC4-5D6E-409C-BE32-E72D297353CC}">
              <c16:uniqueId val="{00000004-50ED-4C87-BB3C-92755461557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000681212558363E-2"/>
          <c:y val="0"/>
          <c:w val="0.93888888888888888"/>
          <c:h val="1"/>
        </c:manualLayout>
      </c:layout>
      <c:barChart>
        <c:barDir val="bar"/>
        <c:grouping val="stacked"/>
        <c:varyColors val="0"/>
        <c:ser>
          <c:idx val="0"/>
          <c:order val="0"/>
          <c:spPr>
            <a:solidFill>
              <a:srgbClr val="FFE699"/>
            </a:solidFill>
            <a:ln>
              <a:noFill/>
            </a:ln>
            <a:effectLst/>
          </c:spPr>
          <c:invertIfNegative val="0"/>
          <c:val>
            <c:numRef>
              <c:f>Processing!$AA$38</c:f>
              <c:numCache>
                <c:formatCode>General</c:formatCode>
                <c:ptCount val="1"/>
                <c:pt idx="0">
                  <c:v>0</c:v>
                </c:pt>
              </c:numCache>
            </c:numRef>
          </c:val>
          <c:extLst>
            <c:ext xmlns:c16="http://schemas.microsoft.com/office/drawing/2014/chart" uri="{C3380CC4-5D6E-409C-BE32-E72D297353CC}">
              <c16:uniqueId val="{00000000-8B2C-4CD5-870B-CDBABD337953}"/>
            </c:ext>
          </c:extLst>
        </c:ser>
        <c:ser>
          <c:idx val="1"/>
          <c:order val="1"/>
          <c:spPr>
            <a:solidFill>
              <a:srgbClr val="FFE699"/>
            </a:solidFill>
            <a:ln>
              <a:noFill/>
            </a:ln>
            <a:effectLst/>
          </c:spPr>
          <c:invertIfNegative val="0"/>
          <c:val>
            <c:numRef>
              <c:f>Processing!$AB$38</c:f>
              <c:numCache>
                <c:formatCode>General</c:formatCode>
                <c:ptCount val="1"/>
                <c:pt idx="0">
                  <c:v>0</c:v>
                </c:pt>
              </c:numCache>
            </c:numRef>
          </c:val>
          <c:extLst>
            <c:ext xmlns:c16="http://schemas.microsoft.com/office/drawing/2014/chart" uri="{C3380CC4-5D6E-409C-BE32-E72D297353CC}">
              <c16:uniqueId val="{00000001-8B2C-4CD5-870B-CDBABD337953}"/>
            </c:ext>
          </c:extLst>
        </c:ser>
        <c:ser>
          <c:idx val="2"/>
          <c:order val="2"/>
          <c:spPr>
            <a:solidFill>
              <a:srgbClr val="FFE699"/>
            </a:solidFill>
            <a:ln>
              <a:noFill/>
            </a:ln>
            <a:effectLst/>
          </c:spPr>
          <c:invertIfNegative val="0"/>
          <c:val>
            <c:numRef>
              <c:f>Processing!$AC$38</c:f>
              <c:numCache>
                <c:formatCode>General</c:formatCode>
                <c:ptCount val="1"/>
                <c:pt idx="0">
                  <c:v>0</c:v>
                </c:pt>
              </c:numCache>
            </c:numRef>
          </c:val>
          <c:extLst>
            <c:ext xmlns:c16="http://schemas.microsoft.com/office/drawing/2014/chart" uri="{C3380CC4-5D6E-409C-BE32-E72D297353CC}">
              <c16:uniqueId val="{00000002-8B2C-4CD5-870B-CDBABD337953}"/>
            </c:ext>
          </c:extLst>
        </c:ser>
        <c:ser>
          <c:idx val="3"/>
          <c:order val="3"/>
          <c:spPr>
            <a:solidFill>
              <a:srgbClr val="FFE699"/>
            </a:solidFill>
            <a:ln>
              <a:noFill/>
            </a:ln>
            <a:effectLst/>
          </c:spPr>
          <c:invertIfNegative val="0"/>
          <c:val>
            <c:numRef>
              <c:f>Processing!$AD$38</c:f>
              <c:numCache>
                <c:formatCode>General</c:formatCode>
                <c:ptCount val="1"/>
                <c:pt idx="0">
                  <c:v>0</c:v>
                </c:pt>
              </c:numCache>
            </c:numRef>
          </c:val>
          <c:extLst>
            <c:ext xmlns:c16="http://schemas.microsoft.com/office/drawing/2014/chart" uri="{C3380CC4-5D6E-409C-BE32-E72D297353CC}">
              <c16:uniqueId val="{00000003-8B2C-4CD5-870B-CDBABD337953}"/>
            </c:ext>
          </c:extLst>
        </c:ser>
        <c:ser>
          <c:idx val="4"/>
          <c:order val="4"/>
          <c:spPr>
            <a:solidFill>
              <a:srgbClr val="FFE699"/>
            </a:solidFill>
            <a:ln>
              <a:noFill/>
            </a:ln>
            <a:effectLst/>
          </c:spPr>
          <c:invertIfNegative val="0"/>
          <c:val>
            <c:numRef>
              <c:f>Processing!$AE$38</c:f>
              <c:numCache>
                <c:formatCode>General</c:formatCode>
                <c:ptCount val="1"/>
                <c:pt idx="0">
                  <c:v>0</c:v>
                </c:pt>
              </c:numCache>
            </c:numRef>
          </c:val>
          <c:extLst>
            <c:ext xmlns:c16="http://schemas.microsoft.com/office/drawing/2014/chart" uri="{C3380CC4-5D6E-409C-BE32-E72D297353CC}">
              <c16:uniqueId val="{00000004-8B2C-4CD5-870B-CDBABD337953}"/>
            </c:ext>
          </c:extLst>
        </c:ser>
        <c:ser>
          <c:idx val="5"/>
          <c:order val="5"/>
          <c:spPr>
            <a:solidFill>
              <a:srgbClr val="FFE699"/>
            </a:solidFill>
            <a:ln>
              <a:noFill/>
            </a:ln>
            <a:effectLst/>
          </c:spPr>
          <c:invertIfNegative val="0"/>
          <c:val>
            <c:numRef>
              <c:f>Processing!$AF$38</c:f>
              <c:numCache>
                <c:formatCode>General</c:formatCode>
                <c:ptCount val="1"/>
                <c:pt idx="0">
                  <c:v>0</c:v>
                </c:pt>
              </c:numCache>
            </c:numRef>
          </c:val>
          <c:extLst>
            <c:ext xmlns:c16="http://schemas.microsoft.com/office/drawing/2014/chart" uri="{C3380CC4-5D6E-409C-BE32-E72D297353CC}">
              <c16:uniqueId val="{00000005-8B2C-4CD5-870B-CDBABD337953}"/>
            </c:ext>
          </c:extLst>
        </c:ser>
        <c:ser>
          <c:idx val="6"/>
          <c:order val="6"/>
          <c:spPr>
            <a:solidFill>
              <a:srgbClr val="FFE699"/>
            </a:solidFill>
            <a:ln>
              <a:noFill/>
            </a:ln>
            <a:effectLst/>
          </c:spPr>
          <c:invertIfNegative val="0"/>
          <c:val>
            <c:numRef>
              <c:f>Processing!$AG$38</c:f>
              <c:numCache>
                <c:formatCode>General</c:formatCode>
                <c:ptCount val="1"/>
                <c:pt idx="0">
                  <c:v>0</c:v>
                </c:pt>
              </c:numCache>
            </c:numRef>
          </c:val>
          <c:extLst>
            <c:ext xmlns:c16="http://schemas.microsoft.com/office/drawing/2014/chart" uri="{C3380CC4-5D6E-409C-BE32-E72D297353CC}">
              <c16:uniqueId val="{00000006-8B2C-4CD5-870B-CDBABD337953}"/>
            </c:ext>
          </c:extLst>
        </c:ser>
        <c:ser>
          <c:idx val="7"/>
          <c:order val="7"/>
          <c:spPr>
            <a:solidFill>
              <a:srgbClr val="FFE699"/>
            </a:solidFill>
            <a:ln>
              <a:noFill/>
            </a:ln>
            <a:effectLst/>
          </c:spPr>
          <c:invertIfNegative val="0"/>
          <c:val>
            <c:numRef>
              <c:f>Processing!$AH$38</c:f>
              <c:numCache>
                <c:formatCode>General</c:formatCode>
                <c:ptCount val="1"/>
                <c:pt idx="0">
                  <c:v>0</c:v>
                </c:pt>
              </c:numCache>
            </c:numRef>
          </c:val>
          <c:extLst>
            <c:ext xmlns:c16="http://schemas.microsoft.com/office/drawing/2014/chart" uri="{C3380CC4-5D6E-409C-BE32-E72D297353CC}">
              <c16:uniqueId val="{00000007-8B2C-4CD5-870B-CDBABD337953}"/>
            </c:ext>
          </c:extLst>
        </c:ser>
        <c:ser>
          <c:idx val="8"/>
          <c:order val="8"/>
          <c:spPr>
            <a:solidFill>
              <a:srgbClr val="FFE699"/>
            </a:solidFill>
            <a:ln>
              <a:noFill/>
            </a:ln>
            <a:effectLst/>
          </c:spPr>
          <c:invertIfNegative val="0"/>
          <c:val>
            <c:numRef>
              <c:f>Processing!$AI$38</c:f>
              <c:numCache>
                <c:formatCode>General</c:formatCode>
                <c:ptCount val="1"/>
                <c:pt idx="0">
                  <c:v>0</c:v>
                </c:pt>
              </c:numCache>
            </c:numRef>
          </c:val>
          <c:extLst>
            <c:ext xmlns:c16="http://schemas.microsoft.com/office/drawing/2014/chart" uri="{C3380CC4-5D6E-409C-BE32-E72D297353CC}">
              <c16:uniqueId val="{00000008-8B2C-4CD5-870B-CDBABD337953}"/>
            </c:ext>
          </c:extLst>
        </c:ser>
        <c:ser>
          <c:idx val="9"/>
          <c:order val="9"/>
          <c:spPr>
            <a:solidFill>
              <a:srgbClr val="FFE699"/>
            </a:solidFill>
            <a:ln>
              <a:noFill/>
            </a:ln>
            <a:effectLst/>
          </c:spPr>
          <c:invertIfNegative val="0"/>
          <c:val>
            <c:numRef>
              <c:f>Processing!$AJ$38</c:f>
              <c:numCache>
                <c:formatCode>General</c:formatCode>
                <c:ptCount val="1"/>
                <c:pt idx="0">
                  <c:v>0</c:v>
                </c:pt>
              </c:numCache>
            </c:numRef>
          </c:val>
          <c:extLst>
            <c:ext xmlns:c16="http://schemas.microsoft.com/office/drawing/2014/chart" uri="{C3380CC4-5D6E-409C-BE32-E72D297353CC}">
              <c16:uniqueId val="{00000009-8B2C-4CD5-870B-CDBABD337953}"/>
            </c:ext>
          </c:extLst>
        </c:ser>
        <c:dLbls>
          <c:showLegendKey val="0"/>
          <c:showVal val="0"/>
          <c:showCatName val="0"/>
          <c:showSerName val="0"/>
          <c:showPercent val="0"/>
          <c:showBubbleSize val="0"/>
        </c:dLbls>
        <c:gapWidth val="150"/>
        <c:overlap val="100"/>
        <c:axId val="193792160"/>
        <c:axId val="2119805728"/>
      </c:barChart>
      <c:catAx>
        <c:axId val="193792160"/>
        <c:scaling>
          <c:orientation val="minMax"/>
        </c:scaling>
        <c:delete val="1"/>
        <c:axPos val="l"/>
        <c:majorTickMark val="out"/>
        <c:minorTickMark val="none"/>
        <c:tickLblPos val="nextTo"/>
        <c:crossAx val="2119805728"/>
        <c:crosses val="autoZero"/>
        <c:auto val="1"/>
        <c:lblAlgn val="ctr"/>
        <c:lblOffset val="100"/>
        <c:noMultiLvlLbl val="0"/>
      </c:catAx>
      <c:valAx>
        <c:axId val="2119805728"/>
        <c:scaling>
          <c:orientation val="minMax"/>
          <c:max val="5"/>
          <c:min val="0"/>
        </c:scaling>
        <c:delete val="1"/>
        <c:axPos val="b"/>
        <c:numFmt formatCode="General" sourceLinked="1"/>
        <c:majorTickMark val="out"/>
        <c:minorTickMark val="none"/>
        <c:tickLblPos val="nextTo"/>
        <c:crossAx val="19379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T</c:v>
          </c:tx>
          <c:spPr>
            <a:gradFill>
              <a:gsLst>
                <a:gs pos="100000">
                  <a:srgbClr val="00928F">
                    <a:alpha val="9000"/>
                  </a:srgbClr>
                </a:gs>
                <a:gs pos="0">
                  <a:srgbClr val="35D7C7">
                    <a:alpha val="63000"/>
                  </a:srgbClr>
                </a:gs>
              </a:gsLst>
              <a:lin ang="5400000" scaled="0"/>
            </a:gradFill>
            <a:ln>
              <a:noFill/>
            </a:ln>
            <a:effectLst/>
          </c:spPr>
          <c:val>
            <c:numRef>
              <c:f>Processing!$D$11:$D$22</c:f>
              <c:numCache>
                <c:formatCode>General</c:formatCode>
                <c:ptCount val="12"/>
                <c:pt idx="0">
                  <c:v>77600</c:v>
                </c:pt>
                <c:pt idx="1">
                  <c:v>95100</c:v>
                </c:pt>
                <c:pt idx="2">
                  <c:v>109600</c:v>
                </c:pt>
                <c:pt idx="3">
                  <c:v>117100</c:v>
                </c:pt>
                <c:pt idx="4">
                  <c:v>109400</c:v>
                </c:pt>
                <c:pt idx="5">
                  <c:v>95600</c:v>
                </c:pt>
                <c:pt idx="6">
                  <c:v>89700</c:v>
                </c:pt>
                <c:pt idx="7">
                  <c:v>102600</c:v>
                </c:pt>
                <c:pt idx="8">
                  <c:v>124500</c:v>
                </c:pt>
                <c:pt idx="9">
                  <c:v>137200</c:v>
                </c:pt>
                <c:pt idx="10">
                  <c:v>145000</c:v>
                </c:pt>
                <c:pt idx="11">
                  <c:v>133700</c:v>
                </c:pt>
              </c:numCache>
            </c:numRef>
          </c:val>
          <c:extLst>
            <c:ext xmlns:c16="http://schemas.microsoft.com/office/drawing/2014/chart" uri="{C3380CC4-5D6E-409C-BE32-E72D297353CC}">
              <c16:uniqueId val="{00000000-0F82-4016-B2F1-A20DCE88C2C3}"/>
            </c:ext>
          </c:extLst>
        </c:ser>
        <c:ser>
          <c:idx val="3"/>
          <c:order val="3"/>
          <c:tx>
            <c:v>C</c:v>
          </c:tx>
          <c:spPr>
            <a:gradFill>
              <a:gsLst>
                <a:gs pos="0">
                  <a:srgbClr val="FF0167">
                    <a:alpha val="47000"/>
                  </a:srgbClr>
                </a:gs>
                <a:gs pos="100000">
                  <a:srgbClr val="FF3A89">
                    <a:alpha val="62000"/>
                  </a:srgbClr>
                </a:gs>
              </a:gsLst>
              <a:lin ang="5400000" scaled="1"/>
            </a:gradFill>
            <a:ln>
              <a:noFill/>
            </a:ln>
            <a:effectLst/>
          </c:spPr>
          <c:val>
            <c:numRef>
              <c:f>Processing!$I$11:$I$22</c:f>
              <c:numCache>
                <c:formatCode>General</c:formatCode>
                <c:ptCount val="12"/>
                <c:pt idx="0">
                  <c:v>75137</c:v>
                </c:pt>
                <c:pt idx="1">
                  <c:v>102667</c:v>
                </c:pt>
                <c:pt idx="2">
                  <c:v>111307</c:v>
                </c:pt>
                <c:pt idx="3">
                  <c:v>110749</c:v>
                </c:pt>
                <c:pt idx="4">
                  <c:v>99947</c:v>
                </c:pt>
                <c:pt idx="5">
                  <c:v>98003</c:v>
                </c:pt>
                <c:pt idx="6">
                  <c:v>98707</c:v>
                </c:pt>
                <c:pt idx="7">
                  <c:v>111153</c:v>
                </c:pt>
                <c:pt idx="8">
                  <c:v>89309</c:v>
                </c:pt>
                <c:pt idx="9">
                  <c:v>93153</c:v>
                </c:pt>
                <c:pt idx="10">
                  <c:v>83973</c:v>
                </c:pt>
                <c:pt idx="11">
                  <c:v>51384</c:v>
                </c:pt>
              </c:numCache>
            </c:numRef>
          </c:val>
          <c:extLst>
            <c:ext xmlns:c16="http://schemas.microsoft.com/office/drawing/2014/chart" uri="{C3380CC4-5D6E-409C-BE32-E72D297353CC}">
              <c16:uniqueId val="{00000001-0F82-4016-B2F1-A20DCE88C2C3}"/>
            </c:ext>
          </c:extLst>
        </c:ser>
        <c:dLbls>
          <c:showLegendKey val="0"/>
          <c:showVal val="0"/>
          <c:showCatName val="0"/>
          <c:showSerName val="0"/>
          <c:showPercent val="0"/>
          <c:showBubbleSize val="0"/>
        </c:dLbls>
        <c:axId val="741919120"/>
        <c:axId val="888950448"/>
      </c:areaChart>
      <c:lineChart>
        <c:grouping val="standard"/>
        <c:varyColors val="0"/>
        <c:ser>
          <c:idx val="0"/>
          <c:order val="0"/>
          <c:tx>
            <c:strRef>
              <c:f>Processing!$D$10</c:f>
              <c:strCache>
                <c:ptCount val="1"/>
                <c:pt idx="0">
                  <c:v>Total</c:v>
                </c:pt>
              </c:strCache>
            </c:strRef>
          </c:tx>
          <c:spPr>
            <a:ln w="63500" cap="rnd">
              <a:solidFill>
                <a:srgbClr val="00CCC7"/>
              </a:solidFill>
              <a:round/>
            </a:ln>
            <a:effectLst>
              <a:outerShdw blurRad="50800" dist="38100" dir="2700000" algn="tl" rotWithShape="0">
                <a:prstClr val="black">
                  <a:alpha val="40000"/>
                </a:prstClr>
              </a:outerShdw>
            </a:effectLst>
          </c:spPr>
          <c:marker>
            <c:symbol val="none"/>
          </c:marker>
          <c:cat>
            <c:strRef>
              <c:f>Processing!$C$11:$C$22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Processing!$D$11:$D$22</c:f>
              <c:numCache>
                <c:formatCode>General</c:formatCode>
                <c:ptCount val="12"/>
                <c:pt idx="0">
                  <c:v>77600</c:v>
                </c:pt>
                <c:pt idx="1">
                  <c:v>95100</c:v>
                </c:pt>
                <c:pt idx="2">
                  <c:v>109600</c:v>
                </c:pt>
                <c:pt idx="3">
                  <c:v>117100</c:v>
                </c:pt>
                <c:pt idx="4">
                  <c:v>109400</c:v>
                </c:pt>
                <c:pt idx="5">
                  <c:v>95600</c:v>
                </c:pt>
                <c:pt idx="6">
                  <c:v>89700</c:v>
                </c:pt>
                <c:pt idx="7">
                  <c:v>102600</c:v>
                </c:pt>
                <c:pt idx="8">
                  <c:v>124500</c:v>
                </c:pt>
                <c:pt idx="9">
                  <c:v>137200</c:v>
                </c:pt>
                <c:pt idx="10">
                  <c:v>145000</c:v>
                </c:pt>
                <c:pt idx="11">
                  <c:v>133700</c:v>
                </c:pt>
              </c:numCache>
            </c:numRef>
          </c:val>
          <c:smooth val="1"/>
          <c:extLst>
            <c:ext xmlns:c16="http://schemas.microsoft.com/office/drawing/2014/chart" uri="{C3380CC4-5D6E-409C-BE32-E72D297353CC}">
              <c16:uniqueId val="{00000002-0F82-4016-B2F1-A20DCE88C2C3}"/>
            </c:ext>
          </c:extLst>
        </c:ser>
        <c:ser>
          <c:idx val="1"/>
          <c:order val="1"/>
          <c:tx>
            <c:strRef>
              <c:f>Processing!$I$10</c:f>
              <c:strCache>
                <c:ptCount val="1"/>
                <c:pt idx="0">
                  <c:v>Cost</c:v>
                </c:pt>
              </c:strCache>
            </c:strRef>
          </c:tx>
          <c:spPr>
            <a:ln w="63500" cap="rnd">
              <a:solidFill>
                <a:srgbClr val="FF0167"/>
              </a:solidFill>
              <a:round/>
            </a:ln>
            <a:effectLst>
              <a:outerShdw blurRad="50800" dist="38100" dir="2700000" algn="tl" rotWithShape="0">
                <a:prstClr val="black">
                  <a:alpha val="40000"/>
                </a:prstClr>
              </a:outerShdw>
            </a:effectLst>
          </c:spPr>
          <c:marker>
            <c:symbol val="none"/>
          </c:marker>
          <c:cat>
            <c:strRef>
              <c:f>Processing!$C$11:$C$22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Processing!$I$11:$I$22</c:f>
              <c:numCache>
                <c:formatCode>General</c:formatCode>
                <c:ptCount val="12"/>
                <c:pt idx="0">
                  <c:v>75137</c:v>
                </c:pt>
                <c:pt idx="1">
                  <c:v>102667</c:v>
                </c:pt>
                <c:pt idx="2">
                  <c:v>111307</c:v>
                </c:pt>
                <c:pt idx="3">
                  <c:v>110749</c:v>
                </c:pt>
                <c:pt idx="4">
                  <c:v>99947</c:v>
                </c:pt>
                <c:pt idx="5">
                  <c:v>98003</c:v>
                </c:pt>
                <c:pt idx="6">
                  <c:v>98707</c:v>
                </c:pt>
                <c:pt idx="7">
                  <c:v>111153</c:v>
                </c:pt>
                <c:pt idx="8">
                  <c:v>89309</c:v>
                </c:pt>
                <c:pt idx="9">
                  <c:v>93153</c:v>
                </c:pt>
                <c:pt idx="10">
                  <c:v>83973</c:v>
                </c:pt>
                <c:pt idx="11">
                  <c:v>51384</c:v>
                </c:pt>
              </c:numCache>
            </c:numRef>
          </c:val>
          <c:smooth val="1"/>
          <c:extLst>
            <c:ext xmlns:c16="http://schemas.microsoft.com/office/drawing/2014/chart" uri="{C3380CC4-5D6E-409C-BE32-E72D297353CC}">
              <c16:uniqueId val="{00000003-0F82-4016-B2F1-A20DCE88C2C3}"/>
            </c:ext>
          </c:extLst>
        </c:ser>
        <c:dLbls>
          <c:showLegendKey val="0"/>
          <c:showVal val="0"/>
          <c:showCatName val="0"/>
          <c:showSerName val="0"/>
          <c:showPercent val="0"/>
          <c:showBubbleSize val="0"/>
        </c:dLbls>
        <c:marker val="1"/>
        <c:smooth val="0"/>
        <c:axId val="741919120"/>
        <c:axId val="888950448"/>
      </c:lineChart>
      <c:catAx>
        <c:axId val="741919120"/>
        <c:scaling>
          <c:orientation val="minMax"/>
        </c:scaling>
        <c:delete val="0"/>
        <c:axPos val="b"/>
        <c:majorGridlines>
          <c:spPr>
            <a:ln w="9525" cap="flat" cmpd="sng" algn="ctr">
              <a:solidFill>
                <a:srgbClr val="236CAF"/>
              </a:solidFill>
              <a:round/>
            </a:ln>
            <a:effectLst/>
          </c:spPr>
        </c:majorGridlines>
        <c:majorTickMark val="none"/>
        <c:minorTickMark val="none"/>
        <c:tickLblPos val="nextTo"/>
        <c:spPr>
          <a:noFill/>
          <a:ln w="9525" cap="flat" cmpd="sng" algn="ctr">
            <a:solidFill>
              <a:srgbClr val="236CAF"/>
            </a:solidFill>
            <a:round/>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ru-RU"/>
          </a:p>
        </c:txPr>
        <c:crossAx val="888950448"/>
        <c:crosses val="autoZero"/>
        <c:auto val="1"/>
        <c:lblAlgn val="ctr"/>
        <c:lblOffset val="100"/>
        <c:noMultiLvlLbl val="0"/>
      </c:catAx>
      <c:valAx>
        <c:axId val="888950448"/>
        <c:scaling>
          <c:orientation val="minMax"/>
        </c:scaling>
        <c:delete val="0"/>
        <c:axPos val="l"/>
        <c:majorGridlines>
          <c:spPr>
            <a:ln w="9525" cap="flat" cmpd="sng" algn="ctr">
              <a:solidFill>
                <a:srgbClr val="236CA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F0"/>
                </a:solidFill>
                <a:latin typeface="+mn-lt"/>
                <a:ea typeface="+mn-ea"/>
                <a:cs typeface="+mn-cs"/>
              </a:defRPr>
            </a:pPr>
            <a:endParaRPr lang="ru-RU"/>
          </a:p>
        </c:txPr>
        <c:crossAx val="74191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5200302905450771"/>
          <c:y val="2.7568922305764409E-2"/>
          <c:w val="0.42134968412378693"/>
          <c:h val="0.94486215538847118"/>
        </c:manualLayout>
      </c:layout>
      <c:barChart>
        <c:barDir val="bar"/>
        <c:grouping val="stacked"/>
        <c:varyColors val="0"/>
        <c:ser>
          <c:idx val="0"/>
          <c:order val="0"/>
          <c:tx>
            <c:strRef>
              <c:f>Processing!$K$1</c:f>
              <c:strCache>
                <c:ptCount val="1"/>
                <c:pt idx="0">
                  <c:v>Indent</c:v>
                </c:pt>
              </c:strCache>
            </c:strRef>
          </c:tx>
          <c:spPr>
            <a:blipFill>
              <a:blip xmlns:r="http://schemas.openxmlformats.org/officeDocument/2006/relationships" r:embed="rId1"/>
              <a:stretch>
                <a:fillRect/>
              </a:stretch>
            </a:blipFill>
            <a:ln>
              <a:noFill/>
            </a:ln>
            <a:effectLst/>
          </c:spPr>
          <c:invertIfNegative val="0"/>
          <c:cat>
            <c:strRef>
              <c:f>Processing!$AR$1:$AR$26</c:f>
              <c:strCache>
                <c:ptCount val="26"/>
                <c:pt idx="0">
                  <c:v>Wallpapering ceilings</c:v>
                </c:pt>
                <c:pt idx="1">
                  <c:v>Laying parquet boards with glue</c:v>
                </c:pt>
                <c:pt idx="2">
                  <c:v>Installation of slatted ceilings</c:v>
                </c:pt>
                <c:pt idx="3">
                  <c:v>Cutting and installation of additional corners</c:v>
                </c:pt>
                <c:pt idx="4">
                  <c:v>Laying linoleum with glue</c:v>
                </c:pt>
                <c:pt idx="5">
                  <c:v>Laying solid boards</c:v>
                </c:pt>
                <c:pt idx="6">
                  <c:v>Installation of PVC skirting boards</c:v>
                </c:pt>
                <c:pt idx="7">
                  <c:v>Dismantling the window block</c:v>
                </c:pt>
                <c:pt idx="8">
                  <c:v>Laying quartz vinyl tiles with glue</c:v>
                </c:pt>
                <c:pt idx="9">
                  <c:v>Threshold installation</c:v>
                </c:pt>
                <c:pt idx="10">
                  <c:v>Installation of ceiling plinth</c:v>
                </c:pt>
                <c:pt idx="11">
                  <c:v>Application of decorative plaster</c:v>
                </c:pt>
                <c:pt idx="12">
                  <c:v>Dismantling the balcony block</c:v>
                </c:pt>
                <c:pt idx="13">
                  <c:v>Laying quartz vinyl tiles on a substrate</c:v>
                </c:pt>
                <c:pt idx="14">
                  <c:v>Laying parquet boards on a substrate</c:v>
                </c:pt>
                <c:pt idx="15">
                  <c:v>Dismantling the balcony block</c:v>
                </c:pt>
                <c:pt idx="16">
                  <c:v>Removing the front door</c:v>
                </c:pt>
                <c:pt idx="17">
                  <c:v>Removing the shower tray</c:v>
                </c:pt>
                <c:pt idx="18">
                  <c:v>Wallpapering</c:v>
                </c:pt>
                <c:pt idx="19">
                  <c:v>Laying plywood in 1 layer</c:v>
                </c:pt>
                <c:pt idx="20">
                  <c:v>Removing the shower cabin</c:v>
                </c:pt>
                <c:pt idx="21">
                  <c:v>Removing an interior door</c:v>
                </c:pt>
                <c:pt idx="22">
                  <c:v>Removing the sink</c:v>
                </c:pt>
                <c:pt idx="23">
                  <c:v>Laying ceramic tiles, porcelain tiles on the floor with grout</c:v>
                </c:pt>
                <c:pt idx="24">
                  <c:v>Installation of thermal vapor barrier of the ceiling</c:v>
                </c:pt>
                <c:pt idx="25">
                  <c:v>Production and installation of suspended ceilings (matte, glossy)</c:v>
                </c:pt>
              </c:strCache>
            </c:strRef>
          </c:cat>
          <c:val>
            <c:numRef>
              <c:f>Processing!$AT$1:$AT$26</c:f>
              <c:numCache>
                <c:formatCode>General</c:formatCode>
                <c:ptCount val="26"/>
                <c:pt idx="0">
                  <c:v>2.16</c:v>
                </c:pt>
                <c:pt idx="1">
                  <c:v>2.16</c:v>
                </c:pt>
                <c:pt idx="2">
                  <c:v>2.16</c:v>
                </c:pt>
                <c:pt idx="3">
                  <c:v>2.16</c:v>
                </c:pt>
                <c:pt idx="4">
                  <c:v>2.16</c:v>
                </c:pt>
                <c:pt idx="5">
                  <c:v>2.16</c:v>
                </c:pt>
                <c:pt idx="6">
                  <c:v>2.16</c:v>
                </c:pt>
                <c:pt idx="7">
                  <c:v>2.16</c:v>
                </c:pt>
                <c:pt idx="8">
                  <c:v>2.16</c:v>
                </c:pt>
                <c:pt idx="9">
                  <c:v>2.16</c:v>
                </c:pt>
                <c:pt idx="10">
                  <c:v>2.16</c:v>
                </c:pt>
                <c:pt idx="11">
                  <c:v>2.16</c:v>
                </c:pt>
                <c:pt idx="12">
                  <c:v>2.16</c:v>
                </c:pt>
                <c:pt idx="13">
                  <c:v>2.16</c:v>
                </c:pt>
                <c:pt idx="14">
                  <c:v>2.16</c:v>
                </c:pt>
                <c:pt idx="15">
                  <c:v>2.16</c:v>
                </c:pt>
                <c:pt idx="16">
                  <c:v>2.16</c:v>
                </c:pt>
                <c:pt idx="17">
                  <c:v>2.16</c:v>
                </c:pt>
                <c:pt idx="18">
                  <c:v>2.16</c:v>
                </c:pt>
                <c:pt idx="19">
                  <c:v>2.16</c:v>
                </c:pt>
                <c:pt idx="20">
                  <c:v>2.16</c:v>
                </c:pt>
                <c:pt idx="21">
                  <c:v>2.16</c:v>
                </c:pt>
                <c:pt idx="22">
                  <c:v>2.16</c:v>
                </c:pt>
                <c:pt idx="23">
                  <c:v>2.16</c:v>
                </c:pt>
                <c:pt idx="24">
                  <c:v>2.16</c:v>
                </c:pt>
                <c:pt idx="25">
                  <c:v>2.16</c:v>
                </c:pt>
              </c:numCache>
            </c:numRef>
          </c:val>
          <c:extLst>
            <c:ext xmlns:c16="http://schemas.microsoft.com/office/drawing/2014/chart" uri="{C3380CC4-5D6E-409C-BE32-E72D297353CC}">
              <c16:uniqueId val="{00000000-4DDF-4D66-8650-6708A3504918}"/>
            </c:ext>
          </c:extLst>
        </c:ser>
        <c:ser>
          <c:idx val="1"/>
          <c:order val="1"/>
          <c:spPr>
            <a:gradFill>
              <a:gsLst>
                <a:gs pos="0">
                  <a:srgbClr val="302B55"/>
                </a:gs>
                <a:gs pos="100000">
                  <a:srgbClr val="6D40CF"/>
                </a:gs>
              </a:gsLst>
              <a:lin ang="0" scaled="0"/>
            </a:gra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Processing!$AR$1:$AR$26</c:f>
              <c:strCache>
                <c:ptCount val="26"/>
                <c:pt idx="0">
                  <c:v>Wallpapering ceilings</c:v>
                </c:pt>
                <c:pt idx="1">
                  <c:v>Laying parquet boards with glue</c:v>
                </c:pt>
                <c:pt idx="2">
                  <c:v>Installation of slatted ceilings</c:v>
                </c:pt>
                <c:pt idx="3">
                  <c:v>Cutting and installation of additional corners</c:v>
                </c:pt>
                <c:pt idx="4">
                  <c:v>Laying linoleum with glue</c:v>
                </c:pt>
                <c:pt idx="5">
                  <c:v>Laying solid boards</c:v>
                </c:pt>
                <c:pt idx="6">
                  <c:v>Installation of PVC skirting boards</c:v>
                </c:pt>
                <c:pt idx="7">
                  <c:v>Dismantling the window block</c:v>
                </c:pt>
                <c:pt idx="8">
                  <c:v>Laying quartz vinyl tiles with glue</c:v>
                </c:pt>
                <c:pt idx="9">
                  <c:v>Threshold installation</c:v>
                </c:pt>
                <c:pt idx="10">
                  <c:v>Installation of ceiling plinth</c:v>
                </c:pt>
                <c:pt idx="11">
                  <c:v>Application of decorative plaster</c:v>
                </c:pt>
                <c:pt idx="12">
                  <c:v>Dismantling the balcony block</c:v>
                </c:pt>
                <c:pt idx="13">
                  <c:v>Laying quartz vinyl tiles on a substrate</c:v>
                </c:pt>
                <c:pt idx="14">
                  <c:v>Laying parquet boards on a substrate</c:v>
                </c:pt>
                <c:pt idx="15">
                  <c:v>Dismantling the balcony block</c:v>
                </c:pt>
                <c:pt idx="16">
                  <c:v>Removing the front door</c:v>
                </c:pt>
                <c:pt idx="17">
                  <c:v>Removing the shower tray</c:v>
                </c:pt>
                <c:pt idx="18">
                  <c:v>Wallpapering</c:v>
                </c:pt>
                <c:pt idx="19">
                  <c:v>Laying plywood in 1 layer</c:v>
                </c:pt>
                <c:pt idx="20">
                  <c:v>Removing the shower cabin</c:v>
                </c:pt>
                <c:pt idx="21">
                  <c:v>Removing an interior door</c:v>
                </c:pt>
                <c:pt idx="22">
                  <c:v>Removing the sink</c:v>
                </c:pt>
                <c:pt idx="23">
                  <c:v>Laying ceramic tiles, porcelain tiles on the floor with grout</c:v>
                </c:pt>
                <c:pt idx="24">
                  <c:v>Installation of thermal vapor barrier of the ceiling</c:v>
                </c:pt>
                <c:pt idx="25">
                  <c:v>Production and installation of suspended ceilings (matte, glossy)</c:v>
                </c:pt>
              </c:strCache>
            </c:strRef>
          </c:cat>
          <c:val>
            <c:numRef>
              <c:f>Processing!$AS$1:$AS$26</c:f>
              <c:numCache>
                <c:formatCode>General</c:formatCode>
                <c:ptCount val="26"/>
                <c:pt idx="0">
                  <c:v>72</c:v>
                </c:pt>
                <c:pt idx="1">
                  <c:v>49</c:v>
                </c:pt>
                <c:pt idx="2">
                  <c:v>49</c:v>
                </c:pt>
                <c:pt idx="3">
                  <c:v>27</c:v>
                </c:pt>
                <c:pt idx="4">
                  <c:v>26</c:v>
                </c:pt>
                <c:pt idx="5">
                  <c:v>25</c:v>
                </c:pt>
                <c:pt idx="6">
                  <c:v>24</c:v>
                </c:pt>
                <c:pt idx="7">
                  <c:v>22</c:v>
                </c:pt>
                <c:pt idx="8">
                  <c:v>22</c:v>
                </c:pt>
                <c:pt idx="9">
                  <c:v>21</c:v>
                </c:pt>
                <c:pt idx="10">
                  <c:v>3</c:v>
                </c:pt>
                <c:pt idx="11">
                  <c:v>2</c:v>
                </c:pt>
                <c:pt idx="12">
                  <c:v>1</c:v>
                </c:pt>
                <c:pt idx="13">
                  <c:v>1</c:v>
                </c:pt>
                <c:pt idx="14">
                  <c:v>1</c:v>
                </c:pt>
                <c:pt idx="15">
                  <c:v>1</c:v>
                </c:pt>
                <c:pt idx="16">
                  <c:v>1</c:v>
                </c:pt>
                <c:pt idx="17">
                  <c:v>1</c:v>
                </c:pt>
                <c:pt idx="18">
                  <c:v>1</c:v>
                </c:pt>
                <c:pt idx="19">
                  <c:v>1</c:v>
                </c:pt>
                <c:pt idx="20">
                  <c:v>1</c:v>
                </c:pt>
                <c:pt idx="21">
                  <c:v>1</c:v>
                </c:pt>
                <c:pt idx="22">
                  <c:v>0</c:v>
                </c:pt>
                <c:pt idx="23">
                  <c:v>0</c:v>
                </c:pt>
                <c:pt idx="24">
                  <c:v>0</c:v>
                </c:pt>
                <c:pt idx="25">
                  <c:v>0</c:v>
                </c:pt>
              </c:numCache>
            </c:numRef>
          </c:val>
          <c:extLst>
            <c:ext xmlns:c16="http://schemas.microsoft.com/office/drawing/2014/chart" uri="{C3380CC4-5D6E-409C-BE32-E72D297353CC}">
              <c16:uniqueId val="{00000001-4DDF-4D66-8650-6708A3504918}"/>
            </c:ext>
          </c:extLst>
        </c:ser>
        <c:ser>
          <c:idx val="2"/>
          <c:order val="2"/>
          <c:tx>
            <c:strRef>
              <c:f>Processing!$K$1</c:f>
              <c:strCache>
                <c:ptCount val="1"/>
                <c:pt idx="0">
                  <c:v>Indent</c:v>
                </c:pt>
              </c:strCache>
            </c:strRef>
          </c:tx>
          <c:spPr>
            <a:blipFill>
              <a:blip xmlns:r="http://schemas.openxmlformats.org/officeDocument/2006/relationships" r:embed="rId2"/>
              <a:stretch>
                <a:fillRect/>
              </a:stretch>
            </a:blipFill>
            <a:ln>
              <a:noFill/>
            </a:ln>
            <a:effectLst/>
          </c:spPr>
          <c:invertIfNegative val="0"/>
          <c:cat>
            <c:strRef>
              <c:f>Processing!$AR$1:$AR$26</c:f>
              <c:strCache>
                <c:ptCount val="26"/>
                <c:pt idx="0">
                  <c:v>Wallpapering ceilings</c:v>
                </c:pt>
                <c:pt idx="1">
                  <c:v>Laying parquet boards with glue</c:v>
                </c:pt>
                <c:pt idx="2">
                  <c:v>Installation of slatted ceilings</c:v>
                </c:pt>
                <c:pt idx="3">
                  <c:v>Cutting and installation of additional corners</c:v>
                </c:pt>
                <c:pt idx="4">
                  <c:v>Laying linoleum with glue</c:v>
                </c:pt>
                <c:pt idx="5">
                  <c:v>Laying solid boards</c:v>
                </c:pt>
                <c:pt idx="6">
                  <c:v>Installation of PVC skirting boards</c:v>
                </c:pt>
                <c:pt idx="7">
                  <c:v>Dismantling the window block</c:v>
                </c:pt>
                <c:pt idx="8">
                  <c:v>Laying quartz vinyl tiles with glue</c:v>
                </c:pt>
                <c:pt idx="9">
                  <c:v>Threshold installation</c:v>
                </c:pt>
                <c:pt idx="10">
                  <c:v>Installation of ceiling plinth</c:v>
                </c:pt>
                <c:pt idx="11">
                  <c:v>Application of decorative plaster</c:v>
                </c:pt>
                <c:pt idx="12">
                  <c:v>Dismantling the balcony block</c:v>
                </c:pt>
                <c:pt idx="13">
                  <c:v>Laying quartz vinyl tiles on a substrate</c:v>
                </c:pt>
                <c:pt idx="14">
                  <c:v>Laying parquet boards on a substrate</c:v>
                </c:pt>
                <c:pt idx="15">
                  <c:v>Dismantling the balcony block</c:v>
                </c:pt>
                <c:pt idx="16">
                  <c:v>Removing the front door</c:v>
                </c:pt>
                <c:pt idx="17">
                  <c:v>Removing the shower tray</c:v>
                </c:pt>
                <c:pt idx="18">
                  <c:v>Wallpapering</c:v>
                </c:pt>
                <c:pt idx="19">
                  <c:v>Laying plywood in 1 layer</c:v>
                </c:pt>
                <c:pt idx="20">
                  <c:v>Removing the shower cabin</c:v>
                </c:pt>
                <c:pt idx="21">
                  <c:v>Removing an interior door</c:v>
                </c:pt>
                <c:pt idx="22">
                  <c:v>Removing the sink</c:v>
                </c:pt>
                <c:pt idx="23">
                  <c:v>Laying ceramic tiles, porcelain tiles on the floor with grout</c:v>
                </c:pt>
                <c:pt idx="24">
                  <c:v>Installation of thermal vapor barrier of the ceiling</c:v>
                </c:pt>
                <c:pt idx="25">
                  <c:v>Production and installation of suspended ceilings (matte, glossy)</c:v>
                </c:pt>
              </c:strCache>
            </c:strRef>
          </c:cat>
          <c:val>
            <c:numRef>
              <c:f>Processing!$AT$1:$AT$26</c:f>
              <c:numCache>
                <c:formatCode>General</c:formatCode>
                <c:ptCount val="26"/>
                <c:pt idx="0">
                  <c:v>2.16</c:v>
                </c:pt>
                <c:pt idx="1">
                  <c:v>2.16</c:v>
                </c:pt>
                <c:pt idx="2">
                  <c:v>2.16</c:v>
                </c:pt>
                <c:pt idx="3">
                  <c:v>2.16</c:v>
                </c:pt>
                <c:pt idx="4">
                  <c:v>2.16</c:v>
                </c:pt>
                <c:pt idx="5">
                  <c:v>2.16</c:v>
                </c:pt>
                <c:pt idx="6">
                  <c:v>2.16</c:v>
                </c:pt>
                <c:pt idx="7">
                  <c:v>2.16</c:v>
                </c:pt>
                <c:pt idx="8">
                  <c:v>2.16</c:v>
                </c:pt>
                <c:pt idx="9">
                  <c:v>2.16</c:v>
                </c:pt>
                <c:pt idx="10">
                  <c:v>2.16</c:v>
                </c:pt>
                <c:pt idx="11">
                  <c:v>2.16</c:v>
                </c:pt>
                <c:pt idx="12">
                  <c:v>2.16</c:v>
                </c:pt>
                <c:pt idx="13">
                  <c:v>2.16</c:v>
                </c:pt>
                <c:pt idx="14">
                  <c:v>2.16</c:v>
                </c:pt>
                <c:pt idx="15">
                  <c:v>2.16</c:v>
                </c:pt>
                <c:pt idx="16">
                  <c:v>2.16</c:v>
                </c:pt>
                <c:pt idx="17">
                  <c:v>2.16</c:v>
                </c:pt>
                <c:pt idx="18">
                  <c:v>2.16</c:v>
                </c:pt>
                <c:pt idx="19">
                  <c:v>2.16</c:v>
                </c:pt>
                <c:pt idx="20">
                  <c:v>2.16</c:v>
                </c:pt>
                <c:pt idx="21">
                  <c:v>2.16</c:v>
                </c:pt>
                <c:pt idx="22">
                  <c:v>2.16</c:v>
                </c:pt>
                <c:pt idx="23">
                  <c:v>2.16</c:v>
                </c:pt>
                <c:pt idx="24">
                  <c:v>2.16</c:v>
                </c:pt>
                <c:pt idx="25">
                  <c:v>2.16</c:v>
                </c:pt>
              </c:numCache>
            </c:numRef>
          </c:val>
          <c:extLst>
            <c:ext xmlns:c16="http://schemas.microsoft.com/office/drawing/2014/chart" uri="{C3380CC4-5D6E-409C-BE32-E72D297353CC}">
              <c16:uniqueId val="{00000002-4DDF-4D66-8650-6708A3504918}"/>
            </c:ext>
          </c:extLst>
        </c:ser>
        <c:dLbls>
          <c:showLegendKey val="0"/>
          <c:showVal val="0"/>
          <c:showCatName val="0"/>
          <c:showSerName val="0"/>
          <c:showPercent val="0"/>
          <c:showBubbleSize val="0"/>
        </c:dLbls>
        <c:gapWidth val="67"/>
        <c:overlap val="100"/>
        <c:axId val="1220547040"/>
        <c:axId val="253978384"/>
      </c:barChart>
      <c:catAx>
        <c:axId val="1220547040"/>
        <c:scaling>
          <c:orientation val="maxMin"/>
        </c:scaling>
        <c:delete val="0"/>
        <c:axPos val="l"/>
        <c:numFmt formatCode="General" sourceLinked="1"/>
        <c:majorTickMark val="out"/>
        <c:minorTickMark val="none"/>
        <c:tickLblPos val="nextTo"/>
        <c:spPr>
          <a:ln>
            <a:noFill/>
          </a:ln>
        </c:spPr>
        <c:txPr>
          <a:bodyPr/>
          <a:lstStyle/>
          <a:p>
            <a:pPr>
              <a:defRPr>
                <a:solidFill>
                  <a:schemeClr val="bg1"/>
                </a:solidFill>
              </a:defRPr>
            </a:pPr>
            <a:endParaRPr lang="ru-RU"/>
          </a:p>
        </c:txPr>
        <c:crossAx val="253978384"/>
        <c:crosses val="autoZero"/>
        <c:auto val="1"/>
        <c:lblAlgn val="ctr"/>
        <c:lblOffset val="100"/>
        <c:noMultiLvlLbl val="0"/>
      </c:catAx>
      <c:valAx>
        <c:axId val="253978384"/>
        <c:scaling>
          <c:orientation val="minMax"/>
        </c:scaling>
        <c:delete val="1"/>
        <c:axPos val="t"/>
        <c:numFmt formatCode="General" sourceLinked="1"/>
        <c:majorTickMark val="out"/>
        <c:minorTickMark val="none"/>
        <c:tickLblPos val="nextTo"/>
        <c:crossAx val="122054704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oday!B2"/><Relationship Id="rId13" Type="http://schemas.openxmlformats.org/officeDocument/2006/relationships/chart" Target="../charts/chart4.xml"/><Relationship Id="rId18" Type="http://schemas.openxmlformats.org/officeDocument/2006/relationships/hyperlink" Target="#Data!A1"/><Relationship Id="rId3" Type="http://schemas.openxmlformats.org/officeDocument/2006/relationships/image" Target="../media/image4.png"/><Relationship Id="rId21" Type="http://schemas.openxmlformats.org/officeDocument/2006/relationships/hyperlink" Target="#'SERVICES PROVIDED'!A1"/><Relationship Id="rId7" Type="http://schemas.openxmlformats.org/officeDocument/2006/relationships/image" Target="../media/image7.svg"/><Relationship Id="rId12" Type="http://schemas.openxmlformats.org/officeDocument/2006/relationships/chart" Target="../charts/chart3.xml"/><Relationship Id="rId17" Type="http://schemas.openxmlformats.org/officeDocument/2006/relationships/image" Target="../media/image15.svg"/><Relationship Id="rId25" Type="http://schemas.openxmlformats.org/officeDocument/2006/relationships/chart" Target="../charts/chart7.xml"/><Relationship Id="rId2" Type="http://schemas.openxmlformats.org/officeDocument/2006/relationships/hyperlink" Target="#Personnel!B2"/><Relationship Id="rId16" Type="http://schemas.openxmlformats.org/officeDocument/2006/relationships/image" Target="../media/image14.png"/><Relationship Id="rId20" Type="http://schemas.openxmlformats.org/officeDocument/2006/relationships/image" Target="../media/image17.svg"/><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chart" Target="../charts/chart2.xml"/><Relationship Id="rId24" Type="http://schemas.openxmlformats.org/officeDocument/2006/relationships/hyperlink" Target="#BALANCE!A1"/><Relationship Id="rId5" Type="http://schemas.openxmlformats.org/officeDocument/2006/relationships/hyperlink" Target="#Processing!A1"/><Relationship Id="rId15" Type="http://schemas.openxmlformats.org/officeDocument/2006/relationships/image" Target="../media/image13.svg"/><Relationship Id="rId23" Type="http://schemas.openxmlformats.org/officeDocument/2006/relationships/chart" Target="../charts/chart6.xml"/><Relationship Id="rId10" Type="http://schemas.openxmlformats.org/officeDocument/2006/relationships/image" Target="../media/image9.svg"/><Relationship Id="rId19" Type="http://schemas.openxmlformats.org/officeDocument/2006/relationships/image" Target="../media/image16.png"/><Relationship Id="rId4" Type="http://schemas.openxmlformats.org/officeDocument/2006/relationships/image" Target="../media/image5.svg"/><Relationship Id="rId9" Type="http://schemas.openxmlformats.org/officeDocument/2006/relationships/image" Target="../media/image8.png"/><Relationship Id="rId14" Type="http://schemas.openxmlformats.org/officeDocument/2006/relationships/image" Target="../media/image12.png"/><Relationship Id="rId22"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hyperlink" Target="#Today!B2"/></Relationships>
</file>

<file path=xl/drawings/_rels/drawing3.xml.rels><?xml version="1.0" encoding="UTF-8" standalone="yes"?>
<Relationships xmlns="http://schemas.openxmlformats.org/package/2006/relationships"><Relationship Id="rId2" Type="http://schemas.openxmlformats.org/officeDocument/2006/relationships/hyperlink" Target="#'ALL ORDERS'!A1"/><Relationship Id="rId1" Type="http://schemas.openxmlformats.org/officeDocument/2006/relationships/hyperlink" Target="#Today!B2"/></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image" Target="../media/image16.png"/><Relationship Id="rId3" Type="http://schemas.openxmlformats.org/officeDocument/2006/relationships/hyperlink" Target="#DASHBOARD!B2"/><Relationship Id="rId21" Type="http://schemas.openxmlformats.org/officeDocument/2006/relationships/hyperlink" Target="#KPI!A1"/><Relationship Id="rId7" Type="http://schemas.openxmlformats.org/officeDocument/2006/relationships/image" Target="../media/image6.png"/><Relationship Id="rId12" Type="http://schemas.openxmlformats.org/officeDocument/2006/relationships/hyperlink" Target="https://exceltable.com/en/templates/excel-crm-dashboard-template" TargetMode="External"/><Relationship Id="rId17" Type="http://schemas.openxmlformats.org/officeDocument/2006/relationships/hyperlink" Target="#Data!A1"/><Relationship Id="rId25" Type="http://schemas.openxmlformats.org/officeDocument/2006/relationships/hyperlink" Target="https://exceltable.com/en/templates/" TargetMode="External"/><Relationship Id="rId2" Type="http://schemas.openxmlformats.org/officeDocument/2006/relationships/hyperlink" Target="#EMPLOYEES!A1"/><Relationship Id="rId16" Type="http://schemas.openxmlformats.org/officeDocument/2006/relationships/image" Target="../media/image15.svg"/><Relationship Id="rId20" Type="http://schemas.openxmlformats.org/officeDocument/2006/relationships/hyperlink" Target="#BALANCE!A1"/><Relationship Id="rId1" Type="http://schemas.openxmlformats.org/officeDocument/2006/relationships/hyperlink" Target="#ADDEMPLOYEES!C2"/><Relationship Id="rId6" Type="http://schemas.openxmlformats.org/officeDocument/2006/relationships/hyperlink" Target="#Processing!B2"/><Relationship Id="rId11" Type="http://schemas.openxmlformats.org/officeDocument/2006/relationships/image" Target="../media/image9.svg"/><Relationship Id="rId24" Type="http://schemas.openxmlformats.org/officeDocument/2006/relationships/chart" Target="../charts/chart8.xml"/><Relationship Id="rId5" Type="http://schemas.openxmlformats.org/officeDocument/2006/relationships/image" Target="../media/image5.svg"/><Relationship Id="rId15" Type="http://schemas.openxmlformats.org/officeDocument/2006/relationships/image" Target="../media/image14.png"/><Relationship Id="rId23" Type="http://schemas.openxmlformats.org/officeDocument/2006/relationships/image" Target="../media/image23.svg"/><Relationship Id="rId10" Type="http://schemas.openxmlformats.org/officeDocument/2006/relationships/image" Target="../media/image8.png"/><Relationship Id="rId19" Type="http://schemas.openxmlformats.org/officeDocument/2006/relationships/image" Target="../media/image17.svg"/><Relationship Id="rId4" Type="http://schemas.openxmlformats.org/officeDocument/2006/relationships/image" Target="../media/image4.png"/><Relationship Id="rId9" Type="http://schemas.openxmlformats.org/officeDocument/2006/relationships/hyperlink" Target="#Today!B2"/><Relationship Id="rId14" Type="http://schemas.openxmlformats.org/officeDocument/2006/relationships/image" Target="../media/image13.svg"/><Relationship Id="rId22" Type="http://schemas.openxmlformats.org/officeDocument/2006/relationships/image" Target="../media/image22.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4.png"/><Relationship Id="rId18" Type="http://schemas.openxmlformats.org/officeDocument/2006/relationships/hyperlink" Target="https://exceltable.com/en/templates/" TargetMode="External"/><Relationship Id="rId3" Type="http://schemas.openxmlformats.org/officeDocument/2006/relationships/image" Target="../media/image4.png"/><Relationship Id="rId7" Type="http://schemas.openxmlformats.org/officeDocument/2006/relationships/hyperlink" Target="#Today!B2"/><Relationship Id="rId12" Type="http://schemas.openxmlformats.org/officeDocument/2006/relationships/image" Target="../media/image13.svg"/><Relationship Id="rId17" Type="http://schemas.openxmlformats.org/officeDocument/2006/relationships/image" Target="../media/image17.svg"/><Relationship Id="rId2" Type="http://schemas.openxmlformats.org/officeDocument/2006/relationships/hyperlink" Target="#Personnel!B2"/><Relationship Id="rId16" Type="http://schemas.openxmlformats.org/officeDocument/2006/relationships/image" Target="../media/image16.png"/><Relationship Id="rId1" Type="http://schemas.openxmlformats.org/officeDocument/2006/relationships/hyperlink" Target="#DASHBOARD!B2"/><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hyperlink" Target="#Data!A1"/><Relationship Id="rId10" Type="http://schemas.openxmlformats.org/officeDocument/2006/relationships/hyperlink" Target="https://exceltable.com/en/templates/excel-crm-dashboard-template" TargetMode="External"/><Relationship Id="rId4" Type="http://schemas.openxmlformats.org/officeDocument/2006/relationships/image" Target="../media/image5.svg"/><Relationship Id="rId9" Type="http://schemas.openxmlformats.org/officeDocument/2006/relationships/image" Target="../media/image9.svg"/><Relationship Id="rId14" Type="http://schemas.openxmlformats.org/officeDocument/2006/relationships/image" Target="../media/image15.svg"/></Relationships>
</file>

<file path=xl/drawings/_rels/drawing6.xml.rels><?xml version="1.0" encoding="UTF-8" standalone="yes"?>
<Relationships xmlns="http://schemas.openxmlformats.org/package/2006/relationships"><Relationship Id="rId8" Type="http://schemas.openxmlformats.org/officeDocument/2006/relationships/hyperlink" Target="#Processing!B2"/><Relationship Id="rId13" Type="http://schemas.openxmlformats.org/officeDocument/2006/relationships/hyperlink" Target="#ADDEMPLOYEES!C2"/><Relationship Id="rId18" Type="http://schemas.openxmlformats.org/officeDocument/2006/relationships/image" Target="../media/image15.svg"/><Relationship Id="rId26" Type="http://schemas.openxmlformats.org/officeDocument/2006/relationships/image" Target="../media/image28.svg"/><Relationship Id="rId3" Type="http://schemas.openxmlformats.org/officeDocument/2006/relationships/hyperlink" Target="#ORDER!C2"/><Relationship Id="rId21" Type="http://schemas.openxmlformats.org/officeDocument/2006/relationships/image" Target="../media/image17.svg"/><Relationship Id="rId7" Type="http://schemas.openxmlformats.org/officeDocument/2006/relationships/image" Target="../media/image5.svg"/><Relationship Id="rId12" Type="http://schemas.openxmlformats.org/officeDocument/2006/relationships/image" Target="../media/image9.svg"/><Relationship Id="rId17" Type="http://schemas.openxmlformats.org/officeDocument/2006/relationships/image" Target="../media/image14.png"/><Relationship Id="rId25" Type="http://schemas.openxmlformats.org/officeDocument/2006/relationships/image" Target="../media/image27.png"/><Relationship Id="rId2" Type="http://schemas.openxmlformats.org/officeDocument/2006/relationships/image" Target="../media/image24.png"/><Relationship Id="rId16" Type="http://schemas.openxmlformats.org/officeDocument/2006/relationships/image" Target="../media/image13.svg"/><Relationship Id="rId20" Type="http://schemas.openxmlformats.org/officeDocument/2006/relationships/image" Target="../media/image16.png"/><Relationship Id="rId29" Type="http://schemas.openxmlformats.org/officeDocument/2006/relationships/hyperlink" Target="https://exceltable.com/en/templates/" TargetMode="External"/><Relationship Id="rId1" Type="http://schemas.microsoft.com/office/2011/relationships/webextension" Target="../webextensions/webextension1.xml"/><Relationship Id="rId6" Type="http://schemas.openxmlformats.org/officeDocument/2006/relationships/image" Target="../media/image4.png"/><Relationship Id="rId11" Type="http://schemas.openxmlformats.org/officeDocument/2006/relationships/image" Target="../media/image8.png"/><Relationship Id="rId24" Type="http://schemas.openxmlformats.org/officeDocument/2006/relationships/image" Target="../media/image26.svg"/><Relationship Id="rId5" Type="http://schemas.openxmlformats.org/officeDocument/2006/relationships/hyperlink" Target="#Personnel!A1"/><Relationship Id="rId15" Type="http://schemas.openxmlformats.org/officeDocument/2006/relationships/image" Target="../media/image12.png"/><Relationship Id="rId23" Type="http://schemas.openxmlformats.org/officeDocument/2006/relationships/image" Target="../media/image25.png"/><Relationship Id="rId28" Type="http://schemas.openxmlformats.org/officeDocument/2006/relationships/image" Target="../media/image30.svg"/><Relationship Id="rId10" Type="http://schemas.openxmlformats.org/officeDocument/2006/relationships/image" Target="../media/image7.svg"/><Relationship Id="rId19" Type="http://schemas.openxmlformats.org/officeDocument/2006/relationships/hyperlink" Target="#Data!A1"/><Relationship Id="rId4" Type="http://schemas.openxmlformats.org/officeDocument/2006/relationships/hyperlink" Target="#DASHBOARD!B2"/><Relationship Id="rId9" Type="http://schemas.openxmlformats.org/officeDocument/2006/relationships/image" Target="../media/image6.png"/><Relationship Id="rId14" Type="http://schemas.openxmlformats.org/officeDocument/2006/relationships/hyperlink" Target="https://exceltable.com/en/templates/excel-crm-dashboard-template" TargetMode="External"/><Relationship Id="rId22" Type="http://schemas.openxmlformats.org/officeDocument/2006/relationships/hyperlink" Target="#'ALL ORDERS'!A1"/><Relationship Id="rId27" Type="http://schemas.openxmlformats.org/officeDocument/2006/relationships/image" Target="../media/image29.png"/></Relationships>
</file>

<file path=xl/drawings/_rels/drawing7.xml.rels><?xml version="1.0" encoding="UTF-8" standalone="yes"?>
<Relationships xmlns="http://schemas.openxmlformats.org/package/2006/relationships"><Relationship Id="rId8" Type="http://schemas.openxmlformats.org/officeDocument/2006/relationships/hyperlink" Target="#Today!B2"/><Relationship Id="rId13" Type="http://schemas.openxmlformats.org/officeDocument/2006/relationships/image" Target="../media/image13.svg"/><Relationship Id="rId18" Type="http://schemas.openxmlformats.org/officeDocument/2006/relationships/image" Target="../media/image17.svg"/><Relationship Id="rId3" Type="http://schemas.openxmlformats.org/officeDocument/2006/relationships/image" Target="../media/image4.pn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image" Target="../media/image16.png"/><Relationship Id="rId2" Type="http://schemas.openxmlformats.org/officeDocument/2006/relationships/hyperlink" Target="#Personnel!B2"/><Relationship Id="rId16" Type="http://schemas.openxmlformats.org/officeDocument/2006/relationships/hyperlink" Target="#Data!A1"/><Relationship Id="rId1" Type="http://schemas.openxmlformats.org/officeDocument/2006/relationships/hyperlink" Target="#DASHBOARD!B2"/><Relationship Id="rId6" Type="http://schemas.openxmlformats.org/officeDocument/2006/relationships/image" Target="../media/image6.png"/><Relationship Id="rId11" Type="http://schemas.openxmlformats.org/officeDocument/2006/relationships/hyperlink" Target="https://exceltable.com/en/templates/excel-crm-dashboard-template" TargetMode="External"/><Relationship Id="rId5" Type="http://schemas.openxmlformats.org/officeDocument/2006/relationships/hyperlink" Target="#Processing!A1"/><Relationship Id="rId15" Type="http://schemas.openxmlformats.org/officeDocument/2006/relationships/image" Target="../media/image15.svg"/><Relationship Id="rId10" Type="http://schemas.openxmlformats.org/officeDocument/2006/relationships/image" Target="../media/image9.svg"/><Relationship Id="rId19" Type="http://schemas.openxmlformats.org/officeDocument/2006/relationships/hyperlink" Target="https://exceltable.com/en/templates/" TargetMode="External"/><Relationship Id="rId4" Type="http://schemas.openxmlformats.org/officeDocument/2006/relationships/image" Target="../media/image5.svg"/><Relationship Id="rId9" Type="http://schemas.openxmlformats.org/officeDocument/2006/relationships/image" Target="../media/image8.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hyperlink" Target="#Personnel!B2"/></Relationships>
</file>

<file path=xl/drawings/_rels/drawing9.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DASHBOARD!B2"/></Relationships>
</file>

<file path=xl/drawings/_rels/drawing1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DASHBOARD!B2"/></Relationships>
</file>

<file path=xl/drawings/_rels/drawing11.xml.rels><?xml version="1.0" encoding="UTF-8" standalone="yes"?>
<Relationships xmlns="http://schemas.openxmlformats.org/package/2006/relationships"><Relationship Id="rId2" Type="http://schemas.openxmlformats.org/officeDocument/2006/relationships/hyperlink" Target="#Personnel!B2"/><Relationship Id="rId1" Type="http://schemas.openxmlformats.org/officeDocument/2006/relationships/hyperlink" Target="#'Employee Database'!A1"/></Relationships>
</file>

<file path=xl/drawings/_rels/drawing12.xml.rels><?xml version="1.0" encoding="UTF-8" standalone="yes"?>
<Relationships xmlns="http://schemas.openxmlformats.org/package/2006/relationships"><Relationship Id="rId1" Type="http://schemas.openxmlformats.org/officeDocument/2006/relationships/hyperlink" Target="#Personnel!B2"/></Relationships>
</file>

<file path=xl/drawings/_rels/drawing13.xml.rels><?xml version="1.0" encoding="UTF-8" standalone="yes"?>
<Relationships xmlns="http://schemas.openxmlformats.org/package/2006/relationships"><Relationship Id="rId1" Type="http://schemas.openxmlformats.org/officeDocument/2006/relationships/hyperlink" Target="#Personnel!B2"/></Relationships>
</file>

<file path=xl/drawings/drawing1.xml><?xml version="1.0" encoding="utf-8"?>
<xdr:wsDr xmlns:xdr="http://schemas.openxmlformats.org/drawingml/2006/spreadsheetDrawing" xmlns:a="http://schemas.openxmlformats.org/drawingml/2006/main">
  <xdr:twoCellAnchor>
    <xdr:from>
      <xdr:col>3</xdr:col>
      <xdr:colOff>327660</xdr:colOff>
      <xdr:row>3</xdr:row>
      <xdr:rowOff>53340</xdr:rowOff>
    </xdr:from>
    <xdr:to>
      <xdr:col>11</xdr:col>
      <xdr:colOff>508860</xdr:colOff>
      <xdr:row>18</xdr:row>
      <xdr:rowOff>137160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381000</xdr:colOff>
      <xdr:row>3</xdr:row>
      <xdr:rowOff>38100</xdr:rowOff>
    </xdr:from>
    <xdr:to>
      <xdr:col>7</xdr:col>
      <xdr:colOff>137160</xdr:colOff>
      <xdr:row>5</xdr:row>
      <xdr:rowOff>114300</xdr:rowOff>
    </xdr:to>
    <mc:AlternateContent xmlns:mc="http://schemas.openxmlformats.org/markup-compatibility/2006" xmlns:a14="http://schemas.microsoft.com/office/drawing/2010/main">
      <mc:Choice Requires="a14">
        <xdr:graphicFrame macro="">
          <xdr:nvGraphicFramePr>
            <xdr:cNvPr id="56" name="Year">
              <a:extLst>
                <a:ext uri="{FF2B5EF4-FFF2-40B4-BE49-F238E27FC236}">
                  <a16:creationId xmlns:a16="http://schemas.microsoft.com/office/drawing/2014/main" id="{C7D162D3-8E5C-4F8A-83BD-247273AEE2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09800" y="586740"/>
              <a:ext cx="2194560" cy="4419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xdr:col>
      <xdr:colOff>419100</xdr:colOff>
      <xdr:row>17</xdr:row>
      <xdr:rowOff>76200</xdr:rowOff>
    </xdr:from>
    <xdr:to>
      <xdr:col>11</xdr:col>
      <xdr:colOff>438300</xdr:colOff>
      <xdr:row>19</xdr:row>
      <xdr:rowOff>175260</xdr:rowOff>
    </xdr:to>
    <mc:AlternateContent xmlns:mc="http://schemas.openxmlformats.org/markup-compatibility/2006" xmlns:a14="http://schemas.microsoft.com/office/drawing/2010/main">
      <mc:Choice Requires="a14">
        <xdr:graphicFrame macro="">
          <xdr:nvGraphicFramePr>
            <xdr:cNvPr id="57" name="Month">
              <a:extLst>
                <a:ext uri="{FF2B5EF4-FFF2-40B4-BE49-F238E27FC236}">
                  <a16:creationId xmlns:a16="http://schemas.microsoft.com/office/drawing/2014/main" id="{45881ED5-2A03-4B62-92EC-D65242EA92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47900" y="3185160"/>
              <a:ext cx="4896000" cy="4648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19</xdr:row>
      <xdr:rowOff>129540</xdr:rowOff>
    </xdr:from>
    <xdr:to>
      <xdr:col>11</xdr:col>
      <xdr:colOff>449580</xdr:colOff>
      <xdr:row>33</xdr:row>
      <xdr:rowOff>68580</xdr:rowOff>
    </xdr:to>
    <xdr:sp macro="" textlink="">
      <xdr:nvSpPr>
        <xdr:cNvPr id="110" name="Rectangle: Rounded Corners 109">
          <a:extLst>
            <a:ext uri="{FF2B5EF4-FFF2-40B4-BE49-F238E27FC236}">
              <a16:creationId xmlns:a16="http://schemas.microsoft.com/office/drawing/2014/main" id="{00000000-0008-0000-0000-00006E000000}"/>
            </a:ext>
          </a:extLst>
        </xdr:cNvPr>
        <xdr:cNvSpPr/>
      </xdr:nvSpPr>
      <xdr:spPr>
        <a:xfrm>
          <a:off x="1714500" y="3604260"/>
          <a:ext cx="5440680" cy="2499360"/>
        </a:xfrm>
        <a:prstGeom prst="roundRect">
          <a:avLst>
            <a:gd name="adj" fmla="val 4357"/>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3</xdr:col>
      <xdr:colOff>304800</xdr:colOff>
      <xdr:row>22</xdr:row>
      <xdr:rowOff>144780</xdr:rowOff>
    </xdr:from>
    <xdr:to>
      <xdr:col>5</xdr:col>
      <xdr:colOff>167640</xdr:colOff>
      <xdr:row>24</xdr:row>
      <xdr:rowOff>68580</xdr:rowOff>
    </xdr:to>
    <xdr:sp macro="" textlink="Processing!AF1">
      <xdr:nvSpPr>
        <xdr:cNvPr id="58" name="TextBox 57">
          <a:extLst>
            <a:ext uri="{FF2B5EF4-FFF2-40B4-BE49-F238E27FC236}">
              <a16:creationId xmlns:a16="http://schemas.microsoft.com/office/drawing/2014/main" id="{C6A95DE0-DA77-ABCC-3066-4F28A107C709}"/>
            </a:ext>
          </a:extLst>
        </xdr:cNvPr>
        <xdr:cNvSpPr txBox="1"/>
      </xdr:nvSpPr>
      <xdr:spPr>
        <a:xfrm>
          <a:off x="2133600" y="41681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B7764DD-626F-4CF6-8969-D4A5A8B49EF1}" type="TxLink">
            <a:rPr lang="en-US" sz="1100" b="0" i="0" u="none" strike="noStrike">
              <a:solidFill>
                <a:schemeClr val="bg1"/>
              </a:solidFill>
              <a:latin typeface="Calibri"/>
              <a:cs typeface="Calibri"/>
            </a:rPr>
            <a:pPr algn="l"/>
            <a:t>Charlotte</a:t>
          </a:fld>
          <a:endParaRPr lang="ru-RU" sz="1200" b="0">
            <a:solidFill>
              <a:schemeClr val="bg1"/>
            </a:solidFill>
            <a:latin typeface="+mn-lt"/>
          </a:endParaRPr>
        </a:p>
      </xdr:txBody>
    </xdr:sp>
    <xdr:clientData/>
  </xdr:twoCellAnchor>
  <xdr:twoCellAnchor>
    <xdr:from>
      <xdr:col>9</xdr:col>
      <xdr:colOff>396240</xdr:colOff>
      <xdr:row>22</xdr:row>
      <xdr:rowOff>144780</xdr:rowOff>
    </xdr:from>
    <xdr:to>
      <xdr:col>11</xdr:col>
      <xdr:colOff>259080</xdr:colOff>
      <xdr:row>24</xdr:row>
      <xdr:rowOff>68580</xdr:rowOff>
    </xdr:to>
    <xdr:sp macro="" textlink="Processing!AL1">
      <xdr:nvSpPr>
        <xdr:cNvPr id="68" name="TextBox 67">
          <a:extLst>
            <a:ext uri="{FF2B5EF4-FFF2-40B4-BE49-F238E27FC236}">
              <a16:creationId xmlns:a16="http://schemas.microsoft.com/office/drawing/2014/main" id="{52EEF8BF-D8F7-5F2A-9E56-DE226CB5EB71}"/>
            </a:ext>
          </a:extLst>
        </xdr:cNvPr>
        <xdr:cNvSpPr txBox="1"/>
      </xdr:nvSpPr>
      <xdr:spPr>
        <a:xfrm>
          <a:off x="5882640" y="41681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1D88C91-2B1A-41F1-9B74-A0E0024AA087}" type="TxLink">
            <a:rPr lang="en-US" sz="1100" b="0" i="0" u="none" strike="noStrike">
              <a:solidFill>
                <a:schemeClr val="bg1"/>
              </a:solidFill>
              <a:latin typeface="Calibri"/>
              <a:cs typeface="Calibri"/>
            </a:rPr>
            <a:pPr algn="r"/>
            <a:t>Jack</a:t>
          </a:fld>
          <a:endParaRPr lang="ru-RU" sz="1400" b="0">
            <a:solidFill>
              <a:schemeClr val="bg1"/>
            </a:solidFill>
            <a:latin typeface="+mn-lt"/>
          </a:endParaRPr>
        </a:p>
      </xdr:txBody>
    </xdr:sp>
    <xdr:clientData/>
  </xdr:twoCellAnchor>
  <xdr:twoCellAnchor>
    <xdr:from>
      <xdr:col>3</xdr:col>
      <xdr:colOff>304800</xdr:colOff>
      <xdr:row>24</xdr:row>
      <xdr:rowOff>144780</xdr:rowOff>
    </xdr:from>
    <xdr:to>
      <xdr:col>5</xdr:col>
      <xdr:colOff>167640</xdr:colOff>
      <xdr:row>26</xdr:row>
      <xdr:rowOff>68580</xdr:rowOff>
    </xdr:to>
    <xdr:sp macro="" textlink="Processing!AF2">
      <xdr:nvSpPr>
        <xdr:cNvPr id="69" name="TextBox 68">
          <a:extLst>
            <a:ext uri="{FF2B5EF4-FFF2-40B4-BE49-F238E27FC236}">
              <a16:creationId xmlns:a16="http://schemas.microsoft.com/office/drawing/2014/main" id="{13A77D09-D848-447B-E75C-68FCC888D5E0}"/>
            </a:ext>
          </a:extLst>
        </xdr:cNvPr>
        <xdr:cNvSpPr txBox="1"/>
      </xdr:nvSpPr>
      <xdr:spPr>
        <a:xfrm>
          <a:off x="2133600" y="453390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974A037-7DB7-4F68-9B1C-1E8EA5055894}" type="TxLink">
            <a:rPr lang="en-US" sz="1100" b="0" i="0" u="none" strike="noStrike">
              <a:solidFill>
                <a:schemeClr val="bg1"/>
              </a:solidFill>
              <a:latin typeface="Calibri"/>
              <a:cs typeface="Calibri"/>
            </a:rPr>
            <a:pPr algn="l"/>
            <a:t>Liam</a:t>
          </a:fld>
          <a:endParaRPr lang="ru-RU" sz="1200" b="0">
            <a:solidFill>
              <a:schemeClr val="bg1"/>
            </a:solidFill>
            <a:latin typeface="+mn-lt"/>
          </a:endParaRPr>
        </a:p>
      </xdr:txBody>
    </xdr:sp>
    <xdr:clientData/>
  </xdr:twoCellAnchor>
  <xdr:twoCellAnchor>
    <xdr:from>
      <xdr:col>3</xdr:col>
      <xdr:colOff>304800</xdr:colOff>
      <xdr:row>26</xdr:row>
      <xdr:rowOff>144780</xdr:rowOff>
    </xdr:from>
    <xdr:to>
      <xdr:col>5</xdr:col>
      <xdr:colOff>167640</xdr:colOff>
      <xdr:row>28</xdr:row>
      <xdr:rowOff>68580</xdr:rowOff>
    </xdr:to>
    <xdr:sp macro="" textlink="Processing!AF3">
      <xdr:nvSpPr>
        <xdr:cNvPr id="70" name="TextBox 69">
          <a:extLst>
            <a:ext uri="{FF2B5EF4-FFF2-40B4-BE49-F238E27FC236}">
              <a16:creationId xmlns:a16="http://schemas.microsoft.com/office/drawing/2014/main" id="{F92D0538-3C1E-EEE0-F2BD-E7562284B3CA}"/>
            </a:ext>
          </a:extLst>
        </xdr:cNvPr>
        <xdr:cNvSpPr txBox="1"/>
      </xdr:nvSpPr>
      <xdr:spPr>
        <a:xfrm>
          <a:off x="2133600" y="489966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5BB906D-5829-4E92-8063-0010A66CA3A1}" type="TxLink">
            <a:rPr lang="en-US" sz="1100" b="0" i="0" u="none" strike="noStrike">
              <a:solidFill>
                <a:schemeClr val="bg1"/>
              </a:solidFill>
              <a:latin typeface="Calibri"/>
              <a:cs typeface="Calibri"/>
            </a:rPr>
            <a:pPr algn="l"/>
            <a:t>Joseph</a:t>
          </a:fld>
          <a:endParaRPr lang="ru-RU" sz="1200" b="0">
            <a:solidFill>
              <a:schemeClr val="bg1"/>
            </a:solidFill>
            <a:latin typeface="+mn-lt"/>
          </a:endParaRPr>
        </a:p>
      </xdr:txBody>
    </xdr:sp>
    <xdr:clientData/>
  </xdr:twoCellAnchor>
  <xdr:twoCellAnchor>
    <xdr:from>
      <xdr:col>3</xdr:col>
      <xdr:colOff>304800</xdr:colOff>
      <xdr:row>28</xdr:row>
      <xdr:rowOff>144780</xdr:rowOff>
    </xdr:from>
    <xdr:to>
      <xdr:col>5</xdr:col>
      <xdr:colOff>167640</xdr:colOff>
      <xdr:row>30</xdr:row>
      <xdr:rowOff>68580</xdr:rowOff>
    </xdr:to>
    <xdr:sp macro="" textlink="Processing!AF4">
      <xdr:nvSpPr>
        <xdr:cNvPr id="71" name="TextBox 70">
          <a:extLst>
            <a:ext uri="{FF2B5EF4-FFF2-40B4-BE49-F238E27FC236}">
              <a16:creationId xmlns:a16="http://schemas.microsoft.com/office/drawing/2014/main" id="{A79D4D18-AB92-DB2A-4DEB-985EDE535B96}"/>
            </a:ext>
          </a:extLst>
        </xdr:cNvPr>
        <xdr:cNvSpPr txBox="1"/>
      </xdr:nvSpPr>
      <xdr:spPr>
        <a:xfrm>
          <a:off x="2133600" y="52654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C9CCC60-3567-4386-B5C4-50AF5AA5D541}" type="TxLink">
            <a:rPr lang="en-US" sz="1100" b="0" i="0" u="none" strike="noStrike">
              <a:solidFill>
                <a:schemeClr val="bg1"/>
              </a:solidFill>
              <a:latin typeface="Calibri"/>
              <a:cs typeface="Calibri"/>
            </a:rPr>
            <a:pPr algn="l"/>
            <a:t>Isabella</a:t>
          </a:fld>
          <a:endParaRPr lang="ru-RU" sz="1200" b="0">
            <a:solidFill>
              <a:schemeClr val="bg1"/>
            </a:solidFill>
            <a:latin typeface="+mn-lt"/>
          </a:endParaRPr>
        </a:p>
      </xdr:txBody>
    </xdr:sp>
    <xdr:clientData/>
  </xdr:twoCellAnchor>
  <xdr:twoCellAnchor>
    <xdr:from>
      <xdr:col>3</xdr:col>
      <xdr:colOff>304800</xdr:colOff>
      <xdr:row>30</xdr:row>
      <xdr:rowOff>144780</xdr:rowOff>
    </xdr:from>
    <xdr:to>
      <xdr:col>5</xdr:col>
      <xdr:colOff>167640</xdr:colOff>
      <xdr:row>32</xdr:row>
      <xdr:rowOff>68580</xdr:rowOff>
    </xdr:to>
    <xdr:sp macro="" textlink="Processing!AF5">
      <xdr:nvSpPr>
        <xdr:cNvPr id="72" name="TextBox 71">
          <a:extLst>
            <a:ext uri="{FF2B5EF4-FFF2-40B4-BE49-F238E27FC236}">
              <a16:creationId xmlns:a16="http://schemas.microsoft.com/office/drawing/2014/main" id="{7D63087A-79D5-67A4-252B-CEE1F7023014}"/>
            </a:ext>
          </a:extLst>
        </xdr:cNvPr>
        <xdr:cNvSpPr txBox="1"/>
      </xdr:nvSpPr>
      <xdr:spPr>
        <a:xfrm>
          <a:off x="2133600" y="56311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788DC53-2626-48D2-80EF-95BCB4BFECE6}" type="TxLink">
            <a:rPr lang="en-US" sz="1100" b="0" i="0" u="none" strike="noStrike">
              <a:solidFill>
                <a:schemeClr val="bg1"/>
              </a:solidFill>
              <a:latin typeface="Calibri"/>
              <a:cs typeface="Calibri"/>
            </a:rPr>
            <a:pPr algn="l"/>
            <a:t>Jacob</a:t>
          </a:fld>
          <a:endParaRPr lang="ru-RU" sz="1200" b="0">
            <a:solidFill>
              <a:schemeClr val="bg1"/>
            </a:solidFill>
            <a:latin typeface="+mn-lt"/>
          </a:endParaRPr>
        </a:p>
      </xdr:txBody>
    </xdr:sp>
    <xdr:clientData/>
  </xdr:twoCellAnchor>
  <xdr:twoCellAnchor>
    <xdr:from>
      <xdr:col>9</xdr:col>
      <xdr:colOff>396240</xdr:colOff>
      <xdr:row>24</xdr:row>
      <xdr:rowOff>144780</xdr:rowOff>
    </xdr:from>
    <xdr:to>
      <xdr:col>11</xdr:col>
      <xdr:colOff>259080</xdr:colOff>
      <xdr:row>26</xdr:row>
      <xdr:rowOff>68580</xdr:rowOff>
    </xdr:to>
    <xdr:sp macro="" textlink="Processing!AL2">
      <xdr:nvSpPr>
        <xdr:cNvPr id="73" name="TextBox 72">
          <a:extLst>
            <a:ext uri="{FF2B5EF4-FFF2-40B4-BE49-F238E27FC236}">
              <a16:creationId xmlns:a16="http://schemas.microsoft.com/office/drawing/2014/main" id="{6A7EBED5-AE1F-D178-9CD6-E87D40057048}"/>
            </a:ext>
          </a:extLst>
        </xdr:cNvPr>
        <xdr:cNvSpPr txBox="1"/>
      </xdr:nvSpPr>
      <xdr:spPr>
        <a:xfrm>
          <a:off x="5882640" y="453390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728816B-D755-42D3-9598-86FE5582B2E4}" type="TxLink">
            <a:rPr lang="en-US" sz="1100" b="0" i="0" u="none" strike="noStrike">
              <a:solidFill>
                <a:schemeClr val="bg1"/>
              </a:solidFill>
              <a:latin typeface="Calibri"/>
              <a:cs typeface="Calibri"/>
            </a:rPr>
            <a:pPr algn="r"/>
            <a:t>James</a:t>
          </a:fld>
          <a:endParaRPr lang="ru-RU" sz="1400" b="0">
            <a:solidFill>
              <a:schemeClr val="bg1"/>
            </a:solidFill>
            <a:latin typeface="+mn-lt"/>
          </a:endParaRPr>
        </a:p>
      </xdr:txBody>
    </xdr:sp>
    <xdr:clientData/>
  </xdr:twoCellAnchor>
  <xdr:twoCellAnchor>
    <xdr:from>
      <xdr:col>9</xdr:col>
      <xdr:colOff>396240</xdr:colOff>
      <xdr:row>26</xdr:row>
      <xdr:rowOff>144780</xdr:rowOff>
    </xdr:from>
    <xdr:to>
      <xdr:col>11</xdr:col>
      <xdr:colOff>259080</xdr:colOff>
      <xdr:row>28</xdr:row>
      <xdr:rowOff>68580</xdr:rowOff>
    </xdr:to>
    <xdr:sp macro="" textlink="Processing!AL3">
      <xdr:nvSpPr>
        <xdr:cNvPr id="74" name="TextBox 73">
          <a:extLst>
            <a:ext uri="{FF2B5EF4-FFF2-40B4-BE49-F238E27FC236}">
              <a16:creationId xmlns:a16="http://schemas.microsoft.com/office/drawing/2014/main" id="{61D6D860-398F-9F86-CA4A-03D9E1F00BEB}"/>
            </a:ext>
          </a:extLst>
        </xdr:cNvPr>
        <xdr:cNvSpPr txBox="1"/>
      </xdr:nvSpPr>
      <xdr:spPr>
        <a:xfrm>
          <a:off x="5882640" y="489966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2908A03-8ABE-4BC9-BE8B-1353FC050827}" type="TxLink">
            <a:rPr lang="en-US" sz="1100" b="0" i="0" u="none" strike="noStrike">
              <a:solidFill>
                <a:schemeClr val="bg1"/>
              </a:solidFill>
              <a:latin typeface="Calibri"/>
              <a:cs typeface="Calibri"/>
            </a:rPr>
            <a:pPr algn="r"/>
            <a:t>William</a:t>
          </a:fld>
          <a:endParaRPr lang="ru-RU" sz="1400" b="0">
            <a:solidFill>
              <a:schemeClr val="bg1"/>
            </a:solidFill>
            <a:latin typeface="+mn-lt"/>
          </a:endParaRPr>
        </a:p>
      </xdr:txBody>
    </xdr:sp>
    <xdr:clientData/>
  </xdr:twoCellAnchor>
  <xdr:twoCellAnchor>
    <xdr:from>
      <xdr:col>9</xdr:col>
      <xdr:colOff>396240</xdr:colOff>
      <xdr:row>28</xdr:row>
      <xdr:rowOff>144780</xdr:rowOff>
    </xdr:from>
    <xdr:to>
      <xdr:col>11</xdr:col>
      <xdr:colOff>259080</xdr:colOff>
      <xdr:row>30</xdr:row>
      <xdr:rowOff>68580</xdr:rowOff>
    </xdr:to>
    <xdr:sp macro="" textlink="Processing!AL4">
      <xdr:nvSpPr>
        <xdr:cNvPr id="76" name="TextBox 75">
          <a:extLst>
            <a:ext uri="{FF2B5EF4-FFF2-40B4-BE49-F238E27FC236}">
              <a16:creationId xmlns:a16="http://schemas.microsoft.com/office/drawing/2014/main" id="{FE9A0F79-9C09-8BC1-9F1D-51CC8F50A536}"/>
            </a:ext>
          </a:extLst>
        </xdr:cNvPr>
        <xdr:cNvSpPr txBox="1"/>
      </xdr:nvSpPr>
      <xdr:spPr>
        <a:xfrm>
          <a:off x="5882640" y="52654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68F16B-80A3-417F-B761-36D7EDD6F4FE}" type="TxLink">
            <a:rPr lang="en-US" sz="1100" b="0" i="0" u="none" strike="noStrike">
              <a:solidFill>
                <a:schemeClr val="bg1"/>
              </a:solidFill>
              <a:latin typeface="Calibri"/>
              <a:cs typeface="Calibri"/>
            </a:rPr>
            <a:pPr algn="r"/>
            <a:t>Lucas</a:t>
          </a:fld>
          <a:endParaRPr lang="ru-RU" sz="1400" b="0">
            <a:solidFill>
              <a:schemeClr val="bg1"/>
            </a:solidFill>
            <a:latin typeface="+mn-lt"/>
          </a:endParaRPr>
        </a:p>
      </xdr:txBody>
    </xdr:sp>
    <xdr:clientData/>
  </xdr:twoCellAnchor>
  <xdr:twoCellAnchor>
    <xdr:from>
      <xdr:col>9</xdr:col>
      <xdr:colOff>396240</xdr:colOff>
      <xdr:row>30</xdr:row>
      <xdr:rowOff>144780</xdr:rowOff>
    </xdr:from>
    <xdr:to>
      <xdr:col>11</xdr:col>
      <xdr:colOff>259080</xdr:colOff>
      <xdr:row>32</xdr:row>
      <xdr:rowOff>68580</xdr:rowOff>
    </xdr:to>
    <xdr:sp macro="" textlink="Processing!AL5">
      <xdr:nvSpPr>
        <xdr:cNvPr id="77" name="TextBox 76">
          <a:extLst>
            <a:ext uri="{FF2B5EF4-FFF2-40B4-BE49-F238E27FC236}">
              <a16:creationId xmlns:a16="http://schemas.microsoft.com/office/drawing/2014/main" id="{E3702EC2-2E80-24B3-00D7-F7994A1EA245}"/>
            </a:ext>
          </a:extLst>
        </xdr:cNvPr>
        <xdr:cNvSpPr txBox="1"/>
      </xdr:nvSpPr>
      <xdr:spPr>
        <a:xfrm>
          <a:off x="5882640" y="56311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F35D52-4219-4D17-AB83-4BDDC7A022E7}" type="TxLink">
            <a:rPr lang="en-US" sz="1100" b="0" i="0" u="none" strike="noStrike">
              <a:solidFill>
                <a:schemeClr val="bg1"/>
              </a:solidFill>
              <a:latin typeface="Calibri"/>
              <a:cs typeface="Calibri"/>
            </a:rPr>
            <a:pPr algn="r"/>
            <a:t>Sofia</a:t>
          </a:fld>
          <a:endParaRPr lang="ru-RU" sz="1400" b="0">
            <a:solidFill>
              <a:schemeClr val="bg1"/>
            </a:solidFill>
            <a:latin typeface="+mn-lt"/>
          </a:endParaRPr>
        </a:p>
      </xdr:txBody>
    </xdr:sp>
    <xdr:clientData/>
  </xdr:twoCellAnchor>
  <xdr:twoCellAnchor>
    <xdr:from>
      <xdr:col>3</xdr:col>
      <xdr:colOff>296398</xdr:colOff>
      <xdr:row>20</xdr:row>
      <xdr:rowOff>38100</xdr:rowOff>
    </xdr:from>
    <xdr:to>
      <xdr:col>5</xdr:col>
      <xdr:colOff>176043</xdr:colOff>
      <xdr:row>21</xdr:row>
      <xdr:rowOff>144780</xdr:rowOff>
    </xdr:to>
    <xdr:sp macro="" textlink="">
      <xdr:nvSpPr>
        <xdr:cNvPr id="78" name="TextBox 77">
          <a:extLst>
            <a:ext uri="{FF2B5EF4-FFF2-40B4-BE49-F238E27FC236}">
              <a16:creationId xmlns:a16="http://schemas.microsoft.com/office/drawing/2014/main" id="{72877668-45DB-DD9A-B4ED-FC03D0A5AB41}"/>
            </a:ext>
          </a:extLst>
        </xdr:cNvPr>
        <xdr:cNvSpPr txBox="1"/>
      </xdr:nvSpPr>
      <xdr:spPr>
        <a:xfrm>
          <a:off x="2125198" y="3695700"/>
          <a:ext cx="1098845"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l-PL" sz="1400">
              <a:solidFill>
                <a:schemeClr val="bg1"/>
              </a:solidFill>
            </a:rPr>
            <a:t>TOP-5</a:t>
          </a:r>
          <a:endParaRPr lang="ru-RU" sz="1200">
            <a:solidFill>
              <a:schemeClr val="bg1"/>
            </a:solidFill>
            <a:latin typeface="+mn-lt"/>
          </a:endParaRPr>
        </a:p>
      </xdr:txBody>
    </xdr:sp>
    <xdr:clientData/>
  </xdr:twoCellAnchor>
  <xdr:twoCellAnchor>
    <xdr:from>
      <xdr:col>0</xdr:col>
      <xdr:colOff>205740</xdr:colOff>
      <xdr:row>0</xdr:row>
      <xdr:rowOff>160020</xdr:rowOff>
    </xdr:from>
    <xdr:to>
      <xdr:col>3</xdr:col>
      <xdr:colOff>320940</xdr:colOff>
      <xdr:row>35</xdr:row>
      <xdr:rowOff>23220</xdr:rowOff>
    </xdr:to>
    <xdr:sp macro="" textlink="">
      <xdr:nvSpPr>
        <xdr:cNvPr id="111" name="Rectangle: Rounded Corners 110">
          <a:extLst>
            <a:ext uri="{FF2B5EF4-FFF2-40B4-BE49-F238E27FC236}">
              <a16:creationId xmlns:a16="http://schemas.microsoft.com/office/drawing/2014/main" id="{00000000-0008-0000-0000-00006F000000}"/>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378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205740</xdr:colOff>
      <xdr:row>0</xdr:row>
      <xdr:rowOff>160020</xdr:rowOff>
    </xdr:from>
    <xdr:to>
      <xdr:col>3</xdr:col>
      <xdr:colOff>320940</xdr:colOff>
      <xdr:row>35</xdr:row>
      <xdr:rowOff>23220</xdr:rowOff>
    </xdr:to>
    <xdr:sp macro="" textlink="">
      <xdr:nvSpPr>
        <xdr:cNvPr id="30" name="Rectangle: Rounded Corners 29">
          <a:extLst>
            <a:ext uri="{FF2B5EF4-FFF2-40B4-BE49-F238E27FC236}">
              <a16:creationId xmlns:a16="http://schemas.microsoft.com/office/drawing/2014/main" id="{00000000-0008-0000-0000-00001E000000}"/>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536028</xdr:colOff>
      <xdr:row>3</xdr:row>
      <xdr:rowOff>99848</xdr:rowOff>
    </xdr:from>
    <xdr:to>
      <xdr:col>2</xdr:col>
      <xdr:colOff>588579</xdr:colOff>
      <xdr:row>5</xdr:row>
      <xdr:rowOff>89338</xdr:rowOff>
    </xdr:to>
    <xdr:grpSp>
      <xdr:nvGrpSpPr>
        <xdr:cNvPr id="116" name="Group 115">
          <a:extLst>
            <a:ext uri="{FF2B5EF4-FFF2-40B4-BE49-F238E27FC236}">
              <a16:creationId xmlns:a16="http://schemas.microsoft.com/office/drawing/2014/main" id="{29CD627D-EBF1-13C9-16D5-AA470B61BFA0}"/>
            </a:ext>
          </a:extLst>
        </xdr:cNvPr>
        <xdr:cNvGrpSpPr/>
      </xdr:nvGrpSpPr>
      <xdr:grpSpPr>
        <a:xfrm>
          <a:off x="536028" y="671348"/>
          <a:ext cx="1237884" cy="370490"/>
          <a:chOff x="536028" y="651641"/>
          <a:chExt cx="1271751" cy="357352"/>
        </a:xfrm>
      </xdr:grpSpPr>
      <xdr:sp macro="" textlink="">
        <xdr:nvSpPr>
          <xdr:cNvPr id="114" name="Rectangle 113">
            <a:extLst>
              <a:ext uri="{FF2B5EF4-FFF2-40B4-BE49-F238E27FC236}">
                <a16:creationId xmlns:a16="http://schemas.microsoft.com/office/drawing/2014/main" id="{0F497C20-689A-E4C9-B128-500DF9385187}"/>
              </a:ext>
            </a:extLst>
          </xdr:cNvPr>
          <xdr:cNvSpPr/>
        </xdr:nvSpPr>
        <xdr:spPr>
          <a:xfrm>
            <a:off x="536028" y="651641"/>
            <a:ext cx="1271751" cy="357352"/>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 name="Group 5">
            <a:extLst>
              <a:ext uri="{FF2B5EF4-FFF2-40B4-BE49-F238E27FC236}">
                <a16:creationId xmlns:a16="http://schemas.microsoft.com/office/drawing/2014/main" id="{00000000-0008-0000-0000-000006000000}"/>
              </a:ext>
            </a:extLst>
          </xdr:cNvPr>
          <xdr:cNvGrpSpPr/>
        </xdr:nvGrpSpPr>
        <xdr:grpSpPr>
          <a:xfrm>
            <a:off x="629100" y="730593"/>
            <a:ext cx="486000" cy="200102"/>
            <a:chOff x="2522715" y="2396971"/>
            <a:chExt cx="4565536" cy="2894120"/>
          </a:xfrm>
        </xdr:grpSpPr>
        <xdr:sp macro="" textlink="">
          <xdr:nvSpPr>
            <xdr:cNvPr id="7" name="Rectangle 6">
              <a:extLst>
                <a:ext uri="{FF2B5EF4-FFF2-40B4-BE49-F238E27FC236}">
                  <a16:creationId xmlns:a16="http://schemas.microsoft.com/office/drawing/2014/main" id="{00000000-0008-0000-0000-000007000000}"/>
                </a:ext>
              </a:extLst>
            </xdr:cNvPr>
            <xdr:cNvSpPr/>
          </xdr:nvSpPr>
          <xdr:spPr>
            <a:xfrm>
              <a:off x="6658258"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Rectangle 7">
              <a:extLst>
                <a:ext uri="{FF2B5EF4-FFF2-40B4-BE49-F238E27FC236}">
                  <a16:creationId xmlns:a16="http://schemas.microsoft.com/office/drawing/2014/main" id="{00000000-0008-0000-0000-000008000000}"/>
                </a:ext>
              </a:extLst>
            </xdr:cNvPr>
            <xdr:cNvSpPr/>
          </xdr:nvSpPr>
          <xdr:spPr>
            <a:xfrm>
              <a:off x="4900472"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Rectangle 8">
              <a:extLst>
                <a:ext uri="{FF2B5EF4-FFF2-40B4-BE49-F238E27FC236}">
                  <a16:creationId xmlns:a16="http://schemas.microsoft.com/office/drawing/2014/main" id="{00000000-0008-0000-0000-000009000000}"/>
                </a:ext>
              </a:extLst>
            </xdr:cNvPr>
            <xdr:cNvSpPr/>
          </xdr:nvSpPr>
          <xdr:spPr>
            <a:xfrm>
              <a:off x="438265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290008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76929"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 name="Rectangle 11">
              <a:extLst>
                <a:ext uri="{FF2B5EF4-FFF2-40B4-BE49-F238E27FC236}">
                  <a16:creationId xmlns:a16="http://schemas.microsoft.com/office/drawing/2014/main" id="{00000000-0008-0000-0000-00000C000000}"/>
                </a:ext>
              </a:extLst>
            </xdr:cNvPr>
            <xdr:cNvSpPr/>
          </xdr:nvSpPr>
          <xdr:spPr>
            <a:xfrm>
              <a:off x="6260267"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 name="Rectangle 12">
              <a:extLst>
                <a:ext uri="{FF2B5EF4-FFF2-40B4-BE49-F238E27FC236}">
                  <a16:creationId xmlns:a16="http://schemas.microsoft.com/office/drawing/2014/main" id="{00000000-0008-0000-0000-00000D000000}"/>
                </a:ext>
              </a:extLst>
            </xdr:cNvPr>
            <xdr:cNvSpPr/>
          </xdr:nvSpPr>
          <xdr:spPr>
            <a:xfrm>
              <a:off x="5739228"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13">
              <a:extLst>
                <a:ext uri="{FF2B5EF4-FFF2-40B4-BE49-F238E27FC236}">
                  <a16:creationId xmlns:a16="http://schemas.microsoft.com/office/drawing/2014/main" id="{00000000-0008-0000-0000-00000E000000}"/>
                </a:ext>
              </a:extLst>
            </xdr:cNvPr>
            <xdr:cNvSpPr/>
          </xdr:nvSpPr>
          <xdr:spPr>
            <a:xfrm>
              <a:off x="5518798"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Rectangle 14">
              <a:extLst>
                <a:ext uri="{FF2B5EF4-FFF2-40B4-BE49-F238E27FC236}">
                  <a16:creationId xmlns:a16="http://schemas.microsoft.com/office/drawing/2014/main" id="{00000000-0008-0000-0000-00000F000000}"/>
                </a:ext>
              </a:extLst>
            </xdr:cNvPr>
            <xdr:cNvSpPr/>
          </xdr:nvSpPr>
          <xdr:spPr>
            <a:xfrm>
              <a:off x="5350810"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15">
              <a:extLst>
                <a:ext uri="{FF2B5EF4-FFF2-40B4-BE49-F238E27FC236}">
                  <a16:creationId xmlns:a16="http://schemas.microsoft.com/office/drawing/2014/main" id="{00000000-0008-0000-0000-000010000000}"/>
                </a:ext>
              </a:extLst>
            </xdr:cNvPr>
            <xdr:cNvSpPr/>
          </xdr:nvSpPr>
          <xdr:spPr>
            <a:xfrm>
              <a:off x="328660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 name="Rectangle 16">
              <a:extLst>
                <a:ext uri="{FF2B5EF4-FFF2-40B4-BE49-F238E27FC236}">
                  <a16:creationId xmlns:a16="http://schemas.microsoft.com/office/drawing/2014/main" id="{00000000-0008-0000-0000-000011000000}"/>
                </a:ext>
              </a:extLst>
            </xdr:cNvPr>
            <xdr:cNvSpPr/>
          </xdr:nvSpPr>
          <xdr:spPr>
            <a:xfrm>
              <a:off x="34820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17">
              <a:extLst>
                <a:ext uri="{FF2B5EF4-FFF2-40B4-BE49-F238E27FC236}">
                  <a16:creationId xmlns:a16="http://schemas.microsoft.com/office/drawing/2014/main" id="{00000000-0008-0000-0000-000012000000}"/>
                </a:ext>
              </a:extLst>
            </xdr:cNvPr>
            <xdr:cNvSpPr/>
          </xdr:nvSpPr>
          <xdr:spPr>
            <a:xfrm>
              <a:off x="4165061"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18">
              <a:extLst>
                <a:ext uri="{FF2B5EF4-FFF2-40B4-BE49-F238E27FC236}">
                  <a16:creationId xmlns:a16="http://schemas.microsoft.com/office/drawing/2014/main" id="{00000000-0008-0000-0000-000013000000}"/>
                </a:ext>
              </a:extLst>
            </xdr:cNvPr>
            <xdr:cNvSpPr/>
          </xdr:nvSpPr>
          <xdr:spPr>
            <a:xfrm>
              <a:off x="400649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19">
              <a:extLst>
                <a:ext uri="{FF2B5EF4-FFF2-40B4-BE49-F238E27FC236}">
                  <a16:creationId xmlns:a16="http://schemas.microsoft.com/office/drawing/2014/main" id="{00000000-0008-0000-0000-000014000000}"/>
                </a:ext>
              </a:extLst>
            </xdr:cNvPr>
            <xdr:cNvSpPr/>
          </xdr:nvSpPr>
          <xdr:spPr>
            <a:xfrm>
              <a:off x="26834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1" name="Rectangle 20">
              <a:extLst>
                <a:ext uri="{FF2B5EF4-FFF2-40B4-BE49-F238E27FC236}">
                  <a16:creationId xmlns:a16="http://schemas.microsoft.com/office/drawing/2014/main" id="{00000000-0008-0000-0000-000015000000}"/>
                </a:ext>
              </a:extLst>
            </xdr:cNvPr>
            <xdr:cNvSpPr/>
          </xdr:nvSpPr>
          <xdr:spPr>
            <a:xfrm>
              <a:off x="252271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 name="Rectangle 21">
              <a:extLst>
                <a:ext uri="{FF2B5EF4-FFF2-40B4-BE49-F238E27FC236}">
                  <a16:creationId xmlns:a16="http://schemas.microsoft.com/office/drawing/2014/main" id="{00000000-0008-0000-0000-000016000000}"/>
                </a:ext>
              </a:extLst>
            </xdr:cNvPr>
            <xdr:cNvSpPr/>
          </xdr:nvSpPr>
          <xdr:spPr>
            <a:xfrm>
              <a:off x="696225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22">
              <a:extLst>
                <a:ext uri="{FF2B5EF4-FFF2-40B4-BE49-F238E27FC236}">
                  <a16:creationId xmlns:a16="http://schemas.microsoft.com/office/drawing/2014/main" id="{00000000-0008-0000-0000-000017000000}"/>
                </a:ext>
              </a:extLst>
            </xdr:cNvPr>
            <xdr:cNvSpPr/>
          </xdr:nvSpPr>
          <xdr:spPr>
            <a:xfrm>
              <a:off x="3799324"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Rectangle 23">
              <a:extLst>
                <a:ext uri="{FF2B5EF4-FFF2-40B4-BE49-F238E27FC236}">
                  <a16:creationId xmlns:a16="http://schemas.microsoft.com/office/drawing/2014/main" id="{00000000-0008-0000-0000-000018000000}"/>
                </a:ext>
              </a:extLst>
            </xdr:cNvPr>
            <xdr:cNvSpPr/>
          </xdr:nvSpPr>
          <xdr:spPr>
            <a:xfrm>
              <a:off x="6035306"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Rectangle 24">
              <a:extLst>
                <a:ext uri="{FF2B5EF4-FFF2-40B4-BE49-F238E27FC236}">
                  <a16:creationId xmlns:a16="http://schemas.microsoft.com/office/drawing/2014/main" id="{00000000-0008-0000-0000-000019000000}"/>
                </a:ext>
              </a:extLst>
            </xdr:cNvPr>
            <xdr:cNvSpPr/>
          </xdr:nvSpPr>
          <xdr:spPr>
            <a:xfrm>
              <a:off x="5220380"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6" name="Rectangle 25">
              <a:extLst>
                <a:ext uri="{FF2B5EF4-FFF2-40B4-BE49-F238E27FC236}">
                  <a16:creationId xmlns:a16="http://schemas.microsoft.com/office/drawing/2014/main" id="{00000000-0008-0000-0000-00001A000000}"/>
                </a:ext>
              </a:extLst>
            </xdr:cNvPr>
            <xdr:cNvSpPr/>
          </xdr:nvSpPr>
          <xdr:spPr>
            <a:xfrm>
              <a:off x="4732735"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8" name="Logo">
            <a:extLst>
              <a:ext uri="{FF2B5EF4-FFF2-40B4-BE49-F238E27FC236}">
                <a16:creationId xmlns:a16="http://schemas.microsoft.com/office/drawing/2014/main" id="{00000000-0008-0000-0000-00001C000000}"/>
              </a:ext>
            </a:extLst>
          </xdr:cNvPr>
          <xdr:cNvSpPr/>
        </xdr:nvSpPr>
        <xdr:spPr>
          <a:xfrm>
            <a:off x="865321" y="738065"/>
            <a:ext cx="830580" cy="189344"/>
          </a:xfrm>
          <a:custGeom>
            <a:avLst/>
            <a:gdLst>
              <a:gd name="connsiteX0" fmla="*/ 2730532 w 2898895"/>
              <a:gd name="connsiteY0" fmla="*/ 207436 h 657179"/>
              <a:gd name="connsiteX1" fmla="*/ 2483568 w 2898895"/>
              <a:gd name="connsiteY1" fmla="*/ 637175 h 657179"/>
              <a:gd name="connsiteX2" fmla="*/ 2249634 w 2898895"/>
              <a:gd name="connsiteY2" fmla="*/ 207436 h 657179"/>
              <a:gd name="connsiteX3" fmla="*/ 2249634 w 2898895"/>
              <a:gd name="connsiteY3" fmla="*/ 597180 h 657179"/>
              <a:gd name="connsiteX4" fmla="*/ 2250253 w 2898895"/>
              <a:gd name="connsiteY4" fmla="*/ 605410 h 657179"/>
              <a:gd name="connsiteX5" fmla="*/ 2252501 w 2898895"/>
              <a:gd name="connsiteY5" fmla="*/ 613258 h 657179"/>
              <a:gd name="connsiteX6" fmla="*/ 2256140 w 2898895"/>
              <a:gd name="connsiteY6" fmla="*/ 619030 h 657179"/>
              <a:gd name="connsiteX7" fmla="*/ 2261788 w 2898895"/>
              <a:gd name="connsiteY7" fmla="*/ 623793 h 657179"/>
              <a:gd name="connsiteX8" fmla="*/ 2276466 w 2898895"/>
              <a:gd name="connsiteY8" fmla="*/ 630270 h 657179"/>
              <a:gd name="connsiteX9" fmla="*/ 2279400 w 2898895"/>
              <a:gd name="connsiteY9" fmla="*/ 631127 h 657179"/>
              <a:gd name="connsiteX10" fmla="*/ 2279400 w 2898895"/>
              <a:gd name="connsiteY10" fmla="*/ 646015 h 657179"/>
              <a:gd name="connsiteX11" fmla="*/ 2092900 w 2898895"/>
              <a:gd name="connsiteY11" fmla="*/ 646015 h 657179"/>
              <a:gd name="connsiteX12" fmla="*/ 2092900 w 2898895"/>
              <a:gd name="connsiteY12" fmla="*/ 631127 h 657179"/>
              <a:gd name="connsiteX13" fmla="*/ 2101501 w 2898895"/>
              <a:gd name="connsiteY13" fmla="*/ 628289 h 657179"/>
              <a:gd name="connsiteX14" fmla="*/ 2114741 w 2898895"/>
              <a:gd name="connsiteY14" fmla="*/ 620497 h 657179"/>
              <a:gd name="connsiteX15" fmla="*/ 2116151 w 2898895"/>
              <a:gd name="connsiteY15" fmla="*/ 619030 h 657179"/>
              <a:gd name="connsiteX16" fmla="*/ 2120713 w 2898895"/>
              <a:gd name="connsiteY16" fmla="*/ 610858 h 657179"/>
              <a:gd name="connsiteX17" fmla="*/ 2122361 w 2898895"/>
              <a:gd name="connsiteY17" fmla="*/ 603019 h 657179"/>
              <a:gd name="connsiteX18" fmla="*/ 2122666 w 2898895"/>
              <a:gd name="connsiteY18" fmla="*/ 597180 h 657179"/>
              <a:gd name="connsiteX19" fmla="*/ 2122666 w 2898895"/>
              <a:gd name="connsiteY19" fmla="*/ 59532 h 657179"/>
              <a:gd name="connsiteX20" fmla="*/ 2122028 w 2898895"/>
              <a:gd name="connsiteY20" fmla="*/ 51445 h 657179"/>
              <a:gd name="connsiteX21" fmla="*/ 2119589 w 2898895"/>
              <a:gd name="connsiteY21" fmla="*/ 43434 h 657179"/>
              <a:gd name="connsiteX22" fmla="*/ 2116151 w 2898895"/>
              <a:gd name="connsiteY22" fmla="*/ 38139 h 657179"/>
              <a:gd name="connsiteX23" fmla="*/ 2110502 w 2898895"/>
              <a:gd name="connsiteY23" fmla="*/ 33376 h 657179"/>
              <a:gd name="connsiteX24" fmla="*/ 2095824 w 2898895"/>
              <a:gd name="connsiteY24" fmla="*/ 26909 h 657179"/>
              <a:gd name="connsiteX25" fmla="*/ 2092900 w 2898895"/>
              <a:gd name="connsiteY25" fmla="*/ 26051 h 657179"/>
              <a:gd name="connsiteX26" fmla="*/ 2092900 w 2898895"/>
              <a:gd name="connsiteY26" fmla="*/ 11164 h 657179"/>
              <a:gd name="connsiteX27" fmla="*/ 2337531 w 2898895"/>
              <a:gd name="connsiteY27" fmla="*/ 11164 h 657179"/>
              <a:gd name="connsiteX28" fmla="*/ 2337531 w 2898895"/>
              <a:gd name="connsiteY28" fmla="*/ 26051 h 657179"/>
              <a:gd name="connsiteX29" fmla="*/ 2315671 w 2898895"/>
              <a:gd name="connsiteY29" fmla="*/ 51626 h 657179"/>
              <a:gd name="connsiteX30" fmla="*/ 2316747 w 2898895"/>
              <a:gd name="connsiteY30" fmla="*/ 59646 h 657179"/>
              <a:gd name="connsiteX31" fmla="*/ 2322186 w 2898895"/>
              <a:gd name="connsiteY31" fmla="*/ 73019 h 657179"/>
              <a:gd name="connsiteX32" fmla="*/ 2495198 w 2898895"/>
              <a:gd name="connsiteY32" fmla="*/ 392069 h 657179"/>
              <a:gd name="connsiteX33" fmla="*/ 2670534 w 2898895"/>
              <a:gd name="connsiteY33" fmla="*/ 78601 h 657179"/>
              <a:gd name="connsiteX34" fmla="*/ 2675345 w 2898895"/>
              <a:gd name="connsiteY34" fmla="*/ 69209 h 657179"/>
              <a:gd name="connsiteX35" fmla="*/ 2682164 w 2898895"/>
              <a:gd name="connsiteY35" fmla="*/ 47444 h 657179"/>
              <a:gd name="connsiteX36" fmla="*/ 2658904 w 2898895"/>
              <a:gd name="connsiteY36" fmla="*/ 26051 h 657179"/>
              <a:gd name="connsiteX37" fmla="*/ 2658904 w 2898895"/>
              <a:gd name="connsiteY37" fmla="*/ 11164 h 657179"/>
              <a:gd name="connsiteX38" fmla="*/ 2898896 w 2898895"/>
              <a:gd name="connsiteY38" fmla="*/ 11164 h 657179"/>
              <a:gd name="connsiteX39" fmla="*/ 2898896 w 2898895"/>
              <a:gd name="connsiteY39" fmla="*/ 26051 h 657179"/>
              <a:gd name="connsiteX40" fmla="*/ 2890286 w 2898895"/>
              <a:gd name="connsiteY40" fmla="*/ 28880 h 657179"/>
              <a:gd name="connsiteX41" fmla="*/ 2877046 w 2898895"/>
              <a:gd name="connsiteY41" fmla="*/ 36681 h 657179"/>
              <a:gd name="connsiteX42" fmla="*/ 2875636 w 2898895"/>
              <a:gd name="connsiteY42" fmla="*/ 38139 h 657179"/>
              <a:gd name="connsiteX43" fmla="*/ 2870855 w 2898895"/>
              <a:gd name="connsiteY43" fmla="*/ 46873 h 657179"/>
              <a:gd name="connsiteX44" fmla="*/ 2869331 w 2898895"/>
              <a:gd name="connsiteY44" fmla="*/ 54788 h 657179"/>
              <a:gd name="connsiteX45" fmla="*/ 2869131 w 2898895"/>
              <a:gd name="connsiteY45" fmla="*/ 59532 h 657179"/>
              <a:gd name="connsiteX46" fmla="*/ 2869131 w 2898895"/>
              <a:gd name="connsiteY46" fmla="*/ 597180 h 657179"/>
              <a:gd name="connsiteX47" fmla="*/ 2869750 w 2898895"/>
              <a:gd name="connsiteY47" fmla="*/ 605410 h 657179"/>
              <a:gd name="connsiteX48" fmla="*/ 2871998 w 2898895"/>
              <a:gd name="connsiteY48" fmla="*/ 613258 h 657179"/>
              <a:gd name="connsiteX49" fmla="*/ 2875636 w 2898895"/>
              <a:gd name="connsiteY49" fmla="*/ 619030 h 657179"/>
              <a:gd name="connsiteX50" fmla="*/ 2881285 w 2898895"/>
              <a:gd name="connsiteY50" fmla="*/ 623793 h 657179"/>
              <a:gd name="connsiteX51" fmla="*/ 2895962 w 2898895"/>
              <a:gd name="connsiteY51" fmla="*/ 630270 h 657179"/>
              <a:gd name="connsiteX52" fmla="*/ 2898896 w 2898895"/>
              <a:gd name="connsiteY52" fmla="*/ 631127 h 657179"/>
              <a:gd name="connsiteX53" fmla="*/ 2898896 w 2898895"/>
              <a:gd name="connsiteY53" fmla="*/ 646015 h 657179"/>
              <a:gd name="connsiteX54" fmla="*/ 2700767 w 2898895"/>
              <a:gd name="connsiteY54" fmla="*/ 646015 h 657179"/>
              <a:gd name="connsiteX55" fmla="*/ 2700767 w 2898895"/>
              <a:gd name="connsiteY55" fmla="*/ 631127 h 657179"/>
              <a:gd name="connsiteX56" fmla="*/ 2709168 w 2898895"/>
              <a:gd name="connsiteY56" fmla="*/ 628498 h 657179"/>
              <a:gd name="connsiteX57" fmla="*/ 2723084 w 2898895"/>
              <a:gd name="connsiteY57" fmla="*/ 620040 h 657179"/>
              <a:gd name="connsiteX58" fmla="*/ 2723789 w 2898895"/>
              <a:gd name="connsiteY58" fmla="*/ 619268 h 657179"/>
              <a:gd name="connsiteX59" fmla="*/ 2730323 w 2898895"/>
              <a:gd name="connsiteY59" fmla="*/ 602076 h 657179"/>
              <a:gd name="connsiteX60" fmla="*/ 2730532 w 2898895"/>
              <a:gd name="connsiteY60" fmla="*/ 597180 h 657179"/>
              <a:gd name="connsiteX61" fmla="*/ 1126446 w 2898895"/>
              <a:gd name="connsiteY61" fmla="*/ 436722 h 657179"/>
              <a:gd name="connsiteX62" fmla="*/ 1139000 w 2898895"/>
              <a:gd name="connsiteY62" fmla="*/ 427883 h 657179"/>
              <a:gd name="connsiteX63" fmla="*/ 1227363 w 2898895"/>
              <a:gd name="connsiteY63" fmla="*/ 560432 h 657179"/>
              <a:gd name="connsiteX64" fmla="*/ 1215276 w 2898895"/>
              <a:gd name="connsiteY64" fmla="*/ 568805 h 657179"/>
              <a:gd name="connsiteX65" fmla="*/ 1209237 w 2898895"/>
              <a:gd name="connsiteY65" fmla="*/ 563661 h 657179"/>
              <a:gd name="connsiteX66" fmla="*/ 1198160 w 2898895"/>
              <a:gd name="connsiteY66" fmla="*/ 557404 h 657179"/>
              <a:gd name="connsiteX67" fmla="*/ 1193883 w 2898895"/>
              <a:gd name="connsiteY67" fmla="*/ 556718 h 657179"/>
              <a:gd name="connsiteX68" fmla="*/ 1146906 w 2898895"/>
              <a:gd name="connsiteY68" fmla="*/ 579035 h 657179"/>
              <a:gd name="connsiteX69" fmla="*/ 1099386 w 2898895"/>
              <a:gd name="connsiteY69" fmla="*/ 604886 h 657179"/>
              <a:gd name="connsiteX70" fmla="*/ 1012260 w 2898895"/>
              <a:gd name="connsiteY70" fmla="*/ 641128 h 657179"/>
              <a:gd name="connsiteX71" fmla="*/ 882273 w 2898895"/>
              <a:gd name="connsiteY71" fmla="*/ 657168 h 657179"/>
              <a:gd name="connsiteX72" fmla="*/ 775164 w 2898895"/>
              <a:gd name="connsiteY72" fmla="*/ 646748 h 657179"/>
              <a:gd name="connsiteX73" fmla="*/ 635775 w 2898895"/>
              <a:gd name="connsiteY73" fmla="*/ 586017 h 657179"/>
              <a:gd name="connsiteX74" fmla="*/ 546478 w 2898895"/>
              <a:gd name="connsiteY74" fmla="*/ 483232 h 657179"/>
              <a:gd name="connsiteX75" fmla="*/ 508893 w 2898895"/>
              <a:gd name="connsiteY75" fmla="*/ 336262 h 657179"/>
              <a:gd name="connsiteX76" fmla="*/ 508807 w 2898895"/>
              <a:gd name="connsiteY76" fmla="*/ 328356 h 657179"/>
              <a:gd name="connsiteX77" fmla="*/ 576244 w 2898895"/>
              <a:gd name="connsiteY77" fmla="*/ 127902 h 657179"/>
              <a:gd name="connsiteX78" fmla="*/ 878539 w 2898895"/>
              <a:gd name="connsiteY78" fmla="*/ 20 h 657179"/>
              <a:gd name="connsiteX79" fmla="*/ 882739 w 2898895"/>
              <a:gd name="connsiteY79" fmla="*/ 0 h 657179"/>
              <a:gd name="connsiteX80" fmla="*/ 1012032 w 2898895"/>
              <a:gd name="connsiteY80" fmla="*/ 15812 h 657179"/>
              <a:gd name="connsiteX81" fmla="*/ 1048389 w 2898895"/>
              <a:gd name="connsiteY81" fmla="*/ 28699 h 657179"/>
              <a:gd name="connsiteX82" fmla="*/ 1139572 w 2898895"/>
              <a:gd name="connsiteY82" fmla="*/ 73953 h 657179"/>
              <a:gd name="connsiteX83" fmla="*/ 1146906 w 2898895"/>
              <a:gd name="connsiteY83" fmla="*/ 78134 h 657179"/>
              <a:gd name="connsiteX84" fmla="*/ 1160317 w 2898895"/>
              <a:gd name="connsiteY84" fmla="*/ 85564 h 657179"/>
              <a:gd name="connsiteX85" fmla="*/ 1193883 w 2898895"/>
              <a:gd name="connsiteY85" fmla="*/ 99994 h 657179"/>
              <a:gd name="connsiteX86" fmla="*/ 1215276 w 2898895"/>
              <a:gd name="connsiteY86" fmla="*/ 87907 h 657179"/>
              <a:gd name="connsiteX87" fmla="*/ 1227363 w 2898895"/>
              <a:gd name="connsiteY87" fmla="*/ 96279 h 657179"/>
              <a:gd name="connsiteX88" fmla="*/ 1139000 w 2898895"/>
              <a:gd name="connsiteY88" fmla="*/ 228829 h 657179"/>
              <a:gd name="connsiteX89" fmla="*/ 1126446 w 2898895"/>
              <a:gd name="connsiteY89" fmla="*/ 220457 h 657179"/>
              <a:gd name="connsiteX90" fmla="*/ 1127008 w 2898895"/>
              <a:gd name="connsiteY90" fmla="*/ 215227 h 657179"/>
              <a:gd name="connsiteX91" fmla="*/ 1127370 w 2898895"/>
              <a:gd name="connsiteY91" fmla="*/ 207893 h 657179"/>
              <a:gd name="connsiteX92" fmla="*/ 1122369 w 2898895"/>
              <a:gd name="connsiteY92" fmla="*/ 190891 h 657179"/>
              <a:gd name="connsiteX93" fmla="*/ 1115750 w 2898895"/>
              <a:gd name="connsiteY93" fmla="*/ 182547 h 657179"/>
              <a:gd name="connsiteX94" fmla="*/ 1107768 w 2898895"/>
              <a:gd name="connsiteY94" fmla="*/ 175489 h 657179"/>
              <a:gd name="connsiteX95" fmla="*/ 1074354 w 2898895"/>
              <a:gd name="connsiteY95" fmla="*/ 153944 h 657179"/>
              <a:gd name="connsiteX96" fmla="*/ 899942 w 2898895"/>
              <a:gd name="connsiteY96" fmla="*/ 107442 h 657179"/>
              <a:gd name="connsiteX97" fmla="*/ 726472 w 2898895"/>
              <a:gd name="connsiteY97" fmla="*/ 161849 h 657179"/>
              <a:gd name="connsiteX98" fmla="*/ 650863 w 2898895"/>
              <a:gd name="connsiteY98" fmla="*/ 309430 h 657179"/>
              <a:gd name="connsiteX99" fmla="*/ 650196 w 2898895"/>
              <a:gd name="connsiteY99" fmla="*/ 328356 h 657179"/>
              <a:gd name="connsiteX100" fmla="*/ 665855 w 2898895"/>
              <a:gd name="connsiteY100" fmla="*/ 413481 h 657179"/>
              <a:gd name="connsiteX101" fmla="*/ 726472 w 2898895"/>
              <a:gd name="connsiteY101" fmla="*/ 494853 h 657179"/>
              <a:gd name="connsiteX102" fmla="*/ 899942 w 2898895"/>
              <a:gd name="connsiteY102" fmla="*/ 549269 h 657179"/>
              <a:gd name="connsiteX103" fmla="*/ 1074354 w 2898895"/>
              <a:gd name="connsiteY103" fmla="*/ 502759 h 657179"/>
              <a:gd name="connsiteX104" fmla="*/ 1115750 w 2898895"/>
              <a:gd name="connsiteY104" fmla="*/ 474164 h 657179"/>
              <a:gd name="connsiteX105" fmla="*/ 1122598 w 2898895"/>
              <a:gd name="connsiteY105" fmla="*/ 465430 h 657179"/>
              <a:gd name="connsiteX106" fmla="*/ 1127370 w 2898895"/>
              <a:gd name="connsiteY106" fmla="*/ 448809 h 657179"/>
              <a:gd name="connsiteX107" fmla="*/ 1127246 w 2898895"/>
              <a:gd name="connsiteY107" fmla="*/ 444713 h 657179"/>
              <a:gd name="connsiteX108" fmla="*/ 1126827 w 2898895"/>
              <a:gd name="connsiteY108" fmla="*/ 439884 h 657179"/>
              <a:gd name="connsiteX109" fmla="*/ 1126446 w 2898895"/>
              <a:gd name="connsiteY109" fmla="*/ 436722 h 657179"/>
              <a:gd name="connsiteX110" fmla="*/ 1660360 w 2898895"/>
              <a:gd name="connsiteY110" fmla="*/ 386954 h 657179"/>
              <a:gd name="connsiteX111" fmla="*/ 1491073 w 2898895"/>
              <a:gd name="connsiteY111" fmla="*/ 386954 h 657179"/>
              <a:gd name="connsiteX112" fmla="*/ 1491073 w 2898895"/>
              <a:gd name="connsiteY112" fmla="*/ 597637 h 657179"/>
              <a:gd name="connsiteX113" fmla="*/ 1491797 w 2898895"/>
              <a:gd name="connsiteY113" fmla="*/ 606124 h 657179"/>
              <a:gd name="connsiteX114" fmla="*/ 1494635 w 2898895"/>
              <a:gd name="connsiteY114" fmla="*/ 614611 h 657179"/>
              <a:gd name="connsiteX115" fmla="*/ 1497816 w 2898895"/>
              <a:gd name="connsiteY115" fmla="*/ 619268 h 657179"/>
              <a:gd name="connsiteX116" fmla="*/ 1519562 w 2898895"/>
              <a:gd name="connsiteY116" fmla="*/ 630794 h 657179"/>
              <a:gd name="connsiteX117" fmla="*/ 1520838 w 2898895"/>
              <a:gd name="connsiteY117" fmla="*/ 631127 h 657179"/>
              <a:gd name="connsiteX118" fmla="*/ 1520838 w 2898895"/>
              <a:gd name="connsiteY118" fmla="*/ 646015 h 657179"/>
              <a:gd name="connsiteX119" fmla="*/ 1322709 w 2898895"/>
              <a:gd name="connsiteY119" fmla="*/ 646015 h 657179"/>
              <a:gd name="connsiteX120" fmla="*/ 1322709 w 2898895"/>
              <a:gd name="connsiteY120" fmla="*/ 631127 h 657179"/>
              <a:gd name="connsiteX121" fmla="*/ 1331319 w 2898895"/>
              <a:gd name="connsiteY121" fmla="*/ 628289 h 657179"/>
              <a:gd name="connsiteX122" fmla="*/ 1344559 w 2898895"/>
              <a:gd name="connsiteY122" fmla="*/ 620497 h 657179"/>
              <a:gd name="connsiteX123" fmla="*/ 1345969 w 2898895"/>
              <a:gd name="connsiteY123" fmla="*/ 619030 h 657179"/>
              <a:gd name="connsiteX124" fmla="*/ 1350741 w 2898895"/>
              <a:gd name="connsiteY124" fmla="*/ 610296 h 657179"/>
              <a:gd name="connsiteX125" fmla="*/ 1352274 w 2898895"/>
              <a:gd name="connsiteY125" fmla="*/ 602381 h 657179"/>
              <a:gd name="connsiteX126" fmla="*/ 1352474 w 2898895"/>
              <a:gd name="connsiteY126" fmla="*/ 597637 h 657179"/>
              <a:gd name="connsiteX127" fmla="*/ 1352474 w 2898895"/>
              <a:gd name="connsiteY127" fmla="*/ 59998 h 657179"/>
              <a:gd name="connsiteX128" fmla="*/ 1351855 w 2898895"/>
              <a:gd name="connsiteY128" fmla="*/ 51769 h 657179"/>
              <a:gd name="connsiteX129" fmla="*/ 1349598 w 2898895"/>
              <a:gd name="connsiteY129" fmla="*/ 43920 h 657179"/>
              <a:gd name="connsiteX130" fmla="*/ 1345969 w 2898895"/>
              <a:gd name="connsiteY130" fmla="*/ 38139 h 657179"/>
              <a:gd name="connsiteX131" fmla="*/ 1340320 w 2898895"/>
              <a:gd name="connsiteY131" fmla="*/ 33376 h 657179"/>
              <a:gd name="connsiteX132" fmla="*/ 1325642 w 2898895"/>
              <a:gd name="connsiteY132" fmla="*/ 26909 h 657179"/>
              <a:gd name="connsiteX133" fmla="*/ 1322709 w 2898895"/>
              <a:gd name="connsiteY133" fmla="*/ 26051 h 657179"/>
              <a:gd name="connsiteX134" fmla="*/ 1322709 w 2898895"/>
              <a:gd name="connsiteY134" fmla="*/ 11164 h 657179"/>
              <a:gd name="connsiteX135" fmla="*/ 1719892 w 2898895"/>
              <a:gd name="connsiteY135" fmla="*/ 11164 h 657179"/>
              <a:gd name="connsiteX136" fmla="*/ 1762316 w 2898895"/>
              <a:gd name="connsiteY136" fmla="*/ 11983 h 657179"/>
              <a:gd name="connsiteX137" fmla="*/ 1835001 w 2898895"/>
              <a:gd name="connsiteY137" fmla="*/ 19536 h 657179"/>
              <a:gd name="connsiteX138" fmla="*/ 1879140 w 2898895"/>
              <a:gd name="connsiteY138" fmla="*/ 32805 h 657179"/>
              <a:gd name="connsiteX139" fmla="*/ 1909182 w 2898895"/>
              <a:gd name="connsiteY139" fmla="*/ 48835 h 657179"/>
              <a:gd name="connsiteX140" fmla="*/ 1964065 w 2898895"/>
              <a:gd name="connsiteY140" fmla="*/ 114415 h 657179"/>
              <a:gd name="connsiteX141" fmla="*/ 1981277 w 2898895"/>
              <a:gd name="connsiteY141" fmla="*/ 199987 h 657179"/>
              <a:gd name="connsiteX142" fmla="*/ 1808731 w 2898895"/>
              <a:gd name="connsiteY142" fmla="*/ 381839 h 657179"/>
              <a:gd name="connsiteX143" fmla="*/ 1931975 w 2898895"/>
              <a:gd name="connsiteY143" fmla="*/ 557175 h 657179"/>
              <a:gd name="connsiteX144" fmla="*/ 1976228 w 2898895"/>
              <a:gd name="connsiteY144" fmla="*/ 613277 h 657179"/>
              <a:gd name="connsiteX145" fmla="*/ 1979648 w 2898895"/>
              <a:gd name="connsiteY145" fmla="*/ 616478 h 657179"/>
              <a:gd name="connsiteX146" fmla="*/ 2011595 w 2898895"/>
              <a:gd name="connsiteY146" fmla="*/ 630641 h 657179"/>
              <a:gd name="connsiteX147" fmla="*/ 2016624 w 2898895"/>
              <a:gd name="connsiteY147" fmla="*/ 631127 h 657179"/>
              <a:gd name="connsiteX148" fmla="*/ 2016624 w 2898895"/>
              <a:gd name="connsiteY148" fmla="*/ 646015 h 657179"/>
              <a:gd name="connsiteX149" fmla="*/ 1786872 w 2898895"/>
              <a:gd name="connsiteY149" fmla="*/ 646015 h 657179"/>
              <a:gd name="connsiteX150" fmla="*/ 1786872 w 2898895"/>
              <a:gd name="connsiteY150" fmla="*/ 631127 h 657179"/>
              <a:gd name="connsiteX151" fmla="*/ 1795377 w 2898895"/>
              <a:gd name="connsiteY151" fmla="*/ 629279 h 657179"/>
              <a:gd name="connsiteX152" fmla="*/ 1807988 w 2898895"/>
              <a:gd name="connsiteY152" fmla="*/ 621983 h 657179"/>
              <a:gd name="connsiteX153" fmla="*/ 1810589 w 2898895"/>
              <a:gd name="connsiteY153" fmla="*/ 614382 h 657179"/>
              <a:gd name="connsiteX154" fmla="*/ 1809617 w 2898895"/>
              <a:gd name="connsiteY154" fmla="*/ 609801 h 657179"/>
              <a:gd name="connsiteX155" fmla="*/ 1788729 w 2898895"/>
              <a:gd name="connsiteY155" fmla="*/ 573920 h 657179"/>
              <a:gd name="connsiteX156" fmla="*/ 29766 w 2898895"/>
              <a:gd name="connsiteY156" fmla="*/ 597180 h 657179"/>
              <a:gd name="connsiteX157" fmla="*/ 29766 w 2898895"/>
              <a:gd name="connsiteY157" fmla="*/ 59532 h 657179"/>
              <a:gd name="connsiteX158" fmla="*/ 29128 w 2898895"/>
              <a:gd name="connsiteY158" fmla="*/ 51445 h 657179"/>
              <a:gd name="connsiteX159" fmla="*/ 26690 w 2898895"/>
              <a:gd name="connsiteY159" fmla="*/ 43434 h 657179"/>
              <a:gd name="connsiteX160" fmla="*/ 23251 w 2898895"/>
              <a:gd name="connsiteY160" fmla="*/ 38139 h 657179"/>
              <a:gd name="connsiteX161" fmla="*/ 17612 w 2898895"/>
              <a:gd name="connsiteY161" fmla="*/ 33376 h 657179"/>
              <a:gd name="connsiteX162" fmla="*/ 2934 w 2898895"/>
              <a:gd name="connsiteY162" fmla="*/ 26909 h 657179"/>
              <a:gd name="connsiteX163" fmla="*/ 0 w 2898895"/>
              <a:gd name="connsiteY163" fmla="*/ 26051 h 657179"/>
              <a:gd name="connsiteX164" fmla="*/ 0 w 2898895"/>
              <a:gd name="connsiteY164" fmla="*/ 11164 h 657179"/>
              <a:gd name="connsiteX165" fmla="*/ 198130 w 2898895"/>
              <a:gd name="connsiteY165" fmla="*/ 11164 h 657179"/>
              <a:gd name="connsiteX166" fmla="*/ 198130 w 2898895"/>
              <a:gd name="connsiteY166" fmla="*/ 26051 h 657179"/>
              <a:gd name="connsiteX167" fmla="*/ 174870 w 2898895"/>
              <a:gd name="connsiteY167" fmla="*/ 37910 h 657179"/>
              <a:gd name="connsiteX168" fmla="*/ 168526 w 2898895"/>
              <a:gd name="connsiteY168" fmla="*/ 55293 h 657179"/>
              <a:gd name="connsiteX169" fmla="*/ 168364 w 2898895"/>
              <a:gd name="connsiteY169" fmla="*/ 59532 h 657179"/>
              <a:gd name="connsiteX170" fmla="*/ 168364 w 2898895"/>
              <a:gd name="connsiteY170" fmla="*/ 597180 h 657179"/>
              <a:gd name="connsiteX171" fmla="*/ 169022 w 2898895"/>
              <a:gd name="connsiteY171" fmla="*/ 605524 h 657179"/>
              <a:gd name="connsiteX172" fmla="*/ 171546 w 2898895"/>
              <a:gd name="connsiteY172" fmla="*/ 613801 h 657179"/>
              <a:gd name="connsiteX173" fmla="*/ 175108 w 2898895"/>
              <a:gd name="connsiteY173" fmla="*/ 619268 h 657179"/>
              <a:gd name="connsiteX174" fmla="*/ 196854 w 2898895"/>
              <a:gd name="connsiteY174" fmla="*/ 630794 h 657179"/>
              <a:gd name="connsiteX175" fmla="*/ 198130 w 2898895"/>
              <a:gd name="connsiteY175" fmla="*/ 631127 h 657179"/>
              <a:gd name="connsiteX176" fmla="*/ 198130 w 2898895"/>
              <a:gd name="connsiteY176" fmla="*/ 646015 h 657179"/>
              <a:gd name="connsiteX177" fmla="*/ 0 w 2898895"/>
              <a:gd name="connsiteY177" fmla="*/ 646015 h 657179"/>
              <a:gd name="connsiteX178" fmla="*/ 0 w 2898895"/>
              <a:gd name="connsiteY178" fmla="*/ 631127 h 657179"/>
              <a:gd name="connsiteX179" fmla="*/ 8611 w 2898895"/>
              <a:gd name="connsiteY179" fmla="*/ 628289 h 657179"/>
              <a:gd name="connsiteX180" fmla="*/ 21851 w 2898895"/>
              <a:gd name="connsiteY180" fmla="*/ 620497 h 657179"/>
              <a:gd name="connsiteX181" fmla="*/ 23251 w 2898895"/>
              <a:gd name="connsiteY181" fmla="*/ 619030 h 657179"/>
              <a:gd name="connsiteX182" fmla="*/ 27823 w 2898895"/>
              <a:gd name="connsiteY182" fmla="*/ 610858 h 657179"/>
              <a:gd name="connsiteX183" fmla="*/ 29471 w 2898895"/>
              <a:gd name="connsiteY183" fmla="*/ 603019 h 657179"/>
              <a:gd name="connsiteX184" fmla="*/ 29766 w 2898895"/>
              <a:gd name="connsiteY184" fmla="*/ 597180 h 657179"/>
              <a:gd name="connsiteX185" fmla="*/ 1491073 w 2898895"/>
              <a:gd name="connsiteY185" fmla="*/ 115805 h 657179"/>
              <a:gd name="connsiteX186" fmla="*/ 1491073 w 2898895"/>
              <a:gd name="connsiteY186" fmla="*/ 282312 h 657179"/>
              <a:gd name="connsiteX187" fmla="*/ 1705014 w 2898895"/>
              <a:gd name="connsiteY187" fmla="*/ 282312 h 657179"/>
              <a:gd name="connsiteX188" fmla="*/ 1726988 w 2898895"/>
              <a:gd name="connsiteY188" fmla="*/ 282141 h 657179"/>
              <a:gd name="connsiteX189" fmla="*/ 1771660 w 2898895"/>
              <a:gd name="connsiteY189" fmla="*/ 279569 h 657179"/>
              <a:gd name="connsiteX190" fmla="*/ 1771984 w 2898895"/>
              <a:gd name="connsiteY190" fmla="*/ 279521 h 657179"/>
              <a:gd name="connsiteX191" fmla="*/ 1807798 w 2898895"/>
              <a:gd name="connsiteY191" fmla="*/ 267891 h 657179"/>
              <a:gd name="connsiteX192" fmla="*/ 1840650 w 2898895"/>
              <a:gd name="connsiteY192" fmla="*/ 223333 h 657179"/>
              <a:gd name="connsiteX193" fmla="*/ 1843145 w 2898895"/>
              <a:gd name="connsiteY193" fmla="*/ 199063 h 657179"/>
              <a:gd name="connsiteX194" fmla="*/ 1840345 w 2898895"/>
              <a:gd name="connsiteY194" fmla="*/ 173498 h 657179"/>
              <a:gd name="connsiteX195" fmla="*/ 1807798 w 2898895"/>
              <a:gd name="connsiteY195" fmla="*/ 130226 h 657179"/>
              <a:gd name="connsiteX196" fmla="*/ 1772222 w 2898895"/>
              <a:gd name="connsiteY196" fmla="*/ 118368 h 657179"/>
              <a:gd name="connsiteX197" fmla="*/ 1761059 w 2898895"/>
              <a:gd name="connsiteY197" fmla="*/ 117253 h 657179"/>
              <a:gd name="connsiteX198" fmla="*/ 1708300 w 2898895"/>
              <a:gd name="connsiteY198" fmla="*/ 115815 h 657179"/>
              <a:gd name="connsiteX199" fmla="*/ 1705014 w 2898895"/>
              <a:gd name="connsiteY199" fmla="*/ 115805 h 657179"/>
              <a:gd name="connsiteX200" fmla="*/ 451600 w 2898895"/>
              <a:gd name="connsiteY200" fmla="*/ 305096 h 657179"/>
              <a:gd name="connsiteX201" fmla="*/ 466487 w 2898895"/>
              <a:gd name="connsiteY201" fmla="*/ 305096 h 657179"/>
              <a:gd name="connsiteX202" fmla="*/ 466487 w 2898895"/>
              <a:gd name="connsiteY202" fmla="*/ 466021 h 657179"/>
              <a:gd name="connsiteX203" fmla="*/ 451600 w 2898895"/>
              <a:gd name="connsiteY203" fmla="*/ 466021 h 657179"/>
              <a:gd name="connsiteX204" fmla="*/ 448761 w 2898895"/>
              <a:gd name="connsiteY204" fmla="*/ 457410 h 657179"/>
              <a:gd name="connsiteX205" fmla="*/ 440970 w 2898895"/>
              <a:gd name="connsiteY205" fmla="*/ 444170 h 657179"/>
              <a:gd name="connsiteX206" fmla="*/ 439513 w 2898895"/>
              <a:gd name="connsiteY206" fmla="*/ 442770 h 657179"/>
              <a:gd name="connsiteX207" fmla="*/ 431331 w 2898895"/>
              <a:gd name="connsiteY207" fmla="*/ 438198 h 657179"/>
              <a:gd name="connsiteX208" fmla="*/ 423491 w 2898895"/>
              <a:gd name="connsiteY208" fmla="*/ 436550 h 657179"/>
              <a:gd name="connsiteX209" fmla="*/ 417653 w 2898895"/>
              <a:gd name="connsiteY209" fmla="*/ 436255 h 657179"/>
              <a:gd name="connsiteX210" fmla="*/ 303238 w 2898895"/>
              <a:gd name="connsiteY210" fmla="*/ 436255 h 657179"/>
              <a:gd name="connsiteX211" fmla="*/ 294761 w 2898895"/>
              <a:gd name="connsiteY211" fmla="*/ 436979 h 657179"/>
              <a:gd name="connsiteX212" fmla="*/ 286265 w 2898895"/>
              <a:gd name="connsiteY212" fmla="*/ 439817 h 657179"/>
              <a:gd name="connsiteX213" fmla="*/ 281607 w 2898895"/>
              <a:gd name="connsiteY213" fmla="*/ 442999 h 657179"/>
              <a:gd name="connsiteX214" fmla="*/ 270091 w 2898895"/>
              <a:gd name="connsiteY214" fmla="*/ 464744 h 657179"/>
              <a:gd name="connsiteX215" fmla="*/ 269748 w 2898895"/>
              <a:gd name="connsiteY215" fmla="*/ 466021 h 657179"/>
              <a:gd name="connsiteX216" fmla="*/ 254870 w 2898895"/>
              <a:gd name="connsiteY216" fmla="*/ 466021 h 657179"/>
              <a:gd name="connsiteX217" fmla="*/ 254870 w 2898895"/>
              <a:gd name="connsiteY217" fmla="*/ 305096 h 657179"/>
              <a:gd name="connsiteX218" fmla="*/ 269748 w 2898895"/>
              <a:gd name="connsiteY218" fmla="*/ 305096 h 657179"/>
              <a:gd name="connsiteX219" fmla="*/ 281607 w 2898895"/>
              <a:gd name="connsiteY219" fmla="*/ 328584 h 657179"/>
              <a:gd name="connsiteX220" fmla="*/ 291170 w 2898895"/>
              <a:gd name="connsiteY220" fmla="*/ 333747 h 657179"/>
              <a:gd name="connsiteX221" fmla="*/ 303238 w 2898895"/>
              <a:gd name="connsiteY221" fmla="*/ 335328 h 657179"/>
              <a:gd name="connsiteX222" fmla="*/ 417653 w 2898895"/>
              <a:gd name="connsiteY222" fmla="*/ 335328 h 657179"/>
              <a:gd name="connsiteX223" fmla="*/ 425882 w 2898895"/>
              <a:gd name="connsiteY223" fmla="*/ 334709 h 657179"/>
              <a:gd name="connsiteX224" fmla="*/ 433731 w 2898895"/>
              <a:gd name="connsiteY224" fmla="*/ 332461 h 657179"/>
              <a:gd name="connsiteX225" fmla="*/ 439513 w 2898895"/>
              <a:gd name="connsiteY225" fmla="*/ 328823 h 657179"/>
              <a:gd name="connsiteX226" fmla="*/ 444094 w 2898895"/>
              <a:gd name="connsiteY226" fmla="*/ 323393 h 657179"/>
              <a:gd name="connsiteX227" fmla="*/ 450666 w 2898895"/>
              <a:gd name="connsiteY227" fmla="*/ 308353 h 657179"/>
              <a:gd name="connsiteX228" fmla="*/ 451600 w 2898895"/>
              <a:gd name="connsiteY228" fmla="*/ 305096 h 6571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Lst>
            <a:rect l="l" t="t" r="r" b="b"/>
            <a:pathLst>
              <a:path w="2898895" h="657179">
                <a:moveTo>
                  <a:pt x="2730532" y="207436"/>
                </a:moveTo>
                <a:lnTo>
                  <a:pt x="2483568" y="637175"/>
                </a:lnTo>
                <a:lnTo>
                  <a:pt x="2249634" y="207436"/>
                </a:lnTo>
                <a:lnTo>
                  <a:pt x="2249634" y="597180"/>
                </a:lnTo>
                <a:cubicBezTo>
                  <a:pt x="2249615" y="599935"/>
                  <a:pt x="2249825" y="602687"/>
                  <a:pt x="2250253" y="605410"/>
                </a:cubicBezTo>
                <a:cubicBezTo>
                  <a:pt x="2250729" y="608317"/>
                  <a:pt x="2251482" y="610934"/>
                  <a:pt x="2252501" y="613258"/>
                </a:cubicBezTo>
                <a:cubicBezTo>
                  <a:pt x="2253416" y="615356"/>
                  <a:pt x="2254644" y="617301"/>
                  <a:pt x="2256140" y="619030"/>
                </a:cubicBezTo>
                <a:cubicBezTo>
                  <a:pt x="2257797" y="620870"/>
                  <a:pt x="2259693" y="622474"/>
                  <a:pt x="2261788" y="623793"/>
                </a:cubicBezTo>
                <a:cubicBezTo>
                  <a:pt x="2265579" y="626250"/>
                  <a:pt x="2270475" y="628410"/>
                  <a:pt x="2276466" y="630270"/>
                </a:cubicBezTo>
                <a:cubicBezTo>
                  <a:pt x="2277438" y="630570"/>
                  <a:pt x="2278419" y="630856"/>
                  <a:pt x="2279400" y="631127"/>
                </a:cubicBezTo>
                <a:lnTo>
                  <a:pt x="2279400" y="646015"/>
                </a:lnTo>
                <a:lnTo>
                  <a:pt x="2092900" y="646015"/>
                </a:lnTo>
                <a:lnTo>
                  <a:pt x="2092900" y="631127"/>
                </a:lnTo>
                <a:cubicBezTo>
                  <a:pt x="2095815" y="630328"/>
                  <a:pt x="2098682" y="629381"/>
                  <a:pt x="2101501" y="628289"/>
                </a:cubicBezTo>
                <a:cubicBezTo>
                  <a:pt x="2107226" y="626047"/>
                  <a:pt x="2111636" y="623450"/>
                  <a:pt x="2114741" y="620497"/>
                </a:cubicBezTo>
                <a:cubicBezTo>
                  <a:pt x="2115236" y="620030"/>
                  <a:pt x="2115703" y="619541"/>
                  <a:pt x="2116151" y="619030"/>
                </a:cubicBezTo>
                <a:cubicBezTo>
                  <a:pt x="2118199" y="616637"/>
                  <a:pt x="2119751" y="613858"/>
                  <a:pt x="2120713" y="610858"/>
                </a:cubicBezTo>
                <a:cubicBezTo>
                  <a:pt x="2121504" y="608502"/>
                  <a:pt x="2122056" y="605889"/>
                  <a:pt x="2122361" y="603019"/>
                </a:cubicBezTo>
                <a:cubicBezTo>
                  <a:pt x="2122571" y="601079"/>
                  <a:pt x="2122666" y="599131"/>
                  <a:pt x="2122666" y="597180"/>
                </a:cubicBezTo>
                <a:lnTo>
                  <a:pt x="2122666" y="59532"/>
                </a:lnTo>
                <a:cubicBezTo>
                  <a:pt x="2122685" y="56823"/>
                  <a:pt x="2122466" y="54118"/>
                  <a:pt x="2122028" y="51445"/>
                </a:cubicBezTo>
                <a:cubicBezTo>
                  <a:pt x="2121523" y="48473"/>
                  <a:pt x="2120704" y="45803"/>
                  <a:pt x="2119589" y="43434"/>
                </a:cubicBezTo>
                <a:cubicBezTo>
                  <a:pt x="2118694" y="41518"/>
                  <a:pt x="2117541" y="39735"/>
                  <a:pt x="2116151" y="38139"/>
                </a:cubicBezTo>
                <a:cubicBezTo>
                  <a:pt x="2114493" y="36298"/>
                  <a:pt x="2112598" y="34695"/>
                  <a:pt x="2110502" y="33376"/>
                </a:cubicBezTo>
                <a:cubicBezTo>
                  <a:pt x="2106712" y="30919"/>
                  <a:pt x="2101816" y="28763"/>
                  <a:pt x="2095824" y="26909"/>
                </a:cubicBezTo>
                <a:cubicBezTo>
                  <a:pt x="2094853" y="26609"/>
                  <a:pt x="2093881" y="26323"/>
                  <a:pt x="2092900" y="26051"/>
                </a:cubicBezTo>
                <a:lnTo>
                  <a:pt x="2092900" y="11164"/>
                </a:lnTo>
                <a:lnTo>
                  <a:pt x="2337531" y="11164"/>
                </a:lnTo>
                <a:lnTo>
                  <a:pt x="2337531" y="26051"/>
                </a:lnTo>
                <a:cubicBezTo>
                  <a:pt x="2322958" y="29772"/>
                  <a:pt x="2315671" y="38297"/>
                  <a:pt x="2315671" y="51626"/>
                </a:cubicBezTo>
                <a:cubicBezTo>
                  <a:pt x="2315700" y="54334"/>
                  <a:pt x="2316062" y="57028"/>
                  <a:pt x="2316747" y="59646"/>
                </a:cubicBezTo>
                <a:cubicBezTo>
                  <a:pt x="2317795" y="63773"/>
                  <a:pt x="2319605" y="68231"/>
                  <a:pt x="2322186" y="73019"/>
                </a:cubicBezTo>
                <a:lnTo>
                  <a:pt x="2495198" y="392069"/>
                </a:lnTo>
                <a:lnTo>
                  <a:pt x="2670534" y="78601"/>
                </a:lnTo>
                <a:cubicBezTo>
                  <a:pt x="2672220" y="75513"/>
                  <a:pt x="2673821" y="72381"/>
                  <a:pt x="2675345" y="69209"/>
                </a:cubicBezTo>
                <a:cubicBezTo>
                  <a:pt x="2679888" y="59684"/>
                  <a:pt x="2682164" y="52429"/>
                  <a:pt x="2682164" y="47444"/>
                </a:cubicBezTo>
                <a:cubicBezTo>
                  <a:pt x="2682164" y="34732"/>
                  <a:pt x="2674411" y="27601"/>
                  <a:pt x="2658904" y="26051"/>
                </a:cubicBezTo>
                <a:lnTo>
                  <a:pt x="2658904" y="11164"/>
                </a:lnTo>
                <a:lnTo>
                  <a:pt x="2898896" y="11164"/>
                </a:lnTo>
                <a:lnTo>
                  <a:pt x="2898896" y="26051"/>
                </a:lnTo>
                <a:cubicBezTo>
                  <a:pt x="2895982" y="26847"/>
                  <a:pt x="2893105" y="27791"/>
                  <a:pt x="2890286" y="28880"/>
                </a:cubicBezTo>
                <a:cubicBezTo>
                  <a:pt x="2884561" y="31128"/>
                  <a:pt x="2880151" y="33728"/>
                  <a:pt x="2877046" y="36681"/>
                </a:cubicBezTo>
                <a:cubicBezTo>
                  <a:pt x="2876551" y="37145"/>
                  <a:pt x="2876084" y="37631"/>
                  <a:pt x="2875636" y="38139"/>
                </a:cubicBezTo>
                <a:cubicBezTo>
                  <a:pt x="2873455" y="40686"/>
                  <a:pt x="2871826" y="43661"/>
                  <a:pt x="2870855" y="46873"/>
                </a:cubicBezTo>
                <a:cubicBezTo>
                  <a:pt x="2870102" y="49267"/>
                  <a:pt x="2869588" y="51905"/>
                  <a:pt x="2869331" y="54788"/>
                </a:cubicBezTo>
                <a:cubicBezTo>
                  <a:pt x="2869197" y="56366"/>
                  <a:pt x="2869131" y="57948"/>
                  <a:pt x="2869131" y="59532"/>
                </a:cubicBezTo>
                <a:lnTo>
                  <a:pt x="2869131" y="597180"/>
                </a:lnTo>
                <a:cubicBezTo>
                  <a:pt x="2869112" y="599935"/>
                  <a:pt x="2869321" y="602687"/>
                  <a:pt x="2869750" y="605410"/>
                </a:cubicBezTo>
                <a:cubicBezTo>
                  <a:pt x="2870226" y="608317"/>
                  <a:pt x="2870979" y="610934"/>
                  <a:pt x="2871998" y="613258"/>
                </a:cubicBezTo>
                <a:cubicBezTo>
                  <a:pt x="2872912" y="615356"/>
                  <a:pt x="2874141" y="617301"/>
                  <a:pt x="2875636" y="619030"/>
                </a:cubicBezTo>
                <a:cubicBezTo>
                  <a:pt x="2877294" y="620870"/>
                  <a:pt x="2879189" y="622474"/>
                  <a:pt x="2881285" y="623793"/>
                </a:cubicBezTo>
                <a:cubicBezTo>
                  <a:pt x="2885075" y="626250"/>
                  <a:pt x="2889971" y="628410"/>
                  <a:pt x="2895962" y="630270"/>
                </a:cubicBezTo>
                <a:cubicBezTo>
                  <a:pt x="2896934" y="630570"/>
                  <a:pt x="2897915" y="630856"/>
                  <a:pt x="2898896" y="631127"/>
                </a:cubicBezTo>
                <a:lnTo>
                  <a:pt x="2898896" y="646015"/>
                </a:lnTo>
                <a:lnTo>
                  <a:pt x="2700767" y="646015"/>
                </a:lnTo>
                <a:lnTo>
                  <a:pt x="2700767" y="631127"/>
                </a:lnTo>
                <a:cubicBezTo>
                  <a:pt x="2703615" y="630407"/>
                  <a:pt x="2706415" y="629530"/>
                  <a:pt x="2709168" y="628498"/>
                </a:cubicBezTo>
                <a:cubicBezTo>
                  <a:pt x="2715226" y="626193"/>
                  <a:pt x="2719864" y="623374"/>
                  <a:pt x="2723084" y="620040"/>
                </a:cubicBezTo>
                <a:cubicBezTo>
                  <a:pt x="2723322" y="619788"/>
                  <a:pt x="2723560" y="619531"/>
                  <a:pt x="2723789" y="619268"/>
                </a:cubicBezTo>
                <a:cubicBezTo>
                  <a:pt x="2727484" y="615058"/>
                  <a:pt x="2729666" y="609327"/>
                  <a:pt x="2730323" y="602076"/>
                </a:cubicBezTo>
                <a:cubicBezTo>
                  <a:pt x="2730466" y="600448"/>
                  <a:pt x="2730532" y="598814"/>
                  <a:pt x="2730532" y="597180"/>
                </a:cubicBezTo>
                <a:close/>
                <a:moveTo>
                  <a:pt x="1126446" y="436722"/>
                </a:moveTo>
                <a:lnTo>
                  <a:pt x="1139000" y="427883"/>
                </a:lnTo>
                <a:lnTo>
                  <a:pt x="1227363" y="560432"/>
                </a:lnTo>
                <a:lnTo>
                  <a:pt x="1215276" y="568805"/>
                </a:lnTo>
                <a:cubicBezTo>
                  <a:pt x="1213343" y="566999"/>
                  <a:pt x="1211323" y="565283"/>
                  <a:pt x="1209237" y="563661"/>
                </a:cubicBezTo>
                <a:cubicBezTo>
                  <a:pt x="1205132" y="560492"/>
                  <a:pt x="1201436" y="558406"/>
                  <a:pt x="1198160" y="557404"/>
                </a:cubicBezTo>
                <a:cubicBezTo>
                  <a:pt x="1196779" y="556964"/>
                  <a:pt x="1195331" y="556734"/>
                  <a:pt x="1193883" y="556718"/>
                </a:cubicBezTo>
                <a:cubicBezTo>
                  <a:pt x="1188301" y="556718"/>
                  <a:pt x="1172642" y="564157"/>
                  <a:pt x="1146906" y="579035"/>
                </a:cubicBezTo>
                <a:cubicBezTo>
                  <a:pt x="1131294" y="588058"/>
                  <a:pt x="1115445" y="596678"/>
                  <a:pt x="1099386" y="604886"/>
                </a:cubicBezTo>
                <a:cubicBezTo>
                  <a:pt x="1066353" y="621694"/>
                  <a:pt x="1037311" y="633775"/>
                  <a:pt x="1012260" y="641128"/>
                </a:cubicBezTo>
                <a:cubicBezTo>
                  <a:pt x="975827" y="651822"/>
                  <a:pt x="932501" y="657168"/>
                  <a:pt x="882273" y="657168"/>
                </a:cubicBezTo>
                <a:cubicBezTo>
                  <a:pt x="846305" y="657406"/>
                  <a:pt x="810411" y="653914"/>
                  <a:pt x="775164" y="646748"/>
                </a:cubicBezTo>
                <a:cubicBezTo>
                  <a:pt x="721850" y="635534"/>
                  <a:pt x="675387" y="615290"/>
                  <a:pt x="635775" y="586017"/>
                </a:cubicBezTo>
                <a:cubicBezTo>
                  <a:pt x="597949" y="558420"/>
                  <a:pt x="568183" y="524158"/>
                  <a:pt x="546478" y="483232"/>
                </a:cubicBezTo>
                <a:cubicBezTo>
                  <a:pt x="522372" y="437954"/>
                  <a:pt x="509483" y="387554"/>
                  <a:pt x="508893" y="336262"/>
                </a:cubicBezTo>
                <a:cubicBezTo>
                  <a:pt x="508836" y="333627"/>
                  <a:pt x="508808" y="330991"/>
                  <a:pt x="508807" y="328356"/>
                </a:cubicBezTo>
                <a:cubicBezTo>
                  <a:pt x="508807" y="251463"/>
                  <a:pt x="531286" y="184645"/>
                  <a:pt x="576244" y="127902"/>
                </a:cubicBezTo>
                <a:cubicBezTo>
                  <a:pt x="643141" y="43511"/>
                  <a:pt x="743906" y="883"/>
                  <a:pt x="878539" y="20"/>
                </a:cubicBezTo>
                <a:cubicBezTo>
                  <a:pt x="879939" y="9"/>
                  <a:pt x="881339" y="2"/>
                  <a:pt x="882739" y="0"/>
                </a:cubicBezTo>
                <a:cubicBezTo>
                  <a:pt x="932968" y="0"/>
                  <a:pt x="976065" y="5271"/>
                  <a:pt x="1012032" y="15812"/>
                </a:cubicBezTo>
                <a:cubicBezTo>
                  <a:pt x="1024357" y="19492"/>
                  <a:pt x="1036492" y="23794"/>
                  <a:pt x="1048389" y="28699"/>
                </a:cubicBezTo>
                <a:cubicBezTo>
                  <a:pt x="1075078" y="39570"/>
                  <a:pt x="1105472" y="54655"/>
                  <a:pt x="1139572" y="73953"/>
                </a:cubicBezTo>
                <a:cubicBezTo>
                  <a:pt x="1142019" y="75338"/>
                  <a:pt x="1144467" y="76732"/>
                  <a:pt x="1146906" y="78134"/>
                </a:cubicBezTo>
                <a:cubicBezTo>
                  <a:pt x="1151354" y="80656"/>
                  <a:pt x="1155821" y="83133"/>
                  <a:pt x="1160317" y="85564"/>
                </a:cubicBezTo>
                <a:cubicBezTo>
                  <a:pt x="1178157" y="95184"/>
                  <a:pt x="1189349" y="99994"/>
                  <a:pt x="1193883" y="99994"/>
                </a:cubicBezTo>
                <a:cubicBezTo>
                  <a:pt x="1199465" y="99994"/>
                  <a:pt x="1206599" y="95965"/>
                  <a:pt x="1215276" y="87907"/>
                </a:cubicBezTo>
                <a:lnTo>
                  <a:pt x="1227363" y="96279"/>
                </a:lnTo>
                <a:lnTo>
                  <a:pt x="1139000" y="228829"/>
                </a:lnTo>
                <a:lnTo>
                  <a:pt x="1126446" y="220457"/>
                </a:lnTo>
                <a:cubicBezTo>
                  <a:pt x="1126665" y="218717"/>
                  <a:pt x="1126856" y="216973"/>
                  <a:pt x="1127008" y="215227"/>
                </a:cubicBezTo>
                <a:cubicBezTo>
                  <a:pt x="1127246" y="212478"/>
                  <a:pt x="1127370" y="210033"/>
                  <a:pt x="1127370" y="207893"/>
                </a:cubicBezTo>
                <a:cubicBezTo>
                  <a:pt x="1127332" y="201869"/>
                  <a:pt x="1125598" y="195974"/>
                  <a:pt x="1122369" y="190891"/>
                </a:cubicBezTo>
                <a:cubicBezTo>
                  <a:pt x="1120483" y="187871"/>
                  <a:pt x="1118264" y="185071"/>
                  <a:pt x="1115750" y="182547"/>
                </a:cubicBezTo>
                <a:cubicBezTo>
                  <a:pt x="1113235" y="180031"/>
                  <a:pt x="1110568" y="177673"/>
                  <a:pt x="1107768" y="175489"/>
                </a:cubicBezTo>
                <a:cubicBezTo>
                  <a:pt x="1099757" y="169152"/>
                  <a:pt x="1088613" y="161970"/>
                  <a:pt x="1074354" y="153944"/>
                </a:cubicBezTo>
                <a:cubicBezTo>
                  <a:pt x="1021300" y="123425"/>
                  <a:pt x="961149" y="107390"/>
                  <a:pt x="899942" y="107442"/>
                </a:cubicBezTo>
                <a:cubicBezTo>
                  <a:pt x="827393" y="107442"/>
                  <a:pt x="769570" y="125578"/>
                  <a:pt x="726472" y="161849"/>
                </a:cubicBezTo>
                <a:cubicBezTo>
                  <a:pt x="681522" y="198128"/>
                  <a:pt x="654048" y="251754"/>
                  <a:pt x="650863" y="309430"/>
                </a:cubicBezTo>
                <a:cubicBezTo>
                  <a:pt x="650413" y="315729"/>
                  <a:pt x="650191" y="322041"/>
                  <a:pt x="650196" y="328356"/>
                </a:cubicBezTo>
                <a:cubicBezTo>
                  <a:pt x="649837" y="357478"/>
                  <a:pt x="655156" y="386393"/>
                  <a:pt x="665855" y="413481"/>
                </a:cubicBezTo>
                <a:cubicBezTo>
                  <a:pt x="678988" y="445219"/>
                  <a:pt x="699821" y="473185"/>
                  <a:pt x="726472" y="494853"/>
                </a:cubicBezTo>
                <a:cubicBezTo>
                  <a:pt x="769570" y="531131"/>
                  <a:pt x="827393" y="549269"/>
                  <a:pt x="899942" y="549269"/>
                </a:cubicBezTo>
                <a:cubicBezTo>
                  <a:pt x="961149" y="549319"/>
                  <a:pt x="1021300" y="533280"/>
                  <a:pt x="1074354" y="502759"/>
                </a:cubicBezTo>
                <a:cubicBezTo>
                  <a:pt x="1094194" y="491602"/>
                  <a:pt x="1107996" y="482070"/>
                  <a:pt x="1115750" y="474164"/>
                </a:cubicBezTo>
                <a:cubicBezTo>
                  <a:pt x="1118369" y="471533"/>
                  <a:pt x="1120664" y="468601"/>
                  <a:pt x="1122598" y="465430"/>
                </a:cubicBezTo>
                <a:cubicBezTo>
                  <a:pt x="1125684" y="460435"/>
                  <a:pt x="1127341" y="454683"/>
                  <a:pt x="1127370" y="448809"/>
                </a:cubicBezTo>
                <a:cubicBezTo>
                  <a:pt x="1127370" y="447443"/>
                  <a:pt x="1127332" y="446077"/>
                  <a:pt x="1127246" y="444713"/>
                </a:cubicBezTo>
                <a:cubicBezTo>
                  <a:pt x="1127151" y="443202"/>
                  <a:pt x="1127008" y="441592"/>
                  <a:pt x="1126827" y="439884"/>
                </a:cubicBezTo>
                <a:cubicBezTo>
                  <a:pt x="1126713" y="438829"/>
                  <a:pt x="1126589" y="437774"/>
                  <a:pt x="1126446" y="436722"/>
                </a:cubicBezTo>
                <a:close/>
                <a:moveTo>
                  <a:pt x="1660360" y="386954"/>
                </a:moveTo>
                <a:lnTo>
                  <a:pt x="1491073" y="386954"/>
                </a:lnTo>
                <a:lnTo>
                  <a:pt x="1491073" y="597637"/>
                </a:lnTo>
                <a:cubicBezTo>
                  <a:pt x="1491054" y="600482"/>
                  <a:pt x="1491292" y="603324"/>
                  <a:pt x="1491797" y="606124"/>
                </a:cubicBezTo>
                <a:cubicBezTo>
                  <a:pt x="1492387" y="609286"/>
                  <a:pt x="1493330" y="612115"/>
                  <a:pt x="1494635" y="614611"/>
                </a:cubicBezTo>
                <a:cubicBezTo>
                  <a:pt x="1495502" y="616285"/>
                  <a:pt x="1496568" y="617849"/>
                  <a:pt x="1497816" y="619268"/>
                </a:cubicBezTo>
                <a:cubicBezTo>
                  <a:pt x="1502131" y="624183"/>
                  <a:pt x="1509380" y="628025"/>
                  <a:pt x="1519562" y="630794"/>
                </a:cubicBezTo>
                <a:cubicBezTo>
                  <a:pt x="1519990" y="630908"/>
                  <a:pt x="1520410" y="631018"/>
                  <a:pt x="1520838" y="631127"/>
                </a:cubicBezTo>
                <a:lnTo>
                  <a:pt x="1520838" y="646015"/>
                </a:lnTo>
                <a:lnTo>
                  <a:pt x="1322709" y="646015"/>
                </a:lnTo>
                <a:lnTo>
                  <a:pt x="1322709" y="631127"/>
                </a:lnTo>
                <a:cubicBezTo>
                  <a:pt x="1325623" y="630329"/>
                  <a:pt x="1328500" y="629381"/>
                  <a:pt x="1331319" y="628289"/>
                </a:cubicBezTo>
                <a:cubicBezTo>
                  <a:pt x="1337044" y="626047"/>
                  <a:pt x="1341454" y="623450"/>
                  <a:pt x="1344559" y="620497"/>
                </a:cubicBezTo>
                <a:cubicBezTo>
                  <a:pt x="1345054" y="620030"/>
                  <a:pt x="1345521" y="619541"/>
                  <a:pt x="1345969" y="619030"/>
                </a:cubicBezTo>
                <a:cubicBezTo>
                  <a:pt x="1348150" y="616481"/>
                  <a:pt x="1349769" y="613507"/>
                  <a:pt x="1350741" y="610296"/>
                </a:cubicBezTo>
                <a:cubicBezTo>
                  <a:pt x="1351503" y="607908"/>
                  <a:pt x="1352017" y="605269"/>
                  <a:pt x="1352274" y="602381"/>
                </a:cubicBezTo>
                <a:cubicBezTo>
                  <a:pt x="1352408" y="600803"/>
                  <a:pt x="1352474" y="599220"/>
                  <a:pt x="1352474" y="597637"/>
                </a:cubicBezTo>
                <a:lnTo>
                  <a:pt x="1352474" y="59998"/>
                </a:lnTo>
                <a:cubicBezTo>
                  <a:pt x="1352493" y="57243"/>
                  <a:pt x="1352284" y="54491"/>
                  <a:pt x="1351855" y="51769"/>
                </a:cubicBezTo>
                <a:cubicBezTo>
                  <a:pt x="1351379" y="48854"/>
                  <a:pt x="1350627" y="46238"/>
                  <a:pt x="1349598" y="43920"/>
                </a:cubicBezTo>
                <a:cubicBezTo>
                  <a:pt x="1348693" y="41820"/>
                  <a:pt x="1347464" y="39871"/>
                  <a:pt x="1345969" y="38139"/>
                </a:cubicBezTo>
                <a:cubicBezTo>
                  <a:pt x="1344311" y="36298"/>
                  <a:pt x="1342416" y="34695"/>
                  <a:pt x="1340320" y="33376"/>
                </a:cubicBezTo>
                <a:cubicBezTo>
                  <a:pt x="1336529" y="30919"/>
                  <a:pt x="1331634" y="28763"/>
                  <a:pt x="1325642" y="26909"/>
                </a:cubicBezTo>
                <a:cubicBezTo>
                  <a:pt x="1324671" y="26608"/>
                  <a:pt x="1323690" y="26323"/>
                  <a:pt x="1322709" y="26051"/>
                </a:cubicBezTo>
                <a:lnTo>
                  <a:pt x="1322709" y="11164"/>
                </a:lnTo>
                <a:lnTo>
                  <a:pt x="1719892" y="11164"/>
                </a:lnTo>
                <a:cubicBezTo>
                  <a:pt x="1734036" y="11145"/>
                  <a:pt x="1748181" y="11418"/>
                  <a:pt x="1762316" y="11983"/>
                </a:cubicBezTo>
                <a:cubicBezTo>
                  <a:pt x="1791272" y="13183"/>
                  <a:pt x="1815504" y="15701"/>
                  <a:pt x="1835001" y="19536"/>
                </a:cubicBezTo>
                <a:cubicBezTo>
                  <a:pt x="1850127" y="22435"/>
                  <a:pt x="1864919" y="26881"/>
                  <a:pt x="1879140" y="32805"/>
                </a:cubicBezTo>
                <a:cubicBezTo>
                  <a:pt x="1889627" y="37207"/>
                  <a:pt x="1899686" y="42574"/>
                  <a:pt x="1909182" y="48835"/>
                </a:cubicBezTo>
                <a:cubicBezTo>
                  <a:pt x="1933547" y="64801"/>
                  <a:pt x="1952645" y="87618"/>
                  <a:pt x="1964065" y="114415"/>
                </a:cubicBezTo>
                <a:cubicBezTo>
                  <a:pt x="1975543" y="141078"/>
                  <a:pt x="1981277" y="169603"/>
                  <a:pt x="1981277" y="199987"/>
                </a:cubicBezTo>
                <a:cubicBezTo>
                  <a:pt x="1981277" y="303550"/>
                  <a:pt x="1923765" y="364167"/>
                  <a:pt x="1808731" y="381839"/>
                </a:cubicBezTo>
                <a:lnTo>
                  <a:pt x="1931975" y="557175"/>
                </a:lnTo>
                <a:cubicBezTo>
                  <a:pt x="1951368" y="584600"/>
                  <a:pt x="1966123" y="603302"/>
                  <a:pt x="1976228" y="613277"/>
                </a:cubicBezTo>
                <a:cubicBezTo>
                  <a:pt x="1977333" y="614377"/>
                  <a:pt x="1978476" y="615444"/>
                  <a:pt x="1979648" y="616478"/>
                </a:cubicBezTo>
                <a:cubicBezTo>
                  <a:pt x="1988621" y="624316"/>
                  <a:pt x="1999765" y="629254"/>
                  <a:pt x="2011595" y="630641"/>
                </a:cubicBezTo>
                <a:cubicBezTo>
                  <a:pt x="2013262" y="630859"/>
                  <a:pt x="2014938" y="631022"/>
                  <a:pt x="2016624" y="631127"/>
                </a:cubicBezTo>
                <a:lnTo>
                  <a:pt x="2016624" y="646015"/>
                </a:lnTo>
                <a:lnTo>
                  <a:pt x="1786872" y="646015"/>
                </a:lnTo>
                <a:lnTo>
                  <a:pt x="1786872" y="631127"/>
                </a:lnTo>
                <a:cubicBezTo>
                  <a:pt x="1789748" y="630695"/>
                  <a:pt x="1792586" y="630077"/>
                  <a:pt x="1795377" y="629279"/>
                </a:cubicBezTo>
                <a:cubicBezTo>
                  <a:pt x="1801330" y="627533"/>
                  <a:pt x="1805531" y="625101"/>
                  <a:pt x="1807988" y="621983"/>
                </a:cubicBezTo>
                <a:cubicBezTo>
                  <a:pt x="1809712" y="619827"/>
                  <a:pt x="1810627" y="617141"/>
                  <a:pt x="1810589" y="614382"/>
                </a:cubicBezTo>
                <a:cubicBezTo>
                  <a:pt x="1810513" y="612813"/>
                  <a:pt x="1810179" y="611266"/>
                  <a:pt x="1809617" y="609801"/>
                </a:cubicBezTo>
                <a:cubicBezTo>
                  <a:pt x="1807188" y="602764"/>
                  <a:pt x="1800226" y="590805"/>
                  <a:pt x="1788729" y="573920"/>
                </a:cubicBezTo>
                <a:close/>
                <a:moveTo>
                  <a:pt x="29766" y="597180"/>
                </a:moveTo>
                <a:lnTo>
                  <a:pt x="29766" y="59532"/>
                </a:lnTo>
                <a:cubicBezTo>
                  <a:pt x="29781" y="56823"/>
                  <a:pt x="29568" y="54118"/>
                  <a:pt x="29128" y="51445"/>
                </a:cubicBezTo>
                <a:cubicBezTo>
                  <a:pt x="28620" y="48473"/>
                  <a:pt x="27807" y="45803"/>
                  <a:pt x="26690" y="43434"/>
                </a:cubicBezTo>
                <a:cubicBezTo>
                  <a:pt x="25796" y="41518"/>
                  <a:pt x="24638" y="39735"/>
                  <a:pt x="23251" y="38139"/>
                </a:cubicBezTo>
                <a:cubicBezTo>
                  <a:pt x="21600" y="36299"/>
                  <a:pt x="19702" y="34696"/>
                  <a:pt x="17612" y="33376"/>
                </a:cubicBezTo>
                <a:cubicBezTo>
                  <a:pt x="13821" y="30919"/>
                  <a:pt x="8929" y="28763"/>
                  <a:pt x="2934" y="26909"/>
                </a:cubicBezTo>
                <a:cubicBezTo>
                  <a:pt x="1961" y="26608"/>
                  <a:pt x="983" y="26323"/>
                  <a:pt x="0" y="26051"/>
                </a:cubicBezTo>
                <a:lnTo>
                  <a:pt x="0" y="11164"/>
                </a:lnTo>
                <a:lnTo>
                  <a:pt x="198130" y="11164"/>
                </a:lnTo>
                <a:lnTo>
                  <a:pt x="198130" y="26051"/>
                </a:lnTo>
                <a:cubicBezTo>
                  <a:pt x="186967" y="28839"/>
                  <a:pt x="179213" y="32792"/>
                  <a:pt x="174870" y="37910"/>
                </a:cubicBezTo>
                <a:cubicBezTo>
                  <a:pt x="171212" y="42222"/>
                  <a:pt x="169098" y="48016"/>
                  <a:pt x="168526" y="55293"/>
                </a:cubicBezTo>
                <a:cubicBezTo>
                  <a:pt x="168417" y="56703"/>
                  <a:pt x="168362" y="58117"/>
                  <a:pt x="168364" y="59532"/>
                </a:cubicBezTo>
                <a:lnTo>
                  <a:pt x="168364" y="597180"/>
                </a:lnTo>
                <a:cubicBezTo>
                  <a:pt x="168348" y="599975"/>
                  <a:pt x="168567" y="602766"/>
                  <a:pt x="169022" y="605524"/>
                </a:cubicBezTo>
                <a:cubicBezTo>
                  <a:pt x="169548" y="608603"/>
                  <a:pt x="170390" y="611363"/>
                  <a:pt x="171546" y="613801"/>
                </a:cubicBezTo>
                <a:cubicBezTo>
                  <a:pt x="172472" y="615781"/>
                  <a:pt x="173671" y="617622"/>
                  <a:pt x="175108" y="619268"/>
                </a:cubicBezTo>
                <a:cubicBezTo>
                  <a:pt x="179426" y="624183"/>
                  <a:pt x="186674" y="628025"/>
                  <a:pt x="196854" y="630794"/>
                </a:cubicBezTo>
                <a:cubicBezTo>
                  <a:pt x="197278" y="630908"/>
                  <a:pt x="197704" y="631018"/>
                  <a:pt x="198130" y="631127"/>
                </a:cubicBezTo>
                <a:lnTo>
                  <a:pt x="198130" y="646015"/>
                </a:lnTo>
                <a:lnTo>
                  <a:pt x="0" y="646015"/>
                </a:lnTo>
                <a:lnTo>
                  <a:pt x="0" y="631127"/>
                </a:lnTo>
                <a:cubicBezTo>
                  <a:pt x="2917" y="630329"/>
                  <a:pt x="5791" y="629381"/>
                  <a:pt x="8611" y="628289"/>
                </a:cubicBezTo>
                <a:cubicBezTo>
                  <a:pt x="14326" y="626047"/>
                  <a:pt x="18739" y="623450"/>
                  <a:pt x="21851" y="620497"/>
                </a:cubicBezTo>
                <a:cubicBezTo>
                  <a:pt x="22340" y="620029"/>
                  <a:pt x="22807" y="619541"/>
                  <a:pt x="23251" y="619030"/>
                </a:cubicBezTo>
                <a:cubicBezTo>
                  <a:pt x="25303" y="616638"/>
                  <a:pt x="26858" y="613859"/>
                  <a:pt x="27823" y="610858"/>
                </a:cubicBezTo>
                <a:cubicBezTo>
                  <a:pt x="28610" y="608502"/>
                  <a:pt x="29160" y="605889"/>
                  <a:pt x="29471" y="603019"/>
                </a:cubicBezTo>
                <a:cubicBezTo>
                  <a:pt x="29673" y="601079"/>
                  <a:pt x="29772" y="599130"/>
                  <a:pt x="29766" y="597180"/>
                </a:cubicBezTo>
                <a:close/>
                <a:moveTo>
                  <a:pt x="1491073" y="115805"/>
                </a:moveTo>
                <a:lnTo>
                  <a:pt x="1491073" y="282312"/>
                </a:lnTo>
                <a:lnTo>
                  <a:pt x="1705014" y="282312"/>
                </a:lnTo>
                <a:cubicBezTo>
                  <a:pt x="1712338" y="282318"/>
                  <a:pt x="1719663" y="282261"/>
                  <a:pt x="1726988" y="282141"/>
                </a:cubicBezTo>
                <a:cubicBezTo>
                  <a:pt x="1747000" y="281791"/>
                  <a:pt x="1761887" y="280934"/>
                  <a:pt x="1771660" y="279569"/>
                </a:cubicBezTo>
                <a:cubicBezTo>
                  <a:pt x="1771765" y="279553"/>
                  <a:pt x="1771879" y="279537"/>
                  <a:pt x="1771984" y="279521"/>
                </a:cubicBezTo>
                <a:cubicBezTo>
                  <a:pt x="1785005" y="277661"/>
                  <a:pt x="1796949" y="273784"/>
                  <a:pt x="1807798" y="267891"/>
                </a:cubicBezTo>
                <a:cubicBezTo>
                  <a:pt x="1824933" y="258786"/>
                  <a:pt x="1837021" y="242397"/>
                  <a:pt x="1840650" y="223333"/>
                </a:cubicBezTo>
                <a:cubicBezTo>
                  <a:pt x="1842374" y="215361"/>
                  <a:pt x="1843212" y="207221"/>
                  <a:pt x="1843145" y="199063"/>
                </a:cubicBezTo>
                <a:cubicBezTo>
                  <a:pt x="1843221" y="190461"/>
                  <a:pt x="1842288" y="181879"/>
                  <a:pt x="1840345" y="173498"/>
                </a:cubicBezTo>
                <a:cubicBezTo>
                  <a:pt x="1836459" y="154955"/>
                  <a:pt x="1824533" y="139099"/>
                  <a:pt x="1807798" y="130226"/>
                </a:cubicBezTo>
                <a:cubicBezTo>
                  <a:pt x="1796635" y="124028"/>
                  <a:pt x="1784776" y="120075"/>
                  <a:pt x="1772222" y="118368"/>
                </a:cubicBezTo>
                <a:cubicBezTo>
                  <a:pt x="1768517" y="117884"/>
                  <a:pt x="1764793" y="117512"/>
                  <a:pt x="1761059" y="117253"/>
                </a:cubicBezTo>
                <a:cubicBezTo>
                  <a:pt x="1748543" y="116332"/>
                  <a:pt x="1730960" y="115853"/>
                  <a:pt x="1708300" y="115815"/>
                </a:cubicBezTo>
                <a:cubicBezTo>
                  <a:pt x="1707204" y="115811"/>
                  <a:pt x="1706109" y="115807"/>
                  <a:pt x="1705014" y="115805"/>
                </a:cubicBezTo>
                <a:close/>
                <a:moveTo>
                  <a:pt x="451600" y="305096"/>
                </a:moveTo>
                <a:lnTo>
                  <a:pt x="466487" y="305096"/>
                </a:lnTo>
                <a:lnTo>
                  <a:pt x="466487" y="466021"/>
                </a:lnTo>
                <a:lnTo>
                  <a:pt x="451600" y="466021"/>
                </a:lnTo>
                <a:cubicBezTo>
                  <a:pt x="450801" y="463104"/>
                  <a:pt x="449854" y="460230"/>
                  <a:pt x="448761" y="457410"/>
                </a:cubicBezTo>
                <a:cubicBezTo>
                  <a:pt x="446520" y="451695"/>
                  <a:pt x="443923" y="447282"/>
                  <a:pt x="440970" y="444170"/>
                </a:cubicBezTo>
                <a:cubicBezTo>
                  <a:pt x="440506" y="443682"/>
                  <a:pt x="440019" y="443214"/>
                  <a:pt x="439513" y="442770"/>
                </a:cubicBezTo>
                <a:cubicBezTo>
                  <a:pt x="437117" y="440717"/>
                  <a:pt x="434335" y="439162"/>
                  <a:pt x="431331" y="438198"/>
                </a:cubicBezTo>
                <a:cubicBezTo>
                  <a:pt x="428975" y="437410"/>
                  <a:pt x="426361" y="436862"/>
                  <a:pt x="423491" y="436550"/>
                </a:cubicBezTo>
                <a:cubicBezTo>
                  <a:pt x="421552" y="436347"/>
                  <a:pt x="419602" y="436249"/>
                  <a:pt x="417653" y="436255"/>
                </a:cubicBezTo>
                <a:lnTo>
                  <a:pt x="303238" y="436255"/>
                </a:lnTo>
                <a:cubicBezTo>
                  <a:pt x="300396" y="436236"/>
                  <a:pt x="297559" y="436479"/>
                  <a:pt x="294761" y="436979"/>
                </a:cubicBezTo>
                <a:cubicBezTo>
                  <a:pt x="291599" y="437569"/>
                  <a:pt x="288767" y="438515"/>
                  <a:pt x="286265" y="439817"/>
                </a:cubicBezTo>
                <a:cubicBezTo>
                  <a:pt x="284590" y="440687"/>
                  <a:pt x="283026" y="441755"/>
                  <a:pt x="281607" y="442999"/>
                </a:cubicBezTo>
                <a:cubicBezTo>
                  <a:pt x="276699" y="447316"/>
                  <a:pt x="272860" y="454565"/>
                  <a:pt x="270091" y="464744"/>
                </a:cubicBezTo>
                <a:cubicBezTo>
                  <a:pt x="269974" y="465169"/>
                  <a:pt x="269860" y="465595"/>
                  <a:pt x="269748" y="466021"/>
                </a:cubicBezTo>
                <a:lnTo>
                  <a:pt x="254870" y="466021"/>
                </a:lnTo>
                <a:lnTo>
                  <a:pt x="254870" y="305096"/>
                </a:lnTo>
                <a:lnTo>
                  <a:pt x="269748" y="305096"/>
                </a:lnTo>
                <a:cubicBezTo>
                  <a:pt x="272542" y="316259"/>
                  <a:pt x="276495" y="324089"/>
                  <a:pt x="281607" y="328584"/>
                </a:cubicBezTo>
                <a:cubicBezTo>
                  <a:pt x="284383" y="330979"/>
                  <a:pt x="287646" y="332740"/>
                  <a:pt x="291170" y="333747"/>
                </a:cubicBezTo>
                <a:cubicBezTo>
                  <a:pt x="294701" y="334801"/>
                  <a:pt x="298724" y="335328"/>
                  <a:pt x="303238" y="335328"/>
                </a:cubicBezTo>
                <a:lnTo>
                  <a:pt x="417653" y="335328"/>
                </a:lnTo>
                <a:cubicBezTo>
                  <a:pt x="420408" y="335344"/>
                  <a:pt x="423160" y="335138"/>
                  <a:pt x="425882" y="334709"/>
                </a:cubicBezTo>
                <a:cubicBezTo>
                  <a:pt x="428790" y="334233"/>
                  <a:pt x="431407" y="333483"/>
                  <a:pt x="433731" y="332461"/>
                </a:cubicBezTo>
                <a:cubicBezTo>
                  <a:pt x="435831" y="331549"/>
                  <a:pt x="437781" y="330322"/>
                  <a:pt x="439513" y="328823"/>
                </a:cubicBezTo>
                <a:cubicBezTo>
                  <a:pt x="441281" y="327231"/>
                  <a:pt x="442823" y="325404"/>
                  <a:pt x="444094" y="323393"/>
                </a:cubicBezTo>
                <a:cubicBezTo>
                  <a:pt x="446590" y="319558"/>
                  <a:pt x="448780" y="314545"/>
                  <a:pt x="450666" y="308353"/>
                </a:cubicBezTo>
                <a:cubicBezTo>
                  <a:pt x="450995" y="307272"/>
                  <a:pt x="451305" y="306186"/>
                  <a:pt x="451600" y="305096"/>
                </a:cubicBezTo>
                <a:close/>
              </a:path>
            </a:pathLst>
          </a:custGeom>
          <a:gradFill>
            <a:gsLst>
              <a:gs pos="100000">
                <a:srgbClr val="BDDEFF"/>
              </a:gs>
              <a:gs pos="55000">
                <a:schemeClr val="bg1"/>
              </a:gs>
              <a:gs pos="0">
                <a:srgbClr val="6D40CF"/>
              </a:gs>
            </a:gsLst>
            <a:lin ang="0" scaled="0"/>
          </a:gradFill>
          <a:ln w="9000" cap="rnd">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0</xdr:col>
      <xdr:colOff>205740</xdr:colOff>
      <xdr:row>6</xdr:row>
      <xdr:rowOff>152400</xdr:rowOff>
    </xdr:from>
    <xdr:to>
      <xdr:col>3</xdr:col>
      <xdr:colOff>140940</xdr:colOff>
      <xdr:row>8</xdr:row>
      <xdr:rowOff>182640</xdr:rowOff>
    </xdr:to>
    <xdr:sp macro="" textlink="">
      <xdr:nvSpPr>
        <xdr:cNvPr id="5" name="Freeform: Shape 4">
          <a:extLst>
            <a:ext uri="{FF2B5EF4-FFF2-40B4-BE49-F238E27FC236}">
              <a16:creationId xmlns:a16="http://schemas.microsoft.com/office/drawing/2014/main" id="{00000000-0008-0000-0000-000005000000}"/>
            </a:ext>
          </a:extLst>
        </xdr:cNvPr>
        <xdr:cNvSpPr/>
      </xdr:nvSpPr>
      <xdr:spPr>
        <a:xfrm>
          <a:off x="205740" y="1249680"/>
          <a:ext cx="1764000" cy="396000"/>
        </a:xfrm>
        <a:custGeom>
          <a:avLst/>
          <a:gdLst>
            <a:gd name="connsiteX0" fmla="*/ 0 w 1513634"/>
            <a:gd name="connsiteY0" fmla="*/ 0 h 365760"/>
            <a:gd name="connsiteX1" fmla="*/ 1452673 w 1513634"/>
            <a:gd name="connsiteY1" fmla="*/ 0 h 365760"/>
            <a:gd name="connsiteX2" fmla="*/ 1513634 w 1513634"/>
            <a:gd name="connsiteY2" fmla="*/ 60961 h 365760"/>
            <a:gd name="connsiteX3" fmla="*/ 1513634 w 1513634"/>
            <a:gd name="connsiteY3" fmla="*/ 304799 h 365760"/>
            <a:gd name="connsiteX4" fmla="*/ 1452673 w 1513634"/>
            <a:gd name="connsiteY4" fmla="*/ 365760 h 365760"/>
            <a:gd name="connsiteX5" fmla="*/ 0 w 1513634"/>
            <a:gd name="connsiteY5" fmla="*/ 365760 h 365760"/>
            <a:gd name="connsiteX6" fmla="*/ 0 w 1513634"/>
            <a:gd name="connsiteY6" fmla="*/ 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13634" h="365760">
              <a:moveTo>
                <a:pt x="0" y="0"/>
              </a:moveTo>
              <a:lnTo>
                <a:pt x="1452673" y="0"/>
              </a:lnTo>
              <a:cubicBezTo>
                <a:pt x="1486341" y="0"/>
                <a:pt x="1513634" y="27293"/>
                <a:pt x="1513634" y="60961"/>
              </a:cubicBezTo>
              <a:lnTo>
                <a:pt x="1513634" y="304799"/>
              </a:lnTo>
              <a:cubicBezTo>
                <a:pt x="1513634" y="338467"/>
                <a:pt x="1486341" y="365760"/>
                <a:pt x="1452673" y="365760"/>
              </a:cubicBezTo>
              <a:lnTo>
                <a:pt x="0" y="365760"/>
              </a:lnTo>
              <a:lnTo>
                <a:pt x="0" y="0"/>
              </a:lnTo>
              <a:close/>
            </a:path>
          </a:pathLst>
        </a:custGeom>
        <a:gradFill>
          <a:gsLst>
            <a:gs pos="10000">
              <a:srgbClr val="423469">
                <a:alpha val="68000"/>
              </a:srgbClr>
            </a:gs>
            <a:gs pos="100000">
              <a:srgbClr val="6D40C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23275</xdr:colOff>
      <xdr:row>7</xdr:row>
      <xdr:rowOff>85140</xdr:rowOff>
    </xdr:from>
    <xdr:to>
      <xdr:col>1</xdr:col>
      <xdr:colOff>167275</xdr:colOff>
      <xdr:row>8</xdr:row>
      <xdr:rowOff>46260</xdr:rowOff>
    </xdr:to>
    <xdr:grpSp>
      <xdr:nvGrpSpPr>
        <xdr:cNvPr id="59" name="Group 58">
          <a:extLst>
            <a:ext uri="{FF2B5EF4-FFF2-40B4-BE49-F238E27FC236}">
              <a16:creationId xmlns:a16="http://schemas.microsoft.com/office/drawing/2014/main" id="{00000000-0008-0000-0000-00003B000000}"/>
            </a:ext>
          </a:extLst>
        </xdr:cNvPr>
        <xdr:cNvGrpSpPr/>
      </xdr:nvGrpSpPr>
      <xdr:grpSpPr>
        <a:xfrm>
          <a:off x="615942" y="1418640"/>
          <a:ext cx="144000" cy="151620"/>
          <a:chOff x="2444621" y="737119"/>
          <a:chExt cx="4413380" cy="4413380"/>
        </a:xfrm>
      </xdr:grpSpPr>
      <xdr:sp macro="" textlink="">
        <xdr:nvSpPr>
          <xdr:cNvPr id="60" name="Rectangle: Rounded Corners 59">
            <a:extLst>
              <a:ext uri="{FF2B5EF4-FFF2-40B4-BE49-F238E27FC236}">
                <a16:creationId xmlns:a16="http://schemas.microsoft.com/office/drawing/2014/main" id="{00000000-0008-0000-0000-00003C000000}"/>
              </a:ext>
            </a:extLst>
          </xdr:cNvPr>
          <xdr:cNvSpPr/>
        </xdr:nvSpPr>
        <xdr:spPr>
          <a:xfrm>
            <a:off x="2444621" y="737119"/>
            <a:ext cx="4413380" cy="441338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60">
            <a:extLst>
              <a:ext uri="{FF2B5EF4-FFF2-40B4-BE49-F238E27FC236}">
                <a16:creationId xmlns:a16="http://schemas.microsoft.com/office/drawing/2014/main" id="{00000000-0008-0000-0000-00003D000000}"/>
              </a:ext>
            </a:extLst>
          </xdr:cNvPr>
          <xdr:cNvSpPr/>
        </xdr:nvSpPr>
        <xdr:spPr>
          <a:xfrm>
            <a:off x="3172408" y="2649894"/>
            <a:ext cx="774441" cy="20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Rectangle 61">
            <a:extLst>
              <a:ext uri="{FF2B5EF4-FFF2-40B4-BE49-F238E27FC236}">
                <a16:creationId xmlns:a16="http://schemas.microsoft.com/office/drawing/2014/main" id="{00000000-0008-0000-0000-00003E000000}"/>
              </a:ext>
            </a:extLst>
          </xdr:cNvPr>
          <xdr:cNvSpPr/>
        </xdr:nvSpPr>
        <xdr:spPr>
          <a:xfrm>
            <a:off x="4264090" y="1306286"/>
            <a:ext cx="774441" cy="33956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Rectangle 62">
            <a:extLst>
              <a:ext uri="{FF2B5EF4-FFF2-40B4-BE49-F238E27FC236}">
                <a16:creationId xmlns:a16="http://schemas.microsoft.com/office/drawing/2014/main" id="{00000000-0008-0000-0000-00003F000000}"/>
              </a:ext>
            </a:extLst>
          </xdr:cNvPr>
          <xdr:cNvSpPr/>
        </xdr:nvSpPr>
        <xdr:spPr>
          <a:xfrm>
            <a:off x="5379097" y="3312366"/>
            <a:ext cx="774441" cy="1389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xdr:col>
      <xdr:colOff>251460</xdr:colOff>
      <xdr:row>7</xdr:row>
      <xdr:rowOff>12360</xdr:rowOff>
    </xdr:from>
    <xdr:to>
      <xdr:col>3</xdr:col>
      <xdr:colOff>114300</xdr:colOff>
      <xdr:row>8</xdr:row>
      <xdr:rowOff>119040</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861060" y="1292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rPr>
            <a:t>Dashboard</a:t>
          </a:r>
          <a:endParaRPr lang="ru-RU" sz="1200">
            <a:solidFill>
              <a:schemeClr val="bg1"/>
            </a:solidFill>
            <a:latin typeface="+mn-lt"/>
          </a:endParaRPr>
        </a:p>
      </xdr:txBody>
    </xdr:sp>
    <xdr:clientData/>
  </xdr:twoCellAnchor>
  <xdr:twoCellAnchor>
    <xdr:from>
      <xdr:col>0</xdr:col>
      <xdr:colOff>596875</xdr:colOff>
      <xdr:row>10</xdr:row>
      <xdr:rowOff>2835</xdr:rowOff>
    </xdr:from>
    <xdr:to>
      <xdr:col>3</xdr:col>
      <xdr:colOff>114300</xdr:colOff>
      <xdr:row>11</xdr:row>
      <xdr:rowOff>109515</xdr:rowOff>
    </xdr:to>
    <xdr:grpSp>
      <xdr:nvGrpSpPr>
        <xdr:cNvPr id="4" name="Group 3">
          <a:hlinkClick xmlns:r="http://schemas.openxmlformats.org/officeDocument/2006/relationships" r:id="rId2"/>
          <a:extLst>
            <a:ext uri="{FF2B5EF4-FFF2-40B4-BE49-F238E27FC236}">
              <a16:creationId xmlns:a16="http://schemas.microsoft.com/office/drawing/2014/main" id="{E0558657-1E36-339C-BCD9-E965320DB0C0}"/>
            </a:ext>
          </a:extLst>
        </xdr:cNvPr>
        <xdr:cNvGrpSpPr/>
      </xdr:nvGrpSpPr>
      <xdr:grpSpPr>
        <a:xfrm>
          <a:off x="587350" y="1907835"/>
          <a:ext cx="1304950" cy="297180"/>
          <a:chOff x="596875" y="1831635"/>
          <a:chExt cx="1346225" cy="289560"/>
        </a:xfrm>
      </xdr:grpSpPr>
      <xdr:sp macro="" textlink="">
        <xdr:nvSpPr>
          <xdr:cNvPr id="65" name="TextBox 64">
            <a:hlinkClick xmlns:r="http://schemas.openxmlformats.org/officeDocument/2006/relationships" r:id="rId2"/>
            <a:extLst>
              <a:ext uri="{FF2B5EF4-FFF2-40B4-BE49-F238E27FC236}">
                <a16:creationId xmlns:a16="http://schemas.microsoft.com/office/drawing/2014/main" id="{00000000-0008-0000-0000-000041000000}"/>
              </a:ext>
            </a:extLst>
          </xdr:cNvPr>
          <xdr:cNvSpPr txBox="1"/>
        </xdr:nvSpPr>
        <xdr:spPr>
          <a:xfrm>
            <a:off x="861060" y="183163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Personnel</a:t>
            </a:r>
            <a:endParaRPr lang="ru-RU" sz="1200">
              <a:solidFill>
                <a:schemeClr val="bg1"/>
              </a:solidFill>
              <a:latin typeface="+mn-lt"/>
            </a:endParaRPr>
          </a:p>
        </xdr:txBody>
      </xdr:sp>
      <xdr:pic>
        <xdr:nvPicPr>
          <xdr:cNvPr id="75" name="Graphic 74" descr="User with solid fill">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875" y="1879710"/>
            <a:ext cx="216000" cy="216000"/>
          </a:xfrm>
          <a:prstGeom prst="rect">
            <a:avLst/>
          </a:prstGeom>
        </xdr:spPr>
      </xdr:pic>
    </xdr:grpSp>
    <xdr:clientData/>
  </xdr:twoCellAnchor>
  <xdr:twoCellAnchor>
    <xdr:from>
      <xdr:col>0</xdr:col>
      <xdr:colOff>578875</xdr:colOff>
      <xdr:row>12</xdr:row>
      <xdr:rowOff>176190</xdr:rowOff>
    </xdr:from>
    <xdr:to>
      <xdr:col>3</xdr:col>
      <xdr:colOff>114300</xdr:colOff>
      <xdr:row>14</xdr:row>
      <xdr:rowOff>99990</xdr:rowOff>
    </xdr:to>
    <xdr:grpSp>
      <xdr:nvGrpSpPr>
        <xdr:cNvPr id="51" name="Group 50">
          <a:hlinkClick xmlns:r="http://schemas.openxmlformats.org/officeDocument/2006/relationships" r:id="rId5"/>
          <a:extLst>
            <a:ext uri="{FF2B5EF4-FFF2-40B4-BE49-F238E27FC236}">
              <a16:creationId xmlns:a16="http://schemas.microsoft.com/office/drawing/2014/main" id="{5BB5EA2C-A4DD-E520-9698-D4D0621329E3}"/>
            </a:ext>
          </a:extLst>
        </xdr:cNvPr>
        <xdr:cNvGrpSpPr/>
      </xdr:nvGrpSpPr>
      <xdr:grpSpPr>
        <a:xfrm>
          <a:off x="578875" y="2462190"/>
          <a:ext cx="1313425" cy="304800"/>
          <a:chOff x="578875" y="2370750"/>
          <a:chExt cx="1364225" cy="289560"/>
        </a:xfrm>
      </xdr:grpSpPr>
      <xdr:sp macro="" textlink="">
        <xdr:nvSpPr>
          <xdr:cNvPr id="66" name="TextBox 65">
            <a:extLst>
              <a:ext uri="{FF2B5EF4-FFF2-40B4-BE49-F238E27FC236}">
                <a16:creationId xmlns:a16="http://schemas.microsoft.com/office/drawing/2014/main" id="{00000000-0008-0000-0000-000042000000}"/>
              </a:ext>
            </a:extLst>
          </xdr:cNvPr>
          <xdr:cNvSpPr txBox="1"/>
        </xdr:nvSpPr>
        <xdr:spPr>
          <a:xfrm>
            <a:off x="861060" y="237075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Settings</a:t>
            </a:r>
            <a:endParaRPr lang="ru-RU" sz="1200">
              <a:solidFill>
                <a:schemeClr val="bg1"/>
              </a:solidFill>
              <a:latin typeface="+mn-lt"/>
            </a:endParaRPr>
          </a:p>
        </xdr:txBody>
      </xdr:sp>
      <xdr:pic>
        <xdr:nvPicPr>
          <xdr:cNvPr id="81" name="Graphic 80" descr="Single gear with solid fill">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78875" y="2397540"/>
            <a:ext cx="252000" cy="252000"/>
          </a:xfrm>
          <a:prstGeom prst="rect">
            <a:avLst/>
          </a:prstGeom>
        </xdr:spPr>
      </xdr:pic>
    </xdr:grpSp>
    <xdr:clientData/>
  </xdr:twoCellAnchor>
  <xdr:twoCellAnchor>
    <xdr:from>
      <xdr:col>0</xdr:col>
      <xdr:colOff>578875</xdr:colOff>
      <xdr:row>15</xdr:row>
      <xdr:rowOff>166665</xdr:rowOff>
    </xdr:from>
    <xdr:to>
      <xdr:col>3</xdr:col>
      <xdr:colOff>114300</xdr:colOff>
      <xdr:row>17</xdr:row>
      <xdr:rowOff>90465</xdr:rowOff>
    </xdr:to>
    <xdr:grpSp>
      <xdr:nvGrpSpPr>
        <xdr:cNvPr id="52" name="Group 51">
          <a:hlinkClick xmlns:r="http://schemas.openxmlformats.org/officeDocument/2006/relationships" r:id="rId8"/>
          <a:extLst>
            <a:ext uri="{FF2B5EF4-FFF2-40B4-BE49-F238E27FC236}">
              <a16:creationId xmlns:a16="http://schemas.microsoft.com/office/drawing/2014/main" id="{03DB4133-4D16-6180-7B9E-BD65E9436841}"/>
            </a:ext>
          </a:extLst>
        </xdr:cNvPr>
        <xdr:cNvGrpSpPr/>
      </xdr:nvGrpSpPr>
      <xdr:grpSpPr>
        <a:xfrm>
          <a:off x="578875" y="3024165"/>
          <a:ext cx="1313425" cy="304800"/>
          <a:chOff x="578875" y="2909865"/>
          <a:chExt cx="1364225" cy="289560"/>
        </a:xfrm>
      </xdr:grpSpPr>
      <xdr:sp macro="" textlink="">
        <xdr:nvSpPr>
          <xdr:cNvPr id="67" name="TextBox 66">
            <a:extLst>
              <a:ext uri="{FF2B5EF4-FFF2-40B4-BE49-F238E27FC236}">
                <a16:creationId xmlns:a16="http://schemas.microsoft.com/office/drawing/2014/main" id="{00000000-0008-0000-0000-000043000000}"/>
              </a:ext>
            </a:extLst>
          </xdr:cNvPr>
          <xdr:cNvSpPr txBox="1"/>
        </xdr:nvSpPr>
        <xdr:spPr>
          <a:xfrm>
            <a:off x="861060" y="290986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Today</a:t>
            </a:r>
            <a:endParaRPr lang="ru-RU" sz="1200">
              <a:solidFill>
                <a:schemeClr val="bg1"/>
              </a:solidFill>
              <a:latin typeface="+mn-lt"/>
            </a:endParaRPr>
          </a:p>
        </xdr:txBody>
      </xdr:sp>
      <xdr:pic>
        <xdr:nvPicPr>
          <xdr:cNvPr id="83" name="Graphic 82" descr="Daily calendar with solid fill">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78875" y="2943750"/>
            <a:ext cx="252000" cy="252000"/>
          </a:xfrm>
          <a:prstGeom prst="rect">
            <a:avLst/>
          </a:prstGeom>
        </xdr:spPr>
      </xdr:pic>
    </xdr:grpSp>
    <xdr:clientData/>
  </xdr:twoCellAnchor>
  <xdr:twoCellAnchor>
    <xdr:from>
      <xdr:col>17</xdr:col>
      <xdr:colOff>167640</xdr:colOff>
      <xdr:row>3</xdr:row>
      <xdr:rowOff>106680</xdr:rowOff>
    </xdr:from>
    <xdr:to>
      <xdr:col>23</xdr:col>
      <xdr:colOff>276120</xdr:colOff>
      <xdr:row>17</xdr:row>
      <xdr:rowOff>37980</xdr:rowOff>
    </xdr:to>
    <xdr:sp macro="" textlink="">
      <xdr:nvSpPr>
        <xdr:cNvPr id="87" name="Rectangle: Rounded Corners 86">
          <a:extLst>
            <a:ext uri="{FF2B5EF4-FFF2-40B4-BE49-F238E27FC236}">
              <a16:creationId xmlns:a16="http://schemas.microsoft.com/office/drawing/2014/main" id="{00000000-0008-0000-0000-000057000000}"/>
            </a:ext>
          </a:extLst>
        </xdr:cNvPr>
        <xdr:cNvSpPr/>
      </xdr:nvSpPr>
      <xdr:spPr>
        <a:xfrm>
          <a:off x="10530840" y="655320"/>
          <a:ext cx="3888000" cy="2491620"/>
        </a:xfrm>
        <a:prstGeom prst="roundRect">
          <a:avLst>
            <a:gd name="adj" fmla="val 6491"/>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17</xdr:col>
      <xdr:colOff>167640</xdr:colOff>
      <xdr:row>17</xdr:row>
      <xdr:rowOff>121920</xdr:rowOff>
    </xdr:from>
    <xdr:to>
      <xdr:col>23</xdr:col>
      <xdr:colOff>276120</xdr:colOff>
      <xdr:row>33</xdr:row>
      <xdr:rowOff>68580</xdr:rowOff>
    </xdr:to>
    <xdr:sp macro="" textlink="">
      <xdr:nvSpPr>
        <xdr:cNvPr id="95" name="Rectangle: Rounded Corners 94">
          <a:extLst>
            <a:ext uri="{FF2B5EF4-FFF2-40B4-BE49-F238E27FC236}">
              <a16:creationId xmlns:a16="http://schemas.microsoft.com/office/drawing/2014/main" id="{00000000-0008-0000-0000-00005F000000}"/>
            </a:ext>
          </a:extLst>
        </xdr:cNvPr>
        <xdr:cNvSpPr/>
      </xdr:nvSpPr>
      <xdr:spPr>
        <a:xfrm>
          <a:off x="10530840" y="3230880"/>
          <a:ext cx="3888000" cy="2872740"/>
        </a:xfrm>
        <a:prstGeom prst="roundRect">
          <a:avLst>
            <a:gd name="adj" fmla="val 6491"/>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21</xdr:col>
      <xdr:colOff>91440</xdr:colOff>
      <xdr:row>10</xdr:row>
      <xdr:rowOff>24591</xdr:rowOff>
    </xdr:from>
    <xdr:to>
      <xdr:col>22</xdr:col>
      <xdr:colOff>511920</xdr:colOff>
      <xdr:row>16</xdr:row>
      <xdr:rowOff>79311</xdr:rowOff>
    </xdr:to>
    <xdr:graphicFrame macro="">
      <xdr:nvGraphicFramePr>
        <xdr:cNvPr id="88" name="Chart 87">
          <a:extLst>
            <a:ext uri="{FF2B5EF4-FFF2-40B4-BE49-F238E27FC236}">
              <a16:creationId xmlns:a16="http://schemas.microsoft.com/office/drawing/2014/main" id="{00000000-0008-0000-00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0</xdr:row>
      <xdr:rowOff>0</xdr:rowOff>
    </xdr:from>
    <xdr:to>
      <xdr:col>25</xdr:col>
      <xdr:colOff>251460</xdr:colOff>
      <xdr:row>34</xdr:row>
      <xdr:rowOff>137160</xdr:rowOff>
    </xdr:to>
    <xdr:grpSp>
      <xdr:nvGrpSpPr>
        <xdr:cNvPr id="158" name="Group 157">
          <a:extLst>
            <a:ext uri="{FF2B5EF4-FFF2-40B4-BE49-F238E27FC236}">
              <a16:creationId xmlns:a16="http://schemas.microsoft.com/office/drawing/2014/main" id="{00000000-0008-0000-0000-00009E000000}"/>
            </a:ext>
          </a:extLst>
        </xdr:cNvPr>
        <xdr:cNvGrpSpPr/>
      </xdr:nvGrpSpPr>
      <xdr:grpSpPr>
        <a:xfrm>
          <a:off x="13758333" y="0"/>
          <a:ext cx="1436794" cy="6614160"/>
          <a:chOff x="14142720" y="0"/>
          <a:chExt cx="1470660" cy="6355080"/>
        </a:xfrm>
      </xdr:grpSpPr>
      <xdr:sp macro="" textlink="">
        <xdr:nvSpPr>
          <xdr:cNvPr id="96" name="Rectangle 95">
            <a:extLst>
              <a:ext uri="{FF2B5EF4-FFF2-40B4-BE49-F238E27FC236}">
                <a16:creationId xmlns:a16="http://schemas.microsoft.com/office/drawing/2014/main" id="{00000000-0008-0000-0000-000060000000}"/>
              </a:ext>
            </a:extLst>
          </xdr:cNvPr>
          <xdr:cNvSpPr/>
        </xdr:nvSpPr>
        <xdr:spPr>
          <a:xfrm>
            <a:off x="14142720" y="342900"/>
            <a:ext cx="1470660" cy="6012180"/>
          </a:xfrm>
          <a:prstGeom prst="rect">
            <a:avLst/>
          </a:prstGeom>
          <a:solidFill>
            <a:srgbClr val="7F7F7F"/>
          </a:solidFill>
          <a:ln>
            <a:noFill/>
          </a:ln>
          <a:effectLst>
            <a:outerShdw blurRad="152400" dist="444500" dir="13200000" sx="96000" sy="96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
        <xdr:nvSpPr>
          <xdr:cNvPr id="157" name="Rectangle 156">
            <a:extLst>
              <a:ext uri="{FF2B5EF4-FFF2-40B4-BE49-F238E27FC236}">
                <a16:creationId xmlns:a16="http://schemas.microsoft.com/office/drawing/2014/main" id="{00000000-0008-0000-0000-00009D000000}"/>
              </a:ext>
            </a:extLst>
          </xdr:cNvPr>
          <xdr:cNvSpPr/>
        </xdr:nvSpPr>
        <xdr:spPr>
          <a:xfrm>
            <a:off x="14142720" y="0"/>
            <a:ext cx="1470660" cy="533400"/>
          </a:xfrm>
          <a:prstGeom prst="rect">
            <a:avLst/>
          </a:prstGeom>
          <a:solidFill>
            <a:srgbClr val="7F7F7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grpSp>
    <xdr:clientData/>
  </xdr:twoCellAnchor>
  <xdr:twoCellAnchor>
    <xdr:from>
      <xdr:col>17</xdr:col>
      <xdr:colOff>327660</xdr:colOff>
      <xdr:row>8</xdr:row>
      <xdr:rowOff>30480</xdr:rowOff>
    </xdr:from>
    <xdr:to>
      <xdr:col>19</xdr:col>
      <xdr:colOff>260460</xdr:colOff>
      <xdr:row>14</xdr:row>
      <xdr:rowOff>85200</xdr:rowOff>
    </xdr:to>
    <xdr:graphicFrame macro="">
      <xdr:nvGraphicFramePr>
        <xdr:cNvPr id="89" name="Chart 88">
          <a:extLst>
            <a:ext uri="{FF2B5EF4-FFF2-40B4-BE49-F238E27FC236}">
              <a16:creationId xmlns:a16="http://schemas.microsoft.com/office/drawing/2014/main" id="{00000000-0008-0000-00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259080</xdr:colOff>
      <xdr:row>9</xdr:row>
      <xdr:rowOff>137160</xdr:rowOff>
    </xdr:from>
    <xdr:to>
      <xdr:col>21</xdr:col>
      <xdr:colOff>190500</xdr:colOff>
      <xdr:row>11</xdr:row>
      <xdr:rowOff>60960</xdr:rowOff>
    </xdr:to>
    <xdr:sp macro="" textlink="">
      <xdr:nvSpPr>
        <xdr:cNvPr id="90" name="TextBox 89">
          <a:extLst>
            <a:ext uri="{FF2B5EF4-FFF2-40B4-BE49-F238E27FC236}">
              <a16:creationId xmlns:a16="http://schemas.microsoft.com/office/drawing/2014/main" id="{00000000-0008-0000-0000-00005A000000}"/>
            </a:ext>
          </a:extLst>
        </xdr:cNvPr>
        <xdr:cNvSpPr txBox="1"/>
      </xdr:nvSpPr>
      <xdr:spPr>
        <a:xfrm>
          <a:off x="11841480" y="1783080"/>
          <a:ext cx="1150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gradFill>
                <a:gsLst>
                  <a:gs pos="100000">
                    <a:srgbClr val="009A96"/>
                  </a:gs>
                  <a:gs pos="0">
                    <a:srgbClr val="35D7C7"/>
                  </a:gs>
                </a:gsLst>
                <a:lin ang="5400000" scaled="0"/>
              </a:gradFill>
            </a:rPr>
            <a:t>Cash Money</a:t>
          </a:r>
          <a:endParaRPr lang="ru-RU" sz="1400" b="1">
            <a:gradFill>
              <a:gsLst>
                <a:gs pos="100000">
                  <a:srgbClr val="009A96"/>
                </a:gs>
                <a:gs pos="0">
                  <a:srgbClr val="35D7C7"/>
                </a:gs>
              </a:gsLst>
              <a:lin ang="5400000" scaled="0"/>
            </a:gradFill>
            <a:latin typeface="+mn-lt"/>
          </a:endParaRPr>
        </a:p>
      </xdr:txBody>
    </xdr:sp>
    <xdr:clientData/>
  </xdr:twoCellAnchor>
  <xdr:twoCellAnchor>
    <xdr:from>
      <xdr:col>19</xdr:col>
      <xdr:colOff>259080</xdr:colOff>
      <xdr:row>14</xdr:row>
      <xdr:rowOff>45720</xdr:rowOff>
    </xdr:from>
    <xdr:to>
      <xdr:col>21</xdr:col>
      <xdr:colOff>190500</xdr:colOff>
      <xdr:row>15</xdr:row>
      <xdr:rowOff>152400</xdr:rowOff>
    </xdr:to>
    <xdr:sp macro="" textlink="">
      <xdr:nvSpPr>
        <xdr:cNvPr id="91" name="TextBox 90">
          <a:extLst>
            <a:ext uri="{FF2B5EF4-FFF2-40B4-BE49-F238E27FC236}">
              <a16:creationId xmlns:a16="http://schemas.microsoft.com/office/drawing/2014/main" id="{00000000-0008-0000-0000-00005B000000}"/>
            </a:ext>
          </a:extLst>
        </xdr:cNvPr>
        <xdr:cNvSpPr txBox="1"/>
      </xdr:nvSpPr>
      <xdr:spPr>
        <a:xfrm>
          <a:off x="11841480" y="2606040"/>
          <a:ext cx="11506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2F87F1"/>
              </a:solidFill>
            </a:rPr>
            <a:t>Credit Cards</a:t>
          </a:r>
          <a:endParaRPr lang="ru-RU" sz="1400" b="1">
            <a:solidFill>
              <a:srgbClr val="2F87F1"/>
            </a:solidFill>
            <a:latin typeface="+mn-lt"/>
          </a:endParaRPr>
        </a:p>
      </xdr:txBody>
    </xdr:sp>
    <xdr:clientData/>
  </xdr:twoCellAnchor>
  <xdr:twoCellAnchor>
    <xdr:from>
      <xdr:col>18</xdr:col>
      <xdr:colOff>601980</xdr:colOff>
      <xdr:row>11</xdr:row>
      <xdr:rowOff>103800</xdr:rowOff>
    </xdr:from>
    <xdr:to>
      <xdr:col>21</xdr:col>
      <xdr:colOff>358140</xdr:colOff>
      <xdr:row>14</xdr:row>
      <xdr:rowOff>22860</xdr:rowOff>
    </xdr:to>
    <xdr:sp macro="" textlink="">
      <xdr:nvSpPr>
        <xdr:cNvPr id="92" name="TextBox 91">
          <a:extLst>
            <a:ext uri="{FF2B5EF4-FFF2-40B4-BE49-F238E27FC236}">
              <a16:creationId xmlns:a16="http://schemas.microsoft.com/office/drawing/2014/main" id="{00000000-0008-0000-0000-00005C000000}"/>
            </a:ext>
          </a:extLst>
        </xdr:cNvPr>
        <xdr:cNvSpPr txBox="1"/>
      </xdr:nvSpPr>
      <xdr:spPr>
        <a:xfrm>
          <a:off x="11574780" y="2115480"/>
          <a:ext cx="1584960" cy="46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95000"/>
                </a:schemeClr>
              </a:solidFill>
            </a:rPr>
            <a:t>mutual </a:t>
          </a:r>
          <a:endParaRPr lang="ru-RU" sz="1200">
            <a:solidFill>
              <a:schemeClr val="bg1">
                <a:lumMod val="95000"/>
              </a:schemeClr>
            </a:solidFill>
          </a:endParaRPr>
        </a:p>
        <a:p>
          <a:pPr algn="ctr"/>
          <a:r>
            <a:rPr lang="en-US" sz="1200">
              <a:solidFill>
                <a:schemeClr val="bg1">
                  <a:lumMod val="95000"/>
                </a:schemeClr>
              </a:solidFill>
            </a:rPr>
            <a:t>settlements</a:t>
          </a:r>
          <a:endParaRPr lang="ru-RU" sz="1200">
            <a:solidFill>
              <a:schemeClr val="bg1">
                <a:lumMod val="95000"/>
              </a:schemeClr>
            </a:solidFill>
            <a:latin typeface="+mn-lt"/>
          </a:endParaRPr>
        </a:p>
      </xdr:txBody>
    </xdr:sp>
    <xdr:clientData/>
  </xdr:twoCellAnchor>
  <xdr:twoCellAnchor>
    <xdr:from>
      <xdr:col>17</xdr:col>
      <xdr:colOff>407092</xdr:colOff>
      <xdr:row>10</xdr:row>
      <xdr:rowOff>12360</xdr:rowOff>
    </xdr:from>
    <xdr:to>
      <xdr:col>19</xdr:col>
      <xdr:colOff>172028</xdr:colOff>
      <xdr:row>12</xdr:row>
      <xdr:rowOff>114300</xdr:rowOff>
    </xdr:to>
    <xdr:sp macro="" textlink="Processing!$B$2">
      <xdr:nvSpPr>
        <xdr:cNvPr id="93" name="TextBox 92">
          <a:extLst>
            <a:ext uri="{FF2B5EF4-FFF2-40B4-BE49-F238E27FC236}">
              <a16:creationId xmlns:a16="http://schemas.microsoft.com/office/drawing/2014/main" id="{00000000-0008-0000-0000-00005D000000}"/>
            </a:ext>
          </a:extLst>
        </xdr:cNvPr>
        <xdr:cNvSpPr txBox="1"/>
      </xdr:nvSpPr>
      <xdr:spPr>
        <a:xfrm>
          <a:off x="10770292" y="1841160"/>
          <a:ext cx="984136" cy="46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350EC3-2984-4D81-8796-E0BB6F5084EC}" type="TxLink">
            <a:rPr lang="en-US" sz="1600" b="0" i="0" u="none" strike="noStrike">
              <a:solidFill>
                <a:schemeClr val="bg1"/>
              </a:solidFill>
              <a:latin typeface="Calibri"/>
              <a:cs typeface="Calibri"/>
            </a:rPr>
            <a:pPr algn="ctr"/>
            <a:t>37%</a:t>
          </a:fld>
          <a:endParaRPr lang="ru-RU" sz="1800">
            <a:solidFill>
              <a:schemeClr val="bg1"/>
            </a:solidFill>
            <a:latin typeface="+mn-lt"/>
          </a:endParaRPr>
        </a:p>
      </xdr:txBody>
    </xdr:sp>
    <xdr:clientData/>
  </xdr:twoCellAnchor>
  <xdr:twoCellAnchor>
    <xdr:from>
      <xdr:col>21</xdr:col>
      <xdr:colOff>186112</xdr:colOff>
      <xdr:row>12</xdr:row>
      <xdr:rowOff>12360</xdr:rowOff>
    </xdr:from>
    <xdr:to>
      <xdr:col>22</xdr:col>
      <xdr:colOff>438728</xdr:colOff>
      <xdr:row>14</xdr:row>
      <xdr:rowOff>114300</xdr:rowOff>
    </xdr:to>
    <xdr:sp macro="" textlink="Processing!$B$3">
      <xdr:nvSpPr>
        <xdr:cNvPr id="94" name="TextBox 93">
          <a:extLst>
            <a:ext uri="{FF2B5EF4-FFF2-40B4-BE49-F238E27FC236}">
              <a16:creationId xmlns:a16="http://schemas.microsoft.com/office/drawing/2014/main" id="{00000000-0008-0000-0000-00005E000000}"/>
            </a:ext>
          </a:extLst>
        </xdr:cNvPr>
        <xdr:cNvSpPr txBox="1"/>
      </xdr:nvSpPr>
      <xdr:spPr>
        <a:xfrm>
          <a:off x="12987712" y="2206920"/>
          <a:ext cx="984136" cy="46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698DC4-34AD-4CAB-B602-AA821E68E6CE}" type="TxLink">
            <a:rPr lang="en-US" sz="1600" b="0" i="0" u="none" strike="noStrike">
              <a:solidFill>
                <a:schemeClr val="bg1"/>
              </a:solidFill>
              <a:latin typeface="Calibri"/>
              <a:cs typeface="Calibri"/>
            </a:rPr>
            <a:pPr algn="ctr"/>
            <a:t>63%</a:t>
          </a:fld>
          <a:endParaRPr lang="ru-RU" sz="1800">
            <a:solidFill>
              <a:schemeClr val="bg1"/>
            </a:solidFill>
            <a:latin typeface="+mn-lt"/>
          </a:endParaRPr>
        </a:p>
      </xdr:txBody>
    </xdr:sp>
    <xdr:clientData/>
  </xdr:twoCellAnchor>
  <xdr:twoCellAnchor>
    <xdr:from>
      <xdr:col>19</xdr:col>
      <xdr:colOff>274320</xdr:colOff>
      <xdr:row>20</xdr:row>
      <xdr:rowOff>123444</xdr:rowOff>
    </xdr:from>
    <xdr:to>
      <xdr:col>23</xdr:col>
      <xdr:colOff>53340</xdr:colOff>
      <xdr:row>32</xdr:row>
      <xdr:rowOff>114300</xdr:rowOff>
    </xdr:to>
    <xdr:graphicFrame macro="">
      <xdr:nvGraphicFramePr>
        <xdr:cNvPr id="3" name="Chart 2">
          <a:extLst>
            <a:ext uri="{FF2B5EF4-FFF2-40B4-BE49-F238E27FC236}">
              <a16:creationId xmlns:a16="http://schemas.microsoft.com/office/drawing/2014/main" id="{BE4F2B82-288A-40DD-9434-A263C5E17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541020</xdr:colOff>
      <xdr:row>3</xdr:row>
      <xdr:rowOff>114300</xdr:rowOff>
    </xdr:from>
    <xdr:to>
      <xdr:col>17</xdr:col>
      <xdr:colOff>87420</xdr:colOff>
      <xdr:row>11</xdr:row>
      <xdr:rowOff>167640</xdr:rowOff>
    </xdr:to>
    <xdr:sp macro="" textlink="">
      <xdr:nvSpPr>
        <xdr:cNvPr id="108" name="Rectangle: Rounded Corners 107">
          <a:extLst>
            <a:ext uri="{FF2B5EF4-FFF2-40B4-BE49-F238E27FC236}">
              <a16:creationId xmlns:a16="http://schemas.microsoft.com/office/drawing/2014/main" id="{00000000-0008-0000-0000-00006C000000}"/>
            </a:ext>
          </a:extLst>
        </xdr:cNvPr>
        <xdr:cNvSpPr/>
      </xdr:nvSpPr>
      <xdr:spPr>
        <a:xfrm>
          <a:off x="7246620" y="662940"/>
          <a:ext cx="3204000" cy="1516380"/>
        </a:xfrm>
        <a:prstGeom prst="roundRect">
          <a:avLst>
            <a:gd name="adj" fmla="val 9269"/>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11</xdr:col>
      <xdr:colOff>541020</xdr:colOff>
      <xdr:row>12</xdr:row>
      <xdr:rowOff>68580</xdr:rowOff>
    </xdr:from>
    <xdr:to>
      <xdr:col>17</xdr:col>
      <xdr:colOff>87420</xdr:colOff>
      <xdr:row>33</xdr:row>
      <xdr:rowOff>68580</xdr:rowOff>
    </xdr:to>
    <xdr:sp macro="" textlink="">
      <xdr:nvSpPr>
        <xdr:cNvPr id="109" name="Rectangle: Rounded Corners 108">
          <a:extLst>
            <a:ext uri="{FF2B5EF4-FFF2-40B4-BE49-F238E27FC236}">
              <a16:creationId xmlns:a16="http://schemas.microsoft.com/office/drawing/2014/main" id="{00000000-0008-0000-0000-00006D000000}"/>
            </a:ext>
          </a:extLst>
        </xdr:cNvPr>
        <xdr:cNvSpPr/>
      </xdr:nvSpPr>
      <xdr:spPr>
        <a:xfrm>
          <a:off x="7246620" y="2263140"/>
          <a:ext cx="3204000" cy="3840480"/>
        </a:xfrm>
        <a:prstGeom prst="roundRect">
          <a:avLst>
            <a:gd name="adj" fmla="val 4094"/>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569100</xdr:colOff>
      <xdr:row>29</xdr:row>
      <xdr:rowOff>180000</xdr:rowOff>
    </xdr:from>
    <xdr:to>
      <xdr:col>3</xdr:col>
      <xdr:colOff>114300</xdr:colOff>
      <xdr:row>31</xdr:row>
      <xdr:rowOff>103800</xdr:rowOff>
    </xdr:to>
    <xdr:grpSp>
      <xdr:nvGrpSpPr>
        <xdr:cNvPr id="54" name="Group 53">
          <a:extLst>
            <a:ext uri="{FF2B5EF4-FFF2-40B4-BE49-F238E27FC236}">
              <a16:creationId xmlns:a16="http://schemas.microsoft.com/office/drawing/2014/main" id="{C489AF9D-98CA-B872-D50D-AA8D1A609476}"/>
            </a:ext>
          </a:extLst>
        </xdr:cNvPr>
        <xdr:cNvGrpSpPr/>
      </xdr:nvGrpSpPr>
      <xdr:grpSpPr>
        <a:xfrm>
          <a:off x="569100" y="5704500"/>
          <a:ext cx="1323200" cy="304800"/>
          <a:chOff x="569100" y="5483520"/>
          <a:chExt cx="1374000" cy="289560"/>
        </a:xfrm>
      </xdr:grpSpPr>
      <xdr:sp macro="" textlink="">
        <xdr:nvSpPr>
          <xdr:cNvPr id="113" name="TextBox 112">
            <a:extLst>
              <a:ext uri="{FF2B5EF4-FFF2-40B4-BE49-F238E27FC236}">
                <a16:creationId xmlns:a16="http://schemas.microsoft.com/office/drawing/2014/main" id="{00000000-0008-0000-0000-000071000000}"/>
              </a:ext>
            </a:extLst>
          </xdr:cNvPr>
          <xdr:cNvSpPr txBox="1"/>
        </xdr:nvSpPr>
        <xdr:spPr>
          <a:xfrm>
            <a:off x="861060" y="5483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Help</a:t>
            </a:r>
            <a:endParaRPr lang="ru-RU" sz="1400">
              <a:solidFill>
                <a:schemeClr val="bg1">
                  <a:lumMod val="85000"/>
                </a:schemeClr>
              </a:solidFill>
              <a:latin typeface="+mn-lt"/>
            </a:endParaRPr>
          </a:p>
        </xdr:txBody>
      </xdr:sp>
      <xdr:pic>
        <xdr:nvPicPr>
          <xdr:cNvPr id="115" name="Graphic 114" descr="Help outline">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69100" y="5501640"/>
            <a:ext cx="216000" cy="216000"/>
          </a:xfrm>
          <a:prstGeom prst="rect">
            <a:avLst/>
          </a:prstGeom>
        </xdr:spPr>
      </xdr:pic>
    </xdr:grpSp>
    <xdr:clientData/>
  </xdr:twoCellAnchor>
  <xdr:twoCellAnchor>
    <xdr:from>
      <xdr:col>0</xdr:col>
      <xdr:colOff>569100</xdr:colOff>
      <xdr:row>31</xdr:row>
      <xdr:rowOff>180000</xdr:rowOff>
    </xdr:from>
    <xdr:to>
      <xdr:col>3</xdr:col>
      <xdr:colOff>114300</xdr:colOff>
      <xdr:row>33</xdr:row>
      <xdr:rowOff>103800</xdr:rowOff>
    </xdr:to>
    <xdr:grpSp>
      <xdr:nvGrpSpPr>
        <xdr:cNvPr id="55" name="Group 54">
          <a:extLst>
            <a:ext uri="{FF2B5EF4-FFF2-40B4-BE49-F238E27FC236}">
              <a16:creationId xmlns:a16="http://schemas.microsoft.com/office/drawing/2014/main" id="{8CB4B40B-D204-D1C4-0642-BFF480FE3665}"/>
            </a:ext>
          </a:extLst>
        </xdr:cNvPr>
        <xdr:cNvGrpSpPr/>
      </xdr:nvGrpSpPr>
      <xdr:grpSpPr>
        <a:xfrm>
          <a:off x="569100" y="6085500"/>
          <a:ext cx="1323200" cy="304800"/>
          <a:chOff x="569100" y="5849280"/>
          <a:chExt cx="1374000" cy="289560"/>
        </a:xfrm>
      </xdr:grpSpPr>
      <xdr:sp macro="" textlink="">
        <xdr:nvSpPr>
          <xdr:cNvPr id="112" name="TextBox 111">
            <a:extLst>
              <a:ext uri="{FF2B5EF4-FFF2-40B4-BE49-F238E27FC236}">
                <a16:creationId xmlns:a16="http://schemas.microsoft.com/office/drawing/2014/main" id="{00000000-0008-0000-0000-000070000000}"/>
              </a:ext>
            </a:extLst>
          </xdr:cNvPr>
          <xdr:cNvSpPr txBox="1"/>
        </xdr:nvSpPr>
        <xdr:spPr>
          <a:xfrm>
            <a:off x="861060" y="58492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About Project</a:t>
            </a:r>
            <a:endParaRPr lang="ru-RU" sz="1400">
              <a:solidFill>
                <a:schemeClr val="bg1">
                  <a:lumMod val="85000"/>
                </a:schemeClr>
              </a:solidFill>
              <a:latin typeface="+mn-lt"/>
            </a:endParaRPr>
          </a:p>
        </xdr:txBody>
      </xdr:sp>
      <xdr:pic>
        <xdr:nvPicPr>
          <xdr:cNvPr id="117" name="Graphic 116" descr="Information outline">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69100" y="5875020"/>
            <a:ext cx="216000" cy="216000"/>
          </a:xfrm>
          <a:prstGeom prst="rect">
            <a:avLst/>
          </a:prstGeom>
        </xdr:spPr>
      </xdr:pic>
    </xdr:grpSp>
    <xdr:clientData/>
  </xdr:twoCellAnchor>
  <xdr:twoCellAnchor>
    <xdr:from>
      <xdr:col>12</xdr:col>
      <xdr:colOff>335281</xdr:colOff>
      <xdr:row>4</xdr:row>
      <xdr:rowOff>129540</xdr:rowOff>
    </xdr:from>
    <xdr:to>
      <xdr:col>13</xdr:col>
      <xdr:colOff>445681</xdr:colOff>
      <xdr:row>9</xdr:row>
      <xdr:rowOff>43140</xdr:rowOff>
    </xdr:to>
    <xdr:sp macro="" textlink="Processing!C5">
      <xdr:nvSpPr>
        <xdr:cNvPr id="118" name="Rectangle: Rounded Corners 117">
          <a:extLst>
            <a:ext uri="{FF2B5EF4-FFF2-40B4-BE49-F238E27FC236}">
              <a16:creationId xmlns:a16="http://schemas.microsoft.com/office/drawing/2014/main" id="{00000000-0008-0000-0000-000076000000}"/>
            </a:ext>
          </a:extLst>
        </xdr:cNvPr>
        <xdr:cNvSpPr/>
      </xdr:nvSpPr>
      <xdr:spPr>
        <a:xfrm>
          <a:off x="7650481" y="86106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BA9C2AE8-F68E-47BC-90AB-EA8D49E5B642}" type="TxLink">
            <a:rPr lang="en-US" sz="1800" kern="1200">
              <a:gradFill>
                <a:gsLst>
                  <a:gs pos="100000">
                    <a:srgbClr val="1287FF"/>
                  </a:gs>
                  <a:gs pos="0">
                    <a:schemeClr val="accent1">
                      <a:lumMod val="30000"/>
                      <a:lumOff val="70000"/>
                    </a:schemeClr>
                  </a:gs>
                </a:gsLst>
                <a:lin ang="5400000" scaled="1"/>
              </a:gradFill>
              <a:latin typeface="+mn-lt"/>
              <a:ea typeface="+mn-ea"/>
              <a:cs typeface="+mn-cs"/>
            </a:rPr>
            <a:pPr marL="0" indent="0" algn="ctr" defTabSz="914400" rtl="0" eaLnBrk="1" latinLnBrk="0" hangingPunct="1"/>
            <a:t>326</a:t>
          </a:fld>
          <a:endParaRPr lang="ru-RU" sz="1800" kern="1200">
            <a:gradFill>
              <a:gsLst>
                <a:gs pos="100000">
                  <a:srgbClr val="1287FF"/>
                </a:gs>
                <a:gs pos="0">
                  <a:schemeClr val="accent1">
                    <a:lumMod val="30000"/>
                    <a:lumOff val="70000"/>
                  </a:schemeClr>
                </a:gs>
              </a:gsLst>
              <a:lin ang="5400000" scaled="1"/>
            </a:gradFill>
            <a:latin typeface="+mn-lt"/>
            <a:ea typeface="+mn-ea"/>
            <a:cs typeface="+mn-cs"/>
          </a:endParaRPr>
        </a:p>
      </xdr:txBody>
    </xdr:sp>
    <xdr:clientData/>
  </xdr:twoCellAnchor>
  <xdr:twoCellAnchor>
    <xdr:from>
      <xdr:col>13</xdr:col>
      <xdr:colOff>575311</xdr:colOff>
      <xdr:row>4</xdr:row>
      <xdr:rowOff>129540</xdr:rowOff>
    </xdr:from>
    <xdr:to>
      <xdr:col>15</xdr:col>
      <xdr:colOff>76111</xdr:colOff>
      <xdr:row>9</xdr:row>
      <xdr:rowOff>43140</xdr:rowOff>
    </xdr:to>
    <xdr:sp macro="" textlink="Processing!C6">
      <xdr:nvSpPr>
        <xdr:cNvPr id="122" name="Rectangle: Rounded Corners 121">
          <a:extLst>
            <a:ext uri="{FF2B5EF4-FFF2-40B4-BE49-F238E27FC236}">
              <a16:creationId xmlns:a16="http://schemas.microsoft.com/office/drawing/2014/main" id="{00000000-0008-0000-0000-00007A000000}"/>
            </a:ext>
          </a:extLst>
        </xdr:cNvPr>
        <xdr:cNvSpPr/>
      </xdr:nvSpPr>
      <xdr:spPr>
        <a:xfrm>
          <a:off x="8500111" y="86106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8B8E37B2-4FC5-4F93-8885-48432C5382FC}" type="TxLink">
            <a:rPr lang="en-US" sz="1800" kern="1200">
              <a:gradFill>
                <a:gsLst>
                  <a:gs pos="0">
                    <a:srgbClr val="FF0167"/>
                  </a:gs>
                  <a:gs pos="100000">
                    <a:srgbClr val="FF3A89"/>
                  </a:gs>
                </a:gsLst>
                <a:lin ang="5400000" scaled="1"/>
              </a:gradFill>
              <a:latin typeface="+mn-lt"/>
              <a:ea typeface="+mn-ea"/>
              <a:cs typeface="+mn-cs"/>
            </a:rPr>
            <a:pPr marL="0" indent="0" algn="ctr" defTabSz="914400" rtl="0" eaLnBrk="1" latinLnBrk="0" hangingPunct="1"/>
            <a:t>18</a:t>
          </a:fld>
          <a:endParaRPr lang="ru-RU" sz="1800" kern="1200">
            <a:gradFill>
              <a:gsLst>
                <a:gs pos="0">
                  <a:srgbClr val="FF0167"/>
                </a:gs>
                <a:gs pos="100000">
                  <a:srgbClr val="FF3A89"/>
                </a:gs>
              </a:gsLst>
              <a:lin ang="5400000" scaled="1"/>
            </a:gradFill>
            <a:latin typeface="+mn-lt"/>
            <a:ea typeface="+mn-ea"/>
            <a:cs typeface="+mn-cs"/>
          </a:endParaRPr>
        </a:p>
      </xdr:txBody>
    </xdr:sp>
    <xdr:clientData/>
  </xdr:twoCellAnchor>
  <xdr:twoCellAnchor>
    <xdr:from>
      <xdr:col>15</xdr:col>
      <xdr:colOff>205741</xdr:colOff>
      <xdr:row>4</xdr:row>
      <xdr:rowOff>129540</xdr:rowOff>
    </xdr:from>
    <xdr:to>
      <xdr:col>16</xdr:col>
      <xdr:colOff>316141</xdr:colOff>
      <xdr:row>9</xdr:row>
      <xdr:rowOff>43140</xdr:rowOff>
    </xdr:to>
    <xdr:sp macro="" textlink="Processing!C7">
      <xdr:nvSpPr>
        <xdr:cNvPr id="123" name="Rectangle: Rounded Corners 122">
          <a:extLst>
            <a:ext uri="{FF2B5EF4-FFF2-40B4-BE49-F238E27FC236}">
              <a16:creationId xmlns:a16="http://schemas.microsoft.com/office/drawing/2014/main" id="{00000000-0008-0000-0000-00007B000000}"/>
            </a:ext>
          </a:extLst>
        </xdr:cNvPr>
        <xdr:cNvSpPr/>
      </xdr:nvSpPr>
      <xdr:spPr>
        <a:xfrm>
          <a:off x="9349741" y="86106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5554C2F4-30F1-451C-B780-05E27DCB9E16}" type="TxLink">
            <a:rPr lang="en-US" sz="1800" kern="1200">
              <a:gradFill>
                <a:gsLst>
                  <a:gs pos="100000">
                    <a:srgbClr val="009A96"/>
                  </a:gs>
                  <a:gs pos="0">
                    <a:srgbClr val="35D7C7"/>
                  </a:gs>
                </a:gsLst>
                <a:lin ang="5400000" scaled="0"/>
              </a:gradFill>
              <a:latin typeface="+mn-lt"/>
              <a:ea typeface="+mn-ea"/>
              <a:cs typeface="+mn-cs"/>
            </a:rPr>
            <a:pPr marL="0" indent="0" algn="ctr" defTabSz="914400" rtl="0" eaLnBrk="1" latinLnBrk="0" hangingPunct="1"/>
            <a:t>7</a:t>
          </a:fld>
          <a:endParaRPr lang="ru-RU" sz="1800" kern="1200">
            <a:gradFill>
              <a:gsLst>
                <a:gs pos="100000">
                  <a:srgbClr val="009A96"/>
                </a:gs>
                <a:gs pos="0">
                  <a:srgbClr val="35D7C7"/>
                </a:gs>
              </a:gsLst>
              <a:lin ang="5400000" scaled="0"/>
            </a:gradFill>
            <a:latin typeface="+mn-lt"/>
            <a:ea typeface="+mn-ea"/>
            <a:cs typeface="+mn-cs"/>
          </a:endParaRPr>
        </a:p>
      </xdr:txBody>
    </xdr:sp>
    <xdr:clientData/>
  </xdr:twoCellAnchor>
  <xdr:twoCellAnchor>
    <xdr:from>
      <xdr:col>12</xdr:col>
      <xdr:colOff>160020</xdr:colOff>
      <xdr:row>9</xdr:row>
      <xdr:rowOff>96180</xdr:rowOff>
    </xdr:from>
    <xdr:to>
      <xdr:col>14</xdr:col>
      <xdr:colOff>22860</xdr:colOff>
      <xdr:row>11</xdr:row>
      <xdr:rowOff>19980</xdr:rowOff>
    </xdr:to>
    <xdr:sp macro="" textlink="Processing!B5">
      <xdr:nvSpPr>
        <xdr:cNvPr id="149" name="TextBox 148">
          <a:extLst>
            <a:ext uri="{FF2B5EF4-FFF2-40B4-BE49-F238E27FC236}">
              <a16:creationId xmlns:a16="http://schemas.microsoft.com/office/drawing/2014/main" id="{00000000-0008-0000-0000-000095000000}"/>
            </a:ext>
          </a:extLst>
        </xdr:cNvPr>
        <xdr:cNvSpPr txBox="1"/>
      </xdr:nvSpPr>
      <xdr:spPr>
        <a:xfrm>
          <a:off x="7475220" y="174210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C076382-96FD-4BD8-B18D-88956C9EE28D}" type="TxLink">
            <a:rPr lang="en-US" sz="1100">
              <a:solidFill>
                <a:schemeClr val="bg1">
                  <a:lumMod val="85000"/>
                </a:schemeClr>
              </a:solidFill>
              <a:latin typeface="+mn-lt"/>
              <a:ea typeface="+mn-ea"/>
              <a:cs typeface="+mn-cs"/>
            </a:rPr>
            <a:pPr marL="0" indent="0" algn="ctr"/>
            <a:t>Completed</a:t>
          </a:fld>
          <a:endParaRPr lang="ru-RU" sz="1100">
            <a:solidFill>
              <a:schemeClr val="bg1">
                <a:lumMod val="85000"/>
              </a:schemeClr>
            </a:solidFill>
            <a:latin typeface="+mn-lt"/>
            <a:ea typeface="+mn-ea"/>
            <a:cs typeface="+mn-cs"/>
          </a:endParaRPr>
        </a:p>
      </xdr:txBody>
    </xdr:sp>
    <xdr:clientData/>
  </xdr:twoCellAnchor>
  <xdr:twoCellAnchor>
    <xdr:from>
      <xdr:col>13</xdr:col>
      <xdr:colOff>403860</xdr:colOff>
      <xdr:row>9</xdr:row>
      <xdr:rowOff>96180</xdr:rowOff>
    </xdr:from>
    <xdr:to>
      <xdr:col>15</xdr:col>
      <xdr:colOff>266700</xdr:colOff>
      <xdr:row>11</xdr:row>
      <xdr:rowOff>19980</xdr:rowOff>
    </xdr:to>
    <xdr:sp macro="" textlink="Processing!B6">
      <xdr:nvSpPr>
        <xdr:cNvPr id="150" name="TextBox 149">
          <a:extLst>
            <a:ext uri="{FF2B5EF4-FFF2-40B4-BE49-F238E27FC236}">
              <a16:creationId xmlns:a16="http://schemas.microsoft.com/office/drawing/2014/main" id="{00000000-0008-0000-0000-000096000000}"/>
            </a:ext>
          </a:extLst>
        </xdr:cNvPr>
        <xdr:cNvSpPr txBox="1"/>
      </xdr:nvSpPr>
      <xdr:spPr>
        <a:xfrm>
          <a:off x="8328660" y="174210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3A442A-2002-4299-B481-6C4D9C993F5D}" type="TxLink">
            <a:rPr lang="en-US" sz="1100">
              <a:solidFill>
                <a:schemeClr val="bg1">
                  <a:lumMod val="85000"/>
                </a:schemeClr>
              </a:solidFill>
              <a:latin typeface="+mn-lt"/>
              <a:ea typeface="+mn-ea"/>
              <a:cs typeface="+mn-cs"/>
            </a:rPr>
            <a:pPr marL="0" indent="0" algn="ctr"/>
            <a:t>Canceled</a:t>
          </a:fld>
          <a:endParaRPr lang="ru-RU" sz="1100">
            <a:solidFill>
              <a:schemeClr val="bg1">
                <a:lumMod val="85000"/>
              </a:schemeClr>
            </a:solidFill>
            <a:latin typeface="+mn-lt"/>
            <a:ea typeface="+mn-ea"/>
            <a:cs typeface="+mn-cs"/>
          </a:endParaRPr>
        </a:p>
      </xdr:txBody>
    </xdr:sp>
    <xdr:clientData/>
  </xdr:twoCellAnchor>
  <xdr:twoCellAnchor>
    <xdr:from>
      <xdr:col>15</xdr:col>
      <xdr:colOff>30480</xdr:colOff>
      <xdr:row>9</xdr:row>
      <xdr:rowOff>96180</xdr:rowOff>
    </xdr:from>
    <xdr:to>
      <xdr:col>16</xdr:col>
      <xdr:colOff>502920</xdr:colOff>
      <xdr:row>11</xdr:row>
      <xdr:rowOff>19980</xdr:rowOff>
    </xdr:to>
    <xdr:sp macro="" textlink="Processing!B7">
      <xdr:nvSpPr>
        <xdr:cNvPr id="151" name="TextBox 150">
          <a:extLst>
            <a:ext uri="{FF2B5EF4-FFF2-40B4-BE49-F238E27FC236}">
              <a16:creationId xmlns:a16="http://schemas.microsoft.com/office/drawing/2014/main" id="{00000000-0008-0000-0000-000097000000}"/>
            </a:ext>
          </a:extLst>
        </xdr:cNvPr>
        <xdr:cNvSpPr txBox="1"/>
      </xdr:nvSpPr>
      <xdr:spPr>
        <a:xfrm>
          <a:off x="9174480" y="174210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267C83D-D79D-4093-A4C8-D79523326922}" type="TxLink">
            <a:rPr lang="en-US" sz="1100">
              <a:solidFill>
                <a:schemeClr val="bg1">
                  <a:lumMod val="85000"/>
                </a:schemeClr>
              </a:solidFill>
              <a:latin typeface="+mn-lt"/>
              <a:ea typeface="+mn-ea"/>
              <a:cs typeface="+mn-cs"/>
            </a:rPr>
            <a:pPr marL="0" indent="0" algn="ctr"/>
            <a:t>Running</a:t>
          </a:fld>
          <a:endParaRPr lang="ru-RU" sz="1100">
            <a:solidFill>
              <a:schemeClr val="bg1">
                <a:lumMod val="85000"/>
              </a:schemeClr>
            </a:solidFill>
            <a:latin typeface="+mn-lt"/>
            <a:ea typeface="+mn-ea"/>
            <a:cs typeface="+mn-cs"/>
          </a:endParaRPr>
        </a:p>
      </xdr:txBody>
    </xdr:sp>
    <xdr:clientData/>
  </xdr:twoCellAnchor>
  <xdr:twoCellAnchor>
    <xdr:from>
      <xdr:col>0</xdr:col>
      <xdr:colOff>578875</xdr:colOff>
      <xdr:row>18</xdr:row>
      <xdr:rowOff>157140</xdr:rowOff>
    </xdr:from>
    <xdr:to>
      <xdr:col>3</xdr:col>
      <xdr:colOff>114300</xdr:colOff>
      <xdr:row>20</xdr:row>
      <xdr:rowOff>80940</xdr:rowOff>
    </xdr:to>
    <xdr:grpSp>
      <xdr:nvGrpSpPr>
        <xdr:cNvPr id="53" name="Group 52">
          <a:hlinkClick xmlns:r="http://schemas.openxmlformats.org/officeDocument/2006/relationships" r:id="rId18"/>
          <a:extLst>
            <a:ext uri="{FF2B5EF4-FFF2-40B4-BE49-F238E27FC236}">
              <a16:creationId xmlns:a16="http://schemas.microsoft.com/office/drawing/2014/main" id="{70CB83D3-92AE-F627-C4B5-4E2572426869}"/>
            </a:ext>
          </a:extLst>
        </xdr:cNvPr>
        <xdr:cNvGrpSpPr/>
      </xdr:nvGrpSpPr>
      <xdr:grpSpPr>
        <a:xfrm>
          <a:off x="578875" y="3586140"/>
          <a:ext cx="1313425" cy="304800"/>
          <a:chOff x="578875" y="3448980"/>
          <a:chExt cx="1364225" cy="289560"/>
        </a:xfrm>
      </xdr:grpSpPr>
      <xdr:pic>
        <xdr:nvPicPr>
          <xdr:cNvPr id="155" name="Graphic 154" descr="Database with solid fill">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78875" y="3474720"/>
            <a:ext cx="252000" cy="252000"/>
          </a:xfrm>
          <a:prstGeom prst="rect">
            <a:avLst/>
          </a:prstGeom>
        </xdr:spPr>
      </xdr:pic>
      <xdr:sp macro="" textlink="">
        <xdr:nvSpPr>
          <xdr:cNvPr id="156" name="TextBox 155">
            <a:extLst>
              <a:ext uri="{FF2B5EF4-FFF2-40B4-BE49-F238E27FC236}">
                <a16:creationId xmlns:a16="http://schemas.microsoft.com/office/drawing/2014/main" id="{00000000-0008-0000-0000-00009C000000}"/>
              </a:ext>
            </a:extLst>
          </xdr:cNvPr>
          <xdr:cNvSpPr txBox="1"/>
        </xdr:nvSpPr>
        <xdr:spPr>
          <a:xfrm>
            <a:off x="861060" y="34489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Data</a:t>
            </a:r>
            <a:endParaRPr lang="ru-RU" sz="1200">
              <a:solidFill>
                <a:schemeClr val="bg1"/>
              </a:solidFill>
              <a:latin typeface="+mn-lt"/>
            </a:endParaRPr>
          </a:p>
        </xdr:txBody>
      </xdr:sp>
    </xdr:grpSp>
    <xdr:clientData/>
  </xdr:twoCellAnchor>
  <xdr:twoCellAnchor>
    <xdr:from>
      <xdr:col>19</xdr:col>
      <xdr:colOff>198120</xdr:colOff>
      <xdr:row>32</xdr:row>
      <xdr:rowOff>38100</xdr:rowOff>
    </xdr:from>
    <xdr:to>
      <xdr:col>23</xdr:col>
      <xdr:colOff>182880</xdr:colOff>
      <xdr:row>35</xdr:row>
      <xdr:rowOff>91800</xdr:rowOff>
    </xdr:to>
    <xdr:grpSp>
      <xdr:nvGrpSpPr>
        <xdr:cNvPr id="29" name="Group 28">
          <a:hlinkClick xmlns:r="http://schemas.openxmlformats.org/officeDocument/2006/relationships" r:id="rId21"/>
          <a:extLst>
            <a:ext uri="{FF2B5EF4-FFF2-40B4-BE49-F238E27FC236}">
              <a16:creationId xmlns:a16="http://schemas.microsoft.com/office/drawing/2014/main" id="{AB12D2AF-1D20-942A-E506-59BE7CC3181A}"/>
            </a:ext>
          </a:extLst>
        </xdr:cNvPr>
        <xdr:cNvGrpSpPr/>
      </xdr:nvGrpSpPr>
      <xdr:grpSpPr>
        <a:xfrm>
          <a:off x="11458787" y="6134100"/>
          <a:ext cx="2482426" cy="625200"/>
          <a:chOff x="12001500" y="5798820"/>
          <a:chExt cx="2430780" cy="602340"/>
        </a:xfrm>
      </xdr:grpSpPr>
      <xdr:sp macro="" textlink="">
        <xdr:nvSpPr>
          <xdr:cNvPr id="85" name="Rectangle: Rounded Corners 84">
            <a:extLst>
              <a:ext uri="{FF2B5EF4-FFF2-40B4-BE49-F238E27FC236}">
                <a16:creationId xmlns:a16="http://schemas.microsoft.com/office/drawing/2014/main" id="{00000000-0008-0000-0000-000055000000}"/>
              </a:ext>
            </a:extLst>
          </xdr:cNvPr>
          <xdr:cNvSpPr/>
        </xdr:nvSpPr>
        <xdr:spPr>
          <a:xfrm>
            <a:off x="12001500" y="5798820"/>
            <a:ext cx="2430780" cy="602340"/>
          </a:xfrm>
          <a:prstGeom prst="roundRect">
            <a:avLst>
              <a:gd name="adj" fmla="val 18499"/>
            </a:avLst>
          </a:prstGeom>
          <a:solidFill>
            <a:srgbClr val="091A2C"/>
          </a:solidFill>
          <a:ln>
            <a:noFill/>
          </a:ln>
          <a:effectLst>
            <a:outerShdw blurRad="152400" dist="254000" dir="8160000" sx="102000" sy="102000" algn="br"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n-lt"/>
                <a:ea typeface="+mn-ea"/>
                <a:cs typeface="+mn-cs"/>
              </a:rPr>
              <a:t>More Details</a:t>
            </a:r>
            <a:endParaRPr lang="ru-RU" sz="1400">
              <a:effectLst/>
            </a:endParaRPr>
          </a:p>
        </xdr:txBody>
      </xdr:sp>
      <xdr:sp macro="" textlink="">
        <xdr:nvSpPr>
          <xdr:cNvPr id="27" name="Rectangle: Rounded Corners 26">
            <a:extLst>
              <a:ext uri="{FF2B5EF4-FFF2-40B4-BE49-F238E27FC236}">
                <a16:creationId xmlns:a16="http://schemas.microsoft.com/office/drawing/2014/main" id="{0EB086E4-3536-4186-B2D9-AD43167A4D48}"/>
              </a:ext>
            </a:extLst>
          </xdr:cNvPr>
          <xdr:cNvSpPr/>
        </xdr:nvSpPr>
        <xdr:spPr>
          <a:xfrm>
            <a:off x="12001500" y="5798820"/>
            <a:ext cx="2430780" cy="602340"/>
          </a:xfrm>
          <a:prstGeom prst="roundRect">
            <a:avLst>
              <a:gd name="adj" fmla="val 18499"/>
            </a:avLst>
          </a:prstGeom>
          <a:solidFill>
            <a:srgbClr val="091A2C"/>
          </a:solidFill>
          <a:ln>
            <a:noFill/>
          </a:ln>
          <a:effectLst>
            <a:outerShdw blurRad="152400" dist="330200" dir="13200000" sx="101000" sy="101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n-lt"/>
                <a:ea typeface="+mn-ea"/>
                <a:cs typeface="+mn-cs"/>
              </a:rPr>
              <a:t>More Details</a:t>
            </a:r>
            <a:endParaRPr lang="ru-RU" sz="1400">
              <a:effectLst/>
            </a:endParaRPr>
          </a:p>
        </xdr:txBody>
      </xdr:sp>
    </xdr:grpSp>
    <xdr:clientData/>
  </xdr:twoCellAnchor>
  <xdr:twoCellAnchor>
    <xdr:from>
      <xdr:col>17</xdr:col>
      <xdr:colOff>358140</xdr:colOff>
      <xdr:row>21</xdr:row>
      <xdr:rowOff>167640</xdr:rowOff>
    </xdr:from>
    <xdr:to>
      <xdr:col>19</xdr:col>
      <xdr:colOff>326940</xdr:colOff>
      <xdr:row>23</xdr:row>
      <xdr:rowOff>53340</xdr:rowOff>
    </xdr:to>
    <xdr:sp macro="" textlink="Processing!L2">
      <xdr:nvSpPr>
        <xdr:cNvPr id="31" name="TextBox 30">
          <a:extLst>
            <a:ext uri="{FF2B5EF4-FFF2-40B4-BE49-F238E27FC236}">
              <a16:creationId xmlns:a16="http://schemas.microsoft.com/office/drawing/2014/main" id="{1326936B-47C2-41CC-85B4-048856AC63A9}"/>
            </a:ext>
          </a:extLst>
        </xdr:cNvPr>
        <xdr:cNvSpPr txBox="1"/>
      </xdr:nvSpPr>
      <xdr:spPr>
        <a:xfrm>
          <a:off x="10721340" y="4008120"/>
          <a:ext cx="118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F440A06-29D9-4CEB-9807-8B583CB94756}" type="TxLink">
            <a:rPr lang="en-US" sz="900" b="0" i="0" u="none" strike="noStrike">
              <a:solidFill>
                <a:schemeClr val="bg1"/>
              </a:solidFill>
              <a:latin typeface="Calibri"/>
              <a:cs typeface="Calibri"/>
            </a:rPr>
            <a:pPr algn="r"/>
            <a:t>Wallpapering ceili…</a:t>
          </a:fld>
          <a:endParaRPr lang="ru-RU" sz="1000">
            <a:solidFill>
              <a:schemeClr val="bg1"/>
            </a:solidFill>
            <a:latin typeface="+mn-lt"/>
          </a:endParaRPr>
        </a:p>
      </xdr:txBody>
    </xdr:sp>
    <xdr:clientData/>
  </xdr:twoCellAnchor>
  <xdr:twoCellAnchor>
    <xdr:from>
      <xdr:col>17</xdr:col>
      <xdr:colOff>358140</xdr:colOff>
      <xdr:row>23</xdr:row>
      <xdr:rowOff>180975</xdr:rowOff>
    </xdr:from>
    <xdr:to>
      <xdr:col>19</xdr:col>
      <xdr:colOff>326940</xdr:colOff>
      <xdr:row>25</xdr:row>
      <xdr:rowOff>66675</xdr:rowOff>
    </xdr:to>
    <xdr:sp macro="" textlink="Processing!L3">
      <xdr:nvSpPr>
        <xdr:cNvPr id="33" name="TextBox 32">
          <a:extLst>
            <a:ext uri="{FF2B5EF4-FFF2-40B4-BE49-F238E27FC236}">
              <a16:creationId xmlns:a16="http://schemas.microsoft.com/office/drawing/2014/main" id="{5D121EAF-CAA4-00B2-98F2-76C17A223652}"/>
            </a:ext>
          </a:extLst>
        </xdr:cNvPr>
        <xdr:cNvSpPr txBox="1"/>
      </xdr:nvSpPr>
      <xdr:spPr>
        <a:xfrm>
          <a:off x="10721340" y="4387215"/>
          <a:ext cx="118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9F6884E-185C-4D3F-86D6-6151C5CBBE93}" type="TxLink">
            <a:rPr lang="en-US" sz="900" b="0" i="0" u="none" strike="noStrike">
              <a:solidFill>
                <a:schemeClr val="bg1"/>
              </a:solidFill>
              <a:latin typeface="Calibri"/>
              <a:ea typeface="+mn-ea"/>
              <a:cs typeface="Calibri"/>
            </a:rPr>
            <a:pPr marL="0" indent="0" algn="r"/>
            <a:t>Laying parquet boa…</a:t>
          </a:fld>
          <a:endParaRPr lang="ru-RU" sz="900" b="0" i="0" u="none" strike="noStrike">
            <a:solidFill>
              <a:schemeClr val="bg1"/>
            </a:solidFill>
            <a:latin typeface="Calibri"/>
            <a:ea typeface="+mn-ea"/>
            <a:cs typeface="Calibri"/>
          </a:endParaRPr>
        </a:p>
      </xdr:txBody>
    </xdr:sp>
    <xdr:clientData/>
  </xdr:twoCellAnchor>
  <xdr:twoCellAnchor>
    <xdr:from>
      <xdr:col>17</xdr:col>
      <xdr:colOff>358140</xdr:colOff>
      <xdr:row>26</xdr:row>
      <xdr:rowOff>11430</xdr:rowOff>
    </xdr:from>
    <xdr:to>
      <xdr:col>19</xdr:col>
      <xdr:colOff>326940</xdr:colOff>
      <xdr:row>27</xdr:row>
      <xdr:rowOff>80010</xdr:rowOff>
    </xdr:to>
    <xdr:sp macro="" textlink="Processing!L4">
      <xdr:nvSpPr>
        <xdr:cNvPr id="34" name="TextBox 33">
          <a:extLst>
            <a:ext uri="{FF2B5EF4-FFF2-40B4-BE49-F238E27FC236}">
              <a16:creationId xmlns:a16="http://schemas.microsoft.com/office/drawing/2014/main" id="{DD54DA5C-A088-196D-E526-06EA7F1B66E3}"/>
            </a:ext>
          </a:extLst>
        </xdr:cNvPr>
        <xdr:cNvSpPr txBox="1"/>
      </xdr:nvSpPr>
      <xdr:spPr>
        <a:xfrm>
          <a:off x="10721340" y="4766310"/>
          <a:ext cx="118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4FCE589-1E25-4D4A-B12E-4CFE5B42674A}" type="TxLink">
            <a:rPr lang="en-US" sz="900" b="0" i="0" u="none" strike="noStrike">
              <a:solidFill>
                <a:schemeClr val="bg1"/>
              </a:solidFill>
              <a:latin typeface="Calibri"/>
              <a:ea typeface="+mn-ea"/>
              <a:cs typeface="Calibri"/>
            </a:rPr>
            <a:pPr marL="0" indent="0" algn="r"/>
            <a:t>Installation of sl…</a:t>
          </a:fld>
          <a:endParaRPr lang="ru-RU" sz="900" b="0" i="0" u="none" strike="noStrike">
            <a:solidFill>
              <a:schemeClr val="bg1"/>
            </a:solidFill>
            <a:latin typeface="Calibri"/>
            <a:ea typeface="+mn-ea"/>
            <a:cs typeface="Calibri"/>
          </a:endParaRPr>
        </a:p>
      </xdr:txBody>
    </xdr:sp>
    <xdr:clientData/>
  </xdr:twoCellAnchor>
  <xdr:twoCellAnchor>
    <xdr:from>
      <xdr:col>17</xdr:col>
      <xdr:colOff>358140</xdr:colOff>
      <xdr:row>28</xdr:row>
      <xdr:rowOff>24765</xdr:rowOff>
    </xdr:from>
    <xdr:to>
      <xdr:col>19</xdr:col>
      <xdr:colOff>326940</xdr:colOff>
      <xdr:row>29</xdr:row>
      <xdr:rowOff>93345</xdr:rowOff>
    </xdr:to>
    <xdr:sp macro="" textlink="Processing!L5">
      <xdr:nvSpPr>
        <xdr:cNvPr id="35" name="TextBox 34">
          <a:extLst>
            <a:ext uri="{FF2B5EF4-FFF2-40B4-BE49-F238E27FC236}">
              <a16:creationId xmlns:a16="http://schemas.microsoft.com/office/drawing/2014/main" id="{1588CA3D-AF66-0A12-028C-4C917AC12CD7}"/>
            </a:ext>
          </a:extLst>
        </xdr:cNvPr>
        <xdr:cNvSpPr txBox="1"/>
      </xdr:nvSpPr>
      <xdr:spPr>
        <a:xfrm>
          <a:off x="10721340" y="5145405"/>
          <a:ext cx="118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3CE682E-3750-458C-8B3D-E4B710034F1E}" type="TxLink">
            <a:rPr lang="en-US" sz="900" b="0" i="0" u="none" strike="noStrike">
              <a:solidFill>
                <a:schemeClr val="bg1"/>
              </a:solidFill>
              <a:latin typeface="Calibri"/>
              <a:ea typeface="+mn-ea"/>
              <a:cs typeface="Calibri"/>
            </a:rPr>
            <a:pPr marL="0" indent="0" algn="r"/>
            <a:t>Cutting and instal…</a:t>
          </a:fld>
          <a:endParaRPr lang="ru-RU" sz="900" b="0" i="0" u="none" strike="noStrike">
            <a:solidFill>
              <a:schemeClr val="bg1"/>
            </a:solidFill>
            <a:latin typeface="Calibri"/>
            <a:ea typeface="+mn-ea"/>
            <a:cs typeface="Calibri"/>
          </a:endParaRPr>
        </a:p>
      </xdr:txBody>
    </xdr:sp>
    <xdr:clientData/>
  </xdr:twoCellAnchor>
  <xdr:twoCellAnchor>
    <xdr:from>
      <xdr:col>17</xdr:col>
      <xdr:colOff>358140</xdr:colOff>
      <xdr:row>30</xdr:row>
      <xdr:rowOff>38100</xdr:rowOff>
    </xdr:from>
    <xdr:to>
      <xdr:col>19</xdr:col>
      <xdr:colOff>326940</xdr:colOff>
      <xdr:row>31</xdr:row>
      <xdr:rowOff>106680</xdr:rowOff>
    </xdr:to>
    <xdr:sp macro="" textlink="Processing!L6">
      <xdr:nvSpPr>
        <xdr:cNvPr id="36" name="TextBox 35">
          <a:extLst>
            <a:ext uri="{FF2B5EF4-FFF2-40B4-BE49-F238E27FC236}">
              <a16:creationId xmlns:a16="http://schemas.microsoft.com/office/drawing/2014/main" id="{87AE6285-D877-AD37-18A7-8CC2D3146666}"/>
            </a:ext>
          </a:extLst>
        </xdr:cNvPr>
        <xdr:cNvSpPr txBox="1"/>
      </xdr:nvSpPr>
      <xdr:spPr>
        <a:xfrm>
          <a:off x="10721340" y="5524500"/>
          <a:ext cx="11880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259427D-17DD-49E8-9EE3-C21550C3AC8C}" type="TxLink">
            <a:rPr lang="en-US" sz="900" b="0" i="0" u="none" strike="noStrike">
              <a:solidFill>
                <a:schemeClr val="bg1"/>
              </a:solidFill>
              <a:latin typeface="Calibri"/>
              <a:ea typeface="+mn-ea"/>
              <a:cs typeface="Calibri"/>
            </a:rPr>
            <a:pPr marL="0" indent="0" algn="r"/>
            <a:t>Laying linoleum wi…</a:t>
          </a:fld>
          <a:endParaRPr lang="ru-RU" sz="900" b="0" i="0" u="none" strike="noStrike">
            <a:solidFill>
              <a:schemeClr val="bg1"/>
            </a:solidFill>
            <a:latin typeface="Calibri"/>
            <a:ea typeface="+mn-ea"/>
            <a:cs typeface="Calibri"/>
          </a:endParaRPr>
        </a:p>
      </xdr:txBody>
    </xdr:sp>
    <xdr:clientData/>
  </xdr:twoCellAnchor>
  <xdr:twoCellAnchor>
    <xdr:from>
      <xdr:col>12</xdr:col>
      <xdr:colOff>45720</xdr:colOff>
      <xdr:row>12</xdr:row>
      <xdr:rowOff>64867</xdr:rowOff>
    </xdr:from>
    <xdr:to>
      <xdr:col>16</xdr:col>
      <xdr:colOff>586740</xdr:colOff>
      <xdr:row>28</xdr:row>
      <xdr:rowOff>69365</xdr:rowOff>
    </xdr:to>
    <xdr:graphicFrame macro="">
      <xdr:nvGraphicFramePr>
        <xdr:cNvPr id="37" name="Chart 36">
          <a:extLst>
            <a:ext uri="{FF2B5EF4-FFF2-40B4-BE49-F238E27FC236}">
              <a16:creationId xmlns:a16="http://schemas.microsoft.com/office/drawing/2014/main" id="{6B4D40F3-066B-44FE-97CC-8B8B04E91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333202</xdr:colOff>
      <xdr:row>17</xdr:row>
      <xdr:rowOff>167640</xdr:rowOff>
    </xdr:from>
    <xdr:to>
      <xdr:col>15</xdr:col>
      <xdr:colOff>291638</xdr:colOff>
      <xdr:row>22</xdr:row>
      <xdr:rowOff>144780</xdr:rowOff>
    </xdr:to>
    <xdr:sp macro="" textlink="">
      <xdr:nvSpPr>
        <xdr:cNvPr id="32" name="TextBox 31">
          <a:extLst>
            <a:ext uri="{FF2B5EF4-FFF2-40B4-BE49-F238E27FC236}">
              <a16:creationId xmlns:a16="http://schemas.microsoft.com/office/drawing/2014/main" id="{9B696C46-0E44-41DA-B134-10C3E652CFE7}"/>
            </a:ext>
          </a:extLst>
        </xdr:cNvPr>
        <xdr:cNvSpPr txBox="1"/>
      </xdr:nvSpPr>
      <xdr:spPr>
        <a:xfrm>
          <a:off x="8258002" y="3276600"/>
          <a:ext cx="1177636" cy="891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rPr>
            <a:t>Channels Attracting Orders</a:t>
          </a:r>
          <a:endParaRPr lang="ru-RU" sz="1100">
            <a:solidFill>
              <a:schemeClr val="bg1">
                <a:lumMod val="85000"/>
              </a:schemeClr>
            </a:solidFill>
            <a:latin typeface="+mn-lt"/>
          </a:endParaRPr>
        </a:p>
      </xdr:txBody>
    </xdr:sp>
    <xdr:clientData/>
  </xdr:twoCellAnchor>
  <xdr:twoCellAnchor>
    <xdr:from>
      <xdr:col>17</xdr:col>
      <xdr:colOff>350520</xdr:colOff>
      <xdr:row>18</xdr:row>
      <xdr:rowOff>99060</xdr:rowOff>
    </xdr:from>
    <xdr:to>
      <xdr:col>21</xdr:col>
      <xdr:colOff>457200</xdr:colOff>
      <xdr:row>20</xdr:row>
      <xdr:rowOff>22860</xdr:rowOff>
    </xdr:to>
    <xdr:sp macro="" textlink="">
      <xdr:nvSpPr>
        <xdr:cNvPr id="39" name="TextBox 38">
          <a:extLst>
            <a:ext uri="{FF2B5EF4-FFF2-40B4-BE49-F238E27FC236}">
              <a16:creationId xmlns:a16="http://schemas.microsoft.com/office/drawing/2014/main" id="{244E0CD4-12B7-4FDF-A157-D69AB157334C}"/>
            </a:ext>
          </a:extLst>
        </xdr:cNvPr>
        <xdr:cNvSpPr txBox="1"/>
      </xdr:nvSpPr>
      <xdr:spPr>
        <a:xfrm>
          <a:off x="10713720" y="3390900"/>
          <a:ext cx="25450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Top 5 Services Provided Count:</a:t>
          </a:r>
          <a:endParaRPr lang="ru-RU" sz="1200">
            <a:solidFill>
              <a:schemeClr val="bg1"/>
            </a:solidFill>
            <a:latin typeface="+mn-lt"/>
          </a:endParaRPr>
        </a:p>
      </xdr:txBody>
    </xdr:sp>
    <xdr:clientData/>
  </xdr:twoCellAnchor>
  <xdr:twoCellAnchor>
    <xdr:from>
      <xdr:col>12</xdr:col>
      <xdr:colOff>152400</xdr:colOff>
      <xdr:row>27</xdr:row>
      <xdr:rowOff>137160</xdr:rowOff>
    </xdr:from>
    <xdr:to>
      <xdr:col>17</xdr:col>
      <xdr:colOff>38100</xdr:colOff>
      <xdr:row>32</xdr:row>
      <xdr:rowOff>137160</xdr:rowOff>
    </xdr:to>
    <xdr:grpSp>
      <xdr:nvGrpSpPr>
        <xdr:cNvPr id="46" name="Group 45">
          <a:extLst>
            <a:ext uri="{FF2B5EF4-FFF2-40B4-BE49-F238E27FC236}">
              <a16:creationId xmlns:a16="http://schemas.microsoft.com/office/drawing/2014/main" id="{7683F769-87A5-BD1B-D4F6-3E0E0DBB24DD}"/>
            </a:ext>
          </a:extLst>
        </xdr:cNvPr>
        <xdr:cNvGrpSpPr/>
      </xdr:nvGrpSpPr>
      <xdr:grpSpPr>
        <a:xfrm>
          <a:off x="7264400" y="5280660"/>
          <a:ext cx="2849033" cy="952500"/>
          <a:chOff x="7482840" y="5074920"/>
          <a:chExt cx="2933700" cy="914400"/>
        </a:xfrm>
      </xdr:grpSpPr>
      <xdr:sp macro="" textlink="Processing!S2">
        <xdr:nvSpPr>
          <xdr:cNvPr id="38" name="TextBox 37">
            <a:extLst>
              <a:ext uri="{FF2B5EF4-FFF2-40B4-BE49-F238E27FC236}">
                <a16:creationId xmlns:a16="http://schemas.microsoft.com/office/drawing/2014/main" id="{0F28EC0E-7F4E-4659-ABEB-BBB8F6985668}"/>
              </a:ext>
            </a:extLst>
          </xdr:cNvPr>
          <xdr:cNvSpPr txBox="1"/>
        </xdr:nvSpPr>
        <xdr:spPr>
          <a:xfrm>
            <a:off x="7482840" y="5074920"/>
            <a:ext cx="29337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B8D19F-6248-472F-AC07-86CC1D38B127}" type="TxLink">
              <a:rPr lang="en-US" sz="1300" b="0" i="0" u="none" strike="noStrike">
                <a:solidFill>
                  <a:schemeClr val="bg1">
                    <a:lumMod val="95000"/>
                  </a:schemeClr>
                </a:solidFill>
                <a:latin typeface="Calibri"/>
                <a:cs typeface="Calibri"/>
              </a:rPr>
              <a:pPr algn="ctr"/>
              <a:t>Facebook        Reddit        Instagram
YouTube        WhatsApp</a:t>
            </a:fld>
            <a:endParaRPr lang="ru-RU" sz="1300">
              <a:solidFill>
                <a:schemeClr val="bg1">
                  <a:lumMod val="95000"/>
                </a:schemeClr>
              </a:solidFill>
              <a:latin typeface="+mn-lt"/>
            </a:endParaRPr>
          </a:p>
        </xdr:txBody>
      </xdr:sp>
      <xdr:sp macro="" textlink="">
        <xdr:nvSpPr>
          <xdr:cNvPr id="41" name="Oval 40">
            <a:extLst>
              <a:ext uri="{FF2B5EF4-FFF2-40B4-BE49-F238E27FC236}">
                <a16:creationId xmlns:a16="http://schemas.microsoft.com/office/drawing/2014/main" id="{786D2B4F-A146-AD6A-71B3-169784A98677}"/>
              </a:ext>
            </a:extLst>
          </xdr:cNvPr>
          <xdr:cNvSpPr/>
        </xdr:nvSpPr>
        <xdr:spPr>
          <a:xfrm>
            <a:off x="7551420" y="5250180"/>
            <a:ext cx="144000" cy="144000"/>
          </a:xfrm>
          <a:prstGeom prst="ellipse">
            <a:avLst/>
          </a:prstGeom>
          <a:gradFill>
            <a:gsLst>
              <a:gs pos="0">
                <a:srgbClr val="1287FF"/>
              </a:gs>
              <a:gs pos="100000">
                <a:srgbClr val="023F87"/>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2" name="Oval 41">
            <a:extLst>
              <a:ext uri="{FF2B5EF4-FFF2-40B4-BE49-F238E27FC236}">
                <a16:creationId xmlns:a16="http://schemas.microsoft.com/office/drawing/2014/main" id="{D6AC4706-1ED8-F935-DD10-71AED0459854}"/>
              </a:ext>
            </a:extLst>
          </xdr:cNvPr>
          <xdr:cNvSpPr/>
        </xdr:nvSpPr>
        <xdr:spPr>
          <a:xfrm>
            <a:off x="8519160" y="5250180"/>
            <a:ext cx="144000" cy="144000"/>
          </a:xfrm>
          <a:prstGeom prst="ellipse">
            <a:avLst/>
          </a:prstGeom>
          <a:gradFill>
            <a:gsLst>
              <a:gs pos="11000">
                <a:srgbClr val="FF5F00"/>
              </a:gs>
              <a:gs pos="100000">
                <a:srgbClr val="FF9A20"/>
              </a:gs>
            </a:gsLst>
            <a:path path="circle">
              <a:fillToRect l="100000" t="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3" name="Oval 42">
            <a:extLst>
              <a:ext uri="{FF2B5EF4-FFF2-40B4-BE49-F238E27FC236}">
                <a16:creationId xmlns:a16="http://schemas.microsoft.com/office/drawing/2014/main" id="{EB4C9403-9999-0DCF-6032-495880DC82BE}"/>
              </a:ext>
            </a:extLst>
          </xdr:cNvPr>
          <xdr:cNvSpPr/>
        </xdr:nvSpPr>
        <xdr:spPr>
          <a:xfrm>
            <a:off x="9250680" y="5250180"/>
            <a:ext cx="144000" cy="144000"/>
          </a:xfrm>
          <a:prstGeom prst="ellipse">
            <a:avLst/>
          </a:prstGeom>
          <a:gradFill>
            <a:gsLst>
              <a:gs pos="0">
                <a:srgbClr val="302B55"/>
              </a:gs>
              <a:gs pos="100000">
                <a:srgbClr val="6D40C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4" name="Oval 43">
            <a:extLst>
              <a:ext uri="{FF2B5EF4-FFF2-40B4-BE49-F238E27FC236}">
                <a16:creationId xmlns:a16="http://schemas.microsoft.com/office/drawing/2014/main" id="{BC63E41C-AFB4-8D90-86A2-90F5E78AE15F}"/>
              </a:ext>
            </a:extLst>
          </xdr:cNvPr>
          <xdr:cNvSpPr/>
        </xdr:nvSpPr>
        <xdr:spPr>
          <a:xfrm>
            <a:off x="8839200" y="5669280"/>
            <a:ext cx="144000" cy="144000"/>
          </a:xfrm>
          <a:prstGeom prst="ellipse">
            <a:avLst/>
          </a:prstGeom>
          <a:gradFill>
            <a:gsLst>
              <a:gs pos="100000">
                <a:srgbClr val="009A96"/>
              </a:gs>
              <a:gs pos="0">
                <a:srgbClr val="35D7C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100000">
                    <a:srgbClr val="009A96"/>
                  </a:gs>
                  <a:gs pos="0">
                    <a:srgbClr val="35D7C7"/>
                  </a:gs>
                </a:gsLst>
                <a:lin ang="5400000" scaled="0"/>
              </a:gradFill>
            </a:endParaRPr>
          </a:p>
        </xdr:txBody>
      </xdr:sp>
      <xdr:sp macro="" textlink="">
        <xdr:nvSpPr>
          <xdr:cNvPr id="45" name="Oval 44">
            <a:extLst>
              <a:ext uri="{FF2B5EF4-FFF2-40B4-BE49-F238E27FC236}">
                <a16:creationId xmlns:a16="http://schemas.microsoft.com/office/drawing/2014/main" id="{CDD31993-4F53-92E7-3AEE-8C7CD57B6531}"/>
              </a:ext>
            </a:extLst>
          </xdr:cNvPr>
          <xdr:cNvSpPr/>
        </xdr:nvSpPr>
        <xdr:spPr>
          <a:xfrm>
            <a:off x="7940040" y="5669280"/>
            <a:ext cx="144000" cy="144000"/>
          </a:xfrm>
          <a:prstGeom prst="ellipse">
            <a:avLst/>
          </a:prstGeom>
          <a:gradFill>
            <a:gsLst>
              <a:gs pos="0">
                <a:srgbClr val="FF0167"/>
              </a:gs>
              <a:gs pos="100000">
                <a:srgbClr val="FF3A8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20</xdr:col>
      <xdr:colOff>438717</xdr:colOff>
      <xdr:row>18</xdr:row>
      <xdr:rowOff>53340</xdr:rowOff>
    </xdr:from>
    <xdr:to>
      <xdr:col>22</xdr:col>
      <xdr:colOff>285183</xdr:colOff>
      <xdr:row>20</xdr:row>
      <xdr:rowOff>76200</xdr:rowOff>
    </xdr:to>
    <xdr:sp macro="" textlink="Processing!J7">
      <xdr:nvSpPr>
        <xdr:cNvPr id="47" name="TextBox 46">
          <a:extLst>
            <a:ext uri="{FF2B5EF4-FFF2-40B4-BE49-F238E27FC236}">
              <a16:creationId xmlns:a16="http://schemas.microsoft.com/office/drawing/2014/main" id="{3DEAC3CE-63C6-C1BF-FAE8-DBBAA8130B40}"/>
            </a:ext>
          </a:extLst>
        </xdr:cNvPr>
        <xdr:cNvSpPr txBox="1"/>
      </xdr:nvSpPr>
      <xdr:spPr>
        <a:xfrm>
          <a:off x="12630717" y="3345180"/>
          <a:ext cx="1187586"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C03DD5F-83D6-4948-B270-F4F7296C60EE}" type="TxLink">
            <a:rPr lang="en-US" sz="1800" b="0" i="0" u="none" strike="noStrike">
              <a:solidFill>
                <a:schemeClr val="bg1">
                  <a:lumMod val="95000"/>
                </a:schemeClr>
              </a:solidFill>
              <a:latin typeface="Calibri"/>
              <a:cs typeface="Calibri"/>
            </a:rPr>
            <a:pPr algn="r"/>
            <a:t>223</a:t>
          </a:fld>
          <a:endParaRPr lang="ru-RU" sz="2000">
            <a:solidFill>
              <a:schemeClr val="bg1">
                <a:lumMod val="95000"/>
              </a:schemeClr>
            </a:solidFill>
            <a:latin typeface="+mn-lt"/>
          </a:endParaRPr>
        </a:p>
      </xdr:txBody>
    </xdr:sp>
    <xdr:clientData/>
  </xdr:twoCellAnchor>
  <xdr:twoCellAnchor>
    <xdr:from>
      <xdr:col>3</xdr:col>
      <xdr:colOff>601980</xdr:colOff>
      <xdr:row>21</xdr:row>
      <xdr:rowOff>144780</xdr:rowOff>
    </xdr:from>
    <xdr:to>
      <xdr:col>10</xdr:col>
      <xdr:colOff>556260</xdr:colOff>
      <xdr:row>33</xdr:row>
      <xdr:rowOff>60960</xdr:rowOff>
    </xdr:to>
    <xdr:graphicFrame macro="">
      <xdr:nvGraphicFramePr>
        <xdr:cNvPr id="40" name="Chart 39">
          <a:extLst>
            <a:ext uri="{FF2B5EF4-FFF2-40B4-BE49-F238E27FC236}">
              <a16:creationId xmlns:a16="http://schemas.microsoft.com/office/drawing/2014/main" id="{E16A8B01-38A1-47F9-B2C5-8A9070132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6</xdr:col>
      <xdr:colOff>448798</xdr:colOff>
      <xdr:row>20</xdr:row>
      <xdr:rowOff>38100</xdr:rowOff>
    </xdr:from>
    <xdr:to>
      <xdr:col>8</xdr:col>
      <xdr:colOff>328443</xdr:colOff>
      <xdr:row>21</xdr:row>
      <xdr:rowOff>144780</xdr:rowOff>
    </xdr:to>
    <xdr:sp macro="" textlink="">
      <xdr:nvSpPr>
        <xdr:cNvPr id="48" name="TextBox 47">
          <a:extLst>
            <a:ext uri="{FF2B5EF4-FFF2-40B4-BE49-F238E27FC236}">
              <a16:creationId xmlns:a16="http://schemas.microsoft.com/office/drawing/2014/main" id="{6975EF4E-B2E1-40B4-9B6F-07D3E19DC70C}"/>
            </a:ext>
          </a:extLst>
        </xdr:cNvPr>
        <xdr:cNvSpPr txBox="1"/>
      </xdr:nvSpPr>
      <xdr:spPr>
        <a:xfrm>
          <a:off x="4106398" y="3695700"/>
          <a:ext cx="1098845"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rPr>
            <a:t>KPI</a:t>
          </a:r>
          <a:endParaRPr lang="ru-RU" sz="1200">
            <a:solidFill>
              <a:schemeClr val="bg1"/>
            </a:solidFill>
            <a:latin typeface="+mn-lt"/>
          </a:endParaRPr>
        </a:p>
      </xdr:txBody>
    </xdr:sp>
    <xdr:clientData/>
  </xdr:twoCellAnchor>
  <xdr:twoCellAnchor>
    <xdr:from>
      <xdr:col>8</xdr:col>
      <xdr:colOff>175260</xdr:colOff>
      <xdr:row>21</xdr:row>
      <xdr:rowOff>22860</xdr:rowOff>
    </xdr:from>
    <xdr:to>
      <xdr:col>10</xdr:col>
      <xdr:colOff>38100</xdr:colOff>
      <xdr:row>22</xdr:row>
      <xdr:rowOff>129540</xdr:rowOff>
    </xdr:to>
    <xdr:sp macro="" textlink="Processing!L9">
      <xdr:nvSpPr>
        <xdr:cNvPr id="49" name="TextBox 48">
          <a:extLst>
            <a:ext uri="{FF2B5EF4-FFF2-40B4-BE49-F238E27FC236}">
              <a16:creationId xmlns:a16="http://schemas.microsoft.com/office/drawing/2014/main" id="{ADC1E55A-F1BA-46E2-B94C-F5024E12E7DD}"/>
            </a:ext>
          </a:extLst>
        </xdr:cNvPr>
        <xdr:cNvSpPr txBox="1"/>
      </xdr:nvSpPr>
      <xdr:spPr>
        <a:xfrm>
          <a:off x="5052060" y="38633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75E5CF-69C3-4E0D-BDD5-1955BDE8AEC4}" type="TxLink">
            <a:rPr lang="en-US" sz="1200" b="0" i="0" u="none" strike="noStrike">
              <a:solidFill>
                <a:schemeClr val="bg1"/>
              </a:solidFill>
              <a:latin typeface="Calibri"/>
              <a:cs typeface="Calibri"/>
            </a:rPr>
            <a:pPr/>
            <a:t>Masters</a:t>
          </a:fld>
          <a:endParaRPr lang="ru-RU" sz="1400" b="0">
            <a:solidFill>
              <a:schemeClr val="bg1"/>
            </a:solidFill>
            <a:latin typeface="+mn-lt"/>
          </a:endParaRPr>
        </a:p>
      </xdr:txBody>
    </xdr:sp>
    <xdr:clientData/>
  </xdr:twoCellAnchor>
  <xdr:twoCellAnchor>
    <xdr:from>
      <xdr:col>5</xdr:col>
      <xdr:colOff>129540</xdr:colOff>
      <xdr:row>21</xdr:row>
      <xdr:rowOff>22860</xdr:rowOff>
    </xdr:from>
    <xdr:to>
      <xdr:col>6</xdr:col>
      <xdr:colOff>601980</xdr:colOff>
      <xdr:row>22</xdr:row>
      <xdr:rowOff>129540</xdr:rowOff>
    </xdr:to>
    <xdr:sp macro="" textlink="Processing!M9">
      <xdr:nvSpPr>
        <xdr:cNvPr id="50" name="TextBox 49">
          <a:extLst>
            <a:ext uri="{FF2B5EF4-FFF2-40B4-BE49-F238E27FC236}">
              <a16:creationId xmlns:a16="http://schemas.microsoft.com/office/drawing/2014/main" id="{0F089A79-2443-FE86-C325-13144C8CC319}"/>
            </a:ext>
          </a:extLst>
        </xdr:cNvPr>
        <xdr:cNvSpPr txBox="1"/>
      </xdr:nvSpPr>
      <xdr:spPr>
        <a:xfrm>
          <a:off x="3177540" y="38633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206E4CD-13B5-4681-B02A-5199E8648F0E}" type="TxLink">
            <a:rPr lang="en-US" sz="1100" b="0" i="0" u="none" strike="noStrike">
              <a:solidFill>
                <a:schemeClr val="bg1"/>
              </a:solidFill>
              <a:latin typeface="Calibri"/>
              <a:cs typeface="Calibri"/>
            </a:rPr>
            <a:pPr algn="r"/>
            <a:t>Managers</a:t>
          </a:fld>
          <a:endParaRPr lang="ru-RU" sz="1200" b="0">
            <a:solidFill>
              <a:schemeClr val="bg1"/>
            </a:solidFill>
            <a:latin typeface="+mn-lt"/>
          </a:endParaRPr>
        </a:p>
      </xdr:txBody>
    </xdr:sp>
    <xdr:clientData/>
  </xdr:twoCellAnchor>
  <xdr:twoCellAnchor>
    <xdr:from>
      <xdr:col>18</xdr:col>
      <xdr:colOff>190500</xdr:colOff>
      <xdr:row>0</xdr:row>
      <xdr:rowOff>121919</xdr:rowOff>
    </xdr:from>
    <xdr:to>
      <xdr:col>23</xdr:col>
      <xdr:colOff>175663</xdr:colOff>
      <xdr:row>7</xdr:row>
      <xdr:rowOff>151348</xdr:rowOff>
    </xdr:to>
    <xdr:grpSp>
      <xdr:nvGrpSpPr>
        <xdr:cNvPr id="107" name="Group 106">
          <a:hlinkClick xmlns:r="http://schemas.openxmlformats.org/officeDocument/2006/relationships" r:id="rId24"/>
          <a:extLst>
            <a:ext uri="{FF2B5EF4-FFF2-40B4-BE49-F238E27FC236}">
              <a16:creationId xmlns:a16="http://schemas.microsoft.com/office/drawing/2014/main" id="{E7151FFA-81B3-642D-A591-915540599918}"/>
            </a:ext>
          </a:extLst>
        </xdr:cNvPr>
        <xdr:cNvGrpSpPr/>
      </xdr:nvGrpSpPr>
      <xdr:grpSpPr>
        <a:xfrm>
          <a:off x="10858500" y="121919"/>
          <a:ext cx="3075496" cy="1362929"/>
          <a:chOff x="11163300" y="121919"/>
          <a:chExt cx="3155083" cy="1309589"/>
        </a:xfrm>
      </xdr:grpSpPr>
      <xdr:sp macro="" textlink="">
        <xdr:nvSpPr>
          <xdr:cNvPr id="86" name="Rectangle: Rounded Corners 85">
            <a:extLst>
              <a:ext uri="{FF2B5EF4-FFF2-40B4-BE49-F238E27FC236}">
                <a16:creationId xmlns:a16="http://schemas.microsoft.com/office/drawing/2014/main" id="{00000000-0008-0000-0000-000056000000}"/>
              </a:ext>
            </a:extLst>
          </xdr:cNvPr>
          <xdr:cNvSpPr/>
        </xdr:nvSpPr>
        <xdr:spPr>
          <a:xfrm>
            <a:off x="11163300" y="121920"/>
            <a:ext cx="3131820" cy="1309588"/>
          </a:xfrm>
          <a:prstGeom prst="roundRect">
            <a:avLst>
              <a:gd name="adj" fmla="val 9413"/>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Processing!R27">
        <xdr:nvSpPr>
          <xdr:cNvPr id="84" name="Rectangle: Rounded Corners 83">
            <a:extLst>
              <a:ext uri="{FF2B5EF4-FFF2-40B4-BE49-F238E27FC236}">
                <a16:creationId xmlns:a16="http://schemas.microsoft.com/office/drawing/2014/main" id="{00000000-0008-0000-0000-000054000000}"/>
              </a:ext>
            </a:extLst>
          </xdr:cNvPr>
          <xdr:cNvSpPr/>
        </xdr:nvSpPr>
        <xdr:spPr>
          <a:xfrm>
            <a:off x="11163300" y="121920"/>
            <a:ext cx="3131820" cy="1309588"/>
          </a:xfrm>
          <a:prstGeom prst="roundRect">
            <a:avLst>
              <a:gd name="adj" fmla="val 9413"/>
            </a:avLst>
          </a:prstGeom>
          <a:gradFill flip="none" rotWithShape="1">
            <a:gsLst>
              <a:gs pos="11000">
                <a:srgbClr val="FF5F00"/>
              </a:gs>
              <a:gs pos="100000">
                <a:srgbClr val="FF9A20"/>
              </a:gs>
            </a:gsLst>
            <a:path path="circle">
              <a:fillToRect l="100000" t="100000"/>
            </a:path>
            <a:tileRect r="-100000" b="-100000"/>
          </a:gra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defTabSz="914400" rtl="0" eaLnBrk="1" latinLnBrk="0" hangingPunct="1"/>
            <a:fld id="{0470A36C-DC80-4E43-9506-7E76E4D88B34}" type="TxLink">
              <a:rPr lang="en-US" sz="2400" b="0" i="0" u="none" strike="noStrike" kern="1200" spc="70" baseline="0">
                <a:solidFill>
                  <a:schemeClr val="bg1"/>
                </a:solidFill>
                <a:latin typeface="Calibri"/>
                <a:ea typeface="+mn-ea"/>
                <a:cs typeface="Calibri"/>
              </a:rPr>
              <a:pPr marL="0" indent="0" algn="l" defTabSz="914400" rtl="0" eaLnBrk="1" latinLnBrk="0" hangingPunct="1"/>
              <a:t> $2,11,611 </a:t>
            </a:fld>
            <a:endParaRPr lang="ru-RU" sz="9600" b="0" kern="1200" spc="70" baseline="0">
              <a:solidFill>
                <a:schemeClr val="bg1"/>
              </a:solidFill>
              <a:latin typeface="+mn-lt"/>
              <a:ea typeface="+mn-ea"/>
              <a:cs typeface="+mn-cs"/>
            </a:endParaRPr>
          </a:p>
        </xdr:txBody>
      </xdr:sp>
      <xdr:grpSp>
        <xdr:nvGrpSpPr>
          <xdr:cNvPr id="99" name="Graphic 97" descr="Treasure chest outline">
            <a:extLst>
              <a:ext uri="{FF2B5EF4-FFF2-40B4-BE49-F238E27FC236}">
                <a16:creationId xmlns:a16="http://schemas.microsoft.com/office/drawing/2014/main" id="{00000000-0008-0000-0000-000063000000}"/>
              </a:ext>
            </a:extLst>
          </xdr:cNvPr>
          <xdr:cNvGrpSpPr/>
        </xdr:nvGrpSpPr>
        <xdr:grpSpPr>
          <a:xfrm>
            <a:off x="13682179" y="827830"/>
            <a:ext cx="483401" cy="396000"/>
            <a:chOff x="11891479" y="3943350"/>
            <a:chExt cx="872278" cy="771525"/>
          </a:xfrm>
          <a:solidFill>
            <a:schemeClr val="bg1"/>
          </a:solidFill>
        </xdr:grpSpPr>
        <xdr:sp macro="" textlink="">
          <xdr:nvSpPr>
            <xdr:cNvPr id="100" name="Freeform: Shape 99">
              <a:extLst>
                <a:ext uri="{FF2B5EF4-FFF2-40B4-BE49-F238E27FC236}">
                  <a16:creationId xmlns:a16="http://schemas.microsoft.com/office/drawing/2014/main" id="{00000000-0008-0000-0000-000064000000}"/>
                </a:ext>
              </a:extLst>
            </xdr:cNvPr>
            <xdr:cNvSpPr/>
          </xdr:nvSpPr>
          <xdr:spPr>
            <a:xfrm>
              <a:off x="11891479" y="4200525"/>
              <a:ext cx="72399" cy="85725"/>
            </a:xfrm>
            <a:custGeom>
              <a:avLst/>
              <a:gdLst>
                <a:gd name="connsiteX0" fmla="*/ 36200 w 72399"/>
                <a:gd name="connsiteY0" fmla="*/ 0 h 85725"/>
                <a:gd name="connsiteX1" fmla="*/ 0 w 72399"/>
                <a:gd name="connsiteY1" fmla="*/ 42863 h 85725"/>
                <a:gd name="connsiteX2" fmla="*/ 36200 w 72399"/>
                <a:gd name="connsiteY2" fmla="*/ 85725 h 85725"/>
                <a:gd name="connsiteX3" fmla="*/ 72399 w 72399"/>
                <a:gd name="connsiteY3" fmla="*/ 42863 h 85725"/>
                <a:gd name="connsiteX4" fmla="*/ 36200 w 72399"/>
                <a:gd name="connsiteY4" fmla="*/ 0 h 85725"/>
                <a:gd name="connsiteX5" fmla="*/ 36200 w 72399"/>
                <a:gd name="connsiteY5" fmla="*/ 46840 h 85725"/>
                <a:gd name="connsiteX6" fmla="*/ 32570 w 72399"/>
                <a:gd name="connsiteY6" fmla="*/ 42863 h 85725"/>
                <a:gd name="connsiteX7" fmla="*/ 36200 w 72399"/>
                <a:gd name="connsiteY7" fmla="*/ 38885 h 85725"/>
                <a:gd name="connsiteX8" fmla="*/ 39830 w 72399"/>
                <a:gd name="connsiteY8" fmla="*/ 42863 h 85725"/>
                <a:gd name="connsiteX9" fmla="*/ 36200 w 72399"/>
                <a:gd name="connsiteY9" fmla="*/ 46840 h 857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2399" h="85725">
                  <a:moveTo>
                    <a:pt x="36200" y="0"/>
                  </a:moveTo>
                  <a:cubicBezTo>
                    <a:pt x="30856" y="18827"/>
                    <a:pt x="17667" y="34443"/>
                    <a:pt x="0" y="42863"/>
                  </a:cubicBezTo>
                  <a:cubicBezTo>
                    <a:pt x="17667" y="51282"/>
                    <a:pt x="30856" y="66898"/>
                    <a:pt x="36200" y="85725"/>
                  </a:cubicBezTo>
                  <a:cubicBezTo>
                    <a:pt x="41543" y="66898"/>
                    <a:pt x="54732" y="51282"/>
                    <a:pt x="72399" y="42863"/>
                  </a:cubicBezTo>
                  <a:cubicBezTo>
                    <a:pt x="54732" y="34443"/>
                    <a:pt x="41543" y="18827"/>
                    <a:pt x="36200" y="0"/>
                  </a:cubicBezTo>
                  <a:close/>
                  <a:moveTo>
                    <a:pt x="36200" y="46840"/>
                  </a:moveTo>
                  <a:cubicBezTo>
                    <a:pt x="35026" y="45471"/>
                    <a:pt x="33816" y="44146"/>
                    <a:pt x="32570" y="42863"/>
                  </a:cubicBezTo>
                  <a:cubicBezTo>
                    <a:pt x="33816" y="41579"/>
                    <a:pt x="35026" y="40254"/>
                    <a:pt x="36200" y="38885"/>
                  </a:cubicBezTo>
                  <a:cubicBezTo>
                    <a:pt x="37373" y="40254"/>
                    <a:pt x="38583" y="41579"/>
                    <a:pt x="39830" y="42863"/>
                  </a:cubicBezTo>
                  <a:cubicBezTo>
                    <a:pt x="38583" y="44146"/>
                    <a:pt x="37373" y="45471"/>
                    <a:pt x="36200" y="46840"/>
                  </a:cubicBezTo>
                  <a:close/>
                </a:path>
              </a:pathLst>
            </a:custGeom>
            <a:grpFill/>
            <a:ln w="9525" cap="flat">
              <a:noFill/>
              <a:prstDash val="solid"/>
              <a:miter/>
            </a:ln>
          </xdr:spPr>
          <xdr:txBody>
            <a:bodyPr rtlCol="0" anchor="ctr"/>
            <a:lstStyle/>
            <a:p>
              <a:endParaRPr lang="ru-RU"/>
            </a:p>
          </xdr:txBody>
        </xdr:sp>
        <xdr:sp macro="" textlink="">
          <xdr:nvSpPr>
            <xdr:cNvPr id="101" name="Freeform: Shape 100">
              <a:extLst>
                <a:ext uri="{FF2B5EF4-FFF2-40B4-BE49-F238E27FC236}">
                  <a16:creationId xmlns:a16="http://schemas.microsoft.com/office/drawing/2014/main" id="{00000000-0008-0000-0000-000065000000}"/>
                </a:ext>
              </a:extLst>
            </xdr:cNvPr>
            <xdr:cNvSpPr/>
          </xdr:nvSpPr>
          <xdr:spPr>
            <a:xfrm>
              <a:off x="12675270" y="4248150"/>
              <a:ext cx="88487" cy="104775"/>
            </a:xfrm>
            <a:custGeom>
              <a:avLst/>
              <a:gdLst>
                <a:gd name="connsiteX0" fmla="*/ 44244 w 88487"/>
                <a:gd name="connsiteY0" fmla="*/ 0 h 104775"/>
                <a:gd name="connsiteX1" fmla="*/ 0 w 88487"/>
                <a:gd name="connsiteY1" fmla="*/ 52388 h 104775"/>
                <a:gd name="connsiteX2" fmla="*/ 44244 w 88487"/>
                <a:gd name="connsiteY2" fmla="*/ 104775 h 104775"/>
                <a:gd name="connsiteX3" fmla="*/ 88487 w 88487"/>
                <a:gd name="connsiteY3" fmla="*/ 52388 h 104775"/>
                <a:gd name="connsiteX4" fmla="*/ 44244 w 88487"/>
                <a:gd name="connsiteY4" fmla="*/ 0 h 104775"/>
                <a:gd name="connsiteX5" fmla="*/ 44244 w 88487"/>
                <a:gd name="connsiteY5" fmla="*/ 63946 h 104775"/>
                <a:gd name="connsiteX6" fmla="*/ 33780 w 88487"/>
                <a:gd name="connsiteY6" fmla="*/ 52388 h 104775"/>
                <a:gd name="connsiteX7" fmla="*/ 44244 w 88487"/>
                <a:gd name="connsiteY7" fmla="*/ 40828 h 104775"/>
                <a:gd name="connsiteX8" fmla="*/ 54707 w 88487"/>
                <a:gd name="connsiteY8" fmla="*/ 52388 h 104775"/>
                <a:gd name="connsiteX9" fmla="*/ 44244 w 88487"/>
                <a:gd name="connsiteY9" fmla="*/ 63946 h 104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8487" h="104775">
                  <a:moveTo>
                    <a:pt x="44244" y="0"/>
                  </a:moveTo>
                  <a:cubicBezTo>
                    <a:pt x="37712" y="23011"/>
                    <a:pt x="21593" y="42098"/>
                    <a:pt x="0" y="52388"/>
                  </a:cubicBezTo>
                  <a:cubicBezTo>
                    <a:pt x="21593" y="62677"/>
                    <a:pt x="37712" y="81764"/>
                    <a:pt x="44244" y="104775"/>
                  </a:cubicBezTo>
                  <a:cubicBezTo>
                    <a:pt x="50774" y="81764"/>
                    <a:pt x="66894" y="62677"/>
                    <a:pt x="88487" y="52388"/>
                  </a:cubicBezTo>
                  <a:cubicBezTo>
                    <a:pt x="66894" y="42098"/>
                    <a:pt x="50774" y="23011"/>
                    <a:pt x="44244" y="0"/>
                  </a:cubicBezTo>
                  <a:close/>
                  <a:moveTo>
                    <a:pt x="44244" y="63946"/>
                  </a:moveTo>
                  <a:cubicBezTo>
                    <a:pt x="41058" y="59829"/>
                    <a:pt x="37561" y="55965"/>
                    <a:pt x="33780" y="52388"/>
                  </a:cubicBezTo>
                  <a:cubicBezTo>
                    <a:pt x="37561" y="48810"/>
                    <a:pt x="41058" y="44946"/>
                    <a:pt x="44244" y="40828"/>
                  </a:cubicBezTo>
                  <a:cubicBezTo>
                    <a:pt x="47428" y="44946"/>
                    <a:pt x="50926" y="48810"/>
                    <a:pt x="54707" y="52388"/>
                  </a:cubicBezTo>
                  <a:cubicBezTo>
                    <a:pt x="50926" y="55965"/>
                    <a:pt x="47428" y="59829"/>
                    <a:pt x="44244" y="63946"/>
                  </a:cubicBezTo>
                  <a:close/>
                </a:path>
              </a:pathLst>
            </a:custGeom>
            <a:grpFill/>
            <a:ln w="9525" cap="flat">
              <a:noFill/>
              <a:prstDash val="solid"/>
              <a:miter/>
            </a:ln>
          </xdr:spPr>
          <xdr:txBody>
            <a:bodyPr rtlCol="0" anchor="ctr"/>
            <a:lstStyle/>
            <a:p>
              <a:endParaRPr lang="ru-RU"/>
            </a:p>
          </xdr:txBody>
        </xdr:sp>
        <xdr:sp macro="" textlink="">
          <xdr:nvSpPr>
            <xdr:cNvPr id="102" name="Freeform: Shape 101">
              <a:extLst>
                <a:ext uri="{FF2B5EF4-FFF2-40B4-BE49-F238E27FC236}">
                  <a16:creationId xmlns:a16="http://schemas.microsoft.com/office/drawing/2014/main" id="{00000000-0008-0000-0000-000066000000}"/>
                </a:ext>
              </a:extLst>
            </xdr:cNvPr>
            <xdr:cNvSpPr/>
          </xdr:nvSpPr>
          <xdr:spPr>
            <a:xfrm>
              <a:off x="12359685" y="4162425"/>
              <a:ext cx="64354" cy="76200"/>
            </a:xfrm>
            <a:custGeom>
              <a:avLst/>
              <a:gdLst>
                <a:gd name="connsiteX0" fmla="*/ 32177 w 64354"/>
                <a:gd name="connsiteY0" fmla="*/ 76200 h 76200"/>
                <a:gd name="connsiteX1" fmla="*/ 64355 w 64354"/>
                <a:gd name="connsiteY1" fmla="*/ 38100 h 76200"/>
                <a:gd name="connsiteX2" fmla="*/ 32177 w 64354"/>
                <a:gd name="connsiteY2" fmla="*/ 0 h 76200"/>
                <a:gd name="connsiteX3" fmla="*/ 0 w 64354"/>
                <a:gd name="connsiteY3" fmla="*/ 38100 h 76200"/>
                <a:gd name="connsiteX4" fmla="*/ 32177 w 64354"/>
                <a:gd name="connsiteY4" fmla="*/ 76200 h 762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4354" h="76200">
                  <a:moveTo>
                    <a:pt x="32177" y="76200"/>
                  </a:moveTo>
                  <a:cubicBezTo>
                    <a:pt x="36927" y="59465"/>
                    <a:pt x="48651" y="45584"/>
                    <a:pt x="64355" y="38100"/>
                  </a:cubicBezTo>
                  <a:cubicBezTo>
                    <a:pt x="48651" y="30616"/>
                    <a:pt x="36927" y="16735"/>
                    <a:pt x="32177" y="0"/>
                  </a:cubicBezTo>
                  <a:cubicBezTo>
                    <a:pt x="27428" y="16735"/>
                    <a:pt x="15705" y="30616"/>
                    <a:pt x="0" y="38100"/>
                  </a:cubicBezTo>
                  <a:cubicBezTo>
                    <a:pt x="15705" y="45584"/>
                    <a:pt x="27428" y="59465"/>
                    <a:pt x="32177" y="76200"/>
                  </a:cubicBezTo>
                  <a:close/>
                </a:path>
              </a:pathLst>
            </a:custGeom>
            <a:grpFill/>
            <a:ln w="9525" cap="flat">
              <a:noFill/>
              <a:prstDash val="solid"/>
              <a:miter/>
            </a:ln>
          </xdr:spPr>
          <xdr:txBody>
            <a:bodyPr rtlCol="0" anchor="ctr"/>
            <a:lstStyle/>
            <a:p>
              <a:endParaRPr lang="ru-RU"/>
            </a:p>
          </xdr:txBody>
        </xdr:sp>
        <xdr:sp macro="" textlink="">
          <xdr:nvSpPr>
            <xdr:cNvPr id="103" name="Freeform: Shape 102">
              <a:extLst>
                <a:ext uri="{FF2B5EF4-FFF2-40B4-BE49-F238E27FC236}">
                  <a16:creationId xmlns:a16="http://schemas.microsoft.com/office/drawing/2014/main" id="{00000000-0008-0000-0000-000067000000}"/>
                </a:ext>
              </a:extLst>
            </xdr:cNvPr>
            <xdr:cNvSpPr/>
          </xdr:nvSpPr>
          <xdr:spPr>
            <a:xfrm>
              <a:off x="12145893" y="3943350"/>
              <a:ext cx="80442" cy="95250"/>
            </a:xfrm>
            <a:custGeom>
              <a:avLst/>
              <a:gdLst>
                <a:gd name="connsiteX0" fmla="*/ 40221 w 80442"/>
                <a:gd name="connsiteY0" fmla="*/ 95250 h 95250"/>
                <a:gd name="connsiteX1" fmla="*/ 80442 w 80442"/>
                <a:gd name="connsiteY1" fmla="*/ 47625 h 95250"/>
                <a:gd name="connsiteX2" fmla="*/ 40221 w 80442"/>
                <a:gd name="connsiteY2" fmla="*/ 0 h 95250"/>
                <a:gd name="connsiteX3" fmla="*/ 0 w 80442"/>
                <a:gd name="connsiteY3" fmla="*/ 47625 h 95250"/>
                <a:gd name="connsiteX4" fmla="*/ 40221 w 80442"/>
                <a:gd name="connsiteY4" fmla="*/ 95250 h 95250"/>
                <a:gd name="connsiteX5" fmla="*/ 40221 w 80442"/>
                <a:gd name="connsiteY5" fmla="*/ 39902 h 95250"/>
                <a:gd name="connsiteX6" fmla="*/ 47238 w 80442"/>
                <a:gd name="connsiteY6" fmla="*/ 47625 h 95250"/>
                <a:gd name="connsiteX7" fmla="*/ 40221 w 80442"/>
                <a:gd name="connsiteY7" fmla="*/ 55347 h 95250"/>
                <a:gd name="connsiteX8" fmla="*/ 33203 w 80442"/>
                <a:gd name="connsiteY8" fmla="*/ 47625 h 95250"/>
                <a:gd name="connsiteX9" fmla="*/ 40221 w 80442"/>
                <a:gd name="connsiteY9" fmla="*/ 39902 h 95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0442" h="95250">
                  <a:moveTo>
                    <a:pt x="40221" y="95250"/>
                  </a:moveTo>
                  <a:cubicBezTo>
                    <a:pt x="46158" y="74331"/>
                    <a:pt x="60812" y="56979"/>
                    <a:pt x="80442" y="47625"/>
                  </a:cubicBezTo>
                  <a:cubicBezTo>
                    <a:pt x="60812" y="38270"/>
                    <a:pt x="46158" y="20919"/>
                    <a:pt x="40221" y="0"/>
                  </a:cubicBezTo>
                  <a:cubicBezTo>
                    <a:pt x="34283" y="20919"/>
                    <a:pt x="19630" y="38270"/>
                    <a:pt x="0" y="47625"/>
                  </a:cubicBezTo>
                  <a:cubicBezTo>
                    <a:pt x="19630" y="56980"/>
                    <a:pt x="34284" y="74331"/>
                    <a:pt x="40221" y="95250"/>
                  </a:cubicBezTo>
                  <a:close/>
                  <a:moveTo>
                    <a:pt x="40221" y="39902"/>
                  </a:moveTo>
                  <a:cubicBezTo>
                    <a:pt x="42415" y="42605"/>
                    <a:pt x="44758" y="45183"/>
                    <a:pt x="47238" y="47625"/>
                  </a:cubicBezTo>
                  <a:cubicBezTo>
                    <a:pt x="44758" y="50067"/>
                    <a:pt x="42415" y="52645"/>
                    <a:pt x="40221" y="55347"/>
                  </a:cubicBezTo>
                  <a:cubicBezTo>
                    <a:pt x="38028" y="52645"/>
                    <a:pt x="35684" y="50067"/>
                    <a:pt x="33203" y="47625"/>
                  </a:cubicBezTo>
                  <a:cubicBezTo>
                    <a:pt x="35684" y="45183"/>
                    <a:pt x="38028" y="42605"/>
                    <a:pt x="40221" y="39902"/>
                  </a:cubicBezTo>
                  <a:close/>
                </a:path>
              </a:pathLst>
            </a:custGeom>
            <a:grpFill/>
            <a:ln w="9525" cap="flat">
              <a:noFill/>
              <a:prstDash val="solid"/>
              <a:miter/>
            </a:ln>
          </xdr:spPr>
          <xdr:txBody>
            <a:bodyPr rtlCol="0" anchor="ctr"/>
            <a:lstStyle/>
            <a:p>
              <a:endParaRPr lang="ru-RU"/>
            </a:p>
          </xdr:txBody>
        </xdr:sp>
        <xdr:sp macro="" textlink="">
          <xdr:nvSpPr>
            <xdr:cNvPr id="104" name="Freeform: Shape 103">
              <a:extLst>
                <a:ext uri="{FF2B5EF4-FFF2-40B4-BE49-F238E27FC236}">
                  <a16:creationId xmlns:a16="http://schemas.microsoft.com/office/drawing/2014/main" id="{00000000-0008-0000-0000-000068000000}"/>
                </a:ext>
              </a:extLst>
            </xdr:cNvPr>
            <xdr:cNvSpPr/>
          </xdr:nvSpPr>
          <xdr:spPr>
            <a:xfrm>
              <a:off x="11959654" y="4048125"/>
              <a:ext cx="723899" cy="666750"/>
            </a:xfrm>
            <a:custGeom>
              <a:avLst/>
              <a:gdLst>
                <a:gd name="connsiteX0" fmla="*/ 713635 w 723899"/>
                <a:gd name="connsiteY0" fmla="*/ 102755 h 666750"/>
                <a:gd name="connsiteX1" fmla="*/ 714356 w 723899"/>
                <a:gd name="connsiteY1" fmla="*/ 101072 h 666750"/>
                <a:gd name="connsiteX2" fmla="*/ 714356 w 723899"/>
                <a:gd name="connsiteY2" fmla="*/ 71393 h 666750"/>
                <a:gd name="connsiteX3" fmla="*/ 704959 w 723899"/>
                <a:gd name="connsiteY3" fmla="*/ 47899 h 666750"/>
                <a:gd name="connsiteX4" fmla="*/ 634209 w 723899"/>
                <a:gd name="connsiteY4" fmla="*/ 0 h 666750"/>
                <a:gd name="connsiteX5" fmla="*/ 89689 w 723899"/>
                <a:gd name="connsiteY5" fmla="*/ 0 h 666750"/>
                <a:gd name="connsiteX6" fmla="*/ 18940 w 723899"/>
                <a:gd name="connsiteY6" fmla="*/ 47899 h 666750"/>
                <a:gd name="connsiteX7" fmla="*/ 9507 w 723899"/>
                <a:gd name="connsiteY7" fmla="*/ 71483 h 666750"/>
                <a:gd name="connsiteX8" fmla="*/ 9507 w 723899"/>
                <a:gd name="connsiteY8" fmla="*/ 97250 h 666750"/>
                <a:gd name="connsiteX9" fmla="*/ 11865 w 723899"/>
                <a:gd name="connsiteY9" fmla="*/ 102755 h 666750"/>
                <a:gd name="connsiteX10" fmla="*/ 66510 w 723899"/>
                <a:gd name="connsiteY10" fmla="*/ 230256 h 666750"/>
                <a:gd name="connsiteX11" fmla="*/ 0 w 723899"/>
                <a:gd name="connsiteY11" fmla="*/ 359643 h 666750"/>
                <a:gd name="connsiteX12" fmla="*/ 0 w 723899"/>
                <a:gd name="connsiteY12" fmla="*/ 666750 h 666750"/>
                <a:gd name="connsiteX13" fmla="*/ 723900 w 723899"/>
                <a:gd name="connsiteY13" fmla="*/ 666750 h 666750"/>
                <a:gd name="connsiteX14" fmla="*/ 723900 w 723899"/>
                <a:gd name="connsiteY14" fmla="*/ 359643 h 666750"/>
                <a:gd name="connsiteX15" fmla="*/ 658247 w 723899"/>
                <a:gd name="connsiteY15" fmla="*/ 231992 h 666750"/>
                <a:gd name="connsiteX16" fmla="*/ 36626 w 723899"/>
                <a:gd name="connsiteY16" fmla="*/ 54974 h 666750"/>
                <a:gd name="connsiteX17" fmla="*/ 89689 w 723899"/>
                <a:gd name="connsiteY17" fmla="*/ 19050 h 666750"/>
                <a:gd name="connsiteX18" fmla="*/ 634209 w 723899"/>
                <a:gd name="connsiteY18" fmla="*/ 19050 h 666750"/>
                <a:gd name="connsiteX19" fmla="*/ 687272 w 723899"/>
                <a:gd name="connsiteY19" fmla="*/ 54974 h 666750"/>
                <a:gd name="connsiteX20" fmla="*/ 695762 w 723899"/>
                <a:gd name="connsiteY20" fmla="*/ 76200 h 666750"/>
                <a:gd name="connsiteX21" fmla="*/ 28137 w 723899"/>
                <a:gd name="connsiteY21" fmla="*/ 76200 h 666750"/>
                <a:gd name="connsiteX22" fmla="*/ 29374 w 723899"/>
                <a:gd name="connsiteY22" fmla="*/ 95251 h 666750"/>
                <a:gd name="connsiteX23" fmla="*/ 696124 w 723899"/>
                <a:gd name="connsiteY23" fmla="*/ 95251 h 666750"/>
                <a:gd name="connsiteX24" fmla="*/ 638974 w 723899"/>
                <a:gd name="connsiteY24" fmla="*/ 228601 h 666750"/>
                <a:gd name="connsiteX25" fmla="*/ 528513 w 723899"/>
                <a:gd name="connsiteY25" fmla="*/ 228601 h 666750"/>
                <a:gd name="connsiteX26" fmla="*/ 487642 w 723899"/>
                <a:gd name="connsiteY26" fmla="*/ 211370 h 666750"/>
                <a:gd name="connsiteX27" fmla="*/ 427410 w 723899"/>
                <a:gd name="connsiteY27" fmla="*/ 205354 h 666750"/>
                <a:gd name="connsiteX28" fmla="*/ 366164 w 723899"/>
                <a:gd name="connsiteY28" fmla="*/ 202726 h 666750"/>
                <a:gd name="connsiteX29" fmla="*/ 342739 w 723899"/>
                <a:gd name="connsiteY29" fmla="*/ 207475 h 666750"/>
                <a:gd name="connsiteX30" fmla="*/ 333948 w 723899"/>
                <a:gd name="connsiteY30" fmla="*/ 191951 h 666750"/>
                <a:gd name="connsiteX31" fmla="*/ 255594 w 723899"/>
                <a:gd name="connsiteY31" fmla="*/ 200635 h 666750"/>
                <a:gd name="connsiteX32" fmla="*/ 213958 w 723899"/>
                <a:gd name="connsiteY32" fmla="*/ 233014 h 666750"/>
                <a:gd name="connsiteX33" fmla="*/ 146537 w 723899"/>
                <a:gd name="connsiteY33" fmla="*/ 228601 h 666750"/>
                <a:gd name="connsiteX34" fmla="*/ 86525 w 723899"/>
                <a:gd name="connsiteY34" fmla="*/ 228601 h 666750"/>
                <a:gd name="connsiteX35" fmla="*/ 590120 w 723899"/>
                <a:gd name="connsiteY35" fmla="*/ 297809 h 666750"/>
                <a:gd name="connsiteX36" fmla="*/ 645184 w 723899"/>
                <a:gd name="connsiteY36" fmla="*/ 307801 h 666750"/>
                <a:gd name="connsiteX37" fmla="*/ 590102 w 723899"/>
                <a:gd name="connsiteY37" fmla="*/ 328979 h 666750"/>
                <a:gd name="connsiteX38" fmla="*/ 573906 w 723899"/>
                <a:gd name="connsiteY38" fmla="*/ 329908 h 666750"/>
                <a:gd name="connsiteX39" fmla="*/ 590120 w 723899"/>
                <a:gd name="connsiteY39" fmla="*/ 297809 h 666750"/>
                <a:gd name="connsiteX40" fmla="*/ 647330 w 723899"/>
                <a:gd name="connsiteY40" fmla="*/ 329019 h 666750"/>
                <a:gd name="connsiteX41" fmla="*/ 647788 w 723899"/>
                <a:gd name="connsiteY41" fmla="*/ 333548 h 666750"/>
                <a:gd name="connsiteX42" fmla="*/ 608918 w 723899"/>
                <a:gd name="connsiteY42" fmla="*/ 352425 h 666750"/>
                <a:gd name="connsiteX43" fmla="*/ 544488 w 723899"/>
                <a:gd name="connsiteY43" fmla="*/ 352425 h 666750"/>
                <a:gd name="connsiteX44" fmla="*/ 543293 w 723899"/>
                <a:gd name="connsiteY44" fmla="*/ 352084 h 666750"/>
                <a:gd name="connsiteX45" fmla="*/ 554795 w 723899"/>
                <a:gd name="connsiteY45" fmla="*/ 344855 h 666750"/>
                <a:gd name="connsiteX46" fmla="*/ 591665 w 723899"/>
                <a:gd name="connsiteY46" fmla="*/ 344428 h 666750"/>
                <a:gd name="connsiteX47" fmla="*/ 647330 w 723899"/>
                <a:gd name="connsiteY47" fmla="*/ 329019 h 666750"/>
                <a:gd name="connsiteX48" fmla="*/ 532451 w 723899"/>
                <a:gd name="connsiteY48" fmla="*/ 340418 h 666750"/>
                <a:gd name="connsiteX49" fmla="*/ 506999 w 723899"/>
                <a:gd name="connsiteY49" fmla="*/ 352425 h 666750"/>
                <a:gd name="connsiteX50" fmla="*/ 473823 w 723899"/>
                <a:gd name="connsiteY50" fmla="*/ 352425 h 666750"/>
                <a:gd name="connsiteX51" fmla="*/ 473016 w 723899"/>
                <a:gd name="connsiteY51" fmla="*/ 351000 h 666750"/>
                <a:gd name="connsiteX52" fmla="*/ 527351 w 723899"/>
                <a:gd name="connsiteY52" fmla="*/ 331411 h 666750"/>
                <a:gd name="connsiteX53" fmla="*/ 572098 w 723899"/>
                <a:gd name="connsiteY53" fmla="*/ 294892 h 666750"/>
                <a:gd name="connsiteX54" fmla="*/ 574341 w 723899"/>
                <a:gd name="connsiteY54" fmla="*/ 298854 h 666750"/>
                <a:gd name="connsiteX55" fmla="*/ 532451 w 723899"/>
                <a:gd name="connsiteY55" fmla="*/ 340418 h 666750"/>
                <a:gd name="connsiteX56" fmla="*/ 185639 w 723899"/>
                <a:gd name="connsiteY56" fmla="*/ 348364 h 666750"/>
                <a:gd name="connsiteX57" fmla="*/ 168614 w 723899"/>
                <a:gd name="connsiteY57" fmla="*/ 352425 h 666750"/>
                <a:gd name="connsiteX58" fmla="*/ 104194 w 723899"/>
                <a:gd name="connsiteY58" fmla="*/ 352425 h 666750"/>
                <a:gd name="connsiteX59" fmla="*/ 94376 w 723899"/>
                <a:gd name="connsiteY59" fmla="*/ 345009 h 666750"/>
                <a:gd name="connsiteX60" fmla="*/ 93917 w 723899"/>
                <a:gd name="connsiteY60" fmla="*/ 340480 h 666750"/>
                <a:gd name="connsiteX61" fmla="*/ 151540 w 723899"/>
                <a:gd name="connsiteY61" fmla="*/ 344428 h 666750"/>
                <a:gd name="connsiteX62" fmla="*/ 186691 w 723899"/>
                <a:gd name="connsiteY62" fmla="*/ 337841 h 666750"/>
                <a:gd name="connsiteX63" fmla="*/ 185639 w 723899"/>
                <a:gd name="connsiteY63" fmla="*/ 348364 h 666750"/>
                <a:gd name="connsiteX64" fmla="*/ 149978 w 723899"/>
                <a:gd name="connsiteY64" fmla="*/ 328979 h 666750"/>
                <a:gd name="connsiteX65" fmla="*/ 91771 w 723899"/>
                <a:gd name="connsiteY65" fmla="*/ 319262 h 666750"/>
                <a:gd name="connsiteX66" fmla="*/ 146852 w 723899"/>
                <a:gd name="connsiteY66" fmla="*/ 298083 h 666750"/>
                <a:gd name="connsiteX67" fmla="*/ 148780 w 723899"/>
                <a:gd name="connsiteY67" fmla="*/ 297927 h 666750"/>
                <a:gd name="connsiteX68" fmla="*/ 187215 w 723899"/>
                <a:gd name="connsiteY68" fmla="*/ 316885 h 666750"/>
                <a:gd name="connsiteX69" fmla="*/ 193097 w 723899"/>
                <a:gd name="connsiteY69" fmla="*/ 318945 h 666750"/>
                <a:gd name="connsiteX70" fmla="*/ 149978 w 723899"/>
                <a:gd name="connsiteY70" fmla="*/ 328979 h 666750"/>
                <a:gd name="connsiteX71" fmla="*/ 192556 w 723899"/>
                <a:gd name="connsiteY71" fmla="*/ 302306 h 666750"/>
                <a:gd name="connsiteX72" fmla="*/ 144440 w 723899"/>
                <a:gd name="connsiteY72" fmla="*/ 268140 h 666750"/>
                <a:gd name="connsiteX73" fmla="*/ 146007 w 723899"/>
                <a:gd name="connsiteY73" fmla="*/ 263866 h 666750"/>
                <a:gd name="connsiteX74" fmla="*/ 196118 w 723899"/>
                <a:gd name="connsiteY74" fmla="*/ 292586 h 666750"/>
                <a:gd name="connsiteX75" fmla="*/ 222999 w 723899"/>
                <a:gd name="connsiteY75" fmla="*/ 300513 h 666750"/>
                <a:gd name="connsiteX76" fmla="*/ 211998 w 723899"/>
                <a:gd name="connsiteY76" fmla="*/ 308297 h 666750"/>
                <a:gd name="connsiteX77" fmla="*/ 192556 w 723899"/>
                <a:gd name="connsiteY77" fmla="*/ 302306 h 666750"/>
                <a:gd name="connsiteX78" fmla="*/ 207844 w 723899"/>
                <a:gd name="connsiteY78" fmla="*/ 263362 h 666750"/>
                <a:gd name="connsiteX79" fmla="*/ 219315 w 723899"/>
                <a:gd name="connsiteY79" fmla="*/ 283617 h 666750"/>
                <a:gd name="connsiteX80" fmla="*/ 201459 w 723899"/>
                <a:gd name="connsiteY80" fmla="*/ 278007 h 666750"/>
                <a:gd name="connsiteX81" fmla="*/ 153344 w 723899"/>
                <a:gd name="connsiteY81" fmla="*/ 243842 h 666750"/>
                <a:gd name="connsiteX82" fmla="*/ 206245 w 723899"/>
                <a:gd name="connsiteY82" fmla="*/ 246792 h 666750"/>
                <a:gd name="connsiteX83" fmla="*/ 207844 w 723899"/>
                <a:gd name="connsiteY83" fmla="*/ 263362 h 666750"/>
                <a:gd name="connsiteX84" fmla="*/ 318160 w 723899"/>
                <a:gd name="connsiteY84" fmla="*/ 267365 h 666750"/>
                <a:gd name="connsiteX85" fmla="*/ 317495 w 723899"/>
                <a:gd name="connsiteY85" fmla="*/ 262861 h 666750"/>
                <a:gd name="connsiteX86" fmla="*/ 375237 w 723899"/>
                <a:gd name="connsiteY86" fmla="*/ 264168 h 666750"/>
                <a:gd name="connsiteX87" fmla="*/ 430139 w 723899"/>
                <a:gd name="connsiteY87" fmla="*/ 246228 h 666750"/>
                <a:gd name="connsiteX88" fmla="*/ 430803 w 723899"/>
                <a:gd name="connsiteY88" fmla="*/ 250731 h 666750"/>
                <a:gd name="connsiteX89" fmla="*/ 376750 w 723899"/>
                <a:gd name="connsiteY89" fmla="*/ 274409 h 666750"/>
                <a:gd name="connsiteX90" fmla="*/ 318160 w 723899"/>
                <a:gd name="connsiteY90" fmla="*/ 267365 h 666750"/>
                <a:gd name="connsiteX91" fmla="*/ 377623 w 723899"/>
                <a:gd name="connsiteY91" fmla="*/ 312984 h 666750"/>
                <a:gd name="connsiteX92" fmla="*/ 319176 w 723899"/>
                <a:gd name="connsiteY92" fmla="*/ 321125 h 666750"/>
                <a:gd name="connsiteX93" fmla="*/ 264687 w 723899"/>
                <a:gd name="connsiteY93" fmla="*/ 298466 h 666750"/>
                <a:gd name="connsiteX94" fmla="*/ 323136 w 723899"/>
                <a:gd name="connsiteY94" fmla="*/ 290325 h 666750"/>
                <a:gd name="connsiteX95" fmla="*/ 377623 w 723899"/>
                <a:gd name="connsiteY95" fmla="*/ 312984 h 666750"/>
                <a:gd name="connsiteX96" fmla="*/ 372969 w 723899"/>
                <a:gd name="connsiteY96" fmla="*/ 248808 h 666750"/>
                <a:gd name="connsiteX97" fmla="*/ 314379 w 723899"/>
                <a:gd name="connsiteY97" fmla="*/ 241765 h 666750"/>
                <a:gd name="connsiteX98" fmla="*/ 368433 w 723899"/>
                <a:gd name="connsiteY98" fmla="*/ 218086 h 666750"/>
                <a:gd name="connsiteX99" fmla="*/ 427023 w 723899"/>
                <a:gd name="connsiteY99" fmla="*/ 225130 h 666750"/>
                <a:gd name="connsiteX100" fmla="*/ 372969 w 723899"/>
                <a:gd name="connsiteY100" fmla="*/ 248808 h 666750"/>
                <a:gd name="connsiteX101" fmla="*/ 278547 w 723899"/>
                <a:gd name="connsiteY101" fmla="*/ 241167 h 666750"/>
                <a:gd name="connsiteX102" fmla="*/ 221355 w 723899"/>
                <a:gd name="connsiteY102" fmla="*/ 255710 h 666750"/>
                <a:gd name="connsiteX103" fmla="*/ 263245 w 723899"/>
                <a:gd name="connsiteY103" fmla="*/ 214145 h 666750"/>
                <a:gd name="connsiteX104" fmla="*/ 320437 w 723899"/>
                <a:gd name="connsiteY104" fmla="*/ 199602 h 666750"/>
                <a:gd name="connsiteX105" fmla="*/ 278547 w 723899"/>
                <a:gd name="connsiteY105" fmla="*/ 241167 h 666750"/>
                <a:gd name="connsiteX106" fmla="*/ 243389 w 723899"/>
                <a:gd name="connsiteY106" fmla="*/ 306265 h 666750"/>
                <a:gd name="connsiteX107" fmla="*/ 248369 w 723899"/>
                <a:gd name="connsiteY107" fmla="*/ 303630 h 666750"/>
                <a:gd name="connsiteX108" fmla="*/ 245988 w 723899"/>
                <a:gd name="connsiteY108" fmla="*/ 322154 h 666750"/>
                <a:gd name="connsiteX109" fmla="*/ 250431 w 723899"/>
                <a:gd name="connsiteY109" fmla="*/ 337670 h 666750"/>
                <a:gd name="connsiteX110" fmla="*/ 201500 w 723899"/>
                <a:gd name="connsiteY110" fmla="*/ 347830 h 666750"/>
                <a:gd name="connsiteX111" fmla="*/ 243389 w 723899"/>
                <a:gd name="connsiteY111" fmla="*/ 306265 h 666750"/>
                <a:gd name="connsiteX112" fmla="*/ 234107 w 723899"/>
                <a:gd name="connsiteY112" fmla="*/ 278229 h 666750"/>
                <a:gd name="connsiteX113" fmla="*/ 231864 w 723899"/>
                <a:gd name="connsiteY113" fmla="*/ 274269 h 666750"/>
                <a:gd name="connsiteX114" fmla="*/ 286199 w 723899"/>
                <a:gd name="connsiteY114" fmla="*/ 254679 h 666750"/>
                <a:gd name="connsiteX115" fmla="*/ 299395 w 723899"/>
                <a:gd name="connsiteY115" fmla="*/ 246582 h 666750"/>
                <a:gd name="connsiteX116" fmla="*/ 301035 w 723899"/>
                <a:gd name="connsiteY116" fmla="*/ 257686 h 666750"/>
                <a:gd name="connsiteX117" fmla="*/ 291299 w 723899"/>
                <a:gd name="connsiteY117" fmla="*/ 263686 h 666750"/>
                <a:gd name="connsiteX118" fmla="*/ 234107 w 723899"/>
                <a:gd name="connsiteY118" fmla="*/ 278229 h 666750"/>
                <a:gd name="connsiteX119" fmla="*/ 261968 w 723899"/>
                <a:gd name="connsiteY119" fmla="*/ 319618 h 666750"/>
                <a:gd name="connsiteX120" fmla="*/ 317196 w 723899"/>
                <a:gd name="connsiteY120" fmla="*/ 336526 h 666750"/>
                <a:gd name="connsiteX121" fmla="*/ 374904 w 723899"/>
                <a:gd name="connsiteY121" fmla="*/ 334136 h 666750"/>
                <a:gd name="connsiteX122" fmla="*/ 374324 w 723899"/>
                <a:gd name="connsiteY122" fmla="*/ 338651 h 666750"/>
                <a:gd name="connsiteX123" fmla="*/ 315877 w 723899"/>
                <a:gd name="connsiteY123" fmla="*/ 346793 h 666750"/>
                <a:gd name="connsiteX124" fmla="*/ 261388 w 723899"/>
                <a:gd name="connsiteY124" fmla="*/ 324134 h 666750"/>
                <a:gd name="connsiteX125" fmla="*/ 314324 w 723899"/>
                <a:gd name="connsiteY125" fmla="*/ 371475 h 666750"/>
                <a:gd name="connsiteX126" fmla="*/ 409574 w 723899"/>
                <a:gd name="connsiteY126" fmla="*/ 371475 h 666750"/>
                <a:gd name="connsiteX127" fmla="*/ 409574 w 723899"/>
                <a:gd name="connsiteY127" fmla="*/ 466725 h 666750"/>
                <a:gd name="connsiteX128" fmla="*/ 361949 w 723899"/>
                <a:gd name="connsiteY128" fmla="*/ 514350 h 666750"/>
                <a:gd name="connsiteX129" fmla="*/ 314324 w 723899"/>
                <a:gd name="connsiteY129" fmla="*/ 466725 h 666750"/>
                <a:gd name="connsiteX130" fmla="*/ 405623 w 723899"/>
                <a:gd name="connsiteY130" fmla="*/ 340472 h 666750"/>
                <a:gd name="connsiteX131" fmla="*/ 390081 w 723899"/>
                <a:gd name="connsiteY131" fmla="*/ 337857 h 666750"/>
                <a:gd name="connsiteX132" fmla="*/ 391398 w 723899"/>
                <a:gd name="connsiteY132" fmla="*/ 327613 h 666750"/>
                <a:gd name="connsiteX133" fmla="*/ 406943 w 723899"/>
                <a:gd name="connsiteY133" fmla="*/ 330205 h 666750"/>
                <a:gd name="connsiteX134" fmla="*/ 464651 w 723899"/>
                <a:gd name="connsiteY134" fmla="*/ 327815 h 666750"/>
                <a:gd name="connsiteX135" fmla="*/ 464070 w 723899"/>
                <a:gd name="connsiteY135" fmla="*/ 332330 h 666750"/>
                <a:gd name="connsiteX136" fmla="*/ 405623 w 723899"/>
                <a:gd name="connsiteY136" fmla="*/ 340472 h 666750"/>
                <a:gd name="connsiteX137" fmla="*/ 408923 w 723899"/>
                <a:gd name="connsiteY137" fmla="*/ 314805 h 666750"/>
                <a:gd name="connsiteX138" fmla="*/ 393061 w 723899"/>
                <a:gd name="connsiteY138" fmla="*/ 312109 h 666750"/>
                <a:gd name="connsiteX139" fmla="*/ 377362 w 723899"/>
                <a:gd name="connsiteY139" fmla="*/ 289998 h 666750"/>
                <a:gd name="connsiteX140" fmla="*/ 379019 w 723899"/>
                <a:gd name="connsiteY140" fmla="*/ 289770 h 666750"/>
                <a:gd name="connsiteX141" fmla="*/ 408025 w 723899"/>
                <a:gd name="connsiteY141" fmla="*/ 283448 h 666750"/>
                <a:gd name="connsiteX142" fmla="*/ 412882 w 723899"/>
                <a:gd name="connsiteY142" fmla="*/ 284004 h 666750"/>
                <a:gd name="connsiteX143" fmla="*/ 467371 w 723899"/>
                <a:gd name="connsiteY143" fmla="*/ 306663 h 666750"/>
                <a:gd name="connsiteX144" fmla="*/ 408923 w 723899"/>
                <a:gd name="connsiteY144" fmla="*/ 314805 h 666750"/>
                <a:gd name="connsiteX145" fmla="*/ 467220 w 723899"/>
                <a:gd name="connsiteY145" fmla="*/ 280892 h 666750"/>
                <a:gd name="connsiteX146" fmla="*/ 437208 w 723899"/>
                <a:gd name="connsiteY146" fmla="*/ 269247 h 666750"/>
                <a:gd name="connsiteX147" fmla="*/ 443794 w 723899"/>
                <a:gd name="connsiteY147" fmla="*/ 261332 h 666750"/>
                <a:gd name="connsiteX148" fmla="*/ 470137 w 723899"/>
                <a:gd name="connsiteY148" fmla="*/ 270961 h 666750"/>
                <a:gd name="connsiteX149" fmla="*/ 527503 w 723899"/>
                <a:gd name="connsiteY149" fmla="*/ 277674 h 666750"/>
                <a:gd name="connsiteX150" fmla="*/ 526220 w 723899"/>
                <a:gd name="connsiteY150" fmla="*/ 282041 h 666750"/>
                <a:gd name="connsiteX151" fmla="*/ 467220 w 723899"/>
                <a:gd name="connsiteY151" fmla="*/ 280892 h 666750"/>
                <a:gd name="connsiteX152" fmla="*/ 441427 w 723899"/>
                <a:gd name="connsiteY152" fmla="*/ 219291 h 666750"/>
                <a:gd name="connsiteX153" fmla="*/ 483266 w 723899"/>
                <a:gd name="connsiteY153" fmla="*/ 226267 h 666750"/>
                <a:gd name="connsiteX154" fmla="*/ 533514 w 723899"/>
                <a:gd name="connsiteY154" fmla="*/ 257212 h 666750"/>
                <a:gd name="connsiteX155" fmla="*/ 474514 w 723899"/>
                <a:gd name="connsiteY155" fmla="*/ 256063 h 666750"/>
                <a:gd name="connsiteX156" fmla="*/ 445647 w 723899"/>
                <a:gd name="connsiteY156" fmla="*/ 244959 h 666750"/>
                <a:gd name="connsiteX157" fmla="*/ 442384 w 723899"/>
                <a:gd name="connsiteY157" fmla="*/ 222863 h 666750"/>
                <a:gd name="connsiteX158" fmla="*/ 441427 w 723899"/>
                <a:gd name="connsiteY158" fmla="*/ 219290 h 666750"/>
                <a:gd name="connsiteX159" fmla="*/ 519700 w 723899"/>
                <a:gd name="connsiteY159" fmla="*/ 317900 h 666750"/>
                <a:gd name="connsiteX160" fmla="*/ 479438 w 723899"/>
                <a:gd name="connsiteY160" fmla="*/ 334448 h 666750"/>
                <a:gd name="connsiteX161" fmla="*/ 479472 w 723899"/>
                <a:gd name="connsiteY161" fmla="*/ 334309 h 666750"/>
                <a:gd name="connsiteX162" fmla="*/ 482771 w 723899"/>
                <a:gd name="connsiteY162" fmla="*/ 308643 h 666750"/>
                <a:gd name="connsiteX163" fmla="*/ 482818 w 723899"/>
                <a:gd name="connsiteY163" fmla="*/ 305055 h 666750"/>
                <a:gd name="connsiteX164" fmla="*/ 487558 w 723899"/>
                <a:gd name="connsiteY164" fmla="*/ 301554 h 666750"/>
                <a:gd name="connsiteX165" fmla="*/ 541119 w 723899"/>
                <a:gd name="connsiteY165" fmla="*/ 286418 h 666750"/>
                <a:gd name="connsiteX166" fmla="*/ 544648 w 723899"/>
                <a:gd name="connsiteY166" fmla="*/ 274405 h 666750"/>
                <a:gd name="connsiteX167" fmla="*/ 561590 w 723899"/>
                <a:gd name="connsiteY167" fmla="*/ 276336 h 666750"/>
                <a:gd name="connsiteX168" fmla="*/ 519700 w 723899"/>
                <a:gd name="connsiteY168" fmla="*/ 317900 h 666750"/>
                <a:gd name="connsiteX169" fmla="*/ 78982 w 723899"/>
                <a:gd name="connsiteY169" fmla="*/ 247651 h 666750"/>
                <a:gd name="connsiteX170" fmla="*/ 135411 w 723899"/>
                <a:gd name="connsiteY170" fmla="*/ 247651 h 666750"/>
                <a:gd name="connsiteX171" fmla="*/ 129861 w 723899"/>
                <a:gd name="connsiteY171" fmla="*/ 262800 h 666750"/>
                <a:gd name="connsiteX172" fmla="*/ 133806 w 723899"/>
                <a:gd name="connsiteY172" fmla="*/ 284097 h 666750"/>
                <a:gd name="connsiteX173" fmla="*/ 76323 w 723899"/>
                <a:gd name="connsiteY173" fmla="*/ 320825 h 666750"/>
                <a:gd name="connsiteX174" fmla="*/ 78928 w 723899"/>
                <a:gd name="connsiteY174" fmla="*/ 346572 h 666750"/>
                <a:gd name="connsiteX175" fmla="*/ 80495 w 723899"/>
                <a:gd name="connsiteY175" fmla="*/ 352425 h 666750"/>
                <a:gd name="connsiteX176" fmla="*/ 25131 w 723899"/>
                <a:gd name="connsiteY176" fmla="*/ 352425 h 666750"/>
                <a:gd name="connsiteX177" fmla="*/ 19050 w 723899"/>
                <a:gd name="connsiteY177" fmla="*/ 647700 h 666750"/>
                <a:gd name="connsiteX178" fmla="*/ 19050 w 723899"/>
                <a:gd name="connsiteY178" fmla="*/ 562458 h 666750"/>
                <a:gd name="connsiteX179" fmla="*/ 104292 w 723899"/>
                <a:gd name="connsiteY179" fmla="*/ 647700 h 666750"/>
                <a:gd name="connsiteX180" fmla="*/ 704850 w 723899"/>
                <a:gd name="connsiteY180" fmla="*/ 647700 h 666750"/>
                <a:gd name="connsiteX181" fmla="*/ 619607 w 723899"/>
                <a:gd name="connsiteY181" fmla="*/ 647700 h 666750"/>
                <a:gd name="connsiteX182" fmla="*/ 704850 w 723899"/>
                <a:gd name="connsiteY182" fmla="*/ 562458 h 666750"/>
                <a:gd name="connsiteX183" fmla="*/ 704850 w 723899"/>
                <a:gd name="connsiteY183" fmla="*/ 543408 h 666750"/>
                <a:gd name="connsiteX184" fmla="*/ 600557 w 723899"/>
                <a:gd name="connsiteY184" fmla="*/ 647700 h 666750"/>
                <a:gd name="connsiteX185" fmla="*/ 123342 w 723899"/>
                <a:gd name="connsiteY185" fmla="*/ 647700 h 666750"/>
                <a:gd name="connsiteX186" fmla="*/ 19050 w 723899"/>
                <a:gd name="connsiteY186" fmla="*/ 543408 h 666750"/>
                <a:gd name="connsiteX187" fmla="*/ 19050 w 723899"/>
                <a:gd name="connsiteY187" fmla="*/ 371475 h 666750"/>
                <a:gd name="connsiteX188" fmla="*/ 295274 w 723899"/>
                <a:gd name="connsiteY188" fmla="*/ 371475 h 666750"/>
                <a:gd name="connsiteX189" fmla="*/ 295274 w 723899"/>
                <a:gd name="connsiteY189" fmla="*/ 466725 h 666750"/>
                <a:gd name="connsiteX190" fmla="*/ 361949 w 723899"/>
                <a:gd name="connsiteY190" fmla="*/ 533400 h 666750"/>
                <a:gd name="connsiteX191" fmla="*/ 428624 w 723899"/>
                <a:gd name="connsiteY191" fmla="*/ 466725 h 666750"/>
                <a:gd name="connsiteX192" fmla="*/ 428624 w 723899"/>
                <a:gd name="connsiteY192" fmla="*/ 371475 h 666750"/>
                <a:gd name="connsiteX193" fmla="*/ 704850 w 723899"/>
                <a:gd name="connsiteY193" fmla="*/ 371475 h 666750"/>
                <a:gd name="connsiteX194" fmla="*/ 698764 w 723899"/>
                <a:gd name="connsiteY194" fmla="*/ 352425 h 666750"/>
                <a:gd name="connsiteX195" fmla="*/ 653087 w 723899"/>
                <a:gd name="connsiteY195" fmla="*/ 352425 h 666750"/>
                <a:gd name="connsiteX196" fmla="*/ 663236 w 723899"/>
                <a:gd name="connsiteY196" fmla="*/ 331985 h 666750"/>
                <a:gd name="connsiteX197" fmla="*/ 660631 w 723899"/>
                <a:gd name="connsiteY197" fmla="*/ 306238 h 666750"/>
                <a:gd name="connsiteX198" fmla="*/ 585414 w 723899"/>
                <a:gd name="connsiteY198" fmla="*/ 282635 h 666750"/>
                <a:gd name="connsiteX199" fmla="*/ 583154 w 723899"/>
                <a:gd name="connsiteY199" fmla="*/ 282906 h 666750"/>
                <a:gd name="connsiteX200" fmla="*/ 575101 w 723899"/>
                <a:gd name="connsiteY200" fmla="*/ 268684 h 666750"/>
                <a:gd name="connsiteX201" fmla="*/ 549029 w 723899"/>
                <a:gd name="connsiteY201" fmla="*/ 258012 h 666750"/>
                <a:gd name="connsiteX202" fmla="*/ 547159 w 723899"/>
                <a:gd name="connsiteY202" fmla="*/ 247206 h 666750"/>
                <a:gd name="connsiteX203" fmla="*/ 548126 w 723899"/>
                <a:gd name="connsiteY203" fmla="*/ 247651 h 666750"/>
                <a:gd name="connsiteX204" fmla="*/ 644879 w 723899"/>
                <a:gd name="connsiteY204" fmla="*/ 247651 h 666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Lst>
              <a:rect l="l" t="t" r="r" b="b"/>
              <a:pathLst>
                <a:path w="723899" h="666750">
                  <a:moveTo>
                    <a:pt x="713635" y="102755"/>
                  </a:moveTo>
                  <a:lnTo>
                    <a:pt x="714356" y="101072"/>
                  </a:lnTo>
                  <a:lnTo>
                    <a:pt x="714356" y="71393"/>
                  </a:lnTo>
                  <a:lnTo>
                    <a:pt x="704959" y="47899"/>
                  </a:lnTo>
                  <a:cubicBezTo>
                    <a:pt x="693387" y="18970"/>
                    <a:pt x="665367" y="0"/>
                    <a:pt x="634209" y="0"/>
                  </a:cubicBezTo>
                  <a:lnTo>
                    <a:pt x="89689" y="0"/>
                  </a:lnTo>
                  <a:cubicBezTo>
                    <a:pt x="58531" y="0"/>
                    <a:pt x="30511" y="18970"/>
                    <a:pt x="18940" y="47899"/>
                  </a:cubicBezTo>
                  <a:lnTo>
                    <a:pt x="9507" y="71483"/>
                  </a:lnTo>
                  <a:lnTo>
                    <a:pt x="9507" y="97250"/>
                  </a:lnTo>
                  <a:lnTo>
                    <a:pt x="11865" y="102755"/>
                  </a:lnTo>
                  <a:lnTo>
                    <a:pt x="66510" y="230256"/>
                  </a:lnTo>
                  <a:lnTo>
                    <a:pt x="0" y="359643"/>
                  </a:lnTo>
                  <a:lnTo>
                    <a:pt x="0" y="666750"/>
                  </a:lnTo>
                  <a:lnTo>
                    <a:pt x="723900" y="666750"/>
                  </a:lnTo>
                  <a:lnTo>
                    <a:pt x="723900" y="359643"/>
                  </a:lnTo>
                  <a:lnTo>
                    <a:pt x="658247" y="231992"/>
                  </a:lnTo>
                  <a:close/>
                  <a:moveTo>
                    <a:pt x="36626" y="54974"/>
                  </a:moveTo>
                  <a:cubicBezTo>
                    <a:pt x="45244" y="33227"/>
                    <a:pt x="66297" y="18974"/>
                    <a:pt x="89689" y="19050"/>
                  </a:cubicBezTo>
                  <a:lnTo>
                    <a:pt x="634209" y="19050"/>
                  </a:lnTo>
                  <a:cubicBezTo>
                    <a:pt x="657601" y="18974"/>
                    <a:pt x="678654" y="33227"/>
                    <a:pt x="687272" y="54974"/>
                  </a:cubicBezTo>
                  <a:lnTo>
                    <a:pt x="695762" y="76200"/>
                  </a:lnTo>
                  <a:lnTo>
                    <a:pt x="28137" y="76200"/>
                  </a:lnTo>
                  <a:close/>
                  <a:moveTo>
                    <a:pt x="29374" y="95251"/>
                  </a:moveTo>
                  <a:lnTo>
                    <a:pt x="696124" y="95251"/>
                  </a:lnTo>
                  <a:lnTo>
                    <a:pt x="638974" y="228601"/>
                  </a:lnTo>
                  <a:lnTo>
                    <a:pt x="528513" y="228601"/>
                  </a:lnTo>
                  <a:cubicBezTo>
                    <a:pt x="515663" y="221171"/>
                    <a:pt x="501932" y="215382"/>
                    <a:pt x="487642" y="211370"/>
                  </a:cubicBezTo>
                  <a:cubicBezTo>
                    <a:pt x="473407" y="207189"/>
                    <a:pt x="445982" y="200646"/>
                    <a:pt x="427410" y="205354"/>
                  </a:cubicBezTo>
                  <a:cubicBezTo>
                    <a:pt x="409707" y="197761"/>
                    <a:pt x="381034" y="200531"/>
                    <a:pt x="366164" y="202726"/>
                  </a:cubicBezTo>
                  <a:cubicBezTo>
                    <a:pt x="358276" y="203888"/>
                    <a:pt x="350457" y="205473"/>
                    <a:pt x="342739" y="207475"/>
                  </a:cubicBezTo>
                  <a:lnTo>
                    <a:pt x="333948" y="191951"/>
                  </a:lnTo>
                  <a:cubicBezTo>
                    <a:pt x="320137" y="167562"/>
                    <a:pt x="274552" y="189899"/>
                    <a:pt x="255594" y="200635"/>
                  </a:cubicBezTo>
                  <a:cubicBezTo>
                    <a:pt x="239982" y="208993"/>
                    <a:pt x="225903" y="219941"/>
                    <a:pt x="213958" y="233014"/>
                  </a:cubicBezTo>
                  <a:cubicBezTo>
                    <a:pt x="195801" y="226680"/>
                    <a:pt x="162723" y="217635"/>
                    <a:pt x="146537" y="228601"/>
                  </a:cubicBezTo>
                  <a:lnTo>
                    <a:pt x="86525" y="228601"/>
                  </a:lnTo>
                  <a:close/>
                  <a:moveTo>
                    <a:pt x="590120" y="297809"/>
                  </a:moveTo>
                  <a:cubicBezTo>
                    <a:pt x="619979" y="295240"/>
                    <a:pt x="644349" y="299558"/>
                    <a:pt x="645184" y="307801"/>
                  </a:cubicBezTo>
                  <a:cubicBezTo>
                    <a:pt x="646046" y="316333"/>
                    <a:pt x="621385" y="325815"/>
                    <a:pt x="590102" y="328979"/>
                  </a:cubicBezTo>
                  <a:cubicBezTo>
                    <a:pt x="584464" y="329550"/>
                    <a:pt x="579082" y="329809"/>
                    <a:pt x="573906" y="329908"/>
                  </a:cubicBezTo>
                  <a:cubicBezTo>
                    <a:pt x="584384" y="320092"/>
                    <a:pt x="592060" y="308823"/>
                    <a:pt x="590120" y="297809"/>
                  </a:cubicBezTo>
                  <a:close/>
                  <a:moveTo>
                    <a:pt x="647330" y="329019"/>
                  </a:moveTo>
                  <a:lnTo>
                    <a:pt x="647788" y="333548"/>
                  </a:lnTo>
                  <a:cubicBezTo>
                    <a:pt x="648494" y="340536"/>
                    <a:pt x="632069" y="348155"/>
                    <a:pt x="608918" y="352425"/>
                  </a:cubicBezTo>
                  <a:lnTo>
                    <a:pt x="544488" y="352425"/>
                  </a:lnTo>
                  <a:cubicBezTo>
                    <a:pt x="544104" y="352307"/>
                    <a:pt x="543658" y="352208"/>
                    <a:pt x="543293" y="352084"/>
                  </a:cubicBezTo>
                  <a:cubicBezTo>
                    <a:pt x="546734" y="350066"/>
                    <a:pt x="550672" y="347620"/>
                    <a:pt x="554795" y="344855"/>
                  </a:cubicBezTo>
                  <a:cubicBezTo>
                    <a:pt x="567071" y="345873"/>
                    <a:pt x="579416" y="345730"/>
                    <a:pt x="591665" y="344428"/>
                  </a:cubicBezTo>
                  <a:cubicBezTo>
                    <a:pt x="611079" y="343155"/>
                    <a:pt x="630025" y="337911"/>
                    <a:pt x="647330" y="329019"/>
                  </a:cubicBezTo>
                  <a:close/>
                  <a:moveTo>
                    <a:pt x="532451" y="340418"/>
                  </a:moveTo>
                  <a:cubicBezTo>
                    <a:pt x="524287" y="345066"/>
                    <a:pt x="515778" y="349080"/>
                    <a:pt x="506999" y="352425"/>
                  </a:cubicBezTo>
                  <a:lnTo>
                    <a:pt x="473823" y="352425"/>
                  </a:lnTo>
                  <a:lnTo>
                    <a:pt x="473016" y="351000"/>
                  </a:lnTo>
                  <a:cubicBezTo>
                    <a:pt x="492278" y="348258"/>
                    <a:pt x="510771" y="341591"/>
                    <a:pt x="527351" y="331411"/>
                  </a:cubicBezTo>
                  <a:cubicBezTo>
                    <a:pt x="544609" y="322430"/>
                    <a:pt x="559840" y="310000"/>
                    <a:pt x="572098" y="294892"/>
                  </a:cubicBezTo>
                  <a:lnTo>
                    <a:pt x="574341" y="298854"/>
                  </a:lnTo>
                  <a:cubicBezTo>
                    <a:pt x="578567" y="306315"/>
                    <a:pt x="559812" y="324925"/>
                    <a:pt x="532451" y="340418"/>
                  </a:cubicBezTo>
                  <a:close/>
                  <a:moveTo>
                    <a:pt x="185639" y="348364"/>
                  </a:moveTo>
                  <a:cubicBezTo>
                    <a:pt x="180046" y="350041"/>
                    <a:pt x="174362" y="351396"/>
                    <a:pt x="168614" y="352425"/>
                  </a:cubicBezTo>
                  <a:lnTo>
                    <a:pt x="104194" y="352425"/>
                  </a:lnTo>
                  <a:cubicBezTo>
                    <a:pt x="98295" y="350593"/>
                    <a:pt x="94686" y="348077"/>
                    <a:pt x="94376" y="345009"/>
                  </a:cubicBezTo>
                  <a:lnTo>
                    <a:pt x="93917" y="340480"/>
                  </a:lnTo>
                  <a:cubicBezTo>
                    <a:pt x="112652" y="345726"/>
                    <a:pt x="132265" y="347070"/>
                    <a:pt x="151540" y="344428"/>
                  </a:cubicBezTo>
                  <a:cubicBezTo>
                    <a:pt x="163432" y="343294"/>
                    <a:pt x="175196" y="341090"/>
                    <a:pt x="186691" y="337841"/>
                  </a:cubicBezTo>
                  <a:cubicBezTo>
                    <a:pt x="185497" y="341212"/>
                    <a:pt x="185136" y="344823"/>
                    <a:pt x="185639" y="348364"/>
                  </a:cubicBezTo>
                  <a:close/>
                  <a:moveTo>
                    <a:pt x="149978" y="328979"/>
                  </a:moveTo>
                  <a:cubicBezTo>
                    <a:pt x="118695" y="332144"/>
                    <a:pt x="92634" y="327793"/>
                    <a:pt x="91771" y="319262"/>
                  </a:cubicBezTo>
                  <a:cubicBezTo>
                    <a:pt x="90909" y="310730"/>
                    <a:pt x="115569" y="301248"/>
                    <a:pt x="146852" y="298083"/>
                  </a:cubicBezTo>
                  <a:cubicBezTo>
                    <a:pt x="147506" y="298016"/>
                    <a:pt x="148131" y="297986"/>
                    <a:pt x="148780" y="297927"/>
                  </a:cubicBezTo>
                  <a:cubicBezTo>
                    <a:pt x="160802" y="305733"/>
                    <a:pt x="173703" y="312097"/>
                    <a:pt x="187215" y="316885"/>
                  </a:cubicBezTo>
                  <a:cubicBezTo>
                    <a:pt x="188975" y="317530"/>
                    <a:pt x="190961" y="318227"/>
                    <a:pt x="193097" y="318945"/>
                  </a:cubicBezTo>
                  <a:cubicBezTo>
                    <a:pt x="179302" y="324413"/>
                    <a:pt x="164769" y="327794"/>
                    <a:pt x="149978" y="328979"/>
                  </a:cubicBezTo>
                  <a:close/>
                  <a:moveTo>
                    <a:pt x="192556" y="302306"/>
                  </a:moveTo>
                  <a:cubicBezTo>
                    <a:pt x="163034" y="291489"/>
                    <a:pt x="141491" y="276193"/>
                    <a:pt x="144440" y="268140"/>
                  </a:cubicBezTo>
                  <a:lnTo>
                    <a:pt x="146007" y="263866"/>
                  </a:lnTo>
                  <a:cubicBezTo>
                    <a:pt x="160569" y="276769"/>
                    <a:pt x="177624" y="286543"/>
                    <a:pt x="196118" y="292586"/>
                  </a:cubicBezTo>
                  <a:cubicBezTo>
                    <a:pt x="204895" y="295812"/>
                    <a:pt x="213875" y="298460"/>
                    <a:pt x="222999" y="300513"/>
                  </a:cubicBezTo>
                  <a:cubicBezTo>
                    <a:pt x="219425" y="302853"/>
                    <a:pt x="215687" y="305481"/>
                    <a:pt x="211998" y="308297"/>
                  </a:cubicBezTo>
                  <a:cubicBezTo>
                    <a:pt x="205418" y="306639"/>
                    <a:pt x="198929" y="304639"/>
                    <a:pt x="192556" y="302306"/>
                  </a:cubicBezTo>
                  <a:close/>
                  <a:moveTo>
                    <a:pt x="207844" y="263362"/>
                  </a:moveTo>
                  <a:lnTo>
                    <a:pt x="219315" y="283617"/>
                  </a:lnTo>
                  <a:cubicBezTo>
                    <a:pt x="213618" y="282123"/>
                    <a:pt x="207618" y="280264"/>
                    <a:pt x="201459" y="278007"/>
                  </a:cubicBezTo>
                  <a:cubicBezTo>
                    <a:pt x="171936" y="267190"/>
                    <a:pt x="150393" y="251893"/>
                    <a:pt x="153344" y="243842"/>
                  </a:cubicBezTo>
                  <a:cubicBezTo>
                    <a:pt x="156095" y="236330"/>
                    <a:pt x="179190" y="237784"/>
                    <a:pt x="206245" y="246792"/>
                  </a:cubicBezTo>
                  <a:cubicBezTo>
                    <a:pt x="204409" y="252292"/>
                    <a:pt x="204990" y="258313"/>
                    <a:pt x="207844" y="263362"/>
                  </a:cubicBezTo>
                  <a:close/>
                  <a:moveTo>
                    <a:pt x="318160" y="267365"/>
                  </a:moveTo>
                  <a:lnTo>
                    <a:pt x="317495" y="262861"/>
                  </a:lnTo>
                  <a:cubicBezTo>
                    <a:pt x="336450" y="267245"/>
                    <a:pt x="356104" y="267690"/>
                    <a:pt x="375237" y="264168"/>
                  </a:cubicBezTo>
                  <a:cubicBezTo>
                    <a:pt x="394573" y="262009"/>
                    <a:pt x="413258" y="255902"/>
                    <a:pt x="430139" y="246228"/>
                  </a:cubicBezTo>
                  <a:lnTo>
                    <a:pt x="430803" y="250731"/>
                  </a:lnTo>
                  <a:cubicBezTo>
                    <a:pt x="432056" y="259215"/>
                    <a:pt x="407855" y="269816"/>
                    <a:pt x="376750" y="274409"/>
                  </a:cubicBezTo>
                  <a:cubicBezTo>
                    <a:pt x="345644" y="279002"/>
                    <a:pt x="319412" y="275849"/>
                    <a:pt x="318160" y="267365"/>
                  </a:cubicBezTo>
                  <a:close/>
                  <a:moveTo>
                    <a:pt x="377623" y="312984"/>
                  </a:moveTo>
                  <a:cubicBezTo>
                    <a:pt x="376531" y="321489"/>
                    <a:pt x="350362" y="325134"/>
                    <a:pt x="319176" y="321125"/>
                  </a:cubicBezTo>
                  <a:cubicBezTo>
                    <a:pt x="287989" y="317116"/>
                    <a:pt x="263594" y="306971"/>
                    <a:pt x="264687" y="298466"/>
                  </a:cubicBezTo>
                  <a:cubicBezTo>
                    <a:pt x="265780" y="289961"/>
                    <a:pt x="291949" y="286316"/>
                    <a:pt x="323136" y="290325"/>
                  </a:cubicBezTo>
                  <a:cubicBezTo>
                    <a:pt x="354322" y="294334"/>
                    <a:pt x="378717" y="304478"/>
                    <a:pt x="377623" y="312984"/>
                  </a:cubicBezTo>
                  <a:close/>
                  <a:moveTo>
                    <a:pt x="372969" y="248808"/>
                  </a:moveTo>
                  <a:cubicBezTo>
                    <a:pt x="341864" y="253401"/>
                    <a:pt x="315632" y="250247"/>
                    <a:pt x="314379" y="241765"/>
                  </a:cubicBezTo>
                  <a:cubicBezTo>
                    <a:pt x="313126" y="233282"/>
                    <a:pt x="337327" y="222680"/>
                    <a:pt x="368433" y="218086"/>
                  </a:cubicBezTo>
                  <a:cubicBezTo>
                    <a:pt x="399539" y="213493"/>
                    <a:pt x="425770" y="216647"/>
                    <a:pt x="427023" y="225130"/>
                  </a:cubicBezTo>
                  <a:cubicBezTo>
                    <a:pt x="428275" y="233614"/>
                    <a:pt x="404075" y="244214"/>
                    <a:pt x="372969" y="248808"/>
                  </a:cubicBezTo>
                  <a:close/>
                  <a:moveTo>
                    <a:pt x="278547" y="241167"/>
                  </a:moveTo>
                  <a:cubicBezTo>
                    <a:pt x="251188" y="256661"/>
                    <a:pt x="225582" y="263172"/>
                    <a:pt x="221355" y="255710"/>
                  </a:cubicBezTo>
                  <a:cubicBezTo>
                    <a:pt x="217129" y="248249"/>
                    <a:pt x="235885" y="229639"/>
                    <a:pt x="263245" y="214145"/>
                  </a:cubicBezTo>
                  <a:cubicBezTo>
                    <a:pt x="290606" y="198652"/>
                    <a:pt x="316212" y="192140"/>
                    <a:pt x="320437" y="199602"/>
                  </a:cubicBezTo>
                  <a:cubicBezTo>
                    <a:pt x="324662" y="207065"/>
                    <a:pt x="305908" y="225674"/>
                    <a:pt x="278547" y="241167"/>
                  </a:cubicBezTo>
                  <a:close/>
                  <a:moveTo>
                    <a:pt x="243389" y="306265"/>
                  </a:moveTo>
                  <a:cubicBezTo>
                    <a:pt x="245071" y="305312"/>
                    <a:pt x="246707" y="304511"/>
                    <a:pt x="248369" y="303630"/>
                  </a:cubicBezTo>
                  <a:lnTo>
                    <a:pt x="245988" y="322154"/>
                  </a:lnTo>
                  <a:cubicBezTo>
                    <a:pt x="245272" y="327717"/>
                    <a:pt x="246878" y="333329"/>
                    <a:pt x="250431" y="337670"/>
                  </a:cubicBezTo>
                  <a:cubicBezTo>
                    <a:pt x="226361" y="349896"/>
                    <a:pt x="205295" y="354533"/>
                    <a:pt x="201500" y="347830"/>
                  </a:cubicBezTo>
                  <a:cubicBezTo>
                    <a:pt x="197274" y="340368"/>
                    <a:pt x="216029" y="321758"/>
                    <a:pt x="243389" y="306265"/>
                  </a:cubicBezTo>
                  <a:close/>
                  <a:moveTo>
                    <a:pt x="234107" y="278229"/>
                  </a:moveTo>
                  <a:lnTo>
                    <a:pt x="231864" y="274269"/>
                  </a:lnTo>
                  <a:cubicBezTo>
                    <a:pt x="251126" y="271526"/>
                    <a:pt x="269618" y="264859"/>
                    <a:pt x="286199" y="254679"/>
                  </a:cubicBezTo>
                  <a:cubicBezTo>
                    <a:pt x="289888" y="252590"/>
                    <a:pt x="294506" y="249801"/>
                    <a:pt x="299395" y="246582"/>
                  </a:cubicBezTo>
                  <a:lnTo>
                    <a:pt x="301035" y="257686"/>
                  </a:lnTo>
                  <a:cubicBezTo>
                    <a:pt x="297914" y="259709"/>
                    <a:pt x="294751" y="261732"/>
                    <a:pt x="291299" y="263686"/>
                  </a:cubicBezTo>
                  <a:cubicBezTo>
                    <a:pt x="263939" y="279180"/>
                    <a:pt x="238333" y="285691"/>
                    <a:pt x="234107" y="278229"/>
                  </a:cubicBezTo>
                  <a:close/>
                  <a:moveTo>
                    <a:pt x="261968" y="319618"/>
                  </a:moveTo>
                  <a:cubicBezTo>
                    <a:pt x="279026" y="328974"/>
                    <a:pt x="297824" y="334729"/>
                    <a:pt x="317196" y="336526"/>
                  </a:cubicBezTo>
                  <a:cubicBezTo>
                    <a:pt x="336393" y="339687"/>
                    <a:pt x="356034" y="338874"/>
                    <a:pt x="374904" y="334136"/>
                  </a:cubicBezTo>
                  <a:lnTo>
                    <a:pt x="374324" y="338651"/>
                  </a:lnTo>
                  <a:cubicBezTo>
                    <a:pt x="373230" y="347156"/>
                    <a:pt x="347062" y="350801"/>
                    <a:pt x="315877" y="346793"/>
                  </a:cubicBezTo>
                  <a:cubicBezTo>
                    <a:pt x="284691" y="342785"/>
                    <a:pt x="260294" y="332639"/>
                    <a:pt x="261388" y="324134"/>
                  </a:cubicBezTo>
                  <a:close/>
                  <a:moveTo>
                    <a:pt x="314324" y="371475"/>
                  </a:moveTo>
                  <a:lnTo>
                    <a:pt x="409574" y="371475"/>
                  </a:lnTo>
                  <a:lnTo>
                    <a:pt x="409574" y="466725"/>
                  </a:lnTo>
                  <a:cubicBezTo>
                    <a:pt x="409574" y="493027"/>
                    <a:pt x="388252" y="514350"/>
                    <a:pt x="361949" y="514350"/>
                  </a:cubicBezTo>
                  <a:cubicBezTo>
                    <a:pt x="335647" y="514350"/>
                    <a:pt x="314324" y="493027"/>
                    <a:pt x="314324" y="466725"/>
                  </a:cubicBezTo>
                  <a:close/>
                  <a:moveTo>
                    <a:pt x="405623" y="340472"/>
                  </a:moveTo>
                  <a:cubicBezTo>
                    <a:pt x="400197" y="339775"/>
                    <a:pt x="394988" y="338887"/>
                    <a:pt x="390081" y="337857"/>
                  </a:cubicBezTo>
                  <a:lnTo>
                    <a:pt x="391398" y="327613"/>
                  </a:lnTo>
                  <a:cubicBezTo>
                    <a:pt x="397247" y="328790"/>
                    <a:pt x="402670" y="329656"/>
                    <a:pt x="406943" y="330205"/>
                  </a:cubicBezTo>
                  <a:cubicBezTo>
                    <a:pt x="426140" y="333367"/>
                    <a:pt x="445782" y="332554"/>
                    <a:pt x="464651" y="327815"/>
                  </a:cubicBezTo>
                  <a:lnTo>
                    <a:pt x="464070" y="332330"/>
                  </a:lnTo>
                  <a:cubicBezTo>
                    <a:pt x="462978" y="340836"/>
                    <a:pt x="436810" y="344481"/>
                    <a:pt x="405623" y="340472"/>
                  </a:cubicBezTo>
                  <a:close/>
                  <a:moveTo>
                    <a:pt x="408923" y="314805"/>
                  </a:moveTo>
                  <a:cubicBezTo>
                    <a:pt x="403373" y="314092"/>
                    <a:pt x="398072" y="313168"/>
                    <a:pt x="393061" y="312109"/>
                  </a:cubicBezTo>
                  <a:cubicBezTo>
                    <a:pt x="392239" y="302432"/>
                    <a:pt x="386227" y="293964"/>
                    <a:pt x="377362" y="289998"/>
                  </a:cubicBezTo>
                  <a:cubicBezTo>
                    <a:pt x="377905" y="289922"/>
                    <a:pt x="378507" y="289845"/>
                    <a:pt x="379019" y="289770"/>
                  </a:cubicBezTo>
                  <a:cubicBezTo>
                    <a:pt x="388823" y="288343"/>
                    <a:pt x="398516" y="286231"/>
                    <a:pt x="408025" y="283448"/>
                  </a:cubicBezTo>
                  <a:cubicBezTo>
                    <a:pt x="409631" y="283616"/>
                    <a:pt x="411246" y="283794"/>
                    <a:pt x="412882" y="284004"/>
                  </a:cubicBezTo>
                  <a:cubicBezTo>
                    <a:pt x="444068" y="288012"/>
                    <a:pt x="468463" y="298157"/>
                    <a:pt x="467371" y="306663"/>
                  </a:cubicBezTo>
                  <a:cubicBezTo>
                    <a:pt x="466277" y="315169"/>
                    <a:pt x="440108" y="318813"/>
                    <a:pt x="408923" y="314805"/>
                  </a:cubicBezTo>
                  <a:close/>
                  <a:moveTo>
                    <a:pt x="467220" y="280892"/>
                  </a:moveTo>
                  <a:cubicBezTo>
                    <a:pt x="456886" y="277924"/>
                    <a:pt x="446841" y="274027"/>
                    <a:pt x="437208" y="269247"/>
                  </a:cubicBezTo>
                  <a:cubicBezTo>
                    <a:pt x="439862" y="267027"/>
                    <a:pt x="442092" y="264344"/>
                    <a:pt x="443794" y="261332"/>
                  </a:cubicBezTo>
                  <a:cubicBezTo>
                    <a:pt x="452354" y="265116"/>
                    <a:pt x="461154" y="268333"/>
                    <a:pt x="470137" y="270961"/>
                  </a:cubicBezTo>
                  <a:cubicBezTo>
                    <a:pt x="488598" y="277101"/>
                    <a:pt x="508124" y="279386"/>
                    <a:pt x="527503" y="277674"/>
                  </a:cubicBezTo>
                  <a:lnTo>
                    <a:pt x="526220" y="282041"/>
                  </a:lnTo>
                  <a:cubicBezTo>
                    <a:pt x="523804" y="290269"/>
                    <a:pt x="497388" y="289754"/>
                    <a:pt x="467220" y="280892"/>
                  </a:cubicBezTo>
                  <a:close/>
                  <a:moveTo>
                    <a:pt x="441427" y="219291"/>
                  </a:moveTo>
                  <a:cubicBezTo>
                    <a:pt x="455628" y="219678"/>
                    <a:pt x="469707" y="222026"/>
                    <a:pt x="483266" y="226267"/>
                  </a:cubicBezTo>
                  <a:cubicBezTo>
                    <a:pt x="513434" y="235130"/>
                    <a:pt x="535932" y="248984"/>
                    <a:pt x="533514" y="257212"/>
                  </a:cubicBezTo>
                  <a:cubicBezTo>
                    <a:pt x="531097" y="265440"/>
                    <a:pt x="504682" y="264926"/>
                    <a:pt x="474514" y="256063"/>
                  </a:cubicBezTo>
                  <a:cubicBezTo>
                    <a:pt x="464590" y="253200"/>
                    <a:pt x="454931" y="249485"/>
                    <a:pt x="445647" y="244959"/>
                  </a:cubicBezTo>
                  <a:lnTo>
                    <a:pt x="442384" y="222863"/>
                  </a:lnTo>
                  <a:cubicBezTo>
                    <a:pt x="442171" y="221646"/>
                    <a:pt x="441850" y="220450"/>
                    <a:pt x="441427" y="219290"/>
                  </a:cubicBezTo>
                  <a:close/>
                  <a:moveTo>
                    <a:pt x="519700" y="317900"/>
                  </a:moveTo>
                  <a:cubicBezTo>
                    <a:pt x="507151" y="325335"/>
                    <a:pt x="493588" y="330909"/>
                    <a:pt x="479438" y="334448"/>
                  </a:cubicBezTo>
                  <a:lnTo>
                    <a:pt x="479472" y="334309"/>
                  </a:lnTo>
                  <a:lnTo>
                    <a:pt x="482771" y="308643"/>
                  </a:lnTo>
                  <a:cubicBezTo>
                    <a:pt x="482890" y="307451"/>
                    <a:pt x="482905" y="306251"/>
                    <a:pt x="482818" y="305055"/>
                  </a:cubicBezTo>
                  <a:cubicBezTo>
                    <a:pt x="484336" y="303891"/>
                    <a:pt x="485910" y="302725"/>
                    <a:pt x="487558" y="301554"/>
                  </a:cubicBezTo>
                  <a:cubicBezTo>
                    <a:pt x="509755" y="305300"/>
                    <a:pt x="535595" y="305223"/>
                    <a:pt x="541119" y="286418"/>
                  </a:cubicBezTo>
                  <a:lnTo>
                    <a:pt x="544648" y="274405"/>
                  </a:lnTo>
                  <a:cubicBezTo>
                    <a:pt x="553412" y="272539"/>
                    <a:pt x="559693" y="272986"/>
                    <a:pt x="561590" y="276336"/>
                  </a:cubicBezTo>
                  <a:cubicBezTo>
                    <a:pt x="565816" y="283796"/>
                    <a:pt x="547060" y="302406"/>
                    <a:pt x="519700" y="317900"/>
                  </a:cubicBezTo>
                  <a:close/>
                  <a:moveTo>
                    <a:pt x="78982" y="247651"/>
                  </a:moveTo>
                  <a:lnTo>
                    <a:pt x="135411" y="247651"/>
                  </a:lnTo>
                  <a:lnTo>
                    <a:pt x="129861" y="262800"/>
                  </a:lnTo>
                  <a:cubicBezTo>
                    <a:pt x="127344" y="270099"/>
                    <a:pt x="128841" y="278183"/>
                    <a:pt x="133806" y="284097"/>
                  </a:cubicBezTo>
                  <a:cubicBezTo>
                    <a:pt x="109688" y="287739"/>
                    <a:pt x="73925" y="297134"/>
                    <a:pt x="76323" y="320825"/>
                  </a:cubicBezTo>
                  <a:lnTo>
                    <a:pt x="78928" y="346572"/>
                  </a:lnTo>
                  <a:cubicBezTo>
                    <a:pt x="79153" y="348591"/>
                    <a:pt x="79681" y="350564"/>
                    <a:pt x="80495" y="352425"/>
                  </a:cubicBezTo>
                  <a:lnTo>
                    <a:pt x="25131" y="352425"/>
                  </a:lnTo>
                  <a:close/>
                  <a:moveTo>
                    <a:pt x="19050" y="647700"/>
                  </a:moveTo>
                  <a:lnTo>
                    <a:pt x="19050" y="562458"/>
                  </a:lnTo>
                  <a:cubicBezTo>
                    <a:pt x="64090" y="567048"/>
                    <a:pt x="99702" y="602660"/>
                    <a:pt x="104292" y="647700"/>
                  </a:cubicBezTo>
                  <a:close/>
                  <a:moveTo>
                    <a:pt x="704850" y="647700"/>
                  </a:moveTo>
                  <a:lnTo>
                    <a:pt x="619607" y="647700"/>
                  </a:lnTo>
                  <a:cubicBezTo>
                    <a:pt x="624197" y="602660"/>
                    <a:pt x="659809" y="567048"/>
                    <a:pt x="704850" y="562458"/>
                  </a:cubicBezTo>
                  <a:close/>
                  <a:moveTo>
                    <a:pt x="704850" y="543408"/>
                  </a:moveTo>
                  <a:cubicBezTo>
                    <a:pt x="649318" y="548118"/>
                    <a:pt x="605268" y="592169"/>
                    <a:pt x="600557" y="647700"/>
                  </a:cubicBezTo>
                  <a:lnTo>
                    <a:pt x="123342" y="647700"/>
                  </a:lnTo>
                  <a:cubicBezTo>
                    <a:pt x="118631" y="592169"/>
                    <a:pt x="74581" y="548118"/>
                    <a:pt x="19050" y="543408"/>
                  </a:cubicBezTo>
                  <a:lnTo>
                    <a:pt x="19050" y="371475"/>
                  </a:lnTo>
                  <a:lnTo>
                    <a:pt x="295274" y="371475"/>
                  </a:lnTo>
                  <a:lnTo>
                    <a:pt x="295274" y="466725"/>
                  </a:lnTo>
                  <a:cubicBezTo>
                    <a:pt x="295274" y="503549"/>
                    <a:pt x="325126" y="533400"/>
                    <a:pt x="361949" y="533400"/>
                  </a:cubicBezTo>
                  <a:cubicBezTo>
                    <a:pt x="398773" y="533400"/>
                    <a:pt x="428624" y="503549"/>
                    <a:pt x="428624" y="466725"/>
                  </a:cubicBezTo>
                  <a:lnTo>
                    <a:pt x="428624" y="371475"/>
                  </a:lnTo>
                  <a:lnTo>
                    <a:pt x="704850" y="371475"/>
                  </a:lnTo>
                  <a:close/>
                  <a:moveTo>
                    <a:pt x="698764" y="352425"/>
                  </a:moveTo>
                  <a:lnTo>
                    <a:pt x="653087" y="352425"/>
                  </a:lnTo>
                  <a:cubicBezTo>
                    <a:pt x="659950" y="347977"/>
                    <a:pt x="663841" y="340142"/>
                    <a:pt x="663236" y="331985"/>
                  </a:cubicBezTo>
                  <a:lnTo>
                    <a:pt x="660631" y="306238"/>
                  </a:lnTo>
                  <a:cubicBezTo>
                    <a:pt x="657811" y="278352"/>
                    <a:pt x="607090" y="280442"/>
                    <a:pt x="585414" y="282635"/>
                  </a:cubicBezTo>
                  <a:cubicBezTo>
                    <a:pt x="584747" y="282703"/>
                    <a:pt x="583873" y="282826"/>
                    <a:pt x="583154" y="282906"/>
                  </a:cubicBezTo>
                  <a:lnTo>
                    <a:pt x="575101" y="268684"/>
                  </a:lnTo>
                  <a:cubicBezTo>
                    <a:pt x="569457" y="260072"/>
                    <a:pt x="559090" y="255828"/>
                    <a:pt x="549029" y="258012"/>
                  </a:cubicBezTo>
                  <a:cubicBezTo>
                    <a:pt x="549412" y="254307"/>
                    <a:pt x="548766" y="250568"/>
                    <a:pt x="547159" y="247206"/>
                  </a:cubicBezTo>
                  <a:lnTo>
                    <a:pt x="548126" y="247651"/>
                  </a:lnTo>
                  <a:lnTo>
                    <a:pt x="644879" y="247651"/>
                  </a:lnTo>
                  <a:close/>
                </a:path>
              </a:pathLst>
            </a:custGeom>
            <a:grpFill/>
            <a:ln w="9525" cap="flat">
              <a:noFill/>
              <a:prstDash val="solid"/>
              <a:miter/>
            </a:ln>
          </xdr:spPr>
          <xdr:txBody>
            <a:bodyPr rtlCol="0" anchor="ctr"/>
            <a:lstStyle/>
            <a:p>
              <a:endParaRPr lang="ru-RU"/>
            </a:p>
          </xdr:txBody>
        </xdr:sp>
        <xdr:sp macro="" textlink="">
          <xdr:nvSpPr>
            <xdr:cNvPr id="105" name="Freeform: Shape 104">
              <a:extLst>
                <a:ext uri="{FF2B5EF4-FFF2-40B4-BE49-F238E27FC236}">
                  <a16:creationId xmlns:a16="http://schemas.microsoft.com/office/drawing/2014/main" id="{00000000-0008-0000-0000-000069000000}"/>
                </a:ext>
              </a:extLst>
            </xdr:cNvPr>
            <xdr:cNvSpPr/>
          </xdr:nvSpPr>
          <xdr:spPr>
            <a:xfrm>
              <a:off x="12293028" y="4476750"/>
              <a:ext cx="57150" cy="57150"/>
            </a:xfrm>
            <a:custGeom>
              <a:avLst/>
              <a:gdLst>
                <a:gd name="connsiteX0" fmla="*/ 28575 w 57150"/>
                <a:gd name="connsiteY0" fmla="*/ 57150 h 57150"/>
                <a:gd name="connsiteX1" fmla="*/ 57150 w 57150"/>
                <a:gd name="connsiteY1" fmla="*/ 28575 h 57150"/>
                <a:gd name="connsiteX2" fmla="*/ 28575 w 57150"/>
                <a:gd name="connsiteY2" fmla="*/ 0 h 57150"/>
                <a:gd name="connsiteX3" fmla="*/ 0 w 57150"/>
                <a:gd name="connsiteY3" fmla="*/ 28575 h 57150"/>
                <a:gd name="connsiteX4" fmla="*/ 28575 w 57150"/>
                <a:gd name="connsiteY4" fmla="*/ 57150 h 57150"/>
                <a:gd name="connsiteX5" fmla="*/ 28575 w 57150"/>
                <a:gd name="connsiteY5" fmla="*/ 19050 h 57150"/>
                <a:gd name="connsiteX6" fmla="*/ 38100 w 57150"/>
                <a:gd name="connsiteY6" fmla="*/ 28575 h 57150"/>
                <a:gd name="connsiteX7" fmla="*/ 28575 w 57150"/>
                <a:gd name="connsiteY7" fmla="*/ 38100 h 57150"/>
                <a:gd name="connsiteX8" fmla="*/ 19050 w 57150"/>
                <a:gd name="connsiteY8" fmla="*/ 28575 h 57150"/>
                <a:gd name="connsiteX9" fmla="*/ 28575 w 57150"/>
                <a:gd name="connsiteY9" fmla="*/ 19050 h 57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7150" h="57150">
                  <a:moveTo>
                    <a:pt x="28575" y="57150"/>
                  </a:moveTo>
                  <a:cubicBezTo>
                    <a:pt x="44356" y="57150"/>
                    <a:pt x="57150" y="44357"/>
                    <a:pt x="57150" y="28575"/>
                  </a:cubicBezTo>
                  <a:cubicBezTo>
                    <a:pt x="57150" y="12793"/>
                    <a:pt x="44356" y="0"/>
                    <a:pt x="28575" y="0"/>
                  </a:cubicBezTo>
                  <a:cubicBezTo>
                    <a:pt x="12793" y="0"/>
                    <a:pt x="0" y="12793"/>
                    <a:pt x="0" y="28575"/>
                  </a:cubicBezTo>
                  <a:cubicBezTo>
                    <a:pt x="0" y="44357"/>
                    <a:pt x="12793" y="57150"/>
                    <a:pt x="28575" y="57150"/>
                  </a:cubicBezTo>
                  <a:close/>
                  <a:moveTo>
                    <a:pt x="28575" y="19050"/>
                  </a:moveTo>
                  <a:cubicBezTo>
                    <a:pt x="33836" y="19050"/>
                    <a:pt x="38100" y="23314"/>
                    <a:pt x="38100" y="28575"/>
                  </a:cubicBezTo>
                  <a:cubicBezTo>
                    <a:pt x="38100" y="33836"/>
                    <a:pt x="33836" y="38100"/>
                    <a:pt x="28575" y="38100"/>
                  </a:cubicBezTo>
                  <a:cubicBezTo>
                    <a:pt x="23314" y="38100"/>
                    <a:pt x="19050" y="33836"/>
                    <a:pt x="19050" y="28575"/>
                  </a:cubicBezTo>
                  <a:cubicBezTo>
                    <a:pt x="19056" y="23317"/>
                    <a:pt x="23317" y="19056"/>
                    <a:pt x="28575" y="19050"/>
                  </a:cubicBezTo>
                  <a:close/>
                </a:path>
              </a:pathLst>
            </a:custGeom>
            <a:grpFill/>
            <a:ln w="9525" cap="flat">
              <a:noFill/>
              <a:prstDash val="solid"/>
              <a:miter/>
            </a:ln>
          </xdr:spPr>
          <xdr:txBody>
            <a:bodyPr rtlCol="0" anchor="ctr"/>
            <a:lstStyle/>
            <a:p>
              <a:endParaRPr lang="ru-RU"/>
            </a:p>
          </xdr:txBody>
        </xdr:sp>
      </xdr:grpSp>
      <xdr:graphicFrame macro="">
        <xdr:nvGraphicFramePr>
          <xdr:cNvPr id="79" name="Chart 78">
            <a:extLst>
              <a:ext uri="{FF2B5EF4-FFF2-40B4-BE49-F238E27FC236}">
                <a16:creationId xmlns:a16="http://schemas.microsoft.com/office/drawing/2014/main" id="{191C0DEE-BEA2-4881-AD3B-1D3D82A4C6A9}"/>
              </a:ext>
            </a:extLst>
          </xdr:cNvPr>
          <xdr:cNvGraphicFramePr>
            <a:graphicFrameLocks/>
          </xdr:cNvGraphicFramePr>
        </xdr:nvGraphicFramePr>
        <xdr:xfrm>
          <a:off x="12696290" y="121919"/>
          <a:ext cx="1004470" cy="1038935"/>
        </xdr:xfrm>
        <a:graphic>
          <a:graphicData uri="http://schemas.openxmlformats.org/drawingml/2006/chart">
            <c:chart xmlns:c="http://schemas.openxmlformats.org/drawingml/2006/chart" xmlns:r="http://schemas.openxmlformats.org/officeDocument/2006/relationships" r:id="rId25"/>
          </a:graphicData>
        </a:graphic>
      </xdr:graphicFrame>
      <xdr:sp macro="" textlink="Processing!Q27">
        <xdr:nvSpPr>
          <xdr:cNvPr id="80" name="TextBox 79">
            <a:extLst>
              <a:ext uri="{FF2B5EF4-FFF2-40B4-BE49-F238E27FC236}">
                <a16:creationId xmlns:a16="http://schemas.microsoft.com/office/drawing/2014/main" id="{AEC80A6B-AD56-456D-ABDE-6CB7FA0109BA}"/>
              </a:ext>
            </a:extLst>
          </xdr:cNvPr>
          <xdr:cNvSpPr txBox="1"/>
        </xdr:nvSpPr>
        <xdr:spPr>
          <a:xfrm>
            <a:off x="13570818" y="243840"/>
            <a:ext cx="747565"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4FF4C6-D98B-4A36-8DE4-BB3CB3F50D97}" type="TxLink">
              <a:rPr lang="en-US" sz="1200" b="0" i="0" u="none" strike="noStrike">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rPr>
              <a:pPr/>
              <a:t>Margin</a:t>
            </a:fld>
            <a:endParaRPr lang="ru-RU" sz="1400" b="0">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endParaRPr>
          </a:p>
        </xdr:txBody>
      </xdr:sp>
      <xdr:sp macro="" textlink="">
        <xdr:nvSpPr>
          <xdr:cNvPr id="82" name="TextBox 81">
            <a:extLst>
              <a:ext uri="{FF2B5EF4-FFF2-40B4-BE49-F238E27FC236}">
                <a16:creationId xmlns:a16="http://schemas.microsoft.com/office/drawing/2014/main" id="{F1F140E6-47B0-FCBA-1515-A8674D7EB487}"/>
              </a:ext>
            </a:extLst>
          </xdr:cNvPr>
          <xdr:cNvSpPr txBox="1"/>
        </xdr:nvSpPr>
        <xdr:spPr>
          <a:xfrm>
            <a:off x="11292840" y="243840"/>
            <a:ext cx="1203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rPr>
              <a:t>Net Profit</a:t>
            </a:r>
          </a:p>
        </xdr:txBody>
      </xdr:sp>
      <xdr:sp macro="" textlink="Processing!T28">
        <xdr:nvSpPr>
          <xdr:cNvPr id="97" name="TextBox 96">
            <a:extLst>
              <a:ext uri="{FF2B5EF4-FFF2-40B4-BE49-F238E27FC236}">
                <a16:creationId xmlns:a16="http://schemas.microsoft.com/office/drawing/2014/main" id="{FC8BAB48-CF38-9B53-0D55-E6B45BB7541D}"/>
              </a:ext>
            </a:extLst>
          </xdr:cNvPr>
          <xdr:cNvSpPr txBox="1"/>
        </xdr:nvSpPr>
        <xdr:spPr>
          <a:xfrm>
            <a:off x="11225022" y="960120"/>
            <a:ext cx="1324356"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C0A9F8-06EA-4EE2-AE1A-FA57D80473A8}" type="TxLink">
              <a:rPr lang="en-US" sz="1800" b="0" i="0" u="none" strike="noStrike">
                <a:solidFill>
                  <a:schemeClr val="bg1">
                    <a:alpha val="70000"/>
                  </a:schemeClr>
                </a:solidFill>
                <a:latin typeface="Calibri"/>
                <a:ea typeface="Roboto Light" panose="02000000000000000000" pitchFamily="2" charset="0"/>
                <a:cs typeface="Calibri"/>
              </a:rPr>
              <a:pPr marL="0" indent="0"/>
              <a:t> $13,37,100 </a:t>
            </a:fld>
            <a:endParaRPr lang="en-US" sz="2400" b="0" i="0" u="none" strike="noStrike">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endParaRPr>
          </a:p>
        </xdr:txBody>
      </xdr:sp>
      <xdr:sp macro="" textlink="Processing!U28">
        <xdr:nvSpPr>
          <xdr:cNvPr id="98" name="TextBox 97">
            <a:extLst>
              <a:ext uri="{FF2B5EF4-FFF2-40B4-BE49-F238E27FC236}">
                <a16:creationId xmlns:a16="http://schemas.microsoft.com/office/drawing/2014/main" id="{EEE4C73D-AF2A-107E-BBD3-81F90D5C6AD8}"/>
              </a:ext>
            </a:extLst>
          </xdr:cNvPr>
          <xdr:cNvSpPr txBox="1"/>
        </xdr:nvSpPr>
        <xdr:spPr>
          <a:xfrm>
            <a:off x="12419465" y="1043940"/>
            <a:ext cx="1602471"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BFC44F-D985-4F9C-B8C9-CDE610E680C1}" type="TxLink">
              <a:rPr lang="en-US" sz="1200" b="0" i="0" u="none" strike="noStrike">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rPr>
              <a:pPr marL="0" indent="0"/>
              <a:t>Total cach flow</a:t>
            </a:fld>
            <a:endParaRPr lang="en-US" sz="2800" b="0" i="0" u="none" strike="noStrike">
              <a:solidFill>
                <a:schemeClr val="bg1">
                  <a:alpha val="70000"/>
                </a:schemeClr>
              </a:solidFill>
              <a:latin typeface="Roboto Light" panose="02000000000000000000" pitchFamily="2" charset="0"/>
              <a:ea typeface="Roboto Light" panose="02000000000000000000" pitchFamily="2" charset="0"/>
              <a:cs typeface="Roboto Light" panose="02000000000000000000" pitchFamily="2" charset="0"/>
            </a:endParaRPr>
          </a:p>
        </xdr:txBody>
      </xdr:sp>
      <xdr:sp macro="" textlink="Processing!S27">
        <xdr:nvSpPr>
          <xdr:cNvPr id="106" name="TextBox 105">
            <a:extLst>
              <a:ext uri="{FF2B5EF4-FFF2-40B4-BE49-F238E27FC236}">
                <a16:creationId xmlns:a16="http://schemas.microsoft.com/office/drawing/2014/main" id="{CD0A50B5-36B2-C5AC-2615-945C2FD1B44C}"/>
              </a:ext>
            </a:extLst>
          </xdr:cNvPr>
          <xdr:cNvSpPr txBox="1"/>
        </xdr:nvSpPr>
        <xdr:spPr>
          <a:xfrm>
            <a:off x="12824058" y="457200"/>
            <a:ext cx="747565"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F818DD-3307-407A-8C8F-060469F540DA}" type="TxLink">
              <a:rPr lang="en-US" sz="1200" b="0" i="0" u="none" strike="noStrike">
                <a:solidFill>
                  <a:schemeClr val="bg1"/>
                </a:solidFill>
                <a:latin typeface="Calibri"/>
                <a:ea typeface="Roboto Light" panose="02000000000000000000" pitchFamily="2" charset="0"/>
                <a:cs typeface="Calibri"/>
              </a:rPr>
              <a:pPr marL="0" indent="0" algn="ctr"/>
              <a:t>15.8%</a:t>
            </a:fld>
            <a:endParaRPr lang="en-US" sz="3600" b="0" i="0" u="none" strike="noStrike">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44822</xdr:colOff>
      <xdr:row>1</xdr:row>
      <xdr:rowOff>224118</xdr:rowOff>
    </xdr:to>
    <xdr:sp macro="" textlink="">
      <xdr:nvSpPr>
        <xdr:cNvPr id="2" name="Rectangle 1">
          <a:extLst>
            <a:ext uri="{FF2B5EF4-FFF2-40B4-BE49-F238E27FC236}">
              <a16:creationId xmlns:a16="http://schemas.microsoft.com/office/drawing/2014/main" id="{1AE36F3D-7EB3-4E29-8602-0C98152A50CF}"/>
            </a:ext>
          </a:extLst>
        </xdr:cNvPr>
        <xdr:cNvSpPr/>
      </xdr:nvSpPr>
      <xdr:spPr>
        <a:xfrm>
          <a:off x="0" y="0"/>
          <a:ext cx="1667434" cy="403412"/>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367708</xdr:colOff>
      <xdr:row>0</xdr:row>
      <xdr:rowOff>53789</xdr:rowOff>
    </xdr:from>
    <xdr:to>
      <xdr:col>16</xdr:col>
      <xdr:colOff>353657</xdr:colOff>
      <xdr:row>1</xdr:row>
      <xdr:rowOff>360382</xdr:rowOff>
    </xdr:to>
    <xdr:grpSp>
      <xdr:nvGrpSpPr>
        <xdr:cNvPr id="3" name="Group 2">
          <a:hlinkClick xmlns:r="http://schemas.openxmlformats.org/officeDocument/2006/relationships" r:id="rId1"/>
          <a:extLst>
            <a:ext uri="{FF2B5EF4-FFF2-40B4-BE49-F238E27FC236}">
              <a16:creationId xmlns:a16="http://schemas.microsoft.com/office/drawing/2014/main" id="{F7269C12-4073-4F26-85ED-5D8BDB77168D}"/>
            </a:ext>
          </a:extLst>
        </xdr:cNvPr>
        <xdr:cNvGrpSpPr/>
      </xdr:nvGrpSpPr>
      <xdr:grpSpPr>
        <a:xfrm>
          <a:off x="11778658" y="53789"/>
          <a:ext cx="576499" cy="497093"/>
          <a:chOff x="12862560" y="563880"/>
          <a:chExt cx="853440" cy="701040"/>
        </a:xfrm>
      </xdr:grpSpPr>
      <xdr:sp macro="" textlink="">
        <xdr:nvSpPr>
          <xdr:cNvPr id="4" name="Rectangle 3">
            <a:extLst>
              <a:ext uri="{FF2B5EF4-FFF2-40B4-BE49-F238E27FC236}">
                <a16:creationId xmlns:a16="http://schemas.microsoft.com/office/drawing/2014/main" id="{2CB76FAE-E0BB-5E07-03D4-00723FCBD498}"/>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5" name="Graphic 4">
            <a:extLst>
              <a:ext uri="{FF2B5EF4-FFF2-40B4-BE49-F238E27FC236}">
                <a16:creationId xmlns:a16="http://schemas.microsoft.com/office/drawing/2014/main" id="{78F9AA2D-F6B0-4CDA-F311-D7706EBD781D}"/>
              </a:ext>
            </a:extLst>
          </xdr:cNvPr>
          <xdr:cNvGrpSpPr/>
        </xdr:nvGrpSpPr>
        <xdr:grpSpPr>
          <a:xfrm>
            <a:off x="12889592" y="598233"/>
            <a:ext cx="758543" cy="613199"/>
            <a:chOff x="12988652" y="613473"/>
            <a:chExt cx="758543" cy="613199"/>
          </a:xfrm>
          <a:noFill/>
        </xdr:grpSpPr>
        <xdr:sp macro="" textlink="">
          <xdr:nvSpPr>
            <xdr:cNvPr id="6" name="Freeform: Shape 5">
              <a:extLst>
                <a:ext uri="{FF2B5EF4-FFF2-40B4-BE49-F238E27FC236}">
                  <a16:creationId xmlns:a16="http://schemas.microsoft.com/office/drawing/2014/main" id="{C45A1814-30BF-7FBD-9847-3CE237F60F68}"/>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7" name="Freeform: Shape 6">
              <a:extLst>
                <a:ext uri="{FF2B5EF4-FFF2-40B4-BE49-F238E27FC236}">
                  <a16:creationId xmlns:a16="http://schemas.microsoft.com/office/drawing/2014/main" id="{38186DD7-CFF9-3186-4F6C-B3EFF7EE4E6A}"/>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2872740</xdr:colOff>
      <xdr:row>0</xdr:row>
      <xdr:rowOff>861060</xdr:rowOff>
    </xdr:from>
    <xdr:to>
      <xdr:col>3</xdr:col>
      <xdr:colOff>243840</xdr:colOff>
      <xdr:row>2</xdr:row>
      <xdr:rowOff>68580</xdr:rowOff>
    </xdr:to>
    <xdr:sp macro="" textlink="">
      <xdr:nvSpPr>
        <xdr:cNvPr id="2" name="Rectangle 1">
          <a:extLst>
            <a:ext uri="{FF2B5EF4-FFF2-40B4-BE49-F238E27FC236}">
              <a16:creationId xmlns:a16="http://schemas.microsoft.com/office/drawing/2014/main" id="{A59A98CC-8ED4-912D-3A55-879FAC3F4282}"/>
            </a:ext>
          </a:extLst>
        </xdr:cNvPr>
        <xdr:cNvSpPr/>
      </xdr:nvSpPr>
      <xdr:spPr>
        <a:xfrm>
          <a:off x="3482340" y="861060"/>
          <a:ext cx="678180" cy="289560"/>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388620</xdr:colOff>
      <xdr:row>0</xdr:row>
      <xdr:rowOff>114300</xdr:rowOff>
    </xdr:from>
    <xdr:to>
      <xdr:col>3</xdr:col>
      <xdr:colOff>3025140</xdr:colOff>
      <xdr:row>0</xdr:row>
      <xdr:rowOff>777240</xdr:rowOff>
    </xdr:to>
    <xdr:sp macro="" textlink="">
      <xdr:nvSpPr>
        <xdr:cNvPr id="3" name="Rectangle: Rounded Corners 2">
          <a:extLst>
            <a:ext uri="{FF2B5EF4-FFF2-40B4-BE49-F238E27FC236}">
              <a16:creationId xmlns:a16="http://schemas.microsoft.com/office/drawing/2014/main" id="{3B519D25-BB99-49BE-B5DE-FC0D882508B9}"/>
            </a:ext>
          </a:extLst>
        </xdr:cNvPr>
        <xdr:cNvSpPr/>
      </xdr:nvSpPr>
      <xdr:spPr>
        <a:xfrm>
          <a:off x="388620" y="114300"/>
          <a:ext cx="6553200" cy="662940"/>
        </a:xfrm>
        <a:prstGeom prst="roundRect">
          <a:avLst>
            <a:gd name="adj" fmla="val 8621"/>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bg1"/>
              </a:solidFill>
              <a:latin typeface="Roboto Light" panose="02000000000000000000" pitchFamily="2" charset="0"/>
              <a:ea typeface="Roboto Light" panose="02000000000000000000" pitchFamily="2" charset="0"/>
              <a:cs typeface="Roboto Light" panose="02000000000000000000" pitchFamily="2" charset="0"/>
            </a:rPr>
            <a:t>Make</a:t>
          </a:r>
          <a:r>
            <a:rPr lang="en-US" sz="2000"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 New Order</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11</xdr:col>
      <xdr:colOff>228600</xdr:colOff>
      <xdr:row>0</xdr:row>
      <xdr:rowOff>160020</xdr:rowOff>
    </xdr:from>
    <xdr:to>
      <xdr:col>12</xdr:col>
      <xdr:colOff>472440</xdr:colOff>
      <xdr:row>0</xdr:row>
      <xdr:rowOff>861060</xdr:rowOff>
    </xdr:to>
    <xdr:grpSp>
      <xdr:nvGrpSpPr>
        <xdr:cNvPr id="4" name="Group 3">
          <a:hlinkClick xmlns:r="http://schemas.openxmlformats.org/officeDocument/2006/relationships" r:id="rId1"/>
          <a:extLst>
            <a:ext uri="{FF2B5EF4-FFF2-40B4-BE49-F238E27FC236}">
              <a16:creationId xmlns:a16="http://schemas.microsoft.com/office/drawing/2014/main" id="{9074B8E1-105A-4731-A425-5774256466BB}"/>
            </a:ext>
          </a:extLst>
        </xdr:cNvPr>
        <xdr:cNvGrpSpPr/>
      </xdr:nvGrpSpPr>
      <xdr:grpSpPr>
        <a:xfrm>
          <a:off x="13001625" y="160020"/>
          <a:ext cx="834390" cy="701040"/>
          <a:chOff x="12862560" y="563880"/>
          <a:chExt cx="853440" cy="701040"/>
        </a:xfrm>
      </xdr:grpSpPr>
      <xdr:sp macro="" textlink="">
        <xdr:nvSpPr>
          <xdr:cNvPr id="5" name="Rectangle 4">
            <a:extLst>
              <a:ext uri="{FF2B5EF4-FFF2-40B4-BE49-F238E27FC236}">
                <a16:creationId xmlns:a16="http://schemas.microsoft.com/office/drawing/2014/main" id="{389FFCAB-7B76-73A5-945A-BDD17627BBC0}"/>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 name="Graphic 4">
            <a:extLst>
              <a:ext uri="{FF2B5EF4-FFF2-40B4-BE49-F238E27FC236}">
                <a16:creationId xmlns:a16="http://schemas.microsoft.com/office/drawing/2014/main" id="{78290893-F308-7D04-7EC0-632C17C564EC}"/>
              </a:ext>
            </a:extLst>
          </xdr:cNvPr>
          <xdr:cNvGrpSpPr/>
        </xdr:nvGrpSpPr>
        <xdr:grpSpPr>
          <a:xfrm>
            <a:off x="12889592" y="598233"/>
            <a:ext cx="758543" cy="613199"/>
            <a:chOff x="12988652" y="613473"/>
            <a:chExt cx="758543" cy="613199"/>
          </a:xfrm>
          <a:noFill/>
        </xdr:grpSpPr>
        <xdr:sp macro="" textlink="">
          <xdr:nvSpPr>
            <xdr:cNvPr id="7" name="Freeform: Shape 6">
              <a:extLst>
                <a:ext uri="{FF2B5EF4-FFF2-40B4-BE49-F238E27FC236}">
                  <a16:creationId xmlns:a16="http://schemas.microsoft.com/office/drawing/2014/main" id="{786403F0-D88E-F581-2105-438ECC105615}"/>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8" name="Freeform: Shape 7">
              <a:extLst>
                <a:ext uri="{FF2B5EF4-FFF2-40B4-BE49-F238E27FC236}">
                  <a16:creationId xmlns:a16="http://schemas.microsoft.com/office/drawing/2014/main" id="{0AD3F285-3E20-DA7E-03FA-1DCFCBDA924C}"/>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twoCellAnchor>
    <xdr:from>
      <xdr:col>5</xdr:col>
      <xdr:colOff>716280</xdr:colOff>
      <xdr:row>16</xdr:row>
      <xdr:rowOff>274320</xdr:rowOff>
    </xdr:from>
    <xdr:to>
      <xdr:col>5</xdr:col>
      <xdr:colOff>2499360</xdr:colOff>
      <xdr:row>18</xdr:row>
      <xdr:rowOff>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D1CB5F79-6C22-48EC-8F54-4F2083E7B042}"/>
            </a:ext>
          </a:extLst>
        </xdr:cNvPr>
        <xdr:cNvSpPr/>
      </xdr:nvSpPr>
      <xdr:spPr>
        <a:xfrm>
          <a:off x="7940040" y="5699760"/>
          <a:ext cx="1783080" cy="487680"/>
        </a:xfrm>
        <a:prstGeom prst="roundRect">
          <a:avLst>
            <a:gd name="adj" fmla="val 9413"/>
          </a:avLst>
        </a:prstGeom>
        <a:gradFill>
          <a:gsLst>
            <a:gs pos="100000">
              <a:srgbClr val="009A96"/>
            </a:gs>
            <a:gs pos="0">
              <a:srgbClr val="35D7C7"/>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400">
              <a:solidFill>
                <a:schemeClr val="bg1"/>
              </a:solidFill>
            </a:rPr>
            <a:t>Accept Order</a:t>
          </a:r>
          <a:endParaRPr lang="ru-RU" sz="1400" b="0" kern="1200">
            <a:solidFill>
              <a:schemeClr val="bg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3</xdr:row>
      <xdr:rowOff>114300</xdr:rowOff>
    </xdr:from>
    <xdr:to>
      <xdr:col>7</xdr:col>
      <xdr:colOff>381000</xdr:colOff>
      <xdr:row>33</xdr:row>
      <xdr:rowOff>76200</xdr:rowOff>
    </xdr:to>
    <xdr:sp macro="" textlink="">
      <xdr:nvSpPr>
        <xdr:cNvPr id="2" name="Rectangle: Rounded Corners 1">
          <a:extLst>
            <a:ext uri="{FF2B5EF4-FFF2-40B4-BE49-F238E27FC236}">
              <a16:creationId xmlns:a16="http://schemas.microsoft.com/office/drawing/2014/main" id="{211AE7CD-697D-4111-B36C-3C2330108C8D}"/>
            </a:ext>
          </a:extLst>
        </xdr:cNvPr>
        <xdr:cNvSpPr/>
      </xdr:nvSpPr>
      <xdr:spPr>
        <a:xfrm>
          <a:off x="1714500" y="662940"/>
          <a:ext cx="2933700" cy="5448300"/>
        </a:xfrm>
        <a:prstGeom prst="roundRect">
          <a:avLst>
            <a:gd name="adj" fmla="val 6491"/>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3</xdr:col>
      <xdr:colOff>405660</xdr:colOff>
      <xdr:row>12</xdr:row>
      <xdr:rowOff>121920</xdr:rowOff>
    </xdr:from>
    <xdr:to>
      <xdr:col>7</xdr:col>
      <xdr:colOff>247860</xdr:colOff>
      <xdr:row>15</xdr:row>
      <xdr:rowOff>15240</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98E2016C-A5D9-4A71-A53E-91322E0FDF9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34460" y="2316480"/>
              <a:ext cx="2280600" cy="4419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403860</xdr:colOff>
      <xdr:row>14</xdr:row>
      <xdr:rowOff>144780</xdr:rowOff>
    </xdr:from>
    <xdr:to>
      <xdr:col>7</xdr:col>
      <xdr:colOff>247860</xdr:colOff>
      <xdr:row>21</xdr:row>
      <xdr:rowOff>146220</xdr:rowOff>
    </xdr:to>
    <mc:AlternateContent xmlns:mc="http://schemas.openxmlformats.org/markup-compatibility/2006" xmlns:a14="http://schemas.microsoft.com/office/drawing/2010/main">
      <mc:Choice Requires="a14">
        <xdr:graphicFrame macro="">
          <xdr:nvGraphicFramePr>
            <xdr:cNvPr id="53" name="Month 1">
              <a:extLst>
                <a:ext uri="{FF2B5EF4-FFF2-40B4-BE49-F238E27FC236}">
                  <a16:creationId xmlns:a16="http://schemas.microsoft.com/office/drawing/2014/main" id="{8C19F666-22D3-49E6-89A5-184154D2150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32660" y="2705100"/>
              <a:ext cx="2282400" cy="12816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205740</xdr:colOff>
      <xdr:row>0</xdr:row>
      <xdr:rowOff>160020</xdr:rowOff>
    </xdr:from>
    <xdr:to>
      <xdr:col>3</xdr:col>
      <xdr:colOff>320940</xdr:colOff>
      <xdr:row>35</xdr:row>
      <xdr:rowOff>23220</xdr:rowOff>
    </xdr:to>
    <xdr:sp macro="" textlink="">
      <xdr:nvSpPr>
        <xdr:cNvPr id="3" name="Rectangle: Rounded Corners 2">
          <a:extLst>
            <a:ext uri="{FF2B5EF4-FFF2-40B4-BE49-F238E27FC236}">
              <a16:creationId xmlns:a16="http://schemas.microsoft.com/office/drawing/2014/main" id="{9CD3F245-BD0B-4878-858E-5F25A25719CD}"/>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378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4</xdr:col>
      <xdr:colOff>91440</xdr:colOff>
      <xdr:row>23</xdr:row>
      <xdr:rowOff>53340</xdr:rowOff>
    </xdr:from>
    <xdr:to>
      <xdr:col>7</xdr:col>
      <xdr:colOff>45720</xdr:colOff>
      <xdr:row>25</xdr:row>
      <xdr:rowOff>175260</xdr:rowOff>
    </xdr:to>
    <xdr:sp macro="" textlink="">
      <xdr:nvSpPr>
        <xdr:cNvPr id="104" name="Rectangle: Rounded Corners 103">
          <a:hlinkClick xmlns:r="http://schemas.openxmlformats.org/officeDocument/2006/relationships" r:id="rId1"/>
          <a:extLst>
            <a:ext uri="{FF2B5EF4-FFF2-40B4-BE49-F238E27FC236}">
              <a16:creationId xmlns:a16="http://schemas.microsoft.com/office/drawing/2014/main" id="{D07709ED-42AC-445C-85BB-AEC32FF03421}"/>
            </a:ext>
          </a:extLst>
        </xdr:cNvPr>
        <xdr:cNvSpPr/>
      </xdr:nvSpPr>
      <xdr:spPr>
        <a:xfrm>
          <a:off x="2529840" y="4259580"/>
          <a:ext cx="1783080" cy="487680"/>
        </a:xfrm>
        <a:prstGeom prst="roundRect">
          <a:avLst>
            <a:gd name="adj" fmla="val 9413"/>
          </a:avLst>
        </a:prstGeom>
        <a:gradFill>
          <a:gsLst>
            <a:gs pos="100000">
              <a:srgbClr val="009A96"/>
            </a:gs>
            <a:gs pos="0">
              <a:srgbClr val="35D7C7"/>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400">
              <a:solidFill>
                <a:schemeClr val="bg1"/>
              </a:solidFill>
            </a:rPr>
            <a:t>ADD </a:t>
          </a:r>
          <a:r>
            <a:rPr lang="en-US" sz="1400">
              <a:solidFill>
                <a:schemeClr val="bg1"/>
              </a:solidFill>
              <a:effectLst/>
              <a:latin typeface="+mn-lt"/>
              <a:ea typeface="+mn-ea"/>
              <a:cs typeface="+mn-cs"/>
            </a:rPr>
            <a:t>EMPLOYEES</a:t>
          </a:r>
          <a:endParaRPr lang="ru-RU" sz="1400" b="0" kern="1200">
            <a:solidFill>
              <a:schemeClr val="bg1"/>
            </a:solidFill>
            <a:latin typeface="+mn-lt"/>
            <a:ea typeface="+mn-ea"/>
            <a:cs typeface="+mn-cs"/>
          </a:endParaRPr>
        </a:p>
      </xdr:txBody>
    </xdr:sp>
    <xdr:clientData/>
  </xdr:twoCellAnchor>
  <xdr:twoCellAnchor>
    <xdr:from>
      <xdr:col>18</xdr:col>
      <xdr:colOff>274320</xdr:colOff>
      <xdr:row>16</xdr:row>
      <xdr:rowOff>38100</xdr:rowOff>
    </xdr:from>
    <xdr:to>
      <xdr:col>23</xdr:col>
      <xdr:colOff>38100</xdr:colOff>
      <xdr:row>24</xdr:row>
      <xdr:rowOff>38100</xdr:rowOff>
    </xdr:to>
    <xdr:sp macro="" textlink="Processing!R27">
      <xdr:nvSpPr>
        <xdr:cNvPr id="110" name="Rectangle: Rounded Corners 109">
          <a:extLst>
            <a:ext uri="{FF2B5EF4-FFF2-40B4-BE49-F238E27FC236}">
              <a16:creationId xmlns:a16="http://schemas.microsoft.com/office/drawing/2014/main" id="{EF5BE726-186A-E46C-B708-5FA1C3D2C262}"/>
            </a:ext>
          </a:extLst>
        </xdr:cNvPr>
        <xdr:cNvSpPr/>
      </xdr:nvSpPr>
      <xdr:spPr>
        <a:xfrm>
          <a:off x="11247120" y="2964180"/>
          <a:ext cx="2933700" cy="1463040"/>
        </a:xfrm>
        <a:prstGeom prst="roundRect">
          <a:avLst>
            <a:gd name="adj" fmla="val 10128"/>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EAC68D3E-E9CE-4013-9212-CC9A8AB577F3}" type="TxLink">
            <a:rPr lang="en-US" sz="2800" kern="1200">
              <a:gradFill>
                <a:gsLst>
                  <a:gs pos="100000">
                    <a:srgbClr val="009A96"/>
                  </a:gs>
                  <a:gs pos="0">
                    <a:srgbClr val="35D7C7"/>
                  </a:gs>
                </a:gsLst>
                <a:lin ang="5400000" scaled="0"/>
              </a:gradFill>
              <a:latin typeface="+mn-lt"/>
              <a:ea typeface="+mn-ea"/>
              <a:cs typeface="+mn-cs"/>
            </a:rPr>
            <a:pPr marL="0" indent="0" algn="ctr" defTabSz="914400" rtl="0" eaLnBrk="1" latinLnBrk="0" hangingPunct="1"/>
            <a:t> $2,11,611 </a:t>
          </a:fld>
          <a:endParaRPr lang="ru-RU" sz="2800" kern="1200">
            <a:gradFill>
              <a:gsLst>
                <a:gs pos="100000">
                  <a:srgbClr val="009A96"/>
                </a:gs>
                <a:gs pos="0">
                  <a:srgbClr val="35D7C7"/>
                </a:gs>
              </a:gsLst>
              <a:lin ang="5400000" scaled="0"/>
            </a:gradFill>
            <a:latin typeface="+mn-lt"/>
            <a:ea typeface="+mn-ea"/>
            <a:cs typeface="+mn-cs"/>
          </a:endParaRPr>
        </a:p>
      </xdr:txBody>
    </xdr:sp>
    <xdr:clientData/>
  </xdr:twoCellAnchor>
  <xdr:twoCellAnchor>
    <xdr:from>
      <xdr:col>18</xdr:col>
      <xdr:colOff>274320</xdr:colOff>
      <xdr:row>25</xdr:row>
      <xdr:rowOff>76200</xdr:rowOff>
    </xdr:from>
    <xdr:to>
      <xdr:col>23</xdr:col>
      <xdr:colOff>38100</xdr:colOff>
      <xdr:row>33</xdr:row>
      <xdr:rowOff>76200</xdr:rowOff>
    </xdr:to>
    <xdr:sp macro="" textlink="Processing!T29">
      <xdr:nvSpPr>
        <xdr:cNvPr id="109" name="Rectangle: Rounded Corners 108">
          <a:extLst>
            <a:ext uri="{FF2B5EF4-FFF2-40B4-BE49-F238E27FC236}">
              <a16:creationId xmlns:a16="http://schemas.microsoft.com/office/drawing/2014/main" id="{F289865A-A3C4-897B-079A-F4FF331F1D50}"/>
            </a:ext>
          </a:extLst>
        </xdr:cNvPr>
        <xdr:cNvSpPr/>
      </xdr:nvSpPr>
      <xdr:spPr>
        <a:xfrm>
          <a:off x="11247120" y="4648200"/>
          <a:ext cx="2933700" cy="1463040"/>
        </a:xfrm>
        <a:prstGeom prst="roundRect">
          <a:avLst>
            <a:gd name="adj" fmla="val 10128"/>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2C9F593F-5727-4037-962F-62A2A7E0C959}" type="TxLink">
            <a:rPr lang="en-US" sz="2800" kern="1200">
              <a:gradFill>
                <a:gsLst>
                  <a:gs pos="0">
                    <a:srgbClr val="FF0167"/>
                  </a:gs>
                  <a:gs pos="100000">
                    <a:srgbClr val="FF3A89"/>
                  </a:gs>
                </a:gsLst>
                <a:lin ang="5400000" scaled="1"/>
              </a:gradFill>
              <a:latin typeface="+mn-lt"/>
              <a:ea typeface="+mn-ea"/>
              <a:cs typeface="+mn-cs"/>
            </a:rPr>
            <a:pPr marL="0" indent="0" algn="ctr" defTabSz="914400" rtl="0" eaLnBrk="1" latinLnBrk="0" hangingPunct="1"/>
            <a:t> $11,25,489 </a:t>
          </a:fld>
          <a:endParaRPr lang="ru-RU" sz="2800" kern="1200">
            <a:gradFill>
              <a:gsLst>
                <a:gs pos="0">
                  <a:srgbClr val="FF0167"/>
                </a:gs>
                <a:gs pos="100000">
                  <a:srgbClr val="FF3A89"/>
                </a:gs>
              </a:gsLst>
              <a:lin ang="5400000" scaled="1"/>
            </a:gradFill>
            <a:latin typeface="+mn-lt"/>
            <a:ea typeface="+mn-ea"/>
            <a:cs typeface="+mn-cs"/>
          </a:endParaRPr>
        </a:p>
      </xdr:txBody>
    </xdr:sp>
    <xdr:clientData/>
  </xdr:twoCellAnchor>
  <xdr:twoCellAnchor>
    <xdr:from>
      <xdr:col>4</xdr:col>
      <xdr:colOff>91440</xdr:colOff>
      <xdr:row>26</xdr:row>
      <xdr:rowOff>160020</xdr:rowOff>
    </xdr:from>
    <xdr:to>
      <xdr:col>7</xdr:col>
      <xdr:colOff>45720</xdr:colOff>
      <xdr:row>29</xdr:row>
      <xdr:rowOff>99060</xdr:rowOff>
    </xdr:to>
    <xdr:sp macro="" textlink="">
      <xdr:nvSpPr>
        <xdr:cNvPr id="105" name="Rectangle: Rounded Corners 104">
          <a:hlinkClick xmlns:r="http://schemas.openxmlformats.org/officeDocument/2006/relationships" r:id="rId2"/>
          <a:extLst>
            <a:ext uri="{FF2B5EF4-FFF2-40B4-BE49-F238E27FC236}">
              <a16:creationId xmlns:a16="http://schemas.microsoft.com/office/drawing/2014/main" id="{12E3D806-5E7F-8C02-91DC-C0EBE1818A15}"/>
            </a:ext>
          </a:extLst>
        </xdr:cNvPr>
        <xdr:cNvSpPr/>
      </xdr:nvSpPr>
      <xdr:spPr>
        <a:xfrm>
          <a:off x="2529840" y="4914900"/>
          <a:ext cx="1783080" cy="487680"/>
        </a:xfrm>
        <a:prstGeom prst="roundRect">
          <a:avLst>
            <a:gd name="adj" fmla="val 9413"/>
          </a:avLst>
        </a:prstGeom>
        <a:gradFill>
          <a:gsLst>
            <a:gs pos="0">
              <a:srgbClr val="FF0167"/>
            </a:gs>
            <a:gs pos="100000">
              <a:srgbClr val="FF3A89"/>
            </a:gs>
          </a:gsLst>
          <a:lin ang="162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400"/>
            <a:t>FIRE EMPLOYEES</a:t>
          </a:r>
          <a:endParaRPr lang="ru-RU" sz="1400" b="0" kern="1200">
            <a:solidFill>
              <a:schemeClr val="lt1"/>
            </a:solidFill>
            <a:latin typeface="+mn-lt"/>
            <a:ea typeface="+mn-ea"/>
            <a:cs typeface="+mn-cs"/>
          </a:endParaRPr>
        </a:p>
      </xdr:txBody>
    </xdr:sp>
    <xdr:clientData/>
  </xdr:twoCellAnchor>
  <xdr:twoCellAnchor>
    <xdr:from>
      <xdr:col>18</xdr:col>
      <xdr:colOff>274320</xdr:colOff>
      <xdr:row>7</xdr:row>
      <xdr:rowOff>38100</xdr:rowOff>
    </xdr:from>
    <xdr:to>
      <xdr:col>23</xdr:col>
      <xdr:colOff>38100</xdr:colOff>
      <xdr:row>15</xdr:row>
      <xdr:rowOff>38100</xdr:rowOff>
    </xdr:to>
    <xdr:sp macro="" textlink="">
      <xdr:nvSpPr>
        <xdr:cNvPr id="107" name="Rectangle: Rounded Corners 106">
          <a:extLst>
            <a:ext uri="{FF2B5EF4-FFF2-40B4-BE49-F238E27FC236}">
              <a16:creationId xmlns:a16="http://schemas.microsoft.com/office/drawing/2014/main" id="{445AD168-B417-417E-13EA-C367DA3EBE2A}"/>
            </a:ext>
          </a:extLst>
        </xdr:cNvPr>
        <xdr:cNvSpPr/>
      </xdr:nvSpPr>
      <xdr:spPr>
        <a:xfrm>
          <a:off x="11247120" y="1318260"/>
          <a:ext cx="2933700" cy="1463040"/>
        </a:xfrm>
        <a:prstGeom prst="roundRect">
          <a:avLst>
            <a:gd name="adj" fmla="val 10128"/>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a:p>
          <a:pPr marL="0" indent="0" algn="ctr" defTabSz="914400" rtl="0" eaLnBrk="1" latinLnBrk="0" hangingPunct="1"/>
          <a:r>
            <a:rPr lang="en-US" sz="1400" kern="1200">
              <a:solidFill>
                <a:schemeClr val="bg1"/>
              </a:solidFill>
              <a:latin typeface="+mn-lt"/>
              <a:ea typeface="+mn-ea"/>
              <a:cs typeface="+mn-cs"/>
            </a:rPr>
            <a:t>SALARY</a:t>
          </a:r>
          <a:r>
            <a:rPr lang="ru-RU" sz="1400" kern="1200">
              <a:solidFill>
                <a:schemeClr val="bg1"/>
              </a:solidFill>
              <a:latin typeface="+mn-lt"/>
              <a:ea typeface="+mn-ea"/>
              <a:cs typeface="+mn-cs"/>
            </a:rPr>
            <a:t>  </a:t>
          </a:r>
          <a:r>
            <a:rPr lang="en-US" sz="1400" kern="1200">
              <a:solidFill>
                <a:schemeClr val="bg1"/>
              </a:solidFill>
              <a:latin typeface="+mn-lt"/>
              <a:ea typeface="+mn-ea"/>
              <a:cs typeface="+mn-cs"/>
            </a:rPr>
            <a:t>FUND</a:t>
          </a:r>
          <a:endParaRPr lang="ru-RU" sz="1400" kern="1200">
            <a:solidFill>
              <a:schemeClr val="bg1"/>
            </a:solidFill>
            <a:latin typeface="+mn-lt"/>
            <a:ea typeface="+mn-ea"/>
            <a:cs typeface="+mn-cs"/>
          </a:endParaRPr>
        </a:p>
      </xdr:txBody>
    </xdr:sp>
    <xdr:clientData/>
  </xdr:twoCellAnchor>
  <xdr:twoCellAnchor>
    <xdr:from>
      <xdr:col>0</xdr:col>
      <xdr:colOff>205740</xdr:colOff>
      <xdr:row>0</xdr:row>
      <xdr:rowOff>160020</xdr:rowOff>
    </xdr:from>
    <xdr:to>
      <xdr:col>3</xdr:col>
      <xdr:colOff>320940</xdr:colOff>
      <xdr:row>35</xdr:row>
      <xdr:rowOff>23220</xdr:rowOff>
    </xdr:to>
    <xdr:sp macro="" textlink="">
      <xdr:nvSpPr>
        <xdr:cNvPr id="4" name="Rectangle: Rounded Corners 3">
          <a:extLst>
            <a:ext uri="{FF2B5EF4-FFF2-40B4-BE49-F238E27FC236}">
              <a16:creationId xmlns:a16="http://schemas.microsoft.com/office/drawing/2014/main" id="{9BFA8B2C-E571-49D4-8A2F-E41989AA4AA7}"/>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205740</xdr:colOff>
      <xdr:row>9</xdr:row>
      <xdr:rowOff>144780</xdr:rowOff>
    </xdr:from>
    <xdr:to>
      <xdr:col>3</xdr:col>
      <xdr:colOff>140940</xdr:colOff>
      <xdr:row>11</xdr:row>
      <xdr:rowOff>175020</xdr:rowOff>
    </xdr:to>
    <xdr:sp macro="" textlink="">
      <xdr:nvSpPr>
        <xdr:cNvPr id="28" name="Freeform: Shape 27">
          <a:extLst>
            <a:ext uri="{FF2B5EF4-FFF2-40B4-BE49-F238E27FC236}">
              <a16:creationId xmlns:a16="http://schemas.microsoft.com/office/drawing/2014/main" id="{BB9DC486-D156-4AF7-80B7-49FF9A75AEDD}"/>
            </a:ext>
          </a:extLst>
        </xdr:cNvPr>
        <xdr:cNvSpPr/>
      </xdr:nvSpPr>
      <xdr:spPr>
        <a:xfrm>
          <a:off x="205740" y="1790700"/>
          <a:ext cx="1764000" cy="396000"/>
        </a:xfrm>
        <a:custGeom>
          <a:avLst/>
          <a:gdLst>
            <a:gd name="connsiteX0" fmla="*/ 0 w 1513634"/>
            <a:gd name="connsiteY0" fmla="*/ 0 h 365760"/>
            <a:gd name="connsiteX1" fmla="*/ 1452673 w 1513634"/>
            <a:gd name="connsiteY1" fmla="*/ 0 h 365760"/>
            <a:gd name="connsiteX2" fmla="*/ 1513634 w 1513634"/>
            <a:gd name="connsiteY2" fmla="*/ 60961 h 365760"/>
            <a:gd name="connsiteX3" fmla="*/ 1513634 w 1513634"/>
            <a:gd name="connsiteY3" fmla="*/ 304799 h 365760"/>
            <a:gd name="connsiteX4" fmla="*/ 1452673 w 1513634"/>
            <a:gd name="connsiteY4" fmla="*/ 365760 h 365760"/>
            <a:gd name="connsiteX5" fmla="*/ 0 w 1513634"/>
            <a:gd name="connsiteY5" fmla="*/ 365760 h 365760"/>
            <a:gd name="connsiteX6" fmla="*/ 0 w 1513634"/>
            <a:gd name="connsiteY6" fmla="*/ 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13634" h="365760">
              <a:moveTo>
                <a:pt x="0" y="0"/>
              </a:moveTo>
              <a:lnTo>
                <a:pt x="1452673" y="0"/>
              </a:lnTo>
              <a:cubicBezTo>
                <a:pt x="1486341" y="0"/>
                <a:pt x="1513634" y="27293"/>
                <a:pt x="1513634" y="60961"/>
              </a:cubicBezTo>
              <a:lnTo>
                <a:pt x="1513634" y="304799"/>
              </a:lnTo>
              <a:cubicBezTo>
                <a:pt x="1513634" y="338467"/>
                <a:pt x="1486341" y="365760"/>
                <a:pt x="1452673" y="365760"/>
              </a:cubicBezTo>
              <a:lnTo>
                <a:pt x="0" y="365760"/>
              </a:lnTo>
              <a:lnTo>
                <a:pt x="0" y="0"/>
              </a:lnTo>
              <a:close/>
            </a:path>
          </a:pathLst>
        </a:custGeom>
        <a:gradFill>
          <a:gsLst>
            <a:gs pos="10000">
              <a:srgbClr val="423469">
                <a:alpha val="68000"/>
              </a:srgbClr>
            </a:gs>
            <a:gs pos="100000">
              <a:srgbClr val="6D40C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23275</xdr:colOff>
      <xdr:row>7</xdr:row>
      <xdr:rowOff>12360</xdr:rowOff>
    </xdr:from>
    <xdr:to>
      <xdr:col>3</xdr:col>
      <xdr:colOff>114300</xdr:colOff>
      <xdr:row>8</xdr:row>
      <xdr:rowOff>119040</xdr:rowOff>
    </xdr:to>
    <xdr:grpSp>
      <xdr:nvGrpSpPr>
        <xdr:cNvPr id="41" name="Group 40">
          <a:hlinkClick xmlns:r="http://schemas.openxmlformats.org/officeDocument/2006/relationships" r:id="rId3"/>
          <a:extLst>
            <a:ext uri="{FF2B5EF4-FFF2-40B4-BE49-F238E27FC236}">
              <a16:creationId xmlns:a16="http://schemas.microsoft.com/office/drawing/2014/main" id="{A7BD1C6D-234E-14DE-84DA-CA72F39F1CEC}"/>
            </a:ext>
          </a:extLst>
        </xdr:cNvPr>
        <xdr:cNvGrpSpPr/>
      </xdr:nvGrpSpPr>
      <xdr:grpSpPr>
        <a:xfrm>
          <a:off x="615942" y="1314110"/>
          <a:ext cx="1276358" cy="286597"/>
          <a:chOff x="632875" y="1292520"/>
          <a:chExt cx="1310225" cy="289560"/>
        </a:xfrm>
      </xdr:grpSpPr>
      <xdr:grpSp>
        <xdr:nvGrpSpPr>
          <xdr:cNvPr id="29" name="Group 28">
            <a:extLst>
              <a:ext uri="{FF2B5EF4-FFF2-40B4-BE49-F238E27FC236}">
                <a16:creationId xmlns:a16="http://schemas.microsoft.com/office/drawing/2014/main" id="{43757D84-EE62-42A8-8117-49C32ECD1A4C}"/>
              </a:ext>
            </a:extLst>
          </xdr:cNvPr>
          <xdr:cNvGrpSpPr/>
        </xdr:nvGrpSpPr>
        <xdr:grpSpPr>
          <a:xfrm>
            <a:off x="632875" y="1365300"/>
            <a:ext cx="144000" cy="144000"/>
            <a:chOff x="2444621" y="737119"/>
            <a:chExt cx="4413380" cy="4413380"/>
          </a:xfrm>
        </xdr:grpSpPr>
        <xdr:sp macro="" textlink="">
          <xdr:nvSpPr>
            <xdr:cNvPr id="30" name="Rectangle: Rounded Corners 29">
              <a:extLst>
                <a:ext uri="{FF2B5EF4-FFF2-40B4-BE49-F238E27FC236}">
                  <a16:creationId xmlns:a16="http://schemas.microsoft.com/office/drawing/2014/main" id="{B6870EB6-ABBB-452B-F40D-F8DF08F44DF4}"/>
                </a:ext>
              </a:extLst>
            </xdr:cNvPr>
            <xdr:cNvSpPr/>
          </xdr:nvSpPr>
          <xdr:spPr>
            <a:xfrm>
              <a:off x="2444621" y="737119"/>
              <a:ext cx="4413380" cy="441338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1" name="Rectangle 30">
              <a:extLst>
                <a:ext uri="{FF2B5EF4-FFF2-40B4-BE49-F238E27FC236}">
                  <a16:creationId xmlns:a16="http://schemas.microsoft.com/office/drawing/2014/main" id="{15FDF3B9-B72E-D977-55CE-DE8F44005052}"/>
                </a:ext>
              </a:extLst>
            </xdr:cNvPr>
            <xdr:cNvSpPr/>
          </xdr:nvSpPr>
          <xdr:spPr>
            <a:xfrm>
              <a:off x="3172408" y="2649894"/>
              <a:ext cx="774441" cy="20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Rectangle 31">
              <a:extLst>
                <a:ext uri="{FF2B5EF4-FFF2-40B4-BE49-F238E27FC236}">
                  <a16:creationId xmlns:a16="http://schemas.microsoft.com/office/drawing/2014/main" id="{BD634ABD-E200-D14D-254B-7A6ED8C2BB13}"/>
                </a:ext>
              </a:extLst>
            </xdr:cNvPr>
            <xdr:cNvSpPr/>
          </xdr:nvSpPr>
          <xdr:spPr>
            <a:xfrm>
              <a:off x="4264090" y="1306286"/>
              <a:ext cx="774441" cy="33956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32">
              <a:extLst>
                <a:ext uri="{FF2B5EF4-FFF2-40B4-BE49-F238E27FC236}">
                  <a16:creationId xmlns:a16="http://schemas.microsoft.com/office/drawing/2014/main" id="{5551B95C-3753-2C50-B4B2-6D7936A59664}"/>
                </a:ext>
              </a:extLst>
            </xdr:cNvPr>
            <xdr:cNvSpPr/>
          </xdr:nvSpPr>
          <xdr:spPr>
            <a:xfrm>
              <a:off x="5379097" y="3312366"/>
              <a:ext cx="774441" cy="1389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34" name="TextBox 33">
            <a:extLst>
              <a:ext uri="{FF2B5EF4-FFF2-40B4-BE49-F238E27FC236}">
                <a16:creationId xmlns:a16="http://schemas.microsoft.com/office/drawing/2014/main" id="{3FF92D4B-9832-4163-B1E3-E1A80932B8D3}"/>
              </a:ext>
            </a:extLst>
          </xdr:cNvPr>
          <xdr:cNvSpPr txBox="1"/>
        </xdr:nvSpPr>
        <xdr:spPr>
          <a:xfrm>
            <a:off x="861060" y="1292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rPr>
              <a:t>Dashboard</a:t>
            </a:r>
            <a:endParaRPr lang="ru-RU" sz="1200">
              <a:solidFill>
                <a:schemeClr val="bg1"/>
              </a:solidFill>
              <a:latin typeface="+mn-lt"/>
            </a:endParaRPr>
          </a:p>
        </xdr:txBody>
      </xdr:sp>
    </xdr:grpSp>
    <xdr:clientData/>
  </xdr:twoCellAnchor>
  <xdr:twoCellAnchor>
    <xdr:from>
      <xdr:col>1</xdr:col>
      <xdr:colOff>251460</xdr:colOff>
      <xdr:row>10</xdr:row>
      <xdr:rowOff>2835</xdr:rowOff>
    </xdr:from>
    <xdr:to>
      <xdr:col>3</xdr:col>
      <xdr:colOff>114300</xdr:colOff>
      <xdr:row>11</xdr:row>
      <xdr:rowOff>109515</xdr:rowOff>
    </xdr:to>
    <xdr:sp macro="" textlink="">
      <xdr:nvSpPr>
        <xdr:cNvPr id="35" name="TextBox 34">
          <a:extLst>
            <a:ext uri="{FF2B5EF4-FFF2-40B4-BE49-F238E27FC236}">
              <a16:creationId xmlns:a16="http://schemas.microsoft.com/office/drawing/2014/main" id="{79E0C77D-2D31-4BFD-9B6E-ABE89B256992}"/>
            </a:ext>
          </a:extLst>
        </xdr:cNvPr>
        <xdr:cNvSpPr txBox="1"/>
      </xdr:nvSpPr>
      <xdr:spPr>
        <a:xfrm>
          <a:off x="861060" y="183163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Personnel</a:t>
          </a:r>
          <a:endParaRPr lang="ru-RU" sz="1200">
            <a:solidFill>
              <a:schemeClr val="bg1"/>
            </a:solidFill>
            <a:latin typeface="+mn-lt"/>
          </a:endParaRPr>
        </a:p>
      </xdr:txBody>
    </xdr:sp>
    <xdr:clientData/>
  </xdr:twoCellAnchor>
  <xdr:twoCellAnchor editAs="oneCell">
    <xdr:from>
      <xdr:col>0</xdr:col>
      <xdr:colOff>596875</xdr:colOff>
      <xdr:row>10</xdr:row>
      <xdr:rowOff>50910</xdr:rowOff>
    </xdr:from>
    <xdr:to>
      <xdr:col>1</xdr:col>
      <xdr:colOff>203275</xdr:colOff>
      <xdr:row>11</xdr:row>
      <xdr:rowOff>84030</xdr:rowOff>
    </xdr:to>
    <xdr:pic>
      <xdr:nvPicPr>
        <xdr:cNvPr id="38" name="Graphic 37" descr="User with solid fill">
          <a:extLst>
            <a:ext uri="{FF2B5EF4-FFF2-40B4-BE49-F238E27FC236}">
              <a16:creationId xmlns:a16="http://schemas.microsoft.com/office/drawing/2014/main" id="{B133056A-6E14-43D3-ACD3-CDC5176CC20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96875" y="1879710"/>
          <a:ext cx="216000" cy="216000"/>
        </a:xfrm>
        <a:prstGeom prst="rect">
          <a:avLst/>
        </a:prstGeom>
      </xdr:spPr>
    </xdr:pic>
    <xdr:clientData/>
  </xdr:twoCellAnchor>
  <xdr:twoCellAnchor>
    <xdr:from>
      <xdr:col>0</xdr:col>
      <xdr:colOff>578875</xdr:colOff>
      <xdr:row>12</xdr:row>
      <xdr:rowOff>176190</xdr:rowOff>
    </xdr:from>
    <xdr:to>
      <xdr:col>3</xdr:col>
      <xdr:colOff>114300</xdr:colOff>
      <xdr:row>14</xdr:row>
      <xdr:rowOff>99990</xdr:rowOff>
    </xdr:to>
    <xdr:grpSp>
      <xdr:nvGrpSpPr>
        <xdr:cNvPr id="42" name="Group 41">
          <a:hlinkClick xmlns:r="http://schemas.openxmlformats.org/officeDocument/2006/relationships" r:id="rId6"/>
          <a:extLst>
            <a:ext uri="{FF2B5EF4-FFF2-40B4-BE49-F238E27FC236}">
              <a16:creationId xmlns:a16="http://schemas.microsoft.com/office/drawing/2014/main" id="{64A6C4BE-AD4A-AC12-AE18-49B1085B9483}"/>
            </a:ext>
          </a:extLst>
        </xdr:cNvPr>
        <xdr:cNvGrpSpPr/>
      </xdr:nvGrpSpPr>
      <xdr:grpSpPr>
        <a:xfrm>
          <a:off x="578875" y="2377523"/>
          <a:ext cx="1313425" cy="283634"/>
          <a:chOff x="578875" y="2370750"/>
          <a:chExt cx="1364225" cy="289560"/>
        </a:xfrm>
      </xdr:grpSpPr>
      <xdr:sp macro="" textlink="">
        <xdr:nvSpPr>
          <xdr:cNvPr id="36" name="TextBox 35">
            <a:extLst>
              <a:ext uri="{FF2B5EF4-FFF2-40B4-BE49-F238E27FC236}">
                <a16:creationId xmlns:a16="http://schemas.microsoft.com/office/drawing/2014/main" id="{41032D48-2BBE-40D3-899A-6ECE542F117C}"/>
              </a:ext>
            </a:extLst>
          </xdr:cNvPr>
          <xdr:cNvSpPr txBox="1"/>
        </xdr:nvSpPr>
        <xdr:spPr>
          <a:xfrm>
            <a:off x="861060" y="237075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Settings</a:t>
            </a:r>
            <a:endParaRPr lang="ru-RU" sz="1200">
              <a:solidFill>
                <a:schemeClr val="bg1"/>
              </a:solidFill>
              <a:latin typeface="+mn-lt"/>
            </a:endParaRPr>
          </a:p>
        </xdr:txBody>
      </xdr:sp>
      <xdr:pic>
        <xdr:nvPicPr>
          <xdr:cNvPr id="39" name="Graphic 38" descr="Single gear with solid fill">
            <a:extLst>
              <a:ext uri="{FF2B5EF4-FFF2-40B4-BE49-F238E27FC236}">
                <a16:creationId xmlns:a16="http://schemas.microsoft.com/office/drawing/2014/main" id="{924C45FB-6EDE-4BDC-8399-EB2A9799E1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78875" y="2405160"/>
            <a:ext cx="252000" cy="252000"/>
          </a:xfrm>
          <a:prstGeom prst="rect">
            <a:avLst/>
          </a:prstGeom>
        </xdr:spPr>
      </xdr:pic>
    </xdr:grpSp>
    <xdr:clientData/>
  </xdr:twoCellAnchor>
  <xdr:twoCellAnchor>
    <xdr:from>
      <xdr:col>0</xdr:col>
      <xdr:colOff>578875</xdr:colOff>
      <xdr:row>15</xdr:row>
      <xdr:rowOff>166665</xdr:rowOff>
    </xdr:from>
    <xdr:to>
      <xdr:col>3</xdr:col>
      <xdr:colOff>114300</xdr:colOff>
      <xdr:row>17</xdr:row>
      <xdr:rowOff>90465</xdr:rowOff>
    </xdr:to>
    <xdr:grpSp>
      <xdr:nvGrpSpPr>
        <xdr:cNvPr id="43" name="Group 42">
          <a:hlinkClick xmlns:r="http://schemas.openxmlformats.org/officeDocument/2006/relationships" r:id="rId9"/>
          <a:extLst>
            <a:ext uri="{FF2B5EF4-FFF2-40B4-BE49-F238E27FC236}">
              <a16:creationId xmlns:a16="http://schemas.microsoft.com/office/drawing/2014/main" id="{3326B126-705E-3797-AB20-6C1FACCAA537}"/>
            </a:ext>
          </a:extLst>
        </xdr:cNvPr>
        <xdr:cNvGrpSpPr/>
      </xdr:nvGrpSpPr>
      <xdr:grpSpPr>
        <a:xfrm>
          <a:off x="578875" y="2907748"/>
          <a:ext cx="1313425" cy="283634"/>
          <a:chOff x="578875" y="2909865"/>
          <a:chExt cx="1364225" cy="289560"/>
        </a:xfrm>
      </xdr:grpSpPr>
      <xdr:sp macro="" textlink="">
        <xdr:nvSpPr>
          <xdr:cNvPr id="37" name="TextBox 36">
            <a:extLst>
              <a:ext uri="{FF2B5EF4-FFF2-40B4-BE49-F238E27FC236}">
                <a16:creationId xmlns:a16="http://schemas.microsoft.com/office/drawing/2014/main" id="{77755F5F-662E-406A-83FF-25B27BBAB4ED}"/>
              </a:ext>
            </a:extLst>
          </xdr:cNvPr>
          <xdr:cNvSpPr txBox="1"/>
        </xdr:nvSpPr>
        <xdr:spPr>
          <a:xfrm>
            <a:off x="861060" y="290986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Today</a:t>
            </a:r>
            <a:endParaRPr lang="ru-RU" sz="1200">
              <a:solidFill>
                <a:schemeClr val="bg1"/>
              </a:solidFill>
              <a:latin typeface="+mn-lt"/>
            </a:endParaRPr>
          </a:p>
        </xdr:txBody>
      </xdr:sp>
      <xdr:pic>
        <xdr:nvPicPr>
          <xdr:cNvPr id="40" name="Graphic 39" descr="Daily calendar with solid fill">
            <a:extLst>
              <a:ext uri="{FF2B5EF4-FFF2-40B4-BE49-F238E27FC236}">
                <a16:creationId xmlns:a16="http://schemas.microsoft.com/office/drawing/2014/main" id="{ADA8B374-5D8B-48C2-A4DF-6D241E82504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78875" y="2943750"/>
            <a:ext cx="252000" cy="252000"/>
          </a:xfrm>
          <a:prstGeom prst="rect">
            <a:avLst/>
          </a:prstGeom>
        </xdr:spPr>
      </xdr:pic>
    </xdr:grpSp>
    <xdr:clientData/>
  </xdr:twoCellAnchor>
  <xdr:twoCellAnchor>
    <xdr:from>
      <xdr:col>23</xdr:col>
      <xdr:colOff>0</xdr:colOff>
      <xdr:row>0</xdr:row>
      <xdr:rowOff>0</xdr:rowOff>
    </xdr:from>
    <xdr:to>
      <xdr:col>25</xdr:col>
      <xdr:colOff>251460</xdr:colOff>
      <xdr:row>34</xdr:row>
      <xdr:rowOff>137160</xdr:rowOff>
    </xdr:to>
    <xdr:grpSp>
      <xdr:nvGrpSpPr>
        <xdr:cNvPr id="44" name="Group 43">
          <a:extLst>
            <a:ext uri="{FF2B5EF4-FFF2-40B4-BE49-F238E27FC236}">
              <a16:creationId xmlns:a16="http://schemas.microsoft.com/office/drawing/2014/main" id="{DDA6D79E-926B-4B50-88C6-D267C5D394D0}"/>
            </a:ext>
          </a:extLst>
        </xdr:cNvPr>
        <xdr:cNvGrpSpPr/>
      </xdr:nvGrpSpPr>
      <xdr:grpSpPr>
        <a:xfrm>
          <a:off x="13758333" y="0"/>
          <a:ext cx="1436794" cy="6296660"/>
          <a:chOff x="14142720" y="0"/>
          <a:chExt cx="1470660" cy="6355080"/>
        </a:xfrm>
      </xdr:grpSpPr>
      <xdr:sp macro="" textlink="">
        <xdr:nvSpPr>
          <xdr:cNvPr id="45" name="Rectangle 44">
            <a:extLst>
              <a:ext uri="{FF2B5EF4-FFF2-40B4-BE49-F238E27FC236}">
                <a16:creationId xmlns:a16="http://schemas.microsoft.com/office/drawing/2014/main" id="{8D6BE3C1-9835-EEFE-D624-19ED77AC28A6}"/>
              </a:ext>
            </a:extLst>
          </xdr:cNvPr>
          <xdr:cNvSpPr/>
        </xdr:nvSpPr>
        <xdr:spPr>
          <a:xfrm>
            <a:off x="14142720" y="342900"/>
            <a:ext cx="1470660" cy="6012180"/>
          </a:xfrm>
          <a:prstGeom prst="rect">
            <a:avLst/>
          </a:prstGeom>
          <a:solidFill>
            <a:srgbClr val="7F7F7F"/>
          </a:solidFill>
          <a:ln>
            <a:noFill/>
          </a:ln>
          <a:effectLst>
            <a:outerShdw blurRad="152400" dist="444500" dir="13200000" sx="96000" sy="96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
        <xdr:nvSpPr>
          <xdr:cNvPr id="46" name="Rectangle 45">
            <a:extLst>
              <a:ext uri="{FF2B5EF4-FFF2-40B4-BE49-F238E27FC236}">
                <a16:creationId xmlns:a16="http://schemas.microsoft.com/office/drawing/2014/main" id="{CF891966-D59A-83C2-4EA8-61AB7D121814}"/>
              </a:ext>
            </a:extLst>
          </xdr:cNvPr>
          <xdr:cNvSpPr/>
        </xdr:nvSpPr>
        <xdr:spPr>
          <a:xfrm>
            <a:off x="14142720" y="0"/>
            <a:ext cx="1470660" cy="533400"/>
          </a:xfrm>
          <a:prstGeom prst="rect">
            <a:avLst/>
          </a:prstGeom>
          <a:solidFill>
            <a:srgbClr val="7F7F7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grpSp>
    <xdr:clientData/>
  </xdr:twoCellAnchor>
  <xdr:twoCellAnchor>
    <xdr:from>
      <xdr:col>0</xdr:col>
      <xdr:colOff>569100</xdr:colOff>
      <xdr:row>29</xdr:row>
      <xdr:rowOff>180000</xdr:rowOff>
    </xdr:from>
    <xdr:to>
      <xdr:col>3</xdr:col>
      <xdr:colOff>114300</xdr:colOff>
      <xdr:row>31</xdr:row>
      <xdr:rowOff>103800</xdr:rowOff>
    </xdr:to>
    <xdr:grpSp>
      <xdr:nvGrpSpPr>
        <xdr:cNvPr id="6" name="Group 5">
          <a:hlinkClick xmlns:r="http://schemas.openxmlformats.org/officeDocument/2006/relationships" r:id="rId12"/>
          <a:extLst>
            <a:ext uri="{FF2B5EF4-FFF2-40B4-BE49-F238E27FC236}">
              <a16:creationId xmlns:a16="http://schemas.microsoft.com/office/drawing/2014/main" id="{B0BC147B-2B32-254B-6E98-6CA59A3EED66}"/>
            </a:ext>
          </a:extLst>
        </xdr:cNvPr>
        <xdr:cNvGrpSpPr/>
      </xdr:nvGrpSpPr>
      <xdr:grpSpPr>
        <a:xfrm>
          <a:off x="569100" y="5439917"/>
          <a:ext cx="1323200" cy="283633"/>
          <a:chOff x="569100" y="5483520"/>
          <a:chExt cx="1374000" cy="289560"/>
        </a:xfrm>
      </xdr:grpSpPr>
      <xdr:sp macro="" textlink="">
        <xdr:nvSpPr>
          <xdr:cNvPr id="66" name="TextBox 65">
            <a:extLst>
              <a:ext uri="{FF2B5EF4-FFF2-40B4-BE49-F238E27FC236}">
                <a16:creationId xmlns:a16="http://schemas.microsoft.com/office/drawing/2014/main" id="{6692E383-9F00-4F74-BBB7-4C9416778408}"/>
              </a:ext>
            </a:extLst>
          </xdr:cNvPr>
          <xdr:cNvSpPr txBox="1"/>
        </xdr:nvSpPr>
        <xdr:spPr>
          <a:xfrm>
            <a:off x="861060" y="5483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Help</a:t>
            </a:r>
            <a:endParaRPr lang="ru-RU" sz="1400">
              <a:solidFill>
                <a:schemeClr val="bg1">
                  <a:lumMod val="85000"/>
                </a:schemeClr>
              </a:solidFill>
              <a:latin typeface="+mn-lt"/>
            </a:endParaRPr>
          </a:p>
        </xdr:txBody>
      </xdr:sp>
      <xdr:pic>
        <xdr:nvPicPr>
          <xdr:cNvPr id="67" name="Graphic 66" descr="Help outline">
            <a:extLst>
              <a:ext uri="{FF2B5EF4-FFF2-40B4-BE49-F238E27FC236}">
                <a16:creationId xmlns:a16="http://schemas.microsoft.com/office/drawing/2014/main" id="{D8B92275-6B66-48F6-A3D4-4324A522908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9100" y="5501640"/>
            <a:ext cx="216000" cy="216000"/>
          </a:xfrm>
          <a:prstGeom prst="rect">
            <a:avLst/>
          </a:prstGeom>
        </xdr:spPr>
      </xdr:pic>
    </xdr:grpSp>
    <xdr:clientData/>
  </xdr:twoCellAnchor>
  <xdr:twoCellAnchor>
    <xdr:from>
      <xdr:col>0</xdr:col>
      <xdr:colOff>569100</xdr:colOff>
      <xdr:row>31</xdr:row>
      <xdr:rowOff>180000</xdr:rowOff>
    </xdr:from>
    <xdr:to>
      <xdr:col>3</xdr:col>
      <xdr:colOff>114300</xdr:colOff>
      <xdr:row>33</xdr:row>
      <xdr:rowOff>103800</xdr:rowOff>
    </xdr:to>
    <xdr:grpSp>
      <xdr:nvGrpSpPr>
        <xdr:cNvPr id="7" name="Group 6">
          <a:hlinkClick xmlns:r="http://schemas.openxmlformats.org/officeDocument/2006/relationships" r:id="rId12"/>
          <a:extLst>
            <a:ext uri="{FF2B5EF4-FFF2-40B4-BE49-F238E27FC236}">
              <a16:creationId xmlns:a16="http://schemas.microsoft.com/office/drawing/2014/main" id="{E075D95C-43CC-9731-911C-4E5B273B502A}"/>
            </a:ext>
          </a:extLst>
        </xdr:cNvPr>
        <xdr:cNvGrpSpPr/>
      </xdr:nvGrpSpPr>
      <xdr:grpSpPr>
        <a:xfrm>
          <a:off x="569100" y="5799750"/>
          <a:ext cx="1323200" cy="283633"/>
          <a:chOff x="569100" y="5849280"/>
          <a:chExt cx="1374000" cy="289560"/>
        </a:xfrm>
      </xdr:grpSpPr>
      <xdr:sp macro="" textlink="">
        <xdr:nvSpPr>
          <xdr:cNvPr id="65" name="TextBox 64">
            <a:extLst>
              <a:ext uri="{FF2B5EF4-FFF2-40B4-BE49-F238E27FC236}">
                <a16:creationId xmlns:a16="http://schemas.microsoft.com/office/drawing/2014/main" id="{C8F7BDED-3E37-47D1-BBBF-71F0EAFAB831}"/>
              </a:ext>
            </a:extLst>
          </xdr:cNvPr>
          <xdr:cNvSpPr txBox="1"/>
        </xdr:nvSpPr>
        <xdr:spPr>
          <a:xfrm>
            <a:off x="861060" y="58492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About Project</a:t>
            </a:r>
            <a:endParaRPr lang="ru-RU" sz="1400">
              <a:solidFill>
                <a:schemeClr val="bg1">
                  <a:lumMod val="85000"/>
                </a:schemeClr>
              </a:solidFill>
              <a:latin typeface="+mn-lt"/>
            </a:endParaRPr>
          </a:p>
        </xdr:txBody>
      </xdr:sp>
      <xdr:pic>
        <xdr:nvPicPr>
          <xdr:cNvPr id="68" name="Graphic 67" descr="Information outline">
            <a:extLst>
              <a:ext uri="{FF2B5EF4-FFF2-40B4-BE49-F238E27FC236}">
                <a16:creationId xmlns:a16="http://schemas.microsoft.com/office/drawing/2014/main" id="{BAF57051-4E1A-4E5E-B76D-962185BB6EF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69100" y="5875020"/>
            <a:ext cx="216000" cy="216000"/>
          </a:xfrm>
          <a:prstGeom prst="rect">
            <a:avLst/>
          </a:prstGeom>
        </xdr:spPr>
      </xdr:pic>
    </xdr:grpSp>
    <xdr:clientData/>
  </xdr:twoCellAnchor>
  <xdr:twoCellAnchor>
    <xdr:from>
      <xdr:col>0</xdr:col>
      <xdr:colOff>578875</xdr:colOff>
      <xdr:row>18</xdr:row>
      <xdr:rowOff>157140</xdr:rowOff>
    </xdr:from>
    <xdr:to>
      <xdr:col>3</xdr:col>
      <xdr:colOff>114300</xdr:colOff>
      <xdr:row>20</xdr:row>
      <xdr:rowOff>80940</xdr:rowOff>
    </xdr:to>
    <xdr:grpSp>
      <xdr:nvGrpSpPr>
        <xdr:cNvPr id="47" name="Group 46">
          <a:hlinkClick xmlns:r="http://schemas.openxmlformats.org/officeDocument/2006/relationships" r:id="rId17"/>
          <a:extLst>
            <a:ext uri="{FF2B5EF4-FFF2-40B4-BE49-F238E27FC236}">
              <a16:creationId xmlns:a16="http://schemas.microsoft.com/office/drawing/2014/main" id="{055C2E8E-3ADA-21BB-4C56-CD27114997F7}"/>
            </a:ext>
          </a:extLst>
        </xdr:cNvPr>
        <xdr:cNvGrpSpPr/>
      </xdr:nvGrpSpPr>
      <xdr:grpSpPr>
        <a:xfrm>
          <a:off x="578875" y="3437973"/>
          <a:ext cx="1313425" cy="283634"/>
          <a:chOff x="578875" y="3448980"/>
          <a:chExt cx="1364225" cy="289560"/>
        </a:xfrm>
      </xdr:grpSpPr>
      <xdr:pic>
        <xdr:nvPicPr>
          <xdr:cNvPr id="75" name="Graphic 74" descr="Database with solid fill">
            <a:extLst>
              <a:ext uri="{FF2B5EF4-FFF2-40B4-BE49-F238E27FC236}">
                <a16:creationId xmlns:a16="http://schemas.microsoft.com/office/drawing/2014/main" id="{EE47AF6D-86BA-423D-A3FF-A17993348FE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78875" y="3474720"/>
            <a:ext cx="252000" cy="252000"/>
          </a:xfrm>
          <a:prstGeom prst="rect">
            <a:avLst/>
          </a:prstGeom>
        </xdr:spPr>
      </xdr:pic>
      <xdr:sp macro="" textlink="">
        <xdr:nvSpPr>
          <xdr:cNvPr id="76" name="TextBox 75">
            <a:extLst>
              <a:ext uri="{FF2B5EF4-FFF2-40B4-BE49-F238E27FC236}">
                <a16:creationId xmlns:a16="http://schemas.microsoft.com/office/drawing/2014/main" id="{4AA4114D-AA95-40F5-BBEB-63955066922D}"/>
              </a:ext>
            </a:extLst>
          </xdr:cNvPr>
          <xdr:cNvSpPr txBox="1"/>
        </xdr:nvSpPr>
        <xdr:spPr>
          <a:xfrm>
            <a:off x="861060" y="34489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Data</a:t>
            </a:r>
            <a:endParaRPr lang="ru-RU" sz="1200">
              <a:solidFill>
                <a:schemeClr val="bg1"/>
              </a:solidFill>
              <a:latin typeface="+mn-lt"/>
            </a:endParaRPr>
          </a:p>
        </xdr:txBody>
      </xdr:sp>
    </xdr:grpSp>
    <xdr:clientData/>
  </xdr:twoCellAnchor>
  <xdr:twoCellAnchor>
    <xdr:from>
      <xdr:col>19</xdr:col>
      <xdr:colOff>198120</xdr:colOff>
      <xdr:row>32</xdr:row>
      <xdr:rowOff>38100</xdr:rowOff>
    </xdr:from>
    <xdr:to>
      <xdr:col>23</xdr:col>
      <xdr:colOff>182880</xdr:colOff>
      <xdr:row>35</xdr:row>
      <xdr:rowOff>91800</xdr:rowOff>
    </xdr:to>
    <xdr:grpSp>
      <xdr:nvGrpSpPr>
        <xdr:cNvPr id="78" name="Group 77">
          <a:hlinkClick xmlns:r="http://schemas.openxmlformats.org/officeDocument/2006/relationships" r:id="rId20"/>
          <a:extLst>
            <a:ext uri="{FF2B5EF4-FFF2-40B4-BE49-F238E27FC236}">
              <a16:creationId xmlns:a16="http://schemas.microsoft.com/office/drawing/2014/main" id="{59E25EF1-E0A7-4D58-8C91-3E33AD41F84D}"/>
            </a:ext>
          </a:extLst>
        </xdr:cNvPr>
        <xdr:cNvGrpSpPr/>
      </xdr:nvGrpSpPr>
      <xdr:grpSpPr>
        <a:xfrm>
          <a:off x="11458787" y="5837767"/>
          <a:ext cx="2482426" cy="593450"/>
          <a:chOff x="12001500" y="5798820"/>
          <a:chExt cx="2430780" cy="602340"/>
        </a:xfrm>
      </xdr:grpSpPr>
      <xdr:sp macro="" textlink="">
        <xdr:nvSpPr>
          <xdr:cNvPr id="79" name="Rectangle: Rounded Corners 78">
            <a:extLst>
              <a:ext uri="{FF2B5EF4-FFF2-40B4-BE49-F238E27FC236}">
                <a16:creationId xmlns:a16="http://schemas.microsoft.com/office/drawing/2014/main" id="{1812C909-73E7-325D-D7CA-CBDA4AE66114}"/>
              </a:ext>
            </a:extLst>
          </xdr:cNvPr>
          <xdr:cNvSpPr/>
        </xdr:nvSpPr>
        <xdr:spPr>
          <a:xfrm>
            <a:off x="12001500" y="5798820"/>
            <a:ext cx="2430780" cy="602340"/>
          </a:xfrm>
          <a:prstGeom prst="roundRect">
            <a:avLst>
              <a:gd name="adj" fmla="val 18499"/>
            </a:avLst>
          </a:prstGeom>
          <a:solidFill>
            <a:srgbClr val="091A2C"/>
          </a:solidFill>
          <a:ln>
            <a:noFill/>
          </a:ln>
          <a:effectLst>
            <a:outerShdw blurRad="152400" dist="254000" dir="8160000" sx="102000" sy="102000" algn="br"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n-lt"/>
                <a:ea typeface="+mn-ea"/>
                <a:cs typeface="+mn-cs"/>
              </a:rPr>
              <a:t>More Details</a:t>
            </a:r>
            <a:endParaRPr lang="ru-RU" sz="1400">
              <a:effectLst/>
            </a:endParaRPr>
          </a:p>
        </xdr:txBody>
      </xdr:sp>
      <xdr:sp macro="" textlink="">
        <xdr:nvSpPr>
          <xdr:cNvPr id="80" name="Rectangle: Rounded Corners 79">
            <a:extLst>
              <a:ext uri="{FF2B5EF4-FFF2-40B4-BE49-F238E27FC236}">
                <a16:creationId xmlns:a16="http://schemas.microsoft.com/office/drawing/2014/main" id="{7D5EF93B-3F25-3761-B5A5-03A5F4E00301}"/>
              </a:ext>
            </a:extLst>
          </xdr:cNvPr>
          <xdr:cNvSpPr/>
        </xdr:nvSpPr>
        <xdr:spPr>
          <a:xfrm>
            <a:off x="12001500" y="5798820"/>
            <a:ext cx="2430780" cy="602340"/>
          </a:xfrm>
          <a:prstGeom prst="roundRect">
            <a:avLst>
              <a:gd name="adj" fmla="val 18499"/>
            </a:avLst>
          </a:prstGeom>
          <a:solidFill>
            <a:srgbClr val="091A2C"/>
          </a:solidFill>
          <a:ln>
            <a:noFill/>
          </a:ln>
          <a:effectLst>
            <a:outerShdw blurRad="152400" dist="330200" dir="13200000" sx="101000" sy="101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a:solidFill>
                  <a:schemeClr val="lt1"/>
                </a:solidFill>
                <a:effectLst/>
                <a:latin typeface="+mn-lt"/>
                <a:ea typeface="+mn-ea"/>
                <a:cs typeface="+mn-cs"/>
              </a:rPr>
              <a:t>More Details</a:t>
            </a:r>
            <a:endParaRPr lang="ru-RU" sz="1400">
              <a:effectLst/>
            </a:endParaRPr>
          </a:p>
        </xdr:txBody>
      </xdr:sp>
    </xdr:grpSp>
    <xdr:clientData/>
  </xdr:twoCellAnchor>
  <xdr:twoCellAnchor>
    <xdr:from>
      <xdr:col>18</xdr:col>
      <xdr:colOff>190500</xdr:colOff>
      <xdr:row>0</xdr:row>
      <xdr:rowOff>121920</xdr:rowOff>
    </xdr:from>
    <xdr:to>
      <xdr:col>23</xdr:col>
      <xdr:colOff>152400</xdr:colOff>
      <xdr:row>8</xdr:row>
      <xdr:rowOff>53340</xdr:rowOff>
    </xdr:to>
    <xdr:grpSp>
      <xdr:nvGrpSpPr>
        <xdr:cNvPr id="130" name="Group 129">
          <a:hlinkClick xmlns:r="http://schemas.openxmlformats.org/officeDocument/2006/relationships" r:id="rId21"/>
          <a:extLst>
            <a:ext uri="{FF2B5EF4-FFF2-40B4-BE49-F238E27FC236}">
              <a16:creationId xmlns:a16="http://schemas.microsoft.com/office/drawing/2014/main" id="{A6BADA12-B8EA-AA5A-102D-84B11424EABE}"/>
            </a:ext>
          </a:extLst>
        </xdr:cNvPr>
        <xdr:cNvGrpSpPr/>
      </xdr:nvGrpSpPr>
      <xdr:grpSpPr>
        <a:xfrm>
          <a:off x="10858500" y="121920"/>
          <a:ext cx="3052233" cy="1413087"/>
          <a:chOff x="11163300" y="121920"/>
          <a:chExt cx="3131820" cy="1394460"/>
        </a:xfrm>
      </xdr:grpSpPr>
      <xdr:sp macro="" textlink="">
        <xdr:nvSpPr>
          <xdr:cNvPr id="48" name="Rectangle: Rounded Corners 47">
            <a:extLst>
              <a:ext uri="{FF2B5EF4-FFF2-40B4-BE49-F238E27FC236}">
                <a16:creationId xmlns:a16="http://schemas.microsoft.com/office/drawing/2014/main" id="{8A6ADAD9-E183-4705-B807-68754C5740EA}"/>
              </a:ext>
            </a:extLst>
          </xdr:cNvPr>
          <xdr:cNvSpPr/>
        </xdr:nvSpPr>
        <xdr:spPr>
          <a:xfrm>
            <a:off x="11163300" y="121920"/>
            <a:ext cx="3131820" cy="1309588"/>
          </a:xfrm>
          <a:prstGeom prst="roundRect">
            <a:avLst>
              <a:gd name="adj" fmla="val 9413"/>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
        <xdr:nvSpPr>
          <xdr:cNvPr id="49" name="Rectangle: Rounded Corners 48">
            <a:extLst>
              <a:ext uri="{FF2B5EF4-FFF2-40B4-BE49-F238E27FC236}">
                <a16:creationId xmlns:a16="http://schemas.microsoft.com/office/drawing/2014/main" id="{CC3C991F-3B4A-4E82-804A-2E22C9A9BCD0}"/>
              </a:ext>
            </a:extLst>
          </xdr:cNvPr>
          <xdr:cNvSpPr/>
        </xdr:nvSpPr>
        <xdr:spPr>
          <a:xfrm>
            <a:off x="11163300" y="121920"/>
            <a:ext cx="3131820" cy="1309588"/>
          </a:xfrm>
          <a:prstGeom prst="roundRect">
            <a:avLst>
              <a:gd name="adj" fmla="val 9413"/>
            </a:avLst>
          </a:prstGeom>
          <a:gradFill flip="none" rotWithShape="1">
            <a:gsLst>
              <a:gs pos="11000">
                <a:srgbClr val="FF5F00"/>
              </a:gs>
              <a:gs pos="100000">
                <a:srgbClr val="FF9A20"/>
              </a:gs>
            </a:gsLst>
            <a:path path="circle">
              <a:fillToRect l="100000" t="100000"/>
            </a:path>
            <a:tileRect r="-100000" b="-100000"/>
          </a:gra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defTabSz="914400" rtl="0" eaLnBrk="1" latinLnBrk="0" hangingPunct="1"/>
            <a:endParaRPr lang="ru-RU" sz="3200" b="0" kern="1200">
              <a:solidFill>
                <a:schemeClr val="lt1"/>
              </a:solidFill>
              <a:latin typeface="+mn-lt"/>
              <a:ea typeface="+mn-ea"/>
              <a:cs typeface="+mn-cs"/>
            </a:endParaRPr>
          </a:p>
        </xdr:txBody>
      </xdr:sp>
      <xdr:pic>
        <xdr:nvPicPr>
          <xdr:cNvPr id="102" name="Graphic 101" descr="Bar graph with upward trend with solid fill">
            <a:extLst>
              <a:ext uri="{FF2B5EF4-FFF2-40B4-BE49-F238E27FC236}">
                <a16:creationId xmlns:a16="http://schemas.microsoft.com/office/drawing/2014/main" id="{0F5605FC-7573-B897-E36D-99B168AFD74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13769340" y="868680"/>
            <a:ext cx="396000" cy="396000"/>
          </a:xfrm>
          <a:prstGeom prst="rect">
            <a:avLst/>
          </a:prstGeom>
        </xdr:spPr>
      </xdr:pic>
      <xdr:sp macro="" textlink="">
        <xdr:nvSpPr>
          <xdr:cNvPr id="106" name="TextBox 105">
            <a:extLst>
              <a:ext uri="{FF2B5EF4-FFF2-40B4-BE49-F238E27FC236}">
                <a16:creationId xmlns:a16="http://schemas.microsoft.com/office/drawing/2014/main" id="{A0A1367C-45F8-407F-8A98-E14ECB3533F0}"/>
              </a:ext>
            </a:extLst>
          </xdr:cNvPr>
          <xdr:cNvSpPr txBox="1"/>
        </xdr:nvSpPr>
        <xdr:spPr>
          <a:xfrm>
            <a:off x="11407140" y="220980"/>
            <a:ext cx="258318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lnSpc>
                <a:spcPts val="2000"/>
              </a:lnSpc>
            </a:pPr>
            <a:r>
              <a:rPr lang="en-US" sz="1600" b="1">
                <a:solidFill>
                  <a:schemeClr val="bg1"/>
                </a:solidFill>
                <a:latin typeface="Roboto Light" panose="02000000000000000000" pitchFamily="2" charset="0"/>
                <a:ea typeface="Roboto Light" panose="02000000000000000000" pitchFamily="2" charset="0"/>
                <a:cs typeface="Roboto Light" panose="02000000000000000000" pitchFamily="2" charset="0"/>
              </a:rPr>
              <a:t>PLANNING</a:t>
            </a:r>
            <a:r>
              <a:rPr lang="en-US" sz="1600" b="1"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 KPIs</a:t>
            </a:r>
            <a:endParaRPr lang="en-US" sz="1600" b="1">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a:p>
            <a:pPr>
              <a:lnSpc>
                <a:spcPts val="2000"/>
              </a:lnSpc>
            </a:pP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KPI &gt; 1</a:t>
            </a:r>
            <a:r>
              <a:rPr lang="pl-PL"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3</a:t>
            </a: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0% = +</a:t>
            </a:r>
            <a:r>
              <a:rPr lang="pl-PL"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5</a:t>
            </a: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 Bonus</a:t>
            </a:r>
          </a:p>
          <a:p>
            <a:pPr>
              <a:lnSpc>
                <a:spcPts val="2000"/>
              </a:lnSpc>
            </a:pP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KPI = 100% = +</a:t>
            </a:r>
            <a:r>
              <a:rPr lang="pl-PL"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3%</a:t>
            </a:r>
            <a:r>
              <a:rPr lang="ru-RU"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 </a:t>
            </a: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Prize</a:t>
            </a:r>
          </a:p>
          <a:p>
            <a:pPr>
              <a:lnSpc>
                <a:spcPts val="2000"/>
              </a:lnSpc>
            </a:pPr>
            <a:r>
              <a:rPr lang="en-US" sz="1400" b="1">
                <a:solidFill>
                  <a:schemeClr val="bg1"/>
                </a:solidFill>
                <a:latin typeface="Roboto Light" panose="02000000000000000000" pitchFamily="2" charset="0"/>
                <a:ea typeface="Roboto Light" panose="02000000000000000000" pitchFamily="2" charset="0"/>
                <a:cs typeface="Roboto Light" panose="02000000000000000000" pitchFamily="2" charset="0"/>
              </a:rPr>
              <a:t>KPI</a:t>
            </a:r>
            <a:r>
              <a:rPr lang="en-US" sz="1400" b="1"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 &lt; 100% = </a:t>
            </a:r>
            <a:r>
              <a:rPr lang="pl-PL" sz="1400" b="1"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a:t>
            </a:r>
            <a:r>
              <a:rPr lang="en-US" sz="1400" b="1"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0</a:t>
            </a:r>
            <a:r>
              <a:rPr lang="pl-PL" sz="1400" b="1"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a:t>
            </a:r>
            <a:endParaRPr lang="ru-RU" sz="1400" b="1">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grpSp>
    <xdr:clientData/>
  </xdr:twoCellAnchor>
  <xdr:twoCellAnchor>
    <xdr:from>
      <xdr:col>18</xdr:col>
      <xdr:colOff>577638</xdr:colOff>
      <xdr:row>10</xdr:row>
      <xdr:rowOff>2834</xdr:rowOff>
    </xdr:from>
    <xdr:to>
      <xdr:col>22</xdr:col>
      <xdr:colOff>382483</xdr:colOff>
      <xdr:row>14</xdr:row>
      <xdr:rowOff>7620</xdr:rowOff>
    </xdr:to>
    <xdr:sp macro="" textlink="Processing!W49">
      <xdr:nvSpPr>
        <xdr:cNvPr id="108" name="TextBox 107">
          <a:extLst>
            <a:ext uri="{FF2B5EF4-FFF2-40B4-BE49-F238E27FC236}">
              <a16:creationId xmlns:a16="http://schemas.microsoft.com/office/drawing/2014/main" id="{9A416E82-2F75-187B-4ADB-A750B63EA75B}"/>
            </a:ext>
          </a:extLst>
        </xdr:cNvPr>
        <xdr:cNvSpPr txBox="1"/>
      </xdr:nvSpPr>
      <xdr:spPr>
        <a:xfrm>
          <a:off x="11550438" y="1831634"/>
          <a:ext cx="2365165" cy="736306"/>
        </a:xfrm>
        <a:prstGeom prst="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fld id="{595074DC-C07D-4FB9-A671-3B9A1B6F777A}" type="TxLink">
            <a:rPr lang="en-US" sz="2800" kern="1200">
              <a:solidFill>
                <a:schemeClr val="bg1"/>
              </a:solidFill>
              <a:latin typeface="+mn-lt"/>
              <a:ea typeface="+mn-ea"/>
              <a:cs typeface="+mn-cs"/>
            </a:rPr>
            <a:pPr marL="0" indent="0" algn="ctr" defTabSz="914400" rtl="0" eaLnBrk="1" latinLnBrk="0" hangingPunct="1"/>
            <a:t>#NAME?</a:t>
          </a:fld>
          <a:endParaRPr lang="ru-RU" sz="2800" kern="1200">
            <a:solidFill>
              <a:schemeClr val="bg1"/>
            </a:solidFill>
            <a:latin typeface="+mn-lt"/>
            <a:ea typeface="+mn-ea"/>
            <a:cs typeface="+mn-cs"/>
          </a:endParaRPr>
        </a:p>
      </xdr:txBody>
    </xdr:sp>
    <xdr:clientData/>
  </xdr:twoCellAnchor>
  <xdr:twoCellAnchor>
    <xdr:from>
      <xdr:col>20</xdr:col>
      <xdr:colOff>0</xdr:colOff>
      <xdr:row>16</xdr:row>
      <xdr:rowOff>178095</xdr:rowOff>
    </xdr:from>
    <xdr:to>
      <xdr:col>21</xdr:col>
      <xdr:colOff>472440</xdr:colOff>
      <xdr:row>18</xdr:row>
      <xdr:rowOff>101895</xdr:rowOff>
    </xdr:to>
    <xdr:sp macro="" textlink="">
      <xdr:nvSpPr>
        <xdr:cNvPr id="111" name="TextBox 110">
          <a:extLst>
            <a:ext uri="{FF2B5EF4-FFF2-40B4-BE49-F238E27FC236}">
              <a16:creationId xmlns:a16="http://schemas.microsoft.com/office/drawing/2014/main" id="{7D8C4348-4556-D4AD-6053-964B460F2F1B}"/>
            </a:ext>
          </a:extLst>
        </xdr:cNvPr>
        <xdr:cNvSpPr txBox="1"/>
      </xdr:nvSpPr>
      <xdr:spPr>
        <a:xfrm>
          <a:off x="12192000" y="310417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NET PROFIT</a:t>
          </a:r>
          <a:endParaRPr lang="ru-RU" sz="1200">
            <a:solidFill>
              <a:schemeClr val="bg1"/>
            </a:solidFill>
            <a:latin typeface="+mn-lt"/>
          </a:endParaRPr>
        </a:p>
      </xdr:txBody>
    </xdr:sp>
    <xdr:clientData/>
  </xdr:twoCellAnchor>
  <xdr:twoCellAnchor>
    <xdr:from>
      <xdr:col>19</xdr:col>
      <xdr:colOff>556260</xdr:colOff>
      <xdr:row>25</xdr:row>
      <xdr:rowOff>178095</xdr:rowOff>
    </xdr:from>
    <xdr:to>
      <xdr:col>21</xdr:col>
      <xdr:colOff>525780</xdr:colOff>
      <xdr:row>27</xdr:row>
      <xdr:rowOff>101895</xdr:rowOff>
    </xdr:to>
    <xdr:sp macro="" textlink="">
      <xdr:nvSpPr>
        <xdr:cNvPr id="112" name="TextBox 111">
          <a:extLst>
            <a:ext uri="{FF2B5EF4-FFF2-40B4-BE49-F238E27FC236}">
              <a16:creationId xmlns:a16="http://schemas.microsoft.com/office/drawing/2014/main" id="{3D95D95E-C7E7-EC84-4093-E8DEA008045D}"/>
            </a:ext>
          </a:extLst>
        </xdr:cNvPr>
        <xdr:cNvSpPr txBox="1"/>
      </xdr:nvSpPr>
      <xdr:spPr>
        <a:xfrm>
          <a:off x="12138660" y="4750095"/>
          <a:ext cx="1188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COSTS</a:t>
          </a:r>
          <a:endParaRPr lang="ru-RU" sz="1200">
            <a:solidFill>
              <a:schemeClr val="bg1"/>
            </a:solidFill>
            <a:latin typeface="+mn-lt"/>
          </a:endParaRPr>
        </a:p>
      </xdr:txBody>
    </xdr:sp>
    <xdr:clientData/>
  </xdr:twoCellAnchor>
  <xdr:twoCellAnchor>
    <xdr:from>
      <xdr:col>4</xdr:col>
      <xdr:colOff>160020</xdr:colOff>
      <xdr:row>8</xdr:row>
      <xdr:rowOff>45720</xdr:rowOff>
    </xdr:from>
    <xdr:to>
      <xdr:col>6</xdr:col>
      <xdr:colOff>596820</xdr:colOff>
      <xdr:row>10</xdr:row>
      <xdr:rowOff>15240</xdr:rowOff>
    </xdr:to>
    <xdr:sp macro="" textlink="">
      <xdr:nvSpPr>
        <xdr:cNvPr id="62" name="Rectangle 61">
          <a:extLst>
            <a:ext uri="{FF2B5EF4-FFF2-40B4-BE49-F238E27FC236}">
              <a16:creationId xmlns:a16="http://schemas.microsoft.com/office/drawing/2014/main" id="{339A4F46-9C5A-37E5-F718-CFFDB05B07EB}"/>
            </a:ext>
          </a:extLst>
        </xdr:cNvPr>
        <xdr:cNvSpPr/>
      </xdr:nvSpPr>
      <xdr:spPr>
        <a:xfrm>
          <a:off x="2598420" y="1508760"/>
          <a:ext cx="1656000" cy="33528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47937</xdr:colOff>
      <xdr:row>6</xdr:row>
      <xdr:rowOff>144780</xdr:rowOff>
    </xdr:from>
    <xdr:to>
      <xdr:col>6</xdr:col>
      <xdr:colOff>603784</xdr:colOff>
      <xdr:row>11</xdr:row>
      <xdr:rowOff>35052</xdr:rowOff>
    </xdr:to>
    <xdr:grpSp>
      <xdr:nvGrpSpPr>
        <xdr:cNvPr id="59" name="Group 58">
          <a:extLst>
            <a:ext uri="{FF2B5EF4-FFF2-40B4-BE49-F238E27FC236}">
              <a16:creationId xmlns:a16="http://schemas.microsoft.com/office/drawing/2014/main" id="{50B64D52-1AA6-7006-56AF-09D35110A064}"/>
            </a:ext>
          </a:extLst>
        </xdr:cNvPr>
        <xdr:cNvGrpSpPr/>
      </xdr:nvGrpSpPr>
      <xdr:grpSpPr>
        <a:xfrm>
          <a:off x="2418604" y="1266613"/>
          <a:ext cx="1731655" cy="789856"/>
          <a:chOff x="2704902" y="994064"/>
          <a:chExt cx="1321200" cy="601010"/>
        </a:xfrm>
      </xdr:grpSpPr>
      <xdr:graphicFrame macro="">
        <xdr:nvGraphicFramePr>
          <xdr:cNvPr id="52" name="Chart 51">
            <a:extLst>
              <a:ext uri="{FF2B5EF4-FFF2-40B4-BE49-F238E27FC236}">
                <a16:creationId xmlns:a16="http://schemas.microsoft.com/office/drawing/2014/main" id="{8BAC04B5-8501-4105-A43B-FB3A14975892}"/>
              </a:ext>
            </a:extLst>
          </xdr:cNvPr>
          <xdr:cNvGraphicFramePr>
            <a:graphicFrameLocks/>
          </xdr:cNvGraphicFramePr>
        </xdr:nvGraphicFramePr>
        <xdr:xfrm>
          <a:off x="2704902" y="994064"/>
          <a:ext cx="1321200" cy="601010"/>
        </xdr:xfrm>
        <a:graphic>
          <a:graphicData uri="http://schemas.openxmlformats.org/drawingml/2006/chart">
            <c:chart xmlns:c="http://schemas.openxmlformats.org/drawingml/2006/chart" xmlns:r="http://schemas.openxmlformats.org/officeDocument/2006/relationships" r:id="rId24"/>
          </a:graphicData>
        </a:graphic>
      </xdr:graphicFrame>
      <xdr:grpSp>
        <xdr:nvGrpSpPr>
          <xdr:cNvPr id="58" name="Group 57">
            <a:extLst>
              <a:ext uri="{FF2B5EF4-FFF2-40B4-BE49-F238E27FC236}">
                <a16:creationId xmlns:a16="http://schemas.microsoft.com/office/drawing/2014/main" id="{740469EA-638E-4FA6-3658-8517CA35BF1E}"/>
              </a:ext>
            </a:extLst>
          </xdr:cNvPr>
          <xdr:cNvGrpSpPr/>
        </xdr:nvGrpSpPr>
        <xdr:grpSpPr>
          <a:xfrm>
            <a:off x="2778136" y="1127562"/>
            <a:ext cx="1242000" cy="319649"/>
            <a:chOff x="2778137" y="1127562"/>
            <a:chExt cx="1264291" cy="319649"/>
          </a:xfrm>
        </xdr:grpSpPr>
        <xdr:sp macro="" textlink="">
          <xdr:nvSpPr>
            <xdr:cNvPr id="51" name="Freeform: Shape 50">
              <a:extLst>
                <a:ext uri="{FF2B5EF4-FFF2-40B4-BE49-F238E27FC236}">
                  <a16:creationId xmlns:a16="http://schemas.microsoft.com/office/drawing/2014/main" id="{CFA5639F-262E-3865-E973-128C10CBF16D}"/>
                </a:ext>
              </a:extLst>
            </xdr:cNvPr>
            <xdr:cNvSpPr/>
          </xdr:nvSpPr>
          <xdr:spPr>
            <a:xfrm>
              <a:off x="2778137" y="1127562"/>
              <a:ext cx="254194" cy="319649"/>
            </a:xfrm>
            <a:custGeom>
              <a:avLst/>
              <a:gdLst>
                <a:gd name="connsiteX0" fmla="*/ 692459 w 1393795"/>
                <a:gd name="connsiteY0" fmla="*/ 213802 h 1748900"/>
                <a:gd name="connsiteX1" fmla="*/ 506224 w 1393795"/>
                <a:gd name="connsiteY1" fmla="*/ 630504 h 1748900"/>
                <a:gd name="connsiteX2" fmla="*/ 71763 w 1393795"/>
                <a:gd name="connsiteY2" fmla="*/ 687971 h 1748900"/>
                <a:gd name="connsiteX3" fmla="*/ 391124 w 1393795"/>
                <a:gd name="connsiteY3" fmla="*/ 1002974 h 1748900"/>
                <a:gd name="connsiteX4" fmla="*/ 308848 w 1393795"/>
                <a:gd name="connsiteY4" fmla="*/ 1455193 h 1748900"/>
                <a:gd name="connsiteX5" fmla="*/ 692459 w 1393795"/>
                <a:gd name="connsiteY5" fmla="*/ 1233174 h 1748900"/>
                <a:gd name="connsiteX6" fmla="*/ 1076070 w 1393795"/>
                <a:gd name="connsiteY6" fmla="*/ 1455193 h 1748900"/>
                <a:gd name="connsiteX7" fmla="*/ 993794 w 1393795"/>
                <a:gd name="connsiteY7" fmla="*/ 1002974 h 1748900"/>
                <a:gd name="connsiteX8" fmla="*/ 1313155 w 1393795"/>
                <a:gd name="connsiteY8" fmla="*/ 687971 h 1748900"/>
                <a:gd name="connsiteX9" fmla="*/ 878694 w 1393795"/>
                <a:gd name="connsiteY9" fmla="*/ 630504 h 1748900"/>
                <a:gd name="connsiteX10" fmla="*/ 0 w 1393795"/>
                <a:gd name="connsiteY10" fmla="*/ 0 h 1748900"/>
                <a:gd name="connsiteX11" fmla="*/ 1393795 w 1393795"/>
                <a:gd name="connsiteY11" fmla="*/ 0 h 1748900"/>
                <a:gd name="connsiteX12" fmla="*/ 1393795 w 1393795"/>
                <a:gd name="connsiteY12" fmla="*/ 1748900 h 1748900"/>
                <a:gd name="connsiteX13" fmla="*/ 0 w 1393795"/>
                <a:gd name="connsiteY13" fmla="*/ 1748900 h 1748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93795" h="1748900">
                  <a:moveTo>
                    <a:pt x="692459" y="213802"/>
                  </a:moveTo>
                  <a:lnTo>
                    <a:pt x="506224" y="630504"/>
                  </a:lnTo>
                  <a:lnTo>
                    <a:pt x="71763" y="687971"/>
                  </a:lnTo>
                  <a:lnTo>
                    <a:pt x="391124" y="1002974"/>
                  </a:lnTo>
                  <a:lnTo>
                    <a:pt x="308848" y="1455193"/>
                  </a:lnTo>
                  <a:lnTo>
                    <a:pt x="692459" y="1233174"/>
                  </a:lnTo>
                  <a:lnTo>
                    <a:pt x="1076070" y="1455193"/>
                  </a:lnTo>
                  <a:lnTo>
                    <a:pt x="993794" y="1002974"/>
                  </a:lnTo>
                  <a:lnTo>
                    <a:pt x="1313155" y="687971"/>
                  </a:lnTo>
                  <a:lnTo>
                    <a:pt x="878694" y="630504"/>
                  </a:lnTo>
                  <a:close/>
                  <a:moveTo>
                    <a:pt x="0" y="0"/>
                  </a:moveTo>
                  <a:lnTo>
                    <a:pt x="1393795" y="0"/>
                  </a:lnTo>
                  <a:lnTo>
                    <a:pt x="1393795" y="1748900"/>
                  </a:lnTo>
                  <a:lnTo>
                    <a:pt x="0" y="1748900"/>
                  </a:lnTo>
                  <a:close/>
                </a:path>
              </a:pathLst>
            </a:cu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4" name="Freeform: Shape 53">
              <a:extLst>
                <a:ext uri="{FF2B5EF4-FFF2-40B4-BE49-F238E27FC236}">
                  <a16:creationId xmlns:a16="http://schemas.microsoft.com/office/drawing/2014/main" id="{30C81315-87D4-A125-B3E3-9E066FBE5E14}"/>
                </a:ext>
              </a:extLst>
            </xdr:cNvPr>
            <xdr:cNvSpPr/>
          </xdr:nvSpPr>
          <xdr:spPr>
            <a:xfrm>
              <a:off x="3029793" y="1127562"/>
              <a:ext cx="254194" cy="319649"/>
            </a:xfrm>
            <a:custGeom>
              <a:avLst/>
              <a:gdLst>
                <a:gd name="connsiteX0" fmla="*/ 692459 w 1393795"/>
                <a:gd name="connsiteY0" fmla="*/ 213802 h 1748900"/>
                <a:gd name="connsiteX1" fmla="*/ 506224 w 1393795"/>
                <a:gd name="connsiteY1" fmla="*/ 630504 h 1748900"/>
                <a:gd name="connsiteX2" fmla="*/ 71763 w 1393795"/>
                <a:gd name="connsiteY2" fmla="*/ 687971 h 1748900"/>
                <a:gd name="connsiteX3" fmla="*/ 391124 w 1393795"/>
                <a:gd name="connsiteY3" fmla="*/ 1002974 h 1748900"/>
                <a:gd name="connsiteX4" fmla="*/ 308848 w 1393795"/>
                <a:gd name="connsiteY4" fmla="*/ 1455193 h 1748900"/>
                <a:gd name="connsiteX5" fmla="*/ 692459 w 1393795"/>
                <a:gd name="connsiteY5" fmla="*/ 1233174 h 1748900"/>
                <a:gd name="connsiteX6" fmla="*/ 1076070 w 1393795"/>
                <a:gd name="connsiteY6" fmla="*/ 1455193 h 1748900"/>
                <a:gd name="connsiteX7" fmla="*/ 993794 w 1393795"/>
                <a:gd name="connsiteY7" fmla="*/ 1002974 h 1748900"/>
                <a:gd name="connsiteX8" fmla="*/ 1313155 w 1393795"/>
                <a:gd name="connsiteY8" fmla="*/ 687971 h 1748900"/>
                <a:gd name="connsiteX9" fmla="*/ 878694 w 1393795"/>
                <a:gd name="connsiteY9" fmla="*/ 630504 h 1748900"/>
                <a:gd name="connsiteX10" fmla="*/ 0 w 1393795"/>
                <a:gd name="connsiteY10" fmla="*/ 0 h 1748900"/>
                <a:gd name="connsiteX11" fmla="*/ 1393795 w 1393795"/>
                <a:gd name="connsiteY11" fmla="*/ 0 h 1748900"/>
                <a:gd name="connsiteX12" fmla="*/ 1393795 w 1393795"/>
                <a:gd name="connsiteY12" fmla="*/ 1748900 h 1748900"/>
                <a:gd name="connsiteX13" fmla="*/ 0 w 1393795"/>
                <a:gd name="connsiteY13" fmla="*/ 1748900 h 1748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93795" h="1748900">
                  <a:moveTo>
                    <a:pt x="692459" y="213802"/>
                  </a:moveTo>
                  <a:lnTo>
                    <a:pt x="506224" y="630504"/>
                  </a:lnTo>
                  <a:lnTo>
                    <a:pt x="71763" y="687971"/>
                  </a:lnTo>
                  <a:lnTo>
                    <a:pt x="391124" y="1002974"/>
                  </a:lnTo>
                  <a:lnTo>
                    <a:pt x="308848" y="1455193"/>
                  </a:lnTo>
                  <a:lnTo>
                    <a:pt x="692459" y="1233174"/>
                  </a:lnTo>
                  <a:lnTo>
                    <a:pt x="1076070" y="1455193"/>
                  </a:lnTo>
                  <a:lnTo>
                    <a:pt x="993794" y="1002974"/>
                  </a:lnTo>
                  <a:lnTo>
                    <a:pt x="1313155" y="687971"/>
                  </a:lnTo>
                  <a:lnTo>
                    <a:pt x="878694" y="630504"/>
                  </a:lnTo>
                  <a:close/>
                  <a:moveTo>
                    <a:pt x="0" y="0"/>
                  </a:moveTo>
                  <a:lnTo>
                    <a:pt x="1393795" y="0"/>
                  </a:lnTo>
                  <a:lnTo>
                    <a:pt x="1393795" y="1748900"/>
                  </a:lnTo>
                  <a:lnTo>
                    <a:pt x="0" y="1748900"/>
                  </a:lnTo>
                  <a:close/>
                </a:path>
              </a:pathLst>
            </a:cu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5" name="Freeform: Shape 54">
              <a:extLst>
                <a:ext uri="{FF2B5EF4-FFF2-40B4-BE49-F238E27FC236}">
                  <a16:creationId xmlns:a16="http://schemas.microsoft.com/office/drawing/2014/main" id="{3C57FCA9-8E0B-7723-7EB8-23F9CB60589D}"/>
                </a:ext>
              </a:extLst>
            </xdr:cNvPr>
            <xdr:cNvSpPr/>
          </xdr:nvSpPr>
          <xdr:spPr>
            <a:xfrm>
              <a:off x="3281453" y="1127562"/>
              <a:ext cx="254194" cy="319649"/>
            </a:xfrm>
            <a:custGeom>
              <a:avLst/>
              <a:gdLst>
                <a:gd name="connsiteX0" fmla="*/ 692459 w 1393795"/>
                <a:gd name="connsiteY0" fmla="*/ 213802 h 1748900"/>
                <a:gd name="connsiteX1" fmla="*/ 506224 w 1393795"/>
                <a:gd name="connsiteY1" fmla="*/ 630504 h 1748900"/>
                <a:gd name="connsiteX2" fmla="*/ 71763 w 1393795"/>
                <a:gd name="connsiteY2" fmla="*/ 687971 h 1748900"/>
                <a:gd name="connsiteX3" fmla="*/ 391124 w 1393795"/>
                <a:gd name="connsiteY3" fmla="*/ 1002974 h 1748900"/>
                <a:gd name="connsiteX4" fmla="*/ 308848 w 1393795"/>
                <a:gd name="connsiteY4" fmla="*/ 1455193 h 1748900"/>
                <a:gd name="connsiteX5" fmla="*/ 692459 w 1393795"/>
                <a:gd name="connsiteY5" fmla="*/ 1233174 h 1748900"/>
                <a:gd name="connsiteX6" fmla="*/ 1076070 w 1393795"/>
                <a:gd name="connsiteY6" fmla="*/ 1455193 h 1748900"/>
                <a:gd name="connsiteX7" fmla="*/ 993794 w 1393795"/>
                <a:gd name="connsiteY7" fmla="*/ 1002974 h 1748900"/>
                <a:gd name="connsiteX8" fmla="*/ 1313155 w 1393795"/>
                <a:gd name="connsiteY8" fmla="*/ 687971 h 1748900"/>
                <a:gd name="connsiteX9" fmla="*/ 878694 w 1393795"/>
                <a:gd name="connsiteY9" fmla="*/ 630504 h 1748900"/>
                <a:gd name="connsiteX10" fmla="*/ 0 w 1393795"/>
                <a:gd name="connsiteY10" fmla="*/ 0 h 1748900"/>
                <a:gd name="connsiteX11" fmla="*/ 1393795 w 1393795"/>
                <a:gd name="connsiteY11" fmla="*/ 0 h 1748900"/>
                <a:gd name="connsiteX12" fmla="*/ 1393795 w 1393795"/>
                <a:gd name="connsiteY12" fmla="*/ 1748900 h 1748900"/>
                <a:gd name="connsiteX13" fmla="*/ 0 w 1393795"/>
                <a:gd name="connsiteY13" fmla="*/ 1748900 h 1748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93795" h="1748900">
                  <a:moveTo>
                    <a:pt x="692459" y="213802"/>
                  </a:moveTo>
                  <a:lnTo>
                    <a:pt x="506224" y="630504"/>
                  </a:lnTo>
                  <a:lnTo>
                    <a:pt x="71763" y="687971"/>
                  </a:lnTo>
                  <a:lnTo>
                    <a:pt x="391124" y="1002974"/>
                  </a:lnTo>
                  <a:lnTo>
                    <a:pt x="308848" y="1455193"/>
                  </a:lnTo>
                  <a:lnTo>
                    <a:pt x="692459" y="1233174"/>
                  </a:lnTo>
                  <a:lnTo>
                    <a:pt x="1076070" y="1455193"/>
                  </a:lnTo>
                  <a:lnTo>
                    <a:pt x="993794" y="1002974"/>
                  </a:lnTo>
                  <a:lnTo>
                    <a:pt x="1313155" y="687971"/>
                  </a:lnTo>
                  <a:lnTo>
                    <a:pt x="878694" y="630504"/>
                  </a:lnTo>
                  <a:close/>
                  <a:moveTo>
                    <a:pt x="0" y="0"/>
                  </a:moveTo>
                  <a:lnTo>
                    <a:pt x="1393795" y="0"/>
                  </a:lnTo>
                  <a:lnTo>
                    <a:pt x="1393795" y="1748900"/>
                  </a:lnTo>
                  <a:lnTo>
                    <a:pt x="0" y="1748900"/>
                  </a:lnTo>
                  <a:close/>
                </a:path>
              </a:pathLst>
            </a:cu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6" name="Freeform: Shape 55">
              <a:extLst>
                <a:ext uri="{FF2B5EF4-FFF2-40B4-BE49-F238E27FC236}">
                  <a16:creationId xmlns:a16="http://schemas.microsoft.com/office/drawing/2014/main" id="{F94A76CE-5135-43D1-EB29-CC1CC8DF6496}"/>
                </a:ext>
              </a:extLst>
            </xdr:cNvPr>
            <xdr:cNvSpPr/>
          </xdr:nvSpPr>
          <xdr:spPr>
            <a:xfrm>
              <a:off x="3534795" y="1127562"/>
              <a:ext cx="254194" cy="319649"/>
            </a:xfrm>
            <a:custGeom>
              <a:avLst/>
              <a:gdLst>
                <a:gd name="connsiteX0" fmla="*/ 692459 w 1393795"/>
                <a:gd name="connsiteY0" fmla="*/ 213802 h 1748900"/>
                <a:gd name="connsiteX1" fmla="*/ 506224 w 1393795"/>
                <a:gd name="connsiteY1" fmla="*/ 630504 h 1748900"/>
                <a:gd name="connsiteX2" fmla="*/ 71763 w 1393795"/>
                <a:gd name="connsiteY2" fmla="*/ 687971 h 1748900"/>
                <a:gd name="connsiteX3" fmla="*/ 391124 w 1393795"/>
                <a:gd name="connsiteY3" fmla="*/ 1002974 h 1748900"/>
                <a:gd name="connsiteX4" fmla="*/ 308848 w 1393795"/>
                <a:gd name="connsiteY4" fmla="*/ 1455193 h 1748900"/>
                <a:gd name="connsiteX5" fmla="*/ 692459 w 1393795"/>
                <a:gd name="connsiteY5" fmla="*/ 1233174 h 1748900"/>
                <a:gd name="connsiteX6" fmla="*/ 1076070 w 1393795"/>
                <a:gd name="connsiteY6" fmla="*/ 1455193 h 1748900"/>
                <a:gd name="connsiteX7" fmla="*/ 993794 w 1393795"/>
                <a:gd name="connsiteY7" fmla="*/ 1002974 h 1748900"/>
                <a:gd name="connsiteX8" fmla="*/ 1313155 w 1393795"/>
                <a:gd name="connsiteY8" fmla="*/ 687971 h 1748900"/>
                <a:gd name="connsiteX9" fmla="*/ 878694 w 1393795"/>
                <a:gd name="connsiteY9" fmla="*/ 630504 h 1748900"/>
                <a:gd name="connsiteX10" fmla="*/ 0 w 1393795"/>
                <a:gd name="connsiteY10" fmla="*/ 0 h 1748900"/>
                <a:gd name="connsiteX11" fmla="*/ 1393795 w 1393795"/>
                <a:gd name="connsiteY11" fmla="*/ 0 h 1748900"/>
                <a:gd name="connsiteX12" fmla="*/ 1393795 w 1393795"/>
                <a:gd name="connsiteY12" fmla="*/ 1748900 h 1748900"/>
                <a:gd name="connsiteX13" fmla="*/ 0 w 1393795"/>
                <a:gd name="connsiteY13" fmla="*/ 1748900 h 1748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93795" h="1748900">
                  <a:moveTo>
                    <a:pt x="692459" y="213802"/>
                  </a:moveTo>
                  <a:lnTo>
                    <a:pt x="506224" y="630504"/>
                  </a:lnTo>
                  <a:lnTo>
                    <a:pt x="71763" y="687971"/>
                  </a:lnTo>
                  <a:lnTo>
                    <a:pt x="391124" y="1002974"/>
                  </a:lnTo>
                  <a:lnTo>
                    <a:pt x="308848" y="1455193"/>
                  </a:lnTo>
                  <a:lnTo>
                    <a:pt x="692459" y="1233174"/>
                  </a:lnTo>
                  <a:lnTo>
                    <a:pt x="1076070" y="1455193"/>
                  </a:lnTo>
                  <a:lnTo>
                    <a:pt x="993794" y="1002974"/>
                  </a:lnTo>
                  <a:lnTo>
                    <a:pt x="1313155" y="687971"/>
                  </a:lnTo>
                  <a:lnTo>
                    <a:pt x="878694" y="630504"/>
                  </a:lnTo>
                  <a:close/>
                  <a:moveTo>
                    <a:pt x="0" y="0"/>
                  </a:moveTo>
                  <a:lnTo>
                    <a:pt x="1393795" y="0"/>
                  </a:lnTo>
                  <a:lnTo>
                    <a:pt x="1393795" y="1748900"/>
                  </a:lnTo>
                  <a:lnTo>
                    <a:pt x="0" y="1748900"/>
                  </a:lnTo>
                  <a:close/>
                </a:path>
              </a:pathLst>
            </a:cu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Freeform: Shape 56">
              <a:extLst>
                <a:ext uri="{FF2B5EF4-FFF2-40B4-BE49-F238E27FC236}">
                  <a16:creationId xmlns:a16="http://schemas.microsoft.com/office/drawing/2014/main" id="{CB4ECDB7-DE57-9EFC-80CC-D59FD32E8EF9}"/>
                </a:ext>
              </a:extLst>
            </xdr:cNvPr>
            <xdr:cNvSpPr/>
          </xdr:nvSpPr>
          <xdr:spPr>
            <a:xfrm>
              <a:off x="3788234" y="1127562"/>
              <a:ext cx="254194" cy="319649"/>
            </a:xfrm>
            <a:custGeom>
              <a:avLst/>
              <a:gdLst>
                <a:gd name="connsiteX0" fmla="*/ 692459 w 1393795"/>
                <a:gd name="connsiteY0" fmla="*/ 213802 h 1748900"/>
                <a:gd name="connsiteX1" fmla="*/ 506224 w 1393795"/>
                <a:gd name="connsiteY1" fmla="*/ 630504 h 1748900"/>
                <a:gd name="connsiteX2" fmla="*/ 71763 w 1393795"/>
                <a:gd name="connsiteY2" fmla="*/ 687971 h 1748900"/>
                <a:gd name="connsiteX3" fmla="*/ 391124 w 1393795"/>
                <a:gd name="connsiteY3" fmla="*/ 1002974 h 1748900"/>
                <a:gd name="connsiteX4" fmla="*/ 308848 w 1393795"/>
                <a:gd name="connsiteY4" fmla="*/ 1455193 h 1748900"/>
                <a:gd name="connsiteX5" fmla="*/ 692459 w 1393795"/>
                <a:gd name="connsiteY5" fmla="*/ 1233174 h 1748900"/>
                <a:gd name="connsiteX6" fmla="*/ 1076070 w 1393795"/>
                <a:gd name="connsiteY6" fmla="*/ 1455193 h 1748900"/>
                <a:gd name="connsiteX7" fmla="*/ 993794 w 1393795"/>
                <a:gd name="connsiteY7" fmla="*/ 1002974 h 1748900"/>
                <a:gd name="connsiteX8" fmla="*/ 1313155 w 1393795"/>
                <a:gd name="connsiteY8" fmla="*/ 687971 h 1748900"/>
                <a:gd name="connsiteX9" fmla="*/ 878694 w 1393795"/>
                <a:gd name="connsiteY9" fmla="*/ 630504 h 1748900"/>
                <a:gd name="connsiteX10" fmla="*/ 0 w 1393795"/>
                <a:gd name="connsiteY10" fmla="*/ 0 h 1748900"/>
                <a:gd name="connsiteX11" fmla="*/ 1393795 w 1393795"/>
                <a:gd name="connsiteY11" fmla="*/ 0 h 1748900"/>
                <a:gd name="connsiteX12" fmla="*/ 1393795 w 1393795"/>
                <a:gd name="connsiteY12" fmla="*/ 1748900 h 1748900"/>
                <a:gd name="connsiteX13" fmla="*/ 0 w 1393795"/>
                <a:gd name="connsiteY13" fmla="*/ 1748900 h 17489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393795" h="1748900">
                  <a:moveTo>
                    <a:pt x="692459" y="213802"/>
                  </a:moveTo>
                  <a:lnTo>
                    <a:pt x="506224" y="630504"/>
                  </a:lnTo>
                  <a:lnTo>
                    <a:pt x="71763" y="687971"/>
                  </a:lnTo>
                  <a:lnTo>
                    <a:pt x="391124" y="1002974"/>
                  </a:lnTo>
                  <a:lnTo>
                    <a:pt x="308848" y="1455193"/>
                  </a:lnTo>
                  <a:lnTo>
                    <a:pt x="692459" y="1233174"/>
                  </a:lnTo>
                  <a:lnTo>
                    <a:pt x="1076070" y="1455193"/>
                  </a:lnTo>
                  <a:lnTo>
                    <a:pt x="993794" y="1002974"/>
                  </a:lnTo>
                  <a:lnTo>
                    <a:pt x="1313155" y="687971"/>
                  </a:lnTo>
                  <a:lnTo>
                    <a:pt x="878694" y="630504"/>
                  </a:lnTo>
                  <a:close/>
                  <a:moveTo>
                    <a:pt x="0" y="0"/>
                  </a:moveTo>
                  <a:lnTo>
                    <a:pt x="1393795" y="0"/>
                  </a:lnTo>
                  <a:lnTo>
                    <a:pt x="1393795" y="1748900"/>
                  </a:lnTo>
                  <a:lnTo>
                    <a:pt x="0" y="1748900"/>
                  </a:lnTo>
                  <a:close/>
                </a:path>
              </a:pathLst>
            </a:cu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3</xdr:col>
      <xdr:colOff>520696</xdr:colOff>
      <xdr:row>4</xdr:row>
      <xdr:rowOff>149002</xdr:rowOff>
    </xdr:from>
    <xdr:to>
      <xdr:col>7</xdr:col>
      <xdr:colOff>131024</xdr:colOff>
      <xdr:row>7</xdr:row>
      <xdr:rowOff>24308</xdr:rowOff>
    </xdr:to>
    <xdr:sp macro="" textlink="">
      <xdr:nvSpPr>
        <xdr:cNvPr id="61" name="TextBox 60">
          <a:extLst>
            <a:ext uri="{FF2B5EF4-FFF2-40B4-BE49-F238E27FC236}">
              <a16:creationId xmlns:a16="http://schemas.microsoft.com/office/drawing/2014/main" id="{5FB4EE82-231D-45F3-3E58-3E89157A0A61}"/>
            </a:ext>
          </a:extLst>
        </xdr:cNvPr>
        <xdr:cNvSpPr txBox="1"/>
      </xdr:nvSpPr>
      <xdr:spPr>
        <a:xfrm>
          <a:off x="2349496" y="880522"/>
          <a:ext cx="2048728" cy="42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l-PL" sz="1400">
              <a:solidFill>
                <a:schemeClr val="bg1"/>
              </a:solidFill>
              <a:latin typeface="Roboto Light" panose="02000000000000000000" pitchFamily="2" charset="0"/>
              <a:ea typeface="Roboto Light" panose="02000000000000000000" pitchFamily="2" charset="0"/>
              <a:cs typeface="Roboto Light" panose="02000000000000000000" pitchFamily="2" charset="0"/>
            </a:rPr>
            <a:t>PERSONEL RANK</a:t>
          </a:r>
          <a:endParaRPr lang="ru-RU" sz="12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0</xdr:col>
      <xdr:colOff>541020</xdr:colOff>
      <xdr:row>3</xdr:row>
      <xdr:rowOff>99060</xdr:rowOff>
    </xdr:from>
    <xdr:to>
      <xdr:col>2</xdr:col>
      <xdr:colOff>593571</xdr:colOff>
      <xdr:row>5</xdr:row>
      <xdr:rowOff>88550</xdr:rowOff>
    </xdr:to>
    <xdr:grpSp>
      <xdr:nvGrpSpPr>
        <xdr:cNvPr id="96" name="Group 95">
          <a:hlinkClick xmlns:r="http://schemas.openxmlformats.org/officeDocument/2006/relationships" r:id="rId25"/>
          <a:extLst>
            <a:ext uri="{FF2B5EF4-FFF2-40B4-BE49-F238E27FC236}">
              <a16:creationId xmlns:a16="http://schemas.microsoft.com/office/drawing/2014/main" id="{74E575DF-9790-4A88-96AD-6CFF24B7D158}"/>
            </a:ext>
          </a:extLst>
        </xdr:cNvPr>
        <xdr:cNvGrpSpPr/>
      </xdr:nvGrpSpPr>
      <xdr:grpSpPr>
        <a:xfrm>
          <a:off x="541020" y="670560"/>
          <a:ext cx="1237884" cy="359907"/>
          <a:chOff x="536028" y="651641"/>
          <a:chExt cx="1271751" cy="357352"/>
        </a:xfrm>
      </xdr:grpSpPr>
      <xdr:sp macro="" textlink="">
        <xdr:nvSpPr>
          <xdr:cNvPr id="97" name="Rectangle 96">
            <a:extLst>
              <a:ext uri="{FF2B5EF4-FFF2-40B4-BE49-F238E27FC236}">
                <a16:creationId xmlns:a16="http://schemas.microsoft.com/office/drawing/2014/main" id="{6101C931-AAF1-8D88-C1C5-B96FF1D5A4AC}"/>
              </a:ext>
            </a:extLst>
          </xdr:cNvPr>
          <xdr:cNvSpPr/>
        </xdr:nvSpPr>
        <xdr:spPr>
          <a:xfrm>
            <a:off x="536028" y="651641"/>
            <a:ext cx="1271751" cy="357352"/>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98" name="Group 97">
            <a:extLst>
              <a:ext uri="{FF2B5EF4-FFF2-40B4-BE49-F238E27FC236}">
                <a16:creationId xmlns:a16="http://schemas.microsoft.com/office/drawing/2014/main" id="{4B7644CF-487C-7EBC-8235-2FF60C5F8B30}"/>
              </a:ext>
            </a:extLst>
          </xdr:cNvPr>
          <xdr:cNvGrpSpPr/>
        </xdr:nvGrpSpPr>
        <xdr:grpSpPr>
          <a:xfrm>
            <a:off x="629100" y="730593"/>
            <a:ext cx="486000" cy="200102"/>
            <a:chOff x="2522715" y="2396971"/>
            <a:chExt cx="4565536" cy="2894120"/>
          </a:xfrm>
        </xdr:grpSpPr>
        <xdr:sp macro="" textlink="">
          <xdr:nvSpPr>
            <xdr:cNvPr id="100" name="Rectangle 99">
              <a:extLst>
                <a:ext uri="{FF2B5EF4-FFF2-40B4-BE49-F238E27FC236}">
                  <a16:creationId xmlns:a16="http://schemas.microsoft.com/office/drawing/2014/main" id="{52A2BA91-1019-8A9A-70B7-79B9CE70BD24}"/>
                </a:ext>
              </a:extLst>
            </xdr:cNvPr>
            <xdr:cNvSpPr/>
          </xdr:nvSpPr>
          <xdr:spPr>
            <a:xfrm>
              <a:off x="6658258"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1" name="Rectangle 100">
              <a:extLst>
                <a:ext uri="{FF2B5EF4-FFF2-40B4-BE49-F238E27FC236}">
                  <a16:creationId xmlns:a16="http://schemas.microsoft.com/office/drawing/2014/main" id="{CAC9AEAA-14A2-7B69-54E5-0CE7E9A94682}"/>
                </a:ext>
              </a:extLst>
            </xdr:cNvPr>
            <xdr:cNvSpPr/>
          </xdr:nvSpPr>
          <xdr:spPr>
            <a:xfrm>
              <a:off x="4900472"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3" name="Rectangle 102">
              <a:extLst>
                <a:ext uri="{FF2B5EF4-FFF2-40B4-BE49-F238E27FC236}">
                  <a16:creationId xmlns:a16="http://schemas.microsoft.com/office/drawing/2014/main" id="{B914C382-55DF-AE59-AD3F-2CD12B317AE1}"/>
                </a:ext>
              </a:extLst>
            </xdr:cNvPr>
            <xdr:cNvSpPr/>
          </xdr:nvSpPr>
          <xdr:spPr>
            <a:xfrm>
              <a:off x="438265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3" name="Rectangle 112">
              <a:extLst>
                <a:ext uri="{FF2B5EF4-FFF2-40B4-BE49-F238E27FC236}">
                  <a16:creationId xmlns:a16="http://schemas.microsoft.com/office/drawing/2014/main" id="{2D753643-D963-12C4-BDB1-F7BF63AE21D1}"/>
                </a:ext>
              </a:extLst>
            </xdr:cNvPr>
            <xdr:cNvSpPr/>
          </xdr:nvSpPr>
          <xdr:spPr>
            <a:xfrm>
              <a:off x="290008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4" name="Rectangle 113">
              <a:extLst>
                <a:ext uri="{FF2B5EF4-FFF2-40B4-BE49-F238E27FC236}">
                  <a16:creationId xmlns:a16="http://schemas.microsoft.com/office/drawing/2014/main" id="{678D7BCC-6620-9CC8-F65B-F0EB7492BA99}"/>
                </a:ext>
              </a:extLst>
            </xdr:cNvPr>
            <xdr:cNvSpPr/>
          </xdr:nvSpPr>
          <xdr:spPr>
            <a:xfrm>
              <a:off x="6476929"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5" name="Rectangle 114">
              <a:extLst>
                <a:ext uri="{FF2B5EF4-FFF2-40B4-BE49-F238E27FC236}">
                  <a16:creationId xmlns:a16="http://schemas.microsoft.com/office/drawing/2014/main" id="{4F63580D-1424-A3DB-1BC9-296FD65B07DF}"/>
                </a:ext>
              </a:extLst>
            </xdr:cNvPr>
            <xdr:cNvSpPr/>
          </xdr:nvSpPr>
          <xdr:spPr>
            <a:xfrm>
              <a:off x="6260267"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6" name="Rectangle 115">
              <a:extLst>
                <a:ext uri="{FF2B5EF4-FFF2-40B4-BE49-F238E27FC236}">
                  <a16:creationId xmlns:a16="http://schemas.microsoft.com/office/drawing/2014/main" id="{60EC4B9F-7C48-9D4D-6051-86EDBD5582E6}"/>
                </a:ext>
              </a:extLst>
            </xdr:cNvPr>
            <xdr:cNvSpPr/>
          </xdr:nvSpPr>
          <xdr:spPr>
            <a:xfrm>
              <a:off x="5739228"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Rectangle 116">
              <a:extLst>
                <a:ext uri="{FF2B5EF4-FFF2-40B4-BE49-F238E27FC236}">
                  <a16:creationId xmlns:a16="http://schemas.microsoft.com/office/drawing/2014/main" id="{B494B880-AC60-B9AC-7C2F-2E7B8C05BEAA}"/>
                </a:ext>
              </a:extLst>
            </xdr:cNvPr>
            <xdr:cNvSpPr/>
          </xdr:nvSpPr>
          <xdr:spPr>
            <a:xfrm>
              <a:off x="5518798"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Rectangle 117">
              <a:extLst>
                <a:ext uri="{FF2B5EF4-FFF2-40B4-BE49-F238E27FC236}">
                  <a16:creationId xmlns:a16="http://schemas.microsoft.com/office/drawing/2014/main" id="{0787E60D-3B58-7897-527C-192FFB42D300}"/>
                </a:ext>
              </a:extLst>
            </xdr:cNvPr>
            <xdr:cNvSpPr/>
          </xdr:nvSpPr>
          <xdr:spPr>
            <a:xfrm>
              <a:off x="5350810"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9" name="Rectangle 118">
              <a:extLst>
                <a:ext uri="{FF2B5EF4-FFF2-40B4-BE49-F238E27FC236}">
                  <a16:creationId xmlns:a16="http://schemas.microsoft.com/office/drawing/2014/main" id="{52E39532-0CFA-5F4C-5E22-EDA6ED847FB8}"/>
                </a:ext>
              </a:extLst>
            </xdr:cNvPr>
            <xdr:cNvSpPr/>
          </xdr:nvSpPr>
          <xdr:spPr>
            <a:xfrm>
              <a:off x="328660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0" name="Rectangle 119">
              <a:extLst>
                <a:ext uri="{FF2B5EF4-FFF2-40B4-BE49-F238E27FC236}">
                  <a16:creationId xmlns:a16="http://schemas.microsoft.com/office/drawing/2014/main" id="{310DC4F3-F4F3-D1B4-44BF-45B8445C5DED}"/>
                </a:ext>
              </a:extLst>
            </xdr:cNvPr>
            <xdr:cNvSpPr/>
          </xdr:nvSpPr>
          <xdr:spPr>
            <a:xfrm>
              <a:off x="34820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1" name="Rectangle 120">
              <a:extLst>
                <a:ext uri="{FF2B5EF4-FFF2-40B4-BE49-F238E27FC236}">
                  <a16:creationId xmlns:a16="http://schemas.microsoft.com/office/drawing/2014/main" id="{AC57DB8C-7446-78F6-B79B-D5B90113F225}"/>
                </a:ext>
              </a:extLst>
            </xdr:cNvPr>
            <xdr:cNvSpPr/>
          </xdr:nvSpPr>
          <xdr:spPr>
            <a:xfrm>
              <a:off x="4165061"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2" name="Rectangle 121">
              <a:extLst>
                <a:ext uri="{FF2B5EF4-FFF2-40B4-BE49-F238E27FC236}">
                  <a16:creationId xmlns:a16="http://schemas.microsoft.com/office/drawing/2014/main" id="{1C0CE3AF-16E7-6DD6-D483-045814E80555}"/>
                </a:ext>
              </a:extLst>
            </xdr:cNvPr>
            <xdr:cNvSpPr/>
          </xdr:nvSpPr>
          <xdr:spPr>
            <a:xfrm>
              <a:off x="400649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3" name="Rectangle 122">
              <a:extLst>
                <a:ext uri="{FF2B5EF4-FFF2-40B4-BE49-F238E27FC236}">
                  <a16:creationId xmlns:a16="http://schemas.microsoft.com/office/drawing/2014/main" id="{362AE465-2BF0-6E49-AF66-2CCB65ADA1F2}"/>
                </a:ext>
              </a:extLst>
            </xdr:cNvPr>
            <xdr:cNvSpPr/>
          </xdr:nvSpPr>
          <xdr:spPr>
            <a:xfrm>
              <a:off x="26834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4" name="Rectangle 123">
              <a:extLst>
                <a:ext uri="{FF2B5EF4-FFF2-40B4-BE49-F238E27FC236}">
                  <a16:creationId xmlns:a16="http://schemas.microsoft.com/office/drawing/2014/main" id="{A17102E9-B0B4-52D8-A580-7FDF0728CD78}"/>
                </a:ext>
              </a:extLst>
            </xdr:cNvPr>
            <xdr:cNvSpPr/>
          </xdr:nvSpPr>
          <xdr:spPr>
            <a:xfrm>
              <a:off x="252271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5" name="Rectangle 124">
              <a:extLst>
                <a:ext uri="{FF2B5EF4-FFF2-40B4-BE49-F238E27FC236}">
                  <a16:creationId xmlns:a16="http://schemas.microsoft.com/office/drawing/2014/main" id="{4254BDD1-8EEF-C392-046C-80E5465A0964}"/>
                </a:ext>
              </a:extLst>
            </xdr:cNvPr>
            <xdr:cNvSpPr/>
          </xdr:nvSpPr>
          <xdr:spPr>
            <a:xfrm>
              <a:off x="696225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Rectangle 125">
              <a:extLst>
                <a:ext uri="{FF2B5EF4-FFF2-40B4-BE49-F238E27FC236}">
                  <a16:creationId xmlns:a16="http://schemas.microsoft.com/office/drawing/2014/main" id="{7831011D-B110-A861-0B2D-8348FFB74891}"/>
                </a:ext>
              </a:extLst>
            </xdr:cNvPr>
            <xdr:cNvSpPr/>
          </xdr:nvSpPr>
          <xdr:spPr>
            <a:xfrm>
              <a:off x="3799324"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Rectangle 126">
              <a:extLst>
                <a:ext uri="{FF2B5EF4-FFF2-40B4-BE49-F238E27FC236}">
                  <a16:creationId xmlns:a16="http://schemas.microsoft.com/office/drawing/2014/main" id="{9F7FAFD8-915D-FAE8-EC73-FB1A0668BAE9}"/>
                </a:ext>
              </a:extLst>
            </xdr:cNvPr>
            <xdr:cNvSpPr/>
          </xdr:nvSpPr>
          <xdr:spPr>
            <a:xfrm>
              <a:off x="6035306"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8" name="Rectangle 127">
              <a:extLst>
                <a:ext uri="{FF2B5EF4-FFF2-40B4-BE49-F238E27FC236}">
                  <a16:creationId xmlns:a16="http://schemas.microsoft.com/office/drawing/2014/main" id="{9133B0A9-DCFB-FA78-0453-072F129750D5}"/>
                </a:ext>
              </a:extLst>
            </xdr:cNvPr>
            <xdr:cNvSpPr/>
          </xdr:nvSpPr>
          <xdr:spPr>
            <a:xfrm>
              <a:off x="5220380"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9" name="Rectangle 128">
              <a:extLst>
                <a:ext uri="{FF2B5EF4-FFF2-40B4-BE49-F238E27FC236}">
                  <a16:creationId xmlns:a16="http://schemas.microsoft.com/office/drawing/2014/main" id="{16022DB6-509E-666E-64F0-EE44F0905321}"/>
                </a:ext>
              </a:extLst>
            </xdr:cNvPr>
            <xdr:cNvSpPr/>
          </xdr:nvSpPr>
          <xdr:spPr>
            <a:xfrm>
              <a:off x="4732735"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99" name="Logo">
            <a:extLst>
              <a:ext uri="{FF2B5EF4-FFF2-40B4-BE49-F238E27FC236}">
                <a16:creationId xmlns:a16="http://schemas.microsoft.com/office/drawing/2014/main" id="{2C1689D4-D928-F940-7EEE-C52BF868F315}"/>
              </a:ext>
            </a:extLst>
          </xdr:cNvPr>
          <xdr:cNvSpPr/>
        </xdr:nvSpPr>
        <xdr:spPr>
          <a:xfrm>
            <a:off x="865321" y="738065"/>
            <a:ext cx="830580" cy="189344"/>
          </a:xfrm>
          <a:custGeom>
            <a:avLst/>
            <a:gdLst>
              <a:gd name="connsiteX0" fmla="*/ 2730532 w 2898895"/>
              <a:gd name="connsiteY0" fmla="*/ 207436 h 657179"/>
              <a:gd name="connsiteX1" fmla="*/ 2483568 w 2898895"/>
              <a:gd name="connsiteY1" fmla="*/ 637175 h 657179"/>
              <a:gd name="connsiteX2" fmla="*/ 2249634 w 2898895"/>
              <a:gd name="connsiteY2" fmla="*/ 207436 h 657179"/>
              <a:gd name="connsiteX3" fmla="*/ 2249634 w 2898895"/>
              <a:gd name="connsiteY3" fmla="*/ 597180 h 657179"/>
              <a:gd name="connsiteX4" fmla="*/ 2250253 w 2898895"/>
              <a:gd name="connsiteY4" fmla="*/ 605410 h 657179"/>
              <a:gd name="connsiteX5" fmla="*/ 2252501 w 2898895"/>
              <a:gd name="connsiteY5" fmla="*/ 613258 h 657179"/>
              <a:gd name="connsiteX6" fmla="*/ 2256140 w 2898895"/>
              <a:gd name="connsiteY6" fmla="*/ 619030 h 657179"/>
              <a:gd name="connsiteX7" fmla="*/ 2261788 w 2898895"/>
              <a:gd name="connsiteY7" fmla="*/ 623793 h 657179"/>
              <a:gd name="connsiteX8" fmla="*/ 2276466 w 2898895"/>
              <a:gd name="connsiteY8" fmla="*/ 630270 h 657179"/>
              <a:gd name="connsiteX9" fmla="*/ 2279400 w 2898895"/>
              <a:gd name="connsiteY9" fmla="*/ 631127 h 657179"/>
              <a:gd name="connsiteX10" fmla="*/ 2279400 w 2898895"/>
              <a:gd name="connsiteY10" fmla="*/ 646015 h 657179"/>
              <a:gd name="connsiteX11" fmla="*/ 2092900 w 2898895"/>
              <a:gd name="connsiteY11" fmla="*/ 646015 h 657179"/>
              <a:gd name="connsiteX12" fmla="*/ 2092900 w 2898895"/>
              <a:gd name="connsiteY12" fmla="*/ 631127 h 657179"/>
              <a:gd name="connsiteX13" fmla="*/ 2101501 w 2898895"/>
              <a:gd name="connsiteY13" fmla="*/ 628289 h 657179"/>
              <a:gd name="connsiteX14" fmla="*/ 2114741 w 2898895"/>
              <a:gd name="connsiteY14" fmla="*/ 620497 h 657179"/>
              <a:gd name="connsiteX15" fmla="*/ 2116151 w 2898895"/>
              <a:gd name="connsiteY15" fmla="*/ 619030 h 657179"/>
              <a:gd name="connsiteX16" fmla="*/ 2120713 w 2898895"/>
              <a:gd name="connsiteY16" fmla="*/ 610858 h 657179"/>
              <a:gd name="connsiteX17" fmla="*/ 2122361 w 2898895"/>
              <a:gd name="connsiteY17" fmla="*/ 603019 h 657179"/>
              <a:gd name="connsiteX18" fmla="*/ 2122666 w 2898895"/>
              <a:gd name="connsiteY18" fmla="*/ 597180 h 657179"/>
              <a:gd name="connsiteX19" fmla="*/ 2122666 w 2898895"/>
              <a:gd name="connsiteY19" fmla="*/ 59532 h 657179"/>
              <a:gd name="connsiteX20" fmla="*/ 2122028 w 2898895"/>
              <a:gd name="connsiteY20" fmla="*/ 51445 h 657179"/>
              <a:gd name="connsiteX21" fmla="*/ 2119589 w 2898895"/>
              <a:gd name="connsiteY21" fmla="*/ 43434 h 657179"/>
              <a:gd name="connsiteX22" fmla="*/ 2116151 w 2898895"/>
              <a:gd name="connsiteY22" fmla="*/ 38139 h 657179"/>
              <a:gd name="connsiteX23" fmla="*/ 2110502 w 2898895"/>
              <a:gd name="connsiteY23" fmla="*/ 33376 h 657179"/>
              <a:gd name="connsiteX24" fmla="*/ 2095824 w 2898895"/>
              <a:gd name="connsiteY24" fmla="*/ 26909 h 657179"/>
              <a:gd name="connsiteX25" fmla="*/ 2092900 w 2898895"/>
              <a:gd name="connsiteY25" fmla="*/ 26051 h 657179"/>
              <a:gd name="connsiteX26" fmla="*/ 2092900 w 2898895"/>
              <a:gd name="connsiteY26" fmla="*/ 11164 h 657179"/>
              <a:gd name="connsiteX27" fmla="*/ 2337531 w 2898895"/>
              <a:gd name="connsiteY27" fmla="*/ 11164 h 657179"/>
              <a:gd name="connsiteX28" fmla="*/ 2337531 w 2898895"/>
              <a:gd name="connsiteY28" fmla="*/ 26051 h 657179"/>
              <a:gd name="connsiteX29" fmla="*/ 2315671 w 2898895"/>
              <a:gd name="connsiteY29" fmla="*/ 51626 h 657179"/>
              <a:gd name="connsiteX30" fmla="*/ 2316747 w 2898895"/>
              <a:gd name="connsiteY30" fmla="*/ 59646 h 657179"/>
              <a:gd name="connsiteX31" fmla="*/ 2322186 w 2898895"/>
              <a:gd name="connsiteY31" fmla="*/ 73019 h 657179"/>
              <a:gd name="connsiteX32" fmla="*/ 2495198 w 2898895"/>
              <a:gd name="connsiteY32" fmla="*/ 392069 h 657179"/>
              <a:gd name="connsiteX33" fmla="*/ 2670534 w 2898895"/>
              <a:gd name="connsiteY33" fmla="*/ 78601 h 657179"/>
              <a:gd name="connsiteX34" fmla="*/ 2675345 w 2898895"/>
              <a:gd name="connsiteY34" fmla="*/ 69209 h 657179"/>
              <a:gd name="connsiteX35" fmla="*/ 2682164 w 2898895"/>
              <a:gd name="connsiteY35" fmla="*/ 47444 h 657179"/>
              <a:gd name="connsiteX36" fmla="*/ 2658904 w 2898895"/>
              <a:gd name="connsiteY36" fmla="*/ 26051 h 657179"/>
              <a:gd name="connsiteX37" fmla="*/ 2658904 w 2898895"/>
              <a:gd name="connsiteY37" fmla="*/ 11164 h 657179"/>
              <a:gd name="connsiteX38" fmla="*/ 2898896 w 2898895"/>
              <a:gd name="connsiteY38" fmla="*/ 11164 h 657179"/>
              <a:gd name="connsiteX39" fmla="*/ 2898896 w 2898895"/>
              <a:gd name="connsiteY39" fmla="*/ 26051 h 657179"/>
              <a:gd name="connsiteX40" fmla="*/ 2890286 w 2898895"/>
              <a:gd name="connsiteY40" fmla="*/ 28880 h 657179"/>
              <a:gd name="connsiteX41" fmla="*/ 2877046 w 2898895"/>
              <a:gd name="connsiteY41" fmla="*/ 36681 h 657179"/>
              <a:gd name="connsiteX42" fmla="*/ 2875636 w 2898895"/>
              <a:gd name="connsiteY42" fmla="*/ 38139 h 657179"/>
              <a:gd name="connsiteX43" fmla="*/ 2870855 w 2898895"/>
              <a:gd name="connsiteY43" fmla="*/ 46873 h 657179"/>
              <a:gd name="connsiteX44" fmla="*/ 2869331 w 2898895"/>
              <a:gd name="connsiteY44" fmla="*/ 54788 h 657179"/>
              <a:gd name="connsiteX45" fmla="*/ 2869131 w 2898895"/>
              <a:gd name="connsiteY45" fmla="*/ 59532 h 657179"/>
              <a:gd name="connsiteX46" fmla="*/ 2869131 w 2898895"/>
              <a:gd name="connsiteY46" fmla="*/ 597180 h 657179"/>
              <a:gd name="connsiteX47" fmla="*/ 2869750 w 2898895"/>
              <a:gd name="connsiteY47" fmla="*/ 605410 h 657179"/>
              <a:gd name="connsiteX48" fmla="*/ 2871998 w 2898895"/>
              <a:gd name="connsiteY48" fmla="*/ 613258 h 657179"/>
              <a:gd name="connsiteX49" fmla="*/ 2875636 w 2898895"/>
              <a:gd name="connsiteY49" fmla="*/ 619030 h 657179"/>
              <a:gd name="connsiteX50" fmla="*/ 2881285 w 2898895"/>
              <a:gd name="connsiteY50" fmla="*/ 623793 h 657179"/>
              <a:gd name="connsiteX51" fmla="*/ 2895962 w 2898895"/>
              <a:gd name="connsiteY51" fmla="*/ 630270 h 657179"/>
              <a:gd name="connsiteX52" fmla="*/ 2898896 w 2898895"/>
              <a:gd name="connsiteY52" fmla="*/ 631127 h 657179"/>
              <a:gd name="connsiteX53" fmla="*/ 2898896 w 2898895"/>
              <a:gd name="connsiteY53" fmla="*/ 646015 h 657179"/>
              <a:gd name="connsiteX54" fmla="*/ 2700767 w 2898895"/>
              <a:gd name="connsiteY54" fmla="*/ 646015 h 657179"/>
              <a:gd name="connsiteX55" fmla="*/ 2700767 w 2898895"/>
              <a:gd name="connsiteY55" fmla="*/ 631127 h 657179"/>
              <a:gd name="connsiteX56" fmla="*/ 2709168 w 2898895"/>
              <a:gd name="connsiteY56" fmla="*/ 628498 h 657179"/>
              <a:gd name="connsiteX57" fmla="*/ 2723084 w 2898895"/>
              <a:gd name="connsiteY57" fmla="*/ 620040 h 657179"/>
              <a:gd name="connsiteX58" fmla="*/ 2723789 w 2898895"/>
              <a:gd name="connsiteY58" fmla="*/ 619268 h 657179"/>
              <a:gd name="connsiteX59" fmla="*/ 2730323 w 2898895"/>
              <a:gd name="connsiteY59" fmla="*/ 602076 h 657179"/>
              <a:gd name="connsiteX60" fmla="*/ 2730532 w 2898895"/>
              <a:gd name="connsiteY60" fmla="*/ 597180 h 657179"/>
              <a:gd name="connsiteX61" fmla="*/ 1126446 w 2898895"/>
              <a:gd name="connsiteY61" fmla="*/ 436722 h 657179"/>
              <a:gd name="connsiteX62" fmla="*/ 1139000 w 2898895"/>
              <a:gd name="connsiteY62" fmla="*/ 427883 h 657179"/>
              <a:gd name="connsiteX63" fmla="*/ 1227363 w 2898895"/>
              <a:gd name="connsiteY63" fmla="*/ 560432 h 657179"/>
              <a:gd name="connsiteX64" fmla="*/ 1215276 w 2898895"/>
              <a:gd name="connsiteY64" fmla="*/ 568805 h 657179"/>
              <a:gd name="connsiteX65" fmla="*/ 1209237 w 2898895"/>
              <a:gd name="connsiteY65" fmla="*/ 563661 h 657179"/>
              <a:gd name="connsiteX66" fmla="*/ 1198160 w 2898895"/>
              <a:gd name="connsiteY66" fmla="*/ 557404 h 657179"/>
              <a:gd name="connsiteX67" fmla="*/ 1193883 w 2898895"/>
              <a:gd name="connsiteY67" fmla="*/ 556718 h 657179"/>
              <a:gd name="connsiteX68" fmla="*/ 1146906 w 2898895"/>
              <a:gd name="connsiteY68" fmla="*/ 579035 h 657179"/>
              <a:gd name="connsiteX69" fmla="*/ 1099386 w 2898895"/>
              <a:gd name="connsiteY69" fmla="*/ 604886 h 657179"/>
              <a:gd name="connsiteX70" fmla="*/ 1012260 w 2898895"/>
              <a:gd name="connsiteY70" fmla="*/ 641128 h 657179"/>
              <a:gd name="connsiteX71" fmla="*/ 882273 w 2898895"/>
              <a:gd name="connsiteY71" fmla="*/ 657168 h 657179"/>
              <a:gd name="connsiteX72" fmla="*/ 775164 w 2898895"/>
              <a:gd name="connsiteY72" fmla="*/ 646748 h 657179"/>
              <a:gd name="connsiteX73" fmla="*/ 635775 w 2898895"/>
              <a:gd name="connsiteY73" fmla="*/ 586017 h 657179"/>
              <a:gd name="connsiteX74" fmla="*/ 546478 w 2898895"/>
              <a:gd name="connsiteY74" fmla="*/ 483232 h 657179"/>
              <a:gd name="connsiteX75" fmla="*/ 508893 w 2898895"/>
              <a:gd name="connsiteY75" fmla="*/ 336262 h 657179"/>
              <a:gd name="connsiteX76" fmla="*/ 508807 w 2898895"/>
              <a:gd name="connsiteY76" fmla="*/ 328356 h 657179"/>
              <a:gd name="connsiteX77" fmla="*/ 576244 w 2898895"/>
              <a:gd name="connsiteY77" fmla="*/ 127902 h 657179"/>
              <a:gd name="connsiteX78" fmla="*/ 878539 w 2898895"/>
              <a:gd name="connsiteY78" fmla="*/ 20 h 657179"/>
              <a:gd name="connsiteX79" fmla="*/ 882739 w 2898895"/>
              <a:gd name="connsiteY79" fmla="*/ 0 h 657179"/>
              <a:gd name="connsiteX80" fmla="*/ 1012032 w 2898895"/>
              <a:gd name="connsiteY80" fmla="*/ 15812 h 657179"/>
              <a:gd name="connsiteX81" fmla="*/ 1048389 w 2898895"/>
              <a:gd name="connsiteY81" fmla="*/ 28699 h 657179"/>
              <a:gd name="connsiteX82" fmla="*/ 1139572 w 2898895"/>
              <a:gd name="connsiteY82" fmla="*/ 73953 h 657179"/>
              <a:gd name="connsiteX83" fmla="*/ 1146906 w 2898895"/>
              <a:gd name="connsiteY83" fmla="*/ 78134 h 657179"/>
              <a:gd name="connsiteX84" fmla="*/ 1160317 w 2898895"/>
              <a:gd name="connsiteY84" fmla="*/ 85564 h 657179"/>
              <a:gd name="connsiteX85" fmla="*/ 1193883 w 2898895"/>
              <a:gd name="connsiteY85" fmla="*/ 99994 h 657179"/>
              <a:gd name="connsiteX86" fmla="*/ 1215276 w 2898895"/>
              <a:gd name="connsiteY86" fmla="*/ 87907 h 657179"/>
              <a:gd name="connsiteX87" fmla="*/ 1227363 w 2898895"/>
              <a:gd name="connsiteY87" fmla="*/ 96279 h 657179"/>
              <a:gd name="connsiteX88" fmla="*/ 1139000 w 2898895"/>
              <a:gd name="connsiteY88" fmla="*/ 228829 h 657179"/>
              <a:gd name="connsiteX89" fmla="*/ 1126446 w 2898895"/>
              <a:gd name="connsiteY89" fmla="*/ 220457 h 657179"/>
              <a:gd name="connsiteX90" fmla="*/ 1127008 w 2898895"/>
              <a:gd name="connsiteY90" fmla="*/ 215227 h 657179"/>
              <a:gd name="connsiteX91" fmla="*/ 1127370 w 2898895"/>
              <a:gd name="connsiteY91" fmla="*/ 207893 h 657179"/>
              <a:gd name="connsiteX92" fmla="*/ 1122369 w 2898895"/>
              <a:gd name="connsiteY92" fmla="*/ 190891 h 657179"/>
              <a:gd name="connsiteX93" fmla="*/ 1115750 w 2898895"/>
              <a:gd name="connsiteY93" fmla="*/ 182547 h 657179"/>
              <a:gd name="connsiteX94" fmla="*/ 1107768 w 2898895"/>
              <a:gd name="connsiteY94" fmla="*/ 175489 h 657179"/>
              <a:gd name="connsiteX95" fmla="*/ 1074354 w 2898895"/>
              <a:gd name="connsiteY95" fmla="*/ 153944 h 657179"/>
              <a:gd name="connsiteX96" fmla="*/ 899942 w 2898895"/>
              <a:gd name="connsiteY96" fmla="*/ 107442 h 657179"/>
              <a:gd name="connsiteX97" fmla="*/ 726472 w 2898895"/>
              <a:gd name="connsiteY97" fmla="*/ 161849 h 657179"/>
              <a:gd name="connsiteX98" fmla="*/ 650863 w 2898895"/>
              <a:gd name="connsiteY98" fmla="*/ 309430 h 657179"/>
              <a:gd name="connsiteX99" fmla="*/ 650196 w 2898895"/>
              <a:gd name="connsiteY99" fmla="*/ 328356 h 657179"/>
              <a:gd name="connsiteX100" fmla="*/ 665855 w 2898895"/>
              <a:gd name="connsiteY100" fmla="*/ 413481 h 657179"/>
              <a:gd name="connsiteX101" fmla="*/ 726472 w 2898895"/>
              <a:gd name="connsiteY101" fmla="*/ 494853 h 657179"/>
              <a:gd name="connsiteX102" fmla="*/ 899942 w 2898895"/>
              <a:gd name="connsiteY102" fmla="*/ 549269 h 657179"/>
              <a:gd name="connsiteX103" fmla="*/ 1074354 w 2898895"/>
              <a:gd name="connsiteY103" fmla="*/ 502759 h 657179"/>
              <a:gd name="connsiteX104" fmla="*/ 1115750 w 2898895"/>
              <a:gd name="connsiteY104" fmla="*/ 474164 h 657179"/>
              <a:gd name="connsiteX105" fmla="*/ 1122598 w 2898895"/>
              <a:gd name="connsiteY105" fmla="*/ 465430 h 657179"/>
              <a:gd name="connsiteX106" fmla="*/ 1127370 w 2898895"/>
              <a:gd name="connsiteY106" fmla="*/ 448809 h 657179"/>
              <a:gd name="connsiteX107" fmla="*/ 1127246 w 2898895"/>
              <a:gd name="connsiteY107" fmla="*/ 444713 h 657179"/>
              <a:gd name="connsiteX108" fmla="*/ 1126827 w 2898895"/>
              <a:gd name="connsiteY108" fmla="*/ 439884 h 657179"/>
              <a:gd name="connsiteX109" fmla="*/ 1126446 w 2898895"/>
              <a:gd name="connsiteY109" fmla="*/ 436722 h 657179"/>
              <a:gd name="connsiteX110" fmla="*/ 1660360 w 2898895"/>
              <a:gd name="connsiteY110" fmla="*/ 386954 h 657179"/>
              <a:gd name="connsiteX111" fmla="*/ 1491073 w 2898895"/>
              <a:gd name="connsiteY111" fmla="*/ 386954 h 657179"/>
              <a:gd name="connsiteX112" fmla="*/ 1491073 w 2898895"/>
              <a:gd name="connsiteY112" fmla="*/ 597637 h 657179"/>
              <a:gd name="connsiteX113" fmla="*/ 1491797 w 2898895"/>
              <a:gd name="connsiteY113" fmla="*/ 606124 h 657179"/>
              <a:gd name="connsiteX114" fmla="*/ 1494635 w 2898895"/>
              <a:gd name="connsiteY114" fmla="*/ 614611 h 657179"/>
              <a:gd name="connsiteX115" fmla="*/ 1497816 w 2898895"/>
              <a:gd name="connsiteY115" fmla="*/ 619268 h 657179"/>
              <a:gd name="connsiteX116" fmla="*/ 1519562 w 2898895"/>
              <a:gd name="connsiteY116" fmla="*/ 630794 h 657179"/>
              <a:gd name="connsiteX117" fmla="*/ 1520838 w 2898895"/>
              <a:gd name="connsiteY117" fmla="*/ 631127 h 657179"/>
              <a:gd name="connsiteX118" fmla="*/ 1520838 w 2898895"/>
              <a:gd name="connsiteY118" fmla="*/ 646015 h 657179"/>
              <a:gd name="connsiteX119" fmla="*/ 1322709 w 2898895"/>
              <a:gd name="connsiteY119" fmla="*/ 646015 h 657179"/>
              <a:gd name="connsiteX120" fmla="*/ 1322709 w 2898895"/>
              <a:gd name="connsiteY120" fmla="*/ 631127 h 657179"/>
              <a:gd name="connsiteX121" fmla="*/ 1331319 w 2898895"/>
              <a:gd name="connsiteY121" fmla="*/ 628289 h 657179"/>
              <a:gd name="connsiteX122" fmla="*/ 1344559 w 2898895"/>
              <a:gd name="connsiteY122" fmla="*/ 620497 h 657179"/>
              <a:gd name="connsiteX123" fmla="*/ 1345969 w 2898895"/>
              <a:gd name="connsiteY123" fmla="*/ 619030 h 657179"/>
              <a:gd name="connsiteX124" fmla="*/ 1350741 w 2898895"/>
              <a:gd name="connsiteY124" fmla="*/ 610296 h 657179"/>
              <a:gd name="connsiteX125" fmla="*/ 1352274 w 2898895"/>
              <a:gd name="connsiteY125" fmla="*/ 602381 h 657179"/>
              <a:gd name="connsiteX126" fmla="*/ 1352474 w 2898895"/>
              <a:gd name="connsiteY126" fmla="*/ 597637 h 657179"/>
              <a:gd name="connsiteX127" fmla="*/ 1352474 w 2898895"/>
              <a:gd name="connsiteY127" fmla="*/ 59998 h 657179"/>
              <a:gd name="connsiteX128" fmla="*/ 1351855 w 2898895"/>
              <a:gd name="connsiteY128" fmla="*/ 51769 h 657179"/>
              <a:gd name="connsiteX129" fmla="*/ 1349598 w 2898895"/>
              <a:gd name="connsiteY129" fmla="*/ 43920 h 657179"/>
              <a:gd name="connsiteX130" fmla="*/ 1345969 w 2898895"/>
              <a:gd name="connsiteY130" fmla="*/ 38139 h 657179"/>
              <a:gd name="connsiteX131" fmla="*/ 1340320 w 2898895"/>
              <a:gd name="connsiteY131" fmla="*/ 33376 h 657179"/>
              <a:gd name="connsiteX132" fmla="*/ 1325642 w 2898895"/>
              <a:gd name="connsiteY132" fmla="*/ 26909 h 657179"/>
              <a:gd name="connsiteX133" fmla="*/ 1322709 w 2898895"/>
              <a:gd name="connsiteY133" fmla="*/ 26051 h 657179"/>
              <a:gd name="connsiteX134" fmla="*/ 1322709 w 2898895"/>
              <a:gd name="connsiteY134" fmla="*/ 11164 h 657179"/>
              <a:gd name="connsiteX135" fmla="*/ 1719892 w 2898895"/>
              <a:gd name="connsiteY135" fmla="*/ 11164 h 657179"/>
              <a:gd name="connsiteX136" fmla="*/ 1762316 w 2898895"/>
              <a:gd name="connsiteY136" fmla="*/ 11983 h 657179"/>
              <a:gd name="connsiteX137" fmla="*/ 1835001 w 2898895"/>
              <a:gd name="connsiteY137" fmla="*/ 19536 h 657179"/>
              <a:gd name="connsiteX138" fmla="*/ 1879140 w 2898895"/>
              <a:gd name="connsiteY138" fmla="*/ 32805 h 657179"/>
              <a:gd name="connsiteX139" fmla="*/ 1909182 w 2898895"/>
              <a:gd name="connsiteY139" fmla="*/ 48835 h 657179"/>
              <a:gd name="connsiteX140" fmla="*/ 1964065 w 2898895"/>
              <a:gd name="connsiteY140" fmla="*/ 114415 h 657179"/>
              <a:gd name="connsiteX141" fmla="*/ 1981277 w 2898895"/>
              <a:gd name="connsiteY141" fmla="*/ 199987 h 657179"/>
              <a:gd name="connsiteX142" fmla="*/ 1808731 w 2898895"/>
              <a:gd name="connsiteY142" fmla="*/ 381839 h 657179"/>
              <a:gd name="connsiteX143" fmla="*/ 1931975 w 2898895"/>
              <a:gd name="connsiteY143" fmla="*/ 557175 h 657179"/>
              <a:gd name="connsiteX144" fmla="*/ 1976228 w 2898895"/>
              <a:gd name="connsiteY144" fmla="*/ 613277 h 657179"/>
              <a:gd name="connsiteX145" fmla="*/ 1979648 w 2898895"/>
              <a:gd name="connsiteY145" fmla="*/ 616478 h 657179"/>
              <a:gd name="connsiteX146" fmla="*/ 2011595 w 2898895"/>
              <a:gd name="connsiteY146" fmla="*/ 630641 h 657179"/>
              <a:gd name="connsiteX147" fmla="*/ 2016624 w 2898895"/>
              <a:gd name="connsiteY147" fmla="*/ 631127 h 657179"/>
              <a:gd name="connsiteX148" fmla="*/ 2016624 w 2898895"/>
              <a:gd name="connsiteY148" fmla="*/ 646015 h 657179"/>
              <a:gd name="connsiteX149" fmla="*/ 1786872 w 2898895"/>
              <a:gd name="connsiteY149" fmla="*/ 646015 h 657179"/>
              <a:gd name="connsiteX150" fmla="*/ 1786872 w 2898895"/>
              <a:gd name="connsiteY150" fmla="*/ 631127 h 657179"/>
              <a:gd name="connsiteX151" fmla="*/ 1795377 w 2898895"/>
              <a:gd name="connsiteY151" fmla="*/ 629279 h 657179"/>
              <a:gd name="connsiteX152" fmla="*/ 1807988 w 2898895"/>
              <a:gd name="connsiteY152" fmla="*/ 621983 h 657179"/>
              <a:gd name="connsiteX153" fmla="*/ 1810589 w 2898895"/>
              <a:gd name="connsiteY153" fmla="*/ 614382 h 657179"/>
              <a:gd name="connsiteX154" fmla="*/ 1809617 w 2898895"/>
              <a:gd name="connsiteY154" fmla="*/ 609801 h 657179"/>
              <a:gd name="connsiteX155" fmla="*/ 1788729 w 2898895"/>
              <a:gd name="connsiteY155" fmla="*/ 573920 h 657179"/>
              <a:gd name="connsiteX156" fmla="*/ 29766 w 2898895"/>
              <a:gd name="connsiteY156" fmla="*/ 597180 h 657179"/>
              <a:gd name="connsiteX157" fmla="*/ 29766 w 2898895"/>
              <a:gd name="connsiteY157" fmla="*/ 59532 h 657179"/>
              <a:gd name="connsiteX158" fmla="*/ 29128 w 2898895"/>
              <a:gd name="connsiteY158" fmla="*/ 51445 h 657179"/>
              <a:gd name="connsiteX159" fmla="*/ 26690 w 2898895"/>
              <a:gd name="connsiteY159" fmla="*/ 43434 h 657179"/>
              <a:gd name="connsiteX160" fmla="*/ 23251 w 2898895"/>
              <a:gd name="connsiteY160" fmla="*/ 38139 h 657179"/>
              <a:gd name="connsiteX161" fmla="*/ 17612 w 2898895"/>
              <a:gd name="connsiteY161" fmla="*/ 33376 h 657179"/>
              <a:gd name="connsiteX162" fmla="*/ 2934 w 2898895"/>
              <a:gd name="connsiteY162" fmla="*/ 26909 h 657179"/>
              <a:gd name="connsiteX163" fmla="*/ 0 w 2898895"/>
              <a:gd name="connsiteY163" fmla="*/ 26051 h 657179"/>
              <a:gd name="connsiteX164" fmla="*/ 0 w 2898895"/>
              <a:gd name="connsiteY164" fmla="*/ 11164 h 657179"/>
              <a:gd name="connsiteX165" fmla="*/ 198130 w 2898895"/>
              <a:gd name="connsiteY165" fmla="*/ 11164 h 657179"/>
              <a:gd name="connsiteX166" fmla="*/ 198130 w 2898895"/>
              <a:gd name="connsiteY166" fmla="*/ 26051 h 657179"/>
              <a:gd name="connsiteX167" fmla="*/ 174870 w 2898895"/>
              <a:gd name="connsiteY167" fmla="*/ 37910 h 657179"/>
              <a:gd name="connsiteX168" fmla="*/ 168526 w 2898895"/>
              <a:gd name="connsiteY168" fmla="*/ 55293 h 657179"/>
              <a:gd name="connsiteX169" fmla="*/ 168364 w 2898895"/>
              <a:gd name="connsiteY169" fmla="*/ 59532 h 657179"/>
              <a:gd name="connsiteX170" fmla="*/ 168364 w 2898895"/>
              <a:gd name="connsiteY170" fmla="*/ 597180 h 657179"/>
              <a:gd name="connsiteX171" fmla="*/ 169022 w 2898895"/>
              <a:gd name="connsiteY171" fmla="*/ 605524 h 657179"/>
              <a:gd name="connsiteX172" fmla="*/ 171546 w 2898895"/>
              <a:gd name="connsiteY172" fmla="*/ 613801 h 657179"/>
              <a:gd name="connsiteX173" fmla="*/ 175108 w 2898895"/>
              <a:gd name="connsiteY173" fmla="*/ 619268 h 657179"/>
              <a:gd name="connsiteX174" fmla="*/ 196854 w 2898895"/>
              <a:gd name="connsiteY174" fmla="*/ 630794 h 657179"/>
              <a:gd name="connsiteX175" fmla="*/ 198130 w 2898895"/>
              <a:gd name="connsiteY175" fmla="*/ 631127 h 657179"/>
              <a:gd name="connsiteX176" fmla="*/ 198130 w 2898895"/>
              <a:gd name="connsiteY176" fmla="*/ 646015 h 657179"/>
              <a:gd name="connsiteX177" fmla="*/ 0 w 2898895"/>
              <a:gd name="connsiteY177" fmla="*/ 646015 h 657179"/>
              <a:gd name="connsiteX178" fmla="*/ 0 w 2898895"/>
              <a:gd name="connsiteY178" fmla="*/ 631127 h 657179"/>
              <a:gd name="connsiteX179" fmla="*/ 8611 w 2898895"/>
              <a:gd name="connsiteY179" fmla="*/ 628289 h 657179"/>
              <a:gd name="connsiteX180" fmla="*/ 21851 w 2898895"/>
              <a:gd name="connsiteY180" fmla="*/ 620497 h 657179"/>
              <a:gd name="connsiteX181" fmla="*/ 23251 w 2898895"/>
              <a:gd name="connsiteY181" fmla="*/ 619030 h 657179"/>
              <a:gd name="connsiteX182" fmla="*/ 27823 w 2898895"/>
              <a:gd name="connsiteY182" fmla="*/ 610858 h 657179"/>
              <a:gd name="connsiteX183" fmla="*/ 29471 w 2898895"/>
              <a:gd name="connsiteY183" fmla="*/ 603019 h 657179"/>
              <a:gd name="connsiteX184" fmla="*/ 29766 w 2898895"/>
              <a:gd name="connsiteY184" fmla="*/ 597180 h 657179"/>
              <a:gd name="connsiteX185" fmla="*/ 1491073 w 2898895"/>
              <a:gd name="connsiteY185" fmla="*/ 115805 h 657179"/>
              <a:gd name="connsiteX186" fmla="*/ 1491073 w 2898895"/>
              <a:gd name="connsiteY186" fmla="*/ 282312 h 657179"/>
              <a:gd name="connsiteX187" fmla="*/ 1705014 w 2898895"/>
              <a:gd name="connsiteY187" fmla="*/ 282312 h 657179"/>
              <a:gd name="connsiteX188" fmla="*/ 1726988 w 2898895"/>
              <a:gd name="connsiteY188" fmla="*/ 282141 h 657179"/>
              <a:gd name="connsiteX189" fmla="*/ 1771660 w 2898895"/>
              <a:gd name="connsiteY189" fmla="*/ 279569 h 657179"/>
              <a:gd name="connsiteX190" fmla="*/ 1771984 w 2898895"/>
              <a:gd name="connsiteY190" fmla="*/ 279521 h 657179"/>
              <a:gd name="connsiteX191" fmla="*/ 1807798 w 2898895"/>
              <a:gd name="connsiteY191" fmla="*/ 267891 h 657179"/>
              <a:gd name="connsiteX192" fmla="*/ 1840650 w 2898895"/>
              <a:gd name="connsiteY192" fmla="*/ 223333 h 657179"/>
              <a:gd name="connsiteX193" fmla="*/ 1843145 w 2898895"/>
              <a:gd name="connsiteY193" fmla="*/ 199063 h 657179"/>
              <a:gd name="connsiteX194" fmla="*/ 1840345 w 2898895"/>
              <a:gd name="connsiteY194" fmla="*/ 173498 h 657179"/>
              <a:gd name="connsiteX195" fmla="*/ 1807798 w 2898895"/>
              <a:gd name="connsiteY195" fmla="*/ 130226 h 657179"/>
              <a:gd name="connsiteX196" fmla="*/ 1772222 w 2898895"/>
              <a:gd name="connsiteY196" fmla="*/ 118368 h 657179"/>
              <a:gd name="connsiteX197" fmla="*/ 1761059 w 2898895"/>
              <a:gd name="connsiteY197" fmla="*/ 117253 h 657179"/>
              <a:gd name="connsiteX198" fmla="*/ 1708300 w 2898895"/>
              <a:gd name="connsiteY198" fmla="*/ 115815 h 657179"/>
              <a:gd name="connsiteX199" fmla="*/ 1705014 w 2898895"/>
              <a:gd name="connsiteY199" fmla="*/ 115805 h 657179"/>
              <a:gd name="connsiteX200" fmla="*/ 451600 w 2898895"/>
              <a:gd name="connsiteY200" fmla="*/ 305096 h 657179"/>
              <a:gd name="connsiteX201" fmla="*/ 466487 w 2898895"/>
              <a:gd name="connsiteY201" fmla="*/ 305096 h 657179"/>
              <a:gd name="connsiteX202" fmla="*/ 466487 w 2898895"/>
              <a:gd name="connsiteY202" fmla="*/ 466021 h 657179"/>
              <a:gd name="connsiteX203" fmla="*/ 451600 w 2898895"/>
              <a:gd name="connsiteY203" fmla="*/ 466021 h 657179"/>
              <a:gd name="connsiteX204" fmla="*/ 448761 w 2898895"/>
              <a:gd name="connsiteY204" fmla="*/ 457410 h 657179"/>
              <a:gd name="connsiteX205" fmla="*/ 440970 w 2898895"/>
              <a:gd name="connsiteY205" fmla="*/ 444170 h 657179"/>
              <a:gd name="connsiteX206" fmla="*/ 439513 w 2898895"/>
              <a:gd name="connsiteY206" fmla="*/ 442770 h 657179"/>
              <a:gd name="connsiteX207" fmla="*/ 431331 w 2898895"/>
              <a:gd name="connsiteY207" fmla="*/ 438198 h 657179"/>
              <a:gd name="connsiteX208" fmla="*/ 423491 w 2898895"/>
              <a:gd name="connsiteY208" fmla="*/ 436550 h 657179"/>
              <a:gd name="connsiteX209" fmla="*/ 417653 w 2898895"/>
              <a:gd name="connsiteY209" fmla="*/ 436255 h 657179"/>
              <a:gd name="connsiteX210" fmla="*/ 303238 w 2898895"/>
              <a:gd name="connsiteY210" fmla="*/ 436255 h 657179"/>
              <a:gd name="connsiteX211" fmla="*/ 294761 w 2898895"/>
              <a:gd name="connsiteY211" fmla="*/ 436979 h 657179"/>
              <a:gd name="connsiteX212" fmla="*/ 286265 w 2898895"/>
              <a:gd name="connsiteY212" fmla="*/ 439817 h 657179"/>
              <a:gd name="connsiteX213" fmla="*/ 281607 w 2898895"/>
              <a:gd name="connsiteY213" fmla="*/ 442999 h 657179"/>
              <a:gd name="connsiteX214" fmla="*/ 270091 w 2898895"/>
              <a:gd name="connsiteY214" fmla="*/ 464744 h 657179"/>
              <a:gd name="connsiteX215" fmla="*/ 269748 w 2898895"/>
              <a:gd name="connsiteY215" fmla="*/ 466021 h 657179"/>
              <a:gd name="connsiteX216" fmla="*/ 254870 w 2898895"/>
              <a:gd name="connsiteY216" fmla="*/ 466021 h 657179"/>
              <a:gd name="connsiteX217" fmla="*/ 254870 w 2898895"/>
              <a:gd name="connsiteY217" fmla="*/ 305096 h 657179"/>
              <a:gd name="connsiteX218" fmla="*/ 269748 w 2898895"/>
              <a:gd name="connsiteY218" fmla="*/ 305096 h 657179"/>
              <a:gd name="connsiteX219" fmla="*/ 281607 w 2898895"/>
              <a:gd name="connsiteY219" fmla="*/ 328584 h 657179"/>
              <a:gd name="connsiteX220" fmla="*/ 291170 w 2898895"/>
              <a:gd name="connsiteY220" fmla="*/ 333747 h 657179"/>
              <a:gd name="connsiteX221" fmla="*/ 303238 w 2898895"/>
              <a:gd name="connsiteY221" fmla="*/ 335328 h 657179"/>
              <a:gd name="connsiteX222" fmla="*/ 417653 w 2898895"/>
              <a:gd name="connsiteY222" fmla="*/ 335328 h 657179"/>
              <a:gd name="connsiteX223" fmla="*/ 425882 w 2898895"/>
              <a:gd name="connsiteY223" fmla="*/ 334709 h 657179"/>
              <a:gd name="connsiteX224" fmla="*/ 433731 w 2898895"/>
              <a:gd name="connsiteY224" fmla="*/ 332461 h 657179"/>
              <a:gd name="connsiteX225" fmla="*/ 439513 w 2898895"/>
              <a:gd name="connsiteY225" fmla="*/ 328823 h 657179"/>
              <a:gd name="connsiteX226" fmla="*/ 444094 w 2898895"/>
              <a:gd name="connsiteY226" fmla="*/ 323393 h 657179"/>
              <a:gd name="connsiteX227" fmla="*/ 450666 w 2898895"/>
              <a:gd name="connsiteY227" fmla="*/ 308353 h 657179"/>
              <a:gd name="connsiteX228" fmla="*/ 451600 w 2898895"/>
              <a:gd name="connsiteY228" fmla="*/ 305096 h 6571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Lst>
            <a:rect l="l" t="t" r="r" b="b"/>
            <a:pathLst>
              <a:path w="2898895" h="657179">
                <a:moveTo>
                  <a:pt x="2730532" y="207436"/>
                </a:moveTo>
                <a:lnTo>
                  <a:pt x="2483568" y="637175"/>
                </a:lnTo>
                <a:lnTo>
                  <a:pt x="2249634" y="207436"/>
                </a:lnTo>
                <a:lnTo>
                  <a:pt x="2249634" y="597180"/>
                </a:lnTo>
                <a:cubicBezTo>
                  <a:pt x="2249615" y="599935"/>
                  <a:pt x="2249825" y="602687"/>
                  <a:pt x="2250253" y="605410"/>
                </a:cubicBezTo>
                <a:cubicBezTo>
                  <a:pt x="2250729" y="608317"/>
                  <a:pt x="2251482" y="610934"/>
                  <a:pt x="2252501" y="613258"/>
                </a:cubicBezTo>
                <a:cubicBezTo>
                  <a:pt x="2253416" y="615356"/>
                  <a:pt x="2254644" y="617301"/>
                  <a:pt x="2256140" y="619030"/>
                </a:cubicBezTo>
                <a:cubicBezTo>
                  <a:pt x="2257797" y="620870"/>
                  <a:pt x="2259693" y="622474"/>
                  <a:pt x="2261788" y="623793"/>
                </a:cubicBezTo>
                <a:cubicBezTo>
                  <a:pt x="2265579" y="626250"/>
                  <a:pt x="2270475" y="628410"/>
                  <a:pt x="2276466" y="630270"/>
                </a:cubicBezTo>
                <a:cubicBezTo>
                  <a:pt x="2277438" y="630570"/>
                  <a:pt x="2278419" y="630856"/>
                  <a:pt x="2279400" y="631127"/>
                </a:cubicBezTo>
                <a:lnTo>
                  <a:pt x="2279400" y="646015"/>
                </a:lnTo>
                <a:lnTo>
                  <a:pt x="2092900" y="646015"/>
                </a:lnTo>
                <a:lnTo>
                  <a:pt x="2092900" y="631127"/>
                </a:lnTo>
                <a:cubicBezTo>
                  <a:pt x="2095815" y="630328"/>
                  <a:pt x="2098682" y="629381"/>
                  <a:pt x="2101501" y="628289"/>
                </a:cubicBezTo>
                <a:cubicBezTo>
                  <a:pt x="2107226" y="626047"/>
                  <a:pt x="2111636" y="623450"/>
                  <a:pt x="2114741" y="620497"/>
                </a:cubicBezTo>
                <a:cubicBezTo>
                  <a:pt x="2115236" y="620030"/>
                  <a:pt x="2115703" y="619541"/>
                  <a:pt x="2116151" y="619030"/>
                </a:cubicBezTo>
                <a:cubicBezTo>
                  <a:pt x="2118199" y="616637"/>
                  <a:pt x="2119751" y="613858"/>
                  <a:pt x="2120713" y="610858"/>
                </a:cubicBezTo>
                <a:cubicBezTo>
                  <a:pt x="2121504" y="608502"/>
                  <a:pt x="2122056" y="605889"/>
                  <a:pt x="2122361" y="603019"/>
                </a:cubicBezTo>
                <a:cubicBezTo>
                  <a:pt x="2122571" y="601079"/>
                  <a:pt x="2122666" y="599131"/>
                  <a:pt x="2122666" y="597180"/>
                </a:cubicBezTo>
                <a:lnTo>
                  <a:pt x="2122666" y="59532"/>
                </a:lnTo>
                <a:cubicBezTo>
                  <a:pt x="2122685" y="56823"/>
                  <a:pt x="2122466" y="54118"/>
                  <a:pt x="2122028" y="51445"/>
                </a:cubicBezTo>
                <a:cubicBezTo>
                  <a:pt x="2121523" y="48473"/>
                  <a:pt x="2120704" y="45803"/>
                  <a:pt x="2119589" y="43434"/>
                </a:cubicBezTo>
                <a:cubicBezTo>
                  <a:pt x="2118694" y="41518"/>
                  <a:pt x="2117541" y="39735"/>
                  <a:pt x="2116151" y="38139"/>
                </a:cubicBezTo>
                <a:cubicBezTo>
                  <a:pt x="2114493" y="36298"/>
                  <a:pt x="2112598" y="34695"/>
                  <a:pt x="2110502" y="33376"/>
                </a:cubicBezTo>
                <a:cubicBezTo>
                  <a:pt x="2106712" y="30919"/>
                  <a:pt x="2101816" y="28763"/>
                  <a:pt x="2095824" y="26909"/>
                </a:cubicBezTo>
                <a:cubicBezTo>
                  <a:pt x="2094853" y="26609"/>
                  <a:pt x="2093881" y="26323"/>
                  <a:pt x="2092900" y="26051"/>
                </a:cubicBezTo>
                <a:lnTo>
                  <a:pt x="2092900" y="11164"/>
                </a:lnTo>
                <a:lnTo>
                  <a:pt x="2337531" y="11164"/>
                </a:lnTo>
                <a:lnTo>
                  <a:pt x="2337531" y="26051"/>
                </a:lnTo>
                <a:cubicBezTo>
                  <a:pt x="2322958" y="29772"/>
                  <a:pt x="2315671" y="38297"/>
                  <a:pt x="2315671" y="51626"/>
                </a:cubicBezTo>
                <a:cubicBezTo>
                  <a:pt x="2315700" y="54334"/>
                  <a:pt x="2316062" y="57028"/>
                  <a:pt x="2316747" y="59646"/>
                </a:cubicBezTo>
                <a:cubicBezTo>
                  <a:pt x="2317795" y="63773"/>
                  <a:pt x="2319605" y="68231"/>
                  <a:pt x="2322186" y="73019"/>
                </a:cubicBezTo>
                <a:lnTo>
                  <a:pt x="2495198" y="392069"/>
                </a:lnTo>
                <a:lnTo>
                  <a:pt x="2670534" y="78601"/>
                </a:lnTo>
                <a:cubicBezTo>
                  <a:pt x="2672220" y="75513"/>
                  <a:pt x="2673821" y="72381"/>
                  <a:pt x="2675345" y="69209"/>
                </a:cubicBezTo>
                <a:cubicBezTo>
                  <a:pt x="2679888" y="59684"/>
                  <a:pt x="2682164" y="52429"/>
                  <a:pt x="2682164" y="47444"/>
                </a:cubicBezTo>
                <a:cubicBezTo>
                  <a:pt x="2682164" y="34732"/>
                  <a:pt x="2674411" y="27601"/>
                  <a:pt x="2658904" y="26051"/>
                </a:cubicBezTo>
                <a:lnTo>
                  <a:pt x="2658904" y="11164"/>
                </a:lnTo>
                <a:lnTo>
                  <a:pt x="2898896" y="11164"/>
                </a:lnTo>
                <a:lnTo>
                  <a:pt x="2898896" y="26051"/>
                </a:lnTo>
                <a:cubicBezTo>
                  <a:pt x="2895982" y="26847"/>
                  <a:pt x="2893105" y="27791"/>
                  <a:pt x="2890286" y="28880"/>
                </a:cubicBezTo>
                <a:cubicBezTo>
                  <a:pt x="2884561" y="31128"/>
                  <a:pt x="2880151" y="33728"/>
                  <a:pt x="2877046" y="36681"/>
                </a:cubicBezTo>
                <a:cubicBezTo>
                  <a:pt x="2876551" y="37145"/>
                  <a:pt x="2876084" y="37631"/>
                  <a:pt x="2875636" y="38139"/>
                </a:cubicBezTo>
                <a:cubicBezTo>
                  <a:pt x="2873455" y="40686"/>
                  <a:pt x="2871826" y="43661"/>
                  <a:pt x="2870855" y="46873"/>
                </a:cubicBezTo>
                <a:cubicBezTo>
                  <a:pt x="2870102" y="49267"/>
                  <a:pt x="2869588" y="51905"/>
                  <a:pt x="2869331" y="54788"/>
                </a:cubicBezTo>
                <a:cubicBezTo>
                  <a:pt x="2869197" y="56366"/>
                  <a:pt x="2869131" y="57948"/>
                  <a:pt x="2869131" y="59532"/>
                </a:cubicBezTo>
                <a:lnTo>
                  <a:pt x="2869131" y="597180"/>
                </a:lnTo>
                <a:cubicBezTo>
                  <a:pt x="2869112" y="599935"/>
                  <a:pt x="2869321" y="602687"/>
                  <a:pt x="2869750" y="605410"/>
                </a:cubicBezTo>
                <a:cubicBezTo>
                  <a:pt x="2870226" y="608317"/>
                  <a:pt x="2870979" y="610934"/>
                  <a:pt x="2871998" y="613258"/>
                </a:cubicBezTo>
                <a:cubicBezTo>
                  <a:pt x="2872912" y="615356"/>
                  <a:pt x="2874141" y="617301"/>
                  <a:pt x="2875636" y="619030"/>
                </a:cubicBezTo>
                <a:cubicBezTo>
                  <a:pt x="2877294" y="620870"/>
                  <a:pt x="2879189" y="622474"/>
                  <a:pt x="2881285" y="623793"/>
                </a:cubicBezTo>
                <a:cubicBezTo>
                  <a:pt x="2885075" y="626250"/>
                  <a:pt x="2889971" y="628410"/>
                  <a:pt x="2895962" y="630270"/>
                </a:cubicBezTo>
                <a:cubicBezTo>
                  <a:pt x="2896934" y="630570"/>
                  <a:pt x="2897915" y="630856"/>
                  <a:pt x="2898896" y="631127"/>
                </a:cubicBezTo>
                <a:lnTo>
                  <a:pt x="2898896" y="646015"/>
                </a:lnTo>
                <a:lnTo>
                  <a:pt x="2700767" y="646015"/>
                </a:lnTo>
                <a:lnTo>
                  <a:pt x="2700767" y="631127"/>
                </a:lnTo>
                <a:cubicBezTo>
                  <a:pt x="2703615" y="630407"/>
                  <a:pt x="2706415" y="629530"/>
                  <a:pt x="2709168" y="628498"/>
                </a:cubicBezTo>
                <a:cubicBezTo>
                  <a:pt x="2715226" y="626193"/>
                  <a:pt x="2719864" y="623374"/>
                  <a:pt x="2723084" y="620040"/>
                </a:cubicBezTo>
                <a:cubicBezTo>
                  <a:pt x="2723322" y="619788"/>
                  <a:pt x="2723560" y="619531"/>
                  <a:pt x="2723789" y="619268"/>
                </a:cubicBezTo>
                <a:cubicBezTo>
                  <a:pt x="2727484" y="615058"/>
                  <a:pt x="2729666" y="609327"/>
                  <a:pt x="2730323" y="602076"/>
                </a:cubicBezTo>
                <a:cubicBezTo>
                  <a:pt x="2730466" y="600448"/>
                  <a:pt x="2730532" y="598814"/>
                  <a:pt x="2730532" y="597180"/>
                </a:cubicBezTo>
                <a:close/>
                <a:moveTo>
                  <a:pt x="1126446" y="436722"/>
                </a:moveTo>
                <a:lnTo>
                  <a:pt x="1139000" y="427883"/>
                </a:lnTo>
                <a:lnTo>
                  <a:pt x="1227363" y="560432"/>
                </a:lnTo>
                <a:lnTo>
                  <a:pt x="1215276" y="568805"/>
                </a:lnTo>
                <a:cubicBezTo>
                  <a:pt x="1213343" y="566999"/>
                  <a:pt x="1211323" y="565283"/>
                  <a:pt x="1209237" y="563661"/>
                </a:cubicBezTo>
                <a:cubicBezTo>
                  <a:pt x="1205132" y="560492"/>
                  <a:pt x="1201436" y="558406"/>
                  <a:pt x="1198160" y="557404"/>
                </a:cubicBezTo>
                <a:cubicBezTo>
                  <a:pt x="1196779" y="556964"/>
                  <a:pt x="1195331" y="556734"/>
                  <a:pt x="1193883" y="556718"/>
                </a:cubicBezTo>
                <a:cubicBezTo>
                  <a:pt x="1188301" y="556718"/>
                  <a:pt x="1172642" y="564157"/>
                  <a:pt x="1146906" y="579035"/>
                </a:cubicBezTo>
                <a:cubicBezTo>
                  <a:pt x="1131294" y="588058"/>
                  <a:pt x="1115445" y="596678"/>
                  <a:pt x="1099386" y="604886"/>
                </a:cubicBezTo>
                <a:cubicBezTo>
                  <a:pt x="1066353" y="621694"/>
                  <a:pt x="1037311" y="633775"/>
                  <a:pt x="1012260" y="641128"/>
                </a:cubicBezTo>
                <a:cubicBezTo>
                  <a:pt x="975827" y="651822"/>
                  <a:pt x="932501" y="657168"/>
                  <a:pt x="882273" y="657168"/>
                </a:cubicBezTo>
                <a:cubicBezTo>
                  <a:pt x="846305" y="657406"/>
                  <a:pt x="810411" y="653914"/>
                  <a:pt x="775164" y="646748"/>
                </a:cubicBezTo>
                <a:cubicBezTo>
                  <a:pt x="721850" y="635534"/>
                  <a:pt x="675387" y="615290"/>
                  <a:pt x="635775" y="586017"/>
                </a:cubicBezTo>
                <a:cubicBezTo>
                  <a:pt x="597949" y="558420"/>
                  <a:pt x="568183" y="524158"/>
                  <a:pt x="546478" y="483232"/>
                </a:cubicBezTo>
                <a:cubicBezTo>
                  <a:pt x="522372" y="437954"/>
                  <a:pt x="509483" y="387554"/>
                  <a:pt x="508893" y="336262"/>
                </a:cubicBezTo>
                <a:cubicBezTo>
                  <a:pt x="508836" y="333627"/>
                  <a:pt x="508808" y="330991"/>
                  <a:pt x="508807" y="328356"/>
                </a:cubicBezTo>
                <a:cubicBezTo>
                  <a:pt x="508807" y="251463"/>
                  <a:pt x="531286" y="184645"/>
                  <a:pt x="576244" y="127902"/>
                </a:cubicBezTo>
                <a:cubicBezTo>
                  <a:pt x="643141" y="43511"/>
                  <a:pt x="743906" y="883"/>
                  <a:pt x="878539" y="20"/>
                </a:cubicBezTo>
                <a:cubicBezTo>
                  <a:pt x="879939" y="9"/>
                  <a:pt x="881339" y="2"/>
                  <a:pt x="882739" y="0"/>
                </a:cubicBezTo>
                <a:cubicBezTo>
                  <a:pt x="932968" y="0"/>
                  <a:pt x="976065" y="5271"/>
                  <a:pt x="1012032" y="15812"/>
                </a:cubicBezTo>
                <a:cubicBezTo>
                  <a:pt x="1024357" y="19492"/>
                  <a:pt x="1036492" y="23794"/>
                  <a:pt x="1048389" y="28699"/>
                </a:cubicBezTo>
                <a:cubicBezTo>
                  <a:pt x="1075078" y="39570"/>
                  <a:pt x="1105472" y="54655"/>
                  <a:pt x="1139572" y="73953"/>
                </a:cubicBezTo>
                <a:cubicBezTo>
                  <a:pt x="1142019" y="75338"/>
                  <a:pt x="1144467" y="76732"/>
                  <a:pt x="1146906" y="78134"/>
                </a:cubicBezTo>
                <a:cubicBezTo>
                  <a:pt x="1151354" y="80656"/>
                  <a:pt x="1155821" y="83133"/>
                  <a:pt x="1160317" y="85564"/>
                </a:cubicBezTo>
                <a:cubicBezTo>
                  <a:pt x="1178157" y="95184"/>
                  <a:pt x="1189349" y="99994"/>
                  <a:pt x="1193883" y="99994"/>
                </a:cubicBezTo>
                <a:cubicBezTo>
                  <a:pt x="1199465" y="99994"/>
                  <a:pt x="1206599" y="95965"/>
                  <a:pt x="1215276" y="87907"/>
                </a:cubicBezTo>
                <a:lnTo>
                  <a:pt x="1227363" y="96279"/>
                </a:lnTo>
                <a:lnTo>
                  <a:pt x="1139000" y="228829"/>
                </a:lnTo>
                <a:lnTo>
                  <a:pt x="1126446" y="220457"/>
                </a:lnTo>
                <a:cubicBezTo>
                  <a:pt x="1126665" y="218717"/>
                  <a:pt x="1126856" y="216973"/>
                  <a:pt x="1127008" y="215227"/>
                </a:cubicBezTo>
                <a:cubicBezTo>
                  <a:pt x="1127246" y="212478"/>
                  <a:pt x="1127370" y="210033"/>
                  <a:pt x="1127370" y="207893"/>
                </a:cubicBezTo>
                <a:cubicBezTo>
                  <a:pt x="1127332" y="201869"/>
                  <a:pt x="1125598" y="195974"/>
                  <a:pt x="1122369" y="190891"/>
                </a:cubicBezTo>
                <a:cubicBezTo>
                  <a:pt x="1120483" y="187871"/>
                  <a:pt x="1118264" y="185071"/>
                  <a:pt x="1115750" y="182547"/>
                </a:cubicBezTo>
                <a:cubicBezTo>
                  <a:pt x="1113235" y="180031"/>
                  <a:pt x="1110568" y="177673"/>
                  <a:pt x="1107768" y="175489"/>
                </a:cubicBezTo>
                <a:cubicBezTo>
                  <a:pt x="1099757" y="169152"/>
                  <a:pt x="1088613" y="161970"/>
                  <a:pt x="1074354" y="153944"/>
                </a:cubicBezTo>
                <a:cubicBezTo>
                  <a:pt x="1021300" y="123425"/>
                  <a:pt x="961149" y="107390"/>
                  <a:pt x="899942" y="107442"/>
                </a:cubicBezTo>
                <a:cubicBezTo>
                  <a:pt x="827393" y="107442"/>
                  <a:pt x="769570" y="125578"/>
                  <a:pt x="726472" y="161849"/>
                </a:cubicBezTo>
                <a:cubicBezTo>
                  <a:pt x="681522" y="198128"/>
                  <a:pt x="654048" y="251754"/>
                  <a:pt x="650863" y="309430"/>
                </a:cubicBezTo>
                <a:cubicBezTo>
                  <a:pt x="650413" y="315729"/>
                  <a:pt x="650191" y="322041"/>
                  <a:pt x="650196" y="328356"/>
                </a:cubicBezTo>
                <a:cubicBezTo>
                  <a:pt x="649837" y="357478"/>
                  <a:pt x="655156" y="386393"/>
                  <a:pt x="665855" y="413481"/>
                </a:cubicBezTo>
                <a:cubicBezTo>
                  <a:pt x="678988" y="445219"/>
                  <a:pt x="699821" y="473185"/>
                  <a:pt x="726472" y="494853"/>
                </a:cubicBezTo>
                <a:cubicBezTo>
                  <a:pt x="769570" y="531131"/>
                  <a:pt x="827393" y="549269"/>
                  <a:pt x="899942" y="549269"/>
                </a:cubicBezTo>
                <a:cubicBezTo>
                  <a:pt x="961149" y="549319"/>
                  <a:pt x="1021300" y="533280"/>
                  <a:pt x="1074354" y="502759"/>
                </a:cubicBezTo>
                <a:cubicBezTo>
                  <a:pt x="1094194" y="491602"/>
                  <a:pt x="1107996" y="482070"/>
                  <a:pt x="1115750" y="474164"/>
                </a:cubicBezTo>
                <a:cubicBezTo>
                  <a:pt x="1118369" y="471533"/>
                  <a:pt x="1120664" y="468601"/>
                  <a:pt x="1122598" y="465430"/>
                </a:cubicBezTo>
                <a:cubicBezTo>
                  <a:pt x="1125684" y="460435"/>
                  <a:pt x="1127341" y="454683"/>
                  <a:pt x="1127370" y="448809"/>
                </a:cubicBezTo>
                <a:cubicBezTo>
                  <a:pt x="1127370" y="447443"/>
                  <a:pt x="1127332" y="446077"/>
                  <a:pt x="1127246" y="444713"/>
                </a:cubicBezTo>
                <a:cubicBezTo>
                  <a:pt x="1127151" y="443202"/>
                  <a:pt x="1127008" y="441592"/>
                  <a:pt x="1126827" y="439884"/>
                </a:cubicBezTo>
                <a:cubicBezTo>
                  <a:pt x="1126713" y="438829"/>
                  <a:pt x="1126589" y="437774"/>
                  <a:pt x="1126446" y="436722"/>
                </a:cubicBezTo>
                <a:close/>
                <a:moveTo>
                  <a:pt x="1660360" y="386954"/>
                </a:moveTo>
                <a:lnTo>
                  <a:pt x="1491073" y="386954"/>
                </a:lnTo>
                <a:lnTo>
                  <a:pt x="1491073" y="597637"/>
                </a:lnTo>
                <a:cubicBezTo>
                  <a:pt x="1491054" y="600482"/>
                  <a:pt x="1491292" y="603324"/>
                  <a:pt x="1491797" y="606124"/>
                </a:cubicBezTo>
                <a:cubicBezTo>
                  <a:pt x="1492387" y="609286"/>
                  <a:pt x="1493330" y="612115"/>
                  <a:pt x="1494635" y="614611"/>
                </a:cubicBezTo>
                <a:cubicBezTo>
                  <a:pt x="1495502" y="616285"/>
                  <a:pt x="1496568" y="617849"/>
                  <a:pt x="1497816" y="619268"/>
                </a:cubicBezTo>
                <a:cubicBezTo>
                  <a:pt x="1502131" y="624183"/>
                  <a:pt x="1509380" y="628025"/>
                  <a:pt x="1519562" y="630794"/>
                </a:cubicBezTo>
                <a:cubicBezTo>
                  <a:pt x="1519990" y="630908"/>
                  <a:pt x="1520410" y="631018"/>
                  <a:pt x="1520838" y="631127"/>
                </a:cubicBezTo>
                <a:lnTo>
                  <a:pt x="1520838" y="646015"/>
                </a:lnTo>
                <a:lnTo>
                  <a:pt x="1322709" y="646015"/>
                </a:lnTo>
                <a:lnTo>
                  <a:pt x="1322709" y="631127"/>
                </a:lnTo>
                <a:cubicBezTo>
                  <a:pt x="1325623" y="630329"/>
                  <a:pt x="1328500" y="629381"/>
                  <a:pt x="1331319" y="628289"/>
                </a:cubicBezTo>
                <a:cubicBezTo>
                  <a:pt x="1337044" y="626047"/>
                  <a:pt x="1341454" y="623450"/>
                  <a:pt x="1344559" y="620497"/>
                </a:cubicBezTo>
                <a:cubicBezTo>
                  <a:pt x="1345054" y="620030"/>
                  <a:pt x="1345521" y="619541"/>
                  <a:pt x="1345969" y="619030"/>
                </a:cubicBezTo>
                <a:cubicBezTo>
                  <a:pt x="1348150" y="616481"/>
                  <a:pt x="1349769" y="613507"/>
                  <a:pt x="1350741" y="610296"/>
                </a:cubicBezTo>
                <a:cubicBezTo>
                  <a:pt x="1351503" y="607908"/>
                  <a:pt x="1352017" y="605269"/>
                  <a:pt x="1352274" y="602381"/>
                </a:cubicBezTo>
                <a:cubicBezTo>
                  <a:pt x="1352408" y="600803"/>
                  <a:pt x="1352474" y="599220"/>
                  <a:pt x="1352474" y="597637"/>
                </a:cubicBezTo>
                <a:lnTo>
                  <a:pt x="1352474" y="59998"/>
                </a:lnTo>
                <a:cubicBezTo>
                  <a:pt x="1352493" y="57243"/>
                  <a:pt x="1352284" y="54491"/>
                  <a:pt x="1351855" y="51769"/>
                </a:cubicBezTo>
                <a:cubicBezTo>
                  <a:pt x="1351379" y="48854"/>
                  <a:pt x="1350627" y="46238"/>
                  <a:pt x="1349598" y="43920"/>
                </a:cubicBezTo>
                <a:cubicBezTo>
                  <a:pt x="1348693" y="41820"/>
                  <a:pt x="1347464" y="39871"/>
                  <a:pt x="1345969" y="38139"/>
                </a:cubicBezTo>
                <a:cubicBezTo>
                  <a:pt x="1344311" y="36298"/>
                  <a:pt x="1342416" y="34695"/>
                  <a:pt x="1340320" y="33376"/>
                </a:cubicBezTo>
                <a:cubicBezTo>
                  <a:pt x="1336529" y="30919"/>
                  <a:pt x="1331634" y="28763"/>
                  <a:pt x="1325642" y="26909"/>
                </a:cubicBezTo>
                <a:cubicBezTo>
                  <a:pt x="1324671" y="26608"/>
                  <a:pt x="1323690" y="26323"/>
                  <a:pt x="1322709" y="26051"/>
                </a:cubicBezTo>
                <a:lnTo>
                  <a:pt x="1322709" y="11164"/>
                </a:lnTo>
                <a:lnTo>
                  <a:pt x="1719892" y="11164"/>
                </a:lnTo>
                <a:cubicBezTo>
                  <a:pt x="1734036" y="11145"/>
                  <a:pt x="1748181" y="11418"/>
                  <a:pt x="1762316" y="11983"/>
                </a:cubicBezTo>
                <a:cubicBezTo>
                  <a:pt x="1791272" y="13183"/>
                  <a:pt x="1815504" y="15701"/>
                  <a:pt x="1835001" y="19536"/>
                </a:cubicBezTo>
                <a:cubicBezTo>
                  <a:pt x="1850127" y="22435"/>
                  <a:pt x="1864919" y="26881"/>
                  <a:pt x="1879140" y="32805"/>
                </a:cubicBezTo>
                <a:cubicBezTo>
                  <a:pt x="1889627" y="37207"/>
                  <a:pt x="1899686" y="42574"/>
                  <a:pt x="1909182" y="48835"/>
                </a:cubicBezTo>
                <a:cubicBezTo>
                  <a:pt x="1933547" y="64801"/>
                  <a:pt x="1952645" y="87618"/>
                  <a:pt x="1964065" y="114415"/>
                </a:cubicBezTo>
                <a:cubicBezTo>
                  <a:pt x="1975543" y="141078"/>
                  <a:pt x="1981277" y="169603"/>
                  <a:pt x="1981277" y="199987"/>
                </a:cubicBezTo>
                <a:cubicBezTo>
                  <a:pt x="1981277" y="303550"/>
                  <a:pt x="1923765" y="364167"/>
                  <a:pt x="1808731" y="381839"/>
                </a:cubicBezTo>
                <a:lnTo>
                  <a:pt x="1931975" y="557175"/>
                </a:lnTo>
                <a:cubicBezTo>
                  <a:pt x="1951368" y="584600"/>
                  <a:pt x="1966123" y="603302"/>
                  <a:pt x="1976228" y="613277"/>
                </a:cubicBezTo>
                <a:cubicBezTo>
                  <a:pt x="1977333" y="614377"/>
                  <a:pt x="1978476" y="615444"/>
                  <a:pt x="1979648" y="616478"/>
                </a:cubicBezTo>
                <a:cubicBezTo>
                  <a:pt x="1988621" y="624316"/>
                  <a:pt x="1999765" y="629254"/>
                  <a:pt x="2011595" y="630641"/>
                </a:cubicBezTo>
                <a:cubicBezTo>
                  <a:pt x="2013262" y="630859"/>
                  <a:pt x="2014938" y="631022"/>
                  <a:pt x="2016624" y="631127"/>
                </a:cubicBezTo>
                <a:lnTo>
                  <a:pt x="2016624" y="646015"/>
                </a:lnTo>
                <a:lnTo>
                  <a:pt x="1786872" y="646015"/>
                </a:lnTo>
                <a:lnTo>
                  <a:pt x="1786872" y="631127"/>
                </a:lnTo>
                <a:cubicBezTo>
                  <a:pt x="1789748" y="630695"/>
                  <a:pt x="1792586" y="630077"/>
                  <a:pt x="1795377" y="629279"/>
                </a:cubicBezTo>
                <a:cubicBezTo>
                  <a:pt x="1801330" y="627533"/>
                  <a:pt x="1805531" y="625101"/>
                  <a:pt x="1807988" y="621983"/>
                </a:cubicBezTo>
                <a:cubicBezTo>
                  <a:pt x="1809712" y="619827"/>
                  <a:pt x="1810627" y="617141"/>
                  <a:pt x="1810589" y="614382"/>
                </a:cubicBezTo>
                <a:cubicBezTo>
                  <a:pt x="1810513" y="612813"/>
                  <a:pt x="1810179" y="611266"/>
                  <a:pt x="1809617" y="609801"/>
                </a:cubicBezTo>
                <a:cubicBezTo>
                  <a:pt x="1807188" y="602764"/>
                  <a:pt x="1800226" y="590805"/>
                  <a:pt x="1788729" y="573920"/>
                </a:cubicBezTo>
                <a:close/>
                <a:moveTo>
                  <a:pt x="29766" y="597180"/>
                </a:moveTo>
                <a:lnTo>
                  <a:pt x="29766" y="59532"/>
                </a:lnTo>
                <a:cubicBezTo>
                  <a:pt x="29781" y="56823"/>
                  <a:pt x="29568" y="54118"/>
                  <a:pt x="29128" y="51445"/>
                </a:cubicBezTo>
                <a:cubicBezTo>
                  <a:pt x="28620" y="48473"/>
                  <a:pt x="27807" y="45803"/>
                  <a:pt x="26690" y="43434"/>
                </a:cubicBezTo>
                <a:cubicBezTo>
                  <a:pt x="25796" y="41518"/>
                  <a:pt x="24638" y="39735"/>
                  <a:pt x="23251" y="38139"/>
                </a:cubicBezTo>
                <a:cubicBezTo>
                  <a:pt x="21600" y="36299"/>
                  <a:pt x="19702" y="34696"/>
                  <a:pt x="17612" y="33376"/>
                </a:cubicBezTo>
                <a:cubicBezTo>
                  <a:pt x="13821" y="30919"/>
                  <a:pt x="8929" y="28763"/>
                  <a:pt x="2934" y="26909"/>
                </a:cubicBezTo>
                <a:cubicBezTo>
                  <a:pt x="1961" y="26608"/>
                  <a:pt x="983" y="26323"/>
                  <a:pt x="0" y="26051"/>
                </a:cubicBezTo>
                <a:lnTo>
                  <a:pt x="0" y="11164"/>
                </a:lnTo>
                <a:lnTo>
                  <a:pt x="198130" y="11164"/>
                </a:lnTo>
                <a:lnTo>
                  <a:pt x="198130" y="26051"/>
                </a:lnTo>
                <a:cubicBezTo>
                  <a:pt x="186967" y="28839"/>
                  <a:pt x="179213" y="32792"/>
                  <a:pt x="174870" y="37910"/>
                </a:cubicBezTo>
                <a:cubicBezTo>
                  <a:pt x="171212" y="42222"/>
                  <a:pt x="169098" y="48016"/>
                  <a:pt x="168526" y="55293"/>
                </a:cubicBezTo>
                <a:cubicBezTo>
                  <a:pt x="168417" y="56703"/>
                  <a:pt x="168362" y="58117"/>
                  <a:pt x="168364" y="59532"/>
                </a:cubicBezTo>
                <a:lnTo>
                  <a:pt x="168364" y="597180"/>
                </a:lnTo>
                <a:cubicBezTo>
                  <a:pt x="168348" y="599975"/>
                  <a:pt x="168567" y="602766"/>
                  <a:pt x="169022" y="605524"/>
                </a:cubicBezTo>
                <a:cubicBezTo>
                  <a:pt x="169548" y="608603"/>
                  <a:pt x="170390" y="611363"/>
                  <a:pt x="171546" y="613801"/>
                </a:cubicBezTo>
                <a:cubicBezTo>
                  <a:pt x="172472" y="615781"/>
                  <a:pt x="173671" y="617622"/>
                  <a:pt x="175108" y="619268"/>
                </a:cubicBezTo>
                <a:cubicBezTo>
                  <a:pt x="179426" y="624183"/>
                  <a:pt x="186674" y="628025"/>
                  <a:pt x="196854" y="630794"/>
                </a:cubicBezTo>
                <a:cubicBezTo>
                  <a:pt x="197278" y="630908"/>
                  <a:pt x="197704" y="631018"/>
                  <a:pt x="198130" y="631127"/>
                </a:cubicBezTo>
                <a:lnTo>
                  <a:pt x="198130" y="646015"/>
                </a:lnTo>
                <a:lnTo>
                  <a:pt x="0" y="646015"/>
                </a:lnTo>
                <a:lnTo>
                  <a:pt x="0" y="631127"/>
                </a:lnTo>
                <a:cubicBezTo>
                  <a:pt x="2917" y="630329"/>
                  <a:pt x="5791" y="629381"/>
                  <a:pt x="8611" y="628289"/>
                </a:cubicBezTo>
                <a:cubicBezTo>
                  <a:pt x="14326" y="626047"/>
                  <a:pt x="18739" y="623450"/>
                  <a:pt x="21851" y="620497"/>
                </a:cubicBezTo>
                <a:cubicBezTo>
                  <a:pt x="22340" y="620029"/>
                  <a:pt x="22807" y="619541"/>
                  <a:pt x="23251" y="619030"/>
                </a:cubicBezTo>
                <a:cubicBezTo>
                  <a:pt x="25303" y="616638"/>
                  <a:pt x="26858" y="613859"/>
                  <a:pt x="27823" y="610858"/>
                </a:cubicBezTo>
                <a:cubicBezTo>
                  <a:pt x="28610" y="608502"/>
                  <a:pt x="29160" y="605889"/>
                  <a:pt x="29471" y="603019"/>
                </a:cubicBezTo>
                <a:cubicBezTo>
                  <a:pt x="29673" y="601079"/>
                  <a:pt x="29772" y="599130"/>
                  <a:pt x="29766" y="597180"/>
                </a:cubicBezTo>
                <a:close/>
                <a:moveTo>
                  <a:pt x="1491073" y="115805"/>
                </a:moveTo>
                <a:lnTo>
                  <a:pt x="1491073" y="282312"/>
                </a:lnTo>
                <a:lnTo>
                  <a:pt x="1705014" y="282312"/>
                </a:lnTo>
                <a:cubicBezTo>
                  <a:pt x="1712338" y="282318"/>
                  <a:pt x="1719663" y="282261"/>
                  <a:pt x="1726988" y="282141"/>
                </a:cubicBezTo>
                <a:cubicBezTo>
                  <a:pt x="1747000" y="281791"/>
                  <a:pt x="1761887" y="280934"/>
                  <a:pt x="1771660" y="279569"/>
                </a:cubicBezTo>
                <a:cubicBezTo>
                  <a:pt x="1771765" y="279553"/>
                  <a:pt x="1771879" y="279537"/>
                  <a:pt x="1771984" y="279521"/>
                </a:cubicBezTo>
                <a:cubicBezTo>
                  <a:pt x="1785005" y="277661"/>
                  <a:pt x="1796949" y="273784"/>
                  <a:pt x="1807798" y="267891"/>
                </a:cubicBezTo>
                <a:cubicBezTo>
                  <a:pt x="1824933" y="258786"/>
                  <a:pt x="1837021" y="242397"/>
                  <a:pt x="1840650" y="223333"/>
                </a:cubicBezTo>
                <a:cubicBezTo>
                  <a:pt x="1842374" y="215361"/>
                  <a:pt x="1843212" y="207221"/>
                  <a:pt x="1843145" y="199063"/>
                </a:cubicBezTo>
                <a:cubicBezTo>
                  <a:pt x="1843221" y="190461"/>
                  <a:pt x="1842288" y="181879"/>
                  <a:pt x="1840345" y="173498"/>
                </a:cubicBezTo>
                <a:cubicBezTo>
                  <a:pt x="1836459" y="154955"/>
                  <a:pt x="1824533" y="139099"/>
                  <a:pt x="1807798" y="130226"/>
                </a:cubicBezTo>
                <a:cubicBezTo>
                  <a:pt x="1796635" y="124028"/>
                  <a:pt x="1784776" y="120075"/>
                  <a:pt x="1772222" y="118368"/>
                </a:cubicBezTo>
                <a:cubicBezTo>
                  <a:pt x="1768517" y="117884"/>
                  <a:pt x="1764793" y="117512"/>
                  <a:pt x="1761059" y="117253"/>
                </a:cubicBezTo>
                <a:cubicBezTo>
                  <a:pt x="1748543" y="116332"/>
                  <a:pt x="1730960" y="115853"/>
                  <a:pt x="1708300" y="115815"/>
                </a:cubicBezTo>
                <a:cubicBezTo>
                  <a:pt x="1707204" y="115811"/>
                  <a:pt x="1706109" y="115807"/>
                  <a:pt x="1705014" y="115805"/>
                </a:cubicBezTo>
                <a:close/>
                <a:moveTo>
                  <a:pt x="451600" y="305096"/>
                </a:moveTo>
                <a:lnTo>
                  <a:pt x="466487" y="305096"/>
                </a:lnTo>
                <a:lnTo>
                  <a:pt x="466487" y="466021"/>
                </a:lnTo>
                <a:lnTo>
                  <a:pt x="451600" y="466021"/>
                </a:lnTo>
                <a:cubicBezTo>
                  <a:pt x="450801" y="463104"/>
                  <a:pt x="449854" y="460230"/>
                  <a:pt x="448761" y="457410"/>
                </a:cubicBezTo>
                <a:cubicBezTo>
                  <a:pt x="446520" y="451695"/>
                  <a:pt x="443923" y="447282"/>
                  <a:pt x="440970" y="444170"/>
                </a:cubicBezTo>
                <a:cubicBezTo>
                  <a:pt x="440506" y="443682"/>
                  <a:pt x="440019" y="443214"/>
                  <a:pt x="439513" y="442770"/>
                </a:cubicBezTo>
                <a:cubicBezTo>
                  <a:pt x="437117" y="440717"/>
                  <a:pt x="434335" y="439162"/>
                  <a:pt x="431331" y="438198"/>
                </a:cubicBezTo>
                <a:cubicBezTo>
                  <a:pt x="428975" y="437410"/>
                  <a:pt x="426361" y="436862"/>
                  <a:pt x="423491" y="436550"/>
                </a:cubicBezTo>
                <a:cubicBezTo>
                  <a:pt x="421552" y="436347"/>
                  <a:pt x="419602" y="436249"/>
                  <a:pt x="417653" y="436255"/>
                </a:cubicBezTo>
                <a:lnTo>
                  <a:pt x="303238" y="436255"/>
                </a:lnTo>
                <a:cubicBezTo>
                  <a:pt x="300396" y="436236"/>
                  <a:pt x="297559" y="436479"/>
                  <a:pt x="294761" y="436979"/>
                </a:cubicBezTo>
                <a:cubicBezTo>
                  <a:pt x="291599" y="437569"/>
                  <a:pt x="288767" y="438515"/>
                  <a:pt x="286265" y="439817"/>
                </a:cubicBezTo>
                <a:cubicBezTo>
                  <a:pt x="284590" y="440687"/>
                  <a:pt x="283026" y="441755"/>
                  <a:pt x="281607" y="442999"/>
                </a:cubicBezTo>
                <a:cubicBezTo>
                  <a:pt x="276699" y="447316"/>
                  <a:pt x="272860" y="454565"/>
                  <a:pt x="270091" y="464744"/>
                </a:cubicBezTo>
                <a:cubicBezTo>
                  <a:pt x="269974" y="465169"/>
                  <a:pt x="269860" y="465595"/>
                  <a:pt x="269748" y="466021"/>
                </a:cubicBezTo>
                <a:lnTo>
                  <a:pt x="254870" y="466021"/>
                </a:lnTo>
                <a:lnTo>
                  <a:pt x="254870" y="305096"/>
                </a:lnTo>
                <a:lnTo>
                  <a:pt x="269748" y="305096"/>
                </a:lnTo>
                <a:cubicBezTo>
                  <a:pt x="272542" y="316259"/>
                  <a:pt x="276495" y="324089"/>
                  <a:pt x="281607" y="328584"/>
                </a:cubicBezTo>
                <a:cubicBezTo>
                  <a:pt x="284383" y="330979"/>
                  <a:pt x="287646" y="332740"/>
                  <a:pt x="291170" y="333747"/>
                </a:cubicBezTo>
                <a:cubicBezTo>
                  <a:pt x="294701" y="334801"/>
                  <a:pt x="298724" y="335328"/>
                  <a:pt x="303238" y="335328"/>
                </a:cubicBezTo>
                <a:lnTo>
                  <a:pt x="417653" y="335328"/>
                </a:lnTo>
                <a:cubicBezTo>
                  <a:pt x="420408" y="335344"/>
                  <a:pt x="423160" y="335138"/>
                  <a:pt x="425882" y="334709"/>
                </a:cubicBezTo>
                <a:cubicBezTo>
                  <a:pt x="428790" y="334233"/>
                  <a:pt x="431407" y="333483"/>
                  <a:pt x="433731" y="332461"/>
                </a:cubicBezTo>
                <a:cubicBezTo>
                  <a:pt x="435831" y="331549"/>
                  <a:pt x="437781" y="330322"/>
                  <a:pt x="439513" y="328823"/>
                </a:cubicBezTo>
                <a:cubicBezTo>
                  <a:pt x="441281" y="327231"/>
                  <a:pt x="442823" y="325404"/>
                  <a:pt x="444094" y="323393"/>
                </a:cubicBezTo>
                <a:cubicBezTo>
                  <a:pt x="446590" y="319558"/>
                  <a:pt x="448780" y="314545"/>
                  <a:pt x="450666" y="308353"/>
                </a:cubicBezTo>
                <a:cubicBezTo>
                  <a:pt x="450995" y="307272"/>
                  <a:pt x="451305" y="306186"/>
                  <a:pt x="451600" y="305096"/>
                </a:cubicBezTo>
                <a:close/>
              </a:path>
            </a:pathLst>
          </a:custGeom>
          <a:gradFill>
            <a:gsLst>
              <a:gs pos="100000">
                <a:srgbClr val="BDDEFF"/>
              </a:gs>
              <a:gs pos="55000">
                <a:schemeClr val="bg1"/>
              </a:gs>
              <a:gs pos="0">
                <a:srgbClr val="6D40CF"/>
              </a:gs>
            </a:gsLst>
            <a:lin ang="0" scaled="0"/>
          </a:gradFill>
          <a:ln w="9000" cap="rnd">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281940</xdr:colOff>
      <xdr:row>23</xdr:row>
      <xdr:rowOff>121920</xdr:rowOff>
    </xdr:from>
    <xdr:to>
      <xdr:col>2</xdr:col>
      <xdr:colOff>190500</xdr:colOff>
      <xdr:row>24</xdr:row>
      <xdr:rowOff>86816</xdr:rowOff>
    </xdr:to>
    <xdr:sp macro="" textlink="">
      <xdr:nvSpPr>
        <xdr:cNvPr id="4" name="Freeform: Shape 3">
          <a:extLst>
            <a:ext uri="{FF2B5EF4-FFF2-40B4-BE49-F238E27FC236}">
              <a16:creationId xmlns:a16="http://schemas.microsoft.com/office/drawing/2014/main" id="{00000000-0008-0000-0100-000004000000}"/>
            </a:ext>
          </a:extLst>
        </xdr:cNvPr>
        <xdr:cNvSpPr/>
      </xdr:nvSpPr>
      <xdr:spPr>
        <a:xfrm rot="10800000">
          <a:off x="281940" y="4328160"/>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1287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281940</xdr:colOff>
      <xdr:row>25</xdr:row>
      <xdr:rowOff>7620</xdr:rowOff>
    </xdr:from>
    <xdr:to>
      <xdr:col>2</xdr:col>
      <xdr:colOff>190500</xdr:colOff>
      <xdr:row>25</xdr:row>
      <xdr:rowOff>155396</xdr:rowOff>
    </xdr:to>
    <xdr:sp macro="" textlink="">
      <xdr:nvSpPr>
        <xdr:cNvPr id="6" name="Freeform: Shape 5">
          <a:extLst>
            <a:ext uri="{FF2B5EF4-FFF2-40B4-BE49-F238E27FC236}">
              <a16:creationId xmlns:a16="http://schemas.microsoft.com/office/drawing/2014/main" id="{00000000-0008-0000-0100-000006000000}"/>
            </a:ext>
          </a:extLst>
        </xdr:cNvPr>
        <xdr:cNvSpPr/>
      </xdr:nvSpPr>
      <xdr:spPr>
        <a:xfrm>
          <a:off x="281940" y="4579620"/>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023F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281940</xdr:colOff>
      <xdr:row>26</xdr:row>
      <xdr:rowOff>114300</xdr:rowOff>
    </xdr:from>
    <xdr:to>
      <xdr:col>2</xdr:col>
      <xdr:colOff>190500</xdr:colOff>
      <xdr:row>27</xdr:row>
      <xdr:rowOff>79196</xdr:rowOff>
    </xdr:to>
    <xdr:sp macro="" textlink="">
      <xdr:nvSpPr>
        <xdr:cNvPr id="7" name="Freeform: Shape 6">
          <a:extLst>
            <a:ext uri="{FF2B5EF4-FFF2-40B4-BE49-F238E27FC236}">
              <a16:creationId xmlns:a16="http://schemas.microsoft.com/office/drawing/2014/main" id="{00000000-0008-0000-0100-000007000000}"/>
            </a:ext>
          </a:extLst>
        </xdr:cNvPr>
        <xdr:cNvSpPr/>
      </xdr:nvSpPr>
      <xdr:spPr>
        <a:xfrm>
          <a:off x="281940" y="4869180"/>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C7D5E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352832</xdr:colOff>
      <xdr:row>0</xdr:row>
      <xdr:rowOff>134848</xdr:rowOff>
    </xdr:from>
    <xdr:to>
      <xdr:col>13</xdr:col>
      <xdr:colOff>500608</xdr:colOff>
      <xdr:row>3</xdr:row>
      <xdr:rowOff>104368</xdr:rowOff>
    </xdr:to>
    <xdr:sp macro="" textlink="">
      <xdr:nvSpPr>
        <xdr:cNvPr id="3" name="Freeform: Shape 2">
          <a:extLst>
            <a:ext uri="{FF2B5EF4-FFF2-40B4-BE49-F238E27FC236}">
              <a16:creationId xmlns:a16="http://schemas.microsoft.com/office/drawing/2014/main" id="{AF9D2221-2756-4BA8-A853-61EEA3B93211}"/>
            </a:ext>
          </a:extLst>
        </xdr:cNvPr>
        <xdr:cNvSpPr/>
      </xdr:nvSpPr>
      <xdr:spPr>
        <a:xfrm rot="16200000">
          <a:off x="7581900" y="320040"/>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6D40C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86132</xdr:colOff>
      <xdr:row>0</xdr:row>
      <xdr:rowOff>127228</xdr:rowOff>
    </xdr:from>
    <xdr:to>
      <xdr:col>13</xdr:col>
      <xdr:colOff>233908</xdr:colOff>
      <xdr:row>3</xdr:row>
      <xdr:rowOff>96748</xdr:rowOff>
    </xdr:to>
    <xdr:sp macro="" textlink="">
      <xdr:nvSpPr>
        <xdr:cNvPr id="5" name="Freeform: Shape 4">
          <a:extLst>
            <a:ext uri="{FF2B5EF4-FFF2-40B4-BE49-F238E27FC236}">
              <a16:creationId xmlns:a16="http://schemas.microsoft.com/office/drawing/2014/main" id="{DDA25FFF-00E3-41DB-A398-772180DC9488}"/>
            </a:ext>
          </a:extLst>
        </xdr:cNvPr>
        <xdr:cNvSpPr/>
      </xdr:nvSpPr>
      <xdr:spPr>
        <a:xfrm rot="5400000">
          <a:off x="7315200" y="312420"/>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302B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12</xdr:col>
      <xdr:colOff>388620</xdr:colOff>
      <xdr:row>26</xdr:row>
      <xdr:rowOff>91440</xdr:rowOff>
    </xdr:from>
    <xdr:to>
      <xdr:col>12</xdr:col>
      <xdr:colOff>532620</xdr:colOff>
      <xdr:row>27</xdr:row>
      <xdr:rowOff>52560</xdr:rowOff>
    </xdr:to>
    <xdr:sp macro="" textlink="">
      <xdr:nvSpPr>
        <xdr:cNvPr id="8" name="Oval 7">
          <a:extLst>
            <a:ext uri="{FF2B5EF4-FFF2-40B4-BE49-F238E27FC236}">
              <a16:creationId xmlns:a16="http://schemas.microsoft.com/office/drawing/2014/main" id="{24668651-81A2-469D-975A-2128DEA1EC11}"/>
            </a:ext>
          </a:extLst>
        </xdr:cNvPr>
        <xdr:cNvSpPr/>
      </xdr:nvSpPr>
      <xdr:spPr>
        <a:xfrm>
          <a:off x="9989820" y="4846320"/>
          <a:ext cx="144000" cy="144000"/>
        </a:xfrm>
        <a:prstGeom prst="ellipse">
          <a:avLst/>
        </a:prstGeom>
        <a:gradFill>
          <a:gsLst>
            <a:gs pos="100000">
              <a:srgbClr val="009A96"/>
            </a:gs>
            <a:gs pos="0">
              <a:srgbClr val="35D7C7"/>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gradFill>
              <a:gsLst>
                <a:gs pos="100000">
                  <a:srgbClr val="009A96"/>
                </a:gs>
                <a:gs pos="0">
                  <a:srgbClr val="35D7C7"/>
                </a:gs>
              </a:gsLst>
              <a:lin ang="5400000" scaled="0"/>
            </a:gradFill>
          </a:endParaRPr>
        </a:p>
      </xdr:txBody>
    </xdr:sp>
    <xdr:clientData/>
  </xdr:twoCellAnchor>
  <xdr:twoCellAnchor>
    <xdr:from>
      <xdr:col>11</xdr:col>
      <xdr:colOff>99060</xdr:colOff>
      <xdr:row>26</xdr:row>
      <xdr:rowOff>114300</xdr:rowOff>
    </xdr:from>
    <xdr:to>
      <xdr:col>11</xdr:col>
      <xdr:colOff>243060</xdr:colOff>
      <xdr:row>27</xdr:row>
      <xdr:rowOff>75420</xdr:rowOff>
    </xdr:to>
    <xdr:sp macro="" textlink="">
      <xdr:nvSpPr>
        <xdr:cNvPr id="9" name="Oval 8">
          <a:extLst>
            <a:ext uri="{FF2B5EF4-FFF2-40B4-BE49-F238E27FC236}">
              <a16:creationId xmlns:a16="http://schemas.microsoft.com/office/drawing/2014/main" id="{4692C90F-60BB-4035-A822-C620C1815841}"/>
            </a:ext>
          </a:extLst>
        </xdr:cNvPr>
        <xdr:cNvSpPr/>
      </xdr:nvSpPr>
      <xdr:spPr>
        <a:xfrm>
          <a:off x="9090660" y="4869180"/>
          <a:ext cx="144000" cy="144000"/>
        </a:xfrm>
        <a:prstGeom prst="ellipse">
          <a:avLst/>
        </a:prstGeom>
        <a:gradFill>
          <a:gsLst>
            <a:gs pos="0">
              <a:srgbClr val="FF0167"/>
            </a:gs>
            <a:gs pos="100000">
              <a:srgbClr val="FF3A8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358140</xdr:colOff>
      <xdr:row>23</xdr:row>
      <xdr:rowOff>30480</xdr:rowOff>
    </xdr:from>
    <xdr:to>
      <xdr:col>11</xdr:col>
      <xdr:colOff>505916</xdr:colOff>
      <xdr:row>26</xdr:row>
      <xdr:rowOff>0</xdr:rowOff>
    </xdr:to>
    <xdr:sp macro="" textlink="">
      <xdr:nvSpPr>
        <xdr:cNvPr id="10" name="Freeform: Shape 9">
          <a:extLst>
            <a:ext uri="{FF2B5EF4-FFF2-40B4-BE49-F238E27FC236}">
              <a16:creationId xmlns:a16="http://schemas.microsoft.com/office/drawing/2014/main" id="{17DEB844-4E6F-4FBB-AF37-6F6C70D895C2}"/>
            </a:ext>
          </a:extLst>
        </xdr:cNvPr>
        <xdr:cNvSpPr/>
      </xdr:nvSpPr>
      <xdr:spPr>
        <a:xfrm rot="16200000">
          <a:off x="9164548" y="4421912"/>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FF01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91440</xdr:colOff>
      <xdr:row>23</xdr:row>
      <xdr:rowOff>22860</xdr:rowOff>
    </xdr:from>
    <xdr:to>
      <xdr:col>11</xdr:col>
      <xdr:colOff>239216</xdr:colOff>
      <xdr:row>25</xdr:row>
      <xdr:rowOff>175260</xdr:rowOff>
    </xdr:to>
    <xdr:sp macro="" textlink="">
      <xdr:nvSpPr>
        <xdr:cNvPr id="11" name="Freeform: Shape 10">
          <a:extLst>
            <a:ext uri="{FF2B5EF4-FFF2-40B4-BE49-F238E27FC236}">
              <a16:creationId xmlns:a16="http://schemas.microsoft.com/office/drawing/2014/main" id="{A154E00A-682B-4440-A46C-80A5620FB545}"/>
            </a:ext>
          </a:extLst>
        </xdr:cNvPr>
        <xdr:cNvSpPr/>
      </xdr:nvSpPr>
      <xdr:spPr>
        <a:xfrm rot="5400000">
          <a:off x="8897848" y="4414292"/>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FF3A8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12</xdr:col>
      <xdr:colOff>358140</xdr:colOff>
      <xdr:row>23</xdr:row>
      <xdr:rowOff>30480</xdr:rowOff>
    </xdr:from>
    <xdr:to>
      <xdr:col>12</xdr:col>
      <xdr:colOff>505916</xdr:colOff>
      <xdr:row>26</xdr:row>
      <xdr:rowOff>0</xdr:rowOff>
    </xdr:to>
    <xdr:sp macro="" textlink="">
      <xdr:nvSpPr>
        <xdr:cNvPr id="12" name="Freeform: Shape 11">
          <a:extLst>
            <a:ext uri="{FF2B5EF4-FFF2-40B4-BE49-F238E27FC236}">
              <a16:creationId xmlns:a16="http://schemas.microsoft.com/office/drawing/2014/main" id="{1AAC3ACB-A559-4D39-A924-110873682B2C}"/>
            </a:ext>
          </a:extLst>
        </xdr:cNvPr>
        <xdr:cNvSpPr/>
      </xdr:nvSpPr>
      <xdr:spPr>
        <a:xfrm rot="16200000">
          <a:off x="9774148" y="4421912"/>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35D7C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12</xdr:col>
      <xdr:colOff>91440</xdr:colOff>
      <xdr:row>23</xdr:row>
      <xdr:rowOff>22860</xdr:rowOff>
    </xdr:from>
    <xdr:to>
      <xdr:col>12</xdr:col>
      <xdr:colOff>239216</xdr:colOff>
      <xdr:row>25</xdr:row>
      <xdr:rowOff>175260</xdr:rowOff>
    </xdr:to>
    <xdr:sp macro="" textlink="">
      <xdr:nvSpPr>
        <xdr:cNvPr id="13" name="Freeform: Shape 12">
          <a:extLst>
            <a:ext uri="{FF2B5EF4-FFF2-40B4-BE49-F238E27FC236}">
              <a16:creationId xmlns:a16="http://schemas.microsoft.com/office/drawing/2014/main" id="{5894D833-1CDF-4208-8908-7D59060EF412}"/>
            </a:ext>
          </a:extLst>
        </xdr:cNvPr>
        <xdr:cNvSpPr/>
      </xdr:nvSpPr>
      <xdr:spPr>
        <a:xfrm rot="5400000">
          <a:off x="9507448" y="4414292"/>
          <a:ext cx="518160" cy="147776"/>
        </a:xfrm>
        <a:custGeom>
          <a:avLst/>
          <a:gdLst>
            <a:gd name="connsiteX0" fmla="*/ 0 w 518160"/>
            <a:gd name="connsiteY0" fmla="*/ 0 h 147776"/>
            <a:gd name="connsiteX1" fmla="*/ 518160 w 518160"/>
            <a:gd name="connsiteY1" fmla="*/ 0 h 147776"/>
            <a:gd name="connsiteX2" fmla="*/ 518160 w 518160"/>
            <a:gd name="connsiteY2" fmla="*/ 61414 h 147776"/>
            <a:gd name="connsiteX3" fmla="*/ 431798 w 518160"/>
            <a:gd name="connsiteY3" fmla="*/ 147776 h 147776"/>
            <a:gd name="connsiteX4" fmla="*/ 86362 w 518160"/>
            <a:gd name="connsiteY4" fmla="*/ 147776 h 147776"/>
            <a:gd name="connsiteX5" fmla="*/ 0 w 518160"/>
            <a:gd name="connsiteY5" fmla="*/ 61414 h 147776"/>
            <a:gd name="connsiteX6" fmla="*/ 0 w 518160"/>
            <a:gd name="connsiteY6" fmla="*/ 0 h 147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18160" h="147776">
              <a:moveTo>
                <a:pt x="0" y="0"/>
              </a:moveTo>
              <a:lnTo>
                <a:pt x="518160" y="0"/>
              </a:lnTo>
              <a:lnTo>
                <a:pt x="518160" y="61414"/>
              </a:lnTo>
              <a:cubicBezTo>
                <a:pt x="518160" y="109110"/>
                <a:pt x="479494" y="147776"/>
                <a:pt x="431798" y="147776"/>
              </a:cubicBezTo>
              <a:lnTo>
                <a:pt x="86362" y="147776"/>
              </a:lnTo>
              <a:cubicBezTo>
                <a:pt x="38666" y="147776"/>
                <a:pt x="0" y="109110"/>
                <a:pt x="0" y="61414"/>
              </a:cubicBezTo>
              <a:lnTo>
                <a:pt x="0" y="0"/>
              </a:lnTo>
              <a:close/>
            </a:path>
          </a:pathLst>
        </a:custGeom>
        <a:solidFill>
          <a:srgbClr val="009A9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205740</xdr:colOff>
      <xdr:row>0</xdr:row>
      <xdr:rowOff>160020</xdr:rowOff>
    </xdr:from>
    <xdr:to>
      <xdr:col>0</xdr:col>
      <xdr:colOff>2149740</xdr:colOff>
      <xdr:row>35</xdr:row>
      <xdr:rowOff>23220</xdr:rowOff>
    </xdr:to>
    <xdr:sp macro="" textlink="">
      <xdr:nvSpPr>
        <xdr:cNvPr id="14" name="Rectangle: Rounded Corners 13">
          <a:extLst>
            <a:ext uri="{FF2B5EF4-FFF2-40B4-BE49-F238E27FC236}">
              <a16:creationId xmlns:a16="http://schemas.microsoft.com/office/drawing/2014/main" id="{858062E9-67E5-4424-948A-6F3CEE010101}"/>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205740</xdr:colOff>
      <xdr:row>12</xdr:row>
      <xdr:rowOff>137160</xdr:rowOff>
    </xdr:from>
    <xdr:to>
      <xdr:col>0</xdr:col>
      <xdr:colOff>1969740</xdr:colOff>
      <xdr:row>14</xdr:row>
      <xdr:rowOff>167400</xdr:rowOff>
    </xdr:to>
    <xdr:sp macro="" textlink="">
      <xdr:nvSpPr>
        <xdr:cNvPr id="38" name="Freeform: Shape 37">
          <a:extLst>
            <a:ext uri="{FF2B5EF4-FFF2-40B4-BE49-F238E27FC236}">
              <a16:creationId xmlns:a16="http://schemas.microsoft.com/office/drawing/2014/main" id="{B10FCE40-4A8A-46CC-85A3-9318B4525130}"/>
            </a:ext>
          </a:extLst>
        </xdr:cNvPr>
        <xdr:cNvSpPr/>
      </xdr:nvSpPr>
      <xdr:spPr>
        <a:xfrm>
          <a:off x="205740" y="2331720"/>
          <a:ext cx="1764000" cy="396000"/>
        </a:xfrm>
        <a:custGeom>
          <a:avLst/>
          <a:gdLst>
            <a:gd name="connsiteX0" fmla="*/ 0 w 1513634"/>
            <a:gd name="connsiteY0" fmla="*/ 0 h 365760"/>
            <a:gd name="connsiteX1" fmla="*/ 1452673 w 1513634"/>
            <a:gd name="connsiteY1" fmla="*/ 0 h 365760"/>
            <a:gd name="connsiteX2" fmla="*/ 1513634 w 1513634"/>
            <a:gd name="connsiteY2" fmla="*/ 60961 h 365760"/>
            <a:gd name="connsiteX3" fmla="*/ 1513634 w 1513634"/>
            <a:gd name="connsiteY3" fmla="*/ 304799 h 365760"/>
            <a:gd name="connsiteX4" fmla="*/ 1452673 w 1513634"/>
            <a:gd name="connsiteY4" fmla="*/ 365760 h 365760"/>
            <a:gd name="connsiteX5" fmla="*/ 0 w 1513634"/>
            <a:gd name="connsiteY5" fmla="*/ 365760 h 365760"/>
            <a:gd name="connsiteX6" fmla="*/ 0 w 1513634"/>
            <a:gd name="connsiteY6" fmla="*/ 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13634" h="365760">
              <a:moveTo>
                <a:pt x="0" y="0"/>
              </a:moveTo>
              <a:lnTo>
                <a:pt x="1452673" y="0"/>
              </a:lnTo>
              <a:cubicBezTo>
                <a:pt x="1486341" y="0"/>
                <a:pt x="1513634" y="27293"/>
                <a:pt x="1513634" y="60961"/>
              </a:cubicBezTo>
              <a:lnTo>
                <a:pt x="1513634" y="304799"/>
              </a:lnTo>
              <a:cubicBezTo>
                <a:pt x="1513634" y="338467"/>
                <a:pt x="1486341" y="365760"/>
                <a:pt x="1452673" y="365760"/>
              </a:cubicBezTo>
              <a:lnTo>
                <a:pt x="0" y="365760"/>
              </a:lnTo>
              <a:lnTo>
                <a:pt x="0" y="0"/>
              </a:lnTo>
              <a:close/>
            </a:path>
          </a:pathLst>
        </a:custGeom>
        <a:gradFill>
          <a:gsLst>
            <a:gs pos="10000">
              <a:srgbClr val="423469">
                <a:alpha val="68000"/>
              </a:srgbClr>
            </a:gs>
            <a:gs pos="100000">
              <a:srgbClr val="6D40C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632875</xdr:colOff>
      <xdr:row>7</xdr:row>
      <xdr:rowOff>12360</xdr:rowOff>
    </xdr:from>
    <xdr:to>
      <xdr:col>0</xdr:col>
      <xdr:colOff>1943100</xdr:colOff>
      <xdr:row>8</xdr:row>
      <xdr:rowOff>119040</xdr:rowOff>
    </xdr:to>
    <xdr:grpSp>
      <xdr:nvGrpSpPr>
        <xdr:cNvPr id="58" name="Group 57">
          <a:hlinkClick xmlns:r="http://schemas.openxmlformats.org/officeDocument/2006/relationships" r:id="rId1"/>
          <a:extLst>
            <a:ext uri="{FF2B5EF4-FFF2-40B4-BE49-F238E27FC236}">
              <a16:creationId xmlns:a16="http://schemas.microsoft.com/office/drawing/2014/main" id="{BC44468E-EDB5-1224-F90E-D5A8DFF18274}"/>
            </a:ext>
          </a:extLst>
        </xdr:cNvPr>
        <xdr:cNvGrpSpPr/>
      </xdr:nvGrpSpPr>
      <xdr:grpSpPr>
        <a:xfrm>
          <a:off x="632875" y="1345860"/>
          <a:ext cx="1310225" cy="297180"/>
          <a:chOff x="632875" y="1292520"/>
          <a:chExt cx="1310225" cy="289560"/>
        </a:xfrm>
      </xdr:grpSpPr>
      <xdr:grpSp>
        <xdr:nvGrpSpPr>
          <xdr:cNvPr id="39" name="Group 38">
            <a:extLst>
              <a:ext uri="{FF2B5EF4-FFF2-40B4-BE49-F238E27FC236}">
                <a16:creationId xmlns:a16="http://schemas.microsoft.com/office/drawing/2014/main" id="{E25BECAF-9C95-4EB3-97A7-29A0C0FA4B0B}"/>
              </a:ext>
            </a:extLst>
          </xdr:cNvPr>
          <xdr:cNvGrpSpPr/>
        </xdr:nvGrpSpPr>
        <xdr:grpSpPr>
          <a:xfrm>
            <a:off x="632875" y="1365300"/>
            <a:ext cx="144000" cy="144000"/>
            <a:chOff x="2444621" y="737119"/>
            <a:chExt cx="4413380" cy="4413380"/>
          </a:xfrm>
        </xdr:grpSpPr>
        <xdr:sp macro="" textlink="">
          <xdr:nvSpPr>
            <xdr:cNvPr id="40" name="Rectangle: Rounded Corners 39">
              <a:extLst>
                <a:ext uri="{FF2B5EF4-FFF2-40B4-BE49-F238E27FC236}">
                  <a16:creationId xmlns:a16="http://schemas.microsoft.com/office/drawing/2014/main" id="{B4B06B4F-FAF2-9B13-0E14-C062CB19E247}"/>
                </a:ext>
              </a:extLst>
            </xdr:cNvPr>
            <xdr:cNvSpPr/>
          </xdr:nvSpPr>
          <xdr:spPr>
            <a:xfrm>
              <a:off x="2444621" y="737119"/>
              <a:ext cx="4413380" cy="441338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Rectangle 40">
              <a:extLst>
                <a:ext uri="{FF2B5EF4-FFF2-40B4-BE49-F238E27FC236}">
                  <a16:creationId xmlns:a16="http://schemas.microsoft.com/office/drawing/2014/main" id="{5B30F20E-11FC-969E-963F-EE1451E018F4}"/>
                </a:ext>
              </a:extLst>
            </xdr:cNvPr>
            <xdr:cNvSpPr/>
          </xdr:nvSpPr>
          <xdr:spPr>
            <a:xfrm>
              <a:off x="3172408" y="2649894"/>
              <a:ext cx="774441" cy="20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Rectangle 41">
              <a:extLst>
                <a:ext uri="{FF2B5EF4-FFF2-40B4-BE49-F238E27FC236}">
                  <a16:creationId xmlns:a16="http://schemas.microsoft.com/office/drawing/2014/main" id="{B22AB84C-F9E1-C16C-5DB2-FFC35BF9DF9C}"/>
                </a:ext>
              </a:extLst>
            </xdr:cNvPr>
            <xdr:cNvSpPr/>
          </xdr:nvSpPr>
          <xdr:spPr>
            <a:xfrm>
              <a:off x="4264090" y="1306286"/>
              <a:ext cx="774441" cy="33956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Rectangle 42">
              <a:extLst>
                <a:ext uri="{FF2B5EF4-FFF2-40B4-BE49-F238E27FC236}">
                  <a16:creationId xmlns:a16="http://schemas.microsoft.com/office/drawing/2014/main" id="{470191E8-A0D4-0E02-52E0-06D04FAC1169}"/>
                </a:ext>
              </a:extLst>
            </xdr:cNvPr>
            <xdr:cNvSpPr/>
          </xdr:nvSpPr>
          <xdr:spPr>
            <a:xfrm>
              <a:off x="5379097" y="3312366"/>
              <a:ext cx="774441" cy="1389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44" name="TextBox 43">
            <a:extLst>
              <a:ext uri="{FF2B5EF4-FFF2-40B4-BE49-F238E27FC236}">
                <a16:creationId xmlns:a16="http://schemas.microsoft.com/office/drawing/2014/main" id="{25AC1B26-A664-426F-BE27-E49281082D8C}"/>
              </a:ext>
            </a:extLst>
          </xdr:cNvPr>
          <xdr:cNvSpPr txBox="1"/>
        </xdr:nvSpPr>
        <xdr:spPr>
          <a:xfrm>
            <a:off x="861060" y="1292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rPr>
              <a:t>Dashboard</a:t>
            </a:r>
            <a:endParaRPr lang="ru-RU" sz="1200">
              <a:solidFill>
                <a:schemeClr val="bg1"/>
              </a:solidFill>
              <a:latin typeface="+mn-lt"/>
            </a:endParaRPr>
          </a:p>
        </xdr:txBody>
      </xdr:sp>
    </xdr:grpSp>
    <xdr:clientData/>
  </xdr:twoCellAnchor>
  <xdr:twoCellAnchor>
    <xdr:from>
      <xdr:col>0</xdr:col>
      <xdr:colOff>861060</xdr:colOff>
      <xdr:row>12</xdr:row>
      <xdr:rowOff>176190</xdr:rowOff>
    </xdr:from>
    <xdr:to>
      <xdr:col>0</xdr:col>
      <xdr:colOff>1943100</xdr:colOff>
      <xdr:row>14</xdr:row>
      <xdr:rowOff>99990</xdr:rowOff>
    </xdr:to>
    <xdr:sp macro="" textlink="">
      <xdr:nvSpPr>
        <xdr:cNvPr id="45" name="TextBox 44">
          <a:extLst>
            <a:ext uri="{FF2B5EF4-FFF2-40B4-BE49-F238E27FC236}">
              <a16:creationId xmlns:a16="http://schemas.microsoft.com/office/drawing/2014/main" id="{2EF62218-BB9F-4A98-98AC-C17406FCA349}"/>
            </a:ext>
          </a:extLst>
        </xdr:cNvPr>
        <xdr:cNvSpPr txBox="1"/>
      </xdr:nvSpPr>
      <xdr:spPr>
        <a:xfrm>
          <a:off x="861060" y="237075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Settings</a:t>
          </a:r>
          <a:endParaRPr lang="ru-RU" sz="1200">
            <a:solidFill>
              <a:schemeClr val="bg1"/>
            </a:solidFill>
            <a:latin typeface="+mn-lt"/>
          </a:endParaRPr>
        </a:p>
      </xdr:txBody>
    </xdr:sp>
    <xdr:clientData/>
  </xdr:twoCellAnchor>
  <xdr:twoCellAnchor>
    <xdr:from>
      <xdr:col>0</xdr:col>
      <xdr:colOff>596875</xdr:colOff>
      <xdr:row>10</xdr:row>
      <xdr:rowOff>2835</xdr:rowOff>
    </xdr:from>
    <xdr:to>
      <xdr:col>0</xdr:col>
      <xdr:colOff>1943100</xdr:colOff>
      <xdr:row>11</xdr:row>
      <xdr:rowOff>109515</xdr:rowOff>
    </xdr:to>
    <xdr:grpSp>
      <xdr:nvGrpSpPr>
        <xdr:cNvPr id="47" name="Group 46">
          <a:hlinkClick xmlns:r="http://schemas.openxmlformats.org/officeDocument/2006/relationships" r:id="rId2"/>
          <a:extLst>
            <a:ext uri="{FF2B5EF4-FFF2-40B4-BE49-F238E27FC236}">
              <a16:creationId xmlns:a16="http://schemas.microsoft.com/office/drawing/2014/main" id="{2C4726C0-433D-4AA3-8207-7D34958161C6}"/>
            </a:ext>
          </a:extLst>
        </xdr:cNvPr>
        <xdr:cNvGrpSpPr/>
      </xdr:nvGrpSpPr>
      <xdr:grpSpPr>
        <a:xfrm>
          <a:off x="596875" y="1907835"/>
          <a:ext cx="1346225" cy="297180"/>
          <a:chOff x="596875" y="1831635"/>
          <a:chExt cx="1346225" cy="289560"/>
        </a:xfrm>
      </xdr:grpSpPr>
      <xdr:sp macro="" textlink="">
        <xdr:nvSpPr>
          <xdr:cNvPr id="48" name="TextBox 47">
            <a:hlinkClick xmlns:r="http://schemas.openxmlformats.org/officeDocument/2006/relationships" r:id="rId2"/>
            <a:extLst>
              <a:ext uri="{FF2B5EF4-FFF2-40B4-BE49-F238E27FC236}">
                <a16:creationId xmlns:a16="http://schemas.microsoft.com/office/drawing/2014/main" id="{53CF449D-A8AD-534F-179E-D6F34FF1556E}"/>
              </a:ext>
            </a:extLst>
          </xdr:cNvPr>
          <xdr:cNvSpPr txBox="1"/>
        </xdr:nvSpPr>
        <xdr:spPr>
          <a:xfrm>
            <a:off x="861060" y="183163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Personnel</a:t>
            </a:r>
            <a:endParaRPr lang="ru-RU" sz="1200">
              <a:solidFill>
                <a:schemeClr val="bg1"/>
              </a:solidFill>
              <a:latin typeface="+mn-lt"/>
            </a:endParaRPr>
          </a:p>
        </xdr:txBody>
      </xdr:sp>
      <xdr:pic>
        <xdr:nvPicPr>
          <xdr:cNvPr id="49" name="Graphic 48" descr="User with solid fill">
            <a:extLst>
              <a:ext uri="{FF2B5EF4-FFF2-40B4-BE49-F238E27FC236}">
                <a16:creationId xmlns:a16="http://schemas.microsoft.com/office/drawing/2014/main" id="{91FF1BA4-08AC-4703-C116-407B86272F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875" y="1879710"/>
            <a:ext cx="216000" cy="216000"/>
          </a:xfrm>
          <a:prstGeom prst="rect">
            <a:avLst/>
          </a:prstGeom>
        </xdr:spPr>
      </xdr:pic>
    </xdr:grpSp>
    <xdr:clientData/>
  </xdr:twoCellAnchor>
  <xdr:twoCellAnchor editAs="oneCell">
    <xdr:from>
      <xdr:col>0</xdr:col>
      <xdr:colOff>578875</xdr:colOff>
      <xdr:row>13</xdr:row>
      <xdr:rowOff>27720</xdr:rowOff>
    </xdr:from>
    <xdr:to>
      <xdr:col>0</xdr:col>
      <xdr:colOff>830875</xdr:colOff>
      <xdr:row>14</xdr:row>
      <xdr:rowOff>96840</xdr:rowOff>
    </xdr:to>
    <xdr:pic>
      <xdr:nvPicPr>
        <xdr:cNvPr id="50" name="Graphic 49" descr="Single gear with solid fill">
          <a:extLst>
            <a:ext uri="{FF2B5EF4-FFF2-40B4-BE49-F238E27FC236}">
              <a16:creationId xmlns:a16="http://schemas.microsoft.com/office/drawing/2014/main" id="{B1132042-D4FB-4CF1-97D0-34F5F1103AE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78875" y="2405160"/>
          <a:ext cx="252000" cy="252000"/>
        </a:xfrm>
        <a:prstGeom prst="rect">
          <a:avLst/>
        </a:prstGeom>
      </xdr:spPr>
    </xdr:pic>
    <xdr:clientData/>
  </xdr:twoCellAnchor>
  <xdr:twoCellAnchor>
    <xdr:from>
      <xdr:col>0</xdr:col>
      <xdr:colOff>578875</xdr:colOff>
      <xdr:row>15</xdr:row>
      <xdr:rowOff>166665</xdr:rowOff>
    </xdr:from>
    <xdr:to>
      <xdr:col>0</xdr:col>
      <xdr:colOff>1943100</xdr:colOff>
      <xdr:row>17</xdr:row>
      <xdr:rowOff>90465</xdr:rowOff>
    </xdr:to>
    <xdr:grpSp>
      <xdr:nvGrpSpPr>
        <xdr:cNvPr id="2" name="Group 1">
          <a:hlinkClick xmlns:r="http://schemas.openxmlformats.org/officeDocument/2006/relationships" r:id="rId7"/>
          <a:extLst>
            <a:ext uri="{FF2B5EF4-FFF2-40B4-BE49-F238E27FC236}">
              <a16:creationId xmlns:a16="http://schemas.microsoft.com/office/drawing/2014/main" id="{CB8F436F-D158-3512-08D0-96A15E043F31}"/>
            </a:ext>
          </a:extLst>
        </xdr:cNvPr>
        <xdr:cNvGrpSpPr/>
      </xdr:nvGrpSpPr>
      <xdr:grpSpPr>
        <a:xfrm>
          <a:off x="578875" y="3024165"/>
          <a:ext cx="1364225" cy="304800"/>
          <a:chOff x="578875" y="2909865"/>
          <a:chExt cx="1364225" cy="289560"/>
        </a:xfrm>
      </xdr:grpSpPr>
      <xdr:sp macro="" textlink="">
        <xdr:nvSpPr>
          <xdr:cNvPr id="46" name="TextBox 45">
            <a:extLst>
              <a:ext uri="{FF2B5EF4-FFF2-40B4-BE49-F238E27FC236}">
                <a16:creationId xmlns:a16="http://schemas.microsoft.com/office/drawing/2014/main" id="{2AFF2D3A-23C3-4B7B-818E-5757C3BFEB8B}"/>
              </a:ext>
            </a:extLst>
          </xdr:cNvPr>
          <xdr:cNvSpPr txBox="1"/>
        </xdr:nvSpPr>
        <xdr:spPr>
          <a:xfrm>
            <a:off x="861060" y="290986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Today</a:t>
            </a:r>
            <a:endParaRPr lang="ru-RU" sz="1200">
              <a:solidFill>
                <a:schemeClr val="bg1"/>
              </a:solidFill>
              <a:latin typeface="+mn-lt"/>
            </a:endParaRPr>
          </a:p>
        </xdr:txBody>
      </xdr:sp>
      <xdr:pic>
        <xdr:nvPicPr>
          <xdr:cNvPr id="51" name="Graphic 50" descr="Daily calendar with solid fill">
            <a:extLst>
              <a:ext uri="{FF2B5EF4-FFF2-40B4-BE49-F238E27FC236}">
                <a16:creationId xmlns:a16="http://schemas.microsoft.com/office/drawing/2014/main" id="{D6C8F251-75ED-413D-8B9A-5790B6B5D97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78875" y="2943750"/>
            <a:ext cx="252000" cy="252000"/>
          </a:xfrm>
          <a:prstGeom prst="rect">
            <a:avLst/>
          </a:prstGeom>
        </xdr:spPr>
      </xdr:pic>
    </xdr:grpSp>
    <xdr:clientData/>
  </xdr:twoCellAnchor>
  <xdr:twoCellAnchor>
    <xdr:from>
      <xdr:col>0</xdr:col>
      <xdr:colOff>569100</xdr:colOff>
      <xdr:row>29</xdr:row>
      <xdr:rowOff>180000</xdr:rowOff>
    </xdr:from>
    <xdr:to>
      <xdr:col>0</xdr:col>
      <xdr:colOff>1943100</xdr:colOff>
      <xdr:row>31</xdr:row>
      <xdr:rowOff>103800</xdr:rowOff>
    </xdr:to>
    <xdr:grpSp>
      <xdr:nvGrpSpPr>
        <xdr:cNvPr id="15" name="Group 14">
          <a:hlinkClick xmlns:r="http://schemas.openxmlformats.org/officeDocument/2006/relationships" r:id="rId10"/>
          <a:extLst>
            <a:ext uri="{FF2B5EF4-FFF2-40B4-BE49-F238E27FC236}">
              <a16:creationId xmlns:a16="http://schemas.microsoft.com/office/drawing/2014/main" id="{59698641-5C0F-74DB-0297-561EBF6997D6}"/>
            </a:ext>
          </a:extLst>
        </xdr:cNvPr>
        <xdr:cNvGrpSpPr/>
      </xdr:nvGrpSpPr>
      <xdr:grpSpPr>
        <a:xfrm>
          <a:off x="569100" y="5704500"/>
          <a:ext cx="1374000" cy="304800"/>
          <a:chOff x="569100" y="5483520"/>
          <a:chExt cx="1374000" cy="289560"/>
        </a:xfrm>
      </xdr:grpSpPr>
      <xdr:sp macro="" textlink="">
        <xdr:nvSpPr>
          <xdr:cNvPr id="53" name="TextBox 52">
            <a:extLst>
              <a:ext uri="{FF2B5EF4-FFF2-40B4-BE49-F238E27FC236}">
                <a16:creationId xmlns:a16="http://schemas.microsoft.com/office/drawing/2014/main" id="{40F2AB8A-F85B-451B-8B57-C8B3BD6EEE78}"/>
              </a:ext>
            </a:extLst>
          </xdr:cNvPr>
          <xdr:cNvSpPr txBox="1"/>
        </xdr:nvSpPr>
        <xdr:spPr>
          <a:xfrm>
            <a:off x="861060" y="5483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Help</a:t>
            </a:r>
            <a:endParaRPr lang="ru-RU" sz="1400">
              <a:solidFill>
                <a:schemeClr val="bg1">
                  <a:lumMod val="85000"/>
                </a:schemeClr>
              </a:solidFill>
              <a:latin typeface="+mn-lt"/>
            </a:endParaRPr>
          </a:p>
        </xdr:txBody>
      </xdr:sp>
      <xdr:pic>
        <xdr:nvPicPr>
          <xdr:cNvPr id="54" name="Graphic 53" descr="Help outline">
            <a:extLst>
              <a:ext uri="{FF2B5EF4-FFF2-40B4-BE49-F238E27FC236}">
                <a16:creationId xmlns:a16="http://schemas.microsoft.com/office/drawing/2014/main" id="{CD3070F2-B31C-4AD0-8CEA-07D31D04755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69100" y="5501640"/>
            <a:ext cx="216000" cy="216000"/>
          </a:xfrm>
          <a:prstGeom prst="rect">
            <a:avLst/>
          </a:prstGeom>
        </xdr:spPr>
      </xdr:pic>
    </xdr:grpSp>
    <xdr:clientData/>
  </xdr:twoCellAnchor>
  <xdr:twoCellAnchor>
    <xdr:from>
      <xdr:col>0</xdr:col>
      <xdr:colOff>569100</xdr:colOff>
      <xdr:row>31</xdr:row>
      <xdr:rowOff>180000</xdr:rowOff>
    </xdr:from>
    <xdr:to>
      <xdr:col>0</xdr:col>
      <xdr:colOff>1943100</xdr:colOff>
      <xdr:row>33</xdr:row>
      <xdr:rowOff>103800</xdr:rowOff>
    </xdr:to>
    <xdr:grpSp>
      <xdr:nvGrpSpPr>
        <xdr:cNvPr id="16" name="Group 15">
          <a:hlinkClick xmlns:r="http://schemas.openxmlformats.org/officeDocument/2006/relationships" r:id="rId10"/>
          <a:extLst>
            <a:ext uri="{FF2B5EF4-FFF2-40B4-BE49-F238E27FC236}">
              <a16:creationId xmlns:a16="http://schemas.microsoft.com/office/drawing/2014/main" id="{FFC839C9-67F6-9CC2-6964-5D24E6619B76}"/>
            </a:ext>
          </a:extLst>
        </xdr:cNvPr>
        <xdr:cNvGrpSpPr/>
      </xdr:nvGrpSpPr>
      <xdr:grpSpPr>
        <a:xfrm>
          <a:off x="569100" y="6085500"/>
          <a:ext cx="1374000" cy="304800"/>
          <a:chOff x="569100" y="5849280"/>
          <a:chExt cx="1374000" cy="289560"/>
        </a:xfrm>
      </xdr:grpSpPr>
      <xdr:sp macro="" textlink="">
        <xdr:nvSpPr>
          <xdr:cNvPr id="52" name="TextBox 51">
            <a:extLst>
              <a:ext uri="{FF2B5EF4-FFF2-40B4-BE49-F238E27FC236}">
                <a16:creationId xmlns:a16="http://schemas.microsoft.com/office/drawing/2014/main" id="{0A44EECD-D9E5-40E4-9687-A41AD0134FD3}"/>
              </a:ext>
            </a:extLst>
          </xdr:cNvPr>
          <xdr:cNvSpPr txBox="1"/>
        </xdr:nvSpPr>
        <xdr:spPr>
          <a:xfrm>
            <a:off x="861060" y="58492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About Project</a:t>
            </a:r>
            <a:endParaRPr lang="ru-RU" sz="1400">
              <a:solidFill>
                <a:schemeClr val="bg1">
                  <a:lumMod val="85000"/>
                </a:schemeClr>
              </a:solidFill>
              <a:latin typeface="+mn-lt"/>
            </a:endParaRPr>
          </a:p>
        </xdr:txBody>
      </xdr:sp>
      <xdr:pic>
        <xdr:nvPicPr>
          <xdr:cNvPr id="55" name="Graphic 54" descr="Information outline">
            <a:extLst>
              <a:ext uri="{FF2B5EF4-FFF2-40B4-BE49-F238E27FC236}">
                <a16:creationId xmlns:a16="http://schemas.microsoft.com/office/drawing/2014/main" id="{E3B6153A-4495-4B61-A245-BF0C3E27CFD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69100" y="5875020"/>
            <a:ext cx="216000" cy="216000"/>
          </a:xfrm>
          <a:prstGeom prst="rect">
            <a:avLst/>
          </a:prstGeom>
        </xdr:spPr>
      </xdr:pic>
    </xdr:grpSp>
    <xdr:clientData/>
  </xdr:twoCellAnchor>
  <xdr:twoCellAnchor>
    <xdr:from>
      <xdr:col>0</xdr:col>
      <xdr:colOff>578875</xdr:colOff>
      <xdr:row>18</xdr:row>
      <xdr:rowOff>157140</xdr:rowOff>
    </xdr:from>
    <xdr:to>
      <xdr:col>0</xdr:col>
      <xdr:colOff>1943100</xdr:colOff>
      <xdr:row>20</xdr:row>
      <xdr:rowOff>80940</xdr:rowOff>
    </xdr:to>
    <xdr:grpSp>
      <xdr:nvGrpSpPr>
        <xdr:cNvPr id="59" name="Group 58">
          <a:hlinkClick xmlns:r="http://schemas.openxmlformats.org/officeDocument/2006/relationships" r:id="rId15"/>
          <a:extLst>
            <a:ext uri="{FF2B5EF4-FFF2-40B4-BE49-F238E27FC236}">
              <a16:creationId xmlns:a16="http://schemas.microsoft.com/office/drawing/2014/main" id="{A9B89457-7B7A-C974-9211-7938E2C7974F}"/>
            </a:ext>
          </a:extLst>
        </xdr:cNvPr>
        <xdr:cNvGrpSpPr/>
      </xdr:nvGrpSpPr>
      <xdr:grpSpPr>
        <a:xfrm>
          <a:off x="578875" y="3586140"/>
          <a:ext cx="1364225" cy="304800"/>
          <a:chOff x="578875" y="3448980"/>
          <a:chExt cx="1364225" cy="289560"/>
        </a:xfrm>
      </xdr:grpSpPr>
      <xdr:pic>
        <xdr:nvPicPr>
          <xdr:cNvPr id="56" name="Graphic 55" descr="Database with solid fill">
            <a:extLst>
              <a:ext uri="{FF2B5EF4-FFF2-40B4-BE49-F238E27FC236}">
                <a16:creationId xmlns:a16="http://schemas.microsoft.com/office/drawing/2014/main" id="{058F3ED5-6F92-4D87-A5B8-7207509497B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78875" y="3474720"/>
            <a:ext cx="252000" cy="252000"/>
          </a:xfrm>
          <a:prstGeom prst="rect">
            <a:avLst/>
          </a:prstGeom>
        </xdr:spPr>
      </xdr:pic>
      <xdr:sp macro="" textlink="">
        <xdr:nvSpPr>
          <xdr:cNvPr id="57" name="TextBox 56">
            <a:extLst>
              <a:ext uri="{FF2B5EF4-FFF2-40B4-BE49-F238E27FC236}">
                <a16:creationId xmlns:a16="http://schemas.microsoft.com/office/drawing/2014/main" id="{E6784EFE-CA2A-4A26-98F0-F423ADE1D1CF}"/>
              </a:ext>
            </a:extLst>
          </xdr:cNvPr>
          <xdr:cNvSpPr txBox="1"/>
        </xdr:nvSpPr>
        <xdr:spPr>
          <a:xfrm>
            <a:off x="861060" y="34489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Data</a:t>
            </a:r>
            <a:endParaRPr lang="ru-RU" sz="1200">
              <a:solidFill>
                <a:schemeClr val="bg1"/>
              </a:solidFill>
              <a:latin typeface="+mn-lt"/>
            </a:endParaRPr>
          </a:p>
        </xdr:txBody>
      </xdr:sp>
    </xdr:grpSp>
    <xdr:clientData/>
  </xdr:twoCellAnchor>
  <xdr:twoCellAnchor>
    <xdr:from>
      <xdr:col>0</xdr:col>
      <xdr:colOff>541020</xdr:colOff>
      <xdr:row>3</xdr:row>
      <xdr:rowOff>99060</xdr:rowOff>
    </xdr:from>
    <xdr:to>
      <xdr:col>0</xdr:col>
      <xdr:colOff>1812771</xdr:colOff>
      <xdr:row>5</xdr:row>
      <xdr:rowOff>88550</xdr:rowOff>
    </xdr:to>
    <xdr:grpSp>
      <xdr:nvGrpSpPr>
        <xdr:cNvPr id="60" name="Group 59">
          <a:hlinkClick xmlns:r="http://schemas.openxmlformats.org/officeDocument/2006/relationships" r:id="rId18"/>
          <a:extLst>
            <a:ext uri="{FF2B5EF4-FFF2-40B4-BE49-F238E27FC236}">
              <a16:creationId xmlns:a16="http://schemas.microsoft.com/office/drawing/2014/main" id="{726E29DE-3101-4A70-B272-305BA0B7BCB3}"/>
            </a:ext>
          </a:extLst>
        </xdr:cNvPr>
        <xdr:cNvGrpSpPr/>
      </xdr:nvGrpSpPr>
      <xdr:grpSpPr>
        <a:xfrm>
          <a:off x="541020" y="670560"/>
          <a:ext cx="1271751" cy="370490"/>
          <a:chOff x="536028" y="651641"/>
          <a:chExt cx="1271751" cy="357352"/>
        </a:xfrm>
      </xdr:grpSpPr>
      <xdr:sp macro="" textlink="">
        <xdr:nvSpPr>
          <xdr:cNvPr id="61" name="Rectangle 60">
            <a:extLst>
              <a:ext uri="{FF2B5EF4-FFF2-40B4-BE49-F238E27FC236}">
                <a16:creationId xmlns:a16="http://schemas.microsoft.com/office/drawing/2014/main" id="{DE873A10-9671-5B96-3E20-D5618059BF4E}"/>
              </a:ext>
            </a:extLst>
          </xdr:cNvPr>
          <xdr:cNvSpPr/>
        </xdr:nvSpPr>
        <xdr:spPr>
          <a:xfrm>
            <a:off x="536028" y="651641"/>
            <a:ext cx="1271751" cy="357352"/>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2" name="Group 61">
            <a:extLst>
              <a:ext uri="{FF2B5EF4-FFF2-40B4-BE49-F238E27FC236}">
                <a16:creationId xmlns:a16="http://schemas.microsoft.com/office/drawing/2014/main" id="{93EF2C4D-A040-9A84-89DD-AAED1E3BB7BD}"/>
              </a:ext>
            </a:extLst>
          </xdr:cNvPr>
          <xdr:cNvGrpSpPr/>
        </xdr:nvGrpSpPr>
        <xdr:grpSpPr>
          <a:xfrm>
            <a:off x="629100" y="730593"/>
            <a:ext cx="486000" cy="200102"/>
            <a:chOff x="2522715" y="2396971"/>
            <a:chExt cx="4565536" cy="2894120"/>
          </a:xfrm>
        </xdr:grpSpPr>
        <xdr:sp macro="" textlink="">
          <xdr:nvSpPr>
            <xdr:cNvPr id="64" name="Rectangle 63">
              <a:extLst>
                <a:ext uri="{FF2B5EF4-FFF2-40B4-BE49-F238E27FC236}">
                  <a16:creationId xmlns:a16="http://schemas.microsoft.com/office/drawing/2014/main" id="{CD9F3EEB-F534-0E7B-6B08-DF61B5D4F28E}"/>
                </a:ext>
              </a:extLst>
            </xdr:cNvPr>
            <xdr:cNvSpPr/>
          </xdr:nvSpPr>
          <xdr:spPr>
            <a:xfrm>
              <a:off x="6658258"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Rectangle 64">
              <a:extLst>
                <a:ext uri="{FF2B5EF4-FFF2-40B4-BE49-F238E27FC236}">
                  <a16:creationId xmlns:a16="http://schemas.microsoft.com/office/drawing/2014/main" id="{04B511A2-BD74-BEF8-0838-BFDC891A6C6B}"/>
                </a:ext>
              </a:extLst>
            </xdr:cNvPr>
            <xdr:cNvSpPr/>
          </xdr:nvSpPr>
          <xdr:spPr>
            <a:xfrm>
              <a:off x="4900472"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Rectangle 65">
              <a:extLst>
                <a:ext uri="{FF2B5EF4-FFF2-40B4-BE49-F238E27FC236}">
                  <a16:creationId xmlns:a16="http://schemas.microsoft.com/office/drawing/2014/main" id="{B9EDC50A-4116-238E-7FA1-D0A8491998E2}"/>
                </a:ext>
              </a:extLst>
            </xdr:cNvPr>
            <xdr:cNvSpPr/>
          </xdr:nvSpPr>
          <xdr:spPr>
            <a:xfrm>
              <a:off x="438265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Rectangle 66">
              <a:extLst>
                <a:ext uri="{FF2B5EF4-FFF2-40B4-BE49-F238E27FC236}">
                  <a16:creationId xmlns:a16="http://schemas.microsoft.com/office/drawing/2014/main" id="{5496AEB5-A207-2655-5380-61C62963CD99}"/>
                </a:ext>
              </a:extLst>
            </xdr:cNvPr>
            <xdr:cNvSpPr/>
          </xdr:nvSpPr>
          <xdr:spPr>
            <a:xfrm>
              <a:off x="290008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Rectangle 67">
              <a:extLst>
                <a:ext uri="{FF2B5EF4-FFF2-40B4-BE49-F238E27FC236}">
                  <a16:creationId xmlns:a16="http://schemas.microsoft.com/office/drawing/2014/main" id="{5489E820-7B52-9B4A-B6A3-B5085E478326}"/>
                </a:ext>
              </a:extLst>
            </xdr:cNvPr>
            <xdr:cNvSpPr/>
          </xdr:nvSpPr>
          <xdr:spPr>
            <a:xfrm>
              <a:off x="6476929"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Rectangle 68">
              <a:extLst>
                <a:ext uri="{FF2B5EF4-FFF2-40B4-BE49-F238E27FC236}">
                  <a16:creationId xmlns:a16="http://schemas.microsoft.com/office/drawing/2014/main" id="{804989EA-E050-BEFF-45F2-3534A45AF27E}"/>
                </a:ext>
              </a:extLst>
            </xdr:cNvPr>
            <xdr:cNvSpPr/>
          </xdr:nvSpPr>
          <xdr:spPr>
            <a:xfrm>
              <a:off x="6260267"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Rectangle 69">
              <a:extLst>
                <a:ext uri="{FF2B5EF4-FFF2-40B4-BE49-F238E27FC236}">
                  <a16:creationId xmlns:a16="http://schemas.microsoft.com/office/drawing/2014/main" id="{7F3E2618-85D0-B18D-3407-B774BA0BE412}"/>
                </a:ext>
              </a:extLst>
            </xdr:cNvPr>
            <xdr:cNvSpPr/>
          </xdr:nvSpPr>
          <xdr:spPr>
            <a:xfrm>
              <a:off x="5739228"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1" name="Rectangle 70">
              <a:extLst>
                <a:ext uri="{FF2B5EF4-FFF2-40B4-BE49-F238E27FC236}">
                  <a16:creationId xmlns:a16="http://schemas.microsoft.com/office/drawing/2014/main" id="{21613873-FF7A-D8DF-EF59-DCC6E8631115}"/>
                </a:ext>
              </a:extLst>
            </xdr:cNvPr>
            <xdr:cNvSpPr/>
          </xdr:nvSpPr>
          <xdr:spPr>
            <a:xfrm>
              <a:off x="5518798"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2" name="Rectangle 71">
              <a:extLst>
                <a:ext uri="{FF2B5EF4-FFF2-40B4-BE49-F238E27FC236}">
                  <a16:creationId xmlns:a16="http://schemas.microsoft.com/office/drawing/2014/main" id="{6FC1AD7D-3522-CB2E-8E5B-D97B7610049E}"/>
                </a:ext>
              </a:extLst>
            </xdr:cNvPr>
            <xdr:cNvSpPr/>
          </xdr:nvSpPr>
          <xdr:spPr>
            <a:xfrm>
              <a:off x="5350810"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3" name="Rectangle 72">
              <a:extLst>
                <a:ext uri="{FF2B5EF4-FFF2-40B4-BE49-F238E27FC236}">
                  <a16:creationId xmlns:a16="http://schemas.microsoft.com/office/drawing/2014/main" id="{CE82E69D-F6E3-FD89-03D9-79126BDDE470}"/>
                </a:ext>
              </a:extLst>
            </xdr:cNvPr>
            <xdr:cNvSpPr/>
          </xdr:nvSpPr>
          <xdr:spPr>
            <a:xfrm>
              <a:off x="328660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4" name="Rectangle 73">
              <a:extLst>
                <a:ext uri="{FF2B5EF4-FFF2-40B4-BE49-F238E27FC236}">
                  <a16:creationId xmlns:a16="http://schemas.microsoft.com/office/drawing/2014/main" id="{39A32228-C14F-C5DA-35AE-CBDA3E534D4C}"/>
                </a:ext>
              </a:extLst>
            </xdr:cNvPr>
            <xdr:cNvSpPr/>
          </xdr:nvSpPr>
          <xdr:spPr>
            <a:xfrm>
              <a:off x="34820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5" name="Rectangle 74">
              <a:extLst>
                <a:ext uri="{FF2B5EF4-FFF2-40B4-BE49-F238E27FC236}">
                  <a16:creationId xmlns:a16="http://schemas.microsoft.com/office/drawing/2014/main" id="{49771754-4DC9-9B5C-8173-7030D93ACB72}"/>
                </a:ext>
              </a:extLst>
            </xdr:cNvPr>
            <xdr:cNvSpPr/>
          </xdr:nvSpPr>
          <xdr:spPr>
            <a:xfrm>
              <a:off x="4165061"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6" name="Rectangle 75">
              <a:extLst>
                <a:ext uri="{FF2B5EF4-FFF2-40B4-BE49-F238E27FC236}">
                  <a16:creationId xmlns:a16="http://schemas.microsoft.com/office/drawing/2014/main" id="{7CEECB74-77F6-F9C8-8223-AAC50ADFE13D}"/>
                </a:ext>
              </a:extLst>
            </xdr:cNvPr>
            <xdr:cNvSpPr/>
          </xdr:nvSpPr>
          <xdr:spPr>
            <a:xfrm>
              <a:off x="400649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7" name="Rectangle 76">
              <a:extLst>
                <a:ext uri="{FF2B5EF4-FFF2-40B4-BE49-F238E27FC236}">
                  <a16:creationId xmlns:a16="http://schemas.microsoft.com/office/drawing/2014/main" id="{DE13B9FD-4610-D174-1BA7-A00F7FB23C35}"/>
                </a:ext>
              </a:extLst>
            </xdr:cNvPr>
            <xdr:cNvSpPr/>
          </xdr:nvSpPr>
          <xdr:spPr>
            <a:xfrm>
              <a:off x="26834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8" name="Rectangle 77">
              <a:extLst>
                <a:ext uri="{FF2B5EF4-FFF2-40B4-BE49-F238E27FC236}">
                  <a16:creationId xmlns:a16="http://schemas.microsoft.com/office/drawing/2014/main" id="{6019E95F-FB32-E578-DA80-502D38269602}"/>
                </a:ext>
              </a:extLst>
            </xdr:cNvPr>
            <xdr:cNvSpPr/>
          </xdr:nvSpPr>
          <xdr:spPr>
            <a:xfrm>
              <a:off x="252271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9" name="Rectangle 78">
              <a:extLst>
                <a:ext uri="{FF2B5EF4-FFF2-40B4-BE49-F238E27FC236}">
                  <a16:creationId xmlns:a16="http://schemas.microsoft.com/office/drawing/2014/main" id="{46EBB5F5-A4EC-766D-764E-8EB57C78649B}"/>
                </a:ext>
              </a:extLst>
            </xdr:cNvPr>
            <xdr:cNvSpPr/>
          </xdr:nvSpPr>
          <xdr:spPr>
            <a:xfrm>
              <a:off x="696225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0" name="Rectangle 79">
              <a:extLst>
                <a:ext uri="{FF2B5EF4-FFF2-40B4-BE49-F238E27FC236}">
                  <a16:creationId xmlns:a16="http://schemas.microsoft.com/office/drawing/2014/main" id="{9C45B099-DC68-773A-79F6-4BB25F4120F4}"/>
                </a:ext>
              </a:extLst>
            </xdr:cNvPr>
            <xdr:cNvSpPr/>
          </xdr:nvSpPr>
          <xdr:spPr>
            <a:xfrm>
              <a:off x="3799324"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1" name="Rectangle 80">
              <a:extLst>
                <a:ext uri="{FF2B5EF4-FFF2-40B4-BE49-F238E27FC236}">
                  <a16:creationId xmlns:a16="http://schemas.microsoft.com/office/drawing/2014/main" id="{745F1C88-82F0-5658-5243-36C3ADDD116A}"/>
                </a:ext>
              </a:extLst>
            </xdr:cNvPr>
            <xdr:cNvSpPr/>
          </xdr:nvSpPr>
          <xdr:spPr>
            <a:xfrm>
              <a:off x="6035306"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2" name="Rectangle 81">
              <a:extLst>
                <a:ext uri="{FF2B5EF4-FFF2-40B4-BE49-F238E27FC236}">
                  <a16:creationId xmlns:a16="http://schemas.microsoft.com/office/drawing/2014/main" id="{8FFBC2D5-8BE8-E41A-7660-B11B44B3009D}"/>
                </a:ext>
              </a:extLst>
            </xdr:cNvPr>
            <xdr:cNvSpPr/>
          </xdr:nvSpPr>
          <xdr:spPr>
            <a:xfrm>
              <a:off x="5220380"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3" name="Rectangle 82">
              <a:extLst>
                <a:ext uri="{FF2B5EF4-FFF2-40B4-BE49-F238E27FC236}">
                  <a16:creationId xmlns:a16="http://schemas.microsoft.com/office/drawing/2014/main" id="{3EF94F6E-4F2F-2CF4-519E-2C6205717981}"/>
                </a:ext>
              </a:extLst>
            </xdr:cNvPr>
            <xdr:cNvSpPr/>
          </xdr:nvSpPr>
          <xdr:spPr>
            <a:xfrm>
              <a:off x="4732735"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63" name="Logo">
            <a:extLst>
              <a:ext uri="{FF2B5EF4-FFF2-40B4-BE49-F238E27FC236}">
                <a16:creationId xmlns:a16="http://schemas.microsoft.com/office/drawing/2014/main" id="{1A418213-F971-CE48-AF04-C41D25248E1B}"/>
              </a:ext>
            </a:extLst>
          </xdr:cNvPr>
          <xdr:cNvSpPr/>
        </xdr:nvSpPr>
        <xdr:spPr>
          <a:xfrm>
            <a:off x="865321" y="738065"/>
            <a:ext cx="830580" cy="189344"/>
          </a:xfrm>
          <a:custGeom>
            <a:avLst/>
            <a:gdLst>
              <a:gd name="connsiteX0" fmla="*/ 2730532 w 2898895"/>
              <a:gd name="connsiteY0" fmla="*/ 207436 h 657179"/>
              <a:gd name="connsiteX1" fmla="*/ 2483568 w 2898895"/>
              <a:gd name="connsiteY1" fmla="*/ 637175 h 657179"/>
              <a:gd name="connsiteX2" fmla="*/ 2249634 w 2898895"/>
              <a:gd name="connsiteY2" fmla="*/ 207436 h 657179"/>
              <a:gd name="connsiteX3" fmla="*/ 2249634 w 2898895"/>
              <a:gd name="connsiteY3" fmla="*/ 597180 h 657179"/>
              <a:gd name="connsiteX4" fmla="*/ 2250253 w 2898895"/>
              <a:gd name="connsiteY4" fmla="*/ 605410 h 657179"/>
              <a:gd name="connsiteX5" fmla="*/ 2252501 w 2898895"/>
              <a:gd name="connsiteY5" fmla="*/ 613258 h 657179"/>
              <a:gd name="connsiteX6" fmla="*/ 2256140 w 2898895"/>
              <a:gd name="connsiteY6" fmla="*/ 619030 h 657179"/>
              <a:gd name="connsiteX7" fmla="*/ 2261788 w 2898895"/>
              <a:gd name="connsiteY7" fmla="*/ 623793 h 657179"/>
              <a:gd name="connsiteX8" fmla="*/ 2276466 w 2898895"/>
              <a:gd name="connsiteY8" fmla="*/ 630270 h 657179"/>
              <a:gd name="connsiteX9" fmla="*/ 2279400 w 2898895"/>
              <a:gd name="connsiteY9" fmla="*/ 631127 h 657179"/>
              <a:gd name="connsiteX10" fmla="*/ 2279400 w 2898895"/>
              <a:gd name="connsiteY10" fmla="*/ 646015 h 657179"/>
              <a:gd name="connsiteX11" fmla="*/ 2092900 w 2898895"/>
              <a:gd name="connsiteY11" fmla="*/ 646015 h 657179"/>
              <a:gd name="connsiteX12" fmla="*/ 2092900 w 2898895"/>
              <a:gd name="connsiteY12" fmla="*/ 631127 h 657179"/>
              <a:gd name="connsiteX13" fmla="*/ 2101501 w 2898895"/>
              <a:gd name="connsiteY13" fmla="*/ 628289 h 657179"/>
              <a:gd name="connsiteX14" fmla="*/ 2114741 w 2898895"/>
              <a:gd name="connsiteY14" fmla="*/ 620497 h 657179"/>
              <a:gd name="connsiteX15" fmla="*/ 2116151 w 2898895"/>
              <a:gd name="connsiteY15" fmla="*/ 619030 h 657179"/>
              <a:gd name="connsiteX16" fmla="*/ 2120713 w 2898895"/>
              <a:gd name="connsiteY16" fmla="*/ 610858 h 657179"/>
              <a:gd name="connsiteX17" fmla="*/ 2122361 w 2898895"/>
              <a:gd name="connsiteY17" fmla="*/ 603019 h 657179"/>
              <a:gd name="connsiteX18" fmla="*/ 2122666 w 2898895"/>
              <a:gd name="connsiteY18" fmla="*/ 597180 h 657179"/>
              <a:gd name="connsiteX19" fmla="*/ 2122666 w 2898895"/>
              <a:gd name="connsiteY19" fmla="*/ 59532 h 657179"/>
              <a:gd name="connsiteX20" fmla="*/ 2122028 w 2898895"/>
              <a:gd name="connsiteY20" fmla="*/ 51445 h 657179"/>
              <a:gd name="connsiteX21" fmla="*/ 2119589 w 2898895"/>
              <a:gd name="connsiteY21" fmla="*/ 43434 h 657179"/>
              <a:gd name="connsiteX22" fmla="*/ 2116151 w 2898895"/>
              <a:gd name="connsiteY22" fmla="*/ 38139 h 657179"/>
              <a:gd name="connsiteX23" fmla="*/ 2110502 w 2898895"/>
              <a:gd name="connsiteY23" fmla="*/ 33376 h 657179"/>
              <a:gd name="connsiteX24" fmla="*/ 2095824 w 2898895"/>
              <a:gd name="connsiteY24" fmla="*/ 26909 h 657179"/>
              <a:gd name="connsiteX25" fmla="*/ 2092900 w 2898895"/>
              <a:gd name="connsiteY25" fmla="*/ 26051 h 657179"/>
              <a:gd name="connsiteX26" fmla="*/ 2092900 w 2898895"/>
              <a:gd name="connsiteY26" fmla="*/ 11164 h 657179"/>
              <a:gd name="connsiteX27" fmla="*/ 2337531 w 2898895"/>
              <a:gd name="connsiteY27" fmla="*/ 11164 h 657179"/>
              <a:gd name="connsiteX28" fmla="*/ 2337531 w 2898895"/>
              <a:gd name="connsiteY28" fmla="*/ 26051 h 657179"/>
              <a:gd name="connsiteX29" fmla="*/ 2315671 w 2898895"/>
              <a:gd name="connsiteY29" fmla="*/ 51626 h 657179"/>
              <a:gd name="connsiteX30" fmla="*/ 2316747 w 2898895"/>
              <a:gd name="connsiteY30" fmla="*/ 59646 h 657179"/>
              <a:gd name="connsiteX31" fmla="*/ 2322186 w 2898895"/>
              <a:gd name="connsiteY31" fmla="*/ 73019 h 657179"/>
              <a:gd name="connsiteX32" fmla="*/ 2495198 w 2898895"/>
              <a:gd name="connsiteY32" fmla="*/ 392069 h 657179"/>
              <a:gd name="connsiteX33" fmla="*/ 2670534 w 2898895"/>
              <a:gd name="connsiteY33" fmla="*/ 78601 h 657179"/>
              <a:gd name="connsiteX34" fmla="*/ 2675345 w 2898895"/>
              <a:gd name="connsiteY34" fmla="*/ 69209 h 657179"/>
              <a:gd name="connsiteX35" fmla="*/ 2682164 w 2898895"/>
              <a:gd name="connsiteY35" fmla="*/ 47444 h 657179"/>
              <a:gd name="connsiteX36" fmla="*/ 2658904 w 2898895"/>
              <a:gd name="connsiteY36" fmla="*/ 26051 h 657179"/>
              <a:gd name="connsiteX37" fmla="*/ 2658904 w 2898895"/>
              <a:gd name="connsiteY37" fmla="*/ 11164 h 657179"/>
              <a:gd name="connsiteX38" fmla="*/ 2898896 w 2898895"/>
              <a:gd name="connsiteY38" fmla="*/ 11164 h 657179"/>
              <a:gd name="connsiteX39" fmla="*/ 2898896 w 2898895"/>
              <a:gd name="connsiteY39" fmla="*/ 26051 h 657179"/>
              <a:gd name="connsiteX40" fmla="*/ 2890286 w 2898895"/>
              <a:gd name="connsiteY40" fmla="*/ 28880 h 657179"/>
              <a:gd name="connsiteX41" fmla="*/ 2877046 w 2898895"/>
              <a:gd name="connsiteY41" fmla="*/ 36681 h 657179"/>
              <a:gd name="connsiteX42" fmla="*/ 2875636 w 2898895"/>
              <a:gd name="connsiteY42" fmla="*/ 38139 h 657179"/>
              <a:gd name="connsiteX43" fmla="*/ 2870855 w 2898895"/>
              <a:gd name="connsiteY43" fmla="*/ 46873 h 657179"/>
              <a:gd name="connsiteX44" fmla="*/ 2869331 w 2898895"/>
              <a:gd name="connsiteY44" fmla="*/ 54788 h 657179"/>
              <a:gd name="connsiteX45" fmla="*/ 2869131 w 2898895"/>
              <a:gd name="connsiteY45" fmla="*/ 59532 h 657179"/>
              <a:gd name="connsiteX46" fmla="*/ 2869131 w 2898895"/>
              <a:gd name="connsiteY46" fmla="*/ 597180 h 657179"/>
              <a:gd name="connsiteX47" fmla="*/ 2869750 w 2898895"/>
              <a:gd name="connsiteY47" fmla="*/ 605410 h 657179"/>
              <a:gd name="connsiteX48" fmla="*/ 2871998 w 2898895"/>
              <a:gd name="connsiteY48" fmla="*/ 613258 h 657179"/>
              <a:gd name="connsiteX49" fmla="*/ 2875636 w 2898895"/>
              <a:gd name="connsiteY49" fmla="*/ 619030 h 657179"/>
              <a:gd name="connsiteX50" fmla="*/ 2881285 w 2898895"/>
              <a:gd name="connsiteY50" fmla="*/ 623793 h 657179"/>
              <a:gd name="connsiteX51" fmla="*/ 2895962 w 2898895"/>
              <a:gd name="connsiteY51" fmla="*/ 630270 h 657179"/>
              <a:gd name="connsiteX52" fmla="*/ 2898896 w 2898895"/>
              <a:gd name="connsiteY52" fmla="*/ 631127 h 657179"/>
              <a:gd name="connsiteX53" fmla="*/ 2898896 w 2898895"/>
              <a:gd name="connsiteY53" fmla="*/ 646015 h 657179"/>
              <a:gd name="connsiteX54" fmla="*/ 2700767 w 2898895"/>
              <a:gd name="connsiteY54" fmla="*/ 646015 h 657179"/>
              <a:gd name="connsiteX55" fmla="*/ 2700767 w 2898895"/>
              <a:gd name="connsiteY55" fmla="*/ 631127 h 657179"/>
              <a:gd name="connsiteX56" fmla="*/ 2709168 w 2898895"/>
              <a:gd name="connsiteY56" fmla="*/ 628498 h 657179"/>
              <a:gd name="connsiteX57" fmla="*/ 2723084 w 2898895"/>
              <a:gd name="connsiteY57" fmla="*/ 620040 h 657179"/>
              <a:gd name="connsiteX58" fmla="*/ 2723789 w 2898895"/>
              <a:gd name="connsiteY58" fmla="*/ 619268 h 657179"/>
              <a:gd name="connsiteX59" fmla="*/ 2730323 w 2898895"/>
              <a:gd name="connsiteY59" fmla="*/ 602076 h 657179"/>
              <a:gd name="connsiteX60" fmla="*/ 2730532 w 2898895"/>
              <a:gd name="connsiteY60" fmla="*/ 597180 h 657179"/>
              <a:gd name="connsiteX61" fmla="*/ 1126446 w 2898895"/>
              <a:gd name="connsiteY61" fmla="*/ 436722 h 657179"/>
              <a:gd name="connsiteX62" fmla="*/ 1139000 w 2898895"/>
              <a:gd name="connsiteY62" fmla="*/ 427883 h 657179"/>
              <a:gd name="connsiteX63" fmla="*/ 1227363 w 2898895"/>
              <a:gd name="connsiteY63" fmla="*/ 560432 h 657179"/>
              <a:gd name="connsiteX64" fmla="*/ 1215276 w 2898895"/>
              <a:gd name="connsiteY64" fmla="*/ 568805 h 657179"/>
              <a:gd name="connsiteX65" fmla="*/ 1209237 w 2898895"/>
              <a:gd name="connsiteY65" fmla="*/ 563661 h 657179"/>
              <a:gd name="connsiteX66" fmla="*/ 1198160 w 2898895"/>
              <a:gd name="connsiteY66" fmla="*/ 557404 h 657179"/>
              <a:gd name="connsiteX67" fmla="*/ 1193883 w 2898895"/>
              <a:gd name="connsiteY67" fmla="*/ 556718 h 657179"/>
              <a:gd name="connsiteX68" fmla="*/ 1146906 w 2898895"/>
              <a:gd name="connsiteY68" fmla="*/ 579035 h 657179"/>
              <a:gd name="connsiteX69" fmla="*/ 1099386 w 2898895"/>
              <a:gd name="connsiteY69" fmla="*/ 604886 h 657179"/>
              <a:gd name="connsiteX70" fmla="*/ 1012260 w 2898895"/>
              <a:gd name="connsiteY70" fmla="*/ 641128 h 657179"/>
              <a:gd name="connsiteX71" fmla="*/ 882273 w 2898895"/>
              <a:gd name="connsiteY71" fmla="*/ 657168 h 657179"/>
              <a:gd name="connsiteX72" fmla="*/ 775164 w 2898895"/>
              <a:gd name="connsiteY72" fmla="*/ 646748 h 657179"/>
              <a:gd name="connsiteX73" fmla="*/ 635775 w 2898895"/>
              <a:gd name="connsiteY73" fmla="*/ 586017 h 657179"/>
              <a:gd name="connsiteX74" fmla="*/ 546478 w 2898895"/>
              <a:gd name="connsiteY74" fmla="*/ 483232 h 657179"/>
              <a:gd name="connsiteX75" fmla="*/ 508893 w 2898895"/>
              <a:gd name="connsiteY75" fmla="*/ 336262 h 657179"/>
              <a:gd name="connsiteX76" fmla="*/ 508807 w 2898895"/>
              <a:gd name="connsiteY76" fmla="*/ 328356 h 657179"/>
              <a:gd name="connsiteX77" fmla="*/ 576244 w 2898895"/>
              <a:gd name="connsiteY77" fmla="*/ 127902 h 657179"/>
              <a:gd name="connsiteX78" fmla="*/ 878539 w 2898895"/>
              <a:gd name="connsiteY78" fmla="*/ 20 h 657179"/>
              <a:gd name="connsiteX79" fmla="*/ 882739 w 2898895"/>
              <a:gd name="connsiteY79" fmla="*/ 0 h 657179"/>
              <a:gd name="connsiteX80" fmla="*/ 1012032 w 2898895"/>
              <a:gd name="connsiteY80" fmla="*/ 15812 h 657179"/>
              <a:gd name="connsiteX81" fmla="*/ 1048389 w 2898895"/>
              <a:gd name="connsiteY81" fmla="*/ 28699 h 657179"/>
              <a:gd name="connsiteX82" fmla="*/ 1139572 w 2898895"/>
              <a:gd name="connsiteY82" fmla="*/ 73953 h 657179"/>
              <a:gd name="connsiteX83" fmla="*/ 1146906 w 2898895"/>
              <a:gd name="connsiteY83" fmla="*/ 78134 h 657179"/>
              <a:gd name="connsiteX84" fmla="*/ 1160317 w 2898895"/>
              <a:gd name="connsiteY84" fmla="*/ 85564 h 657179"/>
              <a:gd name="connsiteX85" fmla="*/ 1193883 w 2898895"/>
              <a:gd name="connsiteY85" fmla="*/ 99994 h 657179"/>
              <a:gd name="connsiteX86" fmla="*/ 1215276 w 2898895"/>
              <a:gd name="connsiteY86" fmla="*/ 87907 h 657179"/>
              <a:gd name="connsiteX87" fmla="*/ 1227363 w 2898895"/>
              <a:gd name="connsiteY87" fmla="*/ 96279 h 657179"/>
              <a:gd name="connsiteX88" fmla="*/ 1139000 w 2898895"/>
              <a:gd name="connsiteY88" fmla="*/ 228829 h 657179"/>
              <a:gd name="connsiteX89" fmla="*/ 1126446 w 2898895"/>
              <a:gd name="connsiteY89" fmla="*/ 220457 h 657179"/>
              <a:gd name="connsiteX90" fmla="*/ 1127008 w 2898895"/>
              <a:gd name="connsiteY90" fmla="*/ 215227 h 657179"/>
              <a:gd name="connsiteX91" fmla="*/ 1127370 w 2898895"/>
              <a:gd name="connsiteY91" fmla="*/ 207893 h 657179"/>
              <a:gd name="connsiteX92" fmla="*/ 1122369 w 2898895"/>
              <a:gd name="connsiteY92" fmla="*/ 190891 h 657179"/>
              <a:gd name="connsiteX93" fmla="*/ 1115750 w 2898895"/>
              <a:gd name="connsiteY93" fmla="*/ 182547 h 657179"/>
              <a:gd name="connsiteX94" fmla="*/ 1107768 w 2898895"/>
              <a:gd name="connsiteY94" fmla="*/ 175489 h 657179"/>
              <a:gd name="connsiteX95" fmla="*/ 1074354 w 2898895"/>
              <a:gd name="connsiteY95" fmla="*/ 153944 h 657179"/>
              <a:gd name="connsiteX96" fmla="*/ 899942 w 2898895"/>
              <a:gd name="connsiteY96" fmla="*/ 107442 h 657179"/>
              <a:gd name="connsiteX97" fmla="*/ 726472 w 2898895"/>
              <a:gd name="connsiteY97" fmla="*/ 161849 h 657179"/>
              <a:gd name="connsiteX98" fmla="*/ 650863 w 2898895"/>
              <a:gd name="connsiteY98" fmla="*/ 309430 h 657179"/>
              <a:gd name="connsiteX99" fmla="*/ 650196 w 2898895"/>
              <a:gd name="connsiteY99" fmla="*/ 328356 h 657179"/>
              <a:gd name="connsiteX100" fmla="*/ 665855 w 2898895"/>
              <a:gd name="connsiteY100" fmla="*/ 413481 h 657179"/>
              <a:gd name="connsiteX101" fmla="*/ 726472 w 2898895"/>
              <a:gd name="connsiteY101" fmla="*/ 494853 h 657179"/>
              <a:gd name="connsiteX102" fmla="*/ 899942 w 2898895"/>
              <a:gd name="connsiteY102" fmla="*/ 549269 h 657179"/>
              <a:gd name="connsiteX103" fmla="*/ 1074354 w 2898895"/>
              <a:gd name="connsiteY103" fmla="*/ 502759 h 657179"/>
              <a:gd name="connsiteX104" fmla="*/ 1115750 w 2898895"/>
              <a:gd name="connsiteY104" fmla="*/ 474164 h 657179"/>
              <a:gd name="connsiteX105" fmla="*/ 1122598 w 2898895"/>
              <a:gd name="connsiteY105" fmla="*/ 465430 h 657179"/>
              <a:gd name="connsiteX106" fmla="*/ 1127370 w 2898895"/>
              <a:gd name="connsiteY106" fmla="*/ 448809 h 657179"/>
              <a:gd name="connsiteX107" fmla="*/ 1127246 w 2898895"/>
              <a:gd name="connsiteY107" fmla="*/ 444713 h 657179"/>
              <a:gd name="connsiteX108" fmla="*/ 1126827 w 2898895"/>
              <a:gd name="connsiteY108" fmla="*/ 439884 h 657179"/>
              <a:gd name="connsiteX109" fmla="*/ 1126446 w 2898895"/>
              <a:gd name="connsiteY109" fmla="*/ 436722 h 657179"/>
              <a:gd name="connsiteX110" fmla="*/ 1660360 w 2898895"/>
              <a:gd name="connsiteY110" fmla="*/ 386954 h 657179"/>
              <a:gd name="connsiteX111" fmla="*/ 1491073 w 2898895"/>
              <a:gd name="connsiteY111" fmla="*/ 386954 h 657179"/>
              <a:gd name="connsiteX112" fmla="*/ 1491073 w 2898895"/>
              <a:gd name="connsiteY112" fmla="*/ 597637 h 657179"/>
              <a:gd name="connsiteX113" fmla="*/ 1491797 w 2898895"/>
              <a:gd name="connsiteY113" fmla="*/ 606124 h 657179"/>
              <a:gd name="connsiteX114" fmla="*/ 1494635 w 2898895"/>
              <a:gd name="connsiteY114" fmla="*/ 614611 h 657179"/>
              <a:gd name="connsiteX115" fmla="*/ 1497816 w 2898895"/>
              <a:gd name="connsiteY115" fmla="*/ 619268 h 657179"/>
              <a:gd name="connsiteX116" fmla="*/ 1519562 w 2898895"/>
              <a:gd name="connsiteY116" fmla="*/ 630794 h 657179"/>
              <a:gd name="connsiteX117" fmla="*/ 1520838 w 2898895"/>
              <a:gd name="connsiteY117" fmla="*/ 631127 h 657179"/>
              <a:gd name="connsiteX118" fmla="*/ 1520838 w 2898895"/>
              <a:gd name="connsiteY118" fmla="*/ 646015 h 657179"/>
              <a:gd name="connsiteX119" fmla="*/ 1322709 w 2898895"/>
              <a:gd name="connsiteY119" fmla="*/ 646015 h 657179"/>
              <a:gd name="connsiteX120" fmla="*/ 1322709 w 2898895"/>
              <a:gd name="connsiteY120" fmla="*/ 631127 h 657179"/>
              <a:gd name="connsiteX121" fmla="*/ 1331319 w 2898895"/>
              <a:gd name="connsiteY121" fmla="*/ 628289 h 657179"/>
              <a:gd name="connsiteX122" fmla="*/ 1344559 w 2898895"/>
              <a:gd name="connsiteY122" fmla="*/ 620497 h 657179"/>
              <a:gd name="connsiteX123" fmla="*/ 1345969 w 2898895"/>
              <a:gd name="connsiteY123" fmla="*/ 619030 h 657179"/>
              <a:gd name="connsiteX124" fmla="*/ 1350741 w 2898895"/>
              <a:gd name="connsiteY124" fmla="*/ 610296 h 657179"/>
              <a:gd name="connsiteX125" fmla="*/ 1352274 w 2898895"/>
              <a:gd name="connsiteY125" fmla="*/ 602381 h 657179"/>
              <a:gd name="connsiteX126" fmla="*/ 1352474 w 2898895"/>
              <a:gd name="connsiteY126" fmla="*/ 597637 h 657179"/>
              <a:gd name="connsiteX127" fmla="*/ 1352474 w 2898895"/>
              <a:gd name="connsiteY127" fmla="*/ 59998 h 657179"/>
              <a:gd name="connsiteX128" fmla="*/ 1351855 w 2898895"/>
              <a:gd name="connsiteY128" fmla="*/ 51769 h 657179"/>
              <a:gd name="connsiteX129" fmla="*/ 1349598 w 2898895"/>
              <a:gd name="connsiteY129" fmla="*/ 43920 h 657179"/>
              <a:gd name="connsiteX130" fmla="*/ 1345969 w 2898895"/>
              <a:gd name="connsiteY130" fmla="*/ 38139 h 657179"/>
              <a:gd name="connsiteX131" fmla="*/ 1340320 w 2898895"/>
              <a:gd name="connsiteY131" fmla="*/ 33376 h 657179"/>
              <a:gd name="connsiteX132" fmla="*/ 1325642 w 2898895"/>
              <a:gd name="connsiteY132" fmla="*/ 26909 h 657179"/>
              <a:gd name="connsiteX133" fmla="*/ 1322709 w 2898895"/>
              <a:gd name="connsiteY133" fmla="*/ 26051 h 657179"/>
              <a:gd name="connsiteX134" fmla="*/ 1322709 w 2898895"/>
              <a:gd name="connsiteY134" fmla="*/ 11164 h 657179"/>
              <a:gd name="connsiteX135" fmla="*/ 1719892 w 2898895"/>
              <a:gd name="connsiteY135" fmla="*/ 11164 h 657179"/>
              <a:gd name="connsiteX136" fmla="*/ 1762316 w 2898895"/>
              <a:gd name="connsiteY136" fmla="*/ 11983 h 657179"/>
              <a:gd name="connsiteX137" fmla="*/ 1835001 w 2898895"/>
              <a:gd name="connsiteY137" fmla="*/ 19536 h 657179"/>
              <a:gd name="connsiteX138" fmla="*/ 1879140 w 2898895"/>
              <a:gd name="connsiteY138" fmla="*/ 32805 h 657179"/>
              <a:gd name="connsiteX139" fmla="*/ 1909182 w 2898895"/>
              <a:gd name="connsiteY139" fmla="*/ 48835 h 657179"/>
              <a:gd name="connsiteX140" fmla="*/ 1964065 w 2898895"/>
              <a:gd name="connsiteY140" fmla="*/ 114415 h 657179"/>
              <a:gd name="connsiteX141" fmla="*/ 1981277 w 2898895"/>
              <a:gd name="connsiteY141" fmla="*/ 199987 h 657179"/>
              <a:gd name="connsiteX142" fmla="*/ 1808731 w 2898895"/>
              <a:gd name="connsiteY142" fmla="*/ 381839 h 657179"/>
              <a:gd name="connsiteX143" fmla="*/ 1931975 w 2898895"/>
              <a:gd name="connsiteY143" fmla="*/ 557175 h 657179"/>
              <a:gd name="connsiteX144" fmla="*/ 1976228 w 2898895"/>
              <a:gd name="connsiteY144" fmla="*/ 613277 h 657179"/>
              <a:gd name="connsiteX145" fmla="*/ 1979648 w 2898895"/>
              <a:gd name="connsiteY145" fmla="*/ 616478 h 657179"/>
              <a:gd name="connsiteX146" fmla="*/ 2011595 w 2898895"/>
              <a:gd name="connsiteY146" fmla="*/ 630641 h 657179"/>
              <a:gd name="connsiteX147" fmla="*/ 2016624 w 2898895"/>
              <a:gd name="connsiteY147" fmla="*/ 631127 h 657179"/>
              <a:gd name="connsiteX148" fmla="*/ 2016624 w 2898895"/>
              <a:gd name="connsiteY148" fmla="*/ 646015 h 657179"/>
              <a:gd name="connsiteX149" fmla="*/ 1786872 w 2898895"/>
              <a:gd name="connsiteY149" fmla="*/ 646015 h 657179"/>
              <a:gd name="connsiteX150" fmla="*/ 1786872 w 2898895"/>
              <a:gd name="connsiteY150" fmla="*/ 631127 h 657179"/>
              <a:gd name="connsiteX151" fmla="*/ 1795377 w 2898895"/>
              <a:gd name="connsiteY151" fmla="*/ 629279 h 657179"/>
              <a:gd name="connsiteX152" fmla="*/ 1807988 w 2898895"/>
              <a:gd name="connsiteY152" fmla="*/ 621983 h 657179"/>
              <a:gd name="connsiteX153" fmla="*/ 1810589 w 2898895"/>
              <a:gd name="connsiteY153" fmla="*/ 614382 h 657179"/>
              <a:gd name="connsiteX154" fmla="*/ 1809617 w 2898895"/>
              <a:gd name="connsiteY154" fmla="*/ 609801 h 657179"/>
              <a:gd name="connsiteX155" fmla="*/ 1788729 w 2898895"/>
              <a:gd name="connsiteY155" fmla="*/ 573920 h 657179"/>
              <a:gd name="connsiteX156" fmla="*/ 29766 w 2898895"/>
              <a:gd name="connsiteY156" fmla="*/ 597180 h 657179"/>
              <a:gd name="connsiteX157" fmla="*/ 29766 w 2898895"/>
              <a:gd name="connsiteY157" fmla="*/ 59532 h 657179"/>
              <a:gd name="connsiteX158" fmla="*/ 29128 w 2898895"/>
              <a:gd name="connsiteY158" fmla="*/ 51445 h 657179"/>
              <a:gd name="connsiteX159" fmla="*/ 26690 w 2898895"/>
              <a:gd name="connsiteY159" fmla="*/ 43434 h 657179"/>
              <a:gd name="connsiteX160" fmla="*/ 23251 w 2898895"/>
              <a:gd name="connsiteY160" fmla="*/ 38139 h 657179"/>
              <a:gd name="connsiteX161" fmla="*/ 17612 w 2898895"/>
              <a:gd name="connsiteY161" fmla="*/ 33376 h 657179"/>
              <a:gd name="connsiteX162" fmla="*/ 2934 w 2898895"/>
              <a:gd name="connsiteY162" fmla="*/ 26909 h 657179"/>
              <a:gd name="connsiteX163" fmla="*/ 0 w 2898895"/>
              <a:gd name="connsiteY163" fmla="*/ 26051 h 657179"/>
              <a:gd name="connsiteX164" fmla="*/ 0 w 2898895"/>
              <a:gd name="connsiteY164" fmla="*/ 11164 h 657179"/>
              <a:gd name="connsiteX165" fmla="*/ 198130 w 2898895"/>
              <a:gd name="connsiteY165" fmla="*/ 11164 h 657179"/>
              <a:gd name="connsiteX166" fmla="*/ 198130 w 2898895"/>
              <a:gd name="connsiteY166" fmla="*/ 26051 h 657179"/>
              <a:gd name="connsiteX167" fmla="*/ 174870 w 2898895"/>
              <a:gd name="connsiteY167" fmla="*/ 37910 h 657179"/>
              <a:gd name="connsiteX168" fmla="*/ 168526 w 2898895"/>
              <a:gd name="connsiteY168" fmla="*/ 55293 h 657179"/>
              <a:gd name="connsiteX169" fmla="*/ 168364 w 2898895"/>
              <a:gd name="connsiteY169" fmla="*/ 59532 h 657179"/>
              <a:gd name="connsiteX170" fmla="*/ 168364 w 2898895"/>
              <a:gd name="connsiteY170" fmla="*/ 597180 h 657179"/>
              <a:gd name="connsiteX171" fmla="*/ 169022 w 2898895"/>
              <a:gd name="connsiteY171" fmla="*/ 605524 h 657179"/>
              <a:gd name="connsiteX172" fmla="*/ 171546 w 2898895"/>
              <a:gd name="connsiteY172" fmla="*/ 613801 h 657179"/>
              <a:gd name="connsiteX173" fmla="*/ 175108 w 2898895"/>
              <a:gd name="connsiteY173" fmla="*/ 619268 h 657179"/>
              <a:gd name="connsiteX174" fmla="*/ 196854 w 2898895"/>
              <a:gd name="connsiteY174" fmla="*/ 630794 h 657179"/>
              <a:gd name="connsiteX175" fmla="*/ 198130 w 2898895"/>
              <a:gd name="connsiteY175" fmla="*/ 631127 h 657179"/>
              <a:gd name="connsiteX176" fmla="*/ 198130 w 2898895"/>
              <a:gd name="connsiteY176" fmla="*/ 646015 h 657179"/>
              <a:gd name="connsiteX177" fmla="*/ 0 w 2898895"/>
              <a:gd name="connsiteY177" fmla="*/ 646015 h 657179"/>
              <a:gd name="connsiteX178" fmla="*/ 0 w 2898895"/>
              <a:gd name="connsiteY178" fmla="*/ 631127 h 657179"/>
              <a:gd name="connsiteX179" fmla="*/ 8611 w 2898895"/>
              <a:gd name="connsiteY179" fmla="*/ 628289 h 657179"/>
              <a:gd name="connsiteX180" fmla="*/ 21851 w 2898895"/>
              <a:gd name="connsiteY180" fmla="*/ 620497 h 657179"/>
              <a:gd name="connsiteX181" fmla="*/ 23251 w 2898895"/>
              <a:gd name="connsiteY181" fmla="*/ 619030 h 657179"/>
              <a:gd name="connsiteX182" fmla="*/ 27823 w 2898895"/>
              <a:gd name="connsiteY182" fmla="*/ 610858 h 657179"/>
              <a:gd name="connsiteX183" fmla="*/ 29471 w 2898895"/>
              <a:gd name="connsiteY183" fmla="*/ 603019 h 657179"/>
              <a:gd name="connsiteX184" fmla="*/ 29766 w 2898895"/>
              <a:gd name="connsiteY184" fmla="*/ 597180 h 657179"/>
              <a:gd name="connsiteX185" fmla="*/ 1491073 w 2898895"/>
              <a:gd name="connsiteY185" fmla="*/ 115805 h 657179"/>
              <a:gd name="connsiteX186" fmla="*/ 1491073 w 2898895"/>
              <a:gd name="connsiteY186" fmla="*/ 282312 h 657179"/>
              <a:gd name="connsiteX187" fmla="*/ 1705014 w 2898895"/>
              <a:gd name="connsiteY187" fmla="*/ 282312 h 657179"/>
              <a:gd name="connsiteX188" fmla="*/ 1726988 w 2898895"/>
              <a:gd name="connsiteY188" fmla="*/ 282141 h 657179"/>
              <a:gd name="connsiteX189" fmla="*/ 1771660 w 2898895"/>
              <a:gd name="connsiteY189" fmla="*/ 279569 h 657179"/>
              <a:gd name="connsiteX190" fmla="*/ 1771984 w 2898895"/>
              <a:gd name="connsiteY190" fmla="*/ 279521 h 657179"/>
              <a:gd name="connsiteX191" fmla="*/ 1807798 w 2898895"/>
              <a:gd name="connsiteY191" fmla="*/ 267891 h 657179"/>
              <a:gd name="connsiteX192" fmla="*/ 1840650 w 2898895"/>
              <a:gd name="connsiteY192" fmla="*/ 223333 h 657179"/>
              <a:gd name="connsiteX193" fmla="*/ 1843145 w 2898895"/>
              <a:gd name="connsiteY193" fmla="*/ 199063 h 657179"/>
              <a:gd name="connsiteX194" fmla="*/ 1840345 w 2898895"/>
              <a:gd name="connsiteY194" fmla="*/ 173498 h 657179"/>
              <a:gd name="connsiteX195" fmla="*/ 1807798 w 2898895"/>
              <a:gd name="connsiteY195" fmla="*/ 130226 h 657179"/>
              <a:gd name="connsiteX196" fmla="*/ 1772222 w 2898895"/>
              <a:gd name="connsiteY196" fmla="*/ 118368 h 657179"/>
              <a:gd name="connsiteX197" fmla="*/ 1761059 w 2898895"/>
              <a:gd name="connsiteY197" fmla="*/ 117253 h 657179"/>
              <a:gd name="connsiteX198" fmla="*/ 1708300 w 2898895"/>
              <a:gd name="connsiteY198" fmla="*/ 115815 h 657179"/>
              <a:gd name="connsiteX199" fmla="*/ 1705014 w 2898895"/>
              <a:gd name="connsiteY199" fmla="*/ 115805 h 657179"/>
              <a:gd name="connsiteX200" fmla="*/ 451600 w 2898895"/>
              <a:gd name="connsiteY200" fmla="*/ 305096 h 657179"/>
              <a:gd name="connsiteX201" fmla="*/ 466487 w 2898895"/>
              <a:gd name="connsiteY201" fmla="*/ 305096 h 657179"/>
              <a:gd name="connsiteX202" fmla="*/ 466487 w 2898895"/>
              <a:gd name="connsiteY202" fmla="*/ 466021 h 657179"/>
              <a:gd name="connsiteX203" fmla="*/ 451600 w 2898895"/>
              <a:gd name="connsiteY203" fmla="*/ 466021 h 657179"/>
              <a:gd name="connsiteX204" fmla="*/ 448761 w 2898895"/>
              <a:gd name="connsiteY204" fmla="*/ 457410 h 657179"/>
              <a:gd name="connsiteX205" fmla="*/ 440970 w 2898895"/>
              <a:gd name="connsiteY205" fmla="*/ 444170 h 657179"/>
              <a:gd name="connsiteX206" fmla="*/ 439513 w 2898895"/>
              <a:gd name="connsiteY206" fmla="*/ 442770 h 657179"/>
              <a:gd name="connsiteX207" fmla="*/ 431331 w 2898895"/>
              <a:gd name="connsiteY207" fmla="*/ 438198 h 657179"/>
              <a:gd name="connsiteX208" fmla="*/ 423491 w 2898895"/>
              <a:gd name="connsiteY208" fmla="*/ 436550 h 657179"/>
              <a:gd name="connsiteX209" fmla="*/ 417653 w 2898895"/>
              <a:gd name="connsiteY209" fmla="*/ 436255 h 657179"/>
              <a:gd name="connsiteX210" fmla="*/ 303238 w 2898895"/>
              <a:gd name="connsiteY210" fmla="*/ 436255 h 657179"/>
              <a:gd name="connsiteX211" fmla="*/ 294761 w 2898895"/>
              <a:gd name="connsiteY211" fmla="*/ 436979 h 657179"/>
              <a:gd name="connsiteX212" fmla="*/ 286265 w 2898895"/>
              <a:gd name="connsiteY212" fmla="*/ 439817 h 657179"/>
              <a:gd name="connsiteX213" fmla="*/ 281607 w 2898895"/>
              <a:gd name="connsiteY213" fmla="*/ 442999 h 657179"/>
              <a:gd name="connsiteX214" fmla="*/ 270091 w 2898895"/>
              <a:gd name="connsiteY214" fmla="*/ 464744 h 657179"/>
              <a:gd name="connsiteX215" fmla="*/ 269748 w 2898895"/>
              <a:gd name="connsiteY215" fmla="*/ 466021 h 657179"/>
              <a:gd name="connsiteX216" fmla="*/ 254870 w 2898895"/>
              <a:gd name="connsiteY216" fmla="*/ 466021 h 657179"/>
              <a:gd name="connsiteX217" fmla="*/ 254870 w 2898895"/>
              <a:gd name="connsiteY217" fmla="*/ 305096 h 657179"/>
              <a:gd name="connsiteX218" fmla="*/ 269748 w 2898895"/>
              <a:gd name="connsiteY218" fmla="*/ 305096 h 657179"/>
              <a:gd name="connsiteX219" fmla="*/ 281607 w 2898895"/>
              <a:gd name="connsiteY219" fmla="*/ 328584 h 657179"/>
              <a:gd name="connsiteX220" fmla="*/ 291170 w 2898895"/>
              <a:gd name="connsiteY220" fmla="*/ 333747 h 657179"/>
              <a:gd name="connsiteX221" fmla="*/ 303238 w 2898895"/>
              <a:gd name="connsiteY221" fmla="*/ 335328 h 657179"/>
              <a:gd name="connsiteX222" fmla="*/ 417653 w 2898895"/>
              <a:gd name="connsiteY222" fmla="*/ 335328 h 657179"/>
              <a:gd name="connsiteX223" fmla="*/ 425882 w 2898895"/>
              <a:gd name="connsiteY223" fmla="*/ 334709 h 657179"/>
              <a:gd name="connsiteX224" fmla="*/ 433731 w 2898895"/>
              <a:gd name="connsiteY224" fmla="*/ 332461 h 657179"/>
              <a:gd name="connsiteX225" fmla="*/ 439513 w 2898895"/>
              <a:gd name="connsiteY225" fmla="*/ 328823 h 657179"/>
              <a:gd name="connsiteX226" fmla="*/ 444094 w 2898895"/>
              <a:gd name="connsiteY226" fmla="*/ 323393 h 657179"/>
              <a:gd name="connsiteX227" fmla="*/ 450666 w 2898895"/>
              <a:gd name="connsiteY227" fmla="*/ 308353 h 657179"/>
              <a:gd name="connsiteX228" fmla="*/ 451600 w 2898895"/>
              <a:gd name="connsiteY228" fmla="*/ 305096 h 6571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Lst>
            <a:rect l="l" t="t" r="r" b="b"/>
            <a:pathLst>
              <a:path w="2898895" h="657179">
                <a:moveTo>
                  <a:pt x="2730532" y="207436"/>
                </a:moveTo>
                <a:lnTo>
                  <a:pt x="2483568" y="637175"/>
                </a:lnTo>
                <a:lnTo>
                  <a:pt x="2249634" y="207436"/>
                </a:lnTo>
                <a:lnTo>
                  <a:pt x="2249634" y="597180"/>
                </a:lnTo>
                <a:cubicBezTo>
                  <a:pt x="2249615" y="599935"/>
                  <a:pt x="2249825" y="602687"/>
                  <a:pt x="2250253" y="605410"/>
                </a:cubicBezTo>
                <a:cubicBezTo>
                  <a:pt x="2250729" y="608317"/>
                  <a:pt x="2251482" y="610934"/>
                  <a:pt x="2252501" y="613258"/>
                </a:cubicBezTo>
                <a:cubicBezTo>
                  <a:pt x="2253416" y="615356"/>
                  <a:pt x="2254644" y="617301"/>
                  <a:pt x="2256140" y="619030"/>
                </a:cubicBezTo>
                <a:cubicBezTo>
                  <a:pt x="2257797" y="620870"/>
                  <a:pt x="2259693" y="622474"/>
                  <a:pt x="2261788" y="623793"/>
                </a:cubicBezTo>
                <a:cubicBezTo>
                  <a:pt x="2265579" y="626250"/>
                  <a:pt x="2270475" y="628410"/>
                  <a:pt x="2276466" y="630270"/>
                </a:cubicBezTo>
                <a:cubicBezTo>
                  <a:pt x="2277438" y="630570"/>
                  <a:pt x="2278419" y="630856"/>
                  <a:pt x="2279400" y="631127"/>
                </a:cubicBezTo>
                <a:lnTo>
                  <a:pt x="2279400" y="646015"/>
                </a:lnTo>
                <a:lnTo>
                  <a:pt x="2092900" y="646015"/>
                </a:lnTo>
                <a:lnTo>
                  <a:pt x="2092900" y="631127"/>
                </a:lnTo>
                <a:cubicBezTo>
                  <a:pt x="2095815" y="630328"/>
                  <a:pt x="2098682" y="629381"/>
                  <a:pt x="2101501" y="628289"/>
                </a:cubicBezTo>
                <a:cubicBezTo>
                  <a:pt x="2107226" y="626047"/>
                  <a:pt x="2111636" y="623450"/>
                  <a:pt x="2114741" y="620497"/>
                </a:cubicBezTo>
                <a:cubicBezTo>
                  <a:pt x="2115236" y="620030"/>
                  <a:pt x="2115703" y="619541"/>
                  <a:pt x="2116151" y="619030"/>
                </a:cubicBezTo>
                <a:cubicBezTo>
                  <a:pt x="2118199" y="616637"/>
                  <a:pt x="2119751" y="613858"/>
                  <a:pt x="2120713" y="610858"/>
                </a:cubicBezTo>
                <a:cubicBezTo>
                  <a:pt x="2121504" y="608502"/>
                  <a:pt x="2122056" y="605889"/>
                  <a:pt x="2122361" y="603019"/>
                </a:cubicBezTo>
                <a:cubicBezTo>
                  <a:pt x="2122571" y="601079"/>
                  <a:pt x="2122666" y="599131"/>
                  <a:pt x="2122666" y="597180"/>
                </a:cubicBezTo>
                <a:lnTo>
                  <a:pt x="2122666" y="59532"/>
                </a:lnTo>
                <a:cubicBezTo>
                  <a:pt x="2122685" y="56823"/>
                  <a:pt x="2122466" y="54118"/>
                  <a:pt x="2122028" y="51445"/>
                </a:cubicBezTo>
                <a:cubicBezTo>
                  <a:pt x="2121523" y="48473"/>
                  <a:pt x="2120704" y="45803"/>
                  <a:pt x="2119589" y="43434"/>
                </a:cubicBezTo>
                <a:cubicBezTo>
                  <a:pt x="2118694" y="41518"/>
                  <a:pt x="2117541" y="39735"/>
                  <a:pt x="2116151" y="38139"/>
                </a:cubicBezTo>
                <a:cubicBezTo>
                  <a:pt x="2114493" y="36298"/>
                  <a:pt x="2112598" y="34695"/>
                  <a:pt x="2110502" y="33376"/>
                </a:cubicBezTo>
                <a:cubicBezTo>
                  <a:pt x="2106712" y="30919"/>
                  <a:pt x="2101816" y="28763"/>
                  <a:pt x="2095824" y="26909"/>
                </a:cubicBezTo>
                <a:cubicBezTo>
                  <a:pt x="2094853" y="26609"/>
                  <a:pt x="2093881" y="26323"/>
                  <a:pt x="2092900" y="26051"/>
                </a:cubicBezTo>
                <a:lnTo>
                  <a:pt x="2092900" y="11164"/>
                </a:lnTo>
                <a:lnTo>
                  <a:pt x="2337531" y="11164"/>
                </a:lnTo>
                <a:lnTo>
                  <a:pt x="2337531" y="26051"/>
                </a:lnTo>
                <a:cubicBezTo>
                  <a:pt x="2322958" y="29772"/>
                  <a:pt x="2315671" y="38297"/>
                  <a:pt x="2315671" y="51626"/>
                </a:cubicBezTo>
                <a:cubicBezTo>
                  <a:pt x="2315700" y="54334"/>
                  <a:pt x="2316062" y="57028"/>
                  <a:pt x="2316747" y="59646"/>
                </a:cubicBezTo>
                <a:cubicBezTo>
                  <a:pt x="2317795" y="63773"/>
                  <a:pt x="2319605" y="68231"/>
                  <a:pt x="2322186" y="73019"/>
                </a:cubicBezTo>
                <a:lnTo>
                  <a:pt x="2495198" y="392069"/>
                </a:lnTo>
                <a:lnTo>
                  <a:pt x="2670534" y="78601"/>
                </a:lnTo>
                <a:cubicBezTo>
                  <a:pt x="2672220" y="75513"/>
                  <a:pt x="2673821" y="72381"/>
                  <a:pt x="2675345" y="69209"/>
                </a:cubicBezTo>
                <a:cubicBezTo>
                  <a:pt x="2679888" y="59684"/>
                  <a:pt x="2682164" y="52429"/>
                  <a:pt x="2682164" y="47444"/>
                </a:cubicBezTo>
                <a:cubicBezTo>
                  <a:pt x="2682164" y="34732"/>
                  <a:pt x="2674411" y="27601"/>
                  <a:pt x="2658904" y="26051"/>
                </a:cubicBezTo>
                <a:lnTo>
                  <a:pt x="2658904" y="11164"/>
                </a:lnTo>
                <a:lnTo>
                  <a:pt x="2898896" y="11164"/>
                </a:lnTo>
                <a:lnTo>
                  <a:pt x="2898896" y="26051"/>
                </a:lnTo>
                <a:cubicBezTo>
                  <a:pt x="2895982" y="26847"/>
                  <a:pt x="2893105" y="27791"/>
                  <a:pt x="2890286" y="28880"/>
                </a:cubicBezTo>
                <a:cubicBezTo>
                  <a:pt x="2884561" y="31128"/>
                  <a:pt x="2880151" y="33728"/>
                  <a:pt x="2877046" y="36681"/>
                </a:cubicBezTo>
                <a:cubicBezTo>
                  <a:pt x="2876551" y="37145"/>
                  <a:pt x="2876084" y="37631"/>
                  <a:pt x="2875636" y="38139"/>
                </a:cubicBezTo>
                <a:cubicBezTo>
                  <a:pt x="2873455" y="40686"/>
                  <a:pt x="2871826" y="43661"/>
                  <a:pt x="2870855" y="46873"/>
                </a:cubicBezTo>
                <a:cubicBezTo>
                  <a:pt x="2870102" y="49267"/>
                  <a:pt x="2869588" y="51905"/>
                  <a:pt x="2869331" y="54788"/>
                </a:cubicBezTo>
                <a:cubicBezTo>
                  <a:pt x="2869197" y="56366"/>
                  <a:pt x="2869131" y="57948"/>
                  <a:pt x="2869131" y="59532"/>
                </a:cubicBezTo>
                <a:lnTo>
                  <a:pt x="2869131" y="597180"/>
                </a:lnTo>
                <a:cubicBezTo>
                  <a:pt x="2869112" y="599935"/>
                  <a:pt x="2869321" y="602687"/>
                  <a:pt x="2869750" y="605410"/>
                </a:cubicBezTo>
                <a:cubicBezTo>
                  <a:pt x="2870226" y="608317"/>
                  <a:pt x="2870979" y="610934"/>
                  <a:pt x="2871998" y="613258"/>
                </a:cubicBezTo>
                <a:cubicBezTo>
                  <a:pt x="2872912" y="615356"/>
                  <a:pt x="2874141" y="617301"/>
                  <a:pt x="2875636" y="619030"/>
                </a:cubicBezTo>
                <a:cubicBezTo>
                  <a:pt x="2877294" y="620870"/>
                  <a:pt x="2879189" y="622474"/>
                  <a:pt x="2881285" y="623793"/>
                </a:cubicBezTo>
                <a:cubicBezTo>
                  <a:pt x="2885075" y="626250"/>
                  <a:pt x="2889971" y="628410"/>
                  <a:pt x="2895962" y="630270"/>
                </a:cubicBezTo>
                <a:cubicBezTo>
                  <a:pt x="2896934" y="630570"/>
                  <a:pt x="2897915" y="630856"/>
                  <a:pt x="2898896" y="631127"/>
                </a:cubicBezTo>
                <a:lnTo>
                  <a:pt x="2898896" y="646015"/>
                </a:lnTo>
                <a:lnTo>
                  <a:pt x="2700767" y="646015"/>
                </a:lnTo>
                <a:lnTo>
                  <a:pt x="2700767" y="631127"/>
                </a:lnTo>
                <a:cubicBezTo>
                  <a:pt x="2703615" y="630407"/>
                  <a:pt x="2706415" y="629530"/>
                  <a:pt x="2709168" y="628498"/>
                </a:cubicBezTo>
                <a:cubicBezTo>
                  <a:pt x="2715226" y="626193"/>
                  <a:pt x="2719864" y="623374"/>
                  <a:pt x="2723084" y="620040"/>
                </a:cubicBezTo>
                <a:cubicBezTo>
                  <a:pt x="2723322" y="619788"/>
                  <a:pt x="2723560" y="619531"/>
                  <a:pt x="2723789" y="619268"/>
                </a:cubicBezTo>
                <a:cubicBezTo>
                  <a:pt x="2727484" y="615058"/>
                  <a:pt x="2729666" y="609327"/>
                  <a:pt x="2730323" y="602076"/>
                </a:cubicBezTo>
                <a:cubicBezTo>
                  <a:pt x="2730466" y="600448"/>
                  <a:pt x="2730532" y="598814"/>
                  <a:pt x="2730532" y="597180"/>
                </a:cubicBezTo>
                <a:close/>
                <a:moveTo>
                  <a:pt x="1126446" y="436722"/>
                </a:moveTo>
                <a:lnTo>
                  <a:pt x="1139000" y="427883"/>
                </a:lnTo>
                <a:lnTo>
                  <a:pt x="1227363" y="560432"/>
                </a:lnTo>
                <a:lnTo>
                  <a:pt x="1215276" y="568805"/>
                </a:lnTo>
                <a:cubicBezTo>
                  <a:pt x="1213343" y="566999"/>
                  <a:pt x="1211323" y="565283"/>
                  <a:pt x="1209237" y="563661"/>
                </a:cubicBezTo>
                <a:cubicBezTo>
                  <a:pt x="1205132" y="560492"/>
                  <a:pt x="1201436" y="558406"/>
                  <a:pt x="1198160" y="557404"/>
                </a:cubicBezTo>
                <a:cubicBezTo>
                  <a:pt x="1196779" y="556964"/>
                  <a:pt x="1195331" y="556734"/>
                  <a:pt x="1193883" y="556718"/>
                </a:cubicBezTo>
                <a:cubicBezTo>
                  <a:pt x="1188301" y="556718"/>
                  <a:pt x="1172642" y="564157"/>
                  <a:pt x="1146906" y="579035"/>
                </a:cubicBezTo>
                <a:cubicBezTo>
                  <a:pt x="1131294" y="588058"/>
                  <a:pt x="1115445" y="596678"/>
                  <a:pt x="1099386" y="604886"/>
                </a:cubicBezTo>
                <a:cubicBezTo>
                  <a:pt x="1066353" y="621694"/>
                  <a:pt x="1037311" y="633775"/>
                  <a:pt x="1012260" y="641128"/>
                </a:cubicBezTo>
                <a:cubicBezTo>
                  <a:pt x="975827" y="651822"/>
                  <a:pt x="932501" y="657168"/>
                  <a:pt x="882273" y="657168"/>
                </a:cubicBezTo>
                <a:cubicBezTo>
                  <a:pt x="846305" y="657406"/>
                  <a:pt x="810411" y="653914"/>
                  <a:pt x="775164" y="646748"/>
                </a:cubicBezTo>
                <a:cubicBezTo>
                  <a:pt x="721850" y="635534"/>
                  <a:pt x="675387" y="615290"/>
                  <a:pt x="635775" y="586017"/>
                </a:cubicBezTo>
                <a:cubicBezTo>
                  <a:pt x="597949" y="558420"/>
                  <a:pt x="568183" y="524158"/>
                  <a:pt x="546478" y="483232"/>
                </a:cubicBezTo>
                <a:cubicBezTo>
                  <a:pt x="522372" y="437954"/>
                  <a:pt x="509483" y="387554"/>
                  <a:pt x="508893" y="336262"/>
                </a:cubicBezTo>
                <a:cubicBezTo>
                  <a:pt x="508836" y="333627"/>
                  <a:pt x="508808" y="330991"/>
                  <a:pt x="508807" y="328356"/>
                </a:cubicBezTo>
                <a:cubicBezTo>
                  <a:pt x="508807" y="251463"/>
                  <a:pt x="531286" y="184645"/>
                  <a:pt x="576244" y="127902"/>
                </a:cubicBezTo>
                <a:cubicBezTo>
                  <a:pt x="643141" y="43511"/>
                  <a:pt x="743906" y="883"/>
                  <a:pt x="878539" y="20"/>
                </a:cubicBezTo>
                <a:cubicBezTo>
                  <a:pt x="879939" y="9"/>
                  <a:pt x="881339" y="2"/>
                  <a:pt x="882739" y="0"/>
                </a:cubicBezTo>
                <a:cubicBezTo>
                  <a:pt x="932968" y="0"/>
                  <a:pt x="976065" y="5271"/>
                  <a:pt x="1012032" y="15812"/>
                </a:cubicBezTo>
                <a:cubicBezTo>
                  <a:pt x="1024357" y="19492"/>
                  <a:pt x="1036492" y="23794"/>
                  <a:pt x="1048389" y="28699"/>
                </a:cubicBezTo>
                <a:cubicBezTo>
                  <a:pt x="1075078" y="39570"/>
                  <a:pt x="1105472" y="54655"/>
                  <a:pt x="1139572" y="73953"/>
                </a:cubicBezTo>
                <a:cubicBezTo>
                  <a:pt x="1142019" y="75338"/>
                  <a:pt x="1144467" y="76732"/>
                  <a:pt x="1146906" y="78134"/>
                </a:cubicBezTo>
                <a:cubicBezTo>
                  <a:pt x="1151354" y="80656"/>
                  <a:pt x="1155821" y="83133"/>
                  <a:pt x="1160317" y="85564"/>
                </a:cubicBezTo>
                <a:cubicBezTo>
                  <a:pt x="1178157" y="95184"/>
                  <a:pt x="1189349" y="99994"/>
                  <a:pt x="1193883" y="99994"/>
                </a:cubicBezTo>
                <a:cubicBezTo>
                  <a:pt x="1199465" y="99994"/>
                  <a:pt x="1206599" y="95965"/>
                  <a:pt x="1215276" y="87907"/>
                </a:cubicBezTo>
                <a:lnTo>
                  <a:pt x="1227363" y="96279"/>
                </a:lnTo>
                <a:lnTo>
                  <a:pt x="1139000" y="228829"/>
                </a:lnTo>
                <a:lnTo>
                  <a:pt x="1126446" y="220457"/>
                </a:lnTo>
                <a:cubicBezTo>
                  <a:pt x="1126665" y="218717"/>
                  <a:pt x="1126856" y="216973"/>
                  <a:pt x="1127008" y="215227"/>
                </a:cubicBezTo>
                <a:cubicBezTo>
                  <a:pt x="1127246" y="212478"/>
                  <a:pt x="1127370" y="210033"/>
                  <a:pt x="1127370" y="207893"/>
                </a:cubicBezTo>
                <a:cubicBezTo>
                  <a:pt x="1127332" y="201869"/>
                  <a:pt x="1125598" y="195974"/>
                  <a:pt x="1122369" y="190891"/>
                </a:cubicBezTo>
                <a:cubicBezTo>
                  <a:pt x="1120483" y="187871"/>
                  <a:pt x="1118264" y="185071"/>
                  <a:pt x="1115750" y="182547"/>
                </a:cubicBezTo>
                <a:cubicBezTo>
                  <a:pt x="1113235" y="180031"/>
                  <a:pt x="1110568" y="177673"/>
                  <a:pt x="1107768" y="175489"/>
                </a:cubicBezTo>
                <a:cubicBezTo>
                  <a:pt x="1099757" y="169152"/>
                  <a:pt x="1088613" y="161970"/>
                  <a:pt x="1074354" y="153944"/>
                </a:cubicBezTo>
                <a:cubicBezTo>
                  <a:pt x="1021300" y="123425"/>
                  <a:pt x="961149" y="107390"/>
                  <a:pt x="899942" y="107442"/>
                </a:cubicBezTo>
                <a:cubicBezTo>
                  <a:pt x="827393" y="107442"/>
                  <a:pt x="769570" y="125578"/>
                  <a:pt x="726472" y="161849"/>
                </a:cubicBezTo>
                <a:cubicBezTo>
                  <a:pt x="681522" y="198128"/>
                  <a:pt x="654048" y="251754"/>
                  <a:pt x="650863" y="309430"/>
                </a:cubicBezTo>
                <a:cubicBezTo>
                  <a:pt x="650413" y="315729"/>
                  <a:pt x="650191" y="322041"/>
                  <a:pt x="650196" y="328356"/>
                </a:cubicBezTo>
                <a:cubicBezTo>
                  <a:pt x="649837" y="357478"/>
                  <a:pt x="655156" y="386393"/>
                  <a:pt x="665855" y="413481"/>
                </a:cubicBezTo>
                <a:cubicBezTo>
                  <a:pt x="678988" y="445219"/>
                  <a:pt x="699821" y="473185"/>
                  <a:pt x="726472" y="494853"/>
                </a:cubicBezTo>
                <a:cubicBezTo>
                  <a:pt x="769570" y="531131"/>
                  <a:pt x="827393" y="549269"/>
                  <a:pt x="899942" y="549269"/>
                </a:cubicBezTo>
                <a:cubicBezTo>
                  <a:pt x="961149" y="549319"/>
                  <a:pt x="1021300" y="533280"/>
                  <a:pt x="1074354" y="502759"/>
                </a:cubicBezTo>
                <a:cubicBezTo>
                  <a:pt x="1094194" y="491602"/>
                  <a:pt x="1107996" y="482070"/>
                  <a:pt x="1115750" y="474164"/>
                </a:cubicBezTo>
                <a:cubicBezTo>
                  <a:pt x="1118369" y="471533"/>
                  <a:pt x="1120664" y="468601"/>
                  <a:pt x="1122598" y="465430"/>
                </a:cubicBezTo>
                <a:cubicBezTo>
                  <a:pt x="1125684" y="460435"/>
                  <a:pt x="1127341" y="454683"/>
                  <a:pt x="1127370" y="448809"/>
                </a:cubicBezTo>
                <a:cubicBezTo>
                  <a:pt x="1127370" y="447443"/>
                  <a:pt x="1127332" y="446077"/>
                  <a:pt x="1127246" y="444713"/>
                </a:cubicBezTo>
                <a:cubicBezTo>
                  <a:pt x="1127151" y="443202"/>
                  <a:pt x="1127008" y="441592"/>
                  <a:pt x="1126827" y="439884"/>
                </a:cubicBezTo>
                <a:cubicBezTo>
                  <a:pt x="1126713" y="438829"/>
                  <a:pt x="1126589" y="437774"/>
                  <a:pt x="1126446" y="436722"/>
                </a:cubicBezTo>
                <a:close/>
                <a:moveTo>
                  <a:pt x="1660360" y="386954"/>
                </a:moveTo>
                <a:lnTo>
                  <a:pt x="1491073" y="386954"/>
                </a:lnTo>
                <a:lnTo>
                  <a:pt x="1491073" y="597637"/>
                </a:lnTo>
                <a:cubicBezTo>
                  <a:pt x="1491054" y="600482"/>
                  <a:pt x="1491292" y="603324"/>
                  <a:pt x="1491797" y="606124"/>
                </a:cubicBezTo>
                <a:cubicBezTo>
                  <a:pt x="1492387" y="609286"/>
                  <a:pt x="1493330" y="612115"/>
                  <a:pt x="1494635" y="614611"/>
                </a:cubicBezTo>
                <a:cubicBezTo>
                  <a:pt x="1495502" y="616285"/>
                  <a:pt x="1496568" y="617849"/>
                  <a:pt x="1497816" y="619268"/>
                </a:cubicBezTo>
                <a:cubicBezTo>
                  <a:pt x="1502131" y="624183"/>
                  <a:pt x="1509380" y="628025"/>
                  <a:pt x="1519562" y="630794"/>
                </a:cubicBezTo>
                <a:cubicBezTo>
                  <a:pt x="1519990" y="630908"/>
                  <a:pt x="1520410" y="631018"/>
                  <a:pt x="1520838" y="631127"/>
                </a:cubicBezTo>
                <a:lnTo>
                  <a:pt x="1520838" y="646015"/>
                </a:lnTo>
                <a:lnTo>
                  <a:pt x="1322709" y="646015"/>
                </a:lnTo>
                <a:lnTo>
                  <a:pt x="1322709" y="631127"/>
                </a:lnTo>
                <a:cubicBezTo>
                  <a:pt x="1325623" y="630329"/>
                  <a:pt x="1328500" y="629381"/>
                  <a:pt x="1331319" y="628289"/>
                </a:cubicBezTo>
                <a:cubicBezTo>
                  <a:pt x="1337044" y="626047"/>
                  <a:pt x="1341454" y="623450"/>
                  <a:pt x="1344559" y="620497"/>
                </a:cubicBezTo>
                <a:cubicBezTo>
                  <a:pt x="1345054" y="620030"/>
                  <a:pt x="1345521" y="619541"/>
                  <a:pt x="1345969" y="619030"/>
                </a:cubicBezTo>
                <a:cubicBezTo>
                  <a:pt x="1348150" y="616481"/>
                  <a:pt x="1349769" y="613507"/>
                  <a:pt x="1350741" y="610296"/>
                </a:cubicBezTo>
                <a:cubicBezTo>
                  <a:pt x="1351503" y="607908"/>
                  <a:pt x="1352017" y="605269"/>
                  <a:pt x="1352274" y="602381"/>
                </a:cubicBezTo>
                <a:cubicBezTo>
                  <a:pt x="1352408" y="600803"/>
                  <a:pt x="1352474" y="599220"/>
                  <a:pt x="1352474" y="597637"/>
                </a:cubicBezTo>
                <a:lnTo>
                  <a:pt x="1352474" y="59998"/>
                </a:lnTo>
                <a:cubicBezTo>
                  <a:pt x="1352493" y="57243"/>
                  <a:pt x="1352284" y="54491"/>
                  <a:pt x="1351855" y="51769"/>
                </a:cubicBezTo>
                <a:cubicBezTo>
                  <a:pt x="1351379" y="48854"/>
                  <a:pt x="1350627" y="46238"/>
                  <a:pt x="1349598" y="43920"/>
                </a:cubicBezTo>
                <a:cubicBezTo>
                  <a:pt x="1348693" y="41820"/>
                  <a:pt x="1347464" y="39871"/>
                  <a:pt x="1345969" y="38139"/>
                </a:cubicBezTo>
                <a:cubicBezTo>
                  <a:pt x="1344311" y="36298"/>
                  <a:pt x="1342416" y="34695"/>
                  <a:pt x="1340320" y="33376"/>
                </a:cubicBezTo>
                <a:cubicBezTo>
                  <a:pt x="1336529" y="30919"/>
                  <a:pt x="1331634" y="28763"/>
                  <a:pt x="1325642" y="26909"/>
                </a:cubicBezTo>
                <a:cubicBezTo>
                  <a:pt x="1324671" y="26608"/>
                  <a:pt x="1323690" y="26323"/>
                  <a:pt x="1322709" y="26051"/>
                </a:cubicBezTo>
                <a:lnTo>
                  <a:pt x="1322709" y="11164"/>
                </a:lnTo>
                <a:lnTo>
                  <a:pt x="1719892" y="11164"/>
                </a:lnTo>
                <a:cubicBezTo>
                  <a:pt x="1734036" y="11145"/>
                  <a:pt x="1748181" y="11418"/>
                  <a:pt x="1762316" y="11983"/>
                </a:cubicBezTo>
                <a:cubicBezTo>
                  <a:pt x="1791272" y="13183"/>
                  <a:pt x="1815504" y="15701"/>
                  <a:pt x="1835001" y="19536"/>
                </a:cubicBezTo>
                <a:cubicBezTo>
                  <a:pt x="1850127" y="22435"/>
                  <a:pt x="1864919" y="26881"/>
                  <a:pt x="1879140" y="32805"/>
                </a:cubicBezTo>
                <a:cubicBezTo>
                  <a:pt x="1889627" y="37207"/>
                  <a:pt x="1899686" y="42574"/>
                  <a:pt x="1909182" y="48835"/>
                </a:cubicBezTo>
                <a:cubicBezTo>
                  <a:pt x="1933547" y="64801"/>
                  <a:pt x="1952645" y="87618"/>
                  <a:pt x="1964065" y="114415"/>
                </a:cubicBezTo>
                <a:cubicBezTo>
                  <a:pt x="1975543" y="141078"/>
                  <a:pt x="1981277" y="169603"/>
                  <a:pt x="1981277" y="199987"/>
                </a:cubicBezTo>
                <a:cubicBezTo>
                  <a:pt x="1981277" y="303550"/>
                  <a:pt x="1923765" y="364167"/>
                  <a:pt x="1808731" y="381839"/>
                </a:cubicBezTo>
                <a:lnTo>
                  <a:pt x="1931975" y="557175"/>
                </a:lnTo>
                <a:cubicBezTo>
                  <a:pt x="1951368" y="584600"/>
                  <a:pt x="1966123" y="603302"/>
                  <a:pt x="1976228" y="613277"/>
                </a:cubicBezTo>
                <a:cubicBezTo>
                  <a:pt x="1977333" y="614377"/>
                  <a:pt x="1978476" y="615444"/>
                  <a:pt x="1979648" y="616478"/>
                </a:cubicBezTo>
                <a:cubicBezTo>
                  <a:pt x="1988621" y="624316"/>
                  <a:pt x="1999765" y="629254"/>
                  <a:pt x="2011595" y="630641"/>
                </a:cubicBezTo>
                <a:cubicBezTo>
                  <a:pt x="2013262" y="630859"/>
                  <a:pt x="2014938" y="631022"/>
                  <a:pt x="2016624" y="631127"/>
                </a:cubicBezTo>
                <a:lnTo>
                  <a:pt x="2016624" y="646015"/>
                </a:lnTo>
                <a:lnTo>
                  <a:pt x="1786872" y="646015"/>
                </a:lnTo>
                <a:lnTo>
                  <a:pt x="1786872" y="631127"/>
                </a:lnTo>
                <a:cubicBezTo>
                  <a:pt x="1789748" y="630695"/>
                  <a:pt x="1792586" y="630077"/>
                  <a:pt x="1795377" y="629279"/>
                </a:cubicBezTo>
                <a:cubicBezTo>
                  <a:pt x="1801330" y="627533"/>
                  <a:pt x="1805531" y="625101"/>
                  <a:pt x="1807988" y="621983"/>
                </a:cubicBezTo>
                <a:cubicBezTo>
                  <a:pt x="1809712" y="619827"/>
                  <a:pt x="1810627" y="617141"/>
                  <a:pt x="1810589" y="614382"/>
                </a:cubicBezTo>
                <a:cubicBezTo>
                  <a:pt x="1810513" y="612813"/>
                  <a:pt x="1810179" y="611266"/>
                  <a:pt x="1809617" y="609801"/>
                </a:cubicBezTo>
                <a:cubicBezTo>
                  <a:pt x="1807188" y="602764"/>
                  <a:pt x="1800226" y="590805"/>
                  <a:pt x="1788729" y="573920"/>
                </a:cubicBezTo>
                <a:close/>
                <a:moveTo>
                  <a:pt x="29766" y="597180"/>
                </a:moveTo>
                <a:lnTo>
                  <a:pt x="29766" y="59532"/>
                </a:lnTo>
                <a:cubicBezTo>
                  <a:pt x="29781" y="56823"/>
                  <a:pt x="29568" y="54118"/>
                  <a:pt x="29128" y="51445"/>
                </a:cubicBezTo>
                <a:cubicBezTo>
                  <a:pt x="28620" y="48473"/>
                  <a:pt x="27807" y="45803"/>
                  <a:pt x="26690" y="43434"/>
                </a:cubicBezTo>
                <a:cubicBezTo>
                  <a:pt x="25796" y="41518"/>
                  <a:pt x="24638" y="39735"/>
                  <a:pt x="23251" y="38139"/>
                </a:cubicBezTo>
                <a:cubicBezTo>
                  <a:pt x="21600" y="36299"/>
                  <a:pt x="19702" y="34696"/>
                  <a:pt x="17612" y="33376"/>
                </a:cubicBezTo>
                <a:cubicBezTo>
                  <a:pt x="13821" y="30919"/>
                  <a:pt x="8929" y="28763"/>
                  <a:pt x="2934" y="26909"/>
                </a:cubicBezTo>
                <a:cubicBezTo>
                  <a:pt x="1961" y="26608"/>
                  <a:pt x="983" y="26323"/>
                  <a:pt x="0" y="26051"/>
                </a:cubicBezTo>
                <a:lnTo>
                  <a:pt x="0" y="11164"/>
                </a:lnTo>
                <a:lnTo>
                  <a:pt x="198130" y="11164"/>
                </a:lnTo>
                <a:lnTo>
                  <a:pt x="198130" y="26051"/>
                </a:lnTo>
                <a:cubicBezTo>
                  <a:pt x="186967" y="28839"/>
                  <a:pt x="179213" y="32792"/>
                  <a:pt x="174870" y="37910"/>
                </a:cubicBezTo>
                <a:cubicBezTo>
                  <a:pt x="171212" y="42222"/>
                  <a:pt x="169098" y="48016"/>
                  <a:pt x="168526" y="55293"/>
                </a:cubicBezTo>
                <a:cubicBezTo>
                  <a:pt x="168417" y="56703"/>
                  <a:pt x="168362" y="58117"/>
                  <a:pt x="168364" y="59532"/>
                </a:cubicBezTo>
                <a:lnTo>
                  <a:pt x="168364" y="597180"/>
                </a:lnTo>
                <a:cubicBezTo>
                  <a:pt x="168348" y="599975"/>
                  <a:pt x="168567" y="602766"/>
                  <a:pt x="169022" y="605524"/>
                </a:cubicBezTo>
                <a:cubicBezTo>
                  <a:pt x="169548" y="608603"/>
                  <a:pt x="170390" y="611363"/>
                  <a:pt x="171546" y="613801"/>
                </a:cubicBezTo>
                <a:cubicBezTo>
                  <a:pt x="172472" y="615781"/>
                  <a:pt x="173671" y="617622"/>
                  <a:pt x="175108" y="619268"/>
                </a:cubicBezTo>
                <a:cubicBezTo>
                  <a:pt x="179426" y="624183"/>
                  <a:pt x="186674" y="628025"/>
                  <a:pt x="196854" y="630794"/>
                </a:cubicBezTo>
                <a:cubicBezTo>
                  <a:pt x="197278" y="630908"/>
                  <a:pt x="197704" y="631018"/>
                  <a:pt x="198130" y="631127"/>
                </a:cubicBezTo>
                <a:lnTo>
                  <a:pt x="198130" y="646015"/>
                </a:lnTo>
                <a:lnTo>
                  <a:pt x="0" y="646015"/>
                </a:lnTo>
                <a:lnTo>
                  <a:pt x="0" y="631127"/>
                </a:lnTo>
                <a:cubicBezTo>
                  <a:pt x="2917" y="630329"/>
                  <a:pt x="5791" y="629381"/>
                  <a:pt x="8611" y="628289"/>
                </a:cubicBezTo>
                <a:cubicBezTo>
                  <a:pt x="14326" y="626047"/>
                  <a:pt x="18739" y="623450"/>
                  <a:pt x="21851" y="620497"/>
                </a:cubicBezTo>
                <a:cubicBezTo>
                  <a:pt x="22340" y="620029"/>
                  <a:pt x="22807" y="619541"/>
                  <a:pt x="23251" y="619030"/>
                </a:cubicBezTo>
                <a:cubicBezTo>
                  <a:pt x="25303" y="616638"/>
                  <a:pt x="26858" y="613859"/>
                  <a:pt x="27823" y="610858"/>
                </a:cubicBezTo>
                <a:cubicBezTo>
                  <a:pt x="28610" y="608502"/>
                  <a:pt x="29160" y="605889"/>
                  <a:pt x="29471" y="603019"/>
                </a:cubicBezTo>
                <a:cubicBezTo>
                  <a:pt x="29673" y="601079"/>
                  <a:pt x="29772" y="599130"/>
                  <a:pt x="29766" y="597180"/>
                </a:cubicBezTo>
                <a:close/>
                <a:moveTo>
                  <a:pt x="1491073" y="115805"/>
                </a:moveTo>
                <a:lnTo>
                  <a:pt x="1491073" y="282312"/>
                </a:lnTo>
                <a:lnTo>
                  <a:pt x="1705014" y="282312"/>
                </a:lnTo>
                <a:cubicBezTo>
                  <a:pt x="1712338" y="282318"/>
                  <a:pt x="1719663" y="282261"/>
                  <a:pt x="1726988" y="282141"/>
                </a:cubicBezTo>
                <a:cubicBezTo>
                  <a:pt x="1747000" y="281791"/>
                  <a:pt x="1761887" y="280934"/>
                  <a:pt x="1771660" y="279569"/>
                </a:cubicBezTo>
                <a:cubicBezTo>
                  <a:pt x="1771765" y="279553"/>
                  <a:pt x="1771879" y="279537"/>
                  <a:pt x="1771984" y="279521"/>
                </a:cubicBezTo>
                <a:cubicBezTo>
                  <a:pt x="1785005" y="277661"/>
                  <a:pt x="1796949" y="273784"/>
                  <a:pt x="1807798" y="267891"/>
                </a:cubicBezTo>
                <a:cubicBezTo>
                  <a:pt x="1824933" y="258786"/>
                  <a:pt x="1837021" y="242397"/>
                  <a:pt x="1840650" y="223333"/>
                </a:cubicBezTo>
                <a:cubicBezTo>
                  <a:pt x="1842374" y="215361"/>
                  <a:pt x="1843212" y="207221"/>
                  <a:pt x="1843145" y="199063"/>
                </a:cubicBezTo>
                <a:cubicBezTo>
                  <a:pt x="1843221" y="190461"/>
                  <a:pt x="1842288" y="181879"/>
                  <a:pt x="1840345" y="173498"/>
                </a:cubicBezTo>
                <a:cubicBezTo>
                  <a:pt x="1836459" y="154955"/>
                  <a:pt x="1824533" y="139099"/>
                  <a:pt x="1807798" y="130226"/>
                </a:cubicBezTo>
                <a:cubicBezTo>
                  <a:pt x="1796635" y="124028"/>
                  <a:pt x="1784776" y="120075"/>
                  <a:pt x="1772222" y="118368"/>
                </a:cubicBezTo>
                <a:cubicBezTo>
                  <a:pt x="1768517" y="117884"/>
                  <a:pt x="1764793" y="117512"/>
                  <a:pt x="1761059" y="117253"/>
                </a:cubicBezTo>
                <a:cubicBezTo>
                  <a:pt x="1748543" y="116332"/>
                  <a:pt x="1730960" y="115853"/>
                  <a:pt x="1708300" y="115815"/>
                </a:cubicBezTo>
                <a:cubicBezTo>
                  <a:pt x="1707204" y="115811"/>
                  <a:pt x="1706109" y="115807"/>
                  <a:pt x="1705014" y="115805"/>
                </a:cubicBezTo>
                <a:close/>
                <a:moveTo>
                  <a:pt x="451600" y="305096"/>
                </a:moveTo>
                <a:lnTo>
                  <a:pt x="466487" y="305096"/>
                </a:lnTo>
                <a:lnTo>
                  <a:pt x="466487" y="466021"/>
                </a:lnTo>
                <a:lnTo>
                  <a:pt x="451600" y="466021"/>
                </a:lnTo>
                <a:cubicBezTo>
                  <a:pt x="450801" y="463104"/>
                  <a:pt x="449854" y="460230"/>
                  <a:pt x="448761" y="457410"/>
                </a:cubicBezTo>
                <a:cubicBezTo>
                  <a:pt x="446520" y="451695"/>
                  <a:pt x="443923" y="447282"/>
                  <a:pt x="440970" y="444170"/>
                </a:cubicBezTo>
                <a:cubicBezTo>
                  <a:pt x="440506" y="443682"/>
                  <a:pt x="440019" y="443214"/>
                  <a:pt x="439513" y="442770"/>
                </a:cubicBezTo>
                <a:cubicBezTo>
                  <a:pt x="437117" y="440717"/>
                  <a:pt x="434335" y="439162"/>
                  <a:pt x="431331" y="438198"/>
                </a:cubicBezTo>
                <a:cubicBezTo>
                  <a:pt x="428975" y="437410"/>
                  <a:pt x="426361" y="436862"/>
                  <a:pt x="423491" y="436550"/>
                </a:cubicBezTo>
                <a:cubicBezTo>
                  <a:pt x="421552" y="436347"/>
                  <a:pt x="419602" y="436249"/>
                  <a:pt x="417653" y="436255"/>
                </a:cubicBezTo>
                <a:lnTo>
                  <a:pt x="303238" y="436255"/>
                </a:lnTo>
                <a:cubicBezTo>
                  <a:pt x="300396" y="436236"/>
                  <a:pt x="297559" y="436479"/>
                  <a:pt x="294761" y="436979"/>
                </a:cubicBezTo>
                <a:cubicBezTo>
                  <a:pt x="291599" y="437569"/>
                  <a:pt x="288767" y="438515"/>
                  <a:pt x="286265" y="439817"/>
                </a:cubicBezTo>
                <a:cubicBezTo>
                  <a:pt x="284590" y="440687"/>
                  <a:pt x="283026" y="441755"/>
                  <a:pt x="281607" y="442999"/>
                </a:cubicBezTo>
                <a:cubicBezTo>
                  <a:pt x="276699" y="447316"/>
                  <a:pt x="272860" y="454565"/>
                  <a:pt x="270091" y="464744"/>
                </a:cubicBezTo>
                <a:cubicBezTo>
                  <a:pt x="269974" y="465169"/>
                  <a:pt x="269860" y="465595"/>
                  <a:pt x="269748" y="466021"/>
                </a:cubicBezTo>
                <a:lnTo>
                  <a:pt x="254870" y="466021"/>
                </a:lnTo>
                <a:lnTo>
                  <a:pt x="254870" y="305096"/>
                </a:lnTo>
                <a:lnTo>
                  <a:pt x="269748" y="305096"/>
                </a:lnTo>
                <a:cubicBezTo>
                  <a:pt x="272542" y="316259"/>
                  <a:pt x="276495" y="324089"/>
                  <a:pt x="281607" y="328584"/>
                </a:cubicBezTo>
                <a:cubicBezTo>
                  <a:pt x="284383" y="330979"/>
                  <a:pt x="287646" y="332740"/>
                  <a:pt x="291170" y="333747"/>
                </a:cubicBezTo>
                <a:cubicBezTo>
                  <a:pt x="294701" y="334801"/>
                  <a:pt x="298724" y="335328"/>
                  <a:pt x="303238" y="335328"/>
                </a:cubicBezTo>
                <a:lnTo>
                  <a:pt x="417653" y="335328"/>
                </a:lnTo>
                <a:cubicBezTo>
                  <a:pt x="420408" y="335344"/>
                  <a:pt x="423160" y="335138"/>
                  <a:pt x="425882" y="334709"/>
                </a:cubicBezTo>
                <a:cubicBezTo>
                  <a:pt x="428790" y="334233"/>
                  <a:pt x="431407" y="333483"/>
                  <a:pt x="433731" y="332461"/>
                </a:cubicBezTo>
                <a:cubicBezTo>
                  <a:pt x="435831" y="331549"/>
                  <a:pt x="437781" y="330322"/>
                  <a:pt x="439513" y="328823"/>
                </a:cubicBezTo>
                <a:cubicBezTo>
                  <a:pt x="441281" y="327231"/>
                  <a:pt x="442823" y="325404"/>
                  <a:pt x="444094" y="323393"/>
                </a:cubicBezTo>
                <a:cubicBezTo>
                  <a:pt x="446590" y="319558"/>
                  <a:pt x="448780" y="314545"/>
                  <a:pt x="450666" y="308353"/>
                </a:cubicBezTo>
                <a:cubicBezTo>
                  <a:pt x="450995" y="307272"/>
                  <a:pt x="451305" y="306186"/>
                  <a:pt x="451600" y="305096"/>
                </a:cubicBezTo>
                <a:close/>
              </a:path>
            </a:pathLst>
          </a:custGeom>
          <a:gradFill>
            <a:gsLst>
              <a:gs pos="100000">
                <a:srgbClr val="BDDEFF"/>
              </a:gs>
              <a:gs pos="55000">
                <a:schemeClr val="bg1"/>
              </a:gs>
              <a:gs pos="0">
                <a:srgbClr val="6D40CF"/>
              </a:gs>
            </a:gsLst>
            <a:lin ang="0" scaled="0"/>
          </a:gradFill>
          <a:ln w="9000" cap="rnd">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510540</xdr:colOff>
      <xdr:row>3</xdr:row>
      <xdr:rowOff>53340</xdr:rowOff>
    </xdr:from>
    <xdr:to>
      <xdr:col>8</xdr:col>
      <xdr:colOff>114300</xdr:colOff>
      <xdr:row>11</xdr:row>
      <xdr:rowOff>106680</xdr:rowOff>
    </xdr:to>
    <xdr:sp macro="" textlink="">
      <xdr:nvSpPr>
        <xdr:cNvPr id="74" name="Rectangle: Rounded Corners 73">
          <a:extLst>
            <a:ext uri="{FF2B5EF4-FFF2-40B4-BE49-F238E27FC236}">
              <a16:creationId xmlns:a16="http://schemas.microsoft.com/office/drawing/2014/main" id="{EA835AC4-50DE-3995-E355-8EBE7649D499}"/>
            </a:ext>
          </a:extLst>
        </xdr:cNvPr>
        <xdr:cNvSpPr/>
      </xdr:nvSpPr>
      <xdr:spPr>
        <a:xfrm>
          <a:off x="1729740" y="601980"/>
          <a:ext cx="3261360" cy="1516380"/>
        </a:xfrm>
        <a:prstGeom prst="roundRect">
          <a:avLst>
            <a:gd name="adj" fmla="val 9269"/>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en-US" sz="1100" kern="1200">
            <a:ea typeface="+mn-ea"/>
          </a:endParaRPr>
        </a:p>
      </xdr:txBody>
    </xdr:sp>
    <xdr:clientData/>
  </xdr:twoCellAnchor>
  <xdr:twoCellAnchor>
    <xdr:from>
      <xdr:col>3</xdr:col>
      <xdr:colOff>480060</xdr:colOff>
      <xdr:row>12</xdr:row>
      <xdr:rowOff>60960</xdr:rowOff>
    </xdr:from>
    <xdr:to>
      <xdr:col>4</xdr:col>
      <xdr:colOff>122460</xdr:colOff>
      <xdr:row>34</xdr:row>
      <xdr:rowOff>83820</xdr:rowOff>
    </xdr:to>
    <xdr:sp macro="" textlink="">
      <xdr:nvSpPr>
        <xdr:cNvPr id="85" name="Freeform: Shape 84">
          <a:extLst>
            <a:ext uri="{FF2B5EF4-FFF2-40B4-BE49-F238E27FC236}">
              <a16:creationId xmlns:a16="http://schemas.microsoft.com/office/drawing/2014/main" id="{B9E354DC-D3F5-41EA-82F3-A32961E4A47D}"/>
            </a:ext>
          </a:extLst>
        </xdr:cNvPr>
        <xdr:cNvSpPr/>
      </xdr:nvSpPr>
      <xdr:spPr>
        <a:xfrm>
          <a:off x="2308860" y="2255520"/>
          <a:ext cx="252000" cy="4046220"/>
        </a:xfrm>
        <a:custGeom>
          <a:avLst/>
          <a:gdLst>
            <a:gd name="connsiteX0" fmla="*/ 179450 w 192563"/>
            <a:gd name="connsiteY0" fmla="*/ 0 h 4046220"/>
            <a:gd name="connsiteX1" fmla="*/ 192563 w 192563"/>
            <a:gd name="connsiteY1" fmla="*/ 0 h 4046220"/>
            <a:gd name="connsiteX2" fmla="*/ 192563 w 192563"/>
            <a:gd name="connsiteY2" fmla="*/ 4046220 h 4046220"/>
            <a:gd name="connsiteX3" fmla="*/ 179450 w 192563"/>
            <a:gd name="connsiteY3" fmla="*/ 4046220 h 4046220"/>
            <a:gd name="connsiteX4" fmla="*/ 0 w 192563"/>
            <a:gd name="connsiteY4" fmla="*/ 3866770 h 4046220"/>
            <a:gd name="connsiteX5" fmla="*/ 0 w 192563"/>
            <a:gd name="connsiteY5" fmla="*/ 179450 h 4046220"/>
            <a:gd name="connsiteX6" fmla="*/ 179450 w 192563"/>
            <a:gd name="connsiteY6" fmla="*/ 0 h 40462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92563" h="4046220">
              <a:moveTo>
                <a:pt x="179450" y="0"/>
              </a:moveTo>
              <a:lnTo>
                <a:pt x="192563" y="0"/>
              </a:lnTo>
              <a:lnTo>
                <a:pt x="192563" y="4046220"/>
              </a:lnTo>
              <a:lnTo>
                <a:pt x="179450" y="4046220"/>
              </a:lnTo>
              <a:cubicBezTo>
                <a:pt x="80343" y="4046220"/>
                <a:pt x="0" y="3965877"/>
                <a:pt x="0" y="3866770"/>
              </a:cubicBezTo>
              <a:lnTo>
                <a:pt x="0" y="179450"/>
              </a:lnTo>
              <a:cubicBezTo>
                <a:pt x="0" y="80343"/>
                <a:pt x="80343" y="0"/>
                <a:pt x="179450" y="0"/>
              </a:cubicBezTo>
              <a:close/>
            </a:path>
          </a:pathLst>
        </a:cu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17</xdr:col>
      <xdr:colOff>76200</xdr:colOff>
      <xdr:row>13</xdr:row>
      <xdr:rowOff>60960</xdr:rowOff>
    </xdr:from>
    <xdr:to>
      <xdr:col>22</xdr:col>
      <xdr:colOff>608511</xdr:colOff>
      <xdr:row>34</xdr:row>
      <xdr:rowOff>172080</xdr:rowOff>
    </xdr:to>
    <mc:AlternateContent xmlns:mc="http://schemas.openxmlformats.org/markup-compatibility/2006">
      <mc:Choice xmlns:we="http://schemas.microsoft.com/office/webextensions/webextension/2010/11" Requires="we">
        <xdr:graphicFrame macro="">
          <xdr:nvGraphicFramePr>
            <xdr:cNvPr id="84" name="Add-in 83" title="Bing Maps">
              <a:extLst>
                <a:ext uri="{FF2B5EF4-FFF2-40B4-BE49-F238E27FC236}">
                  <a16:creationId xmlns:a16="http://schemas.microsoft.com/office/drawing/2014/main" id="{9673E158-327C-4677-BAAF-74863ABA2E1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84" name="Add-in 83" title="Bing Maps">
              <a:extLst>
                <a:ext uri="{FF2B5EF4-FFF2-40B4-BE49-F238E27FC236}">
                  <a16:creationId xmlns:a16="http://schemas.microsoft.com/office/drawing/2014/main" id="{9673E158-327C-4677-BAAF-74863ABA2E1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fLocksWithSheet="0"/>
  </xdr:twoCellAnchor>
  <xdr:twoCellAnchor>
    <xdr:from>
      <xdr:col>4</xdr:col>
      <xdr:colOff>121920</xdr:colOff>
      <xdr:row>33</xdr:row>
      <xdr:rowOff>114300</xdr:rowOff>
    </xdr:from>
    <xdr:to>
      <xdr:col>16</xdr:col>
      <xdr:colOff>7620</xdr:colOff>
      <xdr:row>34</xdr:row>
      <xdr:rowOff>83820</xdr:rowOff>
    </xdr:to>
    <xdr:sp macro="" textlink="">
      <xdr:nvSpPr>
        <xdr:cNvPr id="88" name="Rectangle 87">
          <a:extLst>
            <a:ext uri="{FF2B5EF4-FFF2-40B4-BE49-F238E27FC236}">
              <a16:creationId xmlns:a16="http://schemas.microsoft.com/office/drawing/2014/main" id="{BEA59D01-D0CF-5AA9-5A0E-A790DE2371AF}"/>
            </a:ext>
          </a:extLst>
        </xdr:cNvPr>
        <xdr:cNvSpPr/>
      </xdr:nvSpPr>
      <xdr:spPr>
        <a:xfrm>
          <a:off x="2560320" y="6149340"/>
          <a:ext cx="7200900" cy="152400"/>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609599</xdr:colOff>
      <xdr:row>12</xdr:row>
      <xdr:rowOff>60960</xdr:rowOff>
    </xdr:from>
    <xdr:to>
      <xdr:col>16</xdr:col>
      <xdr:colOff>323999</xdr:colOff>
      <xdr:row>34</xdr:row>
      <xdr:rowOff>83820</xdr:rowOff>
    </xdr:to>
    <xdr:sp macro="" textlink="">
      <xdr:nvSpPr>
        <xdr:cNvPr id="89" name="Freeform: Shape 88">
          <a:extLst>
            <a:ext uri="{FF2B5EF4-FFF2-40B4-BE49-F238E27FC236}">
              <a16:creationId xmlns:a16="http://schemas.microsoft.com/office/drawing/2014/main" id="{163ED339-B653-D050-0142-48826004AAEF}"/>
            </a:ext>
          </a:extLst>
        </xdr:cNvPr>
        <xdr:cNvSpPr/>
      </xdr:nvSpPr>
      <xdr:spPr>
        <a:xfrm flipH="1">
          <a:off x="9753599" y="2255520"/>
          <a:ext cx="324000" cy="4046220"/>
        </a:xfrm>
        <a:custGeom>
          <a:avLst/>
          <a:gdLst>
            <a:gd name="connsiteX0" fmla="*/ 179450 w 192563"/>
            <a:gd name="connsiteY0" fmla="*/ 0 h 4046220"/>
            <a:gd name="connsiteX1" fmla="*/ 192563 w 192563"/>
            <a:gd name="connsiteY1" fmla="*/ 0 h 4046220"/>
            <a:gd name="connsiteX2" fmla="*/ 192563 w 192563"/>
            <a:gd name="connsiteY2" fmla="*/ 4046220 h 4046220"/>
            <a:gd name="connsiteX3" fmla="*/ 179450 w 192563"/>
            <a:gd name="connsiteY3" fmla="*/ 4046220 h 4046220"/>
            <a:gd name="connsiteX4" fmla="*/ 0 w 192563"/>
            <a:gd name="connsiteY4" fmla="*/ 3866770 h 4046220"/>
            <a:gd name="connsiteX5" fmla="*/ 0 w 192563"/>
            <a:gd name="connsiteY5" fmla="*/ 179450 h 4046220"/>
            <a:gd name="connsiteX6" fmla="*/ 179450 w 192563"/>
            <a:gd name="connsiteY6" fmla="*/ 0 h 40462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92563" h="4046220">
              <a:moveTo>
                <a:pt x="179450" y="0"/>
              </a:moveTo>
              <a:lnTo>
                <a:pt x="192563" y="0"/>
              </a:lnTo>
              <a:lnTo>
                <a:pt x="192563" y="4046220"/>
              </a:lnTo>
              <a:lnTo>
                <a:pt x="179450" y="4046220"/>
              </a:lnTo>
              <a:cubicBezTo>
                <a:pt x="80343" y="4046220"/>
                <a:pt x="0" y="3965877"/>
                <a:pt x="0" y="3866770"/>
              </a:cubicBezTo>
              <a:lnTo>
                <a:pt x="0" y="179450"/>
              </a:lnTo>
              <a:cubicBezTo>
                <a:pt x="0" y="80343"/>
                <a:pt x="80343" y="0"/>
                <a:pt x="179450" y="0"/>
              </a:cubicBezTo>
              <a:close/>
            </a:path>
          </a:pathLst>
        </a:cu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23</xdr:col>
      <xdr:colOff>0</xdr:colOff>
      <xdr:row>4</xdr:row>
      <xdr:rowOff>69402</xdr:rowOff>
    </xdr:from>
    <xdr:to>
      <xdr:col>25</xdr:col>
      <xdr:colOff>251460</xdr:colOff>
      <xdr:row>37</xdr:row>
      <xdr:rowOff>60960</xdr:rowOff>
    </xdr:to>
    <xdr:sp macro="" textlink="">
      <xdr:nvSpPr>
        <xdr:cNvPr id="49" name="Rectangle 48">
          <a:extLst>
            <a:ext uri="{FF2B5EF4-FFF2-40B4-BE49-F238E27FC236}">
              <a16:creationId xmlns:a16="http://schemas.microsoft.com/office/drawing/2014/main" id="{E4EAB6AB-70DC-F6EA-264D-D0F46506B9B8}"/>
            </a:ext>
          </a:extLst>
        </xdr:cNvPr>
        <xdr:cNvSpPr/>
      </xdr:nvSpPr>
      <xdr:spPr>
        <a:xfrm>
          <a:off x="14142720" y="800922"/>
          <a:ext cx="1470660" cy="6026598"/>
        </a:xfrm>
        <a:prstGeom prst="rect">
          <a:avLst/>
        </a:prstGeom>
        <a:solidFill>
          <a:srgbClr val="7F7F7F"/>
        </a:solidFill>
        <a:ln>
          <a:noFill/>
        </a:ln>
        <a:effectLst>
          <a:outerShdw blurRad="152400" dist="241300" dir="13200000" sx="96000" sy="96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23</xdr:col>
      <xdr:colOff>0</xdr:colOff>
      <xdr:row>2</xdr:row>
      <xdr:rowOff>91440</xdr:rowOff>
    </xdr:from>
    <xdr:to>
      <xdr:col>25</xdr:col>
      <xdr:colOff>251460</xdr:colOff>
      <xdr:row>5</xdr:row>
      <xdr:rowOff>77479</xdr:rowOff>
    </xdr:to>
    <xdr:sp macro="" textlink="">
      <xdr:nvSpPr>
        <xdr:cNvPr id="50" name="Rectangle 49">
          <a:extLst>
            <a:ext uri="{FF2B5EF4-FFF2-40B4-BE49-F238E27FC236}">
              <a16:creationId xmlns:a16="http://schemas.microsoft.com/office/drawing/2014/main" id="{1EA33DB6-C590-EE78-5E4C-88ACB07715BC}"/>
            </a:ext>
          </a:extLst>
        </xdr:cNvPr>
        <xdr:cNvSpPr/>
      </xdr:nvSpPr>
      <xdr:spPr>
        <a:xfrm>
          <a:off x="14142720" y="457200"/>
          <a:ext cx="1470660" cy="534679"/>
        </a:xfrm>
        <a:prstGeom prst="rect">
          <a:avLst/>
        </a:prstGeom>
        <a:solidFill>
          <a:srgbClr val="7F7F7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7620</xdr:colOff>
      <xdr:row>34</xdr:row>
      <xdr:rowOff>29344</xdr:rowOff>
    </xdr:from>
    <xdr:to>
      <xdr:col>23</xdr:col>
      <xdr:colOff>341338</xdr:colOff>
      <xdr:row>43</xdr:row>
      <xdr:rowOff>3814</xdr:rowOff>
    </xdr:to>
    <xdr:grpSp>
      <xdr:nvGrpSpPr>
        <xdr:cNvPr id="59" name="Group 58">
          <a:extLst>
            <a:ext uri="{FF2B5EF4-FFF2-40B4-BE49-F238E27FC236}">
              <a16:creationId xmlns:a16="http://schemas.microsoft.com/office/drawing/2014/main" id="{0EF48C61-549A-417F-9EB0-5B9F25654608}"/>
            </a:ext>
          </a:extLst>
        </xdr:cNvPr>
        <xdr:cNvGrpSpPr/>
      </xdr:nvGrpSpPr>
      <xdr:grpSpPr>
        <a:xfrm rot="5400000">
          <a:off x="6251494" y="-55030"/>
          <a:ext cx="1604303" cy="14092051"/>
          <a:chOff x="13992992" y="299118"/>
          <a:chExt cx="1620390" cy="6490408"/>
        </a:xfrm>
      </xdr:grpSpPr>
      <xdr:sp macro="" textlink="">
        <xdr:nvSpPr>
          <xdr:cNvPr id="60" name="Rectangle 59">
            <a:extLst>
              <a:ext uri="{FF2B5EF4-FFF2-40B4-BE49-F238E27FC236}">
                <a16:creationId xmlns:a16="http://schemas.microsoft.com/office/drawing/2014/main" id="{6AA6E036-8E13-95B2-C850-8C779CC31C6C}"/>
              </a:ext>
            </a:extLst>
          </xdr:cNvPr>
          <xdr:cNvSpPr/>
        </xdr:nvSpPr>
        <xdr:spPr>
          <a:xfrm>
            <a:off x="14142720" y="342900"/>
            <a:ext cx="1470660" cy="6012180"/>
          </a:xfrm>
          <a:prstGeom prst="rect">
            <a:avLst/>
          </a:prstGeom>
          <a:solidFill>
            <a:srgbClr val="7F7F7F"/>
          </a:solidFill>
          <a:ln>
            <a:noFill/>
          </a:ln>
          <a:effectLst>
            <a:outerShdw blurRad="152400" dist="444500" dir="13200000" sx="96000" sy="96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
        <xdr:nvSpPr>
          <xdr:cNvPr id="61" name="Rectangle 60">
            <a:extLst>
              <a:ext uri="{FF2B5EF4-FFF2-40B4-BE49-F238E27FC236}">
                <a16:creationId xmlns:a16="http://schemas.microsoft.com/office/drawing/2014/main" id="{A851AA63-0AF3-024A-7A54-A46F169DD072}"/>
              </a:ext>
            </a:extLst>
          </xdr:cNvPr>
          <xdr:cNvSpPr/>
        </xdr:nvSpPr>
        <xdr:spPr>
          <a:xfrm>
            <a:off x="14142722" y="6256125"/>
            <a:ext cx="1470660" cy="533401"/>
          </a:xfrm>
          <a:prstGeom prst="rect">
            <a:avLst/>
          </a:prstGeom>
          <a:solidFill>
            <a:srgbClr val="7F7F7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sp macro="" textlink="">
        <xdr:nvSpPr>
          <xdr:cNvPr id="62" name="Rectangle 61">
            <a:extLst>
              <a:ext uri="{FF2B5EF4-FFF2-40B4-BE49-F238E27FC236}">
                <a16:creationId xmlns:a16="http://schemas.microsoft.com/office/drawing/2014/main" id="{C8DBEAFA-B6D9-C209-21FA-2610CA163B71}"/>
              </a:ext>
            </a:extLst>
          </xdr:cNvPr>
          <xdr:cNvSpPr/>
        </xdr:nvSpPr>
        <xdr:spPr>
          <a:xfrm>
            <a:off x="13992992" y="299118"/>
            <a:ext cx="1617726" cy="146204"/>
          </a:xfrm>
          <a:prstGeom prst="rect">
            <a:avLst/>
          </a:prstGeom>
          <a:solidFill>
            <a:srgbClr val="7F7F7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grpSp>
    <xdr:clientData/>
  </xdr:twoCellAnchor>
  <xdr:twoCellAnchor>
    <xdr:from>
      <xdr:col>0</xdr:col>
      <xdr:colOff>205740</xdr:colOff>
      <xdr:row>0</xdr:row>
      <xdr:rowOff>160020</xdr:rowOff>
    </xdr:from>
    <xdr:to>
      <xdr:col>3</xdr:col>
      <xdr:colOff>320940</xdr:colOff>
      <xdr:row>35</xdr:row>
      <xdr:rowOff>23220</xdr:rowOff>
    </xdr:to>
    <xdr:sp macro="" textlink="">
      <xdr:nvSpPr>
        <xdr:cNvPr id="3" name="Rectangle: Rounded Corners 2">
          <a:extLst>
            <a:ext uri="{FF2B5EF4-FFF2-40B4-BE49-F238E27FC236}">
              <a16:creationId xmlns:a16="http://schemas.microsoft.com/office/drawing/2014/main" id="{689721F1-3FAD-4A6A-947D-FA0A9ED6845F}"/>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378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13</xdr:col>
      <xdr:colOff>541020</xdr:colOff>
      <xdr:row>6</xdr:row>
      <xdr:rowOff>38100</xdr:rowOff>
    </xdr:from>
    <xdr:to>
      <xdr:col>16</xdr:col>
      <xdr:colOff>495300</xdr:colOff>
      <xdr:row>8</xdr:row>
      <xdr:rowOff>160020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A9E7FBE9-E6D7-45BC-BF05-CFF770AD8F5D}"/>
            </a:ext>
          </a:extLst>
        </xdr:cNvPr>
        <xdr:cNvSpPr/>
      </xdr:nvSpPr>
      <xdr:spPr>
        <a:xfrm>
          <a:off x="8465820" y="1135380"/>
          <a:ext cx="1783080" cy="487680"/>
        </a:xfrm>
        <a:prstGeom prst="roundRect">
          <a:avLst>
            <a:gd name="adj" fmla="val 9413"/>
          </a:avLst>
        </a:prstGeom>
        <a:gradFill>
          <a:gsLst>
            <a:gs pos="100000">
              <a:srgbClr val="009A96"/>
            </a:gs>
            <a:gs pos="0">
              <a:srgbClr val="35D7C7"/>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400" b="0" i="0" u="none" strike="noStrike">
              <a:solidFill>
                <a:schemeClr val="lt1"/>
              </a:solidFill>
              <a:effectLst/>
              <a:latin typeface="+mn-lt"/>
              <a:ea typeface="+mn-ea"/>
              <a:cs typeface="+mn-cs"/>
            </a:rPr>
            <a:t>MAKE AN ORDER</a:t>
          </a:r>
          <a:r>
            <a:rPr lang="en-US" sz="1400"/>
            <a:t> </a:t>
          </a:r>
          <a:endParaRPr lang="ru-RU" sz="1400" b="0" kern="1200">
            <a:solidFill>
              <a:schemeClr val="bg1"/>
            </a:solidFill>
            <a:latin typeface="+mn-lt"/>
            <a:ea typeface="+mn-ea"/>
            <a:cs typeface="+mn-cs"/>
          </a:endParaRPr>
        </a:p>
      </xdr:txBody>
    </xdr:sp>
    <xdr:clientData/>
  </xdr:twoCellAnchor>
  <xdr:twoCellAnchor>
    <xdr:from>
      <xdr:col>17</xdr:col>
      <xdr:colOff>53340</xdr:colOff>
      <xdr:row>3</xdr:row>
      <xdr:rowOff>45720</xdr:rowOff>
    </xdr:from>
    <xdr:to>
      <xdr:col>23</xdr:col>
      <xdr:colOff>0</xdr:colOff>
      <xdr:row>11</xdr:row>
      <xdr:rowOff>121920</xdr:rowOff>
    </xdr:to>
    <xdr:sp macro="" textlink="">
      <xdr:nvSpPr>
        <xdr:cNvPr id="8" name="Rectangle: Rounded Corners 7">
          <a:extLst>
            <a:ext uri="{FF2B5EF4-FFF2-40B4-BE49-F238E27FC236}">
              <a16:creationId xmlns:a16="http://schemas.microsoft.com/office/drawing/2014/main" id="{64BE255C-451A-4DCC-9F59-8236B8F4CDCB}"/>
            </a:ext>
          </a:extLst>
        </xdr:cNvPr>
        <xdr:cNvSpPr/>
      </xdr:nvSpPr>
      <xdr:spPr>
        <a:xfrm>
          <a:off x="10416540" y="594360"/>
          <a:ext cx="3726180" cy="1539240"/>
        </a:xfrm>
        <a:prstGeom prst="roundRect">
          <a:avLst>
            <a:gd name="adj" fmla="val 10128"/>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205740</xdr:colOff>
      <xdr:row>0</xdr:row>
      <xdr:rowOff>160020</xdr:rowOff>
    </xdr:from>
    <xdr:to>
      <xdr:col>3</xdr:col>
      <xdr:colOff>320940</xdr:colOff>
      <xdr:row>35</xdr:row>
      <xdr:rowOff>23220</xdr:rowOff>
    </xdr:to>
    <xdr:sp macro="" textlink="">
      <xdr:nvSpPr>
        <xdr:cNvPr id="9" name="Rectangle: Rounded Corners 8">
          <a:extLst>
            <a:ext uri="{FF2B5EF4-FFF2-40B4-BE49-F238E27FC236}">
              <a16:creationId xmlns:a16="http://schemas.microsoft.com/office/drawing/2014/main" id="{67C3227E-9EAF-49BC-A435-0C0D2ED58C17}"/>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205740</xdr:colOff>
      <xdr:row>15</xdr:row>
      <xdr:rowOff>129540</xdr:rowOff>
    </xdr:from>
    <xdr:to>
      <xdr:col>3</xdr:col>
      <xdr:colOff>140940</xdr:colOff>
      <xdr:row>17</xdr:row>
      <xdr:rowOff>159780</xdr:rowOff>
    </xdr:to>
    <xdr:sp macro="" textlink="">
      <xdr:nvSpPr>
        <xdr:cNvPr id="33" name="Freeform: Shape 32">
          <a:extLst>
            <a:ext uri="{FF2B5EF4-FFF2-40B4-BE49-F238E27FC236}">
              <a16:creationId xmlns:a16="http://schemas.microsoft.com/office/drawing/2014/main" id="{5DD8AD50-EDD1-43EE-9D99-B72A3D151E56}"/>
            </a:ext>
          </a:extLst>
        </xdr:cNvPr>
        <xdr:cNvSpPr/>
      </xdr:nvSpPr>
      <xdr:spPr>
        <a:xfrm>
          <a:off x="205740" y="2872740"/>
          <a:ext cx="1764000" cy="396000"/>
        </a:xfrm>
        <a:custGeom>
          <a:avLst/>
          <a:gdLst>
            <a:gd name="connsiteX0" fmla="*/ 0 w 1513634"/>
            <a:gd name="connsiteY0" fmla="*/ 0 h 365760"/>
            <a:gd name="connsiteX1" fmla="*/ 1452673 w 1513634"/>
            <a:gd name="connsiteY1" fmla="*/ 0 h 365760"/>
            <a:gd name="connsiteX2" fmla="*/ 1513634 w 1513634"/>
            <a:gd name="connsiteY2" fmla="*/ 60961 h 365760"/>
            <a:gd name="connsiteX3" fmla="*/ 1513634 w 1513634"/>
            <a:gd name="connsiteY3" fmla="*/ 304799 h 365760"/>
            <a:gd name="connsiteX4" fmla="*/ 1452673 w 1513634"/>
            <a:gd name="connsiteY4" fmla="*/ 365760 h 365760"/>
            <a:gd name="connsiteX5" fmla="*/ 0 w 1513634"/>
            <a:gd name="connsiteY5" fmla="*/ 365760 h 365760"/>
            <a:gd name="connsiteX6" fmla="*/ 0 w 1513634"/>
            <a:gd name="connsiteY6" fmla="*/ 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13634" h="365760">
              <a:moveTo>
                <a:pt x="0" y="0"/>
              </a:moveTo>
              <a:lnTo>
                <a:pt x="1452673" y="0"/>
              </a:lnTo>
              <a:cubicBezTo>
                <a:pt x="1486341" y="0"/>
                <a:pt x="1513634" y="27293"/>
                <a:pt x="1513634" y="60961"/>
              </a:cubicBezTo>
              <a:lnTo>
                <a:pt x="1513634" y="304799"/>
              </a:lnTo>
              <a:cubicBezTo>
                <a:pt x="1513634" y="338467"/>
                <a:pt x="1486341" y="365760"/>
                <a:pt x="1452673" y="365760"/>
              </a:cubicBezTo>
              <a:lnTo>
                <a:pt x="0" y="365760"/>
              </a:lnTo>
              <a:lnTo>
                <a:pt x="0" y="0"/>
              </a:lnTo>
              <a:close/>
            </a:path>
          </a:pathLst>
        </a:custGeom>
        <a:gradFill>
          <a:gsLst>
            <a:gs pos="10000">
              <a:srgbClr val="423469">
                <a:alpha val="68000"/>
              </a:srgbClr>
            </a:gs>
            <a:gs pos="100000">
              <a:srgbClr val="6D40C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xdr:col>
      <xdr:colOff>23275</xdr:colOff>
      <xdr:row>7</xdr:row>
      <xdr:rowOff>12360</xdr:rowOff>
    </xdr:from>
    <xdr:to>
      <xdr:col>3</xdr:col>
      <xdr:colOff>114300</xdr:colOff>
      <xdr:row>8</xdr:row>
      <xdr:rowOff>119040</xdr:rowOff>
    </xdr:to>
    <xdr:grpSp>
      <xdr:nvGrpSpPr>
        <xdr:cNvPr id="34" name="Group 33">
          <a:hlinkClick xmlns:r="http://schemas.openxmlformats.org/officeDocument/2006/relationships" r:id="rId4"/>
          <a:extLst>
            <a:ext uri="{FF2B5EF4-FFF2-40B4-BE49-F238E27FC236}">
              <a16:creationId xmlns:a16="http://schemas.microsoft.com/office/drawing/2014/main" id="{AF283314-ADF3-4661-9B3D-6DEBB7DCF95A}"/>
            </a:ext>
          </a:extLst>
        </xdr:cNvPr>
        <xdr:cNvGrpSpPr/>
      </xdr:nvGrpSpPr>
      <xdr:grpSpPr>
        <a:xfrm>
          <a:off x="615942" y="1314110"/>
          <a:ext cx="1276358" cy="286597"/>
          <a:chOff x="632875" y="1292520"/>
          <a:chExt cx="1310225" cy="289560"/>
        </a:xfrm>
      </xdr:grpSpPr>
      <xdr:grpSp>
        <xdr:nvGrpSpPr>
          <xdr:cNvPr id="35" name="Group 34">
            <a:extLst>
              <a:ext uri="{FF2B5EF4-FFF2-40B4-BE49-F238E27FC236}">
                <a16:creationId xmlns:a16="http://schemas.microsoft.com/office/drawing/2014/main" id="{323E6EB6-FE95-E92D-CF77-20B9F4C2D696}"/>
              </a:ext>
            </a:extLst>
          </xdr:cNvPr>
          <xdr:cNvGrpSpPr/>
        </xdr:nvGrpSpPr>
        <xdr:grpSpPr>
          <a:xfrm>
            <a:off x="632875" y="1365300"/>
            <a:ext cx="144000" cy="144000"/>
            <a:chOff x="2444621" y="737119"/>
            <a:chExt cx="4413380" cy="4413380"/>
          </a:xfrm>
        </xdr:grpSpPr>
        <xdr:sp macro="" textlink="">
          <xdr:nvSpPr>
            <xdr:cNvPr id="37" name="Rectangle: Rounded Corners 36">
              <a:extLst>
                <a:ext uri="{FF2B5EF4-FFF2-40B4-BE49-F238E27FC236}">
                  <a16:creationId xmlns:a16="http://schemas.microsoft.com/office/drawing/2014/main" id="{4B40E18D-6A43-5D2D-E965-D3A3EB9A59CA}"/>
                </a:ext>
              </a:extLst>
            </xdr:cNvPr>
            <xdr:cNvSpPr/>
          </xdr:nvSpPr>
          <xdr:spPr>
            <a:xfrm>
              <a:off x="2444621" y="737119"/>
              <a:ext cx="4413380" cy="441338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37">
              <a:extLst>
                <a:ext uri="{FF2B5EF4-FFF2-40B4-BE49-F238E27FC236}">
                  <a16:creationId xmlns:a16="http://schemas.microsoft.com/office/drawing/2014/main" id="{A28DB01A-6E30-2A02-2805-C71EA46BB093}"/>
                </a:ext>
              </a:extLst>
            </xdr:cNvPr>
            <xdr:cNvSpPr/>
          </xdr:nvSpPr>
          <xdr:spPr>
            <a:xfrm>
              <a:off x="3172408" y="2649894"/>
              <a:ext cx="774441" cy="20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Rectangle 38">
              <a:extLst>
                <a:ext uri="{FF2B5EF4-FFF2-40B4-BE49-F238E27FC236}">
                  <a16:creationId xmlns:a16="http://schemas.microsoft.com/office/drawing/2014/main" id="{D7F86E19-DE42-5A8B-D9D6-5B8502C81FCA}"/>
                </a:ext>
              </a:extLst>
            </xdr:cNvPr>
            <xdr:cNvSpPr/>
          </xdr:nvSpPr>
          <xdr:spPr>
            <a:xfrm>
              <a:off x="4264090" y="1306286"/>
              <a:ext cx="774441" cy="33956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Rectangle 39">
              <a:extLst>
                <a:ext uri="{FF2B5EF4-FFF2-40B4-BE49-F238E27FC236}">
                  <a16:creationId xmlns:a16="http://schemas.microsoft.com/office/drawing/2014/main" id="{B9122613-05F5-965C-6FD0-79997ABAA67F}"/>
                </a:ext>
              </a:extLst>
            </xdr:cNvPr>
            <xdr:cNvSpPr/>
          </xdr:nvSpPr>
          <xdr:spPr>
            <a:xfrm>
              <a:off x="5379097" y="3312366"/>
              <a:ext cx="774441" cy="1389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36" name="TextBox 35">
            <a:extLst>
              <a:ext uri="{FF2B5EF4-FFF2-40B4-BE49-F238E27FC236}">
                <a16:creationId xmlns:a16="http://schemas.microsoft.com/office/drawing/2014/main" id="{1311945E-14F6-2443-04CC-6170565A8338}"/>
              </a:ext>
            </a:extLst>
          </xdr:cNvPr>
          <xdr:cNvSpPr txBox="1"/>
        </xdr:nvSpPr>
        <xdr:spPr>
          <a:xfrm>
            <a:off x="861060" y="1292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rPr>
              <a:t>Dashboard</a:t>
            </a:r>
            <a:endParaRPr lang="ru-RU" sz="1200">
              <a:solidFill>
                <a:schemeClr val="bg1"/>
              </a:solidFill>
              <a:latin typeface="+mn-lt"/>
            </a:endParaRPr>
          </a:p>
        </xdr:txBody>
      </xdr:sp>
    </xdr:grpSp>
    <xdr:clientData/>
  </xdr:twoCellAnchor>
  <xdr:twoCellAnchor>
    <xdr:from>
      <xdr:col>1</xdr:col>
      <xdr:colOff>251460</xdr:colOff>
      <xdr:row>15</xdr:row>
      <xdr:rowOff>166665</xdr:rowOff>
    </xdr:from>
    <xdr:to>
      <xdr:col>3</xdr:col>
      <xdr:colOff>114300</xdr:colOff>
      <xdr:row>17</xdr:row>
      <xdr:rowOff>90465</xdr:rowOff>
    </xdr:to>
    <xdr:sp macro="" textlink="">
      <xdr:nvSpPr>
        <xdr:cNvPr id="42" name="TextBox 41">
          <a:extLst>
            <a:ext uri="{FF2B5EF4-FFF2-40B4-BE49-F238E27FC236}">
              <a16:creationId xmlns:a16="http://schemas.microsoft.com/office/drawing/2014/main" id="{C9F9F191-4E5E-47D5-853C-B6438D29D4CD}"/>
            </a:ext>
          </a:extLst>
        </xdr:cNvPr>
        <xdr:cNvSpPr txBox="1"/>
      </xdr:nvSpPr>
      <xdr:spPr>
        <a:xfrm>
          <a:off x="861060" y="290986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Today</a:t>
          </a:r>
          <a:endParaRPr lang="ru-RU" sz="1200">
            <a:solidFill>
              <a:schemeClr val="bg1"/>
            </a:solidFill>
            <a:latin typeface="+mn-lt"/>
          </a:endParaRPr>
        </a:p>
      </xdr:txBody>
    </xdr:sp>
    <xdr:clientData/>
  </xdr:twoCellAnchor>
  <xdr:twoCellAnchor>
    <xdr:from>
      <xdr:col>0</xdr:col>
      <xdr:colOff>596875</xdr:colOff>
      <xdr:row>10</xdr:row>
      <xdr:rowOff>2835</xdr:rowOff>
    </xdr:from>
    <xdr:to>
      <xdr:col>3</xdr:col>
      <xdr:colOff>114300</xdr:colOff>
      <xdr:row>11</xdr:row>
      <xdr:rowOff>109515</xdr:rowOff>
    </xdr:to>
    <xdr:grpSp>
      <xdr:nvGrpSpPr>
        <xdr:cNvPr id="2" name="Group 1">
          <a:hlinkClick xmlns:r="http://schemas.openxmlformats.org/officeDocument/2006/relationships" r:id="rId5"/>
          <a:extLst>
            <a:ext uri="{FF2B5EF4-FFF2-40B4-BE49-F238E27FC236}">
              <a16:creationId xmlns:a16="http://schemas.microsoft.com/office/drawing/2014/main" id="{A47AF0BE-2825-4C7A-33F5-CFA2BE5F92BE}"/>
            </a:ext>
          </a:extLst>
        </xdr:cNvPr>
        <xdr:cNvGrpSpPr/>
      </xdr:nvGrpSpPr>
      <xdr:grpSpPr>
        <a:xfrm>
          <a:off x="587350" y="1844335"/>
          <a:ext cx="1304950" cy="286597"/>
          <a:chOff x="596875" y="1831635"/>
          <a:chExt cx="1346225" cy="289560"/>
        </a:xfrm>
      </xdr:grpSpPr>
      <xdr:sp macro="" textlink="">
        <xdr:nvSpPr>
          <xdr:cNvPr id="41" name="TextBox 40">
            <a:extLst>
              <a:ext uri="{FF2B5EF4-FFF2-40B4-BE49-F238E27FC236}">
                <a16:creationId xmlns:a16="http://schemas.microsoft.com/office/drawing/2014/main" id="{F95FF7A7-E94C-4A66-BDF4-CFE49252EADA}"/>
              </a:ext>
            </a:extLst>
          </xdr:cNvPr>
          <xdr:cNvSpPr txBox="1"/>
        </xdr:nvSpPr>
        <xdr:spPr>
          <a:xfrm>
            <a:off x="861060" y="183163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Personnel</a:t>
            </a:r>
            <a:endParaRPr lang="ru-RU" sz="1200">
              <a:solidFill>
                <a:schemeClr val="bg1"/>
              </a:solidFill>
              <a:latin typeface="+mn-lt"/>
            </a:endParaRPr>
          </a:p>
        </xdr:txBody>
      </xdr:sp>
      <xdr:pic>
        <xdr:nvPicPr>
          <xdr:cNvPr id="43" name="Graphic 42" descr="User with solid fill">
            <a:extLst>
              <a:ext uri="{FF2B5EF4-FFF2-40B4-BE49-F238E27FC236}">
                <a16:creationId xmlns:a16="http://schemas.microsoft.com/office/drawing/2014/main" id="{79E850D7-ABF8-47B9-9015-77C47BA1FB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96875" y="1879710"/>
            <a:ext cx="216000" cy="216000"/>
          </a:xfrm>
          <a:prstGeom prst="rect">
            <a:avLst/>
          </a:prstGeom>
        </xdr:spPr>
      </xdr:pic>
    </xdr:grpSp>
    <xdr:clientData/>
  </xdr:twoCellAnchor>
  <xdr:twoCellAnchor>
    <xdr:from>
      <xdr:col>0</xdr:col>
      <xdr:colOff>578875</xdr:colOff>
      <xdr:row>12</xdr:row>
      <xdr:rowOff>176190</xdr:rowOff>
    </xdr:from>
    <xdr:to>
      <xdr:col>3</xdr:col>
      <xdr:colOff>114300</xdr:colOff>
      <xdr:row>14</xdr:row>
      <xdr:rowOff>99990</xdr:rowOff>
    </xdr:to>
    <xdr:grpSp>
      <xdr:nvGrpSpPr>
        <xdr:cNvPr id="44" name="Group 43">
          <a:hlinkClick xmlns:r="http://schemas.openxmlformats.org/officeDocument/2006/relationships" r:id="rId8"/>
          <a:extLst>
            <a:ext uri="{FF2B5EF4-FFF2-40B4-BE49-F238E27FC236}">
              <a16:creationId xmlns:a16="http://schemas.microsoft.com/office/drawing/2014/main" id="{EBD11623-003F-41C3-81AC-6A5F43A30A81}"/>
            </a:ext>
          </a:extLst>
        </xdr:cNvPr>
        <xdr:cNvGrpSpPr/>
      </xdr:nvGrpSpPr>
      <xdr:grpSpPr>
        <a:xfrm>
          <a:off x="578875" y="2377523"/>
          <a:ext cx="1313425" cy="283634"/>
          <a:chOff x="578875" y="2370750"/>
          <a:chExt cx="1364225" cy="289560"/>
        </a:xfrm>
      </xdr:grpSpPr>
      <xdr:sp macro="" textlink="">
        <xdr:nvSpPr>
          <xdr:cNvPr id="45" name="TextBox 44">
            <a:extLst>
              <a:ext uri="{FF2B5EF4-FFF2-40B4-BE49-F238E27FC236}">
                <a16:creationId xmlns:a16="http://schemas.microsoft.com/office/drawing/2014/main" id="{E398BDF9-EDAC-27F7-8CC1-38B597F26963}"/>
              </a:ext>
            </a:extLst>
          </xdr:cNvPr>
          <xdr:cNvSpPr txBox="1"/>
        </xdr:nvSpPr>
        <xdr:spPr>
          <a:xfrm>
            <a:off x="861060" y="237075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Settings</a:t>
            </a:r>
            <a:endParaRPr lang="ru-RU" sz="1200">
              <a:solidFill>
                <a:schemeClr val="bg1"/>
              </a:solidFill>
              <a:latin typeface="+mn-lt"/>
            </a:endParaRPr>
          </a:p>
        </xdr:txBody>
      </xdr:sp>
      <xdr:pic>
        <xdr:nvPicPr>
          <xdr:cNvPr id="46" name="Graphic 45" descr="Single gear with solid fill">
            <a:extLst>
              <a:ext uri="{FF2B5EF4-FFF2-40B4-BE49-F238E27FC236}">
                <a16:creationId xmlns:a16="http://schemas.microsoft.com/office/drawing/2014/main" id="{FB8D3B0A-143F-F53E-E34A-16DA8BD1C69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78875" y="2405160"/>
            <a:ext cx="252000" cy="252000"/>
          </a:xfrm>
          <a:prstGeom prst="rect">
            <a:avLst/>
          </a:prstGeom>
        </xdr:spPr>
      </xdr:pic>
    </xdr:grpSp>
    <xdr:clientData/>
  </xdr:twoCellAnchor>
  <xdr:twoCellAnchor editAs="oneCell">
    <xdr:from>
      <xdr:col>0</xdr:col>
      <xdr:colOff>578875</xdr:colOff>
      <xdr:row>16</xdr:row>
      <xdr:rowOff>17670</xdr:rowOff>
    </xdr:from>
    <xdr:to>
      <xdr:col>1</xdr:col>
      <xdr:colOff>221275</xdr:colOff>
      <xdr:row>17</xdr:row>
      <xdr:rowOff>86790</xdr:rowOff>
    </xdr:to>
    <xdr:pic>
      <xdr:nvPicPr>
        <xdr:cNvPr id="47" name="Graphic 46" descr="Daily calendar with solid fill">
          <a:extLst>
            <a:ext uri="{FF2B5EF4-FFF2-40B4-BE49-F238E27FC236}">
              <a16:creationId xmlns:a16="http://schemas.microsoft.com/office/drawing/2014/main" id="{9427D34F-96C5-4D8E-95A7-CD95EC7486F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78875" y="2943750"/>
          <a:ext cx="252000" cy="252000"/>
        </a:xfrm>
        <a:prstGeom prst="rect">
          <a:avLst/>
        </a:prstGeom>
      </xdr:spPr>
    </xdr:pic>
    <xdr:clientData/>
  </xdr:twoCellAnchor>
  <xdr:twoCellAnchor>
    <xdr:from>
      <xdr:col>19</xdr:col>
      <xdr:colOff>224790</xdr:colOff>
      <xdr:row>7</xdr:row>
      <xdr:rowOff>114300</xdr:rowOff>
    </xdr:from>
    <xdr:to>
      <xdr:col>22</xdr:col>
      <xdr:colOff>57150</xdr:colOff>
      <xdr:row>10</xdr:row>
      <xdr:rowOff>53340</xdr:rowOff>
    </xdr:to>
    <xdr:sp macro="" textlink="">
      <xdr:nvSpPr>
        <xdr:cNvPr id="80" name="Rectangle: Rounded Corners 79">
          <a:hlinkClick xmlns:r="http://schemas.openxmlformats.org/officeDocument/2006/relationships" r:id="rId13"/>
          <a:extLst>
            <a:ext uri="{FF2B5EF4-FFF2-40B4-BE49-F238E27FC236}">
              <a16:creationId xmlns:a16="http://schemas.microsoft.com/office/drawing/2014/main" id="{38E38ED7-5918-5948-8103-4A8CFCE6167F}"/>
            </a:ext>
          </a:extLst>
        </xdr:cNvPr>
        <xdr:cNvSpPr/>
      </xdr:nvSpPr>
      <xdr:spPr>
        <a:xfrm>
          <a:off x="11807190" y="1394460"/>
          <a:ext cx="1783080" cy="487680"/>
        </a:xfrm>
        <a:prstGeom prst="roundRect">
          <a:avLst>
            <a:gd name="adj" fmla="val 9413"/>
          </a:avLst>
        </a:prstGeom>
        <a:gradFill>
          <a:gsLst>
            <a:gs pos="100000">
              <a:srgbClr val="1287FF"/>
            </a:gs>
            <a:gs pos="0">
              <a:srgbClr val="236CAF"/>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400" b="0" i="0" u="none" strike="noStrike">
              <a:solidFill>
                <a:schemeClr val="lt1"/>
              </a:solidFill>
              <a:effectLst/>
              <a:latin typeface="+mn-lt"/>
              <a:ea typeface="+mn-ea"/>
              <a:cs typeface="+mn-cs"/>
            </a:rPr>
            <a:t>ALL ORDERS</a:t>
          </a:r>
          <a:endParaRPr lang="ru-RU" sz="1400" b="0" kern="1200">
            <a:solidFill>
              <a:schemeClr val="bg1"/>
            </a:solidFill>
            <a:latin typeface="+mn-lt"/>
            <a:ea typeface="+mn-ea"/>
            <a:cs typeface="+mn-cs"/>
          </a:endParaRPr>
        </a:p>
      </xdr:txBody>
    </xdr:sp>
    <xdr:clientData/>
  </xdr:twoCellAnchor>
  <xdr:twoCellAnchor>
    <xdr:from>
      <xdr:col>18</xdr:col>
      <xdr:colOff>190500</xdr:colOff>
      <xdr:row>0</xdr:row>
      <xdr:rowOff>121920</xdr:rowOff>
    </xdr:from>
    <xdr:to>
      <xdr:col>23</xdr:col>
      <xdr:colOff>152400</xdr:colOff>
      <xdr:row>7</xdr:row>
      <xdr:rowOff>151348</xdr:rowOff>
    </xdr:to>
    <xdr:sp macro="" textlink="">
      <xdr:nvSpPr>
        <xdr:cNvPr id="51" name="Rectangle: Rounded Corners 50">
          <a:extLst>
            <a:ext uri="{FF2B5EF4-FFF2-40B4-BE49-F238E27FC236}">
              <a16:creationId xmlns:a16="http://schemas.microsoft.com/office/drawing/2014/main" id="{3F1AE733-EDD7-4C0E-BB50-4753A428441F}"/>
            </a:ext>
          </a:extLst>
        </xdr:cNvPr>
        <xdr:cNvSpPr/>
      </xdr:nvSpPr>
      <xdr:spPr>
        <a:xfrm>
          <a:off x="11163300" y="121920"/>
          <a:ext cx="3131820" cy="1309588"/>
        </a:xfrm>
        <a:prstGeom prst="roundRect">
          <a:avLst>
            <a:gd name="adj" fmla="val 9413"/>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569100</xdr:colOff>
      <xdr:row>29</xdr:row>
      <xdr:rowOff>180000</xdr:rowOff>
    </xdr:from>
    <xdr:to>
      <xdr:col>3</xdr:col>
      <xdr:colOff>114300</xdr:colOff>
      <xdr:row>31</xdr:row>
      <xdr:rowOff>103800</xdr:rowOff>
    </xdr:to>
    <xdr:grpSp>
      <xdr:nvGrpSpPr>
        <xdr:cNvPr id="10" name="Group 9">
          <a:hlinkClick xmlns:r="http://schemas.openxmlformats.org/officeDocument/2006/relationships" r:id="rId14"/>
          <a:extLst>
            <a:ext uri="{FF2B5EF4-FFF2-40B4-BE49-F238E27FC236}">
              <a16:creationId xmlns:a16="http://schemas.microsoft.com/office/drawing/2014/main" id="{DC0D67B8-96D4-F20C-75BD-A9950B1802AE}"/>
            </a:ext>
          </a:extLst>
        </xdr:cNvPr>
        <xdr:cNvGrpSpPr/>
      </xdr:nvGrpSpPr>
      <xdr:grpSpPr>
        <a:xfrm>
          <a:off x="569100" y="5439917"/>
          <a:ext cx="1323200" cy="283633"/>
          <a:chOff x="569100" y="5483520"/>
          <a:chExt cx="1374000" cy="289560"/>
        </a:xfrm>
      </xdr:grpSpPr>
      <xdr:sp macro="" textlink="">
        <xdr:nvSpPr>
          <xdr:cNvPr id="54" name="TextBox 53">
            <a:extLst>
              <a:ext uri="{FF2B5EF4-FFF2-40B4-BE49-F238E27FC236}">
                <a16:creationId xmlns:a16="http://schemas.microsoft.com/office/drawing/2014/main" id="{E72DD05F-3B75-4108-B6CB-927E47098D91}"/>
              </a:ext>
            </a:extLst>
          </xdr:cNvPr>
          <xdr:cNvSpPr txBox="1"/>
        </xdr:nvSpPr>
        <xdr:spPr>
          <a:xfrm>
            <a:off x="861060" y="5483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Help</a:t>
            </a:r>
            <a:endParaRPr lang="ru-RU" sz="1400">
              <a:solidFill>
                <a:schemeClr val="bg1">
                  <a:lumMod val="85000"/>
                </a:schemeClr>
              </a:solidFill>
              <a:latin typeface="+mn-lt"/>
            </a:endParaRPr>
          </a:p>
        </xdr:txBody>
      </xdr:sp>
      <xdr:pic>
        <xdr:nvPicPr>
          <xdr:cNvPr id="55" name="Graphic 54" descr="Help outline">
            <a:extLst>
              <a:ext uri="{FF2B5EF4-FFF2-40B4-BE49-F238E27FC236}">
                <a16:creationId xmlns:a16="http://schemas.microsoft.com/office/drawing/2014/main" id="{D5706B7E-C7D8-479D-86D2-03B5C1CD229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69100" y="5501640"/>
            <a:ext cx="216000" cy="216000"/>
          </a:xfrm>
          <a:prstGeom prst="rect">
            <a:avLst/>
          </a:prstGeom>
        </xdr:spPr>
      </xdr:pic>
    </xdr:grpSp>
    <xdr:clientData/>
  </xdr:twoCellAnchor>
  <xdr:twoCellAnchor>
    <xdr:from>
      <xdr:col>0</xdr:col>
      <xdr:colOff>569100</xdr:colOff>
      <xdr:row>31</xdr:row>
      <xdr:rowOff>180000</xdr:rowOff>
    </xdr:from>
    <xdr:to>
      <xdr:col>3</xdr:col>
      <xdr:colOff>114300</xdr:colOff>
      <xdr:row>33</xdr:row>
      <xdr:rowOff>103800</xdr:rowOff>
    </xdr:to>
    <xdr:grpSp>
      <xdr:nvGrpSpPr>
        <xdr:cNvPr id="11" name="Group 10">
          <a:hlinkClick xmlns:r="http://schemas.openxmlformats.org/officeDocument/2006/relationships" r:id="rId14"/>
          <a:extLst>
            <a:ext uri="{FF2B5EF4-FFF2-40B4-BE49-F238E27FC236}">
              <a16:creationId xmlns:a16="http://schemas.microsoft.com/office/drawing/2014/main" id="{8F739201-B108-E37B-5658-8AD503B7C407}"/>
            </a:ext>
          </a:extLst>
        </xdr:cNvPr>
        <xdr:cNvGrpSpPr/>
      </xdr:nvGrpSpPr>
      <xdr:grpSpPr>
        <a:xfrm>
          <a:off x="569100" y="5799750"/>
          <a:ext cx="1323200" cy="283633"/>
          <a:chOff x="569100" y="5849280"/>
          <a:chExt cx="1374000" cy="289560"/>
        </a:xfrm>
      </xdr:grpSpPr>
      <xdr:sp macro="" textlink="">
        <xdr:nvSpPr>
          <xdr:cNvPr id="53" name="TextBox 52">
            <a:extLst>
              <a:ext uri="{FF2B5EF4-FFF2-40B4-BE49-F238E27FC236}">
                <a16:creationId xmlns:a16="http://schemas.microsoft.com/office/drawing/2014/main" id="{D28CF672-8D71-460F-846D-3D56E105B108}"/>
              </a:ext>
            </a:extLst>
          </xdr:cNvPr>
          <xdr:cNvSpPr txBox="1"/>
        </xdr:nvSpPr>
        <xdr:spPr>
          <a:xfrm>
            <a:off x="861060" y="58492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About Project</a:t>
            </a:r>
            <a:endParaRPr lang="ru-RU" sz="1400">
              <a:solidFill>
                <a:schemeClr val="bg1">
                  <a:lumMod val="85000"/>
                </a:schemeClr>
              </a:solidFill>
              <a:latin typeface="+mn-lt"/>
            </a:endParaRPr>
          </a:p>
        </xdr:txBody>
      </xdr:sp>
      <xdr:pic>
        <xdr:nvPicPr>
          <xdr:cNvPr id="56" name="Graphic 55" descr="Information outline">
            <a:extLst>
              <a:ext uri="{FF2B5EF4-FFF2-40B4-BE49-F238E27FC236}">
                <a16:creationId xmlns:a16="http://schemas.microsoft.com/office/drawing/2014/main" id="{27F9844C-D497-4833-BFE1-3A66F9134B6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69100" y="5875020"/>
            <a:ext cx="216000" cy="216000"/>
          </a:xfrm>
          <a:prstGeom prst="rect">
            <a:avLst/>
          </a:prstGeom>
        </xdr:spPr>
      </xdr:pic>
    </xdr:grpSp>
    <xdr:clientData/>
  </xdr:twoCellAnchor>
  <xdr:twoCellAnchor>
    <xdr:from>
      <xdr:col>0</xdr:col>
      <xdr:colOff>578875</xdr:colOff>
      <xdr:row>18</xdr:row>
      <xdr:rowOff>157140</xdr:rowOff>
    </xdr:from>
    <xdr:to>
      <xdr:col>3</xdr:col>
      <xdr:colOff>114300</xdr:colOff>
      <xdr:row>20</xdr:row>
      <xdr:rowOff>80940</xdr:rowOff>
    </xdr:to>
    <xdr:grpSp>
      <xdr:nvGrpSpPr>
        <xdr:cNvPr id="5" name="Group 4">
          <a:hlinkClick xmlns:r="http://schemas.openxmlformats.org/officeDocument/2006/relationships" r:id="rId19"/>
          <a:extLst>
            <a:ext uri="{FF2B5EF4-FFF2-40B4-BE49-F238E27FC236}">
              <a16:creationId xmlns:a16="http://schemas.microsoft.com/office/drawing/2014/main" id="{4298290C-7882-663B-1833-F01FADD79372}"/>
            </a:ext>
          </a:extLst>
        </xdr:cNvPr>
        <xdr:cNvGrpSpPr/>
      </xdr:nvGrpSpPr>
      <xdr:grpSpPr>
        <a:xfrm>
          <a:off x="578875" y="3437973"/>
          <a:ext cx="1313425" cy="283634"/>
          <a:chOff x="578875" y="3448980"/>
          <a:chExt cx="1364225" cy="289560"/>
        </a:xfrm>
      </xdr:grpSpPr>
      <xdr:pic>
        <xdr:nvPicPr>
          <xdr:cNvPr id="57" name="Graphic 56" descr="Database with solid fill">
            <a:extLst>
              <a:ext uri="{FF2B5EF4-FFF2-40B4-BE49-F238E27FC236}">
                <a16:creationId xmlns:a16="http://schemas.microsoft.com/office/drawing/2014/main" id="{37D8826B-7FFD-4187-8EF7-36905BD69FA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578875" y="3474720"/>
            <a:ext cx="252000" cy="252000"/>
          </a:xfrm>
          <a:prstGeom prst="rect">
            <a:avLst/>
          </a:prstGeom>
        </xdr:spPr>
      </xdr:pic>
      <xdr:sp macro="" textlink="">
        <xdr:nvSpPr>
          <xdr:cNvPr id="58" name="TextBox 57">
            <a:extLst>
              <a:ext uri="{FF2B5EF4-FFF2-40B4-BE49-F238E27FC236}">
                <a16:creationId xmlns:a16="http://schemas.microsoft.com/office/drawing/2014/main" id="{8A4539A4-0350-4F46-B354-49C8498B1AF4}"/>
              </a:ext>
            </a:extLst>
          </xdr:cNvPr>
          <xdr:cNvSpPr txBox="1"/>
        </xdr:nvSpPr>
        <xdr:spPr>
          <a:xfrm>
            <a:off x="861060" y="34489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Data</a:t>
            </a:r>
            <a:endParaRPr lang="ru-RU" sz="1200">
              <a:solidFill>
                <a:schemeClr val="bg1"/>
              </a:solidFill>
              <a:latin typeface="+mn-lt"/>
            </a:endParaRPr>
          </a:p>
        </xdr:txBody>
      </xdr:sp>
    </xdr:grpSp>
    <xdr:clientData/>
  </xdr:twoCellAnchor>
  <xdr:twoCellAnchor>
    <xdr:from>
      <xdr:col>18</xdr:col>
      <xdr:colOff>190500</xdr:colOff>
      <xdr:row>0</xdr:row>
      <xdr:rowOff>121920</xdr:rowOff>
    </xdr:from>
    <xdr:to>
      <xdr:col>23</xdr:col>
      <xdr:colOff>152400</xdr:colOff>
      <xdr:row>7</xdr:row>
      <xdr:rowOff>151348</xdr:rowOff>
    </xdr:to>
    <xdr:grpSp>
      <xdr:nvGrpSpPr>
        <xdr:cNvPr id="106" name="Group 105">
          <a:hlinkClick xmlns:r="http://schemas.openxmlformats.org/officeDocument/2006/relationships" r:id="rId22"/>
          <a:extLst>
            <a:ext uri="{FF2B5EF4-FFF2-40B4-BE49-F238E27FC236}">
              <a16:creationId xmlns:a16="http://schemas.microsoft.com/office/drawing/2014/main" id="{5CA3A883-F685-3256-CCB8-97FA5B80E957}"/>
            </a:ext>
          </a:extLst>
        </xdr:cNvPr>
        <xdr:cNvGrpSpPr/>
      </xdr:nvGrpSpPr>
      <xdr:grpSpPr>
        <a:xfrm>
          <a:off x="10858500" y="121920"/>
          <a:ext cx="3052233" cy="1331178"/>
          <a:chOff x="11163300" y="121920"/>
          <a:chExt cx="3131820" cy="1309588"/>
        </a:xfrm>
      </xdr:grpSpPr>
      <xdr:sp macro="" textlink="">
        <xdr:nvSpPr>
          <xdr:cNvPr id="52" name="Rectangle: Rounded Corners 51">
            <a:extLst>
              <a:ext uri="{FF2B5EF4-FFF2-40B4-BE49-F238E27FC236}">
                <a16:creationId xmlns:a16="http://schemas.microsoft.com/office/drawing/2014/main" id="{1F1CBF46-56F1-4EA9-989F-943A5382F6AE}"/>
              </a:ext>
            </a:extLst>
          </xdr:cNvPr>
          <xdr:cNvSpPr/>
        </xdr:nvSpPr>
        <xdr:spPr>
          <a:xfrm>
            <a:off x="11163300" y="121920"/>
            <a:ext cx="3131820" cy="1309588"/>
          </a:xfrm>
          <a:prstGeom prst="roundRect">
            <a:avLst>
              <a:gd name="adj" fmla="val 9413"/>
            </a:avLst>
          </a:prstGeom>
          <a:gradFill flip="none" rotWithShape="1">
            <a:gsLst>
              <a:gs pos="11000">
                <a:srgbClr val="FF5F00"/>
              </a:gs>
              <a:gs pos="100000">
                <a:srgbClr val="FF9A20"/>
              </a:gs>
            </a:gsLst>
            <a:path path="circle">
              <a:fillToRect l="100000" t="100000"/>
            </a:path>
            <a:tileRect r="-100000" b="-100000"/>
          </a:gra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800" b="1">
                <a:solidFill>
                  <a:schemeClr val="lt1"/>
                </a:solidFill>
                <a:effectLst/>
                <a:latin typeface="+mn-lt"/>
                <a:ea typeface="+mn-ea"/>
                <a:cs typeface="+mn-cs"/>
              </a:rPr>
              <a:t>AMOUNT OF ORDERS</a:t>
            </a:r>
            <a:endParaRPr lang="ru-RU" sz="1800">
              <a:effectLst/>
            </a:endParaRPr>
          </a:p>
          <a:p>
            <a:pPr marL="0" indent="0" algn="l" defTabSz="914400" rtl="0" eaLnBrk="1" latinLnBrk="0" hangingPunct="1"/>
            <a:endParaRPr lang="ru-RU" sz="3200" b="0" kern="1200">
              <a:solidFill>
                <a:schemeClr val="lt1"/>
              </a:solidFill>
              <a:latin typeface="+mn-lt"/>
              <a:ea typeface="+mn-ea"/>
              <a:cs typeface="+mn-cs"/>
            </a:endParaRPr>
          </a:p>
        </xdr:txBody>
      </xdr:sp>
      <xdr:sp macro="" textlink="Processing!V52">
        <xdr:nvSpPr>
          <xdr:cNvPr id="63" name="TextBox 62">
            <a:extLst>
              <a:ext uri="{FF2B5EF4-FFF2-40B4-BE49-F238E27FC236}">
                <a16:creationId xmlns:a16="http://schemas.microsoft.com/office/drawing/2014/main" id="{C02DA123-8FF7-4326-B35B-979D654ED723}"/>
              </a:ext>
            </a:extLst>
          </xdr:cNvPr>
          <xdr:cNvSpPr txBox="1"/>
        </xdr:nvSpPr>
        <xdr:spPr>
          <a:xfrm>
            <a:off x="11407140" y="559168"/>
            <a:ext cx="2583180" cy="664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2000"/>
              </a:lnSpc>
            </a:pPr>
            <a:fld id="{DE6855EF-4635-46D1-8D3B-0F5EC1C5D0C6}" type="TxLink">
              <a:rPr lang="en-US" sz="2800" b="0" i="0" u="none" strike="noStrike">
                <a:solidFill>
                  <a:schemeClr val="bg1"/>
                </a:solidFill>
                <a:latin typeface="Roboto Light" panose="02000000000000000000" pitchFamily="2" charset="0"/>
                <a:ea typeface="Roboto Light" panose="02000000000000000000" pitchFamily="2" charset="0"/>
                <a:cs typeface="Roboto Light" panose="02000000000000000000" pitchFamily="2" charset="0"/>
              </a:rPr>
              <a:pPr algn="ctr">
                <a:lnSpc>
                  <a:spcPts val="2000"/>
                </a:lnSpc>
              </a:pPr>
              <a:t> $4,100 </a:t>
            </a:fld>
            <a:endParaRPr lang="ru-RU" sz="2800" b="1">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grpSp>
    <xdr:clientData/>
  </xdr:twoCellAnchor>
  <xdr:twoCellAnchor>
    <xdr:from>
      <xdr:col>8</xdr:col>
      <xdr:colOff>205740</xdr:colOff>
      <xdr:row>3</xdr:row>
      <xdr:rowOff>53340</xdr:rowOff>
    </xdr:from>
    <xdr:to>
      <xdr:col>13</xdr:col>
      <xdr:colOff>361740</xdr:colOff>
      <xdr:row>11</xdr:row>
      <xdr:rowOff>106680</xdr:rowOff>
    </xdr:to>
    <xdr:sp macro="" textlink="">
      <xdr:nvSpPr>
        <xdr:cNvPr id="67" name="Rectangle: Rounded Corners 66">
          <a:extLst>
            <a:ext uri="{FF2B5EF4-FFF2-40B4-BE49-F238E27FC236}">
              <a16:creationId xmlns:a16="http://schemas.microsoft.com/office/drawing/2014/main" id="{7D3DFFCC-723C-4419-B139-268518869BC8}"/>
            </a:ext>
          </a:extLst>
        </xdr:cNvPr>
        <xdr:cNvSpPr/>
      </xdr:nvSpPr>
      <xdr:spPr>
        <a:xfrm>
          <a:off x="5082540" y="601980"/>
          <a:ext cx="3204000" cy="1516380"/>
        </a:xfrm>
        <a:prstGeom prst="roundRect">
          <a:avLst>
            <a:gd name="adj" fmla="val 9269"/>
          </a:avLst>
        </a:prstGeom>
        <a:solidFill>
          <a:srgbClr val="091A2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9</xdr:col>
      <xdr:colOff>1</xdr:colOff>
      <xdr:row>4</xdr:row>
      <xdr:rowOff>68580</xdr:rowOff>
    </xdr:from>
    <xdr:to>
      <xdr:col>10</xdr:col>
      <xdr:colOff>110401</xdr:colOff>
      <xdr:row>8</xdr:row>
      <xdr:rowOff>165060</xdr:rowOff>
    </xdr:to>
    <xdr:sp macro="" textlink="">
      <xdr:nvSpPr>
        <xdr:cNvPr id="68" name="Rectangle: Rounded Corners 67">
          <a:extLst>
            <a:ext uri="{FF2B5EF4-FFF2-40B4-BE49-F238E27FC236}">
              <a16:creationId xmlns:a16="http://schemas.microsoft.com/office/drawing/2014/main" id="{9B70AE28-948F-4CD7-A7A7-9530EE1D7E85}"/>
            </a:ext>
          </a:extLst>
        </xdr:cNvPr>
        <xdr:cNvSpPr/>
      </xdr:nvSpPr>
      <xdr:spPr>
        <a:xfrm>
          <a:off x="5486401" y="80010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800" kern="1200">
              <a:gradFill>
                <a:gsLst>
                  <a:gs pos="100000">
                    <a:srgbClr val="1287FF"/>
                  </a:gs>
                  <a:gs pos="0">
                    <a:schemeClr val="accent1">
                      <a:lumMod val="30000"/>
                      <a:lumOff val="70000"/>
                    </a:schemeClr>
                  </a:gs>
                </a:gsLst>
                <a:lin ang="5400000" scaled="1"/>
              </a:gradFill>
              <a:latin typeface="+mn-lt"/>
              <a:ea typeface="+mn-ea"/>
              <a:cs typeface="+mn-cs"/>
            </a:rPr>
            <a:t>1</a:t>
          </a:r>
          <a:endParaRPr lang="ru-RU" sz="1800" kern="1200">
            <a:gradFill>
              <a:gsLst>
                <a:gs pos="100000">
                  <a:srgbClr val="1287FF"/>
                </a:gs>
                <a:gs pos="0">
                  <a:schemeClr val="accent1">
                    <a:lumMod val="30000"/>
                    <a:lumOff val="70000"/>
                  </a:schemeClr>
                </a:gs>
              </a:gsLst>
              <a:lin ang="5400000" scaled="1"/>
            </a:gradFill>
            <a:latin typeface="+mn-lt"/>
            <a:ea typeface="+mn-ea"/>
            <a:cs typeface="+mn-cs"/>
          </a:endParaRPr>
        </a:p>
      </xdr:txBody>
    </xdr:sp>
    <xdr:clientData/>
  </xdr:twoCellAnchor>
  <xdr:twoCellAnchor>
    <xdr:from>
      <xdr:col>10</xdr:col>
      <xdr:colOff>240031</xdr:colOff>
      <xdr:row>4</xdr:row>
      <xdr:rowOff>68580</xdr:rowOff>
    </xdr:from>
    <xdr:to>
      <xdr:col>11</xdr:col>
      <xdr:colOff>350431</xdr:colOff>
      <xdr:row>8</xdr:row>
      <xdr:rowOff>165060</xdr:rowOff>
    </xdr:to>
    <xdr:sp macro="" textlink="">
      <xdr:nvSpPr>
        <xdr:cNvPr id="69" name="Rectangle: Rounded Corners 68">
          <a:extLst>
            <a:ext uri="{FF2B5EF4-FFF2-40B4-BE49-F238E27FC236}">
              <a16:creationId xmlns:a16="http://schemas.microsoft.com/office/drawing/2014/main" id="{C5C01FFB-CAF7-4BE1-807A-B43230974C16}"/>
            </a:ext>
          </a:extLst>
        </xdr:cNvPr>
        <xdr:cNvSpPr/>
      </xdr:nvSpPr>
      <xdr:spPr>
        <a:xfrm>
          <a:off x="6336031" y="80010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800" kern="1200">
              <a:gradFill>
                <a:gsLst>
                  <a:gs pos="0">
                    <a:srgbClr val="FF0167"/>
                  </a:gs>
                  <a:gs pos="100000">
                    <a:srgbClr val="FF3A89"/>
                  </a:gs>
                </a:gsLst>
                <a:lin ang="5400000" scaled="1"/>
              </a:gradFill>
              <a:latin typeface="+mn-lt"/>
              <a:ea typeface="+mn-ea"/>
              <a:cs typeface="+mn-cs"/>
            </a:rPr>
            <a:t>0</a:t>
          </a:r>
          <a:endParaRPr lang="ru-RU" sz="1800" kern="1200">
            <a:gradFill>
              <a:gsLst>
                <a:gs pos="0">
                  <a:srgbClr val="FF0167"/>
                </a:gs>
                <a:gs pos="100000">
                  <a:srgbClr val="FF3A89"/>
                </a:gs>
              </a:gsLst>
              <a:lin ang="5400000" scaled="1"/>
            </a:gradFill>
            <a:latin typeface="+mn-lt"/>
            <a:ea typeface="+mn-ea"/>
            <a:cs typeface="+mn-cs"/>
          </a:endParaRPr>
        </a:p>
      </xdr:txBody>
    </xdr:sp>
    <xdr:clientData/>
  </xdr:twoCellAnchor>
  <xdr:twoCellAnchor>
    <xdr:from>
      <xdr:col>11</xdr:col>
      <xdr:colOff>480061</xdr:colOff>
      <xdr:row>4</xdr:row>
      <xdr:rowOff>68580</xdr:rowOff>
    </xdr:from>
    <xdr:to>
      <xdr:col>12</xdr:col>
      <xdr:colOff>590461</xdr:colOff>
      <xdr:row>8</xdr:row>
      <xdr:rowOff>165060</xdr:rowOff>
    </xdr:to>
    <xdr:sp macro="" textlink="">
      <xdr:nvSpPr>
        <xdr:cNvPr id="70" name="Rectangle: Rounded Corners 69">
          <a:extLst>
            <a:ext uri="{FF2B5EF4-FFF2-40B4-BE49-F238E27FC236}">
              <a16:creationId xmlns:a16="http://schemas.microsoft.com/office/drawing/2014/main" id="{06102D85-A5F8-41E2-AC6A-B68F5E44AD5F}"/>
            </a:ext>
          </a:extLst>
        </xdr:cNvPr>
        <xdr:cNvSpPr/>
      </xdr:nvSpPr>
      <xdr:spPr>
        <a:xfrm>
          <a:off x="7185661" y="800100"/>
          <a:ext cx="720000" cy="828000"/>
        </a:xfrm>
        <a:prstGeom prst="roundRect">
          <a:avLst>
            <a:gd name="adj" fmla="val 10545"/>
          </a:avLst>
        </a:prstGeom>
        <a:solidFill>
          <a:srgbClr val="0F243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pl-PL" sz="1800" kern="1200">
              <a:gradFill>
                <a:gsLst>
                  <a:gs pos="100000">
                    <a:srgbClr val="009A96"/>
                  </a:gs>
                  <a:gs pos="0">
                    <a:srgbClr val="35D7C7"/>
                  </a:gs>
                </a:gsLst>
                <a:lin ang="5400000" scaled="0"/>
              </a:gradFill>
              <a:latin typeface="+mn-lt"/>
              <a:ea typeface="+mn-ea"/>
              <a:cs typeface="+mn-cs"/>
            </a:rPr>
            <a:t>4</a:t>
          </a:r>
          <a:endParaRPr lang="ru-RU" sz="1800" kern="1200">
            <a:gradFill>
              <a:gsLst>
                <a:gs pos="100000">
                  <a:srgbClr val="009A96"/>
                </a:gs>
                <a:gs pos="0">
                  <a:srgbClr val="35D7C7"/>
                </a:gs>
              </a:gsLst>
              <a:lin ang="5400000" scaled="0"/>
            </a:gradFill>
            <a:latin typeface="+mn-lt"/>
            <a:ea typeface="+mn-ea"/>
            <a:cs typeface="+mn-cs"/>
          </a:endParaRPr>
        </a:p>
      </xdr:txBody>
    </xdr:sp>
    <xdr:clientData/>
  </xdr:twoCellAnchor>
  <xdr:twoCellAnchor>
    <xdr:from>
      <xdr:col>8</xdr:col>
      <xdr:colOff>434340</xdr:colOff>
      <xdr:row>9</xdr:row>
      <xdr:rowOff>35220</xdr:rowOff>
    </xdr:from>
    <xdr:to>
      <xdr:col>10</xdr:col>
      <xdr:colOff>297180</xdr:colOff>
      <xdr:row>10</xdr:row>
      <xdr:rowOff>141900</xdr:rowOff>
    </xdr:to>
    <xdr:sp macro="" textlink="">
      <xdr:nvSpPr>
        <xdr:cNvPr id="71" name="TextBox 70">
          <a:extLst>
            <a:ext uri="{FF2B5EF4-FFF2-40B4-BE49-F238E27FC236}">
              <a16:creationId xmlns:a16="http://schemas.microsoft.com/office/drawing/2014/main" id="{E765D236-F514-4713-9ADB-20527509FB58}"/>
            </a:ext>
          </a:extLst>
        </xdr:cNvPr>
        <xdr:cNvSpPr txBox="1"/>
      </xdr:nvSpPr>
      <xdr:spPr>
        <a:xfrm>
          <a:off x="5311140" y="16811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lumMod val="85000"/>
                </a:schemeClr>
              </a:solidFill>
            </a:rPr>
            <a:t>Completed</a:t>
          </a:r>
          <a:endParaRPr lang="ru-RU" sz="1100">
            <a:solidFill>
              <a:schemeClr val="bg1">
                <a:lumMod val="85000"/>
              </a:schemeClr>
            </a:solidFill>
            <a:latin typeface="+mn-lt"/>
          </a:endParaRPr>
        </a:p>
      </xdr:txBody>
    </xdr:sp>
    <xdr:clientData/>
  </xdr:twoCellAnchor>
  <xdr:twoCellAnchor>
    <xdr:from>
      <xdr:col>10</xdr:col>
      <xdr:colOff>68580</xdr:colOff>
      <xdr:row>9</xdr:row>
      <xdr:rowOff>35220</xdr:rowOff>
    </xdr:from>
    <xdr:to>
      <xdr:col>11</xdr:col>
      <xdr:colOff>541020</xdr:colOff>
      <xdr:row>10</xdr:row>
      <xdr:rowOff>141900</xdr:rowOff>
    </xdr:to>
    <xdr:sp macro="" textlink="">
      <xdr:nvSpPr>
        <xdr:cNvPr id="72" name="TextBox 71">
          <a:extLst>
            <a:ext uri="{FF2B5EF4-FFF2-40B4-BE49-F238E27FC236}">
              <a16:creationId xmlns:a16="http://schemas.microsoft.com/office/drawing/2014/main" id="{ABF9FB33-6538-403B-A80C-6C3CE319E656}"/>
            </a:ext>
          </a:extLst>
        </xdr:cNvPr>
        <xdr:cNvSpPr txBox="1"/>
      </xdr:nvSpPr>
      <xdr:spPr>
        <a:xfrm>
          <a:off x="6164580" y="16811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lumMod val="85000"/>
                </a:schemeClr>
              </a:solidFill>
            </a:rPr>
            <a:t>Canceled</a:t>
          </a:r>
          <a:endParaRPr lang="ru-RU" sz="1100">
            <a:solidFill>
              <a:schemeClr val="bg1">
                <a:lumMod val="85000"/>
              </a:schemeClr>
            </a:solidFill>
            <a:latin typeface="+mn-lt"/>
          </a:endParaRPr>
        </a:p>
      </xdr:txBody>
    </xdr:sp>
    <xdr:clientData/>
  </xdr:twoCellAnchor>
  <xdr:twoCellAnchor>
    <xdr:from>
      <xdr:col>11</xdr:col>
      <xdr:colOff>304800</xdr:colOff>
      <xdr:row>9</xdr:row>
      <xdr:rowOff>35220</xdr:rowOff>
    </xdr:from>
    <xdr:to>
      <xdr:col>13</xdr:col>
      <xdr:colOff>167640</xdr:colOff>
      <xdr:row>10</xdr:row>
      <xdr:rowOff>141900</xdr:rowOff>
    </xdr:to>
    <xdr:sp macro="" textlink="">
      <xdr:nvSpPr>
        <xdr:cNvPr id="73" name="TextBox 72">
          <a:extLst>
            <a:ext uri="{FF2B5EF4-FFF2-40B4-BE49-F238E27FC236}">
              <a16:creationId xmlns:a16="http://schemas.microsoft.com/office/drawing/2014/main" id="{2DDB999E-5E0B-4437-9EA6-DC4D4A3DC93F}"/>
            </a:ext>
          </a:extLst>
        </xdr:cNvPr>
        <xdr:cNvSpPr txBox="1"/>
      </xdr:nvSpPr>
      <xdr:spPr>
        <a:xfrm>
          <a:off x="7010400" y="168114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lumMod val="85000"/>
                </a:schemeClr>
              </a:solidFill>
            </a:rPr>
            <a:t>Running</a:t>
          </a:r>
          <a:endParaRPr lang="ru-RU" sz="1100">
            <a:solidFill>
              <a:schemeClr val="bg1">
                <a:lumMod val="85000"/>
              </a:schemeClr>
            </a:solidFill>
            <a:latin typeface="+mn-lt"/>
          </a:endParaRPr>
        </a:p>
      </xdr:txBody>
    </xdr:sp>
    <xdr:clientData/>
  </xdr:twoCellAnchor>
  <xdr:twoCellAnchor>
    <xdr:from>
      <xdr:col>5</xdr:col>
      <xdr:colOff>335280</xdr:colOff>
      <xdr:row>6</xdr:row>
      <xdr:rowOff>57150</xdr:rowOff>
    </xdr:from>
    <xdr:to>
      <xdr:col>7</xdr:col>
      <xdr:colOff>426720</xdr:colOff>
      <xdr:row>7</xdr:row>
      <xdr:rowOff>163830</xdr:rowOff>
    </xdr:to>
    <xdr:sp macro="" textlink="Processing!W4">
      <xdr:nvSpPr>
        <xdr:cNvPr id="75" name="TextBox 74">
          <a:extLst>
            <a:ext uri="{FF2B5EF4-FFF2-40B4-BE49-F238E27FC236}">
              <a16:creationId xmlns:a16="http://schemas.microsoft.com/office/drawing/2014/main" id="{26B32051-94BE-4458-B0C9-C1FFDB96818E}"/>
            </a:ext>
          </a:extLst>
        </xdr:cNvPr>
        <xdr:cNvSpPr txBox="1"/>
      </xdr:nvSpPr>
      <xdr:spPr>
        <a:xfrm>
          <a:off x="3383280" y="1154430"/>
          <a:ext cx="13106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528B5F5-54C0-467C-A24F-2C596426F7FF}" type="TxLink">
            <a:rPr lang="en-US" sz="1600">
              <a:solidFill>
                <a:schemeClr val="bg1"/>
              </a:solidFill>
              <a:latin typeface="Roboto Light" panose="02000000000000000000" pitchFamily="2" charset="0"/>
              <a:ea typeface="Roboto Light" panose="02000000000000000000" pitchFamily="2" charset="0"/>
              <a:cs typeface="Roboto Light" panose="02000000000000000000" pitchFamily="2" charset="0"/>
            </a:rPr>
            <a:pPr marL="0" indent="0" algn="r"/>
            <a:t>Friday</a:t>
          </a:fld>
          <a:endParaRPr lang="ru-RU" sz="16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4</xdr:col>
      <xdr:colOff>190500</xdr:colOff>
      <xdr:row>8</xdr:row>
      <xdr:rowOff>129540</xdr:rowOff>
    </xdr:from>
    <xdr:to>
      <xdr:col>7</xdr:col>
      <xdr:colOff>426720</xdr:colOff>
      <xdr:row>10</xdr:row>
      <xdr:rowOff>53340</xdr:rowOff>
    </xdr:to>
    <xdr:sp macro="" textlink="Processing!W3">
      <xdr:nvSpPr>
        <xdr:cNvPr id="76" name="TextBox 75">
          <a:extLst>
            <a:ext uri="{FF2B5EF4-FFF2-40B4-BE49-F238E27FC236}">
              <a16:creationId xmlns:a16="http://schemas.microsoft.com/office/drawing/2014/main" id="{AA231222-C2B9-642E-0F18-55656B64061F}"/>
            </a:ext>
          </a:extLst>
        </xdr:cNvPr>
        <xdr:cNvSpPr txBox="1"/>
      </xdr:nvSpPr>
      <xdr:spPr>
        <a:xfrm>
          <a:off x="2628900" y="1592580"/>
          <a:ext cx="20650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6AAED46-EB68-4361-9E93-E4C4E8BC14B7}" type="TxLink">
            <a:rPr lang="en-US" sz="1600">
              <a:solidFill>
                <a:schemeClr val="bg1"/>
              </a:solidFill>
              <a:latin typeface="Roboto Light" panose="02000000000000000000" pitchFamily="2" charset="0"/>
              <a:ea typeface="Roboto Light" panose="02000000000000000000" pitchFamily="2" charset="0"/>
              <a:cs typeface="Roboto Light" panose="02000000000000000000" pitchFamily="2" charset="0"/>
            </a:rPr>
            <a:pPr marL="0" indent="0" algn="r"/>
            <a:t>September 18 2026</a:t>
          </a:fld>
          <a:endParaRPr lang="ru-RU" sz="16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editAs="oneCell">
    <xdr:from>
      <xdr:col>4</xdr:col>
      <xdr:colOff>137160</xdr:colOff>
      <xdr:row>6</xdr:row>
      <xdr:rowOff>53340</xdr:rowOff>
    </xdr:from>
    <xdr:to>
      <xdr:col>4</xdr:col>
      <xdr:colOff>569160</xdr:colOff>
      <xdr:row>8</xdr:row>
      <xdr:rowOff>119580</xdr:rowOff>
    </xdr:to>
    <xdr:pic>
      <xdr:nvPicPr>
        <xdr:cNvPr id="77" name="Graphic 76" descr="Daily calendar with solid fill">
          <a:extLst>
            <a:ext uri="{FF2B5EF4-FFF2-40B4-BE49-F238E27FC236}">
              <a16:creationId xmlns:a16="http://schemas.microsoft.com/office/drawing/2014/main" id="{A82F8501-C60E-4905-853C-43A4543CDCF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2575560" y="1150620"/>
          <a:ext cx="432000" cy="432000"/>
        </a:xfrm>
        <a:prstGeom prst="rect">
          <a:avLst/>
        </a:prstGeom>
      </xdr:spPr>
    </xdr:pic>
    <xdr:clientData/>
  </xdr:twoCellAnchor>
  <xdr:twoCellAnchor editAs="oneCell">
    <xdr:from>
      <xdr:col>22</xdr:col>
      <xdr:colOff>243840</xdr:colOff>
      <xdr:row>4</xdr:row>
      <xdr:rowOff>137160</xdr:rowOff>
    </xdr:from>
    <xdr:to>
      <xdr:col>23</xdr:col>
      <xdr:colOff>30240</xdr:colOff>
      <xdr:row>6</xdr:row>
      <xdr:rowOff>167400</xdr:rowOff>
    </xdr:to>
    <xdr:pic>
      <xdr:nvPicPr>
        <xdr:cNvPr id="82" name="Graphic 81" descr="Clipboard Checked outline">
          <a:extLst>
            <a:ext uri="{FF2B5EF4-FFF2-40B4-BE49-F238E27FC236}">
              <a16:creationId xmlns:a16="http://schemas.microsoft.com/office/drawing/2014/main" id="{97EF1ECE-E1BE-F09B-DB48-857FAD498C6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3776960" y="868680"/>
          <a:ext cx="396000" cy="396000"/>
        </a:xfrm>
        <a:prstGeom prst="rect">
          <a:avLst/>
        </a:prstGeom>
      </xdr:spPr>
    </xdr:pic>
    <xdr:clientData/>
  </xdr:twoCellAnchor>
  <xdr:twoCellAnchor>
    <xdr:from>
      <xdr:col>4</xdr:col>
      <xdr:colOff>121920</xdr:colOff>
      <xdr:row>12</xdr:row>
      <xdr:rowOff>60960</xdr:rowOff>
    </xdr:from>
    <xdr:to>
      <xdr:col>16</xdr:col>
      <xdr:colOff>7620</xdr:colOff>
      <xdr:row>13</xdr:row>
      <xdr:rowOff>30480</xdr:rowOff>
    </xdr:to>
    <xdr:sp macro="" textlink="">
      <xdr:nvSpPr>
        <xdr:cNvPr id="87" name="Rectangle 86">
          <a:extLst>
            <a:ext uri="{FF2B5EF4-FFF2-40B4-BE49-F238E27FC236}">
              <a16:creationId xmlns:a16="http://schemas.microsoft.com/office/drawing/2014/main" id="{8B0E6A06-E526-9D06-B4AD-535737390F68}"/>
            </a:ext>
          </a:extLst>
        </xdr:cNvPr>
        <xdr:cNvSpPr/>
      </xdr:nvSpPr>
      <xdr:spPr>
        <a:xfrm>
          <a:off x="2560320" y="2255520"/>
          <a:ext cx="7200900" cy="152400"/>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144780</xdr:colOff>
      <xdr:row>3</xdr:row>
      <xdr:rowOff>167640</xdr:rowOff>
    </xdr:from>
    <xdr:to>
      <xdr:col>7</xdr:col>
      <xdr:colOff>426720</xdr:colOff>
      <xdr:row>5</xdr:row>
      <xdr:rowOff>91440</xdr:rowOff>
    </xdr:to>
    <xdr:sp macro="" textlink="$C$2">
      <xdr:nvSpPr>
        <xdr:cNvPr id="6" name="TextBox 5">
          <a:extLst>
            <a:ext uri="{FF2B5EF4-FFF2-40B4-BE49-F238E27FC236}">
              <a16:creationId xmlns:a16="http://schemas.microsoft.com/office/drawing/2014/main" id="{67D9FDC3-61F8-038D-7A46-2822B8C68C1D}"/>
            </a:ext>
          </a:extLst>
        </xdr:cNvPr>
        <xdr:cNvSpPr txBox="1"/>
      </xdr:nvSpPr>
      <xdr:spPr>
        <a:xfrm>
          <a:off x="3192780" y="716280"/>
          <a:ext cx="1501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F99023C-7670-4957-870B-0C66F4853EF1}" type="TxLink">
            <a:rPr lang="en-US" sz="1600" b="0" i="0" u="none" strike="noStrike">
              <a:solidFill>
                <a:schemeClr val="bg1">
                  <a:lumMod val="95000"/>
                </a:schemeClr>
              </a:solidFill>
              <a:latin typeface="Roboto Light" panose="02000000000000000000" pitchFamily="2" charset="0"/>
              <a:ea typeface="Roboto Light" panose="02000000000000000000" pitchFamily="2" charset="0"/>
              <a:cs typeface="Roboto Light" panose="02000000000000000000" pitchFamily="2" charset="0"/>
            </a:rPr>
            <a:pPr marL="0" indent="0" algn="r"/>
            <a:t>3:59 PM</a:t>
          </a:fld>
          <a:endParaRPr lang="ru-RU" sz="2800">
            <a:solidFill>
              <a:schemeClr val="bg1">
                <a:lumMod val="95000"/>
              </a:schemeClr>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editAs="oneCell">
    <xdr:from>
      <xdr:col>4</xdr:col>
      <xdr:colOff>137160</xdr:colOff>
      <xdr:row>3</xdr:row>
      <xdr:rowOff>167640</xdr:rowOff>
    </xdr:from>
    <xdr:to>
      <xdr:col>4</xdr:col>
      <xdr:colOff>569160</xdr:colOff>
      <xdr:row>6</xdr:row>
      <xdr:rowOff>51000</xdr:rowOff>
    </xdr:to>
    <xdr:pic>
      <xdr:nvPicPr>
        <xdr:cNvPr id="48" name="Graphic 47" descr="Clock outline">
          <a:extLst>
            <a:ext uri="{FF2B5EF4-FFF2-40B4-BE49-F238E27FC236}">
              <a16:creationId xmlns:a16="http://schemas.microsoft.com/office/drawing/2014/main" id="{76CC419D-E66A-951F-A9C5-042CE6936265}"/>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2575560" y="716280"/>
          <a:ext cx="432000" cy="432000"/>
        </a:xfrm>
        <a:prstGeom prst="rect">
          <a:avLst/>
        </a:prstGeom>
      </xdr:spPr>
    </xdr:pic>
    <xdr:clientData/>
  </xdr:twoCellAnchor>
  <xdr:twoCellAnchor>
    <xdr:from>
      <xdr:col>4</xdr:col>
      <xdr:colOff>137160</xdr:colOff>
      <xdr:row>15</xdr:row>
      <xdr:rowOff>38100</xdr:rowOff>
    </xdr:from>
    <xdr:to>
      <xdr:col>15</xdr:col>
      <xdr:colOff>601980</xdr:colOff>
      <xdr:row>15</xdr:row>
      <xdr:rowOff>38100</xdr:rowOff>
    </xdr:to>
    <xdr:cxnSp macro="">
      <xdr:nvCxnSpPr>
        <xdr:cNvPr id="65" name="Straight Connector 64">
          <a:extLst>
            <a:ext uri="{FF2B5EF4-FFF2-40B4-BE49-F238E27FC236}">
              <a16:creationId xmlns:a16="http://schemas.microsoft.com/office/drawing/2014/main" id="{0BB4CC60-79FD-EB4E-9A5E-5360013C0FB9}"/>
            </a:ext>
          </a:extLst>
        </xdr:cNvPr>
        <xdr:cNvCxnSpPr/>
      </xdr:nvCxnSpPr>
      <xdr:spPr>
        <a:xfrm>
          <a:off x="2575560" y="2781300"/>
          <a:ext cx="7170420" cy="0"/>
        </a:xfrm>
        <a:prstGeom prst="line">
          <a:avLst/>
        </a:prstGeom>
        <a:ln w="6350">
          <a:solidFill>
            <a:srgbClr val="11345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541020</xdr:colOff>
      <xdr:row>3</xdr:row>
      <xdr:rowOff>99060</xdr:rowOff>
    </xdr:from>
    <xdr:to>
      <xdr:col>2</xdr:col>
      <xdr:colOff>593571</xdr:colOff>
      <xdr:row>5</xdr:row>
      <xdr:rowOff>88550</xdr:rowOff>
    </xdr:to>
    <xdr:grpSp>
      <xdr:nvGrpSpPr>
        <xdr:cNvPr id="7" name="Group 6">
          <a:hlinkClick xmlns:r="http://schemas.openxmlformats.org/officeDocument/2006/relationships" r:id="rId29"/>
          <a:extLst>
            <a:ext uri="{FF2B5EF4-FFF2-40B4-BE49-F238E27FC236}">
              <a16:creationId xmlns:a16="http://schemas.microsoft.com/office/drawing/2014/main" id="{EFF71D5A-B20F-4B0B-867F-2705C483F1CF}"/>
            </a:ext>
          </a:extLst>
        </xdr:cNvPr>
        <xdr:cNvGrpSpPr/>
      </xdr:nvGrpSpPr>
      <xdr:grpSpPr>
        <a:xfrm>
          <a:off x="541020" y="670560"/>
          <a:ext cx="1237884" cy="359907"/>
          <a:chOff x="536028" y="651641"/>
          <a:chExt cx="1271751" cy="357352"/>
        </a:xfrm>
      </xdr:grpSpPr>
      <xdr:sp macro="" textlink="">
        <xdr:nvSpPr>
          <xdr:cNvPr id="64" name="Rectangle 63">
            <a:extLst>
              <a:ext uri="{FF2B5EF4-FFF2-40B4-BE49-F238E27FC236}">
                <a16:creationId xmlns:a16="http://schemas.microsoft.com/office/drawing/2014/main" id="{959DD225-3F11-460D-8689-3C8D5ED5B20B}"/>
              </a:ext>
            </a:extLst>
          </xdr:cNvPr>
          <xdr:cNvSpPr/>
        </xdr:nvSpPr>
        <xdr:spPr>
          <a:xfrm>
            <a:off x="536028" y="651641"/>
            <a:ext cx="1271751" cy="357352"/>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6" name="Group 65">
            <a:extLst>
              <a:ext uri="{FF2B5EF4-FFF2-40B4-BE49-F238E27FC236}">
                <a16:creationId xmlns:a16="http://schemas.microsoft.com/office/drawing/2014/main" id="{E3726B17-D532-E525-3E2A-DF6A4F991934}"/>
              </a:ext>
            </a:extLst>
          </xdr:cNvPr>
          <xdr:cNvGrpSpPr/>
        </xdr:nvGrpSpPr>
        <xdr:grpSpPr>
          <a:xfrm>
            <a:off x="629100" y="730593"/>
            <a:ext cx="486000" cy="200102"/>
            <a:chOff x="2522715" y="2396971"/>
            <a:chExt cx="4565536" cy="2894120"/>
          </a:xfrm>
        </xdr:grpSpPr>
        <xdr:sp macro="" textlink="">
          <xdr:nvSpPr>
            <xdr:cNvPr id="79" name="Rectangle 78">
              <a:extLst>
                <a:ext uri="{FF2B5EF4-FFF2-40B4-BE49-F238E27FC236}">
                  <a16:creationId xmlns:a16="http://schemas.microsoft.com/office/drawing/2014/main" id="{4271A121-7501-A8F5-15F9-034A0A76E155}"/>
                </a:ext>
              </a:extLst>
            </xdr:cNvPr>
            <xdr:cNvSpPr/>
          </xdr:nvSpPr>
          <xdr:spPr>
            <a:xfrm>
              <a:off x="6658258"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1" name="Rectangle 80">
              <a:extLst>
                <a:ext uri="{FF2B5EF4-FFF2-40B4-BE49-F238E27FC236}">
                  <a16:creationId xmlns:a16="http://schemas.microsoft.com/office/drawing/2014/main" id="{2E6617E3-7959-1C0C-06FC-8777BE367F55}"/>
                </a:ext>
              </a:extLst>
            </xdr:cNvPr>
            <xdr:cNvSpPr/>
          </xdr:nvSpPr>
          <xdr:spPr>
            <a:xfrm>
              <a:off x="4900472"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3" name="Rectangle 82">
              <a:extLst>
                <a:ext uri="{FF2B5EF4-FFF2-40B4-BE49-F238E27FC236}">
                  <a16:creationId xmlns:a16="http://schemas.microsoft.com/office/drawing/2014/main" id="{08B81714-49C3-C293-F4C8-303FE226D5D9}"/>
                </a:ext>
              </a:extLst>
            </xdr:cNvPr>
            <xdr:cNvSpPr/>
          </xdr:nvSpPr>
          <xdr:spPr>
            <a:xfrm>
              <a:off x="438265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Rectangle 85">
              <a:extLst>
                <a:ext uri="{FF2B5EF4-FFF2-40B4-BE49-F238E27FC236}">
                  <a16:creationId xmlns:a16="http://schemas.microsoft.com/office/drawing/2014/main" id="{7E246404-7CC4-3EAE-27BB-43D420F698A7}"/>
                </a:ext>
              </a:extLst>
            </xdr:cNvPr>
            <xdr:cNvSpPr/>
          </xdr:nvSpPr>
          <xdr:spPr>
            <a:xfrm>
              <a:off x="290008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0" name="Rectangle 89">
              <a:extLst>
                <a:ext uri="{FF2B5EF4-FFF2-40B4-BE49-F238E27FC236}">
                  <a16:creationId xmlns:a16="http://schemas.microsoft.com/office/drawing/2014/main" id="{30BC2FB9-2B89-2ECD-2409-3DBA06B94669}"/>
                </a:ext>
              </a:extLst>
            </xdr:cNvPr>
            <xdr:cNvSpPr/>
          </xdr:nvSpPr>
          <xdr:spPr>
            <a:xfrm>
              <a:off x="6476929"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1" name="Rectangle 90">
              <a:extLst>
                <a:ext uri="{FF2B5EF4-FFF2-40B4-BE49-F238E27FC236}">
                  <a16:creationId xmlns:a16="http://schemas.microsoft.com/office/drawing/2014/main" id="{1E81A6B9-21C5-A22B-CDFC-9DFD46EF4F41}"/>
                </a:ext>
              </a:extLst>
            </xdr:cNvPr>
            <xdr:cNvSpPr/>
          </xdr:nvSpPr>
          <xdr:spPr>
            <a:xfrm>
              <a:off x="6260267"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2" name="Rectangle 91">
              <a:extLst>
                <a:ext uri="{FF2B5EF4-FFF2-40B4-BE49-F238E27FC236}">
                  <a16:creationId xmlns:a16="http://schemas.microsoft.com/office/drawing/2014/main" id="{D16054D3-CB62-4019-CE6F-6E0CF2533B4B}"/>
                </a:ext>
              </a:extLst>
            </xdr:cNvPr>
            <xdr:cNvSpPr/>
          </xdr:nvSpPr>
          <xdr:spPr>
            <a:xfrm>
              <a:off x="5739228"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3" name="Rectangle 92">
              <a:extLst>
                <a:ext uri="{FF2B5EF4-FFF2-40B4-BE49-F238E27FC236}">
                  <a16:creationId xmlns:a16="http://schemas.microsoft.com/office/drawing/2014/main" id="{E8D991C5-06E4-19AE-39F0-C415A6807B70}"/>
                </a:ext>
              </a:extLst>
            </xdr:cNvPr>
            <xdr:cNvSpPr/>
          </xdr:nvSpPr>
          <xdr:spPr>
            <a:xfrm>
              <a:off x="5518798"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4" name="Rectangle 93">
              <a:extLst>
                <a:ext uri="{FF2B5EF4-FFF2-40B4-BE49-F238E27FC236}">
                  <a16:creationId xmlns:a16="http://schemas.microsoft.com/office/drawing/2014/main" id="{794F19F2-DDC1-7647-7617-281574A20618}"/>
                </a:ext>
              </a:extLst>
            </xdr:cNvPr>
            <xdr:cNvSpPr/>
          </xdr:nvSpPr>
          <xdr:spPr>
            <a:xfrm>
              <a:off x="5350810"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5" name="Rectangle 94">
              <a:extLst>
                <a:ext uri="{FF2B5EF4-FFF2-40B4-BE49-F238E27FC236}">
                  <a16:creationId xmlns:a16="http://schemas.microsoft.com/office/drawing/2014/main" id="{297CA44A-A6B1-68B0-E59C-B3C5BEB36B69}"/>
                </a:ext>
              </a:extLst>
            </xdr:cNvPr>
            <xdr:cNvSpPr/>
          </xdr:nvSpPr>
          <xdr:spPr>
            <a:xfrm>
              <a:off x="328660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6" name="Rectangle 95">
              <a:extLst>
                <a:ext uri="{FF2B5EF4-FFF2-40B4-BE49-F238E27FC236}">
                  <a16:creationId xmlns:a16="http://schemas.microsoft.com/office/drawing/2014/main" id="{BAAAA80A-E3CF-0652-AB1F-8F646E124D24}"/>
                </a:ext>
              </a:extLst>
            </xdr:cNvPr>
            <xdr:cNvSpPr/>
          </xdr:nvSpPr>
          <xdr:spPr>
            <a:xfrm>
              <a:off x="34820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7" name="Rectangle 96">
              <a:extLst>
                <a:ext uri="{FF2B5EF4-FFF2-40B4-BE49-F238E27FC236}">
                  <a16:creationId xmlns:a16="http://schemas.microsoft.com/office/drawing/2014/main" id="{999253C7-7E73-9E88-5216-ABBD1A26B2AA}"/>
                </a:ext>
              </a:extLst>
            </xdr:cNvPr>
            <xdr:cNvSpPr/>
          </xdr:nvSpPr>
          <xdr:spPr>
            <a:xfrm>
              <a:off x="4165061"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8" name="Rectangle 97">
              <a:extLst>
                <a:ext uri="{FF2B5EF4-FFF2-40B4-BE49-F238E27FC236}">
                  <a16:creationId xmlns:a16="http://schemas.microsoft.com/office/drawing/2014/main" id="{D17BFE12-D966-47A4-F3B7-CE278778BEAE}"/>
                </a:ext>
              </a:extLst>
            </xdr:cNvPr>
            <xdr:cNvSpPr/>
          </xdr:nvSpPr>
          <xdr:spPr>
            <a:xfrm>
              <a:off x="400649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9" name="Rectangle 98">
              <a:extLst>
                <a:ext uri="{FF2B5EF4-FFF2-40B4-BE49-F238E27FC236}">
                  <a16:creationId xmlns:a16="http://schemas.microsoft.com/office/drawing/2014/main" id="{B1A1F0F6-DF81-BC38-C48D-5637A62BED1A}"/>
                </a:ext>
              </a:extLst>
            </xdr:cNvPr>
            <xdr:cNvSpPr/>
          </xdr:nvSpPr>
          <xdr:spPr>
            <a:xfrm>
              <a:off x="26834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0" name="Rectangle 99">
              <a:extLst>
                <a:ext uri="{FF2B5EF4-FFF2-40B4-BE49-F238E27FC236}">
                  <a16:creationId xmlns:a16="http://schemas.microsoft.com/office/drawing/2014/main" id="{091D0FEF-235E-A24F-3CBE-DC16A0E83310}"/>
                </a:ext>
              </a:extLst>
            </xdr:cNvPr>
            <xdr:cNvSpPr/>
          </xdr:nvSpPr>
          <xdr:spPr>
            <a:xfrm>
              <a:off x="252271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1" name="Rectangle 100">
              <a:extLst>
                <a:ext uri="{FF2B5EF4-FFF2-40B4-BE49-F238E27FC236}">
                  <a16:creationId xmlns:a16="http://schemas.microsoft.com/office/drawing/2014/main" id="{CCDE06AE-1CF8-D43E-1E8F-E615FF937DFF}"/>
                </a:ext>
              </a:extLst>
            </xdr:cNvPr>
            <xdr:cNvSpPr/>
          </xdr:nvSpPr>
          <xdr:spPr>
            <a:xfrm>
              <a:off x="696225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2" name="Rectangle 101">
              <a:extLst>
                <a:ext uri="{FF2B5EF4-FFF2-40B4-BE49-F238E27FC236}">
                  <a16:creationId xmlns:a16="http://schemas.microsoft.com/office/drawing/2014/main" id="{8B3430CC-661B-3572-5511-C1E8C36A986D}"/>
                </a:ext>
              </a:extLst>
            </xdr:cNvPr>
            <xdr:cNvSpPr/>
          </xdr:nvSpPr>
          <xdr:spPr>
            <a:xfrm>
              <a:off x="3799324"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3" name="Rectangle 102">
              <a:extLst>
                <a:ext uri="{FF2B5EF4-FFF2-40B4-BE49-F238E27FC236}">
                  <a16:creationId xmlns:a16="http://schemas.microsoft.com/office/drawing/2014/main" id="{8CB5C1AB-F3AC-03B0-F6C9-86C2A8E2B561}"/>
                </a:ext>
              </a:extLst>
            </xdr:cNvPr>
            <xdr:cNvSpPr/>
          </xdr:nvSpPr>
          <xdr:spPr>
            <a:xfrm>
              <a:off x="6035306"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4" name="Rectangle 103">
              <a:extLst>
                <a:ext uri="{FF2B5EF4-FFF2-40B4-BE49-F238E27FC236}">
                  <a16:creationId xmlns:a16="http://schemas.microsoft.com/office/drawing/2014/main" id="{36CACEF7-C8A7-4E4B-129A-A2B3B7732E79}"/>
                </a:ext>
              </a:extLst>
            </xdr:cNvPr>
            <xdr:cNvSpPr/>
          </xdr:nvSpPr>
          <xdr:spPr>
            <a:xfrm>
              <a:off x="5220380"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5" name="Rectangle 104">
              <a:extLst>
                <a:ext uri="{FF2B5EF4-FFF2-40B4-BE49-F238E27FC236}">
                  <a16:creationId xmlns:a16="http://schemas.microsoft.com/office/drawing/2014/main" id="{78BF0023-DBFA-A61D-314A-3E49C4A73CC2}"/>
                </a:ext>
              </a:extLst>
            </xdr:cNvPr>
            <xdr:cNvSpPr/>
          </xdr:nvSpPr>
          <xdr:spPr>
            <a:xfrm>
              <a:off x="4732735"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78" name="Logo">
            <a:extLst>
              <a:ext uri="{FF2B5EF4-FFF2-40B4-BE49-F238E27FC236}">
                <a16:creationId xmlns:a16="http://schemas.microsoft.com/office/drawing/2014/main" id="{D1F291F8-4C6E-73B4-49C4-5C786EECA2DC}"/>
              </a:ext>
            </a:extLst>
          </xdr:cNvPr>
          <xdr:cNvSpPr/>
        </xdr:nvSpPr>
        <xdr:spPr>
          <a:xfrm>
            <a:off x="865321" y="738065"/>
            <a:ext cx="830580" cy="189344"/>
          </a:xfrm>
          <a:custGeom>
            <a:avLst/>
            <a:gdLst>
              <a:gd name="connsiteX0" fmla="*/ 2730532 w 2898895"/>
              <a:gd name="connsiteY0" fmla="*/ 207436 h 657179"/>
              <a:gd name="connsiteX1" fmla="*/ 2483568 w 2898895"/>
              <a:gd name="connsiteY1" fmla="*/ 637175 h 657179"/>
              <a:gd name="connsiteX2" fmla="*/ 2249634 w 2898895"/>
              <a:gd name="connsiteY2" fmla="*/ 207436 h 657179"/>
              <a:gd name="connsiteX3" fmla="*/ 2249634 w 2898895"/>
              <a:gd name="connsiteY3" fmla="*/ 597180 h 657179"/>
              <a:gd name="connsiteX4" fmla="*/ 2250253 w 2898895"/>
              <a:gd name="connsiteY4" fmla="*/ 605410 h 657179"/>
              <a:gd name="connsiteX5" fmla="*/ 2252501 w 2898895"/>
              <a:gd name="connsiteY5" fmla="*/ 613258 h 657179"/>
              <a:gd name="connsiteX6" fmla="*/ 2256140 w 2898895"/>
              <a:gd name="connsiteY6" fmla="*/ 619030 h 657179"/>
              <a:gd name="connsiteX7" fmla="*/ 2261788 w 2898895"/>
              <a:gd name="connsiteY7" fmla="*/ 623793 h 657179"/>
              <a:gd name="connsiteX8" fmla="*/ 2276466 w 2898895"/>
              <a:gd name="connsiteY8" fmla="*/ 630270 h 657179"/>
              <a:gd name="connsiteX9" fmla="*/ 2279400 w 2898895"/>
              <a:gd name="connsiteY9" fmla="*/ 631127 h 657179"/>
              <a:gd name="connsiteX10" fmla="*/ 2279400 w 2898895"/>
              <a:gd name="connsiteY10" fmla="*/ 646015 h 657179"/>
              <a:gd name="connsiteX11" fmla="*/ 2092900 w 2898895"/>
              <a:gd name="connsiteY11" fmla="*/ 646015 h 657179"/>
              <a:gd name="connsiteX12" fmla="*/ 2092900 w 2898895"/>
              <a:gd name="connsiteY12" fmla="*/ 631127 h 657179"/>
              <a:gd name="connsiteX13" fmla="*/ 2101501 w 2898895"/>
              <a:gd name="connsiteY13" fmla="*/ 628289 h 657179"/>
              <a:gd name="connsiteX14" fmla="*/ 2114741 w 2898895"/>
              <a:gd name="connsiteY14" fmla="*/ 620497 h 657179"/>
              <a:gd name="connsiteX15" fmla="*/ 2116151 w 2898895"/>
              <a:gd name="connsiteY15" fmla="*/ 619030 h 657179"/>
              <a:gd name="connsiteX16" fmla="*/ 2120713 w 2898895"/>
              <a:gd name="connsiteY16" fmla="*/ 610858 h 657179"/>
              <a:gd name="connsiteX17" fmla="*/ 2122361 w 2898895"/>
              <a:gd name="connsiteY17" fmla="*/ 603019 h 657179"/>
              <a:gd name="connsiteX18" fmla="*/ 2122666 w 2898895"/>
              <a:gd name="connsiteY18" fmla="*/ 597180 h 657179"/>
              <a:gd name="connsiteX19" fmla="*/ 2122666 w 2898895"/>
              <a:gd name="connsiteY19" fmla="*/ 59532 h 657179"/>
              <a:gd name="connsiteX20" fmla="*/ 2122028 w 2898895"/>
              <a:gd name="connsiteY20" fmla="*/ 51445 h 657179"/>
              <a:gd name="connsiteX21" fmla="*/ 2119589 w 2898895"/>
              <a:gd name="connsiteY21" fmla="*/ 43434 h 657179"/>
              <a:gd name="connsiteX22" fmla="*/ 2116151 w 2898895"/>
              <a:gd name="connsiteY22" fmla="*/ 38139 h 657179"/>
              <a:gd name="connsiteX23" fmla="*/ 2110502 w 2898895"/>
              <a:gd name="connsiteY23" fmla="*/ 33376 h 657179"/>
              <a:gd name="connsiteX24" fmla="*/ 2095824 w 2898895"/>
              <a:gd name="connsiteY24" fmla="*/ 26909 h 657179"/>
              <a:gd name="connsiteX25" fmla="*/ 2092900 w 2898895"/>
              <a:gd name="connsiteY25" fmla="*/ 26051 h 657179"/>
              <a:gd name="connsiteX26" fmla="*/ 2092900 w 2898895"/>
              <a:gd name="connsiteY26" fmla="*/ 11164 h 657179"/>
              <a:gd name="connsiteX27" fmla="*/ 2337531 w 2898895"/>
              <a:gd name="connsiteY27" fmla="*/ 11164 h 657179"/>
              <a:gd name="connsiteX28" fmla="*/ 2337531 w 2898895"/>
              <a:gd name="connsiteY28" fmla="*/ 26051 h 657179"/>
              <a:gd name="connsiteX29" fmla="*/ 2315671 w 2898895"/>
              <a:gd name="connsiteY29" fmla="*/ 51626 h 657179"/>
              <a:gd name="connsiteX30" fmla="*/ 2316747 w 2898895"/>
              <a:gd name="connsiteY30" fmla="*/ 59646 h 657179"/>
              <a:gd name="connsiteX31" fmla="*/ 2322186 w 2898895"/>
              <a:gd name="connsiteY31" fmla="*/ 73019 h 657179"/>
              <a:gd name="connsiteX32" fmla="*/ 2495198 w 2898895"/>
              <a:gd name="connsiteY32" fmla="*/ 392069 h 657179"/>
              <a:gd name="connsiteX33" fmla="*/ 2670534 w 2898895"/>
              <a:gd name="connsiteY33" fmla="*/ 78601 h 657179"/>
              <a:gd name="connsiteX34" fmla="*/ 2675345 w 2898895"/>
              <a:gd name="connsiteY34" fmla="*/ 69209 h 657179"/>
              <a:gd name="connsiteX35" fmla="*/ 2682164 w 2898895"/>
              <a:gd name="connsiteY35" fmla="*/ 47444 h 657179"/>
              <a:gd name="connsiteX36" fmla="*/ 2658904 w 2898895"/>
              <a:gd name="connsiteY36" fmla="*/ 26051 h 657179"/>
              <a:gd name="connsiteX37" fmla="*/ 2658904 w 2898895"/>
              <a:gd name="connsiteY37" fmla="*/ 11164 h 657179"/>
              <a:gd name="connsiteX38" fmla="*/ 2898896 w 2898895"/>
              <a:gd name="connsiteY38" fmla="*/ 11164 h 657179"/>
              <a:gd name="connsiteX39" fmla="*/ 2898896 w 2898895"/>
              <a:gd name="connsiteY39" fmla="*/ 26051 h 657179"/>
              <a:gd name="connsiteX40" fmla="*/ 2890286 w 2898895"/>
              <a:gd name="connsiteY40" fmla="*/ 28880 h 657179"/>
              <a:gd name="connsiteX41" fmla="*/ 2877046 w 2898895"/>
              <a:gd name="connsiteY41" fmla="*/ 36681 h 657179"/>
              <a:gd name="connsiteX42" fmla="*/ 2875636 w 2898895"/>
              <a:gd name="connsiteY42" fmla="*/ 38139 h 657179"/>
              <a:gd name="connsiteX43" fmla="*/ 2870855 w 2898895"/>
              <a:gd name="connsiteY43" fmla="*/ 46873 h 657179"/>
              <a:gd name="connsiteX44" fmla="*/ 2869331 w 2898895"/>
              <a:gd name="connsiteY44" fmla="*/ 54788 h 657179"/>
              <a:gd name="connsiteX45" fmla="*/ 2869131 w 2898895"/>
              <a:gd name="connsiteY45" fmla="*/ 59532 h 657179"/>
              <a:gd name="connsiteX46" fmla="*/ 2869131 w 2898895"/>
              <a:gd name="connsiteY46" fmla="*/ 597180 h 657179"/>
              <a:gd name="connsiteX47" fmla="*/ 2869750 w 2898895"/>
              <a:gd name="connsiteY47" fmla="*/ 605410 h 657179"/>
              <a:gd name="connsiteX48" fmla="*/ 2871998 w 2898895"/>
              <a:gd name="connsiteY48" fmla="*/ 613258 h 657179"/>
              <a:gd name="connsiteX49" fmla="*/ 2875636 w 2898895"/>
              <a:gd name="connsiteY49" fmla="*/ 619030 h 657179"/>
              <a:gd name="connsiteX50" fmla="*/ 2881285 w 2898895"/>
              <a:gd name="connsiteY50" fmla="*/ 623793 h 657179"/>
              <a:gd name="connsiteX51" fmla="*/ 2895962 w 2898895"/>
              <a:gd name="connsiteY51" fmla="*/ 630270 h 657179"/>
              <a:gd name="connsiteX52" fmla="*/ 2898896 w 2898895"/>
              <a:gd name="connsiteY52" fmla="*/ 631127 h 657179"/>
              <a:gd name="connsiteX53" fmla="*/ 2898896 w 2898895"/>
              <a:gd name="connsiteY53" fmla="*/ 646015 h 657179"/>
              <a:gd name="connsiteX54" fmla="*/ 2700767 w 2898895"/>
              <a:gd name="connsiteY54" fmla="*/ 646015 h 657179"/>
              <a:gd name="connsiteX55" fmla="*/ 2700767 w 2898895"/>
              <a:gd name="connsiteY55" fmla="*/ 631127 h 657179"/>
              <a:gd name="connsiteX56" fmla="*/ 2709168 w 2898895"/>
              <a:gd name="connsiteY56" fmla="*/ 628498 h 657179"/>
              <a:gd name="connsiteX57" fmla="*/ 2723084 w 2898895"/>
              <a:gd name="connsiteY57" fmla="*/ 620040 h 657179"/>
              <a:gd name="connsiteX58" fmla="*/ 2723789 w 2898895"/>
              <a:gd name="connsiteY58" fmla="*/ 619268 h 657179"/>
              <a:gd name="connsiteX59" fmla="*/ 2730323 w 2898895"/>
              <a:gd name="connsiteY59" fmla="*/ 602076 h 657179"/>
              <a:gd name="connsiteX60" fmla="*/ 2730532 w 2898895"/>
              <a:gd name="connsiteY60" fmla="*/ 597180 h 657179"/>
              <a:gd name="connsiteX61" fmla="*/ 1126446 w 2898895"/>
              <a:gd name="connsiteY61" fmla="*/ 436722 h 657179"/>
              <a:gd name="connsiteX62" fmla="*/ 1139000 w 2898895"/>
              <a:gd name="connsiteY62" fmla="*/ 427883 h 657179"/>
              <a:gd name="connsiteX63" fmla="*/ 1227363 w 2898895"/>
              <a:gd name="connsiteY63" fmla="*/ 560432 h 657179"/>
              <a:gd name="connsiteX64" fmla="*/ 1215276 w 2898895"/>
              <a:gd name="connsiteY64" fmla="*/ 568805 h 657179"/>
              <a:gd name="connsiteX65" fmla="*/ 1209237 w 2898895"/>
              <a:gd name="connsiteY65" fmla="*/ 563661 h 657179"/>
              <a:gd name="connsiteX66" fmla="*/ 1198160 w 2898895"/>
              <a:gd name="connsiteY66" fmla="*/ 557404 h 657179"/>
              <a:gd name="connsiteX67" fmla="*/ 1193883 w 2898895"/>
              <a:gd name="connsiteY67" fmla="*/ 556718 h 657179"/>
              <a:gd name="connsiteX68" fmla="*/ 1146906 w 2898895"/>
              <a:gd name="connsiteY68" fmla="*/ 579035 h 657179"/>
              <a:gd name="connsiteX69" fmla="*/ 1099386 w 2898895"/>
              <a:gd name="connsiteY69" fmla="*/ 604886 h 657179"/>
              <a:gd name="connsiteX70" fmla="*/ 1012260 w 2898895"/>
              <a:gd name="connsiteY70" fmla="*/ 641128 h 657179"/>
              <a:gd name="connsiteX71" fmla="*/ 882273 w 2898895"/>
              <a:gd name="connsiteY71" fmla="*/ 657168 h 657179"/>
              <a:gd name="connsiteX72" fmla="*/ 775164 w 2898895"/>
              <a:gd name="connsiteY72" fmla="*/ 646748 h 657179"/>
              <a:gd name="connsiteX73" fmla="*/ 635775 w 2898895"/>
              <a:gd name="connsiteY73" fmla="*/ 586017 h 657179"/>
              <a:gd name="connsiteX74" fmla="*/ 546478 w 2898895"/>
              <a:gd name="connsiteY74" fmla="*/ 483232 h 657179"/>
              <a:gd name="connsiteX75" fmla="*/ 508893 w 2898895"/>
              <a:gd name="connsiteY75" fmla="*/ 336262 h 657179"/>
              <a:gd name="connsiteX76" fmla="*/ 508807 w 2898895"/>
              <a:gd name="connsiteY76" fmla="*/ 328356 h 657179"/>
              <a:gd name="connsiteX77" fmla="*/ 576244 w 2898895"/>
              <a:gd name="connsiteY77" fmla="*/ 127902 h 657179"/>
              <a:gd name="connsiteX78" fmla="*/ 878539 w 2898895"/>
              <a:gd name="connsiteY78" fmla="*/ 20 h 657179"/>
              <a:gd name="connsiteX79" fmla="*/ 882739 w 2898895"/>
              <a:gd name="connsiteY79" fmla="*/ 0 h 657179"/>
              <a:gd name="connsiteX80" fmla="*/ 1012032 w 2898895"/>
              <a:gd name="connsiteY80" fmla="*/ 15812 h 657179"/>
              <a:gd name="connsiteX81" fmla="*/ 1048389 w 2898895"/>
              <a:gd name="connsiteY81" fmla="*/ 28699 h 657179"/>
              <a:gd name="connsiteX82" fmla="*/ 1139572 w 2898895"/>
              <a:gd name="connsiteY82" fmla="*/ 73953 h 657179"/>
              <a:gd name="connsiteX83" fmla="*/ 1146906 w 2898895"/>
              <a:gd name="connsiteY83" fmla="*/ 78134 h 657179"/>
              <a:gd name="connsiteX84" fmla="*/ 1160317 w 2898895"/>
              <a:gd name="connsiteY84" fmla="*/ 85564 h 657179"/>
              <a:gd name="connsiteX85" fmla="*/ 1193883 w 2898895"/>
              <a:gd name="connsiteY85" fmla="*/ 99994 h 657179"/>
              <a:gd name="connsiteX86" fmla="*/ 1215276 w 2898895"/>
              <a:gd name="connsiteY86" fmla="*/ 87907 h 657179"/>
              <a:gd name="connsiteX87" fmla="*/ 1227363 w 2898895"/>
              <a:gd name="connsiteY87" fmla="*/ 96279 h 657179"/>
              <a:gd name="connsiteX88" fmla="*/ 1139000 w 2898895"/>
              <a:gd name="connsiteY88" fmla="*/ 228829 h 657179"/>
              <a:gd name="connsiteX89" fmla="*/ 1126446 w 2898895"/>
              <a:gd name="connsiteY89" fmla="*/ 220457 h 657179"/>
              <a:gd name="connsiteX90" fmla="*/ 1127008 w 2898895"/>
              <a:gd name="connsiteY90" fmla="*/ 215227 h 657179"/>
              <a:gd name="connsiteX91" fmla="*/ 1127370 w 2898895"/>
              <a:gd name="connsiteY91" fmla="*/ 207893 h 657179"/>
              <a:gd name="connsiteX92" fmla="*/ 1122369 w 2898895"/>
              <a:gd name="connsiteY92" fmla="*/ 190891 h 657179"/>
              <a:gd name="connsiteX93" fmla="*/ 1115750 w 2898895"/>
              <a:gd name="connsiteY93" fmla="*/ 182547 h 657179"/>
              <a:gd name="connsiteX94" fmla="*/ 1107768 w 2898895"/>
              <a:gd name="connsiteY94" fmla="*/ 175489 h 657179"/>
              <a:gd name="connsiteX95" fmla="*/ 1074354 w 2898895"/>
              <a:gd name="connsiteY95" fmla="*/ 153944 h 657179"/>
              <a:gd name="connsiteX96" fmla="*/ 899942 w 2898895"/>
              <a:gd name="connsiteY96" fmla="*/ 107442 h 657179"/>
              <a:gd name="connsiteX97" fmla="*/ 726472 w 2898895"/>
              <a:gd name="connsiteY97" fmla="*/ 161849 h 657179"/>
              <a:gd name="connsiteX98" fmla="*/ 650863 w 2898895"/>
              <a:gd name="connsiteY98" fmla="*/ 309430 h 657179"/>
              <a:gd name="connsiteX99" fmla="*/ 650196 w 2898895"/>
              <a:gd name="connsiteY99" fmla="*/ 328356 h 657179"/>
              <a:gd name="connsiteX100" fmla="*/ 665855 w 2898895"/>
              <a:gd name="connsiteY100" fmla="*/ 413481 h 657179"/>
              <a:gd name="connsiteX101" fmla="*/ 726472 w 2898895"/>
              <a:gd name="connsiteY101" fmla="*/ 494853 h 657179"/>
              <a:gd name="connsiteX102" fmla="*/ 899942 w 2898895"/>
              <a:gd name="connsiteY102" fmla="*/ 549269 h 657179"/>
              <a:gd name="connsiteX103" fmla="*/ 1074354 w 2898895"/>
              <a:gd name="connsiteY103" fmla="*/ 502759 h 657179"/>
              <a:gd name="connsiteX104" fmla="*/ 1115750 w 2898895"/>
              <a:gd name="connsiteY104" fmla="*/ 474164 h 657179"/>
              <a:gd name="connsiteX105" fmla="*/ 1122598 w 2898895"/>
              <a:gd name="connsiteY105" fmla="*/ 465430 h 657179"/>
              <a:gd name="connsiteX106" fmla="*/ 1127370 w 2898895"/>
              <a:gd name="connsiteY106" fmla="*/ 448809 h 657179"/>
              <a:gd name="connsiteX107" fmla="*/ 1127246 w 2898895"/>
              <a:gd name="connsiteY107" fmla="*/ 444713 h 657179"/>
              <a:gd name="connsiteX108" fmla="*/ 1126827 w 2898895"/>
              <a:gd name="connsiteY108" fmla="*/ 439884 h 657179"/>
              <a:gd name="connsiteX109" fmla="*/ 1126446 w 2898895"/>
              <a:gd name="connsiteY109" fmla="*/ 436722 h 657179"/>
              <a:gd name="connsiteX110" fmla="*/ 1660360 w 2898895"/>
              <a:gd name="connsiteY110" fmla="*/ 386954 h 657179"/>
              <a:gd name="connsiteX111" fmla="*/ 1491073 w 2898895"/>
              <a:gd name="connsiteY111" fmla="*/ 386954 h 657179"/>
              <a:gd name="connsiteX112" fmla="*/ 1491073 w 2898895"/>
              <a:gd name="connsiteY112" fmla="*/ 597637 h 657179"/>
              <a:gd name="connsiteX113" fmla="*/ 1491797 w 2898895"/>
              <a:gd name="connsiteY113" fmla="*/ 606124 h 657179"/>
              <a:gd name="connsiteX114" fmla="*/ 1494635 w 2898895"/>
              <a:gd name="connsiteY114" fmla="*/ 614611 h 657179"/>
              <a:gd name="connsiteX115" fmla="*/ 1497816 w 2898895"/>
              <a:gd name="connsiteY115" fmla="*/ 619268 h 657179"/>
              <a:gd name="connsiteX116" fmla="*/ 1519562 w 2898895"/>
              <a:gd name="connsiteY116" fmla="*/ 630794 h 657179"/>
              <a:gd name="connsiteX117" fmla="*/ 1520838 w 2898895"/>
              <a:gd name="connsiteY117" fmla="*/ 631127 h 657179"/>
              <a:gd name="connsiteX118" fmla="*/ 1520838 w 2898895"/>
              <a:gd name="connsiteY118" fmla="*/ 646015 h 657179"/>
              <a:gd name="connsiteX119" fmla="*/ 1322709 w 2898895"/>
              <a:gd name="connsiteY119" fmla="*/ 646015 h 657179"/>
              <a:gd name="connsiteX120" fmla="*/ 1322709 w 2898895"/>
              <a:gd name="connsiteY120" fmla="*/ 631127 h 657179"/>
              <a:gd name="connsiteX121" fmla="*/ 1331319 w 2898895"/>
              <a:gd name="connsiteY121" fmla="*/ 628289 h 657179"/>
              <a:gd name="connsiteX122" fmla="*/ 1344559 w 2898895"/>
              <a:gd name="connsiteY122" fmla="*/ 620497 h 657179"/>
              <a:gd name="connsiteX123" fmla="*/ 1345969 w 2898895"/>
              <a:gd name="connsiteY123" fmla="*/ 619030 h 657179"/>
              <a:gd name="connsiteX124" fmla="*/ 1350741 w 2898895"/>
              <a:gd name="connsiteY124" fmla="*/ 610296 h 657179"/>
              <a:gd name="connsiteX125" fmla="*/ 1352274 w 2898895"/>
              <a:gd name="connsiteY125" fmla="*/ 602381 h 657179"/>
              <a:gd name="connsiteX126" fmla="*/ 1352474 w 2898895"/>
              <a:gd name="connsiteY126" fmla="*/ 597637 h 657179"/>
              <a:gd name="connsiteX127" fmla="*/ 1352474 w 2898895"/>
              <a:gd name="connsiteY127" fmla="*/ 59998 h 657179"/>
              <a:gd name="connsiteX128" fmla="*/ 1351855 w 2898895"/>
              <a:gd name="connsiteY128" fmla="*/ 51769 h 657179"/>
              <a:gd name="connsiteX129" fmla="*/ 1349598 w 2898895"/>
              <a:gd name="connsiteY129" fmla="*/ 43920 h 657179"/>
              <a:gd name="connsiteX130" fmla="*/ 1345969 w 2898895"/>
              <a:gd name="connsiteY130" fmla="*/ 38139 h 657179"/>
              <a:gd name="connsiteX131" fmla="*/ 1340320 w 2898895"/>
              <a:gd name="connsiteY131" fmla="*/ 33376 h 657179"/>
              <a:gd name="connsiteX132" fmla="*/ 1325642 w 2898895"/>
              <a:gd name="connsiteY132" fmla="*/ 26909 h 657179"/>
              <a:gd name="connsiteX133" fmla="*/ 1322709 w 2898895"/>
              <a:gd name="connsiteY133" fmla="*/ 26051 h 657179"/>
              <a:gd name="connsiteX134" fmla="*/ 1322709 w 2898895"/>
              <a:gd name="connsiteY134" fmla="*/ 11164 h 657179"/>
              <a:gd name="connsiteX135" fmla="*/ 1719892 w 2898895"/>
              <a:gd name="connsiteY135" fmla="*/ 11164 h 657179"/>
              <a:gd name="connsiteX136" fmla="*/ 1762316 w 2898895"/>
              <a:gd name="connsiteY136" fmla="*/ 11983 h 657179"/>
              <a:gd name="connsiteX137" fmla="*/ 1835001 w 2898895"/>
              <a:gd name="connsiteY137" fmla="*/ 19536 h 657179"/>
              <a:gd name="connsiteX138" fmla="*/ 1879140 w 2898895"/>
              <a:gd name="connsiteY138" fmla="*/ 32805 h 657179"/>
              <a:gd name="connsiteX139" fmla="*/ 1909182 w 2898895"/>
              <a:gd name="connsiteY139" fmla="*/ 48835 h 657179"/>
              <a:gd name="connsiteX140" fmla="*/ 1964065 w 2898895"/>
              <a:gd name="connsiteY140" fmla="*/ 114415 h 657179"/>
              <a:gd name="connsiteX141" fmla="*/ 1981277 w 2898895"/>
              <a:gd name="connsiteY141" fmla="*/ 199987 h 657179"/>
              <a:gd name="connsiteX142" fmla="*/ 1808731 w 2898895"/>
              <a:gd name="connsiteY142" fmla="*/ 381839 h 657179"/>
              <a:gd name="connsiteX143" fmla="*/ 1931975 w 2898895"/>
              <a:gd name="connsiteY143" fmla="*/ 557175 h 657179"/>
              <a:gd name="connsiteX144" fmla="*/ 1976228 w 2898895"/>
              <a:gd name="connsiteY144" fmla="*/ 613277 h 657179"/>
              <a:gd name="connsiteX145" fmla="*/ 1979648 w 2898895"/>
              <a:gd name="connsiteY145" fmla="*/ 616478 h 657179"/>
              <a:gd name="connsiteX146" fmla="*/ 2011595 w 2898895"/>
              <a:gd name="connsiteY146" fmla="*/ 630641 h 657179"/>
              <a:gd name="connsiteX147" fmla="*/ 2016624 w 2898895"/>
              <a:gd name="connsiteY147" fmla="*/ 631127 h 657179"/>
              <a:gd name="connsiteX148" fmla="*/ 2016624 w 2898895"/>
              <a:gd name="connsiteY148" fmla="*/ 646015 h 657179"/>
              <a:gd name="connsiteX149" fmla="*/ 1786872 w 2898895"/>
              <a:gd name="connsiteY149" fmla="*/ 646015 h 657179"/>
              <a:gd name="connsiteX150" fmla="*/ 1786872 w 2898895"/>
              <a:gd name="connsiteY150" fmla="*/ 631127 h 657179"/>
              <a:gd name="connsiteX151" fmla="*/ 1795377 w 2898895"/>
              <a:gd name="connsiteY151" fmla="*/ 629279 h 657179"/>
              <a:gd name="connsiteX152" fmla="*/ 1807988 w 2898895"/>
              <a:gd name="connsiteY152" fmla="*/ 621983 h 657179"/>
              <a:gd name="connsiteX153" fmla="*/ 1810589 w 2898895"/>
              <a:gd name="connsiteY153" fmla="*/ 614382 h 657179"/>
              <a:gd name="connsiteX154" fmla="*/ 1809617 w 2898895"/>
              <a:gd name="connsiteY154" fmla="*/ 609801 h 657179"/>
              <a:gd name="connsiteX155" fmla="*/ 1788729 w 2898895"/>
              <a:gd name="connsiteY155" fmla="*/ 573920 h 657179"/>
              <a:gd name="connsiteX156" fmla="*/ 29766 w 2898895"/>
              <a:gd name="connsiteY156" fmla="*/ 597180 h 657179"/>
              <a:gd name="connsiteX157" fmla="*/ 29766 w 2898895"/>
              <a:gd name="connsiteY157" fmla="*/ 59532 h 657179"/>
              <a:gd name="connsiteX158" fmla="*/ 29128 w 2898895"/>
              <a:gd name="connsiteY158" fmla="*/ 51445 h 657179"/>
              <a:gd name="connsiteX159" fmla="*/ 26690 w 2898895"/>
              <a:gd name="connsiteY159" fmla="*/ 43434 h 657179"/>
              <a:gd name="connsiteX160" fmla="*/ 23251 w 2898895"/>
              <a:gd name="connsiteY160" fmla="*/ 38139 h 657179"/>
              <a:gd name="connsiteX161" fmla="*/ 17612 w 2898895"/>
              <a:gd name="connsiteY161" fmla="*/ 33376 h 657179"/>
              <a:gd name="connsiteX162" fmla="*/ 2934 w 2898895"/>
              <a:gd name="connsiteY162" fmla="*/ 26909 h 657179"/>
              <a:gd name="connsiteX163" fmla="*/ 0 w 2898895"/>
              <a:gd name="connsiteY163" fmla="*/ 26051 h 657179"/>
              <a:gd name="connsiteX164" fmla="*/ 0 w 2898895"/>
              <a:gd name="connsiteY164" fmla="*/ 11164 h 657179"/>
              <a:gd name="connsiteX165" fmla="*/ 198130 w 2898895"/>
              <a:gd name="connsiteY165" fmla="*/ 11164 h 657179"/>
              <a:gd name="connsiteX166" fmla="*/ 198130 w 2898895"/>
              <a:gd name="connsiteY166" fmla="*/ 26051 h 657179"/>
              <a:gd name="connsiteX167" fmla="*/ 174870 w 2898895"/>
              <a:gd name="connsiteY167" fmla="*/ 37910 h 657179"/>
              <a:gd name="connsiteX168" fmla="*/ 168526 w 2898895"/>
              <a:gd name="connsiteY168" fmla="*/ 55293 h 657179"/>
              <a:gd name="connsiteX169" fmla="*/ 168364 w 2898895"/>
              <a:gd name="connsiteY169" fmla="*/ 59532 h 657179"/>
              <a:gd name="connsiteX170" fmla="*/ 168364 w 2898895"/>
              <a:gd name="connsiteY170" fmla="*/ 597180 h 657179"/>
              <a:gd name="connsiteX171" fmla="*/ 169022 w 2898895"/>
              <a:gd name="connsiteY171" fmla="*/ 605524 h 657179"/>
              <a:gd name="connsiteX172" fmla="*/ 171546 w 2898895"/>
              <a:gd name="connsiteY172" fmla="*/ 613801 h 657179"/>
              <a:gd name="connsiteX173" fmla="*/ 175108 w 2898895"/>
              <a:gd name="connsiteY173" fmla="*/ 619268 h 657179"/>
              <a:gd name="connsiteX174" fmla="*/ 196854 w 2898895"/>
              <a:gd name="connsiteY174" fmla="*/ 630794 h 657179"/>
              <a:gd name="connsiteX175" fmla="*/ 198130 w 2898895"/>
              <a:gd name="connsiteY175" fmla="*/ 631127 h 657179"/>
              <a:gd name="connsiteX176" fmla="*/ 198130 w 2898895"/>
              <a:gd name="connsiteY176" fmla="*/ 646015 h 657179"/>
              <a:gd name="connsiteX177" fmla="*/ 0 w 2898895"/>
              <a:gd name="connsiteY177" fmla="*/ 646015 h 657179"/>
              <a:gd name="connsiteX178" fmla="*/ 0 w 2898895"/>
              <a:gd name="connsiteY178" fmla="*/ 631127 h 657179"/>
              <a:gd name="connsiteX179" fmla="*/ 8611 w 2898895"/>
              <a:gd name="connsiteY179" fmla="*/ 628289 h 657179"/>
              <a:gd name="connsiteX180" fmla="*/ 21851 w 2898895"/>
              <a:gd name="connsiteY180" fmla="*/ 620497 h 657179"/>
              <a:gd name="connsiteX181" fmla="*/ 23251 w 2898895"/>
              <a:gd name="connsiteY181" fmla="*/ 619030 h 657179"/>
              <a:gd name="connsiteX182" fmla="*/ 27823 w 2898895"/>
              <a:gd name="connsiteY182" fmla="*/ 610858 h 657179"/>
              <a:gd name="connsiteX183" fmla="*/ 29471 w 2898895"/>
              <a:gd name="connsiteY183" fmla="*/ 603019 h 657179"/>
              <a:gd name="connsiteX184" fmla="*/ 29766 w 2898895"/>
              <a:gd name="connsiteY184" fmla="*/ 597180 h 657179"/>
              <a:gd name="connsiteX185" fmla="*/ 1491073 w 2898895"/>
              <a:gd name="connsiteY185" fmla="*/ 115805 h 657179"/>
              <a:gd name="connsiteX186" fmla="*/ 1491073 w 2898895"/>
              <a:gd name="connsiteY186" fmla="*/ 282312 h 657179"/>
              <a:gd name="connsiteX187" fmla="*/ 1705014 w 2898895"/>
              <a:gd name="connsiteY187" fmla="*/ 282312 h 657179"/>
              <a:gd name="connsiteX188" fmla="*/ 1726988 w 2898895"/>
              <a:gd name="connsiteY188" fmla="*/ 282141 h 657179"/>
              <a:gd name="connsiteX189" fmla="*/ 1771660 w 2898895"/>
              <a:gd name="connsiteY189" fmla="*/ 279569 h 657179"/>
              <a:gd name="connsiteX190" fmla="*/ 1771984 w 2898895"/>
              <a:gd name="connsiteY190" fmla="*/ 279521 h 657179"/>
              <a:gd name="connsiteX191" fmla="*/ 1807798 w 2898895"/>
              <a:gd name="connsiteY191" fmla="*/ 267891 h 657179"/>
              <a:gd name="connsiteX192" fmla="*/ 1840650 w 2898895"/>
              <a:gd name="connsiteY192" fmla="*/ 223333 h 657179"/>
              <a:gd name="connsiteX193" fmla="*/ 1843145 w 2898895"/>
              <a:gd name="connsiteY193" fmla="*/ 199063 h 657179"/>
              <a:gd name="connsiteX194" fmla="*/ 1840345 w 2898895"/>
              <a:gd name="connsiteY194" fmla="*/ 173498 h 657179"/>
              <a:gd name="connsiteX195" fmla="*/ 1807798 w 2898895"/>
              <a:gd name="connsiteY195" fmla="*/ 130226 h 657179"/>
              <a:gd name="connsiteX196" fmla="*/ 1772222 w 2898895"/>
              <a:gd name="connsiteY196" fmla="*/ 118368 h 657179"/>
              <a:gd name="connsiteX197" fmla="*/ 1761059 w 2898895"/>
              <a:gd name="connsiteY197" fmla="*/ 117253 h 657179"/>
              <a:gd name="connsiteX198" fmla="*/ 1708300 w 2898895"/>
              <a:gd name="connsiteY198" fmla="*/ 115815 h 657179"/>
              <a:gd name="connsiteX199" fmla="*/ 1705014 w 2898895"/>
              <a:gd name="connsiteY199" fmla="*/ 115805 h 657179"/>
              <a:gd name="connsiteX200" fmla="*/ 451600 w 2898895"/>
              <a:gd name="connsiteY200" fmla="*/ 305096 h 657179"/>
              <a:gd name="connsiteX201" fmla="*/ 466487 w 2898895"/>
              <a:gd name="connsiteY201" fmla="*/ 305096 h 657179"/>
              <a:gd name="connsiteX202" fmla="*/ 466487 w 2898895"/>
              <a:gd name="connsiteY202" fmla="*/ 466021 h 657179"/>
              <a:gd name="connsiteX203" fmla="*/ 451600 w 2898895"/>
              <a:gd name="connsiteY203" fmla="*/ 466021 h 657179"/>
              <a:gd name="connsiteX204" fmla="*/ 448761 w 2898895"/>
              <a:gd name="connsiteY204" fmla="*/ 457410 h 657179"/>
              <a:gd name="connsiteX205" fmla="*/ 440970 w 2898895"/>
              <a:gd name="connsiteY205" fmla="*/ 444170 h 657179"/>
              <a:gd name="connsiteX206" fmla="*/ 439513 w 2898895"/>
              <a:gd name="connsiteY206" fmla="*/ 442770 h 657179"/>
              <a:gd name="connsiteX207" fmla="*/ 431331 w 2898895"/>
              <a:gd name="connsiteY207" fmla="*/ 438198 h 657179"/>
              <a:gd name="connsiteX208" fmla="*/ 423491 w 2898895"/>
              <a:gd name="connsiteY208" fmla="*/ 436550 h 657179"/>
              <a:gd name="connsiteX209" fmla="*/ 417653 w 2898895"/>
              <a:gd name="connsiteY209" fmla="*/ 436255 h 657179"/>
              <a:gd name="connsiteX210" fmla="*/ 303238 w 2898895"/>
              <a:gd name="connsiteY210" fmla="*/ 436255 h 657179"/>
              <a:gd name="connsiteX211" fmla="*/ 294761 w 2898895"/>
              <a:gd name="connsiteY211" fmla="*/ 436979 h 657179"/>
              <a:gd name="connsiteX212" fmla="*/ 286265 w 2898895"/>
              <a:gd name="connsiteY212" fmla="*/ 439817 h 657179"/>
              <a:gd name="connsiteX213" fmla="*/ 281607 w 2898895"/>
              <a:gd name="connsiteY213" fmla="*/ 442999 h 657179"/>
              <a:gd name="connsiteX214" fmla="*/ 270091 w 2898895"/>
              <a:gd name="connsiteY214" fmla="*/ 464744 h 657179"/>
              <a:gd name="connsiteX215" fmla="*/ 269748 w 2898895"/>
              <a:gd name="connsiteY215" fmla="*/ 466021 h 657179"/>
              <a:gd name="connsiteX216" fmla="*/ 254870 w 2898895"/>
              <a:gd name="connsiteY216" fmla="*/ 466021 h 657179"/>
              <a:gd name="connsiteX217" fmla="*/ 254870 w 2898895"/>
              <a:gd name="connsiteY217" fmla="*/ 305096 h 657179"/>
              <a:gd name="connsiteX218" fmla="*/ 269748 w 2898895"/>
              <a:gd name="connsiteY218" fmla="*/ 305096 h 657179"/>
              <a:gd name="connsiteX219" fmla="*/ 281607 w 2898895"/>
              <a:gd name="connsiteY219" fmla="*/ 328584 h 657179"/>
              <a:gd name="connsiteX220" fmla="*/ 291170 w 2898895"/>
              <a:gd name="connsiteY220" fmla="*/ 333747 h 657179"/>
              <a:gd name="connsiteX221" fmla="*/ 303238 w 2898895"/>
              <a:gd name="connsiteY221" fmla="*/ 335328 h 657179"/>
              <a:gd name="connsiteX222" fmla="*/ 417653 w 2898895"/>
              <a:gd name="connsiteY222" fmla="*/ 335328 h 657179"/>
              <a:gd name="connsiteX223" fmla="*/ 425882 w 2898895"/>
              <a:gd name="connsiteY223" fmla="*/ 334709 h 657179"/>
              <a:gd name="connsiteX224" fmla="*/ 433731 w 2898895"/>
              <a:gd name="connsiteY224" fmla="*/ 332461 h 657179"/>
              <a:gd name="connsiteX225" fmla="*/ 439513 w 2898895"/>
              <a:gd name="connsiteY225" fmla="*/ 328823 h 657179"/>
              <a:gd name="connsiteX226" fmla="*/ 444094 w 2898895"/>
              <a:gd name="connsiteY226" fmla="*/ 323393 h 657179"/>
              <a:gd name="connsiteX227" fmla="*/ 450666 w 2898895"/>
              <a:gd name="connsiteY227" fmla="*/ 308353 h 657179"/>
              <a:gd name="connsiteX228" fmla="*/ 451600 w 2898895"/>
              <a:gd name="connsiteY228" fmla="*/ 305096 h 6571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Lst>
            <a:rect l="l" t="t" r="r" b="b"/>
            <a:pathLst>
              <a:path w="2898895" h="657179">
                <a:moveTo>
                  <a:pt x="2730532" y="207436"/>
                </a:moveTo>
                <a:lnTo>
                  <a:pt x="2483568" y="637175"/>
                </a:lnTo>
                <a:lnTo>
                  <a:pt x="2249634" y="207436"/>
                </a:lnTo>
                <a:lnTo>
                  <a:pt x="2249634" y="597180"/>
                </a:lnTo>
                <a:cubicBezTo>
                  <a:pt x="2249615" y="599935"/>
                  <a:pt x="2249825" y="602687"/>
                  <a:pt x="2250253" y="605410"/>
                </a:cubicBezTo>
                <a:cubicBezTo>
                  <a:pt x="2250729" y="608317"/>
                  <a:pt x="2251482" y="610934"/>
                  <a:pt x="2252501" y="613258"/>
                </a:cubicBezTo>
                <a:cubicBezTo>
                  <a:pt x="2253416" y="615356"/>
                  <a:pt x="2254644" y="617301"/>
                  <a:pt x="2256140" y="619030"/>
                </a:cubicBezTo>
                <a:cubicBezTo>
                  <a:pt x="2257797" y="620870"/>
                  <a:pt x="2259693" y="622474"/>
                  <a:pt x="2261788" y="623793"/>
                </a:cubicBezTo>
                <a:cubicBezTo>
                  <a:pt x="2265579" y="626250"/>
                  <a:pt x="2270475" y="628410"/>
                  <a:pt x="2276466" y="630270"/>
                </a:cubicBezTo>
                <a:cubicBezTo>
                  <a:pt x="2277438" y="630570"/>
                  <a:pt x="2278419" y="630856"/>
                  <a:pt x="2279400" y="631127"/>
                </a:cubicBezTo>
                <a:lnTo>
                  <a:pt x="2279400" y="646015"/>
                </a:lnTo>
                <a:lnTo>
                  <a:pt x="2092900" y="646015"/>
                </a:lnTo>
                <a:lnTo>
                  <a:pt x="2092900" y="631127"/>
                </a:lnTo>
                <a:cubicBezTo>
                  <a:pt x="2095815" y="630328"/>
                  <a:pt x="2098682" y="629381"/>
                  <a:pt x="2101501" y="628289"/>
                </a:cubicBezTo>
                <a:cubicBezTo>
                  <a:pt x="2107226" y="626047"/>
                  <a:pt x="2111636" y="623450"/>
                  <a:pt x="2114741" y="620497"/>
                </a:cubicBezTo>
                <a:cubicBezTo>
                  <a:pt x="2115236" y="620030"/>
                  <a:pt x="2115703" y="619541"/>
                  <a:pt x="2116151" y="619030"/>
                </a:cubicBezTo>
                <a:cubicBezTo>
                  <a:pt x="2118199" y="616637"/>
                  <a:pt x="2119751" y="613858"/>
                  <a:pt x="2120713" y="610858"/>
                </a:cubicBezTo>
                <a:cubicBezTo>
                  <a:pt x="2121504" y="608502"/>
                  <a:pt x="2122056" y="605889"/>
                  <a:pt x="2122361" y="603019"/>
                </a:cubicBezTo>
                <a:cubicBezTo>
                  <a:pt x="2122571" y="601079"/>
                  <a:pt x="2122666" y="599131"/>
                  <a:pt x="2122666" y="597180"/>
                </a:cubicBezTo>
                <a:lnTo>
                  <a:pt x="2122666" y="59532"/>
                </a:lnTo>
                <a:cubicBezTo>
                  <a:pt x="2122685" y="56823"/>
                  <a:pt x="2122466" y="54118"/>
                  <a:pt x="2122028" y="51445"/>
                </a:cubicBezTo>
                <a:cubicBezTo>
                  <a:pt x="2121523" y="48473"/>
                  <a:pt x="2120704" y="45803"/>
                  <a:pt x="2119589" y="43434"/>
                </a:cubicBezTo>
                <a:cubicBezTo>
                  <a:pt x="2118694" y="41518"/>
                  <a:pt x="2117541" y="39735"/>
                  <a:pt x="2116151" y="38139"/>
                </a:cubicBezTo>
                <a:cubicBezTo>
                  <a:pt x="2114493" y="36298"/>
                  <a:pt x="2112598" y="34695"/>
                  <a:pt x="2110502" y="33376"/>
                </a:cubicBezTo>
                <a:cubicBezTo>
                  <a:pt x="2106712" y="30919"/>
                  <a:pt x="2101816" y="28763"/>
                  <a:pt x="2095824" y="26909"/>
                </a:cubicBezTo>
                <a:cubicBezTo>
                  <a:pt x="2094853" y="26609"/>
                  <a:pt x="2093881" y="26323"/>
                  <a:pt x="2092900" y="26051"/>
                </a:cubicBezTo>
                <a:lnTo>
                  <a:pt x="2092900" y="11164"/>
                </a:lnTo>
                <a:lnTo>
                  <a:pt x="2337531" y="11164"/>
                </a:lnTo>
                <a:lnTo>
                  <a:pt x="2337531" y="26051"/>
                </a:lnTo>
                <a:cubicBezTo>
                  <a:pt x="2322958" y="29772"/>
                  <a:pt x="2315671" y="38297"/>
                  <a:pt x="2315671" y="51626"/>
                </a:cubicBezTo>
                <a:cubicBezTo>
                  <a:pt x="2315700" y="54334"/>
                  <a:pt x="2316062" y="57028"/>
                  <a:pt x="2316747" y="59646"/>
                </a:cubicBezTo>
                <a:cubicBezTo>
                  <a:pt x="2317795" y="63773"/>
                  <a:pt x="2319605" y="68231"/>
                  <a:pt x="2322186" y="73019"/>
                </a:cubicBezTo>
                <a:lnTo>
                  <a:pt x="2495198" y="392069"/>
                </a:lnTo>
                <a:lnTo>
                  <a:pt x="2670534" y="78601"/>
                </a:lnTo>
                <a:cubicBezTo>
                  <a:pt x="2672220" y="75513"/>
                  <a:pt x="2673821" y="72381"/>
                  <a:pt x="2675345" y="69209"/>
                </a:cubicBezTo>
                <a:cubicBezTo>
                  <a:pt x="2679888" y="59684"/>
                  <a:pt x="2682164" y="52429"/>
                  <a:pt x="2682164" y="47444"/>
                </a:cubicBezTo>
                <a:cubicBezTo>
                  <a:pt x="2682164" y="34732"/>
                  <a:pt x="2674411" y="27601"/>
                  <a:pt x="2658904" y="26051"/>
                </a:cubicBezTo>
                <a:lnTo>
                  <a:pt x="2658904" y="11164"/>
                </a:lnTo>
                <a:lnTo>
                  <a:pt x="2898896" y="11164"/>
                </a:lnTo>
                <a:lnTo>
                  <a:pt x="2898896" y="26051"/>
                </a:lnTo>
                <a:cubicBezTo>
                  <a:pt x="2895982" y="26847"/>
                  <a:pt x="2893105" y="27791"/>
                  <a:pt x="2890286" y="28880"/>
                </a:cubicBezTo>
                <a:cubicBezTo>
                  <a:pt x="2884561" y="31128"/>
                  <a:pt x="2880151" y="33728"/>
                  <a:pt x="2877046" y="36681"/>
                </a:cubicBezTo>
                <a:cubicBezTo>
                  <a:pt x="2876551" y="37145"/>
                  <a:pt x="2876084" y="37631"/>
                  <a:pt x="2875636" y="38139"/>
                </a:cubicBezTo>
                <a:cubicBezTo>
                  <a:pt x="2873455" y="40686"/>
                  <a:pt x="2871826" y="43661"/>
                  <a:pt x="2870855" y="46873"/>
                </a:cubicBezTo>
                <a:cubicBezTo>
                  <a:pt x="2870102" y="49267"/>
                  <a:pt x="2869588" y="51905"/>
                  <a:pt x="2869331" y="54788"/>
                </a:cubicBezTo>
                <a:cubicBezTo>
                  <a:pt x="2869197" y="56366"/>
                  <a:pt x="2869131" y="57948"/>
                  <a:pt x="2869131" y="59532"/>
                </a:cubicBezTo>
                <a:lnTo>
                  <a:pt x="2869131" y="597180"/>
                </a:lnTo>
                <a:cubicBezTo>
                  <a:pt x="2869112" y="599935"/>
                  <a:pt x="2869321" y="602687"/>
                  <a:pt x="2869750" y="605410"/>
                </a:cubicBezTo>
                <a:cubicBezTo>
                  <a:pt x="2870226" y="608317"/>
                  <a:pt x="2870979" y="610934"/>
                  <a:pt x="2871998" y="613258"/>
                </a:cubicBezTo>
                <a:cubicBezTo>
                  <a:pt x="2872912" y="615356"/>
                  <a:pt x="2874141" y="617301"/>
                  <a:pt x="2875636" y="619030"/>
                </a:cubicBezTo>
                <a:cubicBezTo>
                  <a:pt x="2877294" y="620870"/>
                  <a:pt x="2879189" y="622474"/>
                  <a:pt x="2881285" y="623793"/>
                </a:cubicBezTo>
                <a:cubicBezTo>
                  <a:pt x="2885075" y="626250"/>
                  <a:pt x="2889971" y="628410"/>
                  <a:pt x="2895962" y="630270"/>
                </a:cubicBezTo>
                <a:cubicBezTo>
                  <a:pt x="2896934" y="630570"/>
                  <a:pt x="2897915" y="630856"/>
                  <a:pt x="2898896" y="631127"/>
                </a:cubicBezTo>
                <a:lnTo>
                  <a:pt x="2898896" y="646015"/>
                </a:lnTo>
                <a:lnTo>
                  <a:pt x="2700767" y="646015"/>
                </a:lnTo>
                <a:lnTo>
                  <a:pt x="2700767" y="631127"/>
                </a:lnTo>
                <a:cubicBezTo>
                  <a:pt x="2703615" y="630407"/>
                  <a:pt x="2706415" y="629530"/>
                  <a:pt x="2709168" y="628498"/>
                </a:cubicBezTo>
                <a:cubicBezTo>
                  <a:pt x="2715226" y="626193"/>
                  <a:pt x="2719864" y="623374"/>
                  <a:pt x="2723084" y="620040"/>
                </a:cubicBezTo>
                <a:cubicBezTo>
                  <a:pt x="2723322" y="619788"/>
                  <a:pt x="2723560" y="619531"/>
                  <a:pt x="2723789" y="619268"/>
                </a:cubicBezTo>
                <a:cubicBezTo>
                  <a:pt x="2727484" y="615058"/>
                  <a:pt x="2729666" y="609327"/>
                  <a:pt x="2730323" y="602076"/>
                </a:cubicBezTo>
                <a:cubicBezTo>
                  <a:pt x="2730466" y="600448"/>
                  <a:pt x="2730532" y="598814"/>
                  <a:pt x="2730532" y="597180"/>
                </a:cubicBezTo>
                <a:close/>
                <a:moveTo>
                  <a:pt x="1126446" y="436722"/>
                </a:moveTo>
                <a:lnTo>
                  <a:pt x="1139000" y="427883"/>
                </a:lnTo>
                <a:lnTo>
                  <a:pt x="1227363" y="560432"/>
                </a:lnTo>
                <a:lnTo>
                  <a:pt x="1215276" y="568805"/>
                </a:lnTo>
                <a:cubicBezTo>
                  <a:pt x="1213343" y="566999"/>
                  <a:pt x="1211323" y="565283"/>
                  <a:pt x="1209237" y="563661"/>
                </a:cubicBezTo>
                <a:cubicBezTo>
                  <a:pt x="1205132" y="560492"/>
                  <a:pt x="1201436" y="558406"/>
                  <a:pt x="1198160" y="557404"/>
                </a:cubicBezTo>
                <a:cubicBezTo>
                  <a:pt x="1196779" y="556964"/>
                  <a:pt x="1195331" y="556734"/>
                  <a:pt x="1193883" y="556718"/>
                </a:cubicBezTo>
                <a:cubicBezTo>
                  <a:pt x="1188301" y="556718"/>
                  <a:pt x="1172642" y="564157"/>
                  <a:pt x="1146906" y="579035"/>
                </a:cubicBezTo>
                <a:cubicBezTo>
                  <a:pt x="1131294" y="588058"/>
                  <a:pt x="1115445" y="596678"/>
                  <a:pt x="1099386" y="604886"/>
                </a:cubicBezTo>
                <a:cubicBezTo>
                  <a:pt x="1066353" y="621694"/>
                  <a:pt x="1037311" y="633775"/>
                  <a:pt x="1012260" y="641128"/>
                </a:cubicBezTo>
                <a:cubicBezTo>
                  <a:pt x="975827" y="651822"/>
                  <a:pt x="932501" y="657168"/>
                  <a:pt x="882273" y="657168"/>
                </a:cubicBezTo>
                <a:cubicBezTo>
                  <a:pt x="846305" y="657406"/>
                  <a:pt x="810411" y="653914"/>
                  <a:pt x="775164" y="646748"/>
                </a:cubicBezTo>
                <a:cubicBezTo>
                  <a:pt x="721850" y="635534"/>
                  <a:pt x="675387" y="615290"/>
                  <a:pt x="635775" y="586017"/>
                </a:cubicBezTo>
                <a:cubicBezTo>
                  <a:pt x="597949" y="558420"/>
                  <a:pt x="568183" y="524158"/>
                  <a:pt x="546478" y="483232"/>
                </a:cubicBezTo>
                <a:cubicBezTo>
                  <a:pt x="522372" y="437954"/>
                  <a:pt x="509483" y="387554"/>
                  <a:pt x="508893" y="336262"/>
                </a:cubicBezTo>
                <a:cubicBezTo>
                  <a:pt x="508836" y="333627"/>
                  <a:pt x="508808" y="330991"/>
                  <a:pt x="508807" y="328356"/>
                </a:cubicBezTo>
                <a:cubicBezTo>
                  <a:pt x="508807" y="251463"/>
                  <a:pt x="531286" y="184645"/>
                  <a:pt x="576244" y="127902"/>
                </a:cubicBezTo>
                <a:cubicBezTo>
                  <a:pt x="643141" y="43511"/>
                  <a:pt x="743906" y="883"/>
                  <a:pt x="878539" y="20"/>
                </a:cubicBezTo>
                <a:cubicBezTo>
                  <a:pt x="879939" y="9"/>
                  <a:pt x="881339" y="2"/>
                  <a:pt x="882739" y="0"/>
                </a:cubicBezTo>
                <a:cubicBezTo>
                  <a:pt x="932968" y="0"/>
                  <a:pt x="976065" y="5271"/>
                  <a:pt x="1012032" y="15812"/>
                </a:cubicBezTo>
                <a:cubicBezTo>
                  <a:pt x="1024357" y="19492"/>
                  <a:pt x="1036492" y="23794"/>
                  <a:pt x="1048389" y="28699"/>
                </a:cubicBezTo>
                <a:cubicBezTo>
                  <a:pt x="1075078" y="39570"/>
                  <a:pt x="1105472" y="54655"/>
                  <a:pt x="1139572" y="73953"/>
                </a:cubicBezTo>
                <a:cubicBezTo>
                  <a:pt x="1142019" y="75338"/>
                  <a:pt x="1144467" y="76732"/>
                  <a:pt x="1146906" y="78134"/>
                </a:cubicBezTo>
                <a:cubicBezTo>
                  <a:pt x="1151354" y="80656"/>
                  <a:pt x="1155821" y="83133"/>
                  <a:pt x="1160317" y="85564"/>
                </a:cubicBezTo>
                <a:cubicBezTo>
                  <a:pt x="1178157" y="95184"/>
                  <a:pt x="1189349" y="99994"/>
                  <a:pt x="1193883" y="99994"/>
                </a:cubicBezTo>
                <a:cubicBezTo>
                  <a:pt x="1199465" y="99994"/>
                  <a:pt x="1206599" y="95965"/>
                  <a:pt x="1215276" y="87907"/>
                </a:cubicBezTo>
                <a:lnTo>
                  <a:pt x="1227363" y="96279"/>
                </a:lnTo>
                <a:lnTo>
                  <a:pt x="1139000" y="228829"/>
                </a:lnTo>
                <a:lnTo>
                  <a:pt x="1126446" y="220457"/>
                </a:lnTo>
                <a:cubicBezTo>
                  <a:pt x="1126665" y="218717"/>
                  <a:pt x="1126856" y="216973"/>
                  <a:pt x="1127008" y="215227"/>
                </a:cubicBezTo>
                <a:cubicBezTo>
                  <a:pt x="1127246" y="212478"/>
                  <a:pt x="1127370" y="210033"/>
                  <a:pt x="1127370" y="207893"/>
                </a:cubicBezTo>
                <a:cubicBezTo>
                  <a:pt x="1127332" y="201869"/>
                  <a:pt x="1125598" y="195974"/>
                  <a:pt x="1122369" y="190891"/>
                </a:cubicBezTo>
                <a:cubicBezTo>
                  <a:pt x="1120483" y="187871"/>
                  <a:pt x="1118264" y="185071"/>
                  <a:pt x="1115750" y="182547"/>
                </a:cubicBezTo>
                <a:cubicBezTo>
                  <a:pt x="1113235" y="180031"/>
                  <a:pt x="1110568" y="177673"/>
                  <a:pt x="1107768" y="175489"/>
                </a:cubicBezTo>
                <a:cubicBezTo>
                  <a:pt x="1099757" y="169152"/>
                  <a:pt x="1088613" y="161970"/>
                  <a:pt x="1074354" y="153944"/>
                </a:cubicBezTo>
                <a:cubicBezTo>
                  <a:pt x="1021300" y="123425"/>
                  <a:pt x="961149" y="107390"/>
                  <a:pt x="899942" y="107442"/>
                </a:cubicBezTo>
                <a:cubicBezTo>
                  <a:pt x="827393" y="107442"/>
                  <a:pt x="769570" y="125578"/>
                  <a:pt x="726472" y="161849"/>
                </a:cubicBezTo>
                <a:cubicBezTo>
                  <a:pt x="681522" y="198128"/>
                  <a:pt x="654048" y="251754"/>
                  <a:pt x="650863" y="309430"/>
                </a:cubicBezTo>
                <a:cubicBezTo>
                  <a:pt x="650413" y="315729"/>
                  <a:pt x="650191" y="322041"/>
                  <a:pt x="650196" y="328356"/>
                </a:cubicBezTo>
                <a:cubicBezTo>
                  <a:pt x="649837" y="357478"/>
                  <a:pt x="655156" y="386393"/>
                  <a:pt x="665855" y="413481"/>
                </a:cubicBezTo>
                <a:cubicBezTo>
                  <a:pt x="678988" y="445219"/>
                  <a:pt x="699821" y="473185"/>
                  <a:pt x="726472" y="494853"/>
                </a:cubicBezTo>
                <a:cubicBezTo>
                  <a:pt x="769570" y="531131"/>
                  <a:pt x="827393" y="549269"/>
                  <a:pt x="899942" y="549269"/>
                </a:cubicBezTo>
                <a:cubicBezTo>
                  <a:pt x="961149" y="549319"/>
                  <a:pt x="1021300" y="533280"/>
                  <a:pt x="1074354" y="502759"/>
                </a:cubicBezTo>
                <a:cubicBezTo>
                  <a:pt x="1094194" y="491602"/>
                  <a:pt x="1107996" y="482070"/>
                  <a:pt x="1115750" y="474164"/>
                </a:cubicBezTo>
                <a:cubicBezTo>
                  <a:pt x="1118369" y="471533"/>
                  <a:pt x="1120664" y="468601"/>
                  <a:pt x="1122598" y="465430"/>
                </a:cubicBezTo>
                <a:cubicBezTo>
                  <a:pt x="1125684" y="460435"/>
                  <a:pt x="1127341" y="454683"/>
                  <a:pt x="1127370" y="448809"/>
                </a:cubicBezTo>
                <a:cubicBezTo>
                  <a:pt x="1127370" y="447443"/>
                  <a:pt x="1127332" y="446077"/>
                  <a:pt x="1127246" y="444713"/>
                </a:cubicBezTo>
                <a:cubicBezTo>
                  <a:pt x="1127151" y="443202"/>
                  <a:pt x="1127008" y="441592"/>
                  <a:pt x="1126827" y="439884"/>
                </a:cubicBezTo>
                <a:cubicBezTo>
                  <a:pt x="1126713" y="438829"/>
                  <a:pt x="1126589" y="437774"/>
                  <a:pt x="1126446" y="436722"/>
                </a:cubicBezTo>
                <a:close/>
                <a:moveTo>
                  <a:pt x="1660360" y="386954"/>
                </a:moveTo>
                <a:lnTo>
                  <a:pt x="1491073" y="386954"/>
                </a:lnTo>
                <a:lnTo>
                  <a:pt x="1491073" y="597637"/>
                </a:lnTo>
                <a:cubicBezTo>
                  <a:pt x="1491054" y="600482"/>
                  <a:pt x="1491292" y="603324"/>
                  <a:pt x="1491797" y="606124"/>
                </a:cubicBezTo>
                <a:cubicBezTo>
                  <a:pt x="1492387" y="609286"/>
                  <a:pt x="1493330" y="612115"/>
                  <a:pt x="1494635" y="614611"/>
                </a:cubicBezTo>
                <a:cubicBezTo>
                  <a:pt x="1495502" y="616285"/>
                  <a:pt x="1496568" y="617849"/>
                  <a:pt x="1497816" y="619268"/>
                </a:cubicBezTo>
                <a:cubicBezTo>
                  <a:pt x="1502131" y="624183"/>
                  <a:pt x="1509380" y="628025"/>
                  <a:pt x="1519562" y="630794"/>
                </a:cubicBezTo>
                <a:cubicBezTo>
                  <a:pt x="1519990" y="630908"/>
                  <a:pt x="1520410" y="631018"/>
                  <a:pt x="1520838" y="631127"/>
                </a:cubicBezTo>
                <a:lnTo>
                  <a:pt x="1520838" y="646015"/>
                </a:lnTo>
                <a:lnTo>
                  <a:pt x="1322709" y="646015"/>
                </a:lnTo>
                <a:lnTo>
                  <a:pt x="1322709" y="631127"/>
                </a:lnTo>
                <a:cubicBezTo>
                  <a:pt x="1325623" y="630329"/>
                  <a:pt x="1328500" y="629381"/>
                  <a:pt x="1331319" y="628289"/>
                </a:cubicBezTo>
                <a:cubicBezTo>
                  <a:pt x="1337044" y="626047"/>
                  <a:pt x="1341454" y="623450"/>
                  <a:pt x="1344559" y="620497"/>
                </a:cubicBezTo>
                <a:cubicBezTo>
                  <a:pt x="1345054" y="620030"/>
                  <a:pt x="1345521" y="619541"/>
                  <a:pt x="1345969" y="619030"/>
                </a:cubicBezTo>
                <a:cubicBezTo>
                  <a:pt x="1348150" y="616481"/>
                  <a:pt x="1349769" y="613507"/>
                  <a:pt x="1350741" y="610296"/>
                </a:cubicBezTo>
                <a:cubicBezTo>
                  <a:pt x="1351503" y="607908"/>
                  <a:pt x="1352017" y="605269"/>
                  <a:pt x="1352274" y="602381"/>
                </a:cubicBezTo>
                <a:cubicBezTo>
                  <a:pt x="1352408" y="600803"/>
                  <a:pt x="1352474" y="599220"/>
                  <a:pt x="1352474" y="597637"/>
                </a:cubicBezTo>
                <a:lnTo>
                  <a:pt x="1352474" y="59998"/>
                </a:lnTo>
                <a:cubicBezTo>
                  <a:pt x="1352493" y="57243"/>
                  <a:pt x="1352284" y="54491"/>
                  <a:pt x="1351855" y="51769"/>
                </a:cubicBezTo>
                <a:cubicBezTo>
                  <a:pt x="1351379" y="48854"/>
                  <a:pt x="1350627" y="46238"/>
                  <a:pt x="1349598" y="43920"/>
                </a:cubicBezTo>
                <a:cubicBezTo>
                  <a:pt x="1348693" y="41820"/>
                  <a:pt x="1347464" y="39871"/>
                  <a:pt x="1345969" y="38139"/>
                </a:cubicBezTo>
                <a:cubicBezTo>
                  <a:pt x="1344311" y="36298"/>
                  <a:pt x="1342416" y="34695"/>
                  <a:pt x="1340320" y="33376"/>
                </a:cubicBezTo>
                <a:cubicBezTo>
                  <a:pt x="1336529" y="30919"/>
                  <a:pt x="1331634" y="28763"/>
                  <a:pt x="1325642" y="26909"/>
                </a:cubicBezTo>
                <a:cubicBezTo>
                  <a:pt x="1324671" y="26608"/>
                  <a:pt x="1323690" y="26323"/>
                  <a:pt x="1322709" y="26051"/>
                </a:cubicBezTo>
                <a:lnTo>
                  <a:pt x="1322709" y="11164"/>
                </a:lnTo>
                <a:lnTo>
                  <a:pt x="1719892" y="11164"/>
                </a:lnTo>
                <a:cubicBezTo>
                  <a:pt x="1734036" y="11145"/>
                  <a:pt x="1748181" y="11418"/>
                  <a:pt x="1762316" y="11983"/>
                </a:cubicBezTo>
                <a:cubicBezTo>
                  <a:pt x="1791272" y="13183"/>
                  <a:pt x="1815504" y="15701"/>
                  <a:pt x="1835001" y="19536"/>
                </a:cubicBezTo>
                <a:cubicBezTo>
                  <a:pt x="1850127" y="22435"/>
                  <a:pt x="1864919" y="26881"/>
                  <a:pt x="1879140" y="32805"/>
                </a:cubicBezTo>
                <a:cubicBezTo>
                  <a:pt x="1889627" y="37207"/>
                  <a:pt x="1899686" y="42574"/>
                  <a:pt x="1909182" y="48835"/>
                </a:cubicBezTo>
                <a:cubicBezTo>
                  <a:pt x="1933547" y="64801"/>
                  <a:pt x="1952645" y="87618"/>
                  <a:pt x="1964065" y="114415"/>
                </a:cubicBezTo>
                <a:cubicBezTo>
                  <a:pt x="1975543" y="141078"/>
                  <a:pt x="1981277" y="169603"/>
                  <a:pt x="1981277" y="199987"/>
                </a:cubicBezTo>
                <a:cubicBezTo>
                  <a:pt x="1981277" y="303550"/>
                  <a:pt x="1923765" y="364167"/>
                  <a:pt x="1808731" y="381839"/>
                </a:cubicBezTo>
                <a:lnTo>
                  <a:pt x="1931975" y="557175"/>
                </a:lnTo>
                <a:cubicBezTo>
                  <a:pt x="1951368" y="584600"/>
                  <a:pt x="1966123" y="603302"/>
                  <a:pt x="1976228" y="613277"/>
                </a:cubicBezTo>
                <a:cubicBezTo>
                  <a:pt x="1977333" y="614377"/>
                  <a:pt x="1978476" y="615444"/>
                  <a:pt x="1979648" y="616478"/>
                </a:cubicBezTo>
                <a:cubicBezTo>
                  <a:pt x="1988621" y="624316"/>
                  <a:pt x="1999765" y="629254"/>
                  <a:pt x="2011595" y="630641"/>
                </a:cubicBezTo>
                <a:cubicBezTo>
                  <a:pt x="2013262" y="630859"/>
                  <a:pt x="2014938" y="631022"/>
                  <a:pt x="2016624" y="631127"/>
                </a:cubicBezTo>
                <a:lnTo>
                  <a:pt x="2016624" y="646015"/>
                </a:lnTo>
                <a:lnTo>
                  <a:pt x="1786872" y="646015"/>
                </a:lnTo>
                <a:lnTo>
                  <a:pt x="1786872" y="631127"/>
                </a:lnTo>
                <a:cubicBezTo>
                  <a:pt x="1789748" y="630695"/>
                  <a:pt x="1792586" y="630077"/>
                  <a:pt x="1795377" y="629279"/>
                </a:cubicBezTo>
                <a:cubicBezTo>
                  <a:pt x="1801330" y="627533"/>
                  <a:pt x="1805531" y="625101"/>
                  <a:pt x="1807988" y="621983"/>
                </a:cubicBezTo>
                <a:cubicBezTo>
                  <a:pt x="1809712" y="619827"/>
                  <a:pt x="1810627" y="617141"/>
                  <a:pt x="1810589" y="614382"/>
                </a:cubicBezTo>
                <a:cubicBezTo>
                  <a:pt x="1810513" y="612813"/>
                  <a:pt x="1810179" y="611266"/>
                  <a:pt x="1809617" y="609801"/>
                </a:cubicBezTo>
                <a:cubicBezTo>
                  <a:pt x="1807188" y="602764"/>
                  <a:pt x="1800226" y="590805"/>
                  <a:pt x="1788729" y="573920"/>
                </a:cubicBezTo>
                <a:close/>
                <a:moveTo>
                  <a:pt x="29766" y="597180"/>
                </a:moveTo>
                <a:lnTo>
                  <a:pt x="29766" y="59532"/>
                </a:lnTo>
                <a:cubicBezTo>
                  <a:pt x="29781" y="56823"/>
                  <a:pt x="29568" y="54118"/>
                  <a:pt x="29128" y="51445"/>
                </a:cubicBezTo>
                <a:cubicBezTo>
                  <a:pt x="28620" y="48473"/>
                  <a:pt x="27807" y="45803"/>
                  <a:pt x="26690" y="43434"/>
                </a:cubicBezTo>
                <a:cubicBezTo>
                  <a:pt x="25796" y="41518"/>
                  <a:pt x="24638" y="39735"/>
                  <a:pt x="23251" y="38139"/>
                </a:cubicBezTo>
                <a:cubicBezTo>
                  <a:pt x="21600" y="36299"/>
                  <a:pt x="19702" y="34696"/>
                  <a:pt x="17612" y="33376"/>
                </a:cubicBezTo>
                <a:cubicBezTo>
                  <a:pt x="13821" y="30919"/>
                  <a:pt x="8929" y="28763"/>
                  <a:pt x="2934" y="26909"/>
                </a:cubicBezTo>
                <a:cubicBezTo>
                  <a:pt x="1961" y="26608"/>
                  <a:pt x="983" y="26323"/>
                  <a:pt x="0" y="26051"/>
                </a:cubicBezTo>
                <a:lnTo>
                  <a:pt x="0" y="11164"/>
                </a:lnTo>
                <a:lnTo>
                  <a:pt x="198130" y="11164"/>
                </a:lnTo>
                <a:lnTo>
                  <a:pt x="198130" y="26051"/>
                </a:lnTo>
                <a:cubicBezTo>
                  <a:pt x="186967" y="28839"/>
                  <a:pt x="179213" y="32792"/>
                  <a:pt x="174870" y="37910"/>
                </a:cubicBezTo>
                <a:cubicBezTo>
                  <a:pt x="171212" y="42222"/>
                  <a:pt x="169098" y="48016"/>
                  <a:pt x="168526" y="55293"/>
                </a:cubicBezTo>
                <a:cubicBezTo>
                  <a:pt x="168417" y="56703"/>
                  <a:pt x="168362" y="58117"/>
                  <a:pt x="168364" y="59532"/>
                </a:cubicBezTo>
                <a:lnTo>
                  <a:pt x="168364" y="597180"/>
                </a:lnTo>
                <a:cubicBezTo>
                  <a:pt x="168348" y="599975"/>
                  <a:pt x="168567" y="602766"/>
                  <a:pt x="169022" y="605524"/>
                </a:cubicBezTo>
                <a:cubicBezTo>
                  <a:pt x="169548" y="608603"/>
                  <a:pt x="170390" y="611363"/>
                  <a:pt x="171546" y="613801"/>
                </a:cubicBezTo>
                <a:cubicBezTo>
                  <a:pt x="172472" y="615781"/>
                  <a:pt x="173671" y="617622"/>
                  <a:pt x="175108" y="619268"/>
                </a:cubicBezTo>
                <a:cubicBezTo>
                  <a:pt x="179426" y="624183"/>
                  <a:pt x="186674" y="628025"/>
                  <a:pt x="196854" y="630794"/>
                </a:cubicBezTo>
                <a:cubicBezTo>
                  <a:pt x="197278" y="630908"/>
                  <a:pt x="197704" y="631018"/>
                  <a:pt x="198130" y="631127"/>
                </a:cubicBezTo>
                <a:lnTo>
                  <a:pt x="198130" y="646015"/>
                </a:lnTo>
                <a:lnTo>
                  <a:pt x="0" y="646015"/>
                </a:lnTo>
                <a:lnTo>
                  <a:pt x="0" y="631127"/>
                </a:lnTo>
                <a:cubicBezTo>
                  <a:pt x="2917" y="630329"/>
                  <a:pt x="5791" y="629381"/>
                  <a:pt x="8611" y="628289"/>
                </a:cubicBezTo>
                <a:cubicBezTo>
                  <a:pt x="14326" y="626047"/>
                  <a:pt x="18739" y="623450"/>
                  <a:pt x="21851" y="620497"/>
                </a:cubicBezTo>
                <a:cubicBezTo>
                  <a:pt x="22340" y="620029"/>
                  <a:pt x="22807" y="619541"/>
                  <a:pt x="23251" y="619030"/>
                </a:cubicBezTo>
                <a:cubicBezTo>
                  <a:pt x="25303" y="616638"/>
                  <a:pt x="26858" y="613859"/>
                  <a:pt x="27823" y="610858"/>
                </a:cubicBezTo>
                <a:cubicBezTo>
                  <a:pt x="28610" y="608502"/>
                  <a:pt x="29160" y="605889"/>
                  <a:pt x="29471" y="603019"/>
                </a:cubicBezTo>
                <a:cubicBezTo>
                  <a:pt x="29673" y="601079"/>
                  <a:pt x="29772" y="599130"/>
                  <a:pt x="29766" y="597180"/>
                </a:cubicBezTo>
                <a:close/>
                <a:moveTo>
                  <a:pt x="1491073" y="115805"/>
                </a:moveTo>
                <a:lnTo>
                  <a:pt x="1491073" y="282312"/>
                </a:lnTo>
                <a:lnTo>
                  <a:pt x="1705014" y="282312"/>
                </a:lnTo>
                <a:cubicBezTo>
                  <a:pt x="1712338" y="282318"/>
                  <a:pt x="1719663" y="282261"/>
                  <a:pt x="1726988" y="282141"/>
                </a:cubicBezTo>
                <a:cubicBezTo>
                  <a:pt x="1747000" y="281791"/>
                  <a:pt x="1761887" y="280934"/>
                  <a:pt x="1771660" y="279569"/>
                </a:cubicBezTo>
                <a:cubicBezTo>
                  <a:pt x="1771765" y="279553"/>
                  <a:pt x="1771879" y="279537"/>
                  <a:pt x="1771984" y="279521"/>
                </a:cubicBezTo>
                <a:cubicBezTo>
                  <a:pt x="1785005" y="277661"/>
                  <a:pt x="1796949" y="273784"/>
                  <a:pt x="1807798" y="267891"/>
                </a:cubicBezTo>
                <a:cubicBezTo>
                  <a:pt x="1824933" y="258786"/>
                  <a:pt x="1837021" y="242397"/>
                  <a:pt x="1840650" y="223333"/>
                </a:cubicBezTo>
                <a:cubicBezTo>
                  <a:pt x="1842374" y="215361"/>
                  <a:pt x="1843212" y="207221"/>
                  <a:pt x="1843145" y="199063"/>
                </a:cubicBezTo>
                <a:cubicBezTo>
                  <a:pt x="1843221" y="190461"/>
                  <a:pt x="1842288" y="181879"/>
                  <a:pt x="1840345" y="173498"/>
                </a:cubicBezTo>
                <a:cubicBezTo>
                  <a:pt x="1836459" y="154955"/>
                  <a:pt x="1824533" y="139099"/>
                  <a:pt x="1807798" y="130226"/>
                </a:cubicBezTo>
                <a:cubicBezTo>
                  <a:pt x="1796635" y="124028"/>
                  <a:pt x="1784776" y="120075"/>
                  <a:pt x="1772222" y="118368"/>
                </a:cubicBezTo>
                <a:cubicBezTo>
                  <a:pt x="1768517" y="117884"/>
                  <a:pt x="1764793" y="117512"/>
                  <a:pt x="1761059" y="117253"/>
                </a:cubicBezTo>
                <a:cubicBezTo>
                  <a:pt x="1748543" y="116332"/>
                  <a:pt x="1730960" y="115853"/>
                  <a:pt x="1708300" y="115815"/>
                </a:cubicBezTo>
                <a:cubicBezTo>
                  <a:pt x="1707204" y="115811"/>
                  <a:pt x="1706109" y="115807"/>
                  <a:pt x="1705014" y="115805"/>
                </a:cubicBezTo>
                <a:close/>
                <a:moveTo>
                  <a:pt x="451600" y="305096"/>
                </a:moveTo>
                <a:lnTo>
                  <a:pt x="466487" y="305096"/>
                </a:lnTo>
                <a:lnTo>
                  <a:pt x="466487" y="466021"/>
                </a:lnTo>
                <a:lnTo>
                  <a:pt x="451600" y="466021"/>
                </a:lnTo>
                <a:cubicBezTo>
                  <a:pt x="450801" y="463104"/>
                  <a:pt x="449854" y="460230"/>
                  <a:pt x="448761" y="457410"/>
                </a:cubicBezTo>
                <a:cubicBezTo>
                  <a:pt x="446520" y="451695"/>
                  <a:pt x="443923" y="447282"/>
                  <a:pt x="440970" y="444170"/>
                </a:cubicBezTo>
                <a:cubicBezTo>
                  <a:pt x="440506" y="443682"/>
                  <a:pt x="440019" y="443214"/>
                  <a:pt x="439513" y="442770"/>
                </a:cubicBezTo>
                <a:cubicBezTo>
                  <a:pt x="437117" y="440717"/>
                  <a:pt x="434335" y="439162"/>
                  <a:pt x="431331" y="438198"/>
                </a:cubicBezTo>
                <a:cubicBezTo>
                  <a:pt x="428975" y="437410"/>
                  <a:pt x="426361" y="436862"/>
                  <a:pt x="423491" y="436550"/>
                </a:cubicBezTo>
                <a:cubicBezTo>
                  <a:pt x="421552" y="436347"/>
                  <a:pt x="419602" y="436249"/>
                  <a:pt x="417653" y="436255"/>
                </a:cubicBezTo>
                <a:lnTo>
                  <a:pt x="303238" y="436255"/>
                </a:lnTo>
                <a:cubicBezTo>
                  <a:pt x="300396" y="436236"/>
                  <a:pt x="297559" y="436479"/>
                  <a:pt x="294761" y="436979"/>
                </a:cubicBezTo>
                <a:cubicBezTo>
                  <a:pt x="291599" y="437569"/>
                  <a:pt x="288767" y="438515"/>
                  <a:pt x="286265" y="439817"/>
                </a:cubicBezTo>
                <a:cubicBezTo>
                  <a:pt x="284590" y="440687"/>
                  <a:pt x="283026" y="441755"/>
                  <a:pt x="281607" y="442999"/>
                </a:cubicBezTo>
                <a:cubicBezTo>
                  <a:pt x="276699" y="447316"/>
                  <a:pt x="272860" y="454565"/>
                  <a:pt x="270091" y="464744"/>
                </a:cubicBezTo>
                <a:cubicBezTo>
                  <a:pt x="269974" y="465169"/>
                  <a:pt x="269860" y="465595"/>
                  <a:pt x="269748" y="466021"/>
                </a:cubicBezTo>
                <a:lnTo>
                  <a:pt x="254870" y="466021"/>
                </a:lnTo>
                <a:lnTo>
                  <a:pt x="254870" y="305096"/>
                </a:lnTo>
                <a:lnTo>
                  <a:pt x="269748" y="305096"/>
                </a:lnTo>
                <a:cubicBezTo>
                  <a:pt x="272542" y="316259"/>
                  <a:pt x="276495" y="324089"/>
                  <a:pt x="281607" y="328584"/>
                </a:cubicBezTo>
                <a:cubicBezTo>
                  <a:pt x="284383" y="330979"/>
                  <a:pt x="287646" y="332740"/>
                  <a:pt x="291170" y="333747"/>
                </a:cubicBezTo>
                <a:cubicBezTo>
                  <a:pt x="294701" y="334801"/>
                  <a:pt x="298724" y="335328"/>
                  <a:pt x="303238" y="335328"/>
                </a:cubicBezTo>
                <a:lnTo>
                  <a:pt x="417653" y="335328"/>
                </a:lnTo>
                <a:cubicBezTo>
                  <a:pt x="420408" y="335344"/>
                  <a:pt x="423160" y="335138"/>
                  <a:pt x="425882" y="334709"/>
                </a:cubicBezTo>
                <a:cubicBezTo>
                  <a:pt x="428790" y="334233"/>
                  <a:pt x="431407" y="333483"/>
                  <a:pt x="433731" y="332461"/>
                </a:cubicBezTo>
                <a:cubicBezTo>
                  <a:pt x="435831" y="331549"/>
                  <a:pt x="437781" y="330322"/>
                  <a:pt x="439513" y="328823"/>
                </a:cubicBezTo>
                <a:cubicBezTo>
                  <a:pt x="441281" y="327231"/>
                  <a:pt x="442823" y="325404"/>
                  <a:pt x="444094" y="323393"/>
                </a:cubicBezTo>
                <a:cubicBezTo>
                  <a:pt x="446590" y="319558"/>
                  <a:pt x="448780" y="314545"/>
                  <a:pt x="450666" y="308353"/>
                </a:cubicBezTo>
                <a:cubicBezTo>
                  <a:pt x="450995" y="307272"/>
                  <a:pt x="451305" y="306186"/>
                  <a:pt x="451600" y="305096"/>
                </a:cubicBezTo>
                <a:close/>
              </a:path>
            </a:pathLst>
          </a:custGeom>
          <a:gradFill>
            <a:gsLst>
              <a:gs pos="100000">
                <a:srgbClr val="BDDEFF"/>
              </a:gs>
              <a:gs pos="55000">
                <a:schemeClr val="bg1"/>
              </a:gs>
              <a:gs pos="0">
                <a:srgbClr val="6D40CF"/>
              </a:gs>
            </a:gsLst>
            <a:lin ang="0" scaled="0"/>
          </a:gradFill>
          <a:ln w="9000" cap="rnd">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91440</xdr:colOff>
      <xdr:row>0</xdr:row>
      <xdr:rowOff>68581</xdr:rowOff>
    </xdr:from>
    <xdr:to>
      <xdr:col>3</xdr:col>
      <xdr:colOff>38100</xdr:colOff>
      <xdr:row>1</xdr:row>
      <xdr:rowOff>388621</xdr:rowOff>
    </xdr:to>
    <xdr:sp macro="" textlink="">
      <xdr:nvSpPr>
        <xdr:cNvPr id="2" name="Rectangle: Rounded Corners 1">
          <a:extLst>
            <a:ext uri="{FF2B5EF4-FFF2-40B4-BE49-F238E27FC236}">
              <a16:creationId xmlns:a16="http://schemas.microsoft.com/office/drawing/2014/main" id="{B5150A8B-2208-411C-8503-3F6E2C33B1E1}"/>
            </a:ext>
          </a:extLst>
        </xdr:cNvPr>
        <xdr:cNvSpPr/>
      </xdr:nvSpPr>
      <xdr:spPr>
        <a:xfrm>
          <a:off x="2865120" y="68581"/>
          <a:ext cx="8168640" cy="502920"/>
        </a:xfrm>
        <a:prstGeom prst="roundRect">
          <a:avLst>
            <a:gd name="adj" fmla="val 8621"/>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Source Data</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4</xdr:col>
      <xdr:colOff>15240</xdr:colOff>
      <xdr:row>1</xdr:row>
      <xdr:rowOff>426720</xdr:rowOff>
    </xdr:from>
    <xdr:to>
      <xdr:col>9</xdr:col>
      <xdr:colOff>0</xdr:colOff>
      <xdr:row>1</xdr:row>
      <xdr:rowOff>426720</xdr:rowOff>
    </xdr:to>
    <xdr:cxnSp macro="">
      <xdr:nvCxnSpPr>
        <xdr:cNvPr id="4" name="Straight Connector 3">
          <a:extLst>
            <a:ext uri="{FF2B5EF4-FFF2-40B4-BE49-F238E27FC236}">
              <a16:creationId xmlns:a16="http://schemas.microsoft.com/office/drawing/2014/main" id="{17AE7D2A-3649-FD28-438F-8C328244C2C5}"/>
            </a:ext>
          </a:extLst>
        </xdr:cNvPr>
        <xdr:cNvCxnSpPr/>
      </xdr:nvCxnSpPr>
      <xdr:spPr>
        <a:xfrm>
          <a:off x="11049000" y="609600"/>
          <a:ext cx="465582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xdr:row>
      <xdr:rowOff>426720</xdr:rowOff>
    </xdr:from>
    <xdr:to>
      <xdr:col>14</xdr:col>
      <xdr:colOff>1012860</xdr:colOff>
      <xdr:row>1</xdr:row>
      <xdr:rowOff>426720</xdr:rowOff>
    </xdr:to>
    <xdr:cxnSp macro="">
      <xdr:nvCxnSpPr>
        <xdr:cNvPr id="5" name="Straight Connector 4">
          <a:extLst>
            <a:ext uri="{FF2B5EF4-FFF2-40B4-BE49-F238E27FC236}">
              <a16:creationId xmlns:a16="http://schemas.microsoft.com/office/drawing/2014/main" id="{BD539627-4549-F16C-8108-E94601F5C810}"/>
            </a:ext>
          </a:extLst>
        </xdr:cNvPr>
        <xdr:cNvCxnSpPr/>
      </xdr:nvCxnSpPr>
      <xdr:spPr>
        <a:xfrm>
          <a:off x="16405860" y="609600"/>
          <a:ext cx="32760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205740</xdr:colOff>
      <xdr:row>0</xdr:row>
      <xdr:rowOff>160020</xdr:rowOff>
    </xdr:from>
    <xdr:to>
      <xdr:col>0</xdr:col>
      <xdr:colOff>2149740</xdr:colOff>
      <xdr:row>25</xdr:row>
      <xdr:rowOff>206100</xdr:rowOff>
    </xdr:to>
    <xdr:sp macro="" textlink="">
      <xdr:nvSpPr>
        <xdr:cNvPr id="7" name="Rectangle: Rounded Corners 6">
          <a:extLst>
            <a:ext uri="{FF2B5EF4-FFF2-40B4-BE49-F238E27FC236}">
              <a16:creationId xmlns:a16="http://schemas.microsoft.com/office/drawing/2014/main" id="{64948C91-0B4E-4578-B235-C1178E28449E}"/>
            </a:ext>
          </a:extLst>
        </xdr:cNvPr>
        <xdr:cNvSpPr/>
      </xdr:nvSpPr>
      <xdr:spPr>
        <a:xfrm>
          <a:off x="205740" y="160020"/>
          <a:ext cx="1944000" cy="6264000"/>
        </a:xfrm>
        <a:prstGeom prst="roundRect">
          <a:avLst>
            <a:gd name="adj" fmla="val 7781"/>
          </a:avLst>
        </a:prstGeom>
        <a:solidFill>
          <a:srgbClr val="091A2C"/>
        </a:solidFill>
        <a:ln>
          <a:noFill/>
        </a:ln>
        <a:effectLst>
          <a:outerShdw blurRad="152400" dist="330200" dir="6300000" sx="104000" sy="104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205740</xdr:colOff>
      <xdr:row>12</xdr:row>
      <xdr:rowOff>152400</xdr:rowOff>
    </xdr:from>
    <xdr:to>
      <xdr:col>0</xdr:col>
      <xdr:colOff>1969740</xdr:colOff>
      <xdr:row>14</xdr:row>
      <xdr:rowOff>91200</xdr:rowOff>
    </xdr:to>
    <xdr:sp macro="" textlink="">
      <xdr:nvSpPr>
        <xdr:cNvPr id="31" name="Freeform: Shape 30">
          <a:extLst>
            <a:ext uri="{FF2B5EF4-FFF2-40B4-BE49-F238E27FC236}">
              <a16:creationId xmlns:a16="http://schemas.microsoft.com/office/drawing/2014/main" id="{E195A24C-B0DF-49CA-B72A-82EE96673320}"/>
            </a:ext>
          </a:extLst>
        </xdr:cNvPr>
        <xdr:cNvSpPr/>
      </xdr:nvSpPr>
      <xdr:spPr>
        <a:xfrm>
          <a:off x="205740" y="3398520"/>
          <a:ext cx="1764000" cy="396000"/>
        </a:xfrm>
        <a:custGeom>
          <a:avLst/>
          <a:gdLst>
            <a:gd name="connsiteX0" fmla="*/ 0 w 1513634"/>
            <a:gd name="connsiteY0" fmla="*/ 0 h 365760"/>
            <a:gd name="connsiteX1" fmla="*/ 1452673 w 1513634"/>
            <a:gd name="connsiteY1" fmla="*/ 0 h 365760"/>
            <a:gd name="connsiteX2" fmla="*/ 1513634 w 1513634"/>
            <a:gd name="connsiteY2" fmla="*/ 60961 h 365760"/>
            <a:gd name="connsiteX3" fmla="*/ 1513634 w 1513634"/>
            <a:gd name="connsiteY3" fmla="*/ 304799 h 365760"/>
            <a:gd name="connsiteX4" fmla="*/ 1452673 w 1513634"/>
            <a:gd name="connsiteY4" fmla="*/ 365760 h 365760"/>
            <a:gd name="connsiteX5" fmla="*/ 0 w 1513634"/>
            <a:gd name="connsiteY5" fmla="*/ 365760 h 365760"/>
            <a:gd name="connsiteX6" fmla="*/ 0 w 1513634"/>
            <a:gd name="connsiteY6" fmla="*/ 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13634" h="365760">
              <a:moveTo>
                <a:pt x="0" y="0"/>
              </a:moveTo>
              <a:lnTo>
                <a:pt x="1452673" y="0"/>
              </a:lnTo>
              <a:cubicBezTo>
                <a:pt x="1486341" y="0"/>
                <a:pt x="1513634" y="27293"/>
                <a:pt x="1513634" y="60961"/>
              </a:cubicBezTo>
              <a:lnTo>
                <a:pt x="1513634" y="304799"/>
              </a:lnTo>
              <a:cubicBezTo>
                <a:pt x="1513634" y="338467"/>
                <a:pt x="1486341" y="365760"/>
                <a:pt x="1452673" y="365760"/>
              </a:cubicBezTo>
              <a:lnTo>
                <a:pt x="0" y="365760"/>
              </a:lnTo>
              <a:lnTo>
                <a:pt x="0" y="0"/>
              </a:lnTo>
              <a:close/>
            </a:path>
          </a:pathLst>
        </a:custGeom>
        <a:gradFill>
          <a:gsLst>
            <a:gs pos="10000">
              <a:srgbClr val="423469">
                <a:alpha val="68000"/>
              </a:srgbClr>
            </a:gs>
            <a:gs pos="100000">
              <a:srgbClr val="6D40C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632875</xdr:colOff>
      <xdr:row>3</xdr:row>
      <xdr:rowOff>180000</xdr:rowOff>
    </xdr:from>
    <xdr:to>
      <xdr:col>0</xdr:col>
      <xdr:colOff>1943100</xdr:colOff>
      <xdr:row>5</xdr:row>
      <xdr:rowOff>12360</xdr:rowOff>
    </xdr:to>
    <xdr:grpSp>
      <xdr:nvGrpSpPr>
        <xdr:cNvPr id="3" name="Group 2">
          <a:hlinkClick xmlns:r="http://schemas.openxmlformats.org/officeDocument/2006/relationships" r:id="rId1"/>
          <a:extLst>
            <a:ext uri="{FF2B5EF4-FFF2-40B4-BE49-F238E27FC236}">
              <a16:creationId xmlns:a16="http://schemas.microsoft.com/office/drawing/2014/main" id="{DECD65E5-6036-396B-85D4-C55F43A323AE}"/>
            </a:ext>
          </a:extLst>
        </xdr:cNvPr>
        <xdr:cNvGrpSpPr/>
      </xdr:nvGrpSpPr>
      <xdr:grpSpPr>
        <a:xfrm>
          <a:off x="632875" y="1284900"/>
          <a:ext cx="1310225" cy="308610"/>
          <a:chOff x="632875" y="1292520"/>
          <a:chExt cx="1310225" cy="289560"/>
        </a:xfrm>
      </xdr:grpSpPr>
      <xdr:grpSp>
        <xdr:nvGrpSpPr>
          <xdr:cNvPr id="32" name="Group 31">
            <a:extLst>
              <a:ext uri="{FF2B5EF4-FFF2-40B4-BE49-F238E27FC236}">
                <a16:creationId xmlns:a16="http://schemas.microsoft.com/office/drawing/2014/main" id="{2F99AC65-74E8-40AA-9A9B-BE49AD680073}"/>
              </a:ext>
            </a:extLst>
          </xdr:cNvPr>
          <xdr:cNvGrpSpPr/>
        </xdr:nvGrpSpPr>
        <xdr:grpSpPr>
          <a:xfrm>
            <a:off x="632875" y="1365300"/>
            <a:ext cx="144000" cy="144000"/>
            <a:chOff x="2444621" y="737119"/>
            <a:chExt cx="4413380" cy="4413380"/>
          </a:xfrm>
        </xdr:grpSpPr>
        <xdr:sp macro="" textlink="">
          <xdr:nvSpPr>
            <xdr:cNvPr id="33" name="Rectangle: Rounded Corners 32">
              <a:extLst>
                <a:ext uri="{FF2B5EF4-FFF2-40B4-BE49-F238E27FC236}">
                  <a16:creationId xmlns:a16="http://schemas.microsoft.com/office/drawing/2014/main" id="{B318498F-31BE-BE37-94B1-2A36AEBDF338}"/>
                </a:ext>
              </a:extLst>
            </xdr:cNvPr>
            <xdr:cNvSpPr/>
          </xdr:nvSpPr>
          <xdr:spPr>
            <a:xfrm>
              <a:off x="2444621" y="737119"/>
              <a:ext cx="4413380" cy="4413380"/>
            </a:xfrm>
            <a:prstGeom prst="round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Rectangle 33">
              <a:extLst>
                <a:ext uri="{FF2B5EF4-FFF2-40B4-BE49-F238E27FC236}">
                  <a16:creationId xmlns:a16="http://schemas.microsoft.com/office/drawing/2014/main" id="{1882683B-3670-7258-6FD3-108E25A1B9C3}"/>
                </a:ext>
              </a:extLst>
            </xdr:cNvPr>
            <xdr:cNvSpPr/>
          </xdr:nvSpPr>
          <xdr:spPr>
            <a:xfrm>
              <a:off x="3172408" y="2649894"/>
              <a:ext cx="774441" cy="20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Rectangle 34">
              <a:extLst>
                <a:ext uri="{FF2B5EF4-FFF2-40B4-BE49-F238E27FC236}">
                  <a16:creationId xmlns:a16="http://schemas.microsoft.com/office/drawing/2014/main" id="{C088C117-3237-4C9A-434F-BAB787722249}"/>
                </a:ext>
              </a:extLst>
            </xdr:cNvPr>
            <xdr:cNvSpPr/>
          </xdr:nvSpPr>
          <xdr:spPr>
            <a:xfrm>
              <a:off x="4264090" y="1306286"/>
              <a:ext cx="774441" cy="33956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Rectangle 35">
              <a:extLst>
                <a:ext uri="{FF2B5EF4-FFF2-40B4-BE49-F238E27FC236}">
                  <a16:creationId xmlns:a16="http://schemas.microsoft.com/office/drawing/2014/main" id="{D2E4C390-49DD-A42B-206D-8E87B728E2D7}"/>
                </a:ext>
              </a:extLst>
            </xdr:cNvPr>
            <xdr:cNvSpPr/>
          </xdr:nvSpPr>
          <xdr:spPr>
            <a:xfrm>
              <a:off x="5379097" y="3312366"/>
              <a:ext cx="774441" cy="1389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37" name="TextBox 36">
            <a:extLst>
              <a:ext uri="{FF2B5EF4-FFF2-40B4-BE49-F238E27FC236}">
                <a16:creationId xmlns:a16="http://schemas.microsoft.com/office/drawing/2014/main" id="{1AC1A369-A514-4788-AE37-25746E5E561C}"/>
              </a:ext>
            </a:extLst>
          </xdr:cNvPr>
          <xdr:cNvSpPr txBox="1"/>
        </xdr:nvSpPr>
        <xdr:spPr>
          <a:xfrm>
            <a:off x="861060" y="1292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mn-lt"/>
              </a:rPr>
              <a:t>Dashboard</a:t>
            </a:r>
            <a:endParaRPr lang="ru-RU" sz="1200">
              <a:solidFill>
                <a:schemeClr val="bg1"/>
              </a:solidFill>
              <a:latin typeface="+mn-lt"/>
            </a:endParaRPr>
          </a:p>
        </xdr:txBody>
      </xdr:sp>
    </xdr:grpSp>
    <xdr:clientData/>
  </xdr:twoCellAnchor>
  <xdr:twoCellAnchor>
    <xdr:from>
      <xdr:col>0</xdr:col>
      <xdr:colOff>596875</xdr:colOff>
      <xdr:row>6</xdr:row>
      <xdr:rowOff>33315</xdr:rowOff>
    </xdr:from>
    <xdr:to>
      <xdr:col>0</xdr:col>
      <xdr:colOff>1943100</xdr:colOff>
      <xdr:row>7</xdr:row>
      <xdr:rowOff>56175</xdr:rowOff>
    </xdr:to>
    <xdr:grpSp>
      <xdr:nvGrpSpPr>
        <xdr:cNvPr id="38" name="Group 37">
          <a:hlinkClick xmlns:r="http://schemas.openxmlformats.org/officeDocument/2006/relationships" r:id="rId2"/>
          <a:extLst>
            <a:ext uri="{FF2B5EF4-FFF2-40B4-BE49-F238E27FC236}">
              <a16:creationId xmlns:a16="http://schemas.microsoft.com/office/drawing/2014/main" id="{C3565534-FD78-45AF-BEDE-2C657C66F2AB}"/>
            </a:ext>
          </a:extLst>
        </xdr:cNvPr>
        <xdr:cNvGrpSpPr/>
      </xdr:nvGrpSpPr>
      <xdr:grpSpPr>
        <a:xfrm>
          <a:off x="596875" y="1852590"/>
          <a:ext cx="1346225" cy="280035"/>
          <a:chOff x="596875" y="1831635"/>
          <a:chExt cx="1346225" cy="289560"/>
        </a:xfrm>
      </xdr:grpSpPr>
      <xdr:sp macro="" textlink="">
        <xdr:nvSpPr>
          <xdr:cNvPr id="39" name="TextBox 38">
            <a:hlinkClick xmlns:r="http://schemas.openxmlformats.org/officeDocument/2006/relationships" r:id="rId2"/>
            <a:extLst>
              <a:ext uri="{FF2B5EF4-FFF2-40B4-BE49-F238E27FC236}">
                <a16:creationId xmlns:a16="http://schemas.microsoft.com/office/drawing/2014/main" id="{FBDD8689-B017-EC3F-E45D-0C4B90D2421B}"/>
              </a:ext>
            </a:extLst>
          </xdr:cNvPr>
          <xdr:cNvSpPr txBox="1"/>
        </xdr:nvSpPr>
        <xdr:spPr>
          <a:xfrm>
            <a:off x="861060" y="183163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Personnel</a:t>
            </a:r>
            <a:endParaRPr lang="ru-RU" sz="1200">
              <a:solidFill>
                <a:schemeClr val="bg1"/>
              </a:solidFill>
              <a:latin typeface="+mn-lt"/>
            </a:endParaRPr>
          </a:p>
        </xdr:txBody>
      </xdr:sp>
      <xdr:pic>
        <xdr:nvPicPr>
          <xdr:cNvPr id="40" name="Graphic 39" descr="User with solid fill">
            <a:extLst>
              <a:ext uri="{FF2B5EF4-FFF2-40B4-BE49-F238E27FC236}">
                <a16:creationId xmlns:a16="http://schemas.microsoft.com/office/drawing/2014/main" id="{5901D80F-6444-CFA7-0342-9FA8282A0B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6875" y="1879710"/>
            <a:ext cx="216000" cy="216000"/>
          </a:xfrm>
          <a:prstGeom prst="rect">
            <a:avLst/>
          </a:prstGeom>
        </xdr:spPr>
      </xdr:pic>
    </xdr:grpSp>
    <xdr:clientData/>
  </xdr:twoCellAnchor>
  <xdr:twoCellAnchor>
    <xdr:from>
      <xdr:col>0</xdr:col>
      <xdr:colOff>578875</xdr:colOff>
      <xdr:row>8</xdr:row>
      <xdr:rowOff>39030</xdr:rowOff>
    </xdr:from>
    <xdr:to>
      <xdr:col>0</xdr:col>
      <xdr:colOff>1943100</xdr:colOff>
      <xdr:row>9</xdr:row>
      <xdr:rowOff>99990</xdr:rowOff>
    </xdr:to>
    <xdr:grpSp>
      <xdr:nvGrpSpPr>
        <xdr:cNvPr id="41" name="Group 40">
          <a:hlinkClick xmlns:r="http://schemas.openxmlformats.org/officeDocument/2006/relationships" r:id="rId5"/>
          <a:extLst>
            <a:ext uri="{FF2B5EF4-FFF2-40B4-BE49-F238E27FC236}">
              <a16:creationId xmlns:a16="http://schemas.microsoft.com/office/drawing/2014/main" id="{0CF1CE8C-1EC9-4C75-AB3E-400A19C536A4}"/>
            </a:ext>
          </a:extLst>
        </xdr:cNvPr>
        <xdr:cNvGrpSpPr/>
      </xdr:nvGrpSpPr>
      <xdr:grpSpPr>
        <a:xfrm>
          <a:off x="578875" y="2372655"/>
          <a:ext cx="1364225" cy="299085"/>
          <a:chOff x="578875" y="2370750"/>
          <a:chExt cx="1364225" cy="289560"/>
        </a:xfrm>
      </xdr:grpSpPr>
      <xdr:sp macro="" textlink="">
        <xdr:nvSpPr>
          <xdr:cNvPr id="42" name="TextBox 41">
            <a:extLst>
              <a:ext uri="{FF2B5EF4-FFF2-40B4-BE49-F238E27FC236}">
                <a16:creationId xmlns:a16="http://schemas.microsoft.com/office/drawing/2014/main" id="{13CAD5C4-4D99-B6BD-8FE8-F4BDFB6BE420}"/>
              </a:ext>
            </a:extLst>
          </xdr:cNvPr>
          <xdr:cNvSpPr txBox="1"/>
        </xdr:nvSpPr>
        <xdr:spPr>
          <a:xfrm>
            <a:off x="861060" y="237075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Settings</a:t>
            </a:r>
            <a:endParaRPr lang="ru-RU" sz="1200">
              <a:solidFill>
                <a:schemeClr val="bg1"/>
              </a:solidFill>
              <a:latin typeface="+mn-lt"/>
            </a:endParaRPr>
          </a:p>
        </xdr:txBody>
      </xdr:sp>
      <xdr:pic>
        <xdr:nvPicPr>
          <xdr:cNvPr id="43" name="Graphic 42" descr="Single gear with solid fill">
            <a:extLst>
              <a:ext uri="{FF2B5EF4-FFF2-40B4-BE49-F238E27FC236}">
                <a16:creationId xmlns:a16="http://schemas.microsoft.com/office/drawing/2014/main" id="{77C2DD2A-016F-FB2F-8540-F06FE01532B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78875" y="2405160"/>
            <a:ext cx="252000" cy="252000"/>
          </a:xfrm>
          <a:prstGeom prst="rect">
            <a:avLst/>
          </a:prstGeom>
        </xdr:spPr>
      </xdr:pic>
    </xdr:grpSp>
    <xdr:clientData/>
  </xdr:twoCellAnchor>
  <xdr:twoCellAnchor>
    <xdr:from>
      <xdr:col>0</xdr:col>
      <xdr:colOff>578875</xdr:colOff>
      <xdr:row>10</xdr:row>
      <xdr:rowOff>120945</xdr:rowOff>
    </xdr:from>
    <xdr:to>
      <xdr:col>0</xdr:col>
      <xdr:colOff>1943100</xdr:colOff>
      <xdr:row>11</xdr:row>
      <xdr:rowOff>181905</xdr:rowOff>
    </xdr:to>
    <xdr:grpSp>
      <xdr:nvGrpSpPr>
        <xdr:cNvPr id="44" name="Group 43">
          <a:hlinkClick xmlns:r="http://schemas.openxmlformats.org/officeDocument/2006/relationships" r:id="rId8"/>
          <a:extLst>
            <a:ext uri="{FF2B5EF4-FFF2-40B4-BE49-F238E27FC236}">
              <a16:creationId xmlns:a16="http://schemas.microsoft.com/office/drawing/2014/main" id="{0B214B9A-6DD6-4798-8B1D-8B37FE835234}"/>
            </a:ext>
          </a:extLst>
        </xdr:cNvPr>
        <xdr:cNvGrpSpPr/>
      </xdr:nvGrpSpPr>
      <xdr:grpSpPr>
        <a:xfrm>
          <a:off x="578875" y="2930820"/>
          <a:ext cx="1364225" cy="299085"/>
          <a:chOff x="578875" y="2909865"/>
          <a:chExt cx="1364225" cy="289560"/>
        </a:xfrm>
      </xdr:grpSpPr>
      <xdr:sp macro="" textlink="">
        <xdr:nvSpPr>
          <xdr:cNvPr id="45" name="TextBox 44">
            <a:extLst>
              <a:ext uri="{FF2B5EF4-FFF2-40B4-BE49-F238E27FC236}">
                <a16:creationId xmlns:a16="http://schemas.microsoft.com/office/drawing/2014/main" id="{76983E58-1F40-A9F3-80FF-1DBF5FBF6699}"/>
              </a:ext>
            </a:extLst>
          </xdr:cNvPr>
          <xdr:cNvSpPr txBox="1"/>
        </xdr:nvSpPr>
        <xdr:spPr>
          <a:xfrm>
            <a:off x="861060" y="2909865"/>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Today</a:t>
            </a:r>
            <a:endParaRPr lang="ru-RU" sz="1200">
              <a:solidFill>
                <a:schemeClr val="bg1"/>
              </a:solidFill>
              <a:latin typeface="+mn-lt"/>
            </a:endParaRPr>
          </a:p>
        </xdr:txBody>
      </xdr:sp>
      <xdr:pic>
        <xdr:nvPicPr>
          <xdr:cNvPr id="46" name="Graphic 45" descr="Daily calendar with solid fill">
            <a:extLst>
              <a:ext uri="{FF2B5EF4-FFF2-40B4-BE49-F238E27FC236}">
                <a16:creationId xmlns:a16="http://schemas.microsoft.com/office/drawing/2014/main" id="{7036B739-DD1A-4002-8B8D-75E26DCD342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78875" y="2943750"/>
            <a:ext cx="252000" cy="252000"/>
          </a:xfrm>
          <a:prstGeom prst="rect">
            <a:avLst/>
          </a:prstGeom>
        </xdr:spPr>
      </xdr:pic>
    </xdr:grpSp>
    <xdr:clientData/>
  </xdr:twoCellAnchor>
  <xdr:twoCellAnchor>
    <xdr:from>
      <xdr:col>0</xdr:col>
      <xdr:colOff>569100</xdr:colOff>
      <xdr:row>21</xdr:row>
      <xdr:rowOff>180000</xdr:rowOff>
    </xdr:from>
    <xdr:to>
      <xdr:col>0</xdr:col>
      <xdr:colOff>1943100</xdr:colOff>
      <xdr:row>23</xdr:row>
      <xdr:rowOff>12360</xdr:rowOff>
    </xdr:to>
    <xdr:grpSp>
      <xdr:nvGrpSpPr>
        <xdr:cNvPr id="8" name="Group 7">
          <a:hlinkClick xmlns:r="http://schemas.openxmlformats.org/officeDocument/2006/relationships" r:id="rId11"/>
          <a:extLst>
            <a:ext uri="{FF2B5EF4-FFF2-40B4-BE49-F238E27FC236}">
              <a16:creationId xmlns:a16="http://schemas.microsoft.com/office/drawing/2014/main" id="{86E4FF9A-CB94-F931-C98C-F88614960DB9}"/>
            </a:ext>
          </a:extLst>
        </xdr:cNvPr>
        <xdr:cNvGrpSpPr/>
      </xdr:nvGrpSpPr>
      <xdr:grpSpPr>
        <a:xfrm>
          <a:off x="569100" y="5609250"/>
          <a:ext cx="1374000" cy="308610"/>
          <a:chOff x="569100" y="5483520"/>
          <a:chExt cx="1374000" cy="289560"/>
        </a:xfrm>
      </xdr:grpSpPr>
      <xdr:sp macro="" textlink="">
        <xdr:nvSpPr>
          <xdr:cNvPr id="48" name="TextBox 47">
            <a:extLst>
              <a:ext uri="{FF2B5EF4-FFF2-40B4-BE49-F238E27FC236}">
                <a16:creationId xmlns:a16="http://schemas.microsoft.com/office/drawing/2014/main" id="{670D2EDB-ADFE-4064-8493-2EB666A0AB8D}"/>
              </a:ext>
            </a:extLst>
          </xdr:cNvPr>
          <xdr:cNvSpPr txBox="1"/>
        </xdr:nvSpPr>
        <xdr:spPr>
          <a:xfrm>
            <a:off x="861060" y="548352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Help</a:t>
            </a:r>
            <a:endParaRPr lang="ru-RU" sz="1400">
              <a:solidFill>
                <a:schemeClr val="bg1">
                  <a:lumMod val="85000"/>
                </a:schemeClr>
              </a:solidFill>
              <a:latin typeface="+mn-lt"/>
            </a:endParaRPr>
          </a:p>
        </xdr:txBody>
      </xdr:sp>
      <xdr:pic>
        <xdr:nvPicPr>
          <xdr:cNvPr id="49" name="Graphic 48" descr="Help outline">
            <a:extLst>
              <a:ext uri="{FF2B5EF4-FFF2-40B4-BE49-F238E27FC236}">
                <a16:creationId xmlns:a16="http://schemas.microsoft.com/office/drawing/2014/main" id="{50C92ED6-CBE0-43CD-B1A6-8A42D850C9A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69100" y="5501640"/>
            <a:ext cx="216000" cy="216000"/>
          </a:xfrm>
          <a:prstGeom prst="rect">
            <a:avLst/>
          </a:prstGeom>
        </xdr:spPr>
      </xdr:pic>
    </xdr:grpSp>
    <xdr:clientData/>
  </xdr:twoCellAnchor>
  <xdr:twoCellAnchor>
    <xdr:from>
      <xdr:col>0</xdr:col>
      <xdr:colOff>569100</xdr:colOff>
      <xdr:row>23</xdr:row>
      <xdr:rowOff>88560</xdr:rowOff>
    </xdr:from>
    <xdr:to>
      <xdr:col>0</xdr:col>
      <xdr:colOff>1943100</xdr:colOff>
      <xdr:row>24</xdr:row>
      <xdr:rowOff>149520</xdr:rowOff>
    </xdr:to>
    <xdr:grpSp>
      <xdr:nvGrpSpPr>
        <xdr:cNvPr id="9" name="Group 8">
          <a:hlinkClick xmlns:r="http://schemas.openxmlformats.org/officeDocument/2006/relationships" r:id="rId11"/>
          <a:extLst>
            <a:ext uri="{FF2B5EF4-FFF2-40B4-BE49-F238E27FC236}">
              <a16:creationId xmlns:a16="http://schemas.microsoft.com/office/drawing/2014/main" id="{7F955B69-8327-BFBA-866F-8FC94823200F}"/>
            </a:ext>
          </a:extLst>
        </xdr:cNvPr>
        <xdr:cNvGrpSpPr/>
      </xdr:nvGrpSpPr>
      <xdr:grpSpPr>
        <a:xfrm>
          <a:off x="569100" y="5994060"/>
          <a:ext cx="1374000" cy="299085"/>
          <a:chOff x="569100" y="5849280"/>
          <a:chExt cx="1374000" cy="289560"/>
        </a:xfrm>
      </xdr:grpSpPr>
      <xdr:sp macro="" textlink="">
        <xdr:nvSpPr>
          <xdr:cNvPr id="47" name="TextBox 46">
            <a:extLst>
              <a:ext uri="{FF2B5EF4-FFF2-40B4-BE49-F238E27FC236}">
                <a16:creationId xmlns:a16="http://schemas.microsoft.com/office/drawing/2014/main" id="{A7D910C2-D72E-4867-A0EE-63BE7C230DE0}"/>
              </a:ext>
            </a:extLst>
          </xdr:cNvPr>
          <xdr:cNvSpPr txBox="1"/>
        </xdr:nvSpPr>
        <xdr:spPr>
          <a:xfrm>
            <a:off x="861060" y="58492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lumMod val="85000"/>
                  </a:schemeClr>
                </a:solidFill>
                <a:effectLst/>
                <a:latin typeface="+mn-lt"/>
                <a:ea typeface="+mn-ea"/>
                <a:cs typeface="+mn-cs"/>
              </a:rPr>
              <a:t>About Project</a:t>
            </a:r>
            <a:endParaRPr lang="ru-RU" sz="1400">
              <a:solidFill>
                <a:schemeClr val="bg1">
                  <a:lumMod val="85000"/>
                </a:schemeClr>
              </a:solidFill>
              <a:latin typeface="+mn-lt"/>
            </a:endParaRPr>
          </a:p>
        </xdr:txBody>
      </xdr:sp>
      <xdr:pic>
        <xdr:nvPicPr>
          <xdr:cNvPr id="50" name="Graphic 49" descr="Information outline">
            <a:extLst>
              <a:ext uri="{FF2B5EF4-FFF2-40B4-BE49-F238E27FC236}">
                <a16:creationId xmlns:a16="http://schemas.microsoft.com/office/drawing/2014/main" id="{40506404-E121-4276-BF4D-DA41598BB56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69100" y="5875020"/>
            <a:ext cx="216000" cy="216000"/>
          </a:xfrm>
          <a:prstGeom prst="rect">
            <a:avLst/>
          </a:prstGeom>
        </xdr:spPr>
      </xdr:pic>
    </xdr:grpSp>
    <xdr:clientData/>
  </xdr:twoCellAnchor>
  <xdr:twoCellAnchor>
    <xdr:from>
      <xdr:col>0</xdr:col>
      <xdr:colOff>578875</xdr:colOff>
      <xdr:row>12</xdr:row>
      <xdr:rowOff>202860</xdr:rowOff>
    </xdr:from>
    <xdr:to>
      <xdr:col>0</xdr:col>
      <xdr:colOff>1943100</xdr:colOff>
      <xdr:row>14</xdr:row>
      <xdr:rowOff>35220</xdr:rowOff>
    </xdr:to>
    <xdr:grpSp>
      <xdr:nvGrpSpPr>
        <xdr:cNvPr id="51" name="Group 50">
          <a:hlinkClick xmlns:r="http://schemas.openxmlformats.org/officeDocument/2006/relationships" r:id="rId16"/>
          <a:extLst>
            <a:ext uri="{FF2B5EF4-FFF2-40B4-BE49-F238E27FC236}">
              <a16:creationId xmlns:a16="http://schemas.microsoft.com/office/drawing/2014/main" id="{01AEA4D3-E109-4D54-9BFB-5348A5C60822}"/>
            </a:ext>
          </a:extLst>
        </xdr:cNvPr>
        <xdr:cNvGrpSpPr/>
      </xdr:nvGrpSpPr>
      <xdr:grpSpPr>
        <a:xfrm>
          <a:off x="578875" y="3488985"/>
          <a:ext cx="1364225" cy="308610"/>
          <a:chOff x="578875" y="3448980"/>
          <a:chExt cx="1364225" cy="289560"/>
        </a:xfrm>
      </xdr:grpSpPr>
      <xdr:pic>
        <xdr:nvPicPr>
          <xdr:cNvPr id="52" name="Graphic 51" descr="Database with solid fill">
            <a:extLst>
              <a:ext uri="{FF2B5EF4-FFF2-40B4-BE49-F238E27FC236}">
                <a16:creationId xmlns:a16="http://schemas.microsoft.com/office/drawing/2014/main" id="{815C3857-A9AA-E4F4-44D5-E303CFA7AA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78875" y="3474720"/>
            <a:ext cx="252000" cy="252000"/>
          </a:xfrm>
          <a:prstGeom prst="rect">
            <a:avLst/>
          </a:prstGeom>
        </xdr:spPr>
      </xdr:pic>
      <xdr:sp macro="" textlink="">
        <xdr:nvSpPr>
          <xdr:cNvPr id="53" name="TextBox 52">
            <a:extLst>
              <a:ext uri="{FF2B5EF4-FFF2-40B4-BE49-F238E27FC236}">
                <a16:creationId xmlns:a16="http://schemas.microsoft.com/office/drawing/2014/main" id="{283DB92D-3EF6-65E6-0F5F-9C638BEB4E42}"/>
              </a:ext>
            </a:extLst>
          </xdr:cNvPr>
          <xdr:cNvSpPr txBox="1"/>
        </xdr:nvSpPr>
        <xdr:spPr>
          <a:xfrm>
            <a:off x="861060" y="3448980"/>
            <a:ext cx="10820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Data</a:t>
            </a:r>
            <a:endParaRPr lang="ru-RU" sz="1200">
              <a:solidFill>
                <a:schemeClr val="bg1"/>
              </a:solidFill>
              <a:latin typeface="+mn-lt"/>
            </a:endParaRPr>
          </a:p>
        </xdr:txBody>
      </xdr:sp>
    </xdr:grpSp>
    <xdr:clientData/>
  </xdr:twoCellAnchor>
  <xdr:twoCellAnchor>
    <xdr:from>
      <xdr:col>0</xdr:col>
      <xdr:colOff>541020</xdr:colOff>
      <xdr:row>1</xdr:row>
      <xdr:rowOff>464820</xdr:rowOff>
    </xdr:from>
    <xdr:to>
      <xdr:col>0</xdr:col>
      <xdr:colOff>1812771</xdr:colOff>
      <xdr:row>2</xdr:row>
      <xdr:rowOff>279050</xdr:rowOff>
    </xdr:to>
    <xdr:grpSp>
      <xdr:nvGrpSpPr>
        <xdr:cNvPr id="6" name="Group 5">
          <a:hlinkClick xmlns:r="http://schemas.openxmlformats.org/officeDocument/2006/relationships" r:id="rId19"/>
          <a:extLst>
            <a:ext uri="{FF2B5EF4-FFF2-40B4-BE49-F238E27FC236}">
              <a16:creationId xmlns:a16="http://schemas.microsoft.com/office/drawing/2014/main" id="{59B0E975-8FF7-4411-A62A-08E0466F671C}"/>
            </a:ext>
          </a:extLst>
        </xdr:cNvPr>
        <xdr:cNvGrpSpPr/>
      </xdr:nvGrpSpPr>
      <xdr:grpSpPr>
        <a:xfrm>
          <a:off x="541020" y="655320"/>
          <a:ext cx="1271751" cy="347630"/>
          <a:chOff x="536028" y="651641"/>
          <a:chExt cx="1271751" cy="357352"/>
        </a:xfrm>
      </xdr:grpSpPr>
      <xdr:sp macro="" textlink="">
        <xdr:nvSpPr>
          <xdr:cNvPr id="54" name="Rectangle 53">
            <a:extLst>
              <a:ext uri="{FF2B5EF4-FFF2-40B4-BE49-F238E27FC236}">
                <a16:creationId xmlns:a16="http://schemas.microsoft.com/office/drawing/2014/main" id="{35A3B91F-6FC2-9C5C-96EA-35E2571C02ED}"/>
              </a:ext>
            </a:extLst>
          </xdr:cNvPr>
          <xdr:cNvSpPr/>
        </xdr:nvSpPr>
        <xdr:spPr>
          <a:xfrm>
            <a:off x="536028" y="651641"/>
            <a:ext cx="1271751" cy="357352"/>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55" name="Group 54">
            <a:extLst>
              <a:ext uri="{FF2B5EF4-FFF2-40B4-BE49-F238E27FC236}">
                <a16:creationId xmlns:a16="http://schemas.microsoft.com/office/drawing/2014/main" id="{BA22A649-07D6-7C7A-7860-98B04D45B8A6}"/>
              </a:ext>
            </a:extLst>
          </xdr:cNvPr>
          <xdr:cNvGrpSpPr/>
        </xdr:nvGrpSpPr>
        <xdr:grpSpPr>
          <a:xfrm>
            <a:off x="629100" y="730593"/>
            <a:ext cx="486000" cy="200102"/>
            <a:chOff x="2522715" y="2396971"/>
            <a:chExt cx="4565536" cy="2894120"/>
          </a:xfrm>
        </xdr:grpSpPr>
        <xdr:sp macro="" textlink="">
          <xdr:nvSpPr>
            <xdr:cNvPr id="57" name="Rectangle 56">
              <a:extLst>
                <a:ext uri="{FF2B5EF4-FFF2-40B4-BE49-F238E27FC236}">
                  <a16:creationId xmlns:a16="http://schemas.microsoft.com/office/drawing/2014/main" id="{2BCEB8DF-FB68-E42E-F6CE-92E1B63E3DEC}"/>
                </a:ext>
              </a:extLst>
            </xdr:cNvPr>
            <xdr:cNvSpPr/>
          </xdr:nvSpPr>
          <xdr:spPr>
            <a:xfrm>
              <a:off x="6658258"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8" name="Rectangle 57">
              <a:extLst>
                <a:ext uri="{FF2B5EF4-FFF2-40B4-BE49-F238E27FC236}">
                  <a16:creationId xmlns:a16="http://schemas.microsoft.com/office/drawing/2014/main" id="{F7F71045-F6F0-8D2E-2BA6-18C8B0ED5B9E}"/>
                </a:ext>
              </a:extLst>
            </xdr:cNvPr>
            <xdr:cNvSpPr/>
          </xdr:nvSpPr>
          <xdr:spPr>
            <a:xfrm>
              <a:off x="4900472"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9" name="Rectangle 58">
              <a:extLst>
                <a:ext uri="{FF2B5EF4-FFF2-40B4-BE49-F238E27FC236}">
                  <a16:creationId xmlns:a16="http://schemas.microsoft.com/office/drawing/2014/main" id="{53BFDEF0-0804-2354-5786-9089F21A2D42}"/>
                </a:ext>
              </a:extLst>
            </xdr:cNvPr>
            <xdr:cNvSpPr/>
          </xdr:nvSpPr>
          <xdr:spPr>
            <a:xfrm>
              <a:off x="438265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Rectangle 59">
              <a:extLst>
                <a:ext uri="{FF2B5EF4-FFF2-40B4-BE49-F238E27FC236}">
                  <a16:creationId xmlns:a16="http://schemas.microsoft.com/office/drawing/2014/main" id="{1F319D33-A567-F9F4-12A2-A3D9C793A5D0}"/>
                </a:ext>
              </a:extLst>
            </xdr:cNvPr>
            <xdr:cNvSpPr/>
          </xdr:nvSpPr>
          <xdr:spPr>
            <a:xfrm>
              <a:off x="2900086" y="2396971"/>
              <a:ext cx="202213" cy="2894120"/>
            </a:xfrm>
            <a:prstGeom prst="rect">
              <a:avLst/>
            </a:prstGeom>
            <a:solidFill>
              <a:srgbClr val="864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1" name="Rectangle 60">
              <a:extLst>
                <a:ext uri="{FF2B5EF4-FFF2-40B4-BE49-F238E27FC236}">
                  <a16:creationId xmlns:a16="http://schemas.microsoft.com/office/drawing/2014/main" id="{0381D868-682E-A9F4-4D00-84B760DE91B4}"/>
                </a:ext>
              </a:extLst>
            </xdr:cNvPr>
            <xdr:cNvSpPr/>
          </xdr:nvSpPr>
          <xdr:spPr>
            <a:xfrm>
              <a:off x="6476929"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2" name="Rectangle 61">
              <a:extLst>
                <a:ext uri="{FF2B5EF4-FFF2-40B4-BE49-F238E27FC236}">
                  <a16:creationId xmlns:a16="http://schemas.microsoft.com/office/drawing/2014/main" id="{99CDE472-31C7-7793-0459-475F6C1F6767}"/>
                </a:ext>
              </a:extLst>
            </xdr:cNvPr>
            <xdr:cNvSpPr/>
          </xdr:nvSpPr>
          <xdr:spPr>
            <a:xfrm>
              <a:off x="6260267"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Rectangle 62">
              <a:extLst>
                <a:ext uri="{FF2B5EF4-FFF2-40B4-BE49-F238E27FC236}">
                  <a16:creationId xmlns:a16="http://schemas.microsoft.com/office/drawing/2014/main" id="{1E8EF161-3F7E-1FC5-1266-F8C00A2A6A6E}"/>
                </a:ext>
              </a:extLst>
            </xdr:cNvPr>
            <xdr:cNvSpPr/>
          </xdr:nvSpPr>
          <xdr:spPr>
            <a:xfrm>
              <a:off x="5739228"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4" name="Rectangle 63">
              <a:extLst>
                <a:ext uri="{FF2B5EF4-FFF2-40B4-BE49-F238E27FC236}">
                  <a16:creationId xmlns:a16="http://schemas.microsoft.com/office/drawing/2014/main" id="{45650080-A1E8-E871-9E2C-B1D430C5704C}"/>
                </a:ext>
              </a:extLst>
            </xdr:cNvPr>
            <xdr:cNvSpPr/>
          </xdr:nvSpPr>
          <xdr:spPr>
            <a:xfrm>
              <a:off x="5518798"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5" name="Rectangle 64">
              <a:extLst>
                <a:ext uri="{FF2B5EF4-FFF2-40B4-BE49-F238E27FC236}">
                  <a16:creationId xmlns:a16="http://schemas.microsoft.com/office/drawing/2014/main" id="{5454D18A-11BE-C609-F9BB-8C9D419CA730}"/>
                </a:ext>
              </a:extLst>
            </xdr:cNvPr>
            <xdr:cNvSpPr/>
          </xdr:nvSpPr>
          <xdr:spPr>
            <a:xfrm>
              <a:off x="5350810"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6" name="Rectangle 65">
              <a:extLst>
                <a:ext uri="{FF2B5EF4-FFF2-40B4-BE49-F238E27FC236}">
                  <a16:creationId xmlns:a16="http://schemas.microsoft.com/office/drawing/2014/main" id="{A0FFAFEB-690E-5E2A-A40A-2CFD47D74817}"/>
                </a:ext>
              </a:extLst>
            </xdr:cNvPr>
            <xdr:cNvSpPr/>
          </xdr:nvSpPr>
          <xdr:spPr>
            <a:xfrm>
              <a:off x="328660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7" name="Rectangle 66">
              <a:extLst>
                <a:ext uri="{FF2B5EF4-FFF2-40B4-BE49-F238E27FC236}">
                  <a16:creationId xmlns:a16="http://schemas.microsoft.com/office/drawing/2014/main" id="{B9A3A575-01E3-29F1-0774-E5DCCF6842FC}"/>
                </a:ext>
              </a:extLst>
            </xdr:cNvPr>
            <xdr:cNvSpPr/>
          </xdr:nvSpPr>
          <xdr:spPr>
            <a:xfrm>
              <a:off x="34820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8" name="Rectangle 67">
              <a:extLst>
                <a:ext uri="{FF2B5EF4-FFF2-40B4-BE49-F238E27FC236}">
                  <a16:creationId xmlns:a16="http://schemas.microsoft.com/office/drawing/2014/main" id="{1C98BE55-9DBB-E787-11F1-DF3667C39BED}"/>
                </a:ext>
              </a:extLst>
            </xdr:cNvPr>
            <xdr:cNvSpPr/>
          </xdr:nvSpPr>
          <xdr:spPr>
            <a:xfrm>
              <a:off x="4165061"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Rectangle 68">
              <a:extLst>
                <a:ext uri="{FF2B5EF4-FFF2-40B4-BE49-F238E27FC236}">
                  <a16:creationId xmlns:a16="http://schemas.microsoft.com/office/drawing/2014/main" id="{4FFA1286-9B75-C16C-85D7-E2C7E67ABD97}"/>
                </a:ext>
              </a:extLst>
            </xdr:cNvPr>
            <xdr:cNvSpPr/>
          </xdr:nvSpPr>
          <xdr:spPr>
            <a:xfrm>
              <a:off x="400649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0" name="Rectangle 69">
              <a:extLst>
                <a:ext uri="{FF2B5EF4-FFF2-40B4-BE49-F238E27FC236}">
                  <a16:creationId xmlns:a16="http://schemas.microsoft.com/office/drawing/2014/main" id="{61DB8672-8CD1-DF48-838A-57CC58C21473}"/>
                </a:ext>
              </a:extLst>
            </xdr:cNvPr>
            <xdr:cNvSpPr/>
          </xdr:nvSpPr>
          <xdr:spPr>
            <a:xfrm>
              <a:off x="2683424" y="2396971"/>
              <a:ext cx="126000" cy="2894120"/>
            </a:xfrm>
            <a:prstGeom prst="rect">
              <a:avLst/>
            </a:prstGeom>
            <a:solidFill>
              <a:srgbClr val="593B9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1" name="Rectangle 70">
              <a:extLst>
                <a:ext uri="{FF2B5EF4-FFF2-40B4-BE49-F238E27FC236}">
                  <a16:creationId xmlns:a16="http://schemas.microsoft.com/office/drawing/2014/main" id="{DE20CC8D-960F-3754-5FA1-29C5A8724B94}"/>
                </a:ext>
              </a:extLst>
            </xdr:cNvPr>
            <xdr:cNvSpPr/>
          </xdr:nvSpPr>
          <xdr:spPr>
            <a:xfrm>
              <a:off x="2522715"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2" name="Rectangle 71">
              <a:extLst>
                <a:ext uri="{FF2B5EF4-FFF2-40B4-BE49-F238E27FC236}">
                  <a16:creationId xmlns:a16="http://schemas.microsoft.com/office/drawing/2014/main" id="{924023DC-B0FD-951B-77DC-EC285303CDFB}"/>
                </a:ext>
              </a:extLst>
            </xdr:cNvPr>
            <xdr:cNvSpPr/>
          </xdr:nvSpPr>
          <xdr:spPr>
            <a:xfrm>
              <a:off x="6962251" y="2396971"/>
              <a:ext cx="126000" cy="2894120"/>
            </a:xfrm>
            <a:prstGeom prst="rect">
              <a:avLst/>
            </a:prstGeom>
            <a:solidFill>
              <a:srgbClr val="643EB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3" name="Rectangle 72">
              <a:extLst>
                <a:ext uri="{FF2B5EF4-FFF2-40B4-BE49-F238E27FC236}">
                  <a16:creationId xmlns:a16="http://schemas.microsoft.com/office/drawing/2014/main" id="{F7A2D938-225C-4D6A-04E3-5B398748E128}"/>
                </a:ext>
              </a:extLst>
            </xdr:cNvPr>
            <xdr:cNvSpPr/>
          </xdr:nvSpPr>
          <xdr:spPr>
            <a:xfrm>
              <a:off x="3799324"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4" name="Rectangle 73">
              <a:extLst>
                <a:ext uri="{FF2B5EF4-FFF2-40B4-BE49-F238E27FC236}">
                  <a16:creationId xmlns:a16="http://schemas.microsoft.com/office/drawing/2014/main" id="{82271603-E16A-CF82-226D-818B9EFF8315}"/>
                </a:ext>
              </a:extLst>
            </xdr:cNvPr>
            <xdr:cNvSpPr/>
          </xdr:nvSpPr>
          <xdr:spPr>
            <a:xfrm>
              <a:off x="6035306"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5" name="Rectangle 74">
              <a:extLst>
                <a:ext uri="{FF2B5EF4-FFF2-40B4-BE49-F238E27FC236}">
                  <a16:creationId xmlns:a16="http://schemas.microsoft.com/office/drawing/2014/main" id="{F9828B1F-6BF9-DC58-0A17-A6D5D3F89735}"/>
                </a:ext>
              </a:extLst>
            </xdr:cNvPr>
            <xdr:cNvSpPr/>
          </xdr:nvSpPr>
          <xdr:spPr>
            <a:xfrm>
              <a:off x="5220380"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6" name="Rectangle 75">
              <a:extLst>
                <a:ext uri="{FF2B5EF4-FFF2-40B4-BE49-F238E27FC236}">
                  <a16:creationId xmlns:a16="http://schemas.microsoft.com/office/drawing/2014/main" id="{5CEB273B-B436-E27A-6DBE-45073A87A239}"/>
                </a:ext>
              </a:extLst>
            </xdr:cNvPr>
            <xdr:cNvSpPr/>
          </xdr:nvSpPr>
          <xdr:spPr>
            <a:xfrm>
              <a:off x="4732735" y="2396971"/>
              <a:ext cx="72000" cy="2894120"/>
            </a:xfrm>
            <a:prstGeom prst="rect">
              <a:avLst/>
            </a:prstGeom>
            <a:solidFill>
              <a:srgbClr val="8248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56" name="Logo">
            <a:extLst>
              <a:ext uri="{FF2B5EF4-FFF2-40B4-BE49-F238E27FC236}">
                <a16:creationId xmlns:a16="http://schemas.microsoft.com/office/drawing/2014/main" id="{B74DC86C-7ED8-1777-90E2-61BDC2F2E873}"/>
              </a:ext>
            </a:extLst>
          </xdr:cNvPr>
          <xdr:cNvSpPr/>
        </xdr:nvSpPr>
        <xdr:spPr>
          <a:xfrm>
            <a:off x="865321" y="738065"/>
            <a:ext cx="830580" cy="189344"/>
          </a:xfrm>
          <a:custGeom>
            <a:avLst/>
            <a:gdLst>
              <a:gd name="connsiteX0" fmla="*/ 2730532 w 2898895"/>
              <a:gd name="connsiteY0" fmla="*/ 207436 h 657179"/>
              <a:gd name="connsiteX1" fmla="*/ 2483568 w 2898895"/>
              <a:gd name="connsiteY1" fmla="*/ 637175 h 657179"/>
              <a:gd name="connsiteX2" fmla="*/ 2249634 w 2898895"/>
              <a:gd name="connsiteY2" fmla="*/ 207436 h 657179"/>
              <a:gd name="connsiteX3" fmla="*/ 2249634 w 2898895"/>
              <a:gd name="connsiteY3" fmla="*/ 597180 h 657179"/>
              <a:gd name="connsiteX4" fmla="*/ 2250253 w 2898895"/>
              <a:gd name="connsiteY4" fmla="*/ 605410 h 657179"/>
              <a:gd name="connsiteX5" fmla="*/ 2252501 w 2898895"/>
              <a:gd name="connsiteY5" fmla="*/ 613258 h 657179"/>
              <a:gd name="connsiteX6" fmla="*/ 2256140 w 2898895"/>
              <a:gd name="connsiteY6" fmla="*/ 619030 h 657179"/>
              <a:gd name="connsiteX7" fmla="*/ 2261788 w 2898895"/>
              <a:gd name="connsiteY7" fmla="*/ 623793 h 657179"/>
              <a:gd name="connsiteX8" fmla="*/ 2276466 w 2898895"/>
              <a:gd name="connsiteY8" fmla="*/ 630270 h 657179"/>
              <a:gd name="connsiteX9" fmla="*/ 2279400 w 2898895"/>
              <a:gd name="connsiteY9" fmla="*/ 631127 h 657179"/>
              <a:gd name="connsiteX10" fmla="*/ 2279400 w 2898895"/>
              <a:gd name="connsiteY10" fmla="*/ 646015 h 657179"/>
              <a:gd name="connsiteX11" fmla="*/ 2092900 w 2898895"/>
              <a:gd name="connsiteY11" fmla="*/ 646015 h 657179"/>
              <a:gd name="connsiteX12" fmla="*/ 2092900 w 2898895"/>
              <a:gd name="connsiteY12" fmla="*/ 631127 h 657179"/>
              <a:gd name="connsiteX13" fmla="*/ 2101501 w 2898895"/>
              <a:gd name="connsiteY13" fmla="*/ 628289 h 657179"/>
              <a:gd name="connsiteX14" fmla="*/ 2114741 w 2898895"/>
              <a:gd name="connsiteY14" fmla="*/ 620497 h 657179"/>
              <a:gd name="connsiteX15" fmla="*/ 2116151 w 2898895"/>
              <a:gd name="connsiteY15" fmla="*/ 619030 h 657179"/>
              <a:gd name="connsiteX16" fmla="*/ 2120713 w 2898895"/>
              <a:gd name="connsiteY16" fmla="*/ 610858 h 657179"/>
              <a:gd name="connsiteX17" fmla="*/ 2122361 w 2898895"/>
              <a:gd name="connsiteY17" fmla="*/ 603019 h 657179"/>
              <a:gd name="connsiteX18" fmla="*/ 2122666 w 2898895"/>
              <a:gd name="connsiteY18" fmla="*/ 597180 h 657179"/>
              <a:gd name="connsiteX19" fmla="*/ 2122666 w 2898895"/>
              <a:gd name="connsiteY19" fmla="*/ 59532 h 657179"/>
              <a:gd name="connsiteX20" fmla="*/ 2122028 w 2898895"/>
              <a:gd name="connsiteY20" fmla="*/ 51445 h 657179"/>
              <a:gd name="connsiteX21" fmla="*/ 2119589 w 2898895"/>
              <a:gd name="connsiteY21" fmla="*/ 43434 h 657179"/>
              <a:gd name="connsiteX22" fmla="*/ 2116151 w 2898895"/>
              <a:gd name="connsiteY22" fmla="*/ 38139 h 657179"/>
              <a:gd name="connsiteX23" fmla="*/ 2110502 w 2898895"/>
              <a:gd name="connsiteY23" fmla="*/ 33376 h 657179"/>
              <a:gd name="connsiteX24" fmla="*/ 2095824 w 2898895"/>
              <a:gd name="connsiteY24" fmla="*/ 26909 h 657179"/>
              <a:gd name="connsiteX25" fmla="*/ 2092900 w 2898895"/>
              <a:gd name="connsiteY25" fmla="*/ 26051 h 657179"/>
              <a:gd name="connsiteX26" fmla="*/ 2092900 w 2898895"/>
              <a:gd name="connsiteY26" fmla="*/ 11164 h 657179"/>
              <a:gd name="connsiteX27" fmla="*/ 2337531 w 2898895"/>
              <a:gd name="connsiteY27" fmla="*/ 11164 h 657179"/>
              <a:gd name="connsiteX28" fmla="*/ 2337531 w 2898895"/>
              <a:gd name="connsiteY28" fmla="*/ 26051 h 657179"/>
              <a:gd name="connsiteX29" fmla="*/ 2315671 w 2898895"/>
              <a:gd name="connsiteY29" fmla="*/ 51626 h 657179"/>
              <a:gd name="connsiteX30" fmla="*/ 2316747 w 2898895"/>
              <a:gd name="connsiteY30" fmla="*/ 59646 h 657179"/>
              <a:gd name="connsiteX31" fmla="*/ 2322186 w 2898895"/>
              <a:gd name="connsiteY31" fmla="*/ 73019 h 657179"/>
              <a:gd name="connsiteX32" fmla="*/ 2495198 w 2898895"/>
              <a:gd name="connsiteY32" fmla="*/ 392069 h 657179"/>
              <a:gd name="connsiteX33" fmla="*/ 2670534 w 2898895"/>
              <a:gd name="connsiteY33" fmla="*/ 78601 h 657179"/>
              <a:gd name="connsiteX34" fmla="*/ 2675345 w 2898895"/>
              <a:gd name="connsiteY34" fmla="*/ 69209 h 657179"/>
              <a:gd name="connsiteX35" fmla="*/ 2682164 w 2898895"/>
              <a:gd name="connsiteY35" fmla="*/ 47444 h 657179"/>
              <a:gd name="connsiteX36" fmla="*/ 2658904 w 2898895"/>
              <a:gd name="connsiteY36" fmla="*/ 26051 h 657179"/>
              <a:gd name="connsiteX37" fmla="*/ 2658904 w 2898895"/>
              <a:gd name="connsiteY37" fmla="*/ 11164 h 657179"/>
              <a:gd name="connsiteX38" fmla="*/ 2898896 w 2898895"/>
              <a:gd name="connsiteY38" fmla="*/ 11164 h 657179"/>
              <a:gd name="connsiteX39" fmla="*/ 2898896 w 2898895"/>
              <a:gd name="connsiteY39" fmla="*/ 26051 h 657179"/>
              <a:gd name="connsiteX40" fmla="*/ 2890286 w 2898895"/>
              <a:gd name="connsiteY40" fmla="*/ 28880 h 657179"/>
              <a:gd name="connsiteX41" fmla="*/ 2877046 w 2898895"/>
              <a:gd name="connsiteY41" fmla="*/ 36681 h 657179"/>
              <a:gd name="connsiteX42" fmla="*/ 2875636 w 2898895"/>
              <a:gd name="connsiteY42" fmla="*/ 38139 h 657179"/>
              <a:gd name="connsiteX43" fmla="*/ 2870855 w 2898895"/>
              <a:gd name="connsiteY43" fmla="*/ 46873 h 657179"/>
              <a:gd name="connsiteX44" fmla="*/ 2869331 w 2898895"/>
              <a:gd name="connsiteY44" fmla="*/ 54788 h 657179"/>
              <a:gd name="connsiteX45" fmla="*/ 2869131 w 2898895"/>
              <a:gd name="connsiteY45" fmla="*/ 59532 h 657179"/>
              <a:gd name="connsiteX46" fmla="*/ 2869131 w 2898895"/>
              <a:gd name="connsiteY46" fmla="*/ 597180 h 657179"/>
              <a:gd name="connsiteX47" fmla="*/ 2869750 w 2898895"/>
              <a:gd name="connsiteY47" fmla="*/ 605410 h 657179"/>
              <a:gd name="connsiteX48" fmla="*/ 2871998 w 2898895"/>
              <a:gd name="connsiteY48" fmla="*/ 613258 h 657179"/>
              <a:gd name="connsiteX49" fmla="*/ 2875636 w 2898895"/>
              <a:gd name="connsiteY49" fmla="*/ 619030 h 657179"/>
              <a:gd name="connsiteX50" fmla="*/ 2881285 w 2898895"/>
              <a:gd name="connsiteY50" fmla="*/ 623793 h 657179"/>
              <a:gd name="connsiteX51" fmla="*/ 2895962 w 2898895"/>
              <a:gd name="connsiteY51" fmla="*/ 630270 h 657179"/>
              <a:gd name="connsiteX52" fmla="*/ 2898896 w 2898895"/>
              <a:gd name="connsiteY52" fmla="*/ 631127 h 657179"/>
              <a:gd name="connsiteX53" fmla="*/ 2898896 w 2898895"/>
              <a:gd name="connsiteY53" fmla="*/ 646015 h 657179"/>
              <a:gd name="connsiteX54" fmla="*/ 2700767 w 2898895"/>
              <a:gd name="connsiteY54" fmla="*/ 646015 h 657179"/>
              <a:gd name="connsiteX55" fmla="*/ 2700767 w 2898895"/>
              <a:gd name="connsiteY55" fmla="*/ 631127 h 657179"/>
              <a:gd name="connsiteX56" fmla="*/ 2709168 w 2898895"/>
              <a:gd name="connsiteY56" fmla="*/ 628498 h 657179"/>
              <a:gd name="connsiteX57" fmla="*/ 2723084 w 2898895"/>
              <a:gd name="connsiteY57" fmla="*/ 620040 h 657179"/>
              <a:gd name="connsiteX58" fmla="*/ 2723789 w 2898895"/>
              <a:gd name="connsiteY58" fmla="*/ 619268 h 657179"/>
              <a:gd name="connsiteX59" fmla="*/ 2730323 w 2898895"/>
              <a:gd name="connsiteY59" fmla="*/ 602076 h 657179"/>
              <a:gd name="connsiteX60" fmla="*/ 2730532 w 2898895"/>
              <a:gd name="connsiteY60" fmla="*/ 597180 h 657179"/>
              <a:gd name="connsiteX61" fmla="*/ 1126446 w 2898895"/>
              <a:gd name="connsiteY61" fmla="*/ 436722 h 657179"/>
              <a:gd name="connsiteX62" fmla="*/ 1139000 w 2898895"/>
              <a:gd name="connsiteY62" fmla="*/ 427883 h 657179"/>
              <a:gd name="connsiteX63" fmla="*/ 1227363 w 2898895"/>
              <a:gd name="connsiteY63" fmla="*/ 560432 h 657179"/>
              <a:gd name="connsiteX64" fmla="*/ 1215276 w 2898895"/>
              <a:gd name="connsiteY64" fmla="*/ 568805 h 657179"/>
              <a:gd name="connsiteX65" fmla="*/ 1209237 w 2898895"/>
              <a:gd name="connsiteY65" fmla="*/ 563661 h 657179"/>
              <a:gd name="connsiteX66" fmla="*/ 1198160 w 2898895"/>
              <a:gd name="connsiteY66" fmla="*/ 557404 h 657179"/>
              <a:gd name="connsiteX67" fmla="*/ 1193883 w 2898895"/>
              <a:gd name="connsiteY67" fmla="*/ 556718 h 657179"/>
              <a:gd name="connsiteX68" fmla="*/ 1146906 w 2898895"/>
              <a:gd name="connsiteY68" fmla="*/ 579035 h 657179"/>
              <a:gd name="connsiteX69" fmla="*/ 1099386 w 2898895"/>
              <a:gd name="connsiteY69" fmla="*/ 604886 h 657179"/>
              <a:gd name="connsiteX70" fmla="*/ 1012260 w 2898895"/>
              <a:gd name="connsiteY70" fmla="*/ 641128 h 657179"/>
              <a:gd name="connsiteX71" fmla="*/ 882273 w 2898895"/>
              <a:gd name="connsiteY71" fmla="*/ 657168 h 657179"/>
              <a:gd name="connsiteX72" fmla="*/ 775164 w 2898895"/>
              <a:gd name="connsiteY72" fmla="*/ 646748 h 657179"/>
              <a:gd name="connsiteX73" fmla="*/ 635775 w 2898895"/>
              <a:gd name="connsiteY73" fmla="*/ 586017 h 657179"/>
              <a:gd name="connsiteX74" fmla="*/ 546478 w 2898895"/>
              <a:gd name="connsiteY74" fmla="*/ 483232 h 657179"/>
              <a:gd name="connsiteX75" fmla="*/ 508893 w 2898895"/>
              <a:gd name="connsiteY75" fmla="*/ 336262 h 657179"/>
              <a:gd name="connsiteX76" fmla="*/ 508807 w 2898895"/>
              <a:gd name="connsiteY76" fmla="*/ 328356 h 657179"/>
              <a:gd name="connsiteX77" fmla="*/ 576244 w 2898895"/>
              <a:gd name="connsiteY77" fmla="*/ 127902 h 657179"/>
              <a:gd name="connsiteX78" fmla="*/ 878539 w 2898895"/>
              <a:gd name="connsiteY78" fmla="*/ 20 h 657179"/>
              <a:gd name="connsiteX79" fmla="*/ 882739 w 2898895"/>
              <a:gd name="connsiteY79" fmla="*/ 0 h 657179"/>
              <a:gd name="connsiteX80" fmla="*/ 1012032 w 2898895"/>
              <a:gd name="connsiteY80" fmla="*/ 15812 h 657179"/>
              <a:gd name="connsiteX81" fmla="*/ 1048389 w 2898895"/>
              <a:gd name="connsiteY81" fmla="*/ 28699 h 657179"/>
              <a:gd name="connsiteX82" fmla="*/ 1139572 w 2898895"/>
              <a:gd name="connsiteY82" fmla="*/ 73953 h 657179"/>
              <a:gd name="connsiteX83" fmla="*/ 1146906 w 2898895"/>
              <a:gd name="connsiteY83" fmla="*/ 78134 h 657179"/>
              <a:gd name="connsiteX84" fmla="*/ 1160317 w 2898895"/>
              <a:gd name="connsiteY84" fmla="*/ 85564 h 657179"/>
              <a:gd name="connsiteX85" fmla="*/ 1193883 w 2898895"/>
              <a:gd name="connsiteY85" fmla="*/ 99994 h 657179"/>
              <a:gd name="connsiteX86" fmla="*/ 1215276 w 2898895"/>
              <a:gd name="connsiteY86" fmla="*/ 87907 h 657179"/>
              <a:gd name="connsiteX87" fmla="*/ 1227363 w 2898895"/>
              <a:gd name="connsiteY87" fmla="*/ 96279 h 657179"/>
              <a:gd name="connsiteX88" fmla="*/ 1139000 w 2898895"/>
              <a:gd name="connsiteY88" fmla="*/ 228829 h 657179"/>
              <a:gd name="connsiteX89" fmla="*/ 1126446 w 2898895"/>
              <a:gd name="connsiteY89" fmla="*/ 220457 h 657179"/>
              <a:gd name="connsiteX90" fmla="*/ 1127008 w 2898895"/>
              <a:gd name="connsiteY90" fmla="*/ 215227 h 657179"/>
              <a:gd name="connsiteX91" fmla="*/ 1127370 w 2898895"/>
              <a:gd name="connsiteY91" fmla="*/ 207893 h 657179"/>
              <a:gd name="connsiteX92" fmla="*/ 1122369 w 2898895"/>
              <a:gd name="connsiteY92" fmla="*/ 190891 h 657179"/>
              <a:gd name="connsiteX93" fmla="*/ 1115750 w 2898895"/>
              <a:gd name="connsiteY93" fmla="*/ 182547 h 657179"/>
              <a:gd name="connsiteX94" fmla="*/ 1107768 w 2898895"/>
              <a:gd name="connsiteY94" fmla="*/ 175489 h 657179"/>
              <a:gd name="connsiteX95" fmla="*/ 1074354 w 2898895"/>
              <a:gd name="connsiteY95" fmla="*/ 153944 h 657179"/>
              <a:gd name="connsiteX96" fmla="*/ 899942 w 2898895"/>
              <a:gd name="connsiteY96" fmla="*/ 107442 h 657179"/>
              <a:gd name="connsiteX97" fmla="*/ 726472 w 2898895"/>
              <a:gd name="connsiteY97" fmla="*/ 161849 h 657179"/>
              <a:gd name="connsiteX98" fmla="*/ 650863 w 2898895"/>
              <a:gd name="connsiteY98" fmla="*/ 309430 h 657179"/>
              <a:gd name="connsiteX99" fmla="*/ 650196 w 2898895"/>
              <a:gd name="connsiteY99" fmla="*/ 328356 h 657179"/>
              <a:gd name="connsiteX100" fmla="*/ 665855 w 2898895"/>
              <a:gd name="connsiteY100" fmla="*/ 413481 h 657179"/>
              <a:gd name="connsiteX101" fmla="*/ 726472 w 2898895"/>
              <a:gd name="connsiteY101" fmla="*/ 494853 h 657179"/>
              <a:gd name="connsiteX102" fmla="*/ 899942 w 2898895"/>
              <a:gd name="connsiteY102" fmla="*/ 549269 h 657179"/>
              <a:gd name="connsiteX103" fmla="*/ 1074354 w 2898895"/>
              <a:gd name="connsiteY103" fmla="*/ 502759 h 657179"/>
              <a:gd name="connsiteX104" fmla="*/ 1115750 w 2898895"/>
              <a:gd name="connsiteY104" fmla="*/ 474164 h 657179"/>
              <a:gd name="connsiteX105" fmla="*/ 1122598 w 2898895"/>
              <a:gd name="connsiteY105" fmla="*/ 465430 h 657179"/>
              <a:gd name="connsiteX106" fmla="*/ 1127370 w 2898895"/>
              <a:gd name="connsiteY106" fmla="*/ 448809 h 657179"/>
              <a:gd name="connsiteX107" fmla="*/ 1127246 w 2898895"/>
              <a:gd name="connsiteY107" fmla="*/ 444713 h 657179"/>
              <a:gd name="connsiteX108" fmla="*/ 1126827 w 2898895"/>
              <a:gd name="connsiteY108" fmla="*/ 439884 h 657179"/>
              <a:gd name="connsiteX109" fmla="*/ 1126446 w 2898895"/>
              <a:gd name="connsiteY109" fmla="*/ 436722 h 657179"/>
              <a:gd name="connsiteX110" fmla="*/ 1660360 w 2898895"/>
              <a:gd name="connsiteY110" fmla="*/ 386954 h 657179"/>
              <a:gd name="connsiteX111" fmla="*/ 1491073 w 2898895"/>
              <a:gd name="connsiteY111" fmla="*/ 386954 h 657179"/>
              <a:gd name="connsiteX112" fmla="*/ 1491073 w 2898895"/>
              <a:gd name="connsiteY112" fmla="*/ 597637 h 657179"/>
              <a:gd name="connsiteX113" fmla="*/ 1491797 w 2898895"/>
              <a:gd name="connsiteY113" fmla="*/ 606124 h 657179"/>
              <a:gd name="connsiteX114" fmla="*/ 1494635 w 2898895"/>
              <a:gd name="connsiteY114" fmla="*/ 614611 h 657179"/>
              <a:gd name="connsiteX115" fmla="*/ 1497816 w 2898895"/>
              <a:gd name="connsiteY115" fmla="*/ 619268 h 657179"/>
              <a:gd name="connsiteX116" fmla="*/ 1519562 w 2898895"/>
              <a:gd name="connsiteY116" fmla="*/ 630794 h 657179"/>
              <a:gd name="connsiteX117" fmla="*/ 1520838 w 2898895"/>
              <a:gd name="connsiteY117" fmla="*/ 631127 h 657179"/>
              <a:gd name="connsiteX118" fmla="*/ 1520838 w 2898895"/>
              <a:gd name="connsiteY118" fmla="*/ 646015 h 657179"/>
              <a:gd name="connsiteX119" fmla="*/ 1322709 w 2898895"/>
              <a:gd name="connsiteY119" fmla="*/ 646015 h 657179"/>
              <a:gd name="connsiteX120" fmla="*/ 1322709 w 2898895"/>
              <a:gd name="connsiteY120" fmla="*/ 631127 h 657179"/>
              <a:gd name="connsiteX121" fmla="*/ 1331319 w 2898895"/>
              <a:gd name="connsiteY121" fmla="*/ 628289 h 657179"/>
              <a:gd name="connsiteX122" fmla="*/ 1344559 w 2898895"/>
              <a:gd name="connsiteY122" fmla="*/ 620497 h 657179"/>
              <a:gd name="connsiteX123" fmla="*/ 1345969 w 2898895"/>
              <a:gd name="connsiteY123" fmla="*/ 619030 h 657179"/>
              <a:gd name="connsiteX124" fmla="*/ 1350741 w 2898895"/>
              <a:gd name="connsiteY124" fmla="*/ 610296 h 657179"/>
              <a:gd name="connsiteX125" fmla="*/ 1352274 w 2898895"/>
              <a:gd name="connsiteY125" fmla="*/ 602381 h 657179"/>
              <a:gd name="connsiteX126" fmla="*/ 1352474 w 2898895"/>
              <a:gd name="connsiteY126" fmla="*/ 597637 h 657179"/>
              <a:gd name="connsiteX127" fmla="*/ 1352474 w 2898895"/>
              <a:gd name="connsiteY127" fmla="*/ 59998 h 657179"/>
              <a:gd name="connsiteX128" fmla="*/ 1351855 w 2898895"/>
              <a:gd name="connsiteY128" fmla="*/ 51769 h 657179"/>
              <a:gd name="connsiteX129" fmla="*/ 1349598 w 2898895"/>
              <a:gd name="connsiteY129" fmla="*/ 43920 h 657179"/>
              <a:gd name="connsiteX130" fmla="*/ 1345969 w 2898895"/>
              <a:gd name="connsiteY130" fmla="*/ 38139 h 657179"/>
              <a:gd name="connsiteX131" fmla="*/ 1340320 w 2898895"/>
              <a:gd name="connsiteY131" fmla="*/ 33376 h 657179"/>
              <a:gd name="connsiteX132" fmla="*/ 1325642 w 2898895"/>
              <a:gd name="connsiteY132" fmla="*/ 26909 h 657179"/>
              <a:gd name="connsiteX133" fmla="*/ 1322709 w 2898895"/>
              <a:gd name="connsiteY133" fmla="*/ 26051 h 657179"/>
              <a:gd name="connsiteX134" fmla="*/ 1322709 w 2898895"/>
              <a:gd name="connsiteY134" fmla="*/ 11164 h 657179"/>
              <a:gd name="connsiteX135" fmla="*/ 1719892 w 2898895"/>
              <a:gd name="connsiteY135" fmla="*/ 11164 h 657179"/>
              <a:gd name="connsiteX136" fmla="*/ 1762316 w 2898895"/>
              <a:gd name="connsiteY136" fmla="*/ 11983 h 657179"/>
              <a:gd name="connsiteX137" fmla="*/ 1835001 w 2898895"/>
              <a:gd name="connsiteY137" fmla="*/ 19536 h 657179"/>
              <a:gd name="connsiteX138" fmla="*/ 1879140 w 2898895"/>
              <a:gd name="connsiteY138" fmla="*/ 32805 h 657179"/>
              <a:gd name="connsiteX139" fmla="*/ 1909182 w 2898895"/>
              <a:gd name="connsiteY139" fmla="*/ 48835 h 657179"/>
              <a:gd name="connsiteX140" fmla="*/ 1964065 w 2898895"/>
              <a:gd name="connsiteY140" fmla="*/ 114415 h 657179"/>
              <a:gd name="connsiteX141" fmla="*/ 1981277 w 2898895"/>
              <a:gd name="connsiteY141" fmla="*/ 199987 h 657179"/>
              <a:gd name="connsiteX142" fmla="*/ 1808731 w 2898895"/>
              <a:gd name="connsiteY142" fmla="*/ 381839 h 657179"/>
              <a:gd name="connsiteX143" fmla="*/ 1931975 w 2898895"/>
              <a:gd name="connsiteY143" fmla="*/ 557175 h 657179"/>
              <a:gd name="connsiteX144" fmla="*/ 1976228 w 2898895"/>
              <a:gd name="connsiteY144" fmla="*/ 613277 h 657179"/>
              <a:gd name="connsiteX145" fmla="*/ 1979648 w 2898895"/>
              <a:gd name="connsiteY145" fmla="*/ 616478 h 657179"/>
              <a:gd name="connsiteX146" fmla="*/ 2011595 w 2898895"/>
              <a:gd name="connsiteY146" fmla="*/ 630641 h 657179"/>
              <a:gd name="connsiteX147" fmla="*/ 2016624 w 2898895"/>
              <a:gd name="connsiteY147" fmla="*/ 631127 h 657179"/>
              <a:gd name="connsiteX148" fmla="*/ 2016624 w 2898895"/>
              <a:gd name="connsiteY148" fmla="*/ 646015 h 657179"/>
              <a:gd name="connsiteX149" fmla="*/ 1786872 w 2898895"/>
              <a:gd name="connsiteY149" fmla="*/ 646015 h 657179"/>
              <a:gd name="connsiteX150" fmla="*/ 1786872 w 2898895"/>
              <a:gd name="connsiteY150" fmla="*/ 631127 h 657179"/>
              <a:gd name="connsiteX151" fmla="*/ 1795377 w 2898895"/>
              <a:gd name="connsiteY151" fmla="*/ 629279 h 657179"/>
              <a:gd name="connsiteX152" fmla="*/ 1807988 w 2898895"/>
              <a:gd name="connsiteY152" fmla="*/ 621983 h 657179"/>
              <a:gd name="connsiteX153" fmla="*/ 1810589 w 2898895"/>
              <a:gd name="connsiteY153" fmla="*/ 614382 h 657179"/>
              <a:gd name="connsiteX154" fmla="*/ 1809617 w 2898895"/>
              <a:gd name="connsiteY154" fmla="*/ 609801 h 657179"/>
              <a:gd name="connsiteX155" fmla="*/ 1788729 w 2898895"/>
              <a:gd name="connsiteY155" fmla="*/ 573920 h 657179"/>
              <a:gd name="connsiteX156" fmla="*/ 29766 w 2898895"/>
              <a:gd name="connsiteY156" fmla="*/ 597180 h 657179"/>
              <a:gd name="connsiteX157" fmla="*/ 29766 w 2898895"/>
              <a:gd name="connsiteY157" fmla="*/ 59532 h 657179"/>
              <a:gd name="connsiteX158" fmla="*/ 29128 w 2898895"/>
              <a:gd name="connsiteY158" fmla="*/ 51445 h 657179"/>
              <a:gd name="connsiteX159" fmla="*/ 26690 w 2898895"/>
              <a:gd name="connsiteY159" fmla="*/ 43434 h 657179"/>
              <a:gd name="connsiteX160" fmla="*/ 23251 w 2898895"/>
              <a:gd name="connsiteY160" fmla="*/ 38139 h 657179"/>
              <a:gd name="connsiteX161" fmla="*/ 17612 w 2898895"/>
              <a:gd name="connsiteY161" fmla="*/ 33376 h 657179"/>
              <a:gd name="connsiteX162" fmla="*/ 2934 w 2898895"/>
              <a:gd name="connsiteY162" fmla="*/ 26909 h 657179"/>
              <a:gd name="connsiteX163" fmla="*/ 0 w 2898895"/>
              <a:gd name="connsiteY163" fmla="*/ 26051 h 657179"/>
              <a:gd name="connsiteX164" fmla="*/ 0 w 2898895"/>
              <a:gd name="connsiteY164" fmla="*/ 11164 h 657179"/>
              <a:gd name="connsiteX165" fmla="*/ 198130 w 2898895"/>
              <a:gd name="connsiteY165" fmla="*/ 11164 h 657179"/>
              <a:gd name="connsiteX166" fmla="*/ 198130 w 2898895"/>
              <a:gd name="connsiteY166" fmla="*/ 26051 h 657179"/>
              <a:gd name="connsiteX167" fmla="*/ 174870 w 2898895"/>
              <a:gd name="connsiteY167" fmla="*/ 37910 h 657179"/>
              <a:gd name="connsiteX168" fmla="*/ 168526 w 2898895"/>
              <a:gd name="connsiteY168" fmla="*/ 55293 h 657179"/>
              <a:gd name="connsiteX169" fmla="*/ 168364 w 2898895"/>
              <a:gd name="connsiteY169" fmla="*/ 59532 h 657179"/>
              <a:gd name="connsiteX170" fmla="*/ 168364 w 2898895"/>
              <a:gd name="connsiteY170" fmla="*/ 597180 h 657179"/>
              <a:gd name="connsiteX171" fmla="*/ 169022 w 2898895"/>
              <a:gd name="connsiteY171" fmla="*/ 605524 h 657179"/>
              <a:gd name="connsiteX172" fmla="*/ 171546 w 2898895"/>
              <a:gd name="connsiteY172" fmla="*/ 613801 h 657179"/>
              <a:gd name="connsiteX173" fmla="*/ 175108 w 2898895"/>
              <a:gd name="connsiteY173" fmla="*/ 619268 h 657179"/>
              <a:gd name="connsiteX174" fmla="*/ 196854 w 2898895"/>
              <a:gd name="connsiteY174" fmla="*/ 630794 h 657179"/>
              <a:gd name="connsiteX175" fmla="*/ 198130 w 2898895"/>
              <a:gd name="connsiteY175" fmla="*/ 631127 h 657179"/>
              <a:gd name="connsiteX176" fmla="*/ 198130 w 2898895"/>
              <a:gd name="connsiteY176" fmla="*/ 646015 h 657179"/>
              <a:gd name="connsiteX177" fmla="*/ 0 w 2898895"/>
              <a:gd name="connsiteY177" fmla="*/ 646015 h 657179"/>
              <a:gd name="connsiteX178" fmla="*/ 0 w 2898895"/>
              <a:gd name="connsiteY178" fmla="*/ 631127 h 657179"/>
              <a:gd name="connsiteX179" fmla="*/ 8611 w 2898895"/>
              <a:gd name="connsiteY179" fmla="*/ 628289 h 657179"/>
              <a:gd name="connsiteX180" fmla="*/ 21851 w 2898895"/>
              <a:gd name="connsiteY180" fmla="*/ 620497 h 657179"/>
              <a:gd name="connsiteX181" fmla="*/ 23251 w 2898895"/>
              <a:gd name="connsiteY181" fmla="*/ 619030 h 657179"/>
              <a:gd name="connsiteX182" fmla="*/ 27823 w 2898895"/>
              <a:gd name="connsiteY182" fmla="*/ 610858 h 657179"/>
              <a:gd name="connsiteX183" fmla="*/ 29471 w 2898895"/>
              <a:gd name="connsiteY183" fmla="*/ 603019 h 657179"/>
              <a:gd name="connsiteX184" fmla="*/ 29766 w 2898895"/>
              <a:gd name="connsiteY184" fmla="*/ 597180 h 657179"/>
              <a:gd name="connsiteX185" fmla="*/ 1491073 w 2898895"/>
              <a:gd name="connsiteY185" fmla="*/ 115805 h 657179"/>
              <a:gd name="connsiteX186" fmla="*/ 1491073 w 2898895"/>
              <a:gd name="connsiteY186" fmla="*/ 282312 h 657179"/>
              <a:gd name="connsiteX187" fmla="*/ 1705014 w 2898895"/>
              <a:gd name="connsiteY187" fmla="*/ 282312 h 657179"/>
              <a:gd name="connsiteX188" fmla="*/ 1726988 w 2898895"/>
              <a:gd name="connsiteY188" fmla="*/ 282141 h 657179"/>
              <a:gd name="connsiteX189" fmla="*/ 1771660 w 2898895"/>
              <a:gd name="connsiteY189" fmla="*/ 279569 h 657179"/>
              <a:gd name="connsiteX190" fmla="*/ 1771984 w 2898895"/>
              <a:gd name="connsiteY190" fmla="*/ 279521 h 657179"/>
              <a:gd name="connsiteX191" fmla="*/ 1807798 w 2898895"/>
              <a:gd name="connsiteY191" fmla="*/ 267891 h 657179"/>
              <a:gd name="connsiteX192" fmla="*/ 1840650 w 2898895"/>
              <a:gd name="connsiteY192" fmla="*/ 223333 h 657179"/>
              <a:gd name="connsiteX193" fmla="*/ 1843145 w 2898895"/>
              <a:gd name="connsiteY193" fmla="*/ 199063 h 657179"/>
              <a:gd name="connsiteX194" fmla="*/ 1840345 w 2898895"/>
              <a:gd name="connsiteY194" fmla="*/ 173498 h 657179"/>
              <a:gd name="connsiteX195" fmla="*/ 1807798 w 2898895"/>
              <a:gd name="connsiteY195" fmla="*/ 130226 h 657179"/>
              <a:gd name="connsiteX196" fmla="*/ 1772222 w 2898895"/>
              <a:gd name="connsiteY196" fmla="*/ 118368 h 657179"/>
              <a:gd name="connsiteX197" fmla="*/ 1761059 w 2898895"/>
              <a:gd name="connsiteY197" fmla="*/ 117253 h 657179"/>
              <a:gd name="connsiteX198" fmla="*/ 1708300 w 2898895"/>
              <a:gd name="connsiteY198" fmla="*/ 115815 h 657179"/>
              <a:gd name="connsiteX199" fmla="*/ 1705014 w 2898895"/>
              <a:gd name="connsiteY199" fmla="*/ 115805 h 657179"/>
              <a:gd name="connsiteX200" fmla="*/ 451600 w 2898895"/>
              <a:gd name="connsiteY200" fmla="*/ 305096 h 657179"/>
              <a:gd name="connsiteX201" fmla="*/ 466487 w 2898895"/>
              <a:gd name="connsiteY201" fmla="*/ 305096 h 657179"/>
              <a:gd name="connsiteX202" fmla="*/ 466487 w 2898895"/>
              <a:gd name="connsiteY202" fmla="*/ 466021 h 657179"/>
              <a:gd name="connsiteX203" fmla="*/ 451600 w 2898895"/>
              <a:gd name="connsiteY203" fmla="*/ 466021 h 657179"/>
              <a:gd name="connsiteX204" fmla="*/ 448761 w 2898895"/>
              <a:gd name="connsiteY204" fmla="*/ 457410 h 657179"/>
              <a:gd name="connsiteX205" fmla="*/ 440970 w 2898895"/>
              <a:gd name="connsiteY205" fmla="*/ 444170 h 657179"/>
              <a:gd name="connsiteX206" fmla="*/ 439513 w 2898895"/>
              <a:gd name="connsiteY206" fmla="*/ 442770 h 657179"/>
              <a:gd name="connsiteX207" fmla="*/ 431331 w 2898895"/>
              <a:gd name="connsiteY207" fmla="*/ 438198 h 657179"/>
              <a:gd name="connsiteX208" fmla="*/ 423491 w 2898895"/>
              <a:gd name="connsiteY208" fmla="*/ 436550 h 657179"/>
              <a:gd name="connsiteX209" fmla="*/ 417653 w 2898895"/>
              <a:gd name="connsiteY209" fmla="*/ 436255 h 657179"/>
              <a:gd name="connsiteX210" fmla="*/ 303238 w 2898895"/>
              <a:gd name="connsiteY210" fmla="*/ 436255 h 657179"/>
              <a:gd name="connsiteX211" fmla="*/ 294761 w 2898895"/>
              <a:gd name="connsiteY211" fmla="*/ 436979 h 657179"/>
              <a:gd name="connsiteX212" fmla="*/ 286265 w 2898895"/>
              <a:gd name="connsiteY212" fmla="*/ 439817 h 657179"/>
              <a:gd name="connsiteX213" fmla="*/ 281607 w 2898895"/>
              <a:gd name="connsiteY213" fmla="*/ 442999 h 657179"/>
              <a:gd name="connsiteX214" fmla="*/ 270091 w 2898895"/>
              <a:gd name="connsiteY214" fmla="*/ 464744 h 657179"/>
              <a:gd name="connsiteX215" fmla="*/ 269748 w 2898895"/>
              <a:gd name="connsiteY215" fmla="*/ 466021 h 657179"/>
              <a:gd name="connsiteX216" fmla="*/ 254870 w 2898895"/>
              <a:gd name="connsiteY216" fmla="*/ 466021 h 657179"/>
              <a:gd name="connsiteX217" fmla="*/ 254870 w 2898895"/>
              <a:gd name="connsiteY217" fmla="*/ 305096 h 657179"/>
              <a:gd name="connsiteX218" fmla="*/ 269748 w 2898895"/>
              <a:gd name="connsiteY218" fmla="*/ 305096 h 657179"/>
              <a:gd name="connsiteX219" fmla="*/ 281607 w 2898895"/>
              <a:gd name="connsiteY219" fmla="*/ 328584 h 657179"/>
              <a:gd name="connsiteX220" fmla="*/ 291170 w 2898895"/>
              <a:gd name="connsiteY220" fmla="*/ 333747 h 657179"/>
              <a:gd name="connsiteX221" fmla="*/ 303238 w 2898895"/>
              <a:gd name="connsiteY221" fmla="*/ 335328 h 657179"/>
              <a:gd name="connsiteX222" fmla="*/ 417653 w 2898895"/>
              <a:gd name="connsiteY222" fmla="*/ 335328 h 657179"/>
              <a:gd name="connsiteX223" fmla="*/ 425882 w 2898895"/>
              <a:gd name="connsiteY223" fmla="*/ 334709 h 657179"/>
              <a:gd name="connsiteX224" fmla="*/ 433731 w 2898895"/>
              <a:gd name="connsiteY224" fmla="*/ 332461 h 657179"/>
              <a:gd name="connsiteX225" fmla="*/ 439513 w 2898895"/>
              <a:gd name="connsiteY225" fmla="*/ 328823 h 657179"/>
              <a:gd name="connsiteX226" fmla="*/ 444094 w 2898895"/>
              <a:gd name="connsiteY226" fmla="*/ 323393 h 657179"/>
              <a:gd name="connsiteX227" fmla="*/ 450666 w 2898895"/>
              <a:gd name="connsiteY227" fmla="*/ 308353 h 657179"/>
              <a:gd name="connsiteX228" fmla="*/ 451600 w 2898895"/>
              <a:gd name="connsiteY228" fmla="*/ 305096 h 6571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Lst>
            <a:rect l="l" t="t" r="r" b="b"/>
            <a:pathLst>
              <a:path w="2898895" h="657179">
                <a:moveTo>
                  <a:pt x="2730532" y="207436"/>
                </a:moveTo>
                <a:lnTo>
                  <a:pt x="2483568" y="637175"/>
                </a:lnTo>
                <a:lnTo>
                  <a:pt x="2249634" y="207436"/>
                </a:lnTo>
                <a:lnTo>
                  <a:pt x="2249634" y="597180"/>
                </a:lnTo>
                <a:cubicBezTo>
                  <a:pt x="2249615" y="599935"/>
                  <a:pt x="2249825" y="602687"/>
                  <a:pt x="2250253" y="605410"/>
                </a:cubicBezTo>
                <a:cubicBezTo>
                  <a:pt x="2250729" y="608317"/>
                  <a:pt x="2251482" y="610934"/>
                  <a:pt x="2252501" y="613258"/>
                </a:cubicBezTo>
                <a:cubicBezTo>
                  <a:pt x="2253416" y="615356"/>
                  <a:pt x="2254644" y="617301"/>
                  <a:pt x="2256140" y="619030"/>
                </a:cubicBezTo>
                <a:cubicBezTo>
                  <a:pt x="2257797" y="620870"/>
                  <a:pt x="2259693" y="622474"/>
                  <a:pt x="2261788" y="623793"/>
                </a:cubicBezTo>
                <a:cubicBezTo>
                  <a:pt x="2265579" y="626250"/>
                  <a:pt x="2270475" y="628410"/>
                  <a:pt x="2276466" y="630270"/>
                </a:cubicBezTo>
                <a:cubicBezTo>
                  <a:pt x="2277438" y="630570"/>
                  <a:pt x="2278419" y="630856"/>
                  <a:pt x="2279400" y="631127"/>
                </a:cubicBezTo>
                <a:lnTo>
                  <a:pt x="2279400" y="646015"/>
                </a:lnTo>
                <a:lnTo>
                  <a:pt x="2092900" y="646015"/>
                </a:lnTo>
                <a:lnTo>
                  <a:pt x="2092900" y="631127"/>
                </a:lnTo>
                <a:cubicBezTo>
                  <a:pt x="2095815" y="630328"/>
                  <a:pt x="2098682" y="629381"/>
                  <a:pt x="2101501" y="628289"/>
                </a:cubicBezTo>
                <a:cubicBezTo>
                  <a:pt x="2107226" y="626047"/>
                  <a:pt x="2111636" y="623450"/>
                  <a:pt x="2114741" y="620497"/>
                </a:cubicBezTo>
                <a:cubicBezTo>
                  <a:pt x="2115236" y="620030"/>
                  <a:pt x="2115703" y="619541"/>
                  <a:pt x="2116151" y="619030"/>
                </a:cubicBezTo>
                <a:cubicBezTo>
                  <a:pt x="2118199" y="616637"/>
                  <a:pt x="2119751" y="613858"/>
                  <a:pt x="2120713" y="610858"/>
                </a:cubicBezTo>
                <a:cubicBezTo>
                  <a:pt x="2121504" y="608502"/>
                  <a:pt x="2122056" y="605889"/>
                  <a:pt x="2122361" y="603019"/>
                </a:cubicBezTo>
                <a:cubicBezTo>
                  <a:pt x="2122571" y="601079"/>
                  <a:pt x="2122666" y="599131"/>
                  <a:pt x="2122666" y="597180"/>
                </a:cubicBezTo>
                <a:lnTo>
                  <a:pt x="2122666" y="59532"/>
                </a:lnTo>
                <a:cubicBezTo>
                  <a:pt x="2122685" y="56823"/>
                  <a:pt x="2122466" y="54118"/>
                  <a:pt x="2122028" y="51445"/>
                </a:cubicBezTo>
                <a:cubicBezTo>
                  <a:pt x="2121523" y="48473"/>
                  <a:pt x="2120704" y="45803"/>
                  <a:pt x="2119589" y="43434"/>
                </a:cubicBezTo>
                <a:cubicBezTo>
                  <a:pt x="2118694" y="41518"/>
                  <a:pt x="2117541" y="39735"/>
                  <a:pt x="2116151" y="38139"/>
                </a:cubicBezTo>
                <a:cubicBezTo>
                  <a:pt x="2114493" y="36298"/>
                  <a:pt x="2112598" y="34695"/>
                  <a:pt x="2110502" y="33376"/>
                </a:cubicBezTo>
                <a:cubicBezTo>
                  <a:pt x="2106712" y="30919"/>
                  <a:pt x="2101816" y="28763"/>
                  <a:pt x="2095824" y="26909"/>
                </a:cubicBezTo>
                <a:cubicBezTo>
                  <a:pt x="2094853" y="26609"/>
                  <a:pt x="2093881" y="26323"/>
                  <a:pt x="2092900" y="26051"/>
                </a:cubicBezTo>
                <a:lnTo>
                  <a:pt x="2092900" y="11164"/>
                </a:lnTo>
                <a:lnTo>
                  <a:pt x="2337531" y="11164"/>
                </a:lnTo>
                <a:lnTo>
                  <a:pt x="2337531" y="26051"/>
                </a:lnTo>
                <a:cubicBezTo>
                  <a:pt x="2322958" y="29772"/>
                  <a:pt x="2315671" y="38297"/>
                  <a:pt x="2315671" y="51626"/>
                </a:cubicBezTo>
                <a:cubicBezTo>
                  <a:pt x="2315700" y="54334"/>
                  <a:pt x="2316062" y="57028"/>
                  <a:pt x="2316747" y="59646"/>
                </a:cubicBezTo>
                <a:cubicBezTo>
                  <a:pt x="2317795" y="63773"/>
                  <a:pt x="2319605" y="68231"/>
                  <a:pt x="2322186" y="73019"/>
                </a:cubicBezTo>
                <a:lnTo>
                  <a:pt x="2495198" y="392069"/>
                </a:lnTo>
                <a:lnTo>
                  <a:pt x="2670534" y="78601"/>
                </a:lnTo>
                <a:cubicBezTo>
                  <a:pt x="2672220" y="75513"/>
                  <a:pt x="2673821" y="72381"/>
                  <a:pt x="2675345" y="69209"/>
                </a:cubicBezTo>
                <a:cubicBezTo>
                  <a:pt x="2679888" y="59684"/>
                  <a:pt x="2682164" y="52429"/>
                  <a:pt x="2682164" y="47444"/>
                </a:cubicBezTo>
                <a:cubicBezTo>
                  <a:pt x="2682164" y="34732"/>
                  <a:pt x="2674411" y="27601"/>
                  <a:pt x="2658904" y="26051"/>
                </a:cubicBezTo>
                <a:lnTo>
                  <a:pt x="2658904" y="11164"/>
                </a:lnTo>
                <a:lnTo>
                  <a:pt x="2898896" y="11164"/>
                </a:lnTo>
                <a:lnTo>
                  <a:pt x="2898896" y="26051"/>
                </a:lnTo>
                <a:cubicBezTo>
                  <a:pt x="2895982" y="26847"/>
                  <a:pt x="2893105" y="27791"/>
                  <a:pt x="2890286" y="28880"/>
                </a:cubicBezTo>
                <a:cubicBezTo>
                  <a:pt x="2884561" y="31128"/>
                  <a:pt x="2880151" y="33728"/>
                  <a:pt x="2877046" y="36681"/>
                </a:cubicBezTo>
                <a:cubicBezTo>
                  <a:pt x="2876551" y="37145"/>
                  <a:pt x="2876084" y="37631"/>
                  <a:pt x="2875636" y="38139"/>
                </a:cubicBezTo>
                <a:cubicBezTo>
                  <a:pt x="2873455" y="40686"/>
                  <a:pt x="2871826" y="43661"/>
                  <a:pt x="2870855" y="46873"/>
                </a:cubicBezTo>
                <a:cubicBezTo>
                  <a:pt x="2870102" y="49267"/>
                  <a:pt x="2869588" y="51905"/>
                  <a:pt x="2869331" y="54788"/>
                </a:cubicBezTo>
                <a:cubicBezTo>
                  <a:pt x="2869197" y="56366"/>
                  <a:pt x="2869131" y="57948"/>
                  <a:pt x="2869131" y="59532"/>
                </a:cubicBezTo>
                <a:lnTo>
                  <a:pt x="2869131" y="597180"/>
                </a:lnTo>
                <a:cubicBezTo>
                  <a:pt x="2869112" y="599935"/>
                  <a:pt x="2869321" y="602687"/>
                  <a:pt x="2869750" y="605410"/>
                </a:cubicBezTo>
                <a:cubicBezTo>
                  <a:pt x="2870226" y="608317"/>
                  <a:pt x="2870979" y="610934"/>
                  <a:pt x="2871998" y="613258"/>
                </a:cubicBezTo>
                <a:cubicBezTo>
                  <a:pt x="2872912" y="615356"/>
                  <a:pt x="2874141" y="617301"/>
                  <a:pt x="2875636" y="619030"/>
                </a:cubicBezTo>
                <a:cubicBezTo>
                  <a:pt x="2877294" y="620870"/>
                  <a:pt x="2879189" y="622474"/>
                  <a:pt x="2881285" y="623793"/>
                </a:cubicBezTo>
                <a:cubicBezTo>
                  <a:pt x="2885075" y="626250"/>
                  <a:pt x="2889971" y="628410"/>
                  <a:pt x="2895962" y="630270"/>
                </a:cubicBezTo>
                <a:cubicBezTo>
                  <a:pt x="2896934" y="630570"/>
                  <a:pt x="2897915" y="630856"/>
                  <a:pt x="2898896" y="631127"/>
                </a:cubicBezTo>
                <a:lnTo>
                  <a:pt x="2898896" y="646015"/>
                </a:lnTo>
                <a:lnTo>
                  <a:pt x="2700767" y="646015"/>
                </a:lnTo>
                <a:lnTo>
                  <a:pt x="2700767" y="631127"/>
                </a:lnTo>
                <a:cubicBezTo>
                  <a:pt x="2703615" y="630407"/>
                  <a:pt x="2706415" y="629530"/>
                  <a:pt x="2709168" y="628498"/>
                </a:cubicBezTo>
                <a:cubicBezTo>
                  <a:pt x="2715226" y="626193"/>
                  <a:pt x="2719864" y="623374"/>
                  <a:pt x="2723084" y="620040"/>
                </a:cubicBezTo>
                <a:cubicBezTo>
                  <a:pt x="2723322" y="619788"/>
                  <a:pt x="2723560" y="619531"/>
                  <a:pt x="2723789" y="619268"/>
                </a:cubicBezTo>
                <a:cubicBezTo>
                  <a:pt x="2727484" y="615058"/>
                  <a:pt x="2729666" y="609327"/>
                  <a:pt x="2730323" y="602076"/>
                </a:cubicBezTo>
                <a:cubicBezTo>
                  <a:pt x="2730466" y="600448"/>
                  <a:pt x="2730532" y="598814"/>
                  <a:pt x="2730532" y="597180"/>
                </a:cubicBezTo>
                <a:close/>
                <a:moveTo>
                  <a:pt x="1126446" y="436722"/>
                </a:moveTo>
                <a:lnTo>
                  <a:pt x="1139000" y="427883"/>
                </a:lnTo>
                <a:lnTo>
                  <a:pt x="1227363" y="560432"/>
                </a:lnTo>
                <a:lnTo>
                  <a:pt x="1215276" y="568805"/>
                </a:lnTo>
                <a:cubicBezTo>
                  <a:pt x="1213343" y="566999"/>
                  <a:pt x="1211323" y="565283"/>
                  <a:pt x="1209237" y="563661"/>
                </a:cubicBezTo>
                <a:cubicBezTo>
                  <a:pt x="1205132" y="560492"/>
                  <a:pt x="1201436" y="558406"/>
                  <a:pt x="1198160" y="557404"/>
                </a:cubicBezTo>
                <a:cubicBezTo>
                  <a:pt x="1196779" y="556964"/>
                  <a:pt x="1195331" y="556734"/>
                  <a:pt x="1193883" y="556718"/>
                </a:cubicBezTo>
                <a:cubicBezTo>
                  <a:pt x="1188301" y="556718"/>
                  <a:pt x="1172642" y="564157"/>
                  <a:pt x="1146906" y="579035"/>
                </a:cubicBezTo>
                <a:cubicBezTo>
                  <a:pt x="1131294" y="588058"/>
                  <a:pt x="1115445" y="596678"/>
                  <a:pt x="1099386" y="604886"/>
                </a:cubicBezTo>
                <a:cubicBezTo>
                  <a:pt x="1066353" y="621694"/>
                  <a:pt x="1037311" y="633775"/>
                  <a:pt x="1012260" y="641128"/>
                </a:cubicBezTo>
                <a:cubicBezTo>
                  <a:pt x="975827" y="651822"/>
                  <a:pt x="932501" y="657168"/>
                  <a:pt x="882273" y="657168"/>
                </a:cubicBezTo>
                <a:cubicBezTo>
                  <a:pt x="846305" y="657406"/>
                  <a:pt x="810411" y="653914"/>
                  <a:pt x="775164" y="646748"/>
                </a:cubicBezTo>
                <a:cubicBezTo>
                  <a:pt x="721850" y="635534"/>
                  <a:pt x="675387" y="615290"/>
                  <a:pt x="635775" y="586017"/>
                </a:cubicBezTo>
                <a:cubicBezTo>
                  <a:pt x="597949" y="558420"/>
                  <a:pt x="568183" y="524158"/>
                  <a:pt x="546478" y="483232"/>
                </a:cubicBezTo>
                <a:cubicBezTo>
                  <a:pt x="522372" y="437954"/>
                  <a:pt x="509483" y="387554"/>
                  <a:pt x="508893" y="336262"/>
                </a:cubicBezTo>
                <a:cubicBezTo>
                  <a:pt x="508836" y="333627"/>
                  <a:pt x="508808" y="330991"/>
                  <a:pt x="508807" y="328356"/>
                </a:cubicBezTo>
                <a:cubicBezTo>
                  <a:pt x="508807" y="251463"/>
                  <a:pt x="531286" y="184645"/>
                  <a:pt x="576244" y="127902"/>
                </a:cubicBezTo>
                <a:cubicBezTo>
                  <a:pt x="643141" y="43511"/>
                  <a:pt x="743906" y="883"/>
                  <a:pt x="878539" y="20"/>
                </a:cubicBezTo>
                <a:cubicBezTo>
                  <a:pt x="879939" y="9"/>
                  <a:pt x="881339" y="2"/>
                  <a:pt x="882739" y="0"/>
                </a:cubicBezTo>
                <a:cubicBezTo>
                  <a:pt x="932968" y="0"/>
                  <a:pt x="976065" y="5271"/>
                  <a:pt x="1012032" y="15812"/>
                </a:cubicBezTo>
                <a:cubicBezTo>
                  <a:pt x="1024357" y="19492"/>
                  <a:pt x="1036492" y="23794"/>
                  <a:pt x="1048389" y="28699"/>
                </a:cubicBezTo>
                <a:cubicBezTo>
                  <a:pt x="1075078" y="39570"/>
                  <a:pt x="1105472" y="54655"/>
                  <a:pt x="1139572" y="73953"/>
                </a:cubicBezTo>
                <a:cubicBezTo>
                  <a:pt x="1142019" y="75338"/>
                  <a:pt x="1144467" y="76732"/>
                  <a:pt x="1146906" y="78134"/>
                </a:cubicBezTo>
                <a:cubicBezTo>
                  <a:pt x="1151354" y="80656"/>
                  <a:pt x="1155821" y="83133"/>
                  <a:pt x="1160317" y="85564"/>
                </a:cubicBezTo>
                <a:cubicBezTo>
                  <a:pt x="1178157" y="95184"/>
                  <a:pt x="1189349" y="99994"/>
                  <a:pt x="1193883" y="99994"/>
                </a:cubicBezTo>
                <a:cubicBezTo>
                  <a:pt x="1199465" y="99994"/>
                  <a:pt x="1206599" y="95965"/>
                  <a:pt x="1215276" y="87907"/>
                </a:cubicBezTo>
                <a:lnTo>
                  <a:pt x="1227363" y="96279"/>
                </a:lnTo>
                <a:lnTo>
                  <a:pt x="1139000" y="228829"/>
                </a:lnTo>
                <a:lnTo>
                  <a:pt x="1126446" y="220457"/>
                </a:lnTo>
                <a:cubicBezTo>
                  <a:pt x="1126665" y="218717"/>
                  <a:pt x="1126856" y="216973"/>
                  <a:pt x="1127008" y="215227"/>
                </a:cubicBezTo>
                <a:cubicBezTo>
                  <a:pt x="1127246" y="212478"/>
                  <a:pt x="1127370" y="210033"/>
                  <a:pt x="1127370" y="207893"/>
                </a:cubicBezTo>
                <a:cubicBezTo>
                  <a:pt x="1127332" y="201869"/>
                  <a:pt x="1125598" y="195974"/>
                  <a:pt x="1122369" y="190891"/>
                </a:cubicBezTo>
                <a:cubicBezTo>
                  <a:pt x="1120483" y="187871"/>
                  <a:pt x="1118264" y="185071"/>
                  <a:pt x="1115750" y="182547"/>
                </a:cubicBezTo>
                <a:cubicBezTo>
                  <a:pt x="1113235" y="180031"/>
                  <a:pt x="1110568" y="177673"/>
                  <a:pt x="1107768" y="175489"/>
                </a:cubicBezTo>
                <a:cubicBezTo>
                  <a:pt x="1099757" y="169152"/>
                  <a:pt x="1088613" y="161970"/>
                  <a:pt x="1074354" y="153944"/>
                </a:cubicBezTo>
                <a:cubicBezTo>
                  <a:pt x="1021300" y="123425"/>
                  <a:pt x="961149" y="107390"/>
                  <a:pt x="899942" y="107442"/>
                </a:cubicBezTo>
                <a:cubicBezTo>
                  <a:pt x="827393" y="107442"/>
                  <a:pt x="769570" y="125578"/>
                  <a:pt x="726472" y="161849"/>
                </a:cubicBezTo>
                <a:cubicBezTo>
                  <a:pt x="681522" y="198128"/>
                  <a:pt x="654048" y="251754"/>
                  <a:pt x="650863" y="309430"/>
                </a:cubicBezTo>
                <a:cubicBezTo>
                  <a:pt x="650413" y="315729"/>
                  <a:pt x="650191" y="322041"/>
                  <a:pt x="650196" y="328356"/>
                </a:cubicBezTo>
                <a:cubicBezTo>
                  <a:pt x="649837" y="357478"/>
                  <a:pt x="655156" y="386393"/>
                  <a:pt x="665855" y="413481"/>
                </a:cubicBezTo>
                <a:cubicBezTo>
                  <a:pt x="678988" y="445219"/>
                  <a:pt x="699821" y="473185"/>
                  <a:pt x="726472" y="494853"/>
                </a:cubicBezTo>
                <a:cubicBezTo>
                  <a:pt x="769570" y="531131"/>
                  <a:pt x="827393" y="549269"/>
                  <a:pt x="899942" y="549269"/>
                </a:cubicBezTo>
                <a:cubicBezTo>
                  <a:pt x="961149" y="549319"/>
                  <a:pt x="1021300" y="533280"/>
                  <a:pt x="1074354" y="502759"/>
                </a:cubicBezTo>
                <a:cubicBezTo>
                  <a:pt x="1094194" y="491602"/>
                  <a:pt x="1107996" y="482070"/>
                  <a:pt x="1115750" y="474164"/>
                </a:cubicBezTo>
                <a:cubicBezTo>
                  <a:pt x="1118369" y="471533"/>
                  <a:pt x="1120664" y="468601"/>
                  <a:pt x="1122598" y="465430"/>
                </a:cubicBezTo>
                <a:cubicBezTo>
                  <a:pt x="1125684" y="460435"/>
                  <a:pt x="1127341" y="454683"/>
                  <a:pt x="1127370" y="448809"/>
                </a:cubicBezTo>
                <a:cubicBezTo>
                  <a:pt x="1127370" y="447443"/>
                  <a:pt x="1127332" y="446077"/>
                  <a:pt x="1127246" y="444713"/>
                </a:cubicBezTo>
                <a:cubicBezTo>
                  <a:pt x="1127151" y="443202"/>
                  <a:pt x="1127008" y="441592"/>
                  <a:pt x="1126827" y="439884"/>
                </a:cubicBezTo>
                <a:cubicBezTo>
                  <a:pt x="1126713" y="438829"/>
                  <a:pt x="1126589" y="437774"/>
                  <a:pt x="1126446" y="436722"/>
                </a:cubicBezTo>
                <a:close/>
                <a:moveTo>
                  <a:pt x="1660360" y="386954"/>
                </a:moveTo>
                <a:lnTo>
                  <a:pt x="1491073" y="386954"/>
                </a:lnTo>
                <a:lnTo>
                  <a:pt x="1491073" y="597637"/>
                </a:lnTo>
                <a:cubicBezTo>
                  <a:pt x="1491054" y="600482"/>
                  <a:pt x="1491292" y="603324"/>
                  <a:pt x="1491797" y="606124"/>
                </a:cubicBezTo>
                <a:cubicBezTo>
                  <a:pt x="1492387" y="609286"/>
                  <a:pt x="1493330" y="612115"/>
                  <a:pt x="1494635" y="614611"/>
                </a:cubicBezTo>
                <a:cubicBezTo>
                  <a:pt x="1495502" y="616285"/>
                  <a:pt x="1496568" y="617849"/>
                  <a:pt x="1497816" y="619268"/>
                </a:cubicBezTo>
                <a:cubicBezTo>
                  <a:pt x="1502131" y="624183"/>
                  <a:pt x="1509380" y="628025"/>
                  <a:pt x="1519562" y="630794"/>
                </a:cubicBezTo>
                <a:cubicBezTo>
                  <a:pt x="1519990" y="630908"/>
                  <a:pt x="1520410" y="631018"/>
                  <a:pt x="1520838" y="631127"/>
                </a:cubicBezTo>
                <a:lnTo>
                  <a:pt x="1520838" y="646015"/>
                </a:lnTo>
                <a:lnTo>
                  <a:pt x="1322709" y="646015"/>
                </a:lnTo>
                <a:lnTo>
                  <a:pt x="1322709" y="631127"/>
                </a:lnTo>
                <a:cubicBezTo>
                  <a:pt x="1325623" y="630329"/>
                  <a:pt x="1328500" y="629381"/>
                  <a:pt x="1331319" y="628289"/>
                </a:cubicBezTo>
                <a:cubicBezTo>
                  <a:pt x="1337044" y="626047"/>
                  <a:pt x="1341454" y="623450"/>
                  <a:pt x="1344559" y="620497"/>
                </a:cubicBezTo>
                <a:cubicBezTo>
                  <a:pt x="1345054" y="620030"/>
                  <a:pt x="1345521" y="619541"/>
                  <a:pt x="1345969" y="619030"/>
                </a:cubicBezTo>
                <a:cubicBezTo>
                  <a:pt x="1348150" y="616481"/>
                  <a:pt x="1349769" y="613507"/>
                  <a:pt x="1350741" y="610296"/>
                </a:cubicBezTo>
                <a:cubicBezTo>
                  <a:pt x="1351503" y="607908"/>
                  <a:pt x="1352017" y="605269"/>
                  <a:pt x="1352274" y="602381"/>
                </a:cubicBezTo>
                <a:cubicBezTo>
                  <a:pt x="1352408" y="600803"/>
                  <a:pt x="1352474" y="599220"/>
                  <a:pt x="1352474" y="597637"/>
                </a:cubicBezTo>
                <a:lnTo>
                  <a:pt x="1352474" y="59998"/>
                </a:lnTo>
                <a:cubicBezTo>
                  <a:pt x="1352493" y="57243"/>
                  <a:pt x="1352284" y="54491"/>
                  <a:pt x="1351855" y="51769"/>
                </a:cubicBezTo>
                <a:cubicBezTo>
                  <a:pt x="1351379" y="48854"/>
                  <a:pt x="1350627" y="46238"/>
                  <a:pt x="1349598" y="43920"/>
                </a:cubicBezTo>
                <a:cubicBezTo>
                  <a:pt x="1348693" y="41820"/>
                  <a:pt x="1347464" y="39871"/>
                  <a:pt x="1345969" y="38139"/>
                </a:cubicBezTo>
                <a:cubicBezTo>
                  <a:pt x="1344311" y="36298"/>
                  <a:pt x="1342416" y="34695"/>
                  <a:pt x="1340320" y="33376"/>
                </a:cubicBezTo>
                <a:cubicBezTo>
                  <a:pt x="1336529" y="30919"/>
                  <a:pt x="1331634" y="28763"/>
                  <a:pt x="1325642" y="26909"/>
                </a:cubicBezTo>
                <a:cubicBezTo>
                  <a:pt x="1324671" y="26608"/>
                  <a:pt x="1323690" y="26323"/>
                  <a:pt x="1322709" y="26051"/>
                </a:cubicBezTo>
                <a:lnTo>
                  <a:pt x="1322709" y="11164"/>
                </a:lnTo>
                <a:lnTo>
                  <a:pt x="1719892" y="11164"/>
                </a:lnTo>
                <a:cubicBezTo>
                  <a:pt x="1734036" y="11145"/>
                  <a:pt x="1748181" y="11418"/>
                  <a:pt x="1762316" y="11983"/>
                </a:cubicBezTo>
                <a:cubicBezTo>
                  <a:pt x="1791272" y="13183"/>
                  <a:pt x="1815504" y="15701"/>
                  <a:pt x="1835001" y="19536"/>
                </a:cubicBezTo>
                <a:cubicBezTo>
                  <a:pt x="1850127" y="22435"/>
                  <a:pt x="1864919" y="26881"/>
                  <a:pt x="1879140" y="32805"/>
                </a:cubicBezTo>
                <a:cubicBezTo>
                  <a:pt x="1889627" y="37207"/>
                  <a:pt x="1899686" y="42574"/>
                  <a:pt x="1909182" y="48835"/>
                </a:cubicBezTo>
                <a:cubicBezTo>
                  <a:pt x="1933547" y="64801"/>
                  <a:pt x="1952645" y="87618"/>
                  <a:pt x="1964065" y="114415"/>
                </a:cubicBezTo>
                <a:cubicBezTo>
                  <a:pt x="1975543" y="141078"/>
                  <a:pt x="1981277" y="169603"/>
                  <a:pt x="1981277" y="199987"/>
                </a:cubicBezTo>
                <a:cubicBezTo>
                  <a:pt x="1981277" y="303550"/>
                  <a:pt x="1923765" y="364167"/>
                  <a:pt x="1808731" y="381839"/>
                </a:cubicBezTo>
                <a:lnTo>
                  <a:pt x="1931975" y="557175"/>
                </a:lnTo>
                <a:cubicBezTo>
                  <a:pt x="1951368" y="584600"/>
                  <a:pt x="1966123" y="603302"/>
                  <a:pt x="1976228" y="613277"/>
                </a:cubicBezTo>
                <a:cubicBezTo>
                  <a:pt x="1977333" y="614377"/>
                  <a:pt x="1978476" y="615444"/>
                  <a:pt x="1979648" y="616478"/>
                </a:cubicBezTo>
                <a:cubicBezTo>
                  <a:pt x="1988621" y="624316"/>
                  <a:pt x="1999765" y="629254"/>
                  <a:pt x="2011595" y="630641"/>
                </a:cubicBezTo>
                <a:cubicBezTo>
                  <a:pt x="2013262" y="630859"/>
                  <a:pt x="2014938" y="631022"/>
                  <a:pt x="2016624" y="631127"/>
                </a:cubicBezTo>
                <a:lnTo>
                  <a:pt x="2016624" y="646015"/>
                </a:lnTo>
                <a:lnTo>
                  <a:pt x="1786872" y="646015"/>
                </a:lnTo>
                <a:lnTo>
                  <a:pt x="1786872" y="631127"/>
                </a:lnTo>
                <a:cubicBezTo>
                  <a:pt x="1789748" y="630695"/>
                  <a:pt x="1792586" y="630077"/>
                  <a:pt x="1795377" y="629279"/>
                </a:cubicBezTo>
                <a:cubicBezTo>
                  <a:pt x="1801330" y="627533"/>
                  <a:pt x="1805531" y="625101"/>
                  <a:pt x="1807988" y="621983"/>
                </a:cubicBezTo>
                <a:cubicBezTo>
                  <a:pt x="1809712" y="619827"/>
                  <a:pt x="1810627" y="617141"/>
                  <a:pt x="1810589" y="614382"/>
                </a:cubicBezTo>
                <a:cubicBezTo>
                  <a:pt x="1810513" y="612813"/>
                  <a:pt x="1810179" y="611266"/>
                  <a:pt x="1809617" y="609801"/>
                </a:cubicBezTo>
                <a:cubicBezTo>
                  <a:pt x="1807188" y="602764"/>
                  <a:pt x="1800226" y="590805"/>
                  <a:pt x="1788729" y="573920"/>
                </a:cubicBezTo>
                <a:close/>
                <a:moveTo>
                  <a:pt x="29766" y="597180"/>
                </a:moveTo>
                <a:lnTo>
                  <a:pt x="29766" y="59532"/>
                </a:lnTo>
                <a:cubicBezTo>
                  <a:pt x="29781" y="56823"/>
                  <a:pt x="29568" y="54118"/>
                  <a:pt x="29128" y="51445"/>
                </a:cubicBezTo>
                <a:cubicBezTo>
                  <a:pt x="28620" y="48473"/>
                  <a:pt x="27807" y="45803"/>
                  <a:pt x="26690" y="43434"/>
                </a:cubicBezTo>
                <a:cubicBezTo>
                  <a:pt x="25796" y="41518"/>
                  <a:pt x="24638" y="39735"/>
                  <a:pt x="23251" y="38139"/>
                </a:cubicBezTo>
                <a:cubicBezTo>
                  <a:pt x="21600" y="36299"/>
                  <a:pt x="19702" y="34696"/>
                  <a:pt x="17612" y="33376"/>
                </a:cubicBezTo>
                <a:cubicBezTo>
                  <a:pt x="13821" y="30919"/>
                  <a:pt x="8929" y="28763"/>
                  <a:pt x="2934" y="26909"/>
                </a:cubicBezTo>
                <a:cubicBezTo>
                  <a:pt x="1961" y="26608"/>
                  <a:pt x="983" y="26323"/>
                  <a:pt x="0" y="26051"/>
                </a:cubicBezTo>
                <a:lnTo>
                  <a:pt x="0" y="11164"/>
                </a:lnTo>
                <a:lnTo>
                  <a:pt x="198130" y="11164"/>
                </a:lnTo>
                <a:lnTo>
                  <a:pt x="198130" y="26051"/>
                </a:lnTo>
                <a:cubicBezTo>
                  <a:pt x="186967" y="28839"/>
                  <a:pt x="179213" y="32792"/>
                  <a:pt x="174870" y="37910"/>
                </a:cubicBezTo>
                <a:cubicBezTo>
                  <a:pt x="171212" y="42222"/>
                  <a:pt x="169098" y="48016"/>
                  <a:pt x="168526" y="55293"/>
                </a:cubicBezTo>
                <a:cubicBezTo>
                  <a:pt x="168417" y="56703"/>
                  <a:pt x="168362" y="58117"/>
                  <a:pt x="168364" y="59532"/>
                </a:cubicBezTo>
                <a:lnTo>
                  <a:pt x="168364" y="597180"/>
                </a:lnTo>
                <a:cubicBezTo>
                  <a:pt x="168348" y="599975"/>
                  <a:pt x="168567" y="602766"/>
                  <a:pt x="169022" y="605524"/>
                </a:cubicBezTo>
                <a:cubicBezTo>
                  <a:pt x="169548" y="608603"/>
                  <a:pt x="170390" y="611363"/>
                  <a:pt x="171546" y="613801"/>
                </a:cubicBezTo>
                <a:cubicBezTo>
                  <a:pt x="172472" y="615781"/>
                  <a:pt x="173671" y="617622"/>
                  <a:pt x="175108" y="619268"/>
                </a:cubicBezTo>
                <a:cubicBezTo>
                  <a:pt x="179426" y="624183"/>
                  <a:pt x="186674" y="628025"/>
                  <a:pt x="196854" y="630794"/>
                </a:cubicBezTo>
                <a:cubicBezTo>
                  <a:pt x="197278" y="630908"/>
                  <a:pt x="197704" y="631018"/>
                  <a:pt x="198130" y="631127"/>
                </a:cubicBezTo>
                <a:lnTo>
                  <a:pt x="198130" y="646015"/>
                </a:lnTo>
                <a:lnTo>
                  <a:pt x="0" y="646015"/>
                </a:lnTo>
                <a:lnTo>
                  <a:pt x="0" y="631127"/>
                </a:lnTo>
                <a:cubicBezTo>
                  <a:pt x="2917" y="630329"/>
                  <a:pt x="5791" y="629381"/>
                  <a:pt x="8611" y="628289"/>
                </a:cubicBezTo>
                <a:cubicBezTo>
                  <a:pt x="14326" y="626047"/>
                  <a:pt x="18739" y="623450"/>
                  <a:pt x="21851" y="620497"/>
                </a:cubicBezTo>
                <a:cubicBezTo>
                  <a:pt x="22340" y="620029"/>
                  <a:pt x="22807" y="619541"/>
                  <a:pt x="23251" y="619030"/>
                </a:cubicBezTo>
                <a:cubicBezTo>
                  <a:pt x="25303" y="616638"/>
                  <a:pt x="26858" y="613859"/>
                  <a:pt x="27823" y="610858"/>
                </a:cubicBezTo>
                <a:cubicBezTo>
                  <a:pt x="28610" y="608502"/>
                  <a:pt x="29160" y="605889"/>
                  <a:pt x="29471" y="603019"/>
                </a:cubicBezTo>
                <a:cubicBezTo>
                  <a:pt x="29673" y="601079"/>
                  <a:pt x="29772" y="599130"/>
                  <a:pt x="29766" y="597180"/>
                </a:cubicBezTo>
                <a:close/>
                <a:moveTo>
                  <a:pt x="1491073" y="115805"/>
                </a:moveTo>
                <a:lnTo>
                  <a:pt x="1491073" y="282312"/>
                </a:lnTo>
                <a:lnTo>
                  <a:pt x="1705014" y="282312"/>
                </a:lnTo>
                <a:cubicBezTo>
                  <a:pt x="1712338" y="282318"/>
                  <a:pt x="1719663" y="282261"/>
                  <a:pt x="1726988" y="282141"/>
                </a:cubicBezTo>
                <a:cubicBezTo>
                  <a:pt x="1747000" y="281791"/>
                  <a:pt x="1761887" y="280934"/>
                  <a:pt x="1771660" y="279569"/>
                </a:cubicBezTo>
                <a:cubicBezTo>
                  <a:pt x="1771765" y="279553"/>
                  <a:pt x="1771879" y="279537"/>
                  <a:pt x="1771984" y="279521"/>
                </a:cubicBezTo>
                <a:cubicBezTo>
                  <a:pt x="1785005" y="277661"/>
                  <a:pt x="1796949" y="273784"/>
                  <a:pt x="1807798" y="267891"/>
                </a:cubicBezTo>
                <a:cubicBezTo>
                  <a:pt x="1824933" y="258786"/>
                  <a:pt x="1837021" y="242397"/>
                  <a:pt x="1840650" y="223333"/>
                </a:cubicBezTo>
                <a:cubicBezTo>
                  <a:pt x="1842374" y="215361"/>
                  <a:pt x="1843212" y="207221"/>
                  <a:pt x="1843145" y="199063"/>
                </a:cubicBezTo>
                <a:cubicBezTo>
                  <a:pt x="1843221" y="190461"/>
                  <a:pt x="1842288" y="181879"/>
                  <a:pt x="1840345" y="173498"/>
                </a:cubicBezTo>
                <a:cubicBezTo>
                  <a:pt x="1836459" y="154955"/>
                  <a:pt x="1824533" y="139099"/>
                  <a:pt x="1807798" y="130226"/>
                </a:cubicBezTo>
                <a:cubicBezTo>
                  <a:pt x="1796635" y="124028"/>
                  <a:pt x="1784776" y="120075"/>
                  <a:pt x="1772222" y="118368"/>
                </a:cubicBezTo>
                <a:cubicBezTo>
                  <a:pt x="1768517" y="117884"/>
                  <a:pt x="1764793" y="117512"/>
                  <a:pt x="1761059" y="117253"/>
                </a:cubicBezTo>
                <a:cubicBezTo>
                  <a:pt x="1748543" y="116332"/>
                  <a:pt x="1730960" y="115853"/>
                  <a:pt x="1708300" y="115815"/>
                </a:cubicBezTo>
                <a:cubicBezTo>
                  <a:pt x="1707204" y="115811"/>
                  <a:pt x="1706109" y="115807"/>
                  <a:pt x="1705014" y="115805"/>
                </a:cubicBezTo>
                <a:close/>
                <a:moveTo>
                  <a:pt x="451600" y="305096"/>
                </a:moveTo>
                <a:lnTo>
                  <a:pt x="466487" y="305096"/>
                </a:lnTo>
                <a:lnTo>
                  <a:pt x="466487" y="466021"/>
                </a:lnTo>
                <a:lnTo>
                  <a:pt x="451600" y="466021"/>
                </a:lnTo>
                <a:cubicBezTo>
                  <a:pt x="450801" y="463104"/>
                  <a:pt x="449854" y="460230"/>
                  <a:pt x="448761" y="457410"/>
                </a:cubicBezTo>
                <a:cubicBezTo>
                  <a:pt x="446520" y="451695"/>
                  <a:pt x="443923" y="447282"/>
                  <a:pt x="440970" y="444170"/>
                </a:cubicBezTo>
                <a:cubicBezTo>
                  <a:pt x="440506" y="443682"/>
                  <a:pt x="440019" y="443214"/>
                  <a:pt x="439513" y="442770"/>
                </a:cubicBezTo>
                <a:cubicBezTo>
                  <a:pt x="437117" y="440717"/>
                  <a:pt x="434335" y="439162"/>
                  <a:pt x="431331" y="438198"/>
                </a:cubicBezTo>
                <a:cubicBezTo>
                  <a:pt x="428975" y="437410"/>
                  <a:pt x="426361" y="436862"/>
                  <a:pt x="423491" y="436550"/>
                </a:cubicBezTo>
                <a:cubicBezTo>
                  <a:pt x="421552" y="436347"/>
                  <a:pt x="419602" y="436249"/>
                  <a:pt x="417653" y="436255"/>
                </a:cubicBezTo>
                <a:lnTo>
                  <a:pt x="303238" y="436255"/>
                </a:lnTo>
                <a:cubicBezTo>
                  <a:pt x="300396" y="436236"/>
                  <a:pt x="297559" y="436479"/>
                  <a:pt x="294761" y="436979"/>
                </a:cubicBezTo>
                <a:cubicBezTo>
                  <a:pt x="291599" y="437569"/>
                  <a:pt x="288767" y="438515"/>
                  <a:pt x="286265" y="439817"/>
                </a:cubicBezTo>
                <a:cubicBezTo>
                  <a:pt x="284590" y="440687"/>
                  <a:pt x="283026" y="441755"/>
                  <a:pt x="281607" y="442999"/>
                </a:cubicBezTo>
                <a:cubicBezTo>
                  <a:pt x="276699" y="447316"/>
                  <a:pt x="272860" y="454565"/>
                  <a:pt x="270091" y="464744"/>
                </a:cubicBezTo>
                <a:cubicBezTo>
                  <a:pt x="269974" y="465169"/>
                  <a:pt x="269860" y="465595"/>
                  <a:pt x="269748" y="466021"/>
                </a:cubicBezTo>
                <a:lnTo>
                  <a:pt x="254870" y="466021"/>
                </a:lnTo>
                <a:lnTo>
                  <a:pt x="254870" y="305096"/>
                </a:lnTo>
                <a:lnTo>
                  <a:pt x="269748" y="305096"/>
                </a:lnTo>
                <a:cubicBezTo>
                  <a:pt x="272542" y="316259"/>
                  <a:pt x="276495" y="324089"/>
                  <a:pt x="281607" y="328584"/>
                </a:cubicBezTo>
                <a:cubicBezTo>
                  <a:pt x="284383" y="330979"/>
                  <a:pt x="287646" y="332740"/>
                  <a:pt x="291170" y="333747"/>
                </a:cubicBezTo>
                <a:cubicBezTo>
                  <a:pt x="294701" y="334801"/>
                  <a:pt x="298724" y="335328"/>
                  <a:pt x="303238" y="335328"/>
                </a:cubicBezTo>
                <a:lnTo>
                  <a:pt x="417653" y="335328"/>
                </a:lnTo>
                <a:cubicBezTo>
                  <a:pt x="420408" y="335344"/>
                  <a:pt x="423160" y="335138"/>
                  <a:pt x="425882" y="334709"/>
                </a:cubicBezTo>
                <a:cubicBezTo>
                  <a:pt x="428790" y="334233"/>
                  <a:pt x="431407" y="333483"/>
                  <a:pt x="433731" y="332461"/>
                </a:cubicBezTo>
                <a:cubicBezTo>
                  <a:pt x="435831" y="331549"/>
                  <a:pt x="437781" y="330322"/>
                  <a:pt x="439513" y="328823"/>
                </a:cubicBezTo>
                <a:cubicBezTo>
                  <a:pt x="441281" y="327231"/>
                  <a:pt x="442823" y="325404"/>
                  <a:pt x="444094" y="323393"/>
                </a:cubicBezTo>
                <a:cubicBezTo>
                  <a:pt x="446590" y="319558"/>
                  <a:pt x="448780" y="314545"/>
                  <a:pt x="450666" y="308353"/>
                </a:cubicBezTo>
                <a:cubicBezTo>
                  <a:pt x="450995" y="307272"/>
                  <a:pt x="451305" y="306186"/>
                  <a:pt x="451600" y="305096"/>
                </a:cubicBezTo>
                <a:close/>
              </a:path>
            </a:pathLst>
          </a:custGeom>
          <a:gradFill>
            <a:gsLst>
              <a:gs pos="100000">
                <a:srgbClr val="BDDEFF"/>
              </a:gs>
              <a:gs pos="55000">
                <a:schemeClr val="bg1"/>
              </a:gs>
              <a:gs pos="0">
                <a:srgbClr val="6D40CF"/>
              </a:gs>
            </a:gsLst>
            <a:lin ang="0" scaled="0"/>
          </a:gradFill>
          <a:ln w="9000" cap="rnd">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60960</xdr:colOff>
      <xdr:row>1</xdr:row>
      <xdr:rowOff>198120</xdr:rowOff>
    </xdr:from>
    <xdr:to>
      <xdr:col>16</xdr:col>
      <xdr:colOff>304800</xdr:colOff>
      <xdr:row>2</xdr:row>
      <xdr:rowOff>434340</xdr:rowOff>
    </xdr:to>
    <xdr:grpSp>
      <xdr:nvGrpSpPr>
        <xdr:cNvPr id="2" name="Group 1">
          <a:hlinkClick xmlns:r="http://schemas.openxmlformats.org/officeDocument/2006/relationships" r:id="rId1"/>
          <a:extLst>
            <a:ext uri="{FF2B5EF4-FFF2-40B4-BE49-F238E27FC236}">
              <a16:creationId xmlns:a16="http://schemas.microsoft.com/office/drawing/2014/main" id="{FC6429A0-4504-47B8-9E37-52E182EEADCC}"/>
            </a:ext>
          </a:extLst>
        </xdr:cNvPr>
        <xdr:cNvGrpSpPr/>
      </xdr:nvGrpSpPr>
      <xdr:grpSpPr>
        <a:xfrm>
          <a:off x="12681585" y="388620"/>
          <a:ext cx="834390" cy="693420"/>
          <a:chOff x="12862560" y="563880"/>
          <a:chExt cx="853440" cy="701040"/>
        </a:xfrm>
      </xdr:grpSpPr>
      <xdr:sp macro="" textlink="">
        <xdr:nvSpPr>
          <xdr:cNvPr id="3" name="Rectangle 2">
            <a:extLst>
              <a:ext uri="{FF2B5EF4-FFF2-40B4-BE49-F238E27FC236}">
                <a16:creationId xmlns:a16="http://schemas.microsoft.com/office/drawing/2014/main" id="{3A5DBCF9-DF50-335A-E60E-375B0AF77D58}"/>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 name="Graphic 4">
            <a:extLst>
              <a:ext uri="{FF2B5EF4-FFF2-40B4-BE49-F238E27FC236}">
                <a16:creationId xmlns:a16="http://schemas.microsoft.com/office/drawing/2014/main" id="{43D282B4-6E8B-963B-6567-D0B79C9C40F3}"/>
              </a:ext>
            </a:extLst>
          </xdr:cNvPr>
          <xdr:cNvGrpSpPr/>
        </xdr:nvGrpSpPr>
        <xdr:grpSpPr>
          <a:xfrm>
            <a:off x="12889592" y="598233"/>
            <a:ext cx="758543" cy="613199"/>
            <a:chOff x="12988652" y="613473"/>
            <a:chExt cx="758543" cy="613199"/>
          </a:xfrm>
          <a:noFill/>
        </xdr:grpSpPr>
        <xdr:sp macro="" textlink="">
          <xdr:nvSpPr>
            <xdr:cNvPr id="5" name="Freeform: Shape 4">
              <a:extLst>
                <a:ext uri="{FF2B5EF4-FFF2-40B4-BE49-F238E27FC236}">
                  <a16:creationId xmlns:a16="http://schemas.microsoft.com/office/drawing/2014/main" id="{FB6A70DB-A0B3-39C1-EDB8-B9148E663467}"/>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6" name="Freeform: Shape 5">
              <a:extLst>
                <a:ext uri="{FF2B5EF4-FFF2-40B4-BE49-F238E27FC236}">
                  <a16:creationId xmlns:a16="http://schemas.microsoft.com/office/drawing/2014/main" id="{DA8FDA56-672F-ACE3-C69E-1CC630F22B51}"/>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twoCellAnchor>
    <xdr:from>
      <xdr:col>0</xdr:col>
      <xdr:colOff>0</xdr:colOff>
      <xdr:row>0</xdr:row>
      <xdr:rowOff>0</xdr:rowOff>
    </xdr:from>
    <xdr:to>
      <xdr:col>1</xdr:col>
      <xdr:colOff>129540</xdr:colOff>
      <xdr:row>1</xdr:row>
      <xdr:rowOff>125094</xdr:rowOff>
    </xdr:to>
    <xdr:sp macro="" textlink="">
      <xdr:nvSpPr>
        <xdr:cNvPr id="7" name="Rectangle 6">
          <a:extLst>
            <a:ext uri="{FF2B5EF4-FFF2-40B4-BE49-F238E27FC236}">
              <a16:creationId xmlns:a16="http://schemas.microsoft.com/office/drawing/2014/main" id="{4EF088CF-9016-36D7-B309-07052FC06529}"/>
            </a:ext>
          </a:extLst>
        </xdr:cNvPr>
        <xdr:cNvSpPr/>
      </xdr:nvSpPr>
      <xdr:spPr>
        <a:xfrm>
          <a:off x="0" y="0"/>
          <a:ext cx="739140" cy="307974"/>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15</xdr:col>
      <xdr:colOff>373380</xdr:colOff>
      <xdr:row>1</xdr:row>
      <xdr:rowOff>198120</xdr:rowOff>
    </xdr:from>
    <xdr:to>
      <xdr:col>16</xdr:col>
      <xdr:colOff>487680</xdr:colOff>
      <xdr:row>2</xdr:row>
      <xdr:rowOff>434340</xdr:rowOff>
    </xdr:to>
    <xdr:grpSp>
      <xdr:nvGrpSpPr>
        <xdr:cNvPr id="2" name="Group 1">
          <a:hlinkClick xmlns:r="http://schemas.openxmlformats.org/officeDocument/2006/relationships" r:id="rId1"/>
          <a:extLst>
            <a:ext uri="{FF2B5EF4-FFF2-40B4-BE49-F238E27FC236}">
              <a16:creationId xmlns:a16="http://schemas.microsoft.com/office/drawing/2014/main" id="{1162F0DA-F5BE-444F-A693-525439DBA99F}"/>
            </a:ext>
          </a:extLst>
        </xdr:cNvPr>
        <xdr:cNvGrpSpPr/>
      </xdr:nvGrpSpPr>
      <xdr:grpSpPr>
        <a:xfrm>
          <a:off x="12212955" y="388620"/>
          <a:ext cx="828675" cy="693420"/>
          <a:chOff x="12862560" y="563880"/>
          <a:chExt cx="853440" cy="701040"/>
        </a:xfrm>
      </xdr:grpSpPr>
      <xdr:sp macro="" textlink="">
        <xdr:nvSpPr>
          <xdr:cNvPr id="3" name="Rectangle 2">
            <a:extLst>
              <a:ext uri="{FF2B5EF4-FFF2-40B4-BE49-F238E27FC236}">
                <a16:creationId xmlns:a16="http://schemas.microsoft.com/office/drawing/2014/main" id="{E1AB9705-6B7E-AE1C-75AF-C31DEB62D921}"/>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 name="Graphic 4">
            <a:extLst>
              <a:ext uri="{FF2B5EF4-FFF2-40B4-BE49-F238E27FC236}">
                <a16:creationId xmlns:a16="http://schemas.microsoft.com/office/drawing/2014/main" id="{9863B244-0A1A-0631-9577-9D9663673630}"/>
              </a:ext>
            </a:extLst>
          </xdr:cNvPr>
          <xdr:cNvGrpSpPr/>
        </xdr:nvGrpSpPr>
        <xdr:grpSpPr>
          <a:xfrm>
            <a:off x="12889592" y="598233"/>
            <a:ext cx="758543" cy="613199"/>
            <a:chOff x="12988652" y="613473"/>
            <a:chExt cx="758543" cy="613199"/>
          </a:xfrm>
          <a:noFill/>
        </xdr:grpSpPr>
        <xdr:sp macro="" textlink="">
          <xdr:nvSpPr>
            <xdr:cNvPr id="5" name="Freeform: Shape 4">
              <a:extLst>
                <a:ext uri="{FF2B5EF4-FFF2-40B4-BE49-F238E27FC236}">
                  <a16:creationId xmlns:a16="http://schemas.microsoft.com/office/drawing/2014/main" id="{B488E1E6-87FD-A855-ADF9-74CD6CD75C29}"/>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6" name="Freeform: Shape 5">
              <a:extLst>
                <a:ext uri="{FF2B5EF4-FFF2-40B4-BE49-F238E27FC236}">
                  <a16:creationId xmlns:a16="http://schemas.microsoft.com/office/drawing/2014/main" id="{95AA9A0B-77B3-60A6-B047-AC99308C1E54}"/>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twoCellAnchor>
    <xdr:from>
      <xdr:col>0</xdr:col>
      <xdr:colOff>0</xdr:colOff>
      <xdr:row>0</xdr:row>
      <xdr:rowOff>0</xdr:rowOff>
    </xdr:from>
    <xdr:to>
      <xdr:col>1</xdr:col>
      <xdr:colOff>129540</xdr:colOff>
      <xdr:row>1</xdr:row>
      <xdr:rowOff>125094</xdr:rowOff>
    </xdr:to>
    <xdr:sp macro="" textlink="">
      <xdr:nvSpPr>
        <xdr:cNvPr id="7" name="Rectangle 6">
          <a:extLst>
            <a:ext uri="{FF2B5EF4-FFF2-40B4-BE49-F238E27FC236}">
              <a16:creationId xmlns:a16="http://schemas.microsoft.com/office/drawing/2014/main" id="{3DF2A1D2-D6B1-450F-AC0D-2AA416DE6B09}"/>
            </a:ext>
          </a:extLst>
        </xdr:cNvPr>
        <xdr:cNvSpPr/>
      </xdr:nvSpPr>
      <xdr:spPr>
        <a:xfrm>
          <a:off x="0" y="0"/>
          <a:ext cx="739140" cy="307974"/>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967740</xdr:colOff>
      <xdr:row>5</xdr:row>
      <xdr:rowOff>60960</xdr:rowOff>
    </xdr:from>
    <xdr:to>
      <xdr:col>13</xdr:col>
      <xdr:colOff>434340</xdr:colOff>
      <xdr:row>27</xdr:row>
      <xdr:rowOff>152400</xdr:rowOff>
    </xdr:to>
    <xdr:grpSp>
      <xdr:nvGrpSpPr>
        <xdr:cNvPr id="10" name="Group 9">
          <a:extLst>
            <a:ext uri="{FF2B5EF4-FFF2-40B4-BE49-F238E27FC236}">
              <a16:creationId xmlns:a16="http://schemas.microsoft.com/office/drawing/2014/main" id="{651E9A46-B403-1B10-D1F4-576494BB1B3A}"/>
            </a:ext>
          </a:extLst>
        </xdr:cNvPr>
        <xdr:cNvGrpSpPr/>
      </xdr:nvGrpSpPr>
      <xdr:grpSpPr>
        <a:xfrm>
          <a:off x="2234565" y="1565910"/>
          <a:ext cx="8858250" cy="4282440"/>
          <a:chOff x="3322320" y="1554480"/>
          <a:chExt cx="9166860" cy="4114800"/>
        </a:xfrm>
      </xdr:grpSpPr>
      <xdr:sp macro="" textlink="">
        <xdr:nvSpPr>
          <xdr:cNvPr id="9" name="Rectangle: Rounded Corners 8">
            <a:extLst>
              <a:ext uri="{FF2B5EF4-FFF2-40B4-BE49-F238E27FC236}">
                <a16:creationId xmlns:a16="http://schemas.microsoft.com/office/drawing/2014/main" id="{DC345AF3-B3AC-33EE-0148-E5BCBFCBB580}"/>
              </a:ext>
            </a:extLst>
          </xdr:cNvPr>
          <xdr:cNvSpPr/>
        </xdr:nvSpPr>
        <xdr:spPr>
          <a:xfrm>
            <a:off x="3322320" y="1554480"/>
            <a:ext cx="9166860" cy="4114800"/>
          </a:xfrm>
          <a:prstGeom prst="roundRect">
            <a:avLst/>
          </a:prstGeom>
          <a:gradFill>
            <a:gsLst>
              <a:gs pos="0">
                <a:srgbClr val="015F8B">
                  <a:alpha val="46667"/>
                </a:srgbClr>
              </a:gs>
              <a:gs pos="100000">
                <a:srgbClr val="0A1721"/>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8" name="Chart 7">
            <a:extLst>
              <a:ext uri="{FF2B5EF4-FFF2-40B4-BE49-F238E27FC236}">
                <a16:creationId xmlns:a16="http://schemas.microsoft.com/office/drawing/2014/main" id="{812B12E0-7CE8-4649-BAEB-34610D6B54FD}"/>
              </a:ext>
            </a:extLst>
          </xdr:cNvPr>
          <xdr:cNvGraphicFramePr>
            <a:graphicFrameLocks/>
          </xdr:cNvGraphicFramePr>
        </xdr:nvGraphicFramePr>
        <xdr:xfrm>
          <a:off x="3779520" y="2011680"/>
          <a:ext cx="8176260" cy="33832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6</xdr:col>
      <xdr:colOff>60960</xdr:colOff>
      <xdr:row>28</xdr:row>
      <xdr:rowOff>144780</xdr:rowOff>
    </xdr:from>
    <xdr:to>
      <xdr:col>8</xdr:col>
      <xdr:colOff>502920</xdr:colOff>
      <xdr:row>31</xdr:row>
      <xdr:rowOff>38100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44413354-F817-4C6E-93BE-8CC5189A85C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5730240" y="5844540"/>
              <a:ext cx="2194560" cy="4419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10.xml><?xml version="1.0" encoding="utf-8"?>
<xdr:wsDr xmlns:xdr="http://schemas.openxmlformats.org/drawingml/2006/spreadsheetDrawing" xmlns:a="http://schemas.openxmlformats.org/drawingml/2006/main">
  <xdr:twoCellAnchor>
    <xdr:from>
      <xdr:col>15</xdr:col>
      <xdr:colOff>60960</xdr:colOff>
      <xdr:row>1</xdr:row>
      <xdr:rowOff>198120</xdr:rowOff>
    </xdr:from>
    <xdr:to>
      <xdr:col>16</xdr:col>
      <xdr:colOff>304800</xdr:colOff>
      <xdr:row>2</xdr:row>
      <xdr:rowOff>434340</xdr:rowOff>
    </xdr:to>
    <xdr:grpSp>
      <xdr:nvGrpSpPr>
        <xdr:cNvPr id="2" name="Group 1">
          <a:hlinkClick xmlns:r="http://schemas.openxmlformats.org/officeDocument/2006/relationships" r:id="rId1"/>
          <a:extLst>
            <a:ext uri="{FF2B5EF4-FFF2-40B4-BE49-F238E27FC236}">
              <a16:creationId xmlns:a16="http://schemas.microsoft.com/office/drawing/2014/main" id="{5A47CD67-0821-4C45-8BD0-D7E1CD3F201E}"/>
            </a:ext>
          </a:extLst>
        </xdr:cNvPr>
        <xdr:cNvGrpSpPr/>
      </xdr:nvGrpSpPr>
      <xdr:grpSpPr>
        <a:xfrm>
          <a:off x="12681585" y="388620"/>
          <a:ext cx="834390" cy="693420"/>
          <a:chOff x="12862560" y="563880"/>
          <a:chExt cx="853440" cy="701040"/>
        </a:xfrm>
      </xdr:grpSpPr>
      <xdr:sp macro="" textlink="">
        <xdr:nvSpPr>
          <xdr:cNvPr id="3" name="Rectangle 2">
            <a:extLst>
              <a:ext uri="{FF2B5EF4-FFF2-40B4-BE49-F238E27FC236}">
                <a16:creationId xmlns:a16="http://schemas.microsoft.com/office/drawing/2014/main" id="{7BB8A1EB-EDBF-0FB1-12A5-37E872013C5E}"/>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 name="Graphic 4">
            <a:extLst>
              <a:ext uri="{FF2B5EF4-FFF2-40B4-BE49-F238E27FC236}">
                <a16:creationId xmlns:a16="http://schemas.microsoft.com/office/drawing/2014/main" id="{5142EED1-A16C-CD3B-C9B0-87E612A9BC82}"/>
              </a:ext>
            </a:extLst>
          </xdr:cNvPr>
          <xdr:cNvGrpSpPr/>
        </xdr:nvGrpSpPr>
        <xdr:grpSpPr>
          <a:xfrm>
            <a:off x="12889592" y="598233"/>
            <a:ext cx="758543" cy="613199"/>
            <a:chOff x="12988652" y="613473"/>
            <a:chExt cx="758543" cy="613199"/>
          </a:xfrm>
          <a:noFill/>
        </xdr:grpSpPr>
        <xdr:sp macro="" textlink="">
          <xdr:nvSpPr>
            <xdr:cNvPr id="5" name="Freeform: Shape 4">
              <a:extLst>
                <a:ext uri="{FF2B5EF4-FFF2-40B4-BE49-F238E27FC236}">
                  <a16:creationId xmlns:a16="http://schemas.microsoft.com/office/drawing/2014/main" id="{819485F6-66DC-243C-7DEF-805BFE4DF307}"/>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6" name="Freeform: Shape 5">
              <a:extLst>
                <a:ext uri="{FF2B5EF4-FFF2-40B4-BE49-F238E27FC236}">
                  <a16:creationId xmlns:a16="http://schemas.microsoft.com/office/drawing/2014/main" id="{3DCE0D7B-BE17-3E9D-0565-35AEF41F879A}"/>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twoCellAnchor>
    <xdr:from>
      <xdr:col>0</xdr:col>
      <xdr:colOff>0</xdr:colOff>
      <xdr:row>0</xdr:row>
      <xdr:rowOff>0</xdr:rowOff>
    </xdr:from>
    <xdr:to>
      <xdr:col>1</xdr:col>
      <xdr:colOff>129540</xdr:colOff>
      <xdr:row>1</xdr:row>
      <xdr:rowOff>125094</xdr:rowOff>
    </xdr:to>
    <xdr:sp macro="" textlink="">
      <xdr:nvSpPr>
        <xdr:cNvPr id="7" name="Rectangle 6">
          <a:extLst>
            <a:ext uri="{FF2B5EF4-FFF2-40B4-BE49-F238E27FC236}">
              <a16:creationId xmlns:a16="http://schemas.microsoft.com/office/drawing/2014/main" id="{3E6C5D5F-EEB9-4AD7-AB45-26C9D83EAC9A}"/>
            </a:ext>
          </a:extLst>
        </xdr:cNvPr>
        <xdr:cNvSpPr/>
      </xdr:nvSpPr>
      <xdr:spPr>
        <a:xfrm>
          <a:off x="0" y="0"/>
          <a:ext cx="739140" cy="307974"/>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320040</xdr:colOff>
      <xdr:row>4</xdr:row>
      <xdr:rowOff>137160</xdr:rowOff>
    </xdr:from>
    <xdr:to>
      <xdr:col>12</xdr:col>
      <xdr:colOff>68580</xdr:colOff>
      <xdr:row>41</xdr:row>
      <xdr:rowOff>114300</xdr:rowOff>
    </xdr:to>
    <xdr:sp macro="" textlink="">
      <xdr:nvSpPr>
        <xdr:cNvPr id="9" name="Rectangle: Rounded Corners 8">
          <a:extLst>
            <a:ext uri="{FF2B5EF4-FFF2-40B4-BE49-F238E27FC236}">
              <a16:creationId xmlns:a16="http://schemas.microsoft.com/office/drawing/2014/main" id="{595B50FE-F930-AA50-5422-74D6DCE84426}"/>
            </a:ext>
          </a:extLst>
        </xdr:cNvPr>
        <xdr:cNvSpPr/>
      </xdr:nvSpPr>
      <xdr:spPr>
        <a:xfrm>
          <a:off x="3040380" y="1447800"/>
          <a:ext cx="8229600" cy="6743700"/>
        </a:xfrm>
        <a:prstGeom prst="roundRect">
          <a:avLst/>
        </a:prstGeom>
        <a:gradFill>
          <a:gsLst>
            <a:gs pos="0">
              <a:srgbClr val="015F8B">
                <a:alpha val="46667"/>
              </a:srgbClr>
            </a:gs>
            <a:gs pos="100000">
              <a:srgbClr val="0A1721"/>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22860</xdr:colOff>
      <xdr:row>1</xdr:row>
      <xdr:rowOff>388620</xdr:rowOff>
    </xdr:from>
    <xdr:to>
      <xdr:col>8</xdr:col>
      <xdr:colOff>190500</xdr:colOff>
      <xdr:row>2</xdr:row>
      <xdr:rowOff>365760</xdr:rowOff>
    </xdr:to>
    <mc:AlternateContent xmlns:mc="http://schemas.openxmlformats.org/markup-compatibility/2006" xmlns:a14="http://schemas.microsoft.com/office/drawing/2010/main">
      <mc:Choice Requires="a14">
        <xdr:graphicFrame macro="">
          <xdr:nvGraphicFramePr>
            <xdr:cNvPr id="11" name="Year 3">
              <a:extLst>
                <a:ext uri="{FF2B5EF4-FFF2-40B4-BE49-F238E27FC236}">
                  <a16:creationId xmlns:a16="http://schemas.microsoft.com/office/drawing/2014/main" id="{1E4CCD88-02B1-41CB-B037-D8D35698517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5958840" y="571500"/>
              <a:ext cx="2194560" cy="4419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259080</xdr:colOff>
      <xdr:row>6</xdr:row>
      <xdr:rowOff>53340</xdr:rowOff>
    </xdr:from>
    <xdr:to>
      <xdr:col>11</xdr:col>
      <xdr:colOff>220980</xdr:colOff>
      <xdr:row>40</xdr:row>
      <xdr:rowOff>38100</xdr:rowOff>
    </xdr:to>
    <xdr:graphicFrame macro="">
      <xdr:nvGraphicFramePr>
        <xdr:cNvPr id="12" name="Chart 11">
          <a:extLst>
            <a:ext uri="{FF2B5EF4-FFF2-40B4-BE49-F238E27FC236}">
              <a16:creationId xmlns:a16="http://schemas.microsoft.com/office/drawing/2014/main" id="{48FC379A-5A90-4728-9AE4-C01D21583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213360</xdr:colOff>
      <xdr:row>2</xdr:row>
      <xdr:rowOff>289560</xdr:rowOff>
    </xdr:from>
    <xdr:to>
      <xdr:col>10</xdr:col>
      <xdr:colOff>396240</xdr:colOff>
      <xdr:row>4</xdr:row>
      <xdr:rowOff>45720</xdr:rowOff>
    </xdr:to>
    <mc:AlternateContent xmlns:mc="http://schemas.openxmlformats.org/markup-compatibility/2006" xmlns:a14="http://schemas.microsoft.com/office/drawing/2010/main">
      <mc:Choice Requires="a14">
        <xdr:graphicFrame macro="">
          <xdr:nvGraphicFramePr>
            <xdr:cNvPr id="13" name="Month 2">
              <a:extLst>
                <a:ext uri="{FF2B5EF4-FFF2-40B4-BE49-F238E27FC236}">
                  <a16:creationId xmlns:a16="http://schemas.microsoft.com/office/drawing/2014/main" id="{F551940F-B106-4BF8-9814-5EB7DF2997CE}"/>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084320" y="937260"/>
              <a:ext cx="6027420" cy="4191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11.xml><?xml version="1.0" encoding="utf-8"?>
<xdr:wsDr xmlns:xdr="http://schemas.openxmlformats.org/drawingml/2006/spreadsheetDrawing" xmlns:a="http://schemas.openxmlformats.org/drawingml/2006/main">
  <xdr:twoCellAnchor>
    <xdr:from>
      <xdr:col>10</xdr:col>
      <xdr:colOff>38100</xdr:colOff>
      <xdr:row>21</xdr:row>
      <xdr:rowOff>83820</xdr:rowOff>
    </xdr:from>
    <xdr:to>
      <xdr:col>12</xdr:col>
      <xdr:colOff>601980</xdr:colOff>
      <xdr:row>24</xdr:row>
      <xdr:rowOff>22860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B7CFE05-7D28-4AD3-9213-66A4AEC48AD4}"/>
            </a:ext>
          </a:extLst>
        </xdr:cNvPr>
        <xdr:cNvSpPr/>
      </xdr:nvSpPr>
      <xdr:spPr>
        <a:xfrm>
          <a:off x="6134100" y="3924300"/>
          <a:ext cx="1783080" cy="716280"/>
        </a:xfrm>
        <a:prstGeom prst="roundRect">
          <a:avLst>
            <a:gd name="adj" fmla="val 9413"/>
          </a:avLst>
        </a:prstGeom>
        <a:gradFill>
          <a:gsLst>
            <a:gs pos="100000">
              <a:srgbClr val="009A96"/>
            </a:gs>
            <a:gs pos="0">
              <a:srgbClr val="35D7C7"/>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defTabSz="914400" rtl="0" eaLnBrk="1" latinLnBrk="0" hangingPunct="1"/>
          <a:r>
            <a:rPr lang="en-US" sz="1600"/>
            <a:t>Acceptance</a:t>
          </a:r>
          <a:endParaRPr lang="ru-RU" sz="1400" b="0" kern="1200">
            <a:solidFill>
              <a:schemeClr val="bg1"/>
            </a:solidFill>
            <a:latin typeface="+mn-lt"/>
            <a:ea typeface="+mn-ea"/>
            <a:cs typeface="+mn-cs"/>
          </a:endParaRPr>
        </a:p>
      </xdr:txBody>
    </xdr:sp>
    <xdr:clientData/>
  </xdr:twoCellAnchor>
  <xdr:twoCellAnchor>
    <xdr:from>
      <xdr:col>1</xdr:col>
      <xdr:colOff>350520</xdr:colOff>
      <xdr:row>0</xdr:row>
      <xdr:rowOff>594360</xdr:rowOff>
    </xdr:from>
    <xdr:to>
      <xdr:col>13</xdr:col>
      <xdr:colOff>274320</xdr:colOff>
      <xdr:row>2</xdr:row>
      <xdr:rowOff>175260</xdr:rowOff>
    </xdr:to>
    <xdr:sp macro="" textlink="">
      <xdr:nvSpPr>
        <xdr:cNvPr id="4" name="Rectangle: Rounded Corners 3">
          <a:extLst>
            <a:ext uri="{FF2B5EF4-FFF2-40B4-BE49-F238E27FC236}">
              <a16:creationId xmlns:a16="http://schemas.microsoft.com/office/drawing/2014/main" id="{4D73BF3E-2129-4BE0-D5FB-C3E81FA27AF4}"/>
            </a:ext>
          </a:extLst>
        </xdr:cNvPr>
        <xdr:cNvSpPr/>
      </xdr:nvSpPr>
      <xdr:spPr>
        <a:xfrm>
          <a:off x="960120" y="594360"/>
          <a:ext cx="7063740" cy="662940"/>
        </a:xfrm>
        <a:prstGeom prst="roundRect">
          <a:avLst>
            <a:gd name="adj" fmla="val 13219"/>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bg1"/>
              </a:solidFill>
              <a:latin typeface="Roboto Light" panose="02000000000000000000" pitchFamily="2" charset="0"/>
              <a:ea typeface="Roboto Light" panose="02000000000000000000" pitchFamily="2" charset="0"/>
              <a:cs typeface="Roboto Light" panose="02000000000000000000" pitchFamily="2" charset="0"/>
            </a:rPr>
            <a:t>New Employee Acceptance Form</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21</xdr:col>
      <xdr:colOff>236220</xdr:colOff>
      <xdr:row>0</xdr:row>
      <xdr:rowOff>563880</xdr:rowOff>
    </xdr:from>
    <xdr:to>
      <xdr:col>22</xdr:col>
      <xdr:colOff>480060</xdr:colOff>
      <xdr:row>3</xdr:row>
      <xdr:rowOff>0</xdr:rowOff>
    </xdr:to>
    <xdr:grpSp>
      <xdr:nvGrpSpPr>
        <xdr:cNvPr id="10" name="Group 9">
          <a:hlinkClick xmlns:r="http://schemas.openxmlformats.org/officeDocument/2006/relationships" r:id="rId2"/>
          <a:extLst>
            <a:ext uri="{FF2B5EF4-FFF2-40B4-BE49-F238E27FC236}">
              <a16:creationId xmlns:a16="http://schemas.microsoft.com/office/drawing/2014/main" id="{6F756DD1-923F-7517-8387-3B6B3905E750}"/>
            </a:ext>
          </a:extLst>
        </xdr:cNvPr>
        <xdr:cNvGrpSpPr/>
      </xdr:nvGrpSpPr>
      <xdr:grpSpPr>
        <a:xfrm>
          <a:off x="12466320" y="563880"/>
          <a:ext cx="834390" cy="693420"/>
          <a:chOff x="12862560" y="563880"/>
          <a:chExt cx="853440" cy="701040"/>
        </a:xfrm>
      </xdr:grpSpPr>
      <xdr:sp macro="" textlink="">
        <xdr:nvSpPr>
          <xdr:cNvPr id="9" name="Rectangle 8">
            <a:extLst>
              <a:ext uri="{FF2B5EF4-FFF2-40B4-BE49-F238E27FC236}">
                <a16:creationId xmlns:a16="http://schemas.microsoft.com/office/drawing/2014/main" id="{91F93BA3-79AC-557B-5AC4-42521EF3824B}"/>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 name="Graphic 4">
            <a:extLst>
              <a:ext uri="{FF2B5EF4-FFF2-40B4-BE49-F238E27FC236}">
                <a16:creationId xmlns:a16="http://schemas.microsoft.com/office/drawing/2014/main" id="{83C282EA-A67D-5452-87D5-3F6290DB4EF4}"/>
              </a:ext>
            </a:extLst>
          </xdr:cNvPr>
          <xdr:cNvGrpSpPr/>
        </xdr:nvGrpSpPr>
        <xdr:grpSpPr>
          <a:xfrm>
            <a:off x="12889592" y="598233"/>
            <a:ext cx="758543" cy="613199"/>
            <a:chOff x="12988652" y="613473"/>
            <a:chExt cx="758543" cy="613199"/>
          </a:xfrm>
          <a:noFill/>
        </xdr:grpSpPr>
        <xdr:sp macro="" textlink="">
          <xdr:nvSpPr>
            <xdr:cNvPr id="7" name="Freeform: Shape 6">
              <a:extLst>
                <a:ext uri="{FF2B5EF4-FFF2-40B4-BE49-F238E27FC236}">
                  <a16:creationId xmlns:a16="http://schemas.microsoft.com/office/drawing/2014/main" id="{ECBCFF69-45F9-6C37-1DF3-0914295A7A3E}"/>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8" name="Freeform: Shape 7">
              <a:extLst>
                <a:ext uri="{FF2B5EF4-FFF2-40B4-BE49-F238E27FC236}">
                  <a16:creationId xmlns:a16="http://schemas.microsoft.com/office/drawing/2014/main" id="{E6C7774F-12D7-F3BA-7EB9-15F3C799D29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440614</xdr:colOff>
      <xdr:row>1</xdr:row>
      <xdr:rowOff>220532</xdr:rowOff>
    </xdr:to>
    <xdr:sp macro="" textlink="">
      <xdr:nvSpPr>
        <xdr:cNvPr id="2" name="Rectangle 1">
          <a:extLst>
            <a:ext uri="{FF2B5EF4-FFF2-40B4-BE49-F238E27FC236}">
              <a16:creationId xmlns:a16="http://schemas.microsoft.com/office/drawing/2014/main" id="{139932E1-D497-4A7E-86F8-FBB2AA1B1BEE}"/>
            </a:ext>
          </a:extLst>
        </xdr:cNvPr>
        <xdr:cNvSpPr/>
      </xdr:nvSpPr>
      <xdr:spPr>
        <a:xfrm>
          <a:off x="0" y="0"/>
          <a:ext cx="1842694" cy="403412"/>
        </a:xfrm>
        <a:prstGeom prst="rect">
          <a:avLst/>
        </a:prstGeom>
        <a:solidFill>
          <a:srgbClr val="091B2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31142</xdr:colOff>
      <xdr:row>0</xdr:row>
      <xdr:rowOff>45721</xdr:rowOff>
    </xdr:from>
    <xdr:to>
      <xdr:col>9</xdr:col>
      <xdr:colOff>624840</xdr:colOff>
      <xdr:row>1</xdr:row>
      <xdr:rowOff>350521</xdr:rowOff>
    </xdr:to>
    <xdr:grpSp>
      <xdr:nvGrpSpPr>
        <xdr:cNvPr id="3" name="Group 2">
          <a:hlinkClick xmlns:r="http://schemas.openxmlformats.org/officeDocument/2006/relationships" r:id="rId1"/>
          <a:extLst>
            <a:ext uri="{FF2B5EF4-FFF2-40B4-BE49-F238E27FC236}">
              <a16:creationId xmlns:a16="http://schemas.microsoft.com/office/drawing/2014/main" id="{1BAA758F-412B-4830-ACAC-FFF2ECC77459}"/>
            </a:ext>
          </a:extLst>
        </xdr:cNvPr>
        <xdr:cNvGrpSpPr/>
      </xdr:nvGrpSpPr>
      <xdr:grpSpPr>
        <a:xfrm>
          <a:off x="13328042" y="45721"/>
          <a:ext cx="593698" cy="495300"/>
          <a:chOff x="12862560" y="563880"/>
          <a:chExt cx="853440" cy="701040"/>
        </a:xfrm>
      </xdr:grpSpPr>
      <xdr:sp macro="" textlink="">
        <xdr:nvSpPr>
          <xdr:cNvPr id="4" name="Rectangle 3">
            <a:extLst>
              <a:ext uri="{FF2B5EF4-FFF2-40B4-BE49-F238E27FC236}">
                <a16:creationId xmlns:a16="http://schemas.microsoft.com/office/drawing/2014/main" id="{BA104DFF-57CE-8A44-5987-9D4206D86F43}"/>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5" name="Graphic 4">
            <a:extLst>
              <a:ext uri="{FF2B5EF4-FFF2-40B4-BE49-F238E27FC236}">
                <a16:creationId xmlns:a16="http://schemas.microsoft.com/office/drawing/2014/main" id="{4F9960BD-8E36-B49F-F4FC-B01CDDFB0A98}"/>
              </a:ext>
            </a:extLst>
          </xdr:cNvPr>
          <xdr:cNvGrpSpPr/>
        </xdr:nvGrpSpPr>
        <xdr:grpSpPr>
          <a:xfrm>
            <a:off x="12889592" y="598233"/>
            <a:ext cx="758543" cy="613199"/>
            <a:chOff x="12988652" y="613473"/>
            <a:chExt cx="758543" cy="613199"/>
          </a:xfrm>
          <a:noFill/>
        </xdr:grpSpPr>
        <xdr:sp macro="" textlink="">
          <xdr:nvSpPr>
            <xdr:cNvPr id="6" name="Freeform: Shape 5">
              <a:extLst>
                <a:ext uri="{FF2B5EF4-FFF2-40B4-BE49-F238E27FC236}">
                  <a16:creationId xmlns:a16="http://schemas.microsoft.com/office/drawing/2014/main" id="{0E34A9D4-6191-87AA-0824-9521485F2C15}"/>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7" name="Freeform: Shape 6">
              <a:extLst>
                <a:ext uri="{FF2B5EF4-FFF2-40B4-BE49-F238E27FC236}">
                  <a16:creationId xmlns:a16="http://schemas.microsoft.com/office/drawing/2014/main" id="{7D7FC0D4-CFBA-9B96-DCB1-5B2DB62ADF05}"/>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53340</xdr:colOff>
      <xdr:row>1</xdr:row>
      <xdr:rowOff>7620</xdr:rowOff>
    </xdr:from>
    <xdr:to>
      <xdr:col>18</xdr:col>
      <xdr:colOff>297180</xdr:colOff>
      <xdr:row>2</xdr:row>
      <xdr:rowOff>320040</xdr:rowOff>
    </xdr:to>
    <xdr:grpSp>
      <xdr:nvGrpSpPr>
        <xdr:cNvPr id="2" name="Group 1">
          <a:hlinkClick xmlns:r="http://schemas.openxmlformats.org/officeDocument/2006/relationships" r:id="rId1"/>
          <a:extLst>
            <a:ext uri="{FF2B5EF4-FFF2-40B4-BE49-F238E27FC236}">
              <a16:creationId xmlns:a16="http://schemas.microsoft.com/office/drawing/2014/main" id="{FBBEABFC-696F-4505-83AE-F79AAE4295F9}"/>
            </a:ext>
          </a:extLst>
        </xdr:cNvPr>
        <xdr:cNvGrpSpPr/>
      </xdr:nvGrpSpPr>
      <xdr:grpSpPr>
        <a:xfrm>
          <a:off x="12521565" y="207645"/>
          <a:ext cx="834390" cy="693420"/>
          <a:chOff x="12862560" y="563880"/>
          <a:chExt cx="853440" cy="701040"/>
        </a:xfrm>
      </xdr:grpSpPr>
      <xdr:sp macro="" textlink="">
        <xdr:nvSpPr>
          <xdr:cNvPr id="3" name="Rectangle 2">
            <a:extLst>
              <a:ext uri="{FF2B5EF4-FFF2-40B4-BE49-F238E27FC236}">
                <a16:creationId xmlns:a16="http://schemas.microsoft.com/office/drawing/2014/main" id="{3A28091C-AA3C-093D-F370-2E036A166075}"/>
              </a:ext>
            </a:extLst>
          </xdr:cNvPr>
          <xdr:cNvSpPr/>
        </xdr:nvSpPr>
        <xdr:spPr>
          <a:xfrm>
            <a:off x="12862560" y="563880"/>
            <a:ext cx="853440" cy="701040"/>
          </a:xfrm>
          <a:prstGeom prst="rect">
            <a:avLst/>
          </a:prstGeom>
          <a:solidFill>
            <a:srgbClr val="091A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 name="Graphic 4">
            <a:extLst>
              <a:ext uri="{FF2B5EF4-FFF2-40B4-BE49-F238E27FC236}">
                <a16:creationId xmlns:a16="http://schemas.microsoft.com/office/drawing/2014/main" id="{66DA7CC4-DABB-A05A-8F7E-E4AB93257241}"/>
              </a:ext>
            </a:extLst>
          </xdr:cNvPr>
          <xdr:cNvGrpSpPr/>
        </xdr:nvGrpSpPr>
        <xdr:grpSpPr>
          <a:xfrm>
            <a:off x="12889592" y="598233"/>
            <a:ext cx="758543" cy="613199"/>
            <a:chOff x="12988652" y="613473"/>
            <a:chExt cx="758543" cy="613199"/>
          </a:xfrm>
          <a:noFill/>
        </xdr:grpSpPr>
        <xdr:sp macro="" textlink="">
          <xdr:nvSpPr>
            <xdr:cNvPr id="5" name="Freeform: Shape 4">
              <a:extLst>
                <a:ext uri="{FF2B5EF4-FFF2-40B4-BE49-F238E27FC236}">
                  <a16:creationId xmlns:a16="http://schemas.microsoft.com/office/drawing/2014/main" id="{8B9C7F21-1FD6-2A0E-F214-6E65C70E401A}"/>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noFill/>
            <a:ln w="14865" cap="flat">
              <a:solidFill>
                <a:srgbClr val="236CAF"/>
              </a:solidFill>
              <a:prstDash val="solid"/>
              <a:miter/>
            </a:ln>
          </xdr:spPr>
          <xdr:txBody>
            <a:bodyPr rtlCol="0" anchor="ctr"/>
            <a:lstStyle/>
            <a:p>
              <a:endParaRPr lang="ru-RU"/>
            </a:p>
          </xdr:txBody>
        </xdr:sp>
        <xdr:sp macro="" textlink="">
          <xdr:nvSpPr>
            <xdr:cNvPr id="6" name="Freeform: Shape 5">
              <a:extLst>
                <a:ext uri="{FF2B5EF4-FFF2-40B4-BE49-F238E27FC236}">
                  <a16:creationId xmlns:a16="http://schemas.microsoft.com/office/drawing/2014/main" id="{57BAA6E6-30E4-EF8B-658E-C205E3FD39A6}"/>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noFill/>
            <a:ln w="14865" cap="flat">
              <a:solidFill>
                <a:srgbClr val="236CAF"/>
              </a:solidFill>
              <a:prstDash val="solid"/>
              <a:miter/>
            </a:ln>
          </xdr:spPr>
          <xdr:txBody>
            <a:bodyPr rtlCol="0" anchor="ctr"/>
            <a:lstStyle/>
            <a:p>
              <a:endParaRPr lang="ru-RU"/>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01.790814236112" createdVersion="8" refreshedVersion="8" minRefreshableVersion="3" recordCount="803" xr:uid="{4DBEE1E8-850E-44C2-B519-8BADDCF0D6EE}">
  <cacheSource type="worksheet">
    <worksheetSource name="=dborders"/>
  </cacheSource>
  <cacheFields count="27">
    <cacheField name="Registration Date" numFmtId="14">
      <sharedItems containsSemiMixedTypes="0" containsNonDate="0" containsDate="1" containsString="0" minDate="2023-01-01T00:00:00" maxDate="2025-12-09T00:00:00" count="640">
        <d v="2023-01-01T00:00:00"/>
        <d v="2023-01-02T00:00:00"/>
        <d v="2023-01-03T00:00:00"/>
        <d v="2023-01-04T00:00:00"/>
        <d v="2023-01-31T00:00:00"/>
        <d v="2023-01-05T00:00:00"/>
        <d v="2023-02-01T00:00:00"/>
        <d v="2023-02-02T00:00:00"/>
        <d v="2023-02-28T00:00:00"/>
        <d v="2023-02-03T00:00:00"/>
        <d v="2023-02-04T00:00:00"/>
        <d v="2023-03-01T00:00:00"/>
        <d v="2023-03-02T00:00:00"/>
        <d v="2023-03-03T00:00:00"/>
        <d v="2023-03-04T00:00:00"/>
        <d v="2023-03-05T00:00:00"/>
        <d v="2023-03-31T00:00:00"/>
        <d v="2023-04-01T00:00:00"/>
        <d v="2023-04-02T00:00:00"/>
        <d v="2023-04-22T00:00:00"/>
        <d v="2023-04-23T00:00:00"/>
        <d v="2023-04-24T00:00:00"/>
        <d v="2023-05-01T00:00:00"/>
        <d v="2023-05-02T00:00:00"/>
        <d v="2023-05-03T00:00:00"/>
        <d v="2023-05-04T00:00:00"/>
        <d v="2023-05-05T00:00:00"/>
        <d v="2023-06-01T00:00:00"/>
        <d v="2023-06-02T00:00:00"/>
        <d v="2023-06-03T00:00:00"/>
        <d v="2023-06-04T00:00:00"/>
        <d v="2023-06-05T00:00:00"/>
        <d v="2023-07-01T00:00:00"/>
        <d v="2023-07-02T00:00:00"/>
        <d v="2023-07-03T00:00:00"/>
        <d v="2023-07-04T00:00:00"/>
        <d v="2023-07-31T00:00:00"/>
        <d v="2023-08-01T00:00:00"/>
        <d v="2023-08-08T00:00:00"/>
        <d v="2023-08-09T00:00:00"/>
        <d v="2023-08-10T00:00:00"/>
        <d v="2023-08-11T00:00:00"/>
        <d v="2023-09-01T00:00:00"/>
        <d v="2023-09-20T00:00:00"/>
        <d v="2023-09-21T00:00:00"/>
        <d v="2023-09-22T00:00:00"/>
        <d v="2023-09-23T00:00:00"/>
        <d v="2023-10-05T00:00:00"/>
        <d v="2023-10-06T00:00:00"/>
        <d v="2023-10-07T00:00:00"/>
        <d v="2023-10-08T00:00:00"/>
        <d v="2023-10-09T00:00:00"/>
        <d v="2023-11-01T00:00:00"/>
        <d v="2023-11-02T00:00:00"/>
        <d v="2023-11-03T00:00:00"/>
        <d v="2023-11-04T00:00:00"/>
        <d v="2023-11-30T00:00:00"/>
        <d v="2023-12-01T00:00:00"/>
        <d v="2023-12-08T00:00:00"/>
        <d v="2023-12-09T00:00:00"/>
        <d v="2023-12-10T00:00:00"/>
        <d v="2023-12-11T00:00:00"/>
        <d v="2023-12-12T00:00:00"/>
        <d v="2023-12-13T00:00:00"/>
        <d v="2023-12-14T00:00:00"/>
        <d v="2023-12-15T00:00:00"/>
        <d v="2023-12-16T00:00:00"/>
        <d v="2023-12-18T00:00:00"/>
        <d v="2023-12-19T00:00:00"/>
        <d v="2023-12-20T00:00:00"/>
        <d v="2023-12-21T00:00:00"/>
        <d v="2023-12-22T00:00:00"/>
        <d v="2023-12-23T00:00:00"/>
        <d v="2023-12-24T00:00:00"/>
        <d v="2023-12-25T00:00:00"/>
        <d v="2023-12-26T00:00:00"/>
        <d v="2023-12-28T00:00:00"/>
        <d v="2024-01-10T00:00:00"/>
        <d v="2024-01-11T00:00:00"/>
        <d v="2024-01-12T00:00:00"/>
        <d v="2024-01-13T00:00:00"/>
        <d v="2024-01-16T00:00:00"/>
        <d v="2024-01-18T00:00:00"/>
        <d v="2024-01-19T00:00:00"/>
        <d v="2024-01-20T00:00:00"/>
        <d v="2024-01-23T00:00:00"/>
        <d v="2024-01-25T00:00:00"/>
        <d v="2024-01-26T00:00:00"/>
        <d v="2024-01-21T00:00:00"/>
        <d v="2024-01-22T00:00:00"/>
        <d v="2024-01-30T00:00:00"/>
        <d v="2024-01-31T00:00:00"/>
        <d v="2024-02-01T00:00:00"/>
        <d v="2024-02-03T00:00:00"/>
        <d v="2024-02-04T00:00:00"/>
        <d v="2024-02-05T00:00:00"/>
        <d v="2024-02-06T00:00:00"/>
        <d v="2024-02-09T00:00:00"/>
        <d v="2024-02-11T00:00:00"/>
        <d v="2024-02-12T00:00:00"/>
        <d v="2024-02-13T00:00:00"/>
        <d v="2024-02-14T00:00:00"/>
        <d v="2024-02-15T00:00:00"/>
        <d v="2024-02-16T00:00:00"/>
        <d v="2024-02-18T00:00:00"/>
        <d v="2024-02-22T00:00:00"/>
        <d v="2024-02-24T00:00:00"/>
        <d v="2024-02-25T00:00:00"/>
        <d v="2024-02-26T00:00:00"/>
        <d v="2024-02-28T00:00:00"/>
        <d v="2024-03-01T00:00:00"/>
        <d v="2024-03-02T00:00:00"/>
        <d v="2024-03-03T00:00:00"/>
        <d v="2024-03-04T00:00:00"/>
        <d v="2024-03-05T00:00:00"/>
        <d v="2024-03-06T00:00:00"/>
        <d v="2024-03-08T00:00:00"/>
        <d v="2024-03-09T00:00:00"/>
        <d v="2024-03-11T00:00:00"/>
        <d v="2024-03-12T00:00:00"/>
        <d v="2024-03-13T00:00:00"/>
        <d v="2024-03-14T00:00:00"/>
        <d v="2024-03-15T00:00:00"/>
        <d v="2024-03-16T00:00:00"/>
        <d v="2024-03-18T00:00:00"/>
        <d v="2024-03-19T00:00:00"/>
        <d v="2024-03-20T00:00:00"/>
        <d v="2024-03-21T00:00:00"/>
        <d v="2024-03-24T00:00:00"/>
        <d v="2024-03-25T00:00:00"/>
        <d v="2024-03-26T00:00:00"/>
        <d v="2024-03-28T00:00:00"/>
        <d v="2024-03-29T00:00:00"/>
        <d v="2024-04-02T00:00:00"/>
        <d v="2024-04-03T00:00:00"/>
        <d v="2024-04-04T00:00:00"/>
        <d v="2024-04-05T00:00:00"/>
        <d v="2024-04-06T00:00:00"/>
        <d v="2024-04-01T00:00:00"/>
        <d v="2024-04-08T00:00:00"/>
        <d v="2024-04-09T00:00:00"/>
        <d v="2024-04-10T00:00:00"/>
        <d v="2024-04-11T00:00:00"/>
        <d v="2024-04-12T00:00:00"/>
        <d v="2024-04-16T00:00:00"/>
        <d v="2024-04-18T00:00:00"/>
        <d v="2024-04-19T00:00:00"/>
        <d v="2024-04-20T00:00:00"/>
        <d v="2024-04-21T00:00:00"/>
        <d v="2024-04-22T00:00:00"/>
        <d v="2024-04-23T00:00:00"/>
        <d v="2024-04-24T00:00:00"/>
        <d v="2024-04-25T00:00:00"/>
        <d v="2024-04-26T00:00:00"/>
        <d v="2024-04-28T00:00:00"/>
        <d v="2024-04-29T00:00:00"/>
        <d v="2024-04-30T00:00:00"/>
        <d v="2024-05-02T00:00:00"/>
        <d v="2024-05-04T00:00:00"/>
        <d v="2024-05-05T00:00:00"/>
        <d v="2024-05-06T00:00:00"/>
        <d v="2024-05-01T00:00:00"/>
        <d v="2024-05-08T00:00:00"/>
        <d v="2024-05-09T00:00:00"/>
        <d v="2024-05-10T00:00:00"/>
        <d v="2024-05-11T00:00:00"/>
        <d v="2024-05-12T00:00:00"/>
        <d v="2024-05-13T00:00:00"/>
        <d v="2024-05-14T00:00:00"/>
        <d v="2024-05-15T00:00:00"/>
        <d v="2024-05-16T00:00:00"/>
        <d v="2024-05-18T00:00:00"/>
        <d v="2024-05-19T00:00:00"/>
        <d v="2024-05-20T00:00:00"/>
        <d v="2024-05-21T00:00:00"/>
        <d v="2024-05-22T00:00:00"/>
        <d v="2024-05-23T00:00:00"/>
        <d v="2024-05-24T00:00:00"/>
        <d v="2024-05-25T00:00:00"/>
        <d v="2024-05-26T00:00:00"/>
        <d v="2024-05-28T00:00:00"/>
        <d v="2024-05-29T00:00:00"/>
        <d v="2024-05-30T00:00:00"/>
        <d v="2024-05-31T00:00:00"/>
        <d v="2024-06-02T00:00:00"/>
        <d v="2024-06-03T00:00:00"/>
        <d v="2024-06-04T00:00:00"/>
        <d v="2024-06-05T00:00:00"/>
        <d v="2024-06-06T00:00:00"/>
        <d v="2024-06-08T00:00:00"/>
        <d v="2024-06-09T00:00:00"/>
        <d v="2024-06-10T00:00:00"/>
        <d v="2024-06-11T00:00:00"/>
        <d v="2024-06-12T00:00:00"/>
        <d v="2024-06-13T00:00:00"/>
        <d v="2024-06-14T00:00:00"/>
        <d v="2024-06-15T00:00:00"/>
        <d v="2024-06-18T00:00:00"/>
        <d v="2024-06-19T00:00:00"/>
        <d v="2024-06-20T00:00:00"/>
        <d v="2024-06-21T00:00:00"/>
        <d v="2024-06-22T00:00:00"/>
        <d v="2024-06-23T00:00:00"/>
        <d v="2024-06-24T00:00:00"/>
        <d v="2024-06-25T00:00:00"/>
        <d v="2024-06-26T00:00:00"/>
        <d v="2024-06-28T00:00:00"/>
        <d v="2024-06-29T00:00:00"/>
        <d v="2024-06-30T00:00:00"/>
        <d v="2024-07-01T00:00:00"/>
        <d v="2024-07-02T00:00:00"/>
        <d v="2024-07-03T00:00:00"/>
        <d v="2024-07-04T00:00:00"/>
        <d v="2024-07-05T00:00:00"/>
        <d v="2024-07-06T00:00:00"/>
        <d v="2024-07-08T00:00:00"/>
        <d v="2024-07-09T00:00:00"/>
        <d v="2024-07-10T00:00:00"/>
        <d v="2024-07-11T00:00:00"/>
        <d v="2024-07-12T00:00:00"/>
        <d v="2024-07-13T00:00:00"/>
        <d v="2024-07-14T00:00:00"/>
        <d v="2024-07-15T00:00:00"/>
        <d v="2024-07-16T00:00:00"/>
        <d v="2024-07-18T00:00:00"/>
        <d v="2024-07-19T00:00:00"/>
        <d v="2024-07-20T00:00:00"/>
        <d v="2024-07-21T00:00:00"/>
        <d v="2024-07-22T00:00:00"/>
        <d v="2024-07-23T00:00:00"/>
        <d v="2024-07-24T00:00:00"/>
        <d v="2024-07-25T00:00:00"/>
        <d v="2024-07-26T00:00:00"/>
        <d v="2024-07-30T00:00:00"/>
        <d v="2024-07-31T00:00:00"/>
        <d v="2024-08-01T00:00:00"/>
        <d v="2024-08-02T00:00:00"/>
        <d v="2024-08-03T00:00:00"/>
        <d v="2024-08-04T00:00:00"/>
        <d v="2024-08-08T00:00:00"/>
        <d v="2024-08-09T00:00:00"/>
        <d v="2024-08-10T00:00:00"/>
        <d v="2024-08-13T00:00:00"/>
        <d v="2024-08-14T00:00:00"/>
        <d v="2024-08-15T00:00:00"/>
        <d v="2024-08-16T00:00:00"/>
        <d v="2024-08-11T00:00:00"/>
        <d v="2024-08-18T00:00:00"/>
        <d v="2024-08-19T00:00:00"/>
        <d v="2024-08-20T00:00:00"/>
        <d v="2024-08-21T00:00:00"/>
        <d v="2024-08-22T00:00:00"/>
        <d v="2024-08-23T00:00:00"/>
        <d v="2024-08-24T00:00:00"/>
        <d v="2024-08-25T00:00:00"/>
        <d v="2024-08-26T00:00:00"/>
        <d v="2024-08-28T00:00:00"/>
        <d v="2024-08-31T00:00:00"/>
        <d v="2024-09-01T00:00:00"/>
        <d v="2024-09-02T00:00:00"/>
        <d v="2024-09-03T00:00:00"/>
        <d v="2024-09-04T00:00:00"/>
        <d v="2024-09-05T00:00:00"/>
        <d v="2024-09-06T00:00:00"/>
        <d v="2024-09-08T00:00:00"/>
        <d v="2024-09-09T00:00:00"/>
        <d v="2024-09-10T00:00:00"/>
        <d v="2024-09-11T00:00:00"/>
        <d v="2024-09-12T00:00:00"/>
        <d v="2024-09-13T00:00:00"/>
        <d v="2024-09-14T00:00:00"/>
        <d v="2024-09-15T00:00:00"/>
        <d v="2024-09-16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6T00:00:00"/>
        <d v="2024-10-08T00:00:00"/>
        <d v="2024-10-09T00:00:00"/>
        <d v="2024-10-10T00:00:00"/>
        <d v="2024-10-11T00:00:00"/>
        <d v="2024-10-12T00:00:00"/>
        <d v="2024-10-13T00:00:00"/>
        <d v="2024-10-14T00:00:00"/>
        <d v="2024-10-15T00:00:00"/>
        <d v="2024-10-16T00:00:00"/>
        <d v="2024-10-18T00:00:00"/>
        <d v="2024-10-19T00:00:00"/>
        <d v="2024-10-20T00:00:00"/>
        <d v="2024-10-21T00:00:00"/>
        <d v="2024-10-22T00:00:00"/>
        <d v="2024-10-23T00:00:00"/>
        <d v="2024-10-24T00:00:00"/>
        <d v="2024-10-26T00:00:00"/>
        <d v="2024-10-28T00:00:00"/>
        <d v="2024-10-29T00:00:00"/>
        <d v="2024-10-30T00:00:00"/>
        <d v="2024-10-31T00:00:00"/>
        <d v="2024-11-01T00:00:00"/>
        <d v="2024-11-02T00:00:00"/>
        <d v="2024-11-03T00:00:00"/>
        <d v="2024-11-04T00:00:00"/>
        <d v="2024-11-05T00:00:00"/>
        <d v="2024-11-06T00:00:00"/>
        <d v="2024-11-08T00:00:00"/>
        <d v="2024-11-09T00:00:00"/>
        <d v="2024-11-10T00:00:00"/>
        <d v="2024-11-11T00:00:00"/>
        <d v="2024-11-12T00:00:00"/>
        <d v="2024-11-13T00:00:00"/>
        <d v="2024-11-14T00:00:00"/>
        <d v="2024-11-15T00:00:00"/>
        <d v="2024-11-16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8T00:00:00"/>
        <d v="2024-12-09T00:00:00"/>
        <d v="2024-12-10T00:00:00"/>
        <d v="2024-12-11T00:00:00"/>
        <d v="2024-12-14T00:00:00"/>
        <d v="2024-12-15T00:00:00"/>
        <d v="2024-12-16T00:00:00"/>
        <d v="2024-12-18T00:00:00"/>
        <d v="2024-12-21T00:00:00"/>
        <d v="2024-12-22T00:00:00"/>
        <d v="2024-12-23T00:00:00"/>
        <d v="2024-12-24T00:00:00"/>
        <d v="2024-12-26T00:00:00"/>
        <d v="2025-01-10T00:00:00"/>
        <d v="2025-01-11T00:00:00"/>
        <d v="2025-01-12T00:00:00"/>
        <d v="2025-01-13T00:00:00"/>
        <d v="2025-01-14T00:00:00"/>
        <d v="2025-01-16T00:00:00"/>
        <d v="2025-01-18T00:00:00"/>
        <d v="2025-01-19T00:00:00"/>
        <d v="2025-01-20T00:00:00"/>
        <d v="2025-01-23T00:00:00"/>
        <d v="2025-01-25T00:00:00"/>
        <d v="2025-01-26T00:00:00"/>
        <d v="2025-01-21T00:00:00"/>
        <d v="2025-01-30T00:00:00"/>
        <d v="2025-01-31T00:00:00"/>
        <d v="2025-02-01T00:00:00"/>
        <d v="2025-02-03T00:00:00"/>
        <d v="2025-02-04T00:00:00"/>
        <d v="2025-02-05T00:00:00"/>
        <d v="2025-02-06T00:00:00"/>
        <d v="2025-02-09T00:00:00"/>
        <d v="2025-02-11T00:00:00"/>
        <d v="2025-02-12T00:00:00"/>
        <d v="2025-02-13T00:00:00"/>
        <d v="2025-02-14T00:00:00"/>
        <d v="2025-02-15T00:00:00"/>
        <d v="2025-02-16T00:00:00"/>
        <d v="2025-02-18T00:00:00"/>
        <d v="2025-02-22T00:00:00"/>
        <d v="2025-02-24T00:00:00"/>
        <d v="2025-02-25T00:00:00"/>
        <d v="2025-02-26T00:00:00"/>
        <d v="2025-02-21T00:00:00"/>
        <d v="2025-03-01T00:00:00"/>
        <d v="2025-03-02T00:00:00"/>
        <d v="2025-03-03T00:00:00"/>
        <d v="2025-03-04T00:00:00"/>
        <d v="2025-03-05T00:00:00"/>
        <d v="2025-03-06T00:00:00"/>
        <d v="2025-03-08T00:00:00"/>
        <d v="2025-03-09T00:00:00"/>
        <d v="2025-03-11T00:00:00"/>
        <d v="2025-03-12T00:00:00"/>
        <d v="2025-03-13T00:00:00"/>
        <d v="2025-03-14T00:00:00"/>
        <d v="2025-03-15T00:00:00"/>
        <d v="2025-03-16T00:00:00"/>
        <d v="2025-03-18T00:00:00"/>
        <d v="2025-03-19T00:00:00"/>
        <d v="2025-03-20T00:00:00"/>
        <d v="2025-03-21T00:00:00"/>
        <d v="2025-03-24T00:00:00"/>
        <d v="2025-03-25T00:00:00"/>
        <d v="2025-03-26T00:00:00"/>
        <d v="2025-03-28T00:00:00"/>
        <d v="2025-03-29T00:00:00"/>
        <d v="2025-04-02T00:00:00"/>
        <d v="2025-04-03T00:00:00"/>
        <d v="2025-04-04T00:00:00"/>
        <d v="2025-04-05T00:00:00"/>
        <d v="2025-04-06T00:00:00"/>
        <d v="2025-04-01T00:00:00"/>
        <d v="2025-04-08T00:00:00"/>
        <d v="2025-04-09T00:00:00"/>
        <d v="2025-04-10T00:00:00"/>
        <d v="2025-04-11T00:00:00"/>
        <d v="2025-04-12T00:00:00"/>
        <d v="2025-04-13T00:00:00"/>
        <d v="2025-04-16T00:00:00"/>
        <d v="2025-04-18T00:00:00"/>
        <d v="2025-04-19T00:00:00"/>
        <d v="2025-04-20T00:00:00"/>
        <d v="2025-04-21T00:00:00"/>
        <d v="2025-04-22T00:00:00"/>
        <d v="2025-04-23T00:00:00"/>
        <d v="2025-04-24T00:00:00"/>
        <d v="2025-04-25T00:00:00"/>
        <d v="2025-04-26T00:00:00"/>
        <d v="2025-04-28T00:00:00"/>
        <d v="2025-04-29T00:00:00"/>
        <d v="2025-04-30T00:00:00"/>
        <d v="2025-05-02T00:00:00"/>
        <d v="2025-05-04T00:00:00"/>
        <d v="2025-05-05T00:00:00"/>
        <d v="2025-05-06T00:00:00"/>
        <d v="2025-05-01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8T00:00:00"/>
        <d v="2025-05-29T00:00:00"/>
        <d v="2025-05-30T00:00:00"/>
        <d v="2025-05-31T00:00:00"/>
        <d v="2025-06-02T00:00:00"/>
        <d v="2025-06-03T00:00:00"/>
        <d v="2025-06-04T00:00:00"/>
        <d v="2025-06-05T00:00:00"/>
        <d v="2025-06-06T00:00:00"/>
        <d v="2025-06-08T00:00:00"/>
        <d v="2025-06-09T00:00:00"/>
        <d v="2025-06-10T00:00:00"/>
        <d v="2025-06-11T00:00:00"/>
        <d v="2025-06-12T00:00:00"/>
        <d v="2025-06-13T00:00:00"/>
        <d v="2025-06-14T00:00:00"/>
        <d v="2025-06-15T00:00:00"/>
        <d v="2025-06-18T00:00:00"/>
        <d v="2025-06-19T00:00:00"/>
        <d v="2025-06-20T00:00:00"/>
        <d v="2025-06-21T00:00:00"/>
        <d v="2025-06-22T00:00:00"/>
        <d v="2025-06-23T00:00:00"/>
        <d v="2025-06-24T00:00:00"/>
        <d v="2025-06-25T00:00:00"/>
        <d v="2025-06-26T00:00:00"/>
        <d v="2025-06-28T00:00:00"/>
        <d v="2025-06-29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8T00:00:00"/>
        <d v="2025-08-09T00:00:00"/>
        <d v="2025-08-10T00:00:00"/>
        <d v="2025-08-13T00:00:00"/>
        <d v="2025-08-14T00:00:00"/>
        <d v="2025-08-15T00:00:00"/>
        <d v="2025-08-16T00:00:00"/>
        <d v="2025-08-11T00:00:00"/>
        <d v="2025-08-18T00:00:00"/>
        <d v="2025-08-19T00:00:00"/>
        <d v="2025-08-20T00:00:00"/>
        <d v="2025-08-21T00:00:00"/>
        <d v="2025-08-22T00:00:00"/>
        <d v="2025-08-23T00:00:00"/>
        <d v="2025-08-24T00:00:00"/>
        <d v="2025-08-25T00:00:00"/>
        <d v="2025-08-26T00:00:00"/>
        <d v="2025-08-28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8T00:00:00"/>
        <d v="2025-09-19T00:00:00"/>
        <d v="2025-09-20T00:00:00"/>
        <d v="2025-09-21T00:00:00"/>
        <d v="2025-09-23T00:00:00"/>
        <d v="2025-09-24T00:00:00"/>
        <d v="2025-09-25T00:00:00"/>
        <d v="2025-09-26T00:00:00"/>
        <d v="2025-09-28T00:00:00"/>
        <d v="2025-09-29T00:00:00"/>
        <d v="2025-09-30T00:00:00"/>
        <d v="2025-10-01T00:00:00"/>
        <d v="2025-10-02T00:00:00"/>
        <d v="2025-10-03T00:00:00"/>
        <d v="2025-10-04T00:00:00"/>
        <d v="2025-10-06T00:00:00"/>
        <d v="2025-10-08T00:00:00"/>
        <d v="2025-10-09T00:00:00"/>
        <d v="2025-10-10T00:00:00"/>
        <d v="2025-10-11T00:00:00"/>
        <d v="2025-10-12T00:00:00"/>
        <d v="2025-10-13T00:00:00"/>
        <d v="2025-10-14T00:00:00"/>
        <d v="2025-10-15T00:00:00"/>
        <d v="2025-10-16T00:00:00"/>
        <d v="2025-10-18T00:00:00"/>
        <d v="2025-10-19T00:00:00"/>
        <d v="2025-10-20T00:00:00"/>
        <d v="2025-10-21T00:00:00"/>
        <d v="2025-10-22T00:00:00"/>
        <d v="2025-10-23T00:00:00"/>
        <d v="2025-10-24T00:00:00"/>
        <d v="2025-10-25T00:00:00"/>
        <d v="2025-10-26T00:00:00"/>
        <d v="2025-10-28T00:00:00"/>
        <d v="2025-10-29T00:00:00"/>
        <d v="2025-10-30T00:00:00"/>
        <d v="2025-10-31T00:00:00"/>
        <d v="2025-11-01T00:00:00"/>
        <d v="2025-11-02T00:00:00"/>
        <d v="2025-11-03T00:00:00"/>
        <d v="2025-11-04T00:00:00"/>
        <d v="2025-11-05T00:00:00"/>
        <d v="2025-11-06T00:00:00"/>
        <d v="2025-11-08T00:00:00"/>
        <d v="2025-11-09T00:00:00"/>
        <d v="2025-11-10T00:00:00"/>
        <d v="2025-11-11T00:00:00"/>
        <d v="2025-11-12T00:00:00"/>
        <d v="2025-11-13T00:00:00"/>
        <d v="2025-11-14T00:00:00"/>
        <d v="2025-11-15T00:00:00"/>
        <d v="2025-11-16T00:00:00"/>
        <d v="2025-11-18T00:00:00"/>
        <d v="2025-11-19T00:00:00"/>
        <d v="2025-11-20T00:00:00"/>
        <d v="2025-11-21T00:00:00"/>
        <d v="2025-11-22T00:00:00"/>
        <d v="2025-11-23T00:00:00"/>
        <d v="2025-11-24T00:00:00"/>
        <d v="2025-11-25T00:00:00"/>
        <d v="2025-11-26T00:00:00"/>
        <d v="2025-11-29T00:00:00"/>
        <d v="2025-12-01T00:00:00"/>
        <d v="2025-12-02T00:00:00"/>
        <d v="2025-12-03T00:00:00"/>
        <d v="2025-12-04T00:00:00"/>
        <d v="2025-12-05T00:00:00"/>
        <d v="2025-12-08T00:00:00"/>
        <d v="2023-04-30T00:00:00" u="1"/>
        <d v="2023-08-31T00:00:00" u="1"/>
        <d v="2023-09-29T00:00:00" u="1"/>
        <d v="2023-09-30T00:00:00" u="1"/>
        <d v="2023-10-01T00:00:00" u="1"/>
        <d v="2023-10-31T00:00:00" u="1"/>
        <d v="2024-02-21T00:00:00" u="1"/>
        <d v="2023-10-02T00:00:00" u="1"/>
        <d v="2023-12-02T00:00:00" u="1"/>
        <d v="2023-12-03T00:00:00" u="1"/>
        <d v="2023-12-04T00:00:00" u="1"/>
        <d v="2023-12-05T00:00:00" u="1"/>
        <d v="2023-12-06T00:00:00" u="1"/>
      </sharedItems>
      <fieldGroup par="26"/>
    </cacheField>
    <cacheField name="Day" numFmtId="1">
      <sharedItems containsSemiMixedTypes="0" containsString="0" containsNumber="1" containsInteger="1" minValue="1" maxValue="31"/>
    </cacheField>
    <cacheField name="Month" numFmtId="168">
      <sharedItems count="23">
        <s v="JAN"/>
        <s v="FEB"/>
        <s v="MAR"/>
        <s v="APR"/>
        <s v="MAY"/>
        <s v="JUN"/>
        <s v="JUL"/>
        <s v="AUG"/>
        <s v="SEP"/>
        <s v="OCT"/>
        <s v="NOV"/>
        <s v="DEC"/>
        <s v="January" u="1"/>
        <s v="February" u="1"/>
        <s v="March" u="1"/>
        <s v="April" u="1"/>
        <s v="June" u="1"/>
        <s v="July" u="1"/>
        <s v="August" u="1"/>
        <s v="September" u="1"/>
        <s v="October" u="1"/>
        <s v="November" u="1"/>
        <s v="December" u="1"/>
      </sharedItems>
    </cacheField>
    <cacheField name="Year" numFmtId="1">
      <sharedItems containsSemiMixedTypes="0" containsString="0" containsNumber="1" containsInteger="1" minValue="2023" maxValue="2025" count="3">
        <n v="2023"/>
        <n v="2024"/>
        <n v="2025"/>
      </sharedItems>
    </cacheField>
    <cacheField name="Manager" numFmtId="0">
      <sharedItems count="5">
        <s v="Jacob"/>
        <s v="Joseph"/>
        <s v="Liam"/>
        <s v="Isabella"/>
        <s v="Charlotte"/>
      </sharedItems>
    </cacheField>
    <cacheField name="Service" numFmtId="0">
      <sharedItems count="25">
        <s v="Dismantling the balcony block"/>
        <s v="Laying parquet boards with glue"/>
        <s v="Laying quartz vinyl tiles on a substrate"/>
        <s v="Laying parquet boards on a substrate"/>
        <s v="Laying solid boards"/>
        <s v="Installation of ceiling plinth"/>
        <s v="Cutting and installation of additional corners"/>
        <s v="Removing the front door"/>
        <s v="Removing the shower tray"/>
        <s v="Removing the sink"/>
        <s v="Dismantling the window block"/>
        <s v="Laying ceramic tiles, porcelain tiles on the floor with grout"/>
        <s v="Application of decorative plaster"/>
        <s v="Wallpapering"/>
        <s v="Laying plywood in 1 layer"/>
        <s v="Laying linoleum with glue"/>
        <s v="Removing the shower cabin"/>
        <s v="Installation of thermal vapor barrier of the ceiling"/>
        <s v="Laying quartz vinyl tiles with glue"/>
        <s v="Threshold installation"/>
        <s v="Production and installation of suspended ceilings (matte, glossy)"/>
        <s v="Wallpapering ceilings"/>
        <s v="Installation of PVC skirting boards"/>
        <s v="Installation of slatted ceilings"/>
        <s v="Removing an interior door"/>
      </sharedItems>
    </cacheField>
    <cacheField name="Cash" numFmtId="165">
      <sharedItems containsSemiMixedTypes="0" containsString="0" containsNumber="1" containsInteger="1" minValue="0" maxValue="30000"/>
    </cacheField>
    <cacheField name="Card" numFmtId="165">
      <sharedItems containsSemiMixedTypes="0" containsString="0" containsNumber="1" containsInteger="1" minValue="0" maxValue="35070"/>
    </cacheField>
    <cacheField name="Discount" numFmtId="9">
      <sharedItems containsString="0" containsBlank="1" containsNumber="1" minValue="0.05" maxValue="0.15"/>
    </cacheField>
    <cacheField name="Total" numFmtId="165">
      <sharedItems containsSemiMixedTypes="0" containsString="0" containsNumber="1" containsInteger="1" minValue="100" maxValue="35070"/>
    </cacheField>
    <cacheField name="Date of visit" numFmtId="14">
      <sharedItems containsSemiMixedTypes="0" containsNonDate="0" containsDate="1" containsString="0" minDate="2023-01-01T00:00:00" maxDate="2025-12-09T00:00:00"/>
    </cacheField>
    <cacheField name="Day of visit" numFmtId="1">
      <sharedItems containsSemiMixedTypes="0" containsString="0" containsNumber="1" containsInteger="1" minValue="1" maxValue="31"/>
    </cacheField>
    <cacheField name="Month of visit" numFmtId="168">
      <sharedItems/>
    </cacheField>
    <cacheField name="Year of visit" numFmtId="1">
      <sharedItems containsSemiMixedTypes="0" containsString="0" containsNumber="1" containsInteger="1" minValue="2023" maxValue="2025"/>
    </cacheField>
    <cacheField name="Visit time" numFmtId="18">
      <sharedItems containsSemiMixedTypes="0" containsNonDate="0" containsDate="1" containsString="0" minDate="1899-12-30T09:00:00" maxDate="1899-12-30T19:00:00"/>
    </cacheField>
    <cacheField name="Client" numFmtId="0">
      <sharedItems/>
    </cacheField>
    <cacheField name="City" numFmtId="20">
      <sharedItems/>
    </cacheField>
    <cacheField name="Address" numFmtId="0">
      <sharedItems/>
    </cacheField>
    <cacheField name="Master" numFmtId="0">
      <sharedItems count="6">
        <s v="Jack"/>
        <s v="William"/>
        <s v="James"/>
        <s v="Oliver"/>
        <s v="Lucas"/>
        <s v="Sofia"/>
      </sharedItems>
    </cacheField>
    <cacheField name="Contact" numFmtId="0">
      <sharedItems containsMixedTypes="1" containsNumber="1" containsInteger="1" minValue="1900888990" maxValue="60900888990"/>
    </cacheField>
    <cacheField name="Channel" numFmtId="0">
      <sharedItems count="5">
        <s v="Instagram"/>
        <s v="WhatsApp"/>
        <s v="Facebook"/>
        <s v="Reddit"/>
        <s v="YouTube"/>
      </sharedItems>
    </cacheField>
    <cacheField name="Status" numFmtId="0">
      <sharedItems count="3">
        <s v="Completed"/>
        <s v="Canceled"/>
        <s v="Running"/>
      </sharedItems>
    </cacheField>
    <cacheField name="Cost" numFmtId="0">
      <sharedItems containsSemiMixedTypes="0" containsString="0" containsNumber="1" containsInteger="1" minValue="57" maxValue="13669"/>
    </cacheField>
    <cacheField name="Client rating" numFmtId="0">
      <sharedItems containsString="0" containsBlank="1" containsNumber="1" containsInteger="1" minValue="2" maxValue="8"/>
    </cacheField>
    <cacheField name="Months (Registration Date)" numFmtId="0" databaseField="0">
      <fieldGroup base="0">
        <rangePr groupBy="months" startDate="2023-01-01T00:00:00" endDate="2025-12-09T00:00:00"/>
        <groupItems count="14">
          <s v="&lt;01.01.2023"/>
          <s v="Січ"/>
          <s v="Лют"/>
          <s v="Бер"/>
          <s v="Кві"/>
          <s v="Тра"/>
          <s v="Чер"/>
          <s v="Лип"/>
          <s v="Сер"/>
          <s v="Вер"/>
          <s v="Жов"/>
          <s v="Лис"/>
          <s v="Гру"/>
          <s v="&gt;09.12.2025"/>
        </groupItems>
      </fieldGroup>
    </cacheField>
    <cacheField name="Quarters (Registration Date)" numFmtId="0" databaseField="0">
      <fieldGroup base="0">
        <rangePr groupBy="quarters" startDate="2023-01-01T00:00:00" endDate="2025-12-09T00:00:00"/>
        <groupItems count="6">
          <s v="&lt;01.01.2023"/>
          <s v="Qtr1"/>
          <s v="Qtr2"/>
          <s v="Qtr3"/>
          <s v="Qtr4"/>
          <s v="&gt;09.12.2025"/>
        </groupItems>
      </fieldGroup>
    </cacheField>
    <cacheField name="Years (Registration Date)" numFmtId="0" databaseField="0">
      <fieldGroup base="0">
        <rangePr groupBy="years" startDate="2023-01-01T00:00:00" endDate="2025-12-09T00:00:00"/>
        <groupItems count="5">
          <s v="&lt;01.01.2023"/>
          <s v="2023"/>
          <s v="2024"/>
          <s v="2025"/>
          <s v="&gt;09.12.2025"/>
        </groupItems>
      </fieldGroup>
    </cacheField>
  </cacheFields>
  <extLst>
    <ext xmlns:x14="http://schemas.microsoft.com/office/spreadsheetml/2009/9/main" uri="{725AE2AE-9491-48be-B2B4-4EB974FC3084}">
      <x14:pivotCacheDefinition pivotCacheId="1267827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x v="0"/>
    <n v="1"/>
    <x v="0"/>
    <x v="0"/>
    <x v="0"/>
    <x v="0"/>
    <n v="4500"/>
    <n v="0"/>
    <m/>
    <n v="4500"/>
    <d v="2023-01-01T00:00:00"/>
    <n v="1"/>
    <s v="January"/>
    <n v="2023"/>
    <d v="1899-12-30T10:30:00"/>
    <s v="Client 1"/>
    <s v="Chikago"/>
    <s v="123 Elm Street, Apt. 4B"/>
    <x v="0"/>
    <s v="(917) 555-5616"/>
    <x v="0"/>
    <x v="0"/>
    <n v="5618"/>
    <n v="5"/>
  </r>
  <r>
    <x v="1"/>
    <n v="2"/>
    <x v="0"/>
    <x v="0"/>
    <x v="1"/>
    <x v="1"/>
    <n v="10000"/>
    <n v="0"/>
    <m/>
    <n v="10000"/>
    <d v="2023-01-02T00:00:00"/>
    <n v="2"/>
    <s v="January"/>
    <n v="2023"/>
    <d v="1899-12-30T10:00:00"/>
    <s v="Client 2"/>
    <s v="Chikago"/>
    <s v="456 Willow Avenue, Unit 7"/>
    <x v="1"/>
    <s v="(718) 555-8703"/>
    <x v="1"/>
    <x v="0"/>
    <n v="10619"/>
    <n v="4"/>
  </r>
  <r>
    <x v="2"/>
    <n v="3"/>
    <x v="0"/>
    <x v="0"/>
    <x v="2"/>
    <x v="2"/>
    <n v="5450"/>
    <n v="0"/>
    <m/>
    <n v="5450"/>
    <d v="2023-01-03T00:00:00"/>
    <n v="3"/>
    <s v="January"/>
    <n v="2023"/>
    <d v="1899-12-30T12:00:00"/>
    <s v="Client 3"/>
    <s v="New York"/>
    <s v="789 Oak Lane, Suite 12"/>
    <x v="2"/>
    <s v="(646) 555-2283"/>
    <x v="2"/>
    <x v="0"/>
    <n v="8931"/>
    <n v="4"/>
  </r>
  <r>
    <x v="3"/>
    <n v="4"/>
    <x v="0"/>
    <x v="0"/>
    <x v="3"/>
    <x v="3"/>
    <n v="6200"/>
    <n v="0"/>
    <m/>
    <n v="6200"/>
    <d v="2023-01-04T00:00:00"/>
    <n v="4"/>
    <s v="January"/>
    <n v="2023"/>
    <d v="1899-12-30T16:00:00"/>
    <s v="Client 4"/>
    <s v="Chikago"/>
    <s v="234 Pine Road, Apt. 3C"/>
    <x v="3"/>
    <s v="(212) 555-7828"/>
    <x v="3"/>
    <x v="0"/>
    <n v="11848"/>
    <n v="4"/>
  </r>
  <r>
    <x v="4"/>
    <n v="31"/>
    <x v="0"/>
    <x v="0"/>
    <x v="1"/>
    <x v="3"/>
    <n v="5000"/>
    <n v="6250"/>
    <m/>
    <n v="11250"/>
    <d v="2023-01-31T00:00:00"/>
    <n v="31"/>
    <s v="January"/>
    <n v="2023"/>
    <d v="1899-12-30T17:00:00"/>
    <s v="Client 5"/>
    <s v="Chikago"/>
    <s v="235 Pine Road, Apt. 3C"/>
    <x v="4"/>
    <s v="(212) 555-7829"/>
    <x v="0"/>
    <x v="0"/>
    <n v="2176"/>
    <n v="5"/>
  </r>
  <r>
    <x v="5"/>
    <n v="5"/>
    <x v="0"/>
    <x v="0"/>
    <x v="4"/>
    <x v="4"/>
    <n v="4000"/>
    <n v="0"/>
    <m/>
    <n v="4000"/>
    <d v="2023-01-05T00:00:00"/>
    <n v="5"/>
    <s v="January"/>
    <n v="2023"/>
    <d v="1899-12-30T10:30:00"/>
    <s v="Client 5"/>
    <s v="Chikago"/>
    <s v="567 Birch Street, Unit 8D"/>
    <x v="5"/>
    <s v="(917) 555-4259"/>
    <x v="0"/>
    <x v="0"/>
    <n v="10588"/>
    <n v="4"/>
  </r>
  <r>
    <x v="6"/>
    <n v="1"/>
    <x v="1"/>
    <x v="0"/>
    <x v="1"/>
    <x v="5"/>
    <n v="8600"/>
    <n v="0"/>
    <n v="0.05"/>
    <n v="8600"/>
    <d v="2023-02-01T00:00:00"/>
    <n v="1"/>
    <s v="February"/>
    <n v="2023"/>
    <d v="1899-12-30T10:30:00"/>
    <s v="Client 6"/>
    <s v="Chikago"/>
    <s v="890 Maple Drive, Apt. 2A"/>
    <x v="0"/>
    <s v="(718) 555-3394"/>
    <x v="1"/>
    <x v="0"/>
    <n v="10812"/>
    <n v="4"/>
  </r>
  <r>
    <x v="7"/>
    <n v="2"/>
    <x v="1"/>
    <x v="0"/>
    <x v="0"/>
    <x v="4"/>
    <n v="10000"/>
    <n v="0"/>
    <m/>
    <n v="10000"/>
    <d v="2023-02-02T00:00:00"/>
    <n v="2"/>
    <s v="February"/>
    <n v="2023"/>
    <d v="1899-12-30T10:00:00"/>
    <s v="Client 7"/>
    <s v="Chikago"/>
    <s v="345 Cedar Court, Suite 6E"/>
    <x v="1"/>
    <s v="(646) 555-6727"/>
    <x v="2"/>
    <x v="0"/>
    <n v="4615"/>
    <n v="4"/>
  </r>
  <r>
    <x v="8"/>
    <n v="28"/>
    <x v="1"/>
    <x v="0"/>
    <x v="4"/>
    <x v="4"/>
    <n v="0"/>
    <n v="14900"/>
    <m/>
    <n v="14900"/>
    <d v="2023-02-28T00:00:00"/>
    <n v="28"/>
    <s v="February"/>
    <n v="2023"/>
    <d v="1899-12-30T11:00:00"/>
    <s v="Client 8"/>
    <s v="Chikago"/>
    <s v="346 Cedar Court, Suite 6E"/>
    <x v="2"/>
    <s v="(646) 555-6728"/>
    <x v="2"/>
    <x v="0"/>
    <n v="5454"/>
    <n v="5"/>
  </r>
  <r>
    <x v="9"/>
    <n v="3"/>
    <x v="1"/>
    <x v="0"/>
    <x v="2"/>
    <x v="5"/>
    <n v="10300"/>
    <n v="0"/>
    <m/>
    <n v="10300"/>
    <d v="2023-02-03T00:00:00"/>
    <n v="3"/>
    <s v="February"/>
    <n v="2023"/>
    <d v="1899-12-30T12:00:00"/>
    <s v="Client 8"/>
    <s v="New York"/>
    <s v="678 Spruce Lane, Apt. 1F"/>
    <x v="3"/>
    <s v="(212) 555-9814"/>
    <x v="3"/>
    <x v="0"/>
    <n v="11688"/>
    <n v="4"/>
  </r>
  <r>
    <x v="10"/>
    <n v="4"/>
    <x v="1"/>
    <x v="0"/>
    <x v="3"/>
    <x v="5"/>
    <n v="10300"/>
    <n v="0"/>
    <m/>
    <n v="10300"/>
    <d v="2023-02-04T00:00:00"/>
    <n v="4"/>
    <s v="February"/>
    <n v="2023"/>
    <d v="1899-12-30T13:00:00"/>
    <s v="Client 9"/>
    <s v="New York"/>
    <s v="679 Spruce Lane, Apt. 1F"/>
    <x v="4"/>
    <s v="(212) 555-9815"/>
    <x v="0"/>
    <x v="0"/>
    <n v="6749"/>
    <n v="5"/>
  </r>
  <r>
    <x v="11"/>
    <n v="1"/>
    <x v="2"/>
    <x v="0"/>
    <x v="3"/>
    <x v="6"/>
    <n v="13000"/>
    <n v="0"/>
    <m/>
    <n v="13000"/>
    <d v="2023-03-01T00:00:00"/>
    <n v="1"/>
    <s v="March"/>
    <n v="2023"/>
    <d v="1899-12-30T16:00:00"/>
    <s v="Client 9"/>
    <s v="Chikago"/>
    <s v="1234 Redwood Road, Unit 5G"/>
    <x v="5"/>
    <s v="(917) 555-7828"/>
    <x v="0"/>
    <x v="0"/>
    <n v="9627"/>
    <n v="4"/>
  </r>
  <r>
    <x v="12"/>
    <n v="2"/>
    <x v="2"/>
    <x v="0"/>
    <x v="4"/>
    <x v="3"/>
    <n v="10000"/>
    <n v="0"/>
    <m/>
    <n v="10000"/>
    <d v="2023-03-02T00:00:00"/>
    <n v="2"/>
    <s v="March"/>
    <n v="2023"/>
    <d v="1899-12-30T10:30:00"/>
    <s v="Client 10"/>
    <s v="Chikago"/>
    <s v="5678 Juniper Street, Apt. 9H"/>
    <x v="3"/>
    <s v="(718) 555-2283"/>
    <x v="3"/>
    <x v="0"/>
    <n v="5190"/>
    <n v="4"/>
  </r>
  <r>
    <x v="13"/>
    <n v="3"/>
    <x v="2"/>
    <x v="0"/>
    <x v="1"/>
    <x v="0"/>
    <n v="2500"/>
    <n v="10000"/>
    <n v="0.1"/>
    <n v="12500"/>
    <d v="2023-03-03T00:00:00"/>
    <n v="3"/>
    <s v="March"/>
    <n v="2023"/>
    <d v="1899-12-30T10:30:00"/>
    <s v="Client 11"/>
    <s v="Chikago"/>
    <s v="987 Aspen Avenue, Suite 10I"/>
    <x v="4"/>
    <n v="60900888990"/>
    <x v="2"/>
    <x v="0"/>
    <n v="9051"/>
    <n v="4"/>
  </r>
  <r>
    <x v="14"/>
    <n v="4"/>
    <x v="2"/>
    <x v="0"/>
    <x v="0"/>
    <x v="7"/>
    <n v="0"/>
    <n v="6500"/>
    <m/>
    <n v="6500"/>
    <d v="2023-03-04T00:00:00"/>
    <n v="4"/>
    <s v="March"/>
    <n v="2023"/>
    <d v="1899-12-30T10:00:00"/>
    <s v="Client 12"/>
    <s v="New York"/>
    <s v="654 Pinecone Lane, Unit 11J"/>
    <x v="5"/>
    <s v="(212) 555-1173"/>
    <x v="3"/>
    <x v="0"/>
    <n v="12438"/>
    <n v="4"/>
  </r>
  <r>
    <x v="15"/>
    <n v="5"/>
    <x v="2"/>
    <x v="0"/>
    <x v="3"/>
    <x v="4"/>
    <n v="2000"/>
    <n v="0"/>
    <m/>
    <n v="2000"/>
    <d v="2023-03-05T00:00:00"/>
    <n v="5"/>
    <s v="March"/>
    <n v="2023"/>
    <d v="1899-12-30T11:00:00"/>
    <s v="Client 12"/>
    <s v="Chikago"/>
    <s v="320 Acorn Drive, Apt. 12K"/>
    <x v="0"/>
    <s v="(917) 555-5616"/>
    <x v="3"/>
    <x v="0"/>
    <n v="8956"/>
    <n v="4"/>
  </r>
  <r>
    <x v="16"/>
    <n v="31"/>
    <x v="2"/>
    <x v="0"/>
    <x v="2"/>
    <x v="4"/>
    <n v="12200"/>
    <n v="0"/>
    <m/>
    <n v="12200"/>
    <d v="2023-03-31T00:00:00"/>
    <n v="31"/>
    <s v="March"/>
    <n v="2023"/>
    <d v="1899-12-30T12:00:00"/>
    <s v="Client 13"/>
    <s v="Chikago"/>
    <s v="321 Acorn Drive, Apt. 12K"/>
    <x v="1"/>
    <s v="(917) 555-5617"/>
    <x v="0"/>
    <x v="0"/>
    <n v="3530"/>
    <n v="5"/>
  </r>
  <r>
    <x v="17"/>
    <n v="1"/>
    <x v="3"/>
    <x v="0"/>
    <x v="4"/>
    <x v="5"/>
    <n v="0"/>
    <n v="6540"/>
    <m/>
    <n v="6540"/>
    <d v="2023-04-01T00:00:00"/>
    <n v="1"/>
    <s v="April"/>
    <n v="2023"/>
    <d v="1899-12-30T16:00:00"/>
    <s v="Client 14"/>
    <s v="Miami"/>
    <s v="876 Sequoia Road, Suite 13L"/>
    <x v="2"/>
    <s v="(718) 555-8704"/>
    <x v="0"/>
    <x v="0"/>
    <n v="8029"/>
    <n v="5"/>
  </r>
  <r>
    <x v="18"/>
    <n v="2"/>
    <x v="3"/>
    <x v="0"/>
    <x v="1"/>
    <x v="8"/>
    <n v="0"/>
    <n v="4550"/>
    <n v="0.15"/>
    <n v="4550"/>
    <d v="2023-04-02T00:00:00"/>
    <n v="2"/>
    <s v="April"/>
    <n v="2023"/>
    <d v="1899-12-30T10:30:00"/>
    <s v="Client 15"/>
    <s v="Chikago"/>
    <s v="543 Willowbrook Lane, Apt. 14M"/>
    <x v="3"/>
    <s v="(646) 555-2284"/>
    <x v="0"/>
    <x v="0"/>
    <n v="6134"/>
    <n v="5"/>
  </r>
  <r>
    <x v="19"/>
    <n v="22"/>
    <x v="3"/>
    <x v="0"/>
    <x v="0"/>
    <x v="8"/>
    <n v="0"/>
    <n v="17710"/>
    <m/>
    <n v="17710"/>
    <d v="2023-04-22T00:00:00"/>
    <n v="22"/>
    <s v="April"/>
    <n v="2023"/>
    <d v="1899-12-30T11:30:00"/>
    <s v="Client 16"/>
    <s v="Chikago"/>
    <s v="544 Willowbrook Lane, Apt. 14M"/>
    <x v="4"/>
    <s v="(646) 555-2285"/>
    <x v="2"/>
    <x v="0"/>
    <n v="4243"/>
    <n v="5"/>
  </r>
  <r>
    <x v="20"/>
    <n v="23"/>
    <x v="3"/>
    <x v="0"/>
    <x v="3"/>
    <x v="8"/>
    <n v="10000"/>
    <n v="0"/>
    <m/>
    <n v="10000"/>
    <d v="2023-04-23T00:00:00"/>
    <n v="23"/>
    <s v="April"/>
    <n v="2023"/>
    <d v="1899-12-30T12:30:00"/>
    <s v="Client 17"/>
    <s v="Chikago"/>
    <s v="545 Willowbrook Lane, Apt. 14M"/>
    <x v="5"/>
    <s v="(646) 555-2286"/>
    <x v="3"/>
    <x v="0"/>
    <n v="10772"/>
    <n v="6"/>
  </r>
  <r>
    <x v="21"/>
    <n v="24"/>
    <x v="3"/>
    <x v="0"/>
    <x v="2"/>
    <x v="8"/>
    <n v="0"/>
    <n v="10000"/>
    <m/>
    <n v="10000"/>
    <d v="2023-04-24T00:00:00"/>
    <n v="24"/>
    <s v="April"/>
    <n v="2023"/>
    <d v="1899-12-30T13:30:00"/>
    <s v="Client 18"/>
    <s v="Chikago"/>
    <s v="546 Willowbrook Lane, Apt. 14M"/>
    <x v="0"/>
    <s v="(646) 555-2287"/>
    <x v="1"/>
    <x v="0"/>
    <n v="10784"/>
    <n v="7"/>
  </r>
  <r>
    <x v="22"/>
    <n v="1"/>
    <x v="4"/>
    <x v="0"/>
    <x v="4"/>
    <x v="0"/>
    <n v="0"/>
    <n v="8060"/>
    <n v="0.05"/>
    <n v="8060"/>
    <d v="2023-05-01T00:00:00"/>
    <n v="1"/>
    <s v="May"/>
    <n v="2023"/>
    <d v="1899-12-30T10:00:00"/>
    <s v="Client 16"/>
    <s v="Chikago"/>
    <s v="210 Magnolia Street, Unit 15N"/>
    <x v="1"/>
    <s v="(212) 555-7829"/>
    <x v="2"/>
    <x v="0"/>
    <n v="9985"/>
    <n v="5"/>
  </r>
  <r>
    <x v="23"/>
    <n v="2"/>
    <x v="4"/>
    <x v="0"/>
    <x v="1"/>
    <x v="1"/>
    <n v="0"/>
    <n v="2450"/>
    <m/>
    <n v="2450"/>
    <d v="2023-05-02T00:00:00"/>
    <n v="2"/>
    <s v="May"/>
    <n v="2023"/>
    <d v="1899-12-30T12:00:00"/>
    <s v="Client 17"/>
    <s v="Chikago"/>
    <s v="8765 Sycamore Court, Suite 16O"/>
    <x v="2"/>
    <s v="(917) 555-4260"/>
    <x v="3"/>
    <x v="0"/>
    <n v="7141"/>
    <n v="5"/>
  </r>
  <r>
    <x v="24"/>
    <n v="3"/>
    <x v="4"/>
    <x v="0"/>
    <x v="0"/>
    <x v="2"/>
    <n v="5000"/>
    <n v="890"/>
    <m/>
    <n v="5890"/>
    <d v="2023-05-03T00:00:00"/>
    <n v="3"/>
    <s v="May"/>
    <n v="2023"/>
    <d v="1899-12-30T16:00:00"/>
    <s v="Client 18"/>
    <s v="Chikago"/>
    <s v="4321 Cedarwood Drive, Apt. 17P"/>
    <x v="3"/>
    <s v="(718) 555-3395"/>
    <x v="1"/>
    <x v="0"/>
    <n v="9079"/>
    <n v="3"/>
  </r>
  <r>
    <x v="25"/>
    <n v="4"/>
    <x v="4"/>
    <x v="0"/>
    <x v="3"/>
    <x v="2"/>
    <n v="5000"/>
    <n v="0"/>
    <m/>
    <n v="5000"/>
    <d v="2023-05-04T00:00:00"/>
    <n v="4"/>
    <s v="May"/>
    <n v="2023"/>
    <d v="1899-12-30T17:00:00"/>
    <s v="Client 19"/>
    <s v="Chikago"/>
    <s v="4322 Cedarwood Drive, Apt. 17P"/>
    <x v="4"/>
    <s v="(718) 555-3396"/>
    <x v="1"/>
    <x v="0"/>
    <n v="7195"/>
    <n v="4"/>
  </r>
  <r>
    <x v="26"/>
    <n v="5"/>
    <x v="4"/>
    <x v="0"/>
    <x v="2"/>
    <x v="2"/>
    <n v="10000"/>
    <n v="0"/>
    <m/>
    <n v="10000"/>
    <d v="2023-05-05T00:00:00"/>
    <n v="5"/>
    <s v="May"/>
    <n v="2023"/>
    <d v="1899-12-30T18:00:00"/>
    <s v="Client 20"/>
    <s v="Chikago"/>
    <s v="4323 Cedarwood Drive, Apt. 17P"/>
    <x v="5"/>
    <s v="(718) 555-3397"/>
    <x v="1"/>
    <x v="0"/>
    <n v="1645"/>
    <n v="5"/>
  </r>
  <r>
    <x v="27"/>
    <n v="1"/>
    <x v="5"/>
    <x v="0"/>
    <x v="4"/>
    <x v="3"/>
    <n v="3200"/>
    <n v="0"/>
    <m/>
    <n v="3200"/>
    <d v="2023-06-01T00:00:00"/>
    <n v="1"/>
    <s v="June"/>
    <n v="2023"/>
    <d v="1899-12-30T10:30:00"/>
    <s v="Client 19"/>
    <s v="Chikago"/>
    <s v="123 Elm Street, Unit 18Q"/>
    <x v="0"/>
    <s v="(646) 555-6728"/>
    <x v="2"/>
    <x v="0"/>
    <n v="5595"/>
    <n v="3"/>
  </r>
  <r>
    <x v="28"/>
    <n v="2"/>
    <x v="5"/>
    <x v="0"/>
    <x v="1"/>
    <x v="6"/>
    <n v="5000"/>
    <n v="0"/>
    <m/>
    <n v="5000"/>
    <d v="2023-06-02T00:00:00"/>
    <n v="2"/>
    <s v="June"/>
    <n v="2023"/>
    <d v="1899-12-30T11:30:00"/>
    <s v="Client 20"/>
    <s v="Chikago"/>
    <s v="124 Elm Street, Unit 18Q"/>
    <x v="1"/>
    <s v="(646) 555-6729"/>
    <x v="1"/>
    <x v="0"/>
    <n v="9709"/>
    <n v="4"/>
  </r>
  <r>
    <x v="29"/>
    <n v="3"/>
    <x v="5"/>
    <x v="0"/>
    <x v="0"/>
    <x v="3"/>
    <n v="0"/>
    <n v="5000"/>
    <m/>
    <n v="5000"/>
    <d v="2023-06-03T00:00:00"/>
    <n v="3"/>
    <s v="June"/>
    <n v="2023"/>
    <d v="1899-12-30T12:30:00"/>
    <s v="Client 21"/>
    <s v="Chikago"/>
    <s v="125 Elm Street, Unit 18Q"/>
    <x v="2"/>
    <s v="(646) 555-6730"/>
    <x v="2"/>
    <x v="0"/>
    <n v="10307"/>
    <n v="5"/>
  </r>
  <r>
    <x v="30"/>
    <n v="4"/>
    <x v="5"/>
    <x v="0"/>
    <x v="3"/>
    <x v="8"/>
    <n v="0"/>
    <n v="5000"/>
    <m/>
    <n v="5000"/>
    <d v="2023-06-04T00:00:00"/>
    <n v="4"/>
    <s v="June"/>
    <n v="2023"/>
    <d v="1899-12-30T13:30:00"/>
    <s v="Client 22"/>
    <s v="Chikago"/>
    <s v="126 Elm Street, Unit 18Q"/>
    <x v="3"/>
    <s v="(646) 555-6731"/>
    <x v="3"/>
    <x v="0"/>
    <n v="6557"/>
    <n v="6"/>
  </r>
  <r>
    <x v="31"/>
    <n v="5"/>
    <x v="5"/>
    <x v="0"/>
    <x v="2"/>
    <x v="3"/>
    <n v="5000"/>
    <n v="0"/>
    <m/>
    <n v="5000"/>
    <d v="2023-06-05T00:00:00"/>
    <n v="5"/>
    <s v="June"/>
    <n v="2023"/>
    <d v="1899-12-30T14:30:00"/>
    <s v="Client 23"/>
    <s v="Chikago"/>
    <s v="127 Elm Street, Unit 18Q"/>
    <x v="4"/>
    <s v="(646) 555-6732"/>
    <x v="2"/>
    <x v="0"/>
    <n v="12381"/>
    <n v="7"/>
  </r>
  <r>
    <x v="32"/>
    <n v="1"/>
    <x v="6"/>
    <x v="0"/>
    <x v="4"/>
    <x v="4"/>
    <n v="8800"/>
    <n v="0"/>
    <m/>
    <n v="8800"/>
    <d v="2023-07-01T00:00:00"/>
    <n v="1"/>
    <s v="July"/>
    <n v="2023"/>
    <d v="1899-12-30T10:30:00"/>
    <s v="Client 20"/>
    <s v="Chikago"/>
    <s v="456 Birch Avenue, Suite 19R"/>
    <x v="5"/>
    <s v="(212) 555-9815"/>
    <x v="3"/>
    <x v="0"/>
    <n v="9211"/>
    <n v="3"/>
  </r>
  <r>
    <x v="33"/>
    <n v="2"/>
    <x v="6"/>
    <x v="0"/>
    <x v="1"/>
    <x v="5"/>
    <n v="4500"/>
    <n v="0"/>
    <m/>
    <n v="4500"/>
    <d v="2023-07-02T00:00:00"/>
    <n v="2"/>
    <s v="July"/>
    <n v="2023"/>
    <d v="1899-12-30T10:00:00"/>
    <s v="Client 21"/>
    <s v="New York"/>
    <s v="789 Oak Lane, Apt. 20S"/>
    <x v="0"/>
    <s v="(917) 555-7829"/>
    <x v="3"/>
    <x v="0"/>
    <n v="8933"/>
    <n v="3"/>
  </r>
  <r>
    <x v="34"/>
    <n v="3"/>
    <x v="6"/>
    <x v="0"/>
    <x v="0"/>
    <x v="4"/>
    <n v="6100"/>
    <n v="0"/>
    <n v="0.05"/>
    <n v="6100"/>
    <d v="2023-07-03T00:00:00"/>
    <n v="3"/>
    <s v="July"/>
    <n v="2023"/>
    <d v="1899-12-30T12:00:00"/>
    <s v="Client 22"/>
    <s v="Chikago"/>
    <s v="234 Maple Road, Unit 21T"/>
    <x v="1"/>
    <s v="(718) 555-2284"/>
    <x v="2"/>
    <x v="0"/>
    <n v="5412"/>
    <n v="3"/>
  </r>
  <r>
    <x v="35"/>
    <n v="4"/>
    <x v="6"/>
    <x v="0"/>
    <x v="3"/>
    <x v="5"/>
    <n v="600"/>
    <n v="10000"/>
    <m/>
    <n v="10600"/>
    <d v="2023-07-04T00:00:00"/>
    <n v="4"/>
    <s v="July"/>
    <n v="2023"/>
    <d v="1899-12-30T16:00:00"/>
    <s v="Client 23"/>
    <s v="Chikago"/>
    <s v="567 Pine Street, Suite 22U"/>
    <x v="2"/>
    <n v="59900888990"/>
    <x v="3"/>
    <x v="0"/>
    <n v="8575"/>
    <n v="2"/>
  </r>
  <r>
    <x v="36"/>
    <n v="31"/>
    <x v="6"/>
    <x v="0"/>
    <x v="2"/>
    <x v="5"/>
    <n v="800"/>
    <n v="4000"/>
    <n v="0.05"/>
    <n v="4800"/>
    <d v="2023-07-31T00:00:00"/>
    <n v="31"/>
    <s v="July"/>
    <n v="2023"/>
    <d v="1899-12-30T17:00:00"/>
    <s v="Client 24"/>
    <s v="Chikago"/>
    <s v="568 Pine Street, Suite 22U"/>
    <x v="3"/>
    <n v="59900888991"/>
    <x v="1"/>
    <x v="0"/>
    <n v="2526"/>
    <n v="3"/>
  </r>
  <r>
    <x v="37"/>
    <n v="1"/>
    <x v="7"/>
    <x v="0"/>
    <x v="4"/>
    <x v="6"/>
    <n v="5000"/>
    <n v="0"/>
    <m/>
    <n v="5000"/>
    <d v="2023-08-01T00:00:00"/>
    <n v="1"/>
    <s v="August"/>
    <n v="2023"/>
    <d v="1899-12-30T10:30:00"/>
    <s v="Client 24"/>
    <s v="Chikago"/>
    <s v="890 Willow Drive, Apt. 23V"/>
    <x v="4"/>
    <s v="(212) 555-1174"/>
    <x v="1"/>
    <x v="0"/>
    <n v="7602"/>
    <n v="3"/>
  </r>
  <r>
    <x v="38"/>
    <n v="8"/>
    <x v="7"/>
    <x v="0"/>
    <x v="1"/>
    <x v="7"/>
    <n v="17500"/>
    <n v="0"/>
    <m/>
    <n v="17500"/>
    <d v="2023-08-08T00:00:00"/>
    <n v="8"/>
    <s v="August"/>
    <n v="2023"/>
    <d v="1899-12-30T11:30:00"/>
    <s v="Client 25"/>
    <s v="Chikago"/>
    <s v="891 Willow Drive, Apt. 23V"/>
    <x v="5"/>
    <s v="(212) 555-1175"/>
    <x v="1"/>
    <x v="0"/>
    <n v="8515"/>
    <n v="4"/>
  </r>
  <r>
    <x v="39"/>
    <n v="9"/>
    <x v="7"/>
    <x v="0"/>
    <x v="0"/>
    <x v="6"/>
    <n v="15000"/>
    <n v="0"/>
    <m/>
    <n v="15000"/>
    <d v="2023-08-09T00:00:00"/>
    <n v="9"/>
    <s v="August"/>
    <n v="2023"/>
    <d v="1899-12-30T12:30:00"/>
    <s v="Client 26"/>
    <s v="Chikago"/>
    <s v="892 Willow Drive, Apt. 23V"/>
    <x v="0"/>
    <s v="(212) 555-1176"/>
    <x v="3"/>
    <x v="0"/>
    <n v="7694"/>
    <n v="5"/>
  </r>
  <r>
    <x v="40"/>
    <n v="10"/>
    <x v="7"/>
    <x v="0"/>
    <x v="3"/>
    <x v="0"/>
    <n v="0"/>
    <n v="14000"/>
    <m/>
    <n v="14000"/>
    <d v="2023-08-10T00:00:00"/>
    <n v="10"/>
    <s v="August"/>
    <n v="2023"/>
    <d v="1899-12-30T13:30:00"/>
    <s v="Client 27"/>
    <s v="Chikago"/>
    <s v="893 Willow Drive, Apt. 23V"/>
    <x v="1"/>
    <s v="(212) 555-1177"/>
    <x v="0"/>
    <x v="0"/>
    <n v="10465"/>
    <n v="6"/>
  </r>
  <r>
    <x v="41"/>
    <n v="11"/>
    <x v="7"/>
    <x v="0"/>
    <x v="2"/>
    <x v="6"/>
    <n v="16000"/>
    <n v="0"/>
    <m/>
    <n v="16000"/>
    <d v="2023-08-11T00:00:00"/>
    <n v="11"/>
    <s v="August"/>
    <n v="2023"/>
    <d v="1899-12-30T14:30:00"/>
    <s v="Client 28"/>
    <s v="Chikago"/>
    <s v="894 Willow Drive, Apt. 23V"/>
    <x v="2"/>
    <s v="(212) 555-1178"/>
    <x v="0"/>
    <x v="0"/>
    <n v="8589"/>
    <n v="7"/>
  </r>
  <r>
    <x v="42"/>
    <n v="1"/>
    <x v="8"/>
    <x v="0"/>
    <x v="4"/>
    <x v="5"/>
    <n v="25000"/>
    <n v="0"/>
    <m/>
    <n v="25000"/>
    <d v="2023-09-01T00:00:00"/>
    <n v="1"/>
    <s v="September"/>
    <n v="2023"/>
    <d v="1899-12-30T10:30:00"/>
    <s v="Client 25"/>
    <s v="Dallas"/>
    <s v="345 Redwood Lane, Unit 24W"/>
    <x v="3"/>
    <s v="(917) 555-5618"/>
    <x v="0"/>
    <x v="0"/>
    <n v="2780"/>
    <n v="4"/>
  </r>
  <r>
    <x v="43"/>
    <n v="20"/>
    <x v="8"/>
    <x v="0"/>
    <x v="1"/>
    <x v="3"/>
    <n v="20000"/>
    <n v="600"/>
    <m/>
    <n v="20600"/>
    <d v="2023-09-20T00:00:00"/>
    <n v="20"/>
    <s v="September"/>
    <n v="2023"/>
    <d v="1899-12-30T11:30:00"/>
    <s v="Client 26"/>
    <s v="Dallas"/>
    <s v="346 Redwood Lane, Unit 24W"/>
    <x v="4"/>
    <s v="(917) 555-5619"/>
    <x v="3"/>
    <x v="0"/>
    <n v="10134"/>
    <n v="5"/>
  </r>
  <r>
    <x v="44"/>
    <n v="21"/>
    <x v="8"/>
    <x v="0"/>
    <x v="0"/>
    <x v="0"/>
    <n v="16400"/>
    <n v="0"/>
    <m/>
    <n v="16400"/>
    <d v="2023-09-21T00:00:00"/>
    <n v="21"/>
    <s v="September"/>
    <n v="2023"/>
    <d v="1899-12-30T11:30:00"/>
    <s v="Client 26"/>
    <s v="Dallas"/>
    <s v="346 Redwood Lane, Unit 24W"/>
    <x v="5"/>
    <s v="(917) 555-5619"/>
    <x v="3"/>
    <x v="0"/>
    <n v="6743"/>
    <n v="5"/>
  </r>
  <r>
    <x v="45"/>
    <n v="22"/>
    <x v="8"/>
    <x v="0"/>
    <x v="3"/>
    <x v="3"/>
    <n v="0"/>
    <n v="10000"/>
    <m/>
    <n v="10000"/>
    <d v="2023-09-22T00:00:00"/>
    <n v="22"/>
    <s v="September"/>
    <n v="2023"/>
    <d v="1899-12-30T12:30:00"/>
    <s v="Client 27"/>
    <s v="Dallas"/>
    <s v="347 Redwood Lane, Unit 24W"/>
    <x v="0"/>
    <s v="(917) 555-5620"/>
    <x v="1"/>
    <x v="0"/>
    <n v="8349"/>
    <n v="6"/>
  </r>
  <r>
    <x v="46"/>
    <n v="23"/>
    <x v="8"/>
    <x v="0"/>
    <x v="2"/>
    <x v="3"/>
    <n v="0"/>
    <n v="10000"/>
    <m/>
    <n v="10000"/>
    <d v="2023-09-23T00:00:00"/>
    <n v="23"/>
    <s v="September"/>
    <n v="2023"/>
    <d v="1899-12-30T13:30:00"/>
    <s v="Client 28"/>
    <s v="Dallas"/>
    <s v="348 Redwood Lane, Unit 24W"/>
    <x v="1"/>
    <s v="(917) 555-5621"/>
    <x v="1"/>
    <x v="0"/>
    <n v="5970"/>
    <n v="7"/>
  </r>
  <r>
    <x v="47"/>
    <n v="5"/>
    <x v="9"/>
    <x v="0"/>
    <x v="4"/>
    <x v="0"/>
    <n v="15600"/>
    <n v="0"/>
    <n v="0.1"/>
    <n v="15600"/>
    <d v="2023-10-05T00:00:00"/>
    <n v="5"/>
    <s v="October"/>
    <n v="2023"/>
    <d v="1899-12-30T10:00:00"/>
    <s v="Client 26"/>
    <s v="New York"/>
    <s v="678 Spruce Street, Suite 25X"/>
    <x v="2"/>
    <s v="(718) 555-8705"/>
    <x v="4"/>
    <x v="0"/>
    <n v="13669"/>
    <n v="4"/>
  </r>
  <r>
    <x v="48"/>
    <n v="6"/>
    <x v="9"/>
    <x v="0"/>
    <x v="1"/>
    <x v="0"/>
    <n v="24800"/>
    <n v="0"/>
    <n v="0.15"/>
    <n v="24800"/>
    <d v="2023-10-06T00:00:00"/>
    <n v="6"/>
    <s v="October"/>
    <n v="2023"/>
    <d v="1899-12-30T11:00:00"/>
    <s v="Client 27"/>
    <s v="New York"/>
    <s v="679 Spruce Street, Suite 25X"/>
    <x v="3"/>
    <s v="(718) 555-8706"/>
    <x v="2"/>
    <x v="0"/>
    <n v="7635"/>
    <n v="5"/>
  </r>
  <r>
    <x v="49"/>
    <n v="7"/>
    <x v="9"/>
    <x v="0"/>
    <x v="0"/>
    <x v="5"/>
    <n v="0"/>
    <n v="10000"/>
    <n v="0.15"/>
    <n v="10000"/>
    <d v="2023-10-07T00:00:00"/>
    <n v="7"/>
    <s v="October"/>
    <n v="2023"/>
    <d v="1899-12-30T12:00:00"/>
    <s v="Client 28"/>
    <s v="New York"/>
    <s v="680 Spruce Street, Suite 25X"/>
    <x v="4"/>
    <s v="(718) 555-8707"/>
    <x v="1"/>
    <x v="0"/>
    <n v="6022"/>
    <n v="6"/>
  </r>
  <r>
    <x v="50"/>
    <n v="8"/>
    <x v="9"/>
    <x v="0"/>
    <x v="3"/>
    <x v="4"/>
    <n v="10000"/>
    <n v="0"/>
    <n v="0.15"/>
    <n v="10000"/>
    <d v="2023-10-08T00:00:00"/>
    <n v="8"/>
    <s v="October"/>
    <n v="2023"/>
    <d v="1899-12-30T13:00:00"/>
    <s v="Client 29"/>
    <s v="New York"/>
    <s v="681 Spruce Street, Suite 25X"/>
    <x v="5"/>
    <s v="(718) 555-8708"/>
    <x v="2"/>
    <x v="0"/>
    <n v="7460"/>
    <n v="7"/>
  </r>
  <r>
    <x v="51"/>
    <n v="9"/>
    <x v="9"/>
    <x v="0"/>
    <x v="2"/>
    <x v="0"/>
    <n v="0"/>
    <n v="10000"/>
    <n v="0.15"/>
    <n v="10000"/>
    <d v="2023-10-09T00:00:00"/>
    <n v="9"/>
    <s v="October"/>
    <n v="2023"/>
    <d v="1899-12-30T14:00:00"/>
    <s v="Client 30"/>
    <s v="New York"/>
    <s v="682 Spruce Street, Suite 25X"/>
    <x v="0"/>
    <s v="(718) 555-8709"/>
    <x v="2"/>
    <x v="0"/>
    <n v="7311"/>
    <n v="8"/>
  </r>
  <r>
    <x v="52"/>
    <n v="1"/>
    <x v="10"/>
    <x v="0"/>
    <x v="4"/>
    <x v="7"/>
    <n v="5800"/>
    <n v="0"/>
    <n v="0.1"/>
    <n v="5800"/>
    <d v="2023-11-01T00:00:00"/>
    <n v="1"/>
    <s v="November"/>
    <n v="2023"/>
    <d v="1899-12-30T12:00:00"/>
    <s v="Client 27"/>
    <s v="Chikago"/>
    <s v="1234 Aspen Road, Apt. 26Y"/>
    <x v="1"/>
    <s v="(646) 555-2285"/>
    <x v="3"/>
    <x v="0"/>
    <n v="9475"/>
    <n v="5"/>
  </r>
  <r>
    <x v="53"/>
    <n v="2"/>
    <x v="10"/>
    <x v="0"/>
    <x v="1"/>
    <x v="4"/>
    <n v="9000"/>
    <n v="0"/>
    <m/>
    <n v="9000"/>
    <d v="2023-11-02T00:00:00"/>
    <n v="2"/>
    <s v="November"/>
    <n v="2023"/>
    <d v="1899-12-30T16:00:00"/>
    <s v="Client 28"/>
    <s v="Chikago"/>
    <s v="5678 Cedar Drive, Unit 27Z"/>
    <x v="2"/>
    <s v="(212) 555-7830"/>
    <x v="3"/>
    <x v="0"/>
    <n v="12793"/>
    <n v="4"/>
  </r>
  <r>
    <x v="54"/>
    <n v="3"/>
    <x v="10"/>
    <x v="0"/>
    <x v="0"/>
    <x v="5"/>
    <n v="10000"/>
    <n v="890"/>
    <m/>
    <n v="10890"/>
    <d v="2023-11-03T00:00:00"/>
    <n v="3"/>
    <s v="November"/>
    <n v="2023"/>
    <d v="1899-12-30T10:30:00"/>
    <s v="Client 29"/>
    <s v="Chikago"/>
    <s v="987 Pinecone Avenue, Suite 28AA"/>
    <x v="3"/>
    <s v="(917) 555-4261"/>
    <x v="2"/>
    <x v="0"/>
    <n v="7526"/>
    <n v="3"/>
  </r>
  <r>
    <x v="55"/>
    <n v="4"/>
    <x v="10"/>
    <x v="0"/>
    <x v="3"/>
    <x v="8"/>
    <n v="7000"/>
    <n v="100"/>
    <m/>
    <n v="7100"/>
    <d v="2023-11-04T00:00:00"/>
    <n v="4"/>
    <s v="November"/>
    <n v="2023"/>
    <d v="1899-12-30T16:00:00"/>
    <s v="Client 30"/>
    <s v="New York"/>
    <s v="654 Magnolia Lane, Apt. 29BB"/>
    <x v="4"/>
    <s v="(718) 555-3396"/>
    <x v="3"/>
    <x v="0"/>
    <n v="8890"/>
    <n v="4"/>
  </r>
  <r>
    <x v="56"/>
    <n v="30"/>
    <x v="10"/>
    <x v="0"/>
    <x v="2"/>
    <x v="8"/>
    <n v="0"/>
    <n v="21910"/>
    <m/>
    <n v="21910"/>
    <d v="2023-11-30T00:00:00"/>
    <n v="30"/>
    <s v="November"/>
    <n v="2023"/>
    <d v="1899-12-30T17:00:00"/>
    <s v="Client 31"/>
    <s v="New York"/>
    <s v="655 Magnolia Lane, Apt. 29BB"/>
    <x v="5"/>
    <s v="(718) 555-3397"/>
    <x v="4"/>
    <x v="0"/>
    <n v="6470"/>
    <n v="5"/>
  </r>
  <r>
    <x v="57"/>
    <n v="1"/>
    <x v="11"/>
    <x v="0"/>
    <x v="3"/>
    <x v="0"/>
    <n v="0"/>
    <n v="900"/>
    <n v="0.15"/>
    <n v="900"/>
    <d v="2023-12-01T00:00:00"/>
    <n v="1"/>
    <s v="December"/>
    <n v="2023"/>
    <d v="1899-12-30T10:00:00"/>
    <s v="Client 43"/>
    <s v="Chikago"/>
    <s v="345 Spruce Street, Suite 42OO"/>
    <x v="0"/>
    <s v="(646) 555-6730"/>
    <x v="0"/>
    <x v="0"/>
    <n v="1420"/>
    <n v="5"/>
  </r>
  <r>
    <x v="57"/>
    <n v="1"/>
    <x v="11"/>
    <x v="0"/>
    <x v="0"/>
    <x v="7"/>
    <n v="2000"/>
    <n v="0"/>
    <m/>
    <n v="2000"/>
    <d v="2023-12-01T00:00:00"/>
    <n v="1"/>
    <s v="December"/>
    <n v="2023"/>
    <d v="1899-12-30T12:00:00"/>
    <s v="Client 44"/>
    <s v="New York"/>
    <s v="678 Aspen Avenue, Unit 43PP"/>
    <x v="1"/>
    <s v="(212) 555-9817"/>
    <x v="3"/>
    <x v="0"/>
    <n v="435"/>
    <n v="5"/>
  </r>
  <r>
    <x v="57"/>
    <n v="1"/>
    <x v="11"/>
    <x v="0"/>
    <x v="3"/>
    <x v="4"/>
    <n v="0"/>
    <n v="2130"/>
    <m/>
    <n v="2130"/>
    <d v="2023-12-01T00:00:00"/>
    <n v="1"/>
    <s v="December"/>
    <n v="2023"/>
    <d v="1899-12-30T16:00:00"/>
    <s v="Client 45"/>
    <s v="Chikago"/>
    <s v="1234 Sequoia Road, Apt. 44QQ"/>
    <x v="2"/>
    <s v="(917) 555-7831"/>
    <x v="1"/>
    <x v="0"/>
    <n v="4649"/>
    <n v="5"/>
  </r>
  <r>
    <x v="57"/>
    <n v="1"/>
    <x v="11"/>
    <x v="0"/>
    <x v="4"/>
    <x v="5"/>
    <n v="160"/>
    <n v="0"/>
    <m/>
    <n v="160"/>
    <d v="2023-12-01T00:00:00"/>
    <n v="1"/>
    <s v="December"/>
    <n v="2023"/>
    <d v="1899-12-30T18:00:00"/>
    <s v="Client 46"/>
    <s v="New York"/>
    <s v="5678 Willowbrook Drive, Suite 45RR"/>
    <x v="3"/>
    <s v="(718) 555-2286"/>
    <x v="4"/>
    <x v="0"/>
    <n v="445"/>
    <n v="4"/>
  </r>
  <r>
    <x v="58"/>
    <n v="8"/>
    <x v="11"/>
    <x v="0"/>
    <x v="3"/>
    <x v="8"/>
    <n v="3510"/>
    <n v="0"/>
    <m/>
    <n v="3510"/>
    <d v="2023-12-08T00:00:00"/>
    <n v="8"/>
    <s v="December"/>
    <n v="2023"/>
    <d v="1899-12-30T10:00:00"/>
    <s v="Client 47"/>
    <s v="Chikago"/>
    <s v="987 Acorn Street, Unit 46SS"/>
    <x v="4"/>
    <n v="57900888990"/>
    <x v="0"/>
    <x v="0"/>
    <n v="1176"/>
    <n v="4"/>
  </r>
  <r>
    <x v="59"/>
    <n v="9"/>
    <x v="11"/>
    <x v="0"/>
    <x v="1"/>
    <x v="7"/>
    <n v="3510"/>
    <n v="0"/>
    <m/>
    <n v="3510"/>
    <d v="2023-12-09T00:00:00"/>
    <n v="9"/>
    <s v="December"/>
    <n v="2023"/>
    <d v="1899-12-30T12:00:00"/>
    <s v="Client 48"/>
    <s v="Chikago"/>
    <s v="654 Sycamore Avenue, Apt. 47TT"/>
    <x v="5"/>
    <s v="(212) 555-1176"/>
    <x v="2"/>
    <x v="0"/>
    <n v="5422"/>
    <n v="4"/>
  </r>
  <r>
    <x v="60"/>
    <n v="10"/>
    <x v="11"/>
    <x v="0"/>
    <x v="2"/>
    <x v="9"/>
    <n v="2540"/>
    <n v="0"/>
    <m/>
    <n v="2540"/>
    <d v="2023-12-10T00:00:00"/>
    <n v="10"/>
    <s v="December"/>
    <n v="2023"/>
    <d v="1899-12-30T16:00:00"/>
    <s v="Client 49"/>
    <s v="Chikago"/>
    <s v="321 Cedarwood Lane, Suite 48UU"/>
    <x v="0"/>
    <s v="(917) 555-5620"/>
    <x v="1"/>
    <x v="0"/>
    <n v="8920"/>
    <n v="4"/>
  </r>
  <r>
    <x v="61"/>
    <n v="11"/>
    <x v="11"/>
    <x v="0"/>
    <x v="3"/>
    <x v="10"/>
    <n v="0"/>
    <n v="1420"/>
    <m/>
    <n v="1420"/>
    <d v="2023-12-11T00:00:00"/>
    <n v="11"/>
    <s v="December"/>
    <n v="2023"/>
    <d v="1899-12-30T18:00:00"/>
    <s v="Client 50"/>
    <s v="New York"/>
    <s v="876 Elm Drive, Unit 49VV"/>
    <x v="1"/>
    <s v="(718) 555-8707"/>
    <x v="3"/>
    <x v="0"/>
    <n v="3759"/>
    <n v="4"/>
  </r>
  <r>
    <x v="62"/>
    <n v="12"/>
    <x v="11"/>
    <x v="0"/>
    <x v="3"/>
    <x v="11"/>
    <n v="2090"/>
    <n v="0"/>
    <m/>
    <n v="2090"/>
    <d v="2023-12-12T00:00:00"/>
    <n v="12"/>
    <s v="December"/>
    <n v="2023"/>
    <d v="1899-12-30T10:00:00"/>
    <s v="Client 51"/>
    <s v="Chikago"/>
    <s v="543 Birch Road, Apt. 50WW"/>
    <x v="2"/>
    <s v="(646) 555-2287"/>
    <x v="4"/>
    <x v="0"/>
    <n v="2059"/>
    <n v="4"/>
  </r>
  <r>
    <x v="63"/>
    <n v="13"/>
    <x v="11"/>
    <x v="0"/>
    <x v="4"/>
    <x v="7"/>
    <n v="3190"/>
    <n v="0"/>
    <m/>
    <n v="3190"/>
    <d v="2023-12-13T00:00:00"/>
    <n v="13"/>
    <s v="December"/>
    <n v="2023"/>
    <d v="1899-12-30T12:00:00"/>
    <s v="Client 52"/>
    <s v="Chikago"/>
    <s v="210 Oak Lane, Suite 51XX"/>
    <x v="3"/>
    <s v="(212) 555-7832"/>
    <x v="4"/>
    <x v="0"/>
    <n v="3898"/>
    <n v="4"/>
  </r>
  <r>
    <x v="63"/>
    <n v="13"/>
    <x v="11"/>
    <x v="0"/>
    <x v="3"/>
    <x v="12"/>
    <n v="1280"/>
    <n v="0"/>
    <m/>
    <n v="1280"/>
    <d v="2023-12-13T00:00:00"/>
    <n v="13"/>
    <s v="December"/>
    <n v="2023"/>
    <d v="1899-12-30T16:00:00"/>
    <s v="Client 53"/>
    <s v="Chikago"/>
    <s v="8765 Maple Street, Unit 52YY"/>
    <x v="4"/>
    <s v="(917) 555-4263"/>
    <x v="3"/>
    <x v="0"/>
    <n v="1552"/>
    <n v="4"/>
  </r>
  <r>
    <x v="63"/>
    <n v="13"/>
    <x v="11"/>
    <x v="0"/>
    <x v="0"/>
    <x v="4"/>
    <n v="0"/>
    <n v="3610"/>
    <m/>
    <n v="3610"/>
    <d v="2023-12-13T00:00:00"/>
    <n v="13"/>
    <s v="December"/>
    <n v="2023"/>
    <d v="1899-12-30T18:00:00"/>
    <s v="Client 54"/>
    <s v="Chikago"/>
    <s v="4321 Pine Street, Apt. 53ZZ"/>
    <x v="5"/>
    <s v="(718) 555-3398"/>
    <x v="1"/>
    <x v="0"/>
    <n v="790"/>
    <n v="4"/>
  </r>
  <r>
    <x v="63"/>
    <n v="13"/>
    <x v="11"/>
    <x v="0"/>
    <x v="2"/>
    <x v="12"/>
    <n v="3320"/>
    <n v="0"/>
    <n v="0.15"/>
    <n v="3320"/>
    <d v="2023-12-13T00:00:00"/>
    <n v="13"/>
    <s v="December"/>
    <n v="2023"/>
    <d v="1899-12-30T10:00:00"/>
    <s v="Client 55"/>
    <s v="Chikago"/>
    <s v="123 Redwood Avenue, Suite 54AAA"/>
    <x v="0"/>
    <s v="(646) 555-6731"/>
    <x v="3"/>
    <x v="0"/>
    <n v="937"/>
    <n v="4"/>
  </r>
  <r>
    <x v="64"/>
    <n v="14"/>
    <x v="11"/>
    <x v="0"/>
    <x v="3"/>
    <x v="13"/>
    <n v="2960"/>
    <n v="0"/>
    <m/>
    <n v="2960"/>
    <d v="2023-12-14T00:00:00"/>
    <n v="14"/>
    <s v="December"/>
    <n v="2023"/>
    <d v="1899-12-30T12:00:00"/>
    <s v="Client 56"/>
    <s v="Chikago"/>
    <s v="456 Willow Lane, Unit 55BBB"/>
    <x v="1"/>
    <s v="(212) 555-9818"/>
    <x v="4"/>
    <x v="1"/>
    <n v="5669"/>
    <m/>
  </r>
  <r>
    <x v="65"/>
    <n v="15"/>
    <x v="11"/>
    <x v="0"/>
    <x v="3"/>
    <x v="7"/>
    <n v="2130"/>
    <n v="0"/>
    <m/>
    <n v="2130"/>
    <d v="2023-12-15T00:00:00"/>
    <n v="15"/>
    <s v="December"/>
    <n v="2023"/>
    <d v="1899-12-30T16:00:00"/>
    <s v="Client 57"/>
    <s v="New York"/>
    <s v="789 Magnolia Road, Apt. 56CCC"/>
    <x v="2"/>
    <s v="(917) 555-7832"/>
    <x v="4"/>
    <x v="0"/>
    <n v="4619"/>
    <n v="4"/>
  </r>
  <r>
    <x v="66"/>
    <n v="16"/>
    <x v="11"/>
    <x v="0"/>
    <x v="4"/>
    <x v="6"/>
    <n v="1420"/>
    <n v="0"/>
    <m/>
    <n v="1420"/>
    <d v="2023-12-16T00:00:00"/>
    <n v="16"/>
    <s v="December"/>
    <n v="2023"/>
    <d v="1899-12-30T18:00:00"/>
    <s v="Client 58"/>
    <s v="Chikago"/>
    <s v="234 Sequoia Street, Suite 57DDD"/>
    <x v="3"/>
    <s v="(718) 555-2287"/>
    <x v="3"/>
    <x v="0"/>
    <n v="2614"/>
    <n v="5"/>
  </r>
  <r>
    <x v="61"/>
    <n v="11"/>
    <x v="11"/>
    <x v="0"/>
    <x v="3"/>
    <x v="6"/>
    <n v="890"/>
    <n v="0"/>
    <m/>
    <n v="890"/>
    <d v="2023-12-11T00:00:00"/>
    <n v="11"/>
    <s v="December"/>
    <n v="2023"/>
    <d v="1899-12-30T10:00:00"/>
    <s v="Client 59"/>
    <s v="Chikago"/>
    <s v="567 Willowbrook Drive, Unit 58EEE"/>
    <x v="4"/>
    <n v="56900888990"/>
    <x v="4"/>
    <x v="0"/>
    <n v="7108"/>
    <n v="5"/>
  </r>
  <r>
    <x v="67"/>
    <n v="18"/>
    <x v="11"/>
    <x v="0"/>
    <x v="1"/>
    <x v="1"/>
    <n v="190"/>
    <n v="0"/>
    <m/>
    <n v="190"/>
    <d v="2023-12-18T00:00:00"/>
    <n v="18"/>
    <s v="December"/>
    <n v="2023"/>
    <d v="1899-12-30T12:00:00"/>
    <s v="Client 60"/>
    <s v="Chikago"/>
    <s v="890 Acorn Avenue, Apt. 59FFF"/>
    <x v="5"/>
    <s v="(212) 555-1177"/>
    <x v="1"/>
    <x v="0"/>
    <n v="1773"/>
    <n v="5"/>
  </r>
  <r>
    <x v="68"/>
    <n v="19"/>
    <x v="11"/>
    <x v="0"/>
    <x v="2"/>
    <x v="12"/>
    <n v="1310"/>
    <n v="0"/>
    <n v="0.15"/>
    <n v="1310"/>
    <d v="2023-12-19T00:00:00"/>
    <n v="19"/>
    <s v="December"/>
    <n v="2023"/>
    <d v="1899-12-30T16:00:00"/>
    <s v="Client 61"/>
    <s v="Chikago"/>
    <s v="345 Sycamore Lane, Suite 60GGG"/>
    <x v="0"/>
    <s v="(917) 555-5621"/>
    <x v="2"/>
    <x v="0"/>
    <n v="308"/>
    <n v="5"/>
  </r>
  <r>
    <x v="68"/>
    <n v="19"/>
    <x v="11"/>
    <x v="0"/>
    <x v="3"/>
    <x v="5"/>
    <n v="1610"/>
    <n v="0"/>
    <m/>
    <n v="1610"/>
    <d v="2023-12-19T00:00:00"/>
    <n v="19"/>
    <s v="December"/>
    <n v="2023"/>
    <d v="1899-12-30T18:00:00"/>
    <s v="Client 62"/>
    <s v="New York"/>
    <s v="678 Cedarwood Road, Unit 61HHH"/>
    <x v="1"/>
    <s v="(718) 555-8708"/>
    <x v="0"/>
    <x v="0"/>
    <n v="1589"/>
    <n v="5"/>
  </r>
  <r>
    <x v="69"/>
    <n v="20"/>
    <x v="11"/>
    <x v="0"/>
    <x v="4"/>
    <x v="14"/>
    <n v="0"/>
    <n v="1960"/>
    <m/>
    <n v="1960"/>
    <d v="2023-12-20T00:00:00"/>
    <n v="20"/>
    <s v="December"/>
    <n v="2023"/>
    <d v="1899-12-30T10:00:00"/>
    <s v="Client 63"/>
    <s v="Chikago"/>
    <s v="123 Elm Street, Apt. 62III"/>
    <x v="2"/>
    <s v="(646) 555-2288"/>
    <x v="2"/>
    <x v="0"/>
    <n v="4908"/>
    <n v="5"/>
  </r>
  <r>
    <x v="70"/>
    <n v="21"/>
    <x v="11"/>
    <x v="0"/>
    <x v="0"/>
    <x v="15"/>
    <n v="0"/>
    <n v="1560"/>
    <m/>
    <n v="1560"/>
    <d v="2023-12-21T00:00:00"/>
    <n v="21"/>
    <s v="December"/>
    <n v="2023"/>
    <d v="1899-12-30T12:00:00"/>
    <s v="Client 64"/>
    <s v="Chikago"/>
    <s v="456 Birch Avenue, Suite 63JJJ"/>
    <x v="3"/>
    <s v="(212) 555-7833"/>
    <x v="4"/>
    <x v="0"/>
    <n v="2409"/>
    <n v="3"/>
  </r>
  <r>
    <x v="71"/>
    <n v="22"/>
    <x v="11"/>
    <x v="0"/>
    <x v="1"/>
    <x v="9"/>
    <n v="2960"/>
    <n v="0"/>
    <m/>
    <n v="2960"/>
    <d v="2023-12-22T00:00:00"/>
    <n v="22"/>
    <s v="December"/>
    <n v="2023"/>
    <d v="1899-12-30T16:00:00"/>
    <s v="Client 65"/>
    <s v="New York"/>
    <s v="789 Oak Lane, Unit 64KKK"/>
    <x v="4"/>
    <s v="(917) 555-4264"/>
    <x v="3"/>
    <x v="0"/>
    <n v="3730"/>
    <n v="3"/>
  </r>
  <r>
    <x v="72"/>
    <n v="23"/>
    <x v="11"/>
    <x v="0"/>
    <x v="3"/>
    <x v="7"/>
    <n v="1520"/>
    <n v="0"/>
    <m/>
    <n v="1520"/>
    <d v="2023-12-23T00:00:00"/>
    <n v="23"/>
    <s v="December"/>
    <n v="2023"/>
    <d v="1899-12-30T18:00:00"/>
    <s v="Client 66"/>
    <s v="Chikago"/>
    <s v="234 Maple Road, Apt. 65LLL"/>
    <x v="5"/>
    <s v="(718) 555-3399"/>
    <x v="1"/>
    <x v="0"/>
    <n v="842"/>
    <n v="2"/>
  </r>
  <r>
    <x v="72"/>
    <n v="23"/>
    <x v="11"/>
    <x v="0"/>
    <x v="4"/>
    <x v="0"/>
    <n v="1290"/>
    <n v="0"/>
    <m/>
    <n v="1290"/>
    <d v="2023-12-23T00:00:00"/>
    <n v="23"/>
    <s v="December"/>
    <n v="2023"/>
    <d v="1899-12-30T10:00:00"/>
    <s v="Client 67"/>
    <s v="Chikago"/>
    <s v="567 Pine Street, Suite 66MMM"/>
    <x v="0"/>
    <s v="(646) 555-6732"/>
    <x v="4"/>
    <x v="0"/>
    <n v="4817"/>
    <n v="3"/>
  </r>
  <r>
    <x v="72"/>
    <n v="23"/>
    <x v="11"/>
    <x v="0"/>
    <x v="3"/>
    <x v="1"/>
    <n v="1410"/>
    <n v="0"/>
    <m/>
    <n v="1410"/>
    <d v="2023-12-23T00:00:00"/>
    <n v="23"/>
    <s v="December"/>
    <n v="2023"/>
    <d v="1899-12-30T12:00:00"/>
    <s v="Client 68"/>
    <s v="Chikago"/>
    <s v="890 Willow Drive, Unit 67NNN"/>
    <x v="1"/>
    <s v="(212) 555-9819"/>
    <x v="0"/>
    <x v="0"/>
    <n v="5484"/>
    <n v="4"/>
  </r>
  <r>
    <x v="73"/>
    <n v="24"/>
    <x v="11"/>
    <x v="0"/>
    <x v="0"/>
    <x v="2"/>
    <n v="1250"/>
    <n v="0"/>
    <m/>
    <n v="1250"/>
    <d v="2023-12-24T00:00:00"/>
    <n v="24"/>
    <s v="December"/>
    <n v="2023"/>
    <d v="1899-12-30T16:00:00"/>
    <s v="Client 69"/>
    <s v="Chikago"/>
    <s v="345 Redwood Lane, Apt. 68OOO"/>
    <x v="2"/>
    <s v="(917) 555-7833"/>
    <x v="2"/>
    <x v="0"/>
    <n v="614"/>
    <n v="3"/>
  </r>
  <r>
    <x v="74"/>
    <n v="25"/>
    <x v="11"/>
    <x v="0"/>
    <x v="2"/>
    <x v="3"/>
    <n v="1100"/>
    <n v="0"/>
    <m/>
    <n v="1100"/>
    <d v="2023-12-25T00:00:00"/>
    <n v="25"/>
    <s v="December"/>
    <n v="2023"/>
    <d v="1899-12-30T18:00:00"/>
    <s v="Client 70"/>
    <s v="New York"/>
    <s v="678 Spruce Street, Suite 69PPP"/>
    <x v="3"/>
    <s v="(718) 555-2288"/>
    <x v="1"/>
    <x v="0"/>
    <n v="57"/>
    <n v="4"/>
  </r>
  <r>
    <x v="75"/>
    <n v="26"/>
    <x v="11"/>
    <x v="0"/>
    <x v="3"/>
    <x v="4"/>
    <n v="0"/>
    <n v="1140"/>
    <m/>
    <n v="1140"/>
    <d v="2023-12-26T00:00:00"/>
    <n v="26"/>
    <s v="December"/>
    <n v="2023"/>
    <d v="1899-12-30T10:00:00"/>
    <s v="Client 71"/>
    <s v="Chikago"/>
    <s v="1234 Aspen Road, Unit 70QQQ"/>
    <x v="4"/>
    <n v="55900888990"/>
    <x v="3"/>
    <x v="0"/>
    <n v="8060"/>
    <n v="5"/>
  </r>
  <r>
    <x v="70"/>
    <n v="21"/>
    <x v="11"/>
    <x v="0"/>
    <x v="4"/>
    <x v="5"/>
    <n v="0"/>
    <n v="2810"/>
    <m/>
    <n v="2810"/>
    <d v="2023-12-21T00:00:00"/>
    <n v="21"/>
    <s v="December"/>
    <n v="2023"/>
    <d v="1899-12-30T12:00:00"/>
    <s v="Client 72"/>
    <s v="Chikago"/>
    <s v="5678 Cedar Drive, Apt. 71RRR"/>
    <x v="5"/>
    <s v="(212) 555-1178"/>
    <x v="4"/>
    <x v="0"/>
    <n v="349"/>
    <n v="4"/>
  </r>
  <r>
    <x v="76"/>
    <n v="28"/>
    <x v="11"/>
    <x v="0"/>
    <x v="1"/>
    <x v="7"/>
    <n v="0"/>
    <n v="2680"/>
    <m/>
    <n v="2680"/>
    <d v="2023-12-28T00:00:00"/>
    <n v="28"/>
    <s v="December"/>
    <n v="2023"/>
    <d v="1899-12-30T16:00:00"/>
    <s v="Client 73"/>
    <s v="Chikago"/>
    <s v="987 Pinecone Avenue, Suite 72SSS"/>
    <x v="0"/>
    <s v="(917) 555-5622"/>
    <x v="4"/>
    <x v="0"/>
    <n v="1619"/>
    <n v="5"/>
  </r>
  <r>
    <x v="76"/>
    <n v="28"/>
    <x v="11"/>
    <x v="0"/>
    <x v="3"/>
    <x v="5"/>
    <n v="0"/>
    <n v="220"/>
    <m/>
    <n v="220"/>
    <d v="2023-12-28T00:00:00"/>
    <n v="28"/>
    <s v="December"/>
    <n v="2023"/>
    <d v="1899-12-30T18:00:00"/>
    <s v="Client 74"/>
    <s v="New York"/>
    <s v="654 Magnolia Lane, Unit 73TTT"/>
    <x v="1"/>
    <s v="(718) 555-8709"/>
    <x v="3"/>
    <x v="1"/>
    <n v="769"/>
    <m/>
  </r>
  <r>
    <x v="76"/>
    <n v="28"/>
    <x v="11"/>
    <x v="0"/>
    <x v="4"/>
    <x v="6"/>
    <n v="0"/>
    <n v="430"/>
    <n v="0.15"/>
    <n v="430"/>
    <d v="2023-12-28T00:00:00"/>
    <n v="28"/>
    <s v="December"/>
    <n v="2023"/>
    <d v="1899-12-30T10:00:00"/>
    <s v="Client 75"/>
    <s v="Chikago"/>
    <s v="321 Sequoia Street, Apt. 74UUU"/>
    <x v="2"/>
    <s v="(646) 555-2289"/>
    <x v="1"/>
    <x v="1"/>
    <n v="5163"/>
    <m/>
  </r>
  <r>
    <x v="77"/>
    <n v="10"/>
    <x v="0"/>
    <x v="1"/>
    <x v="3"/>
    <x v="3"/>
    <n v="0"/>
    <n v="3340"/>
    <m/>
    <n v="3340"/>
    <d v="2024-01-10T00:00:00"/>
    <n v="10"/>
    <s v="January"/>
    <n v="2024"/>
    <d v="1899-12-30T12:00:00"/>
    <s v="Client 76"/>
    <s v="Miami"/>
    <s v="876 Willowbrook Drive, Suite 75VVV"/>
    <x v="3"/>
    <s v="(212) 555-7834"/>
    <x v="3"/>
    <x v="1"/>
    <n v="3164"/>
    <m/>
  </r>
  <r>
    <x v="78"/>
    <n v="11"/>
    <x v="0"/>
    <x v="1"/>
    <x v="0"/>
    <x v="0"/>
    <n v="0"/>
    <n v="1150"/>
    <m/>
    <n v="1150"/>
    <d v="2024-01-11T00:00:00"/>
    <n v="11"/>
    <s v="January"/>
    <n v="2024"/>
    <d v="1899-12-30T16:00:00"/>
    <s v="Client 77"/>
    <s v="Chikago"/>
    <s v="543 Acorn Lane, Unit 76WWW"/>
    <x v="4"/>
    <s v="(917) 555-4265"/>
    <x v="4"/>
    <x v="1"/>
    <n v="666"/>
    <m/>
  </r>
  <r>
    <x v="79"/>
    <n v="12"/>
    <x v="0"/>
    <x v="1"/>
    <x v="2"/>
    <x v="1"/>
    <n v="1650"/>
    <n v="0"/>
    <m/>
    <n v="1650"/>
    <d v="2024-01-12T00:00:00"/>
    <n v="12"/>
    <s v="January"/>
    <n v="2024"/>
    <d v="1899-12-30T18:00:00"/>
    <s v="Client 78"/>
    <s v="Chikago"/>
    <s v="210 Sycamore Road, Apt. 77XXX"/>
    <x v="5"/>
    <s v="(718) 555-3400"/>
    <x v="4"/>
    <x v="1"/>
    <n v="3961"/>
    <m/>
  </r>
  <r>
    <x v="80"/>
    <n v="13"/>
    <x v="0"/>
    <x v="1"/>
    <x v="3"/>
    <x v="4"/>
    <n v="3980"/>
    <n v="0"/>
    <m/>
    <n v="3980"/>
    <d v="2024-01-13T00:00:00"/>
    <n v="13"/>
    <s v="January"/>
    <n v="2024"/>
    <d v="1899-12-30T10:00:00"/>
    <s v="Client 79"/>
    <s v="Miami"/>
    <s v="8765 Cedarwood Street, Suite 78YYY"/>
    <x v="0"/>
    <s v="(646) 555-6733"/>
    <x v="3"/>
    <x v="0"/>
    <n v="2948"/>
    <n v="4"/>
  </r>
  <r>
    <x v="80"/>
    <n v="13"/>
    <x v="0"/>
    <x v="1"/>
    <x v="4"/>
    <x v="5"/>
    <n v="1530"/>
    <n v="0"/>
    <m/>
    <n v="1530"/>
    <d v="2024-01-13T00:00:00"/>
    <n v="13"/>
    <s v="January"/>
    <n v="2024"/>
    <d v="1899-12-30T12:00:00"/>
    <s v="Client 80"/>
    <s v="Chikago"/>
    <s v="4321 Elm Drive, Unit 79ZZZ"/>
    <x v="1"/>
    <s v="(212) 555-9820"/>
    <x v="4"/>
    <x v="0"/>
    <n v="2171"/>
    <n v="5"/>
  </r>
  <r>
    <x v="80"/>
    <n v="13"/>
    <x v="0"/>
    <x v="1"/>
    <x v="1"/>
    <x v="7"/>
    <n v="2150"/>
    <n v="0"/>
    <m/>
    <n v="2150"/>
    <d v="2024-01-13T00:00:00"/>
    <n v="13"/>
    <s v="January"/>
    <n v="2024"/>
    <d v="1899-12-30T16:00:00"/>
    <s v="Client 81"/>
    <s v="Miami"/>
    <s v="123 Birch Lane, Apt. 80AAAA"/>
    <x v="3"/>
    <s v="(917) 555-7834"/>
    <x v="1"/>
    <x v="0"/>
    <n v="3270"/>
    <n v="5"/>
  </r>
  <r>
    <x v="81"/>
    <n v="16"/>
    <x v="0"/>
    <x v="1"/>
    <x v="0"/>
    <x v="9"/>
    <n v="810"/>
    <n v="0"/>
    <m/>
    <n v="810"/>
    <d v="2024-01-16T00:00:00"/>
    <n v="16"/>
    <s v="January"/>
    <n v="2024"/>
    <d v="1899-12-30T18:00:00"/>
    <s v="Client 82"/>
    <s v="Chikago"/>
    <s v="456 Oak Avenue, Suite 81BBBB"/>
    <x v="0"/>
    <s v="(718) 555-2289"/>
    <x v="2"/>
    <x v="0"/>
    <n v="952"/>
    <n v="4"/>
  </r>
  <r>
    <x v="81"/>
    <n v="16"/>
    <x v="0"/>
    <x v="1"/>
    <x v="2"/>
    <x v="16"/>
    <n v="0"/>
    <n v="2340"/>
    <n v="0.15"/>
    <n v="2340"/>
    <d v="2024-01-16T00:00:00"/>
    <n v="16"/>
    <s v="January"/>
    <n v="2024"/>
    <d v="1899-12-30T10:00:00"/>
    <s v="Client 83"/>
    <s v="New York"/>
    <s v="789 Maple Street, Unit 82CCCC"/>
    <x v="2"/>
    <n v="54900888990"/>
    <x v="0"/>
    <x v="0"/>
    <n v="889"/>
    <n v="5"/>
  </r>
  <r>
    <x v="82"/>
    <n v="18"/>
    <x v="0"/>
    <x v="1"/>
    <x v="3"/>
    <x v="0"/>
    <n v="0"/>
    <n v="3110"/>
    <m/>
    <n v="3110"/>
    <d v="2024-01-18T00:00:00"/>
    <n v="18"/>
    <s v="January"/>
    <n v="2024"/>
    <d v="1899-12-30T12:00:00"/>
    <s v="Client 84"/>
    <s v="Chikago"/>
    <s v="234 Pine Road, Apt. 83DDDD"/>
    <x v="4"/>
    <s v="(212) 555-1179"/>
    <x v="2"/>
    <x v="0"/>
    <n v="1213"/>
    <n v="5"/>
  </r>
  <r>
    <x v="83"/>
    <n v="19"/>
    <x v="0"/>
    <x v="1"/>
    <x v="4"/>
    <x v="1"/>
    <n v="0"/>
    <n v="1190"/>
    <m/>
    <n v="1190"/>
    <d v="2024-01-19T00:00:00"/>
    <n v="19"/>
    <s v="January"/>
    <n v="2024"/>
    <d v="1899-12-30T16:00:00"/>
    <s v="Client 85"/>
    <s v="Chikago"/>
    <s v="567 Willow Drive, Suite 84EEEE"/>
    <x v="3"/>
    <s v="(917) 555-5623"/>
    <x v="4"/>
    <x v="0"/>
    <n v="2048"/>
    <n v="5"/>
  </r>
  <r>
    <x v="84"/>
    <n v="20"/>
    <x v="0"/>
    <x v="1"/>
    <x v="3"/>
    <x v="7"/>
    <n v="0"/>
    <n v="840"/>
    <m/>
    <n v="840"/>
    <d v="2024-01-20T00:00:00"/>
    <n v="20"/>
    <s v="January"/>
    <n v="2024"/>
    <d v="1899-12-30T18:00:00"/>
    <s v="Client 86"/>
    <s v="Chikago"/>
    <s v="890 Redwood Lane, Unit 85FFFF"/>
    <x v="0"/>
    <s v="(718) 555-8710"/>
    <x v="3"/>
    <x v="0"/>
    <n v="3012"/>
    <n v="3"/>
  </r>
  <r>
    <x v="84"/>
    <n v="20"/>
    <x v="0"/>
    <x v="1"/>
    <x v="1"/>
    <x v="3"/>
    <n v="0"/>
    <n v="2290"/>
    <m/>
    <n v="2290"/>
    <d v="2024-01-20T00:00:00"/>
    <n v="20"/>
    <s v="January"/>
    <n v="2024"/>
    <d v="1899-12-30T09:00:00"/>
    <s v="Client 87"/>
    <s v="Chikago"/>
    <s v="345 Spruce Street, Apt. 86GGGG"/>
    <x v="0"/>
    <s v="(646) 555-2290"/>
    <x v="3"/>
    <x v="0"/>
    <n v="1658"/>
    <n v="3"/>
  </r>
  <r>
    <x v="84"/>
    <n v="20"/>
    <x v="0"/>
    <x v="1"/>
    <x v="2"/>
    <x v="4"/>
    <n v="0"/>
    <n v="810"/>
    <m/>
    <n v="810"/>
    <d v="2024-01-20T00:00:00"/>
    <n v="20"/>
    <s v="January"/>
    <n v="2024"/>
    <d v="1899-12-30T11:00:00"/>
    <s v="Client 88"/>
    <s v="New York"/>
    <s v="678 Aspen Avenue, Suite 87HHHH"/>
    <x v="1"/>
    <s v="(212) 555-7835"/>
    <x v="4"/>
    <x v="0"/>
    <n v="2105"/>
    <n v="2"/>
  </r>
  <r>
    <x v="85"/>
    <n v="23"/>
    <x v="0"/>
    <x v="1"/>
    <x v="3"/>
    <x v="5"/>
    <n v="0"/>
    <n v="940"/>
    <m/>
    <n v="940"/>
    <d v="2024-01-23T00:00:00"/>
    <n v="23"/>
    <s v="January"/>
    <n v="2024"/>
    <d v="1899-12-30T15:00:00"/>
    <s v="Client 89"/>
    <s v="Chikago"/>
    <s v="1234 Sequoia Road, Unit 88IIII"/>
    <x v="2"/>
    <s v="(917) 555-4266"/>
    <x v="0"/>
    <x v="0"/>
    <n v="3101"/>
    <n v="4"/>
  </r>
  <r>
    <x v="85"/>
    <n v="23"/>
    <x v="0"/>
    <x v="1"/>
    <x v="4"/>
    <x v="4"/>
    <n v="0"/>
    <n v="3090"/>
    <m/>
    <n v="3090"/>
    <d v="2024-01-23T00:00:00"/>
    <n v="23"/>
    <s v="January"/>
    <n v="2024"/>
    <d v="1899-12-30T11:00:00"/>
    <s v="Client 90"/>
    <s v="Chikago"/>
    <s v="5678 Willowbrook Drive, Apt. 89JJJJ"/>
    <x v="4"/>
    <s v="(718) 555-3401"/>
    <x v="2"/>
    <x v="0"/>
    <n v="1894"/>
    <n v="5"/>
  </r>
  <r>
    <x v="86"/>
    <n v="25"/>
    <x v="0"/>
    <x v="1"/>
    <x v="0"/>
    <x v="5"/>
    <n v="0"/>
    <n v="2250"/>
    <m/>
    <n v="2250"/>
    <d v="2024-01-25T00:00:00"/>
    <n v="25"/>
    <s v="January"/>
    <n v="2024"/>
    <d v="1899-12-30T09:00:00"/>
    <s v="Client 91"/>
    <s v="Chikago"/>
    <s v="987 Acorn Street, Suite 90KKKK"/>
    <x v="1"/>
    <s v="(646) 555-6734"/>
    <x v="1"/>
    <x v="0"/>
    <n v="582"/>
    <n v="3"/>
  </r>
  <r>
    <x v="87"/>
    <n v="26"/>
    <x v="0"/>
    <x v="1"/>
    <x v="1"/>
    <x v="6"/>
    <n v="0"/>
    <n v="1130"/>
    <n v="0.15"/>
    <n v="1130"/>
    <d v="2024-01-26T00:00:00"/>
    <n v="26"/>
    <s v="January"/>
    <n v="2024"/>
    <d v="1899-12-30T11:00:00"/>
    <s v="Client 92"/>
    <s v="New York"/>
    <s v="654 Sycamore Avenue, Unit 91LLLL"/>
    <x v="0"/>
    <s v="(212) 555-9821"/>
    <x v="3"/>
    <x v="0"/>
    <n v="2253"/>
    <n v="5"/>
  </r>
  <r>
    <x v="88"/>
    <n v="21"/>
    <x v="0"/>
    <x v="1"/>
    <x v="2"/>
    <x v="3"/>
    <n v="0"/>
    <n v="3830"/>
    <m/>
    <n v="3830"/>
    <d v="2024-01-21T00:00:00"/>
    <n v="21"/>
    <s v="January"/>
    <n v="2024"/>
    <d v="1899-12-30T15:00:00"/>
    <s v="Client 93"/>
    <s v="Chikago"/>
    <s v="321 Cedarwood Lane, Apt. 92MMMM"/>
    <x v="1"/>
    <s v="(917) 555-7835"/>
    <x v="4"/>
    <x v="0"/>
    <n v="2772"/>
    <n v="4"/>
  </r>
  <r>
    <x v="88"/>
    <n v="21"/>
    <x v="0"/>
    <x v="1"/>
    <x v="3"/>
    <x v="7"/>
    <n v="0"/>
    <n v="2910"/>
    <m/>
    <n v="2910"/>
    <d v="2024-01-21T00:00:00"/>
    <n v="21"/>
    <s v="January"/>
    <n v="2024"/>
    <d v="1899-12-30T11:00:00"/>
    <s v="Client 94"/>
    <s v="New York"/>
    <s v="876 Elm Drive, Suite 93NNNN"/>
    <x v="1"/>
    <s v="(718) 555-2290"/>
    <x v="3"/>
    <x v="0"/>
    <n v="1714"/>
    <n v="3"/>
  </r>
  <r>
    <x v="88"/>
    <n v="21"/>
    <x v="0"/>
    <x v="1"/>
    <x v="4"/>
    <x v="1"/>
    <n v="0"/>
    <n v="2950"/>
    <m/>
    <n v="2950"/>
    <d v="2024-01-21T00:00:00"/>
    <n v="21"/>
    <s v="January"/>
    <n v="2024"/>
    <d v="1899-12-30T09:00:00"/>
    <s v="Client 95"/>
    <s v="Chikago"/>
    <s v="543 Birch Road, Unit 94OOOO"/>
    <x v="0"/>
    <n v="53900888990"/>
    <x v="1"/>
    <x v="0"/>
    <n v="2173"/>
    <n v="5"/>
  </r>
  <r>
    <x v="89"/>
    <n v="22"/>
    <x v="0"/>
    <x v="1"/>
    <x v="4"/>
    <x v="1"/>
    <n v="0"/>
    <n v="1150"/>
    <m/>
    <n v="1150"/>
    <d v="2024-01-22T00:00:00"/>
    <n v="22"/>
    <s v="January"/>
    <n v="2024"/>
    <d v="1899-12-30T10:00:00"/>
    <s v="Client 96"/>
    <s v="Chikago"/>
    <s v="544 Birch Road, Unit 94OOOO"/>
    <x v="0"/>
    <n v="53900888991"/>
    <x v="1"/>
    <x v="0"/>
    <n v="909"/>
    <n v="5"/>
  </r>
  <r>
    <x v="90"/>
    <n v="30"/>
    <x v="0"/>
    <x v="1"/>
    <x v="3"/>
    <x v="4"/>
    <n v="0"/>
    <n v="3860"/>
    <m/>
    <n v="3860"/>
    <d v="2024-01-30T00:00:00"/>
    <n v="30"/>
    <s v="January"/>
    <n v="2024"/>
    <d v="1899-12-30T11:00:00"/>
    <s v="Client 96"/>
    <s v="Chikago"/>
    <s v="210 Oak Lane, Apt. 95PPPP"/>
    <x v="2"/>
    <s v="(212) 555-1180"/>
    <x v="3"/>
    <x v="0"/>
    <n v="3379"/>
    <n v="4"/>
  </r>
  <r>
    <x v="91"/>
    <n v="31"/>
    <x v="0"/>
    <x v="1"/>
    <x v="0"/>
    <x v="5"/>
    <n v="0"/>
    <n v="2100"/>
    <n v="0.15"/>
    <n v="2100"/>
    <d v="2024-01-31T00:00:00"/>
    <n v="31"/>
    <s v="January"/>
    <n v="2024"/>
    <d v="1899-12-30T15:00:00"/>
    <s v="Client 97"/>
    <s v="New Orleans"/>
    <s v="8765 Maple Street, Suite 96QQQQ"/>
    <x v="4"/>
    <s v="(917) 555-5624"/>
    <x v="4"/>
    <x v="0"/>
    <n v="1976"/>
    <n v="5"/>
  </r>
  <r>
    <x v="92"/>
    <n v="1"/>
    <x v="1"/>
    <x v="1"/>
    <x v="2"/>
    <x v="7"/>
    <n v="0"/>
    <n v="1480"/>
    <m/>
    <n v="1480"/>
    <d v="2024-02-01T00:00:00"/>
    <n v="1"/>
    <s v="February"/>
    <n v="2024"/>
    <d v="1899-12-30T11:00:00"/>
    <s v="Client 98"/>
    <s v="Chikago"/>
    <s v="4321 Pine Street, Unit 97RRRR"/>
    <x v="3"/>
    <s v="(718) 555-8711"/>
    <x v="4"/>
    <x v="1"/>
    <n v="608"/>
    <m/>
  </r>
  <r>
    <x v="92"/>
    <n v="1"/>
    <x v="1"/>
    <x v="1"/>
    <x v="3"/>
    <x v="16"/>
    <n v="0"/>
    <n v="1920"/>
    <m/>
    <n v="1920"/>
    <d v="2024-02-01T00:00:00"/>
    <n v="1"/>
    <s v="February"/>
    <n v="2024"/>
    <d v="1899-12-30T09:00:00"/>
    <s v="Client 99"/>
    <s v="Chikago"/>
    <s v="123 Redwood Avenue, Apt. 98SSSS"/>
    <x v="5"/>
    <s v="(646) 555-2291"/>
    <x v="3"/>
    <x v="0"/>
    <n v="2274"/>
    <n v="3"/>
  </r>
  <r>
    <x v="93"/>
    <n v="3"/>
    <x v="1"/>
    <x v="1"/>
    <x v="4"/>
    <x v="9"/>
    <n v="0"/>
    <n v="1190"/>
    <m/>
    <n v="1190"/>
    <d v="2024-02-03T00:00:00"/>
    <n v="3"/>
    <s v="February"/>
    <n v="2024"/>
    <d v="1899-12-30T11:00:00"/>
    <s v="Client 100"/>
    <s v="Chikago"/>
    <s v="456 Willow Lane, Suite 99TTTT"/>
    <x v="0"/>
    <s v="(212) 555-7836"/>
    <x v="4"/>
    <x v="0"/>
    <n v="1968"/>
    <n v="4"/>
  </r>
  <r>
    <x v="94"/>
    <n v="4"/>
    <x v="1"/>
    <x v="1"/>
    <x v="1"/>
    <x v="10"/>
    <n v="0"/>
    <n v="2190"/>
    <m/>
    <n v="2190"/>
    <d v="2024-02-04T00:00:00"/>
    <n v="4"/>
    <s v="February"/>
    <n v="2024"/>
    <d v="1899-12-30T15:00:00"/>
    <s v="Client 4"/>
    <s v="Chikago"/>
    <s v="234 Pine Road, Apt. 3C"/>
    <x v="5"/>
    <s v="(917) 555-4267"/>
    <x v="1"/>
    <x v="0"/>
    <n v="2520"/>
    <n v="3"/>
  </r>
  <r>
    <x v="95"/>
    <n v="5"/>
    <x v="1"/>
    <x v="1"/>
    <x v="3"/>
    <x v="11"/>
    <n v="0"/>
    <n v="2990"/>
    <m/>
    <n v="2990"/>
    <d v="2024-02-05T00:00:00"/>
    <n v="5"/>
    <s v="February"/>
    <n v="2024"/>
    <d v="1899-12-30T11:00:00"/>
    <s v="Client 74"/>
    <s v="New York"/>
    <s v="654 Magnolia Lane, Unit 73TTT"/>
    <x v="0"/>
    <s v="(718) 555-3402"/>
    <x v="2"/>
    <x v="0"/>
    <n v="1265"/>
    <n v="4"/>
  </r>
  <r>
    <x v="96"/>
    <n v="6"/>
    <x v="1"/>
    <x v="1"/>
    <x v="4"/>
    <x v="4"/>
    <n v="0"/>
    <n v="1420"/>
    <m/>
    <n v="1420"/>
    <d v="2024-02-06T00:00:00"/>
    <n v="6"/>
    <s v="February"/>
    <n v="2024"/>
    <d v="1899-12-30T10:00:00"/>
    <s v="Client 10"/>
    <s v="Chikago"/>
    <s v="5678 Juniper Street, Apt. 9H"/>
    <x v="5"/>
    <s v="(646) 555-6735"/>
    <x v="0"/>
    <x v="0"/>
    <n v="2258"/>
    <n v="3"/>
  </r>
  <r>
    <x v="92"/>
    <n v="1"/>
    <x v="1"/>
    <x v="1"/>
    <x v="3"/>
    <x v="12"/>
    <n v="0"/>
    <n v="1610"/>
    <m/>
    <n v="1610"/>
    <d v="2024-02-01T00:00:00"/>
    <n v="1"/>
    <s v="February"/>
    <n v="2024"/>
    <d v="1899-12-30T12:00:00"/>
    <s v="Client 93"/>
    <s v="Chikago"/>
    <s v="321 Cedarwood Lane, Apt. 92MMMM"/>
    <x v="5"/>
    <s v="(212) 555-9822"/>
    <x v="2"/>
    <x v="0"/>
    <n v="4072"/>
    <n v="4"/>
  </r>
  <r>
    <x v="92"/>
    <n v="1"/>
    <x v="1"/>
    <x v="1"/>
    <x v="0"/>
    <x v="4"/>
    <n v="0"/>
    <n v="2040"/>
    <n v="0.15"/>
    <n v="2040"/>
    <d v="2024-02-01T00:00:00"/>
    <n v="1"/>
    <s v="February"/>
    <n v="2024"/>
    <d v="1899-12-30T16:00:00"/>
    <s v="Client 74"/>
    <s v="New York"/>
    <s v="654 Magnolia Lane, Unit 73TTT"/>
    <x v="0"/>
    <s v="(917) 555-7836"/>
    <x v="4"/>
    <x v="0"/>
    <n v="2751"/>
    <n v="5"/>
  </r>
  <r>
    <x v="97"/>
    <n v="9"/>
    <x v="1"/>
    <x v="1"/>
    <x v="2"/>
    <x v="7"/>
    <n v="0"/>
    <n v="2420"/>
    <m/>
    <n v="2420"/>
    <d v="2024-02-09T00:00:00"/>
    <n v="9"/>
    <s v="February"/>
    <n v="2024"/>
    <d v="1899-12-30T18:00:00"/>
    <s v="Client 11"/>
    <s v="Chikago"/>
    <s v="987 Aspen Avenue, Suite 10I"/>
    <x v="2"/>
    <s v="(718) 555-2291"/>
    <x v="3"/>
    <x v="0"/>
    <n v="3267"/>
    <n v="5"/>
  </r>
  <r>
    <x v="97"/>
    <n v="9"/>
    <x v="1"/>
    <x v="1"/>
    <x v="3"/>
    <x v="13"/>
    <n v="0"/>
    <n v="1180"/>
    <m/>
    <n v="1180"/>
    <d v="2024-02-09T00:00:00"/>
    <n v="9"/>
    <s v="February"/>
    <n v="2024"/>
    <d v="1899-12-30T10:00:00"/>
    <s v="Client 17"/>
    <s v="Chikago"/>
    <s v="8765 Sycamore Court, Suite 16O"/>
    <x v="4"/>
    <n v="52900888990"/>
    <x v="3"/>
    <x v="0"/>
    <n v="2923"/>
    <n v="4"/>
  </r>
  <r>
    <x v="98"/>
    <n v="11"/>
    <x v="1"/>
    <x v="1"/>
    <x v="4"/>
    <x v="1"/>
    <n v="0"/>
    <n v="1440"/>
    <m/>
    <n v="1440"/>
    <d v="2024-02-11T00:00:00"/>
    <n v="11"/>
    <s v="February"/>
    <n v="2024"/>
    <d v="1899-12-30T12:00:00"/>
    <s v="Client 87"/>
    <s v="Chikago"/>
    <s v="345 Spruce Street, Apt. 86GGGG"/>
    <x v="3"/>
    <s v="(212) 555-1181"/>
    <x v="4"/>
    <x v="0"/>
    <n v="1721"/>
    <n v="5"/>
  </r>
  <r>
    <x v="99"/>
    <n v="12"/>
    <x v="1"/>
    <x v="1"/>
    <x v="1"/>
    <x v="6"/>
    <n v="0"/>
    <n v="2680"/>
    <m/>
    <n v="2680"/>
    <d v="2024-02-12T00:00:00"/>
    <n v="12"/>
    <s v="February"/>
    <n v="2024"/>
    <d v="1899-12-30T16:00:00"/>
    <s v="Client 67"/>
    <s v="Chikago"/>
    <s v="567 Pine Street, Suite 66MMM"/>
    <x v="0"/>
    <s v="(917) 555-5625"/>
    <x v="0"/>
    <x v="0"/>
    <n v="2806"/>
    <n v="4"/>
  </r>
  <r>
    <x v="100"/>
    <n v="13"/>
    <x v="1"/>
    <x v="1"/>
    <x v="0"/>
    <x v="6"/>
    <n v="0"/>
    <n v="2930"/>
    <m/>
    <n v="2930"/>
    <d v="2024-02-13T00:00:00"/>
    <n v="13"/>
    <s v="February"/>
    <n v="2024"/>
    <d v="1899-12-30T18:00:00"/>
    <s v="Client 10"/>
    <s v="Chikago"/>
    <s v="5678 Juniper Street, Apt. 9H"/>
    <x v="0"/>
    <s v="(718) 555-8712"/>
    <x v="2"/>
    <x v="0"/>
    <n v="3563"/>
    <n v="5"/>
  </r>
  <r>
    <x v="101"/>
    <n v="14"/>
    <x v="1"/>
    <x v="1"/>
    <x v="2"/>
    <x v="1"/>
    <n v="0"/>
    <n v="1350"/>
    <n v="0.15"/>
    <n v="1350"/>
    <d v="2024-02-14T00:00:00"/>
    <n v="14"/>
    <s v="February"/>
    <n v="2024"/>
    <d v="1899-12-30T10:00:00"/>
    <s v="Client 93"/>
    <s v="Chikago"/>
    <s v="321 Cedarwood Lane, Apt. 92MMMM"/>
    <x v="5"/>
    <s v="(646) 555-2292"/>
    <x v="1"/>
    <x v="0"/>
    <n v="2864"/>
    <n v="4"/>
  </r>
  <r>
    <x v="102"/>
    <n v="15"/>
    <x v="1"/>
    <x v="1"/>
    <x v="3"/>
    <x v="12"/>
    <n v="0"/>
    <n v="1160"/>
    <n v="0.15"/>
    <n v="1160"/>
    <d v="2024-02-15T00:00:00"/>
    <n v="15"/>
    <s v="February"/>
    <n v="2024"/>
    <d v="1899-12-30T12:00:00"/>
    <s v="Client 13"/>
    <s v="Chikago"/>
    <s v="321 Acorn Drive, Apt. 12K"/>
    <x v="2"/>
    <s v="(212) 555-7837"/>
    <x v="3"/>
    <x v="0"/>
    <n v="2056"/>
    <n v="5"/>
  </r>
  <r>
    <x v="103"/>
    <n v="16"/>
    <x v="1"/>
    <x v="1"/>
    <x v="4"/>
    <x v="5"/>
    <n v="0"/>
    <n v="1850"/>
    <m/>
    <n v="1850"/>
    <d v="2024-02-16T00:00:00"/>
    <n v="16"/>
    <s v="February"/>
    <n v="2024"/>
    <d v="1899-12-30T16:00:00"/>
    <s v="Client 62"/>
    <s v="New York"/>
    <s v="678 Cedarwood Road, Unit 61HHH"/>
    <x v="4"/>
    <s v="(917) 555-4268"/>
    <x v="4"/>
    <x v="0"/>
    <n v="3481"/>
    <n v="5"/>
  </r>
  <r>
    <x v="98"/>
    <n v="11"/>
    <x v="1"/>
    <x v="1"/>
    <x v="3"/>
    <x v="14"/>
    <n v="0"/>
    <n v="1860"/>
    <m/>
    <n v="1860"/>
    <d v="2024-02-11T00:00:00"/>
    <n v="11"/>
    <s v="February"/>
    <n v="2024"/>
    <d v="1899-12-30T18:00:00"/>
    <s v="Client 11"/>
    <s v="Chikago"/>
    <s v="987 Aspen Avenue, Suite 10I"/>
    <x v="5"/>
    <s v="(718) 555-3403"/>
    <x v="4"/>
    <x v="0"/>
    <n v="3844"/>
    <n v="4"/>
  </r>
  <r>
    <x v="104"/>
    <n v="18"/>
    <x v="1"/>
    <x v="1"/>
    <x v="1"/>
    <x v="15"/>
    <n v="0"/>
    <n v="1910"/>
    <m/>
    <n v="1910"/>
    <d v="2024-02-18T00:00:00"/>
    <n v="18"/>
    <s v="February"/>
    <n v="2024"/>
    <d v="1899-12-30T10:00:00"/>
    <s v="Client 26"/>
    <s v="New York"/>
    <s v="678 Spruce Street, Suite 25X"/>
    <x v="0"/>
    <s v="(646) 555-6736"/>
    <x v="3"/>
    <x v="0"/>
    <n v="1720"/>
    <n v="5"/>
  </r>
  <r>
    <x v="104"/>
    <n v="18"/>
    <x v="1"/>
    <x v="1"/>
    <x v="2"/>
    <x v="16"/>
    <n v="0"/>
    <n v="1190"/>
    <m/>
    <n v="1190"/>
    <d v="2024-02-18T00:00:00"/>
    <n v="18"/>
    <s v="February"/>
    <n v="2024"/>
    <d v="1899-12-30T12:00:00"/>
    <s v="Client 95"/>
    <s v="Chikago"/>
    <s v="543 Birch Road, Unit 94OOOO"/>
    <x v="5"/>
    <s v="(212) 555-9823"/>
    <x v="3"/>
    <x v="0"/>
    <n v="1319"/>
    <n v="5"/>
  </r>
  <r>
    <x v="104"/>
    <n v="18"/>
    <x v="1"/>
    <x v="1"/>
    <x v="3"/>
    <x v="9"/>
    <n v="0"/>
    <n v="1390"/>
    <m/>
    <n v="1390"/>
    <d v="2024-02-18T00:00:00"/>
    <n v="18"/>
    <s v="February"/>
    <n v="2024"/>
    <d v="1899-12-30T16:00:00"/>
    <s v="Client 11"/>
    <s v="Chikago"/>
    <s v="987 Aspen Avenue, Suite 10I"/>
    <x v="5"/>
    <s v="(917) 555-7837"/>
    <x v="3"/>
    <x v="0"/>
    <n v="2487"/>
    <n v="5"/>
  </r>
  <r>
    <x v="104"/>
    <n v="18"/>
    <x v="1"/>
    <x v="1"/>
    <x v="4"/>
    <x v="10"/>
    <n v="2120"/>
    <n v="0"/>
    <m/>
    <n v="2120"/>
    <d v="2024-02-18T00:00:00"/>
    <n v="18"/>
    <s v="February"/>
    <n v="2024"/>
    <d v="1899-12-30T18:00:00"/>
    <s v="Client 96"/>
    <s v="Chikago"/>
    <s v="210 Oak Lane, Apt. 95PPPP"/>
    <x v="0"/>
    <s v="(718) 555-2292"/>
    <x v="4"/>
    <x v="1"/>
    <n v="3675"/>
    <m/>
  </r>
  <r>
    <x v="105"/>
    <n v="22"/>
    <x v="1"/>
    <x v="1"/>
    <x v="0"/>
    <x v="7"/>
    <n v="1120"/>
    <n v="0"/>
    <m/>
    <n v="1120"/>
    <d v="2024-02-22T00:00:00"/>
    <n v="22"/>
    <s v="February"/>
    <n v="2024"/>
    <d v="1899-12-30T10:00:00"/>
    <s v="Client 96"/>
    <s v="Chikago"/>
    <s v="210 Oak Lane, Apt. 95PPPP"/>
    <x v="2"/>
    <n v="51900888990"/>
    <x v="4"/>
    <x v="0"/>
    <n v="2105"/>
    <n v="3"/>
  </r>
  <r>
    <x v="105"/>
    <n v="22"/>
    <x v="1"/>
    <x v="1"/>
    <x v="1"/>
    <x v="4"/>
    <n v="1050"/>
    <n v="0"/>
    <m/>
    <n v="1050"/>
    <d v="2024-02-22T00:00:00"/>
    <n v="22"/>
    <s v="February"/>
    <n v="2024"/>
    <d v="1899-12-30T12:00:00"/>
    <s v="Client 32"/>
    <s v="Miami"/>
    <s v="876 Willowbrook Drive, Suite 31DD"/>
    <x v="4"/>
    <s v="(212) 555-1182"/>
    <x v="3"/>
    <x v="0"/>
    <n v="1512"/>
    <n v="2"/>
  </r>
  <r>
    <x v="106"/>
    <n v="24"/>
    <x v="1"/>
    <x v="1"/>
    <x v="2"/>
    <x v="12"/>
    <n v="1490"/>
    <n v="0"/>
    <m/>
    <n v="1490"/>
    <d v="2024-02-24T00:00:00"/>
    <n v="24"/>
    <s v="February"/>
    <n v="2024"/>
    <d v="1899-12-30T16:00:00"/>
    <s v="Client 10"/>
    <s v="Chikago"/>
    <s v="5678 Juniper Street, Apt. 9H"/>
    <x v="3"/>
    <s v="(917) 555-5626"/>
    <x v="4"/>
    <x v="0"/>
    <n v="1752"/>
    <n v="4"/>
  </r>
  <r>
    <x v="107"/>
    <n v="25"/>
    <x v="1"/>
    <x v="1"/>
    <x v="3"/>
    <x v="4"/>
    <n v="1180"/>
    <n v="0"/>
    <m/>
    <n v="1180"/>
    <d v="2024-02-25T00:00:00"/>
    <n v="25"/>
    <s v="February"/>
    <n v="2024"/>
    <d v="1899-12-30T18:00:00"/>
    <s v="Client 71"/>
    <s v="Chikago"/>
    <s v="1234 Aspen Road, Unit 70QQQ"/>
    <x v="5"/>
    <s v="(718) 555-8713"/>
    <x v="1"/>
    <x v="0"/>
    <n v="2974"/>
    <n v="3"/>
  </r>
  <r>
    <x v="108"/>
    <n v="26"/>
    <x v="1"/>
    <x v="1"/>
    <x v="4"/>
    <x v="7"/>
    <n v="2590"/>
    <n v="0"/>
    <m/>
    <n v="2590"/>
    <d v="2024-02-26T00:00:00"/>
    <n v="26"/>
    <s v="February"/>
    <n v="2024"/>
    <d v="1899-12-30T10:00:00"/>
    <s v="Client 67"/>
    <s v="Chikago"/>
    <s v="567 Pine Street, Suite 66MMM"/>
    <x v="0"/>
    <s v="(646) 555-2293"/>
    <x v="2"/>
    <x v="0"/>
    <n v="1639"/>
    <n v="3"/>
  </r>
  <r>
    <x v="109"/>
    <n v="28"/>
    <x v="1"/>
    <x v="1"/>
    <x v="3"/>
    <x v="13"/>
    <n v="0"/>
    <n v="1000"/>
    <m/>
    <n v="1000"/>
    <d v="2024-02-28T00:00:00"/>
    <n v="28"/>
    <s v="February"/>
    <n v="2024"/>
    <d v="1899-12-30T12:00:00"/>
    <s v="Client 17"/>
    <s v="Chikago"/>
    <s v="8765 Sycamore Court, Suite 16O"/>
    <x v="5"/>
    <s v="(212) 555-7838"/>
    <x v="0"/>
    <x v="0"/>
    <n v="633"/>
    <n v="4"/>
  </r>
  <r>
    <x v="109"/>
    <n v="28"/>
    <x v="1"/>
    <x v="1"/>
    <x v="0"/>
    <x v="1"/>
    <n v="0"/>
    <n v="1550"/>
    <m/>
    <n v="1550"/>
    <d v="2024-02-28T00:00:00"/>
    <n v="28"/>
    <s v="February"/>
    <n v="2024"/>
    <d v="1899-12-30T16:00:00"/>
    <s v="Client 28"/>
    <s v="Chikago"/>
    <s v="5678 Cedar Drive, Unit 27Z"/>
    <x v="2"/>
    <s v="(917) 555-4269"/>
    <x v="2"/>
    <x v="0"/>
    <n v="1765"/>
    <n v="3"/>
  </r>
  <r>
    <x v="110"/>
    <n v="1"/>
    <x v="2"/>
    <x v="1"/>
    <x v="2"/>
    <x v="6"/>
    <n v="0"/>
    <n v="1240"/>
    <m/>
    <n v="1240"/>
    <d v="2024-03-01T00:00:00"/>
    <n v="1"/>
    <s v="March"/>
    <n v="2024"/>
    <d v="1899-12-30T18:00:00"/>
    <s v="Client 70"/>
    <s v="New York"/>
    <s v="678 Spruce Street, Suite 69PPP"/>
    <x v="4"/>
    <s v="(718) 555-3404"/>
    <x v="4"/>
    <x v="0"/>
    <n v="1977"/>
    <n v="4"/>
  </r>
  <r>
    <x v="111"/>
    <n v="2"/>
    <x v="2"/>
    <x v="1"/>
    <x v="3"/>
    <x v="7"/>
    <n v="0"/>
    <n v="840"/>
    <m/>
    <n v="840"/>
    <d v="2024-03-02T00:00:00"/>
    <n v="2"/>
    <s v="March"/>
    <n v="2024"/>
    <d v="1899-12-30T10:00:00"/>
    <s v="Client 20"/>
    <s v="Chikago"/>
    <s v="456 Birch Avenue, Suite 19R"/>
    <x v="0"/>
    <s v="(646) 555-6737"/>
    <x v="3"/>
    <x v="0"/>
    <n v="1473"/>
    <n v="5"/>
  </r>
  <r>
    <x v="112"/>
    <n v="3"/>
    <x v="2"/>
    <x v="1"/>
    <x v="4"/>
    <x v="1"/>
    <n v="0"/>
    <n v="1110"/>
    <n v="0.15"/>
    <n v="1110"/>
    <d v="2024-03-03T00:00:00"/>
    <n v="3"/>
    <s v="March"/>
    <n v="2024"/>
    <d v="1899-12-30T12:00:00"/>
    <s v="Client 99"/>
    <s v="Chikago"/>
    <s v="123 Redwood Avenue, Apt. 98SSSS"/>
    <x v="5"/>
    <s v="(212) 555-9824"/>
    <x v="3"/>
    <x v="0"/>
    <n v="2456"/>
    <n v="4"/>
  </r>
  <r>
    <x v="113"/>
    <n v="4"/>
    <x v="2"/>
    <x v="1"/>
    <x v="1"/>
    <x v="9"/>
    <n v="0"/>
    <n v="1190"/>
    <m/>
    <n v="1190"/>
    <d v="2024-03-04T00:00:00"/>
    <n v="4"/>
    <s v="March"/>
    <n v="2024"/>
    <d v="1899-12-30T16:00:00"/>
    <s v="Client 67"/>
    <s v="Chikago"/>
    <s v="567 Pine Street, Suite 66MMM"/>
    <x v="5"/>
    <s v="(917) 555-7838"/>
    <x v="4"/>
    <x v="0"/>
    <n v="1855"/>
    <n v="5"/>
  </r>
  <r>
    <x v="114"/>
    <n v="5"/>
    <x v="2"/>
    <x v="1"/>
    <x v="0"/>
    <x v="16"/>
    <n v="0"/>
    <n v="1020"/>
    <m/>
    <n v="1020"/>
    <d v="2024-03-05T00:00:00"/>
    <n v="5"/>
    <s v="March"/>
    <n v="2024"/>
    <d v="1899-12-30T18:00:00"/>
    <s v="Client 6"/>
    <s v="Chikago"/>
    <s v="890 Maple Drive, Apt. 2A"/>
    <x v="0"/>
    <s v="(718) 555-2293"/>
    <x v="0"/>
    <x v="0"/>
    <n v="2034"/>
    <n v="5"/>
  </r>
  <r>
    <x v="115"/>
    <n v="6"/>
    <x v="2"/>
    <x v="1"/>
    <x v="3"/>
    <x v="0"/>
    <n v="0"/>
    <n v="1340"/>
    <m/>
    <n v="1340"/>
    <d v="2024-03-06T00:00:00"/>
    <n v="6"/>
    <s v="March"/>
    <n v="2024"/>
    <d v="1899-12-30T10:00:00"/>
    <s v="Client 47"/>
    <s v="Chikago"/>
    <s v="987 Acorn Street, Unit 46SS"/>
    <x v="2"/>
    <n v="50900888990"/>
    <x v="2"/>
    <x v="0"/>
    <n v="3150"/>
    <n v="4"/>
  </r>
  <r>
    <x v="115"/>
    <n v="6"/>
    <x v="2"/>
    <x v="1"/>
    <x v="4"/>
    <x v="1"/>
    <n v="0"/>
    <n v="1410"/>
    <m/>
    <n v="1410"/>
    <d v="2024-03-06T00:00:00"/>
    <n v="6"/>
    <s v="March"/>
    <n v="2024"/>
    <d v="1899-12-30T12:00:00"/>
    <s v="Client 81"/>
    <e v="#N/A"/>
    <s v="123 Birch Lane, Apt. 80AAAA"/>
    <x v="4"/>
    <s v="(212) 555-1183"/>
    <x v="1"/>
    <x v="0"/>
    <n v="914"/>
    <n v="5"/>
  </r>
  <r>
    <x v="116"/>
    <n v="8"/>
    <x v="2"/>
    <x v="1"/>
    <x v="3"/>
    <x v="2"/>
    <n v="0"/>
    <n v="1150"/>
    <m/>
    <n v="1150"/>
    <d v="2024-03-08T00:00:00"/>
    <n v="8"/>
    <s v="March"/>
    <n v="2024"/>
    <d v="1899-12-30T16:00:00"/>
    <s v="Client 46"/>
    <s v="New York"/>
    <s v="5678 Willowbrook Drive, Suite 45RR"/>
    <x v="3"/>
    <s v="(917) 555-5627"/>
    <x v="3"/>
    <x v="0"/>
    <n v="1391"/>
    <n v="4"/>
  </r>
  <r>
    <x v="117"/>
    <n v="9"/>
    <x v="2"/>
    <x v="1"/>
    <x v="1"/>
    <x v="3"/>
    <n v="0"/>
    <n v="1850"/>
    <n v="0.15"/>
    <n v="1850"/>
    <d v="2024-03-09T00:00:00"/>
    <n v="9"/>
    <s v="March"/>
    <n v="2024"/>
    <d v="1899-12-30T18:00:00"/>
    <s v="Client 58"/>
    <s v="Chikago"/>
    <s v="234 Sequoia Street, Suite 57DDD"/>
    <x v="0"/>
    <s v="(718) 555-8714"/>
    <x v="4"/>
    <x v="0"/>
    <n v="1303"/>
    <n v="5"/>
  </r>
  <r>
    <x v="117"/>
    <n v="9"/>
    <x v="2"/>
    <x v="1"/>
    <x v="2"/>
    <x v="4"/>
    <n v="1860"/>
    <n v="0"/>
    <m/>
    <n v="1860"/>
    <d v="2024-03-09T00:00:00"/>
    <n v="9"/>
    <s v="March"/>
    <n v="2024"/>
    <d v="1899-12-30T09:00:00"/>
    <s v="Client 14"/>
    <s v="Miami"/>
    <s v="876 Sequoia Road, Suite 13L"/>
    <x v="0"/>
    <s v="(646) 555-2294"/>
    <x v="3"/>
    <x v="0"/>
    <n v="1847"/>
    <n v="4"/>
  </r>
  <r>
    <x v="118"/>
    <n v="11"/>
    <x v="2"/>
    <x v="1"/>
    <x v="3"/>
    <x v="5"/>
    <n v="0"/>
    <n v="810"/>
    <m/>
    <n v="810"/>
    <d v="2024-03-11T00:00:00"/>
    <n v="11"/>
    <s v="March"/>
    <n v="2024"/>
    <d v="1899-12-30T11:00:00"/>
    <s v="Client 72"/>
    <s v="Chikago"/>
    <s v="5678 Cedar Drive, Apt. 71RRR"/>
    <x v="5"/>
    <s v="(212) 555-7839"/>
    <x v="3"/>
    <x v="0"/>
    <n v="3190"/>
    <n v="5"/>
  </r>
  <r>
    <x v="119"/>
    <n v="12"/>
    <x v="2"/>
    <x v="1"/>
    <x v="4"/>
    <x v="4"/>
    <n v="1810"/>
    <n v="0"/>
    <m/>
    <n v="1810"/>
    <d v="2024-03-12T00:00:00"/>
    <n v="12"/>
    <s v="March"/>
    <n v="2024"/>
    <d v="1899-12-30T15:00:00"/>
    <s v="Client 3"/>
    <s v="New York"/>
    <s v="789 Oak Lane, Suite 12"/>
    <x v="2"/>
    <s v="(917) 555-4270"/>
    <x v="3"/>
    <x v="0"/>
    <n v="2207"/>
    <n v="5"/>
  </r>
  <r>
    <x v="120"/>
    <n v="13"/>
    <x v="2"/>
    <x v="1"/>
    <x v="0"/>
    <x v="5"/>
    <n v="3000"/>
    <n v="180"/>
    <m/>
    <n v="3180"/>
    <d v="2024-03-13T00:00:00"/>
    <n v="13"/>
    <s v="March"/>
    <n v="2024"/>
    <d v="1899-12-30T11:00:00"/>
    <s v="Client 35"/>
    <s v="Miami"/>
    <s v="8765 Cedarwood Street, Suite 34GG"/>
    <x v="4"/>
    <s v="(718) 555-3405"/>
    <x v="4"/>
    <x v="0"/>
    <n v="1596"/>
    <n v="4"/>
  </r>
  <r>
    <x v="121"/>
    <n v="14"/>
    <x v="2"/>
    <x v="1"/>
    <x v="3"/>
    <x v="6"/>
    <n v="0"/>
    <n v="1330"/>
    <m/>
    <n v="1330"/>
    <d v="2024-03-14T00:00:00"/>
    <n v="14"/>
    <s v="March"/>
    <n v="2024"/>
    <d v="1899-12-30T09:00:00"/>
    <s v="Client 46"/>
    <s v="New York"/>
    <s v="5678 Willowbrook Drive, Suite 45RR"/>
    <x v="5"/>
    <s v="(646) 555-6738"/>
    <x v="4"/>
    <x v="0"/>
    <n v="1455"/>
    <n v="5"/>
  </r>
  <r>
    <x v="122"/>
    <n v="15"/>
    <x v="2"/>
    <x v="1"/>
    <x v="4"/>
    <x v="3"/>
    <n v="0"/>
    <n v="1030"/>
    <m/>
    <n v="1030"/>
    <d v="2024-03-15T00:00:00"/>
    <n v="15"/>
    <s v="March"/>
    <n v="2024"/>
    <d v="1899-12-30T11:00:00"/>
    <s v="Client 11"/>
    <s v="Chikago"/>
    <s v="987 Aspen Avenue, Suite 10I"/>
    <x v="0"/>
    <s v="(212) 555-9825"/>
    <x v="4"/>
    <x v="1"/>
    <n v="889"/>
    <m/>
  </r>
  <r>
    <x v="123"/>
    <n v="16"/>
    <x v="2"/>
    <x v="1"/>
    <x v="3"/>
    <x v="0"/>
    <n v="1960"/>
    <n v="0"/>
    <n v="0.15"/>
    <n v="1960"/>
    <d v="2024-03-16T00:00:00"/>
    <n v="16"/>
    <s v="March"/>
    <n v="2024"/>
    <d v="1899-12-30T15:00:00"/>
    <s v="Client 19"/>
    <s v="Chikago"/>
    <s v="123 Elm Street, Unit 18Q"/>
    <x v="5"/>
    <s v="(917) 555-7839"/>
    <x v="4"/>
    <x v="0"/>
    <n v="3853"/>
    <n v="5"/>
  </r>
  <r>
    <x v="118"/>
    <n v="11"/>
    <x v="2"/>
    <x v="1"/>
    <x v="1"/>
    <x v="1"/>
    <n v="2690"/>
    <n v="0"/>
    <m/>
    <n v="2690"/>
    <d v="2024-03-11T00:00:00"/>
    <n v="11"/>
    <s v="March"/>
    <n v="2024"/>
    <d v="1899-12-30T11:00:00"/>
    <s v="Client 7"/>
    <s v="Chikago"/>
    <s v="345 Cedar Court, Suite 6E"/>
    <x v="5"/>
    <s v="(718) 555-2294"/>
    <x v="4"/>
    <x v="0"/>
    <n v="1835"/>
    <n v="3"/>
  </r>
  <r>
    <x v="124"/>
    <n v="18"/>
    <x v="2"/>
    <x v="1"/>
    <x v="2"/>
    <x v="4"/>
    <n v="1840"/>
    <n v="0"/>
    <m/>
    <n v="1840"/>
    <d v="2024-03-18T00:00:00"/>
    <n v="18"/>
    <s v="March"/>
    <n v="2024"/>
    <d v="1899-12-30T09:00:00"/>
    <s v="Client 38"/>
    <s v="Chikago"/>
    <s v="456 Oak Avenue, Unit 37JJ"/>
    <x v="0"/>
    <n v="49900888990"/>
    <x v="4"/>
    <x v="0"/>
    <n v="1967"/>
    <n v="3"/>
  </r>
  <r>
    <x v="125"/>
    <n v="19"/>
    <x v="2"/>
    <x v="1"/>
    <x v="3"/>
    <x v="17"/>
    <n v="0"/>
    <n v="3320"/>
    <m/>
    <n v="3320"/>
    <d v="2024-03-19T00:00:00"/>
    <n v="19"/>
    <s v="March"/>
    <n v="2024"/>
    <d v="1899-12-30T11:00:00"/>
    <s v="Client 62"/>
    <s v="New York"/>
    <s v="678 Cedarwood Road, Unit 61HHH"/>
    <x v="2"/>
    <s v="(212) 555-1184"/>
    <x v="4"/>
    <x v="0"/>
    <n v="3286"/>
    <n v="2"/>
  </r>
  <r>
    <x v="126"/>
    <n v="20"/>
    <x v="2"/>
    <x v="1"/>
    <x v="4"/>
    <x v="8"/>
    <n v="0"/>
    <n v="2350"/>
    <n v="0.15"/>
    <n v="2350"/>
    <d v="2024-03-20T00:00:00"/>
    <n v="20"/>
    <s v="March"/>
    <n v="2024"/>
    <d v="1899-12-30T15:00:00"/>
    <s v="Client 22"/>
    <s v="Chikago"/>
    <s v="234 Maple Road, Unit 21T"/>
    <x v="4"/>
    <s v="(917) 555-5628"/>
    <x v="4"/>
    <x v="0"/>
    <n v="2001"/>
    <n v="4"/>
  </r>
  <r>
    <x v="127"/>
    <n v="21"/>
    <x v="2"/>
    <x v="1"/>
    <x v="0"/>
    <x v="9"/>
    <n v="1110"/>
    <n v="0"/>
    <m/>
    <n v="1110"/>
    <d v="2024-03-21T00:00:00"/>
    <n v="21"/>
    <s v="March"/>
    <n v="2024"/>
    <d v="1899-12-30T11:00:00"/>
    <s v="Client 54"/>
    <s v="Chikago"/>
    <s v="4321 Pine Street, Apt. 53ZZ"/>
    <x v="3"/>
    <s v="(718) 555-8715"/>
    <x v="4"/>
    <x v="0"/>
    <n v="3043"/>
    <n v="5"/>
  </r>
  <r>
    <x v="127"/>
    <n v="21"/>
    <x v="2"/>
    <x v="1"/>
    <x v="1"/>
    <x v="9"/>
    <n v="3930"/>
    <n v="0"/>
    <m/>
    <n v="3930"/>
    <d v="2024-03-21T00:00:00"/>
    <n v="21"/>
    <s v="March"/>
    <n v="2024"/>
    <d v="1899-12-30T09:00:00"/>
    <s v="Client 22"/>
    <s v="Chikago"/>
    <s v="234 Maple Road, Unit 21T"/>
    <x v="1"/>
    <s v="(646) 555-2295"/>
    <x v="4"/>
    <x v="0"/>
    <n v="2694"/>
    <n v="3"/>
  </r>
  <r>
    <x v="127"/>
    <n v="21"/>
    <x v="2"/>
    <x v="1"/>
    <x v="2"/>
    <x v="7"/>
    <n v="2260"/>
    <n v="0"/>
    <m/>
    <n v="2260"/>
    <d v="2024-03-21T00:00:00"/>
    <n v="21"/>
    <s v="March"/>
    <n v="2024"/>
    <d v="1899-12-30T11:00:00"/>
    <s v="Client 73"/>
    <s v="Chikago"/>
    <s v="987 Pinecone Avenue, Suite 72SSS"/>
    <x v="0"/>
    <s v="(212) 555-7840"/>
    <x v="4"/>
    <x v="0"/>
    <n v="3797"/>
    <n v="5"/>
  </r>
  <r>
    <x v="128"/>
    <n v="24"/>
    <x v="2"/>
    <x v="1"/>
    <x v="3"/>
    <x v="2"/>
    <n v="1430"/>
    <n v="0"/>
    <m/>
    <n v="1430"/>
    <d v="2024-03-24T00:00:00"/>
    <n v="24"/>
    <s v="March"/>
    <n v="2024"/>
    <d v="1899-12-30T15:00:00"/>
    <s v="Client 51"/>
    <s v="Chikago"/>
    <s v="543 Birch Road, Apt. 50WW"/>
    <x v="1"/>
    <s v="(917) 555-4271"/>
    <x v="4"/>
    <x v="0"/>
    <n v="3014"/>
    <n v="4"/>
  </r>
  <r>
    <x v="129"/>
    <n v="25"/>
    <x v="2"/>
    <x v="1"/>
    <x v="4"/>
    <x v="4"/>
    <n v="0"/>
    <n v="1390"/>
    <m/>
    <n v="1390"/>
    <d v="2024-03-25T00:00:00"/>
    <n v="25"/>
    <s v="March"/>
    <n v="2024"/>
    <d v="1899-12-30T11:00:00"/>
    <s v="Client 2"/>
    <s v="Chikago"/>
    <s v="456 Willow Avenue, Unit 7"/>
    <x v="2"/>
    <s v="(718) 555-3406"/>
    <x v="0"/>
    <x v="0"/>
    <n v="2478"/>
    <n v="3"/>
  </r>
  <r>
    <x v="130"/>
    <n v="26"/>
    <x v="2"/>
    <x v="1"/>
    <x v="3"/>
    <x v="5"/>
    <n v="1280"/>
    <n v="0"/>
    <n v="0.15"/>
    <n v="1280"/>
    <d v="2024-03-26T00:00:00"/>
    <n v="26"/>
    <s v="March"/>
    <n v="2024"/>
    <d v="1899-12-30T10:00:00"/>
    <s v="Client 3"/>
    <s v="New York"/>
    <s v="789 Oak Lane, Suite 12"/>
    <x v="4"/>
    <s v="(646) 555-6739"/>
    <x v="2"/>
    <x v="0"/>
    <n v="2894"/>
    <n v="5"/>
  </r>
  <r>
    <x v="127"/>
    <n v="21"/>
    <x v="2"/>
    <x v="1"/>
    <x v="1"/>
    <x v="4"/>
    <n v="0"/>
    <n v="900"/>
    <n v="0.15"/>
    <n v="900"/>
    <d v="2024-03-21T00:00:00"/>
    <n v="21"/>
    <s v="March"/>
    <n v="2024"/>
    <d v="1899-12-30T12:00:00"/>
    <s v="Client 60"/>
    <s v="Chikago"/>
    <s v="890 Acorn Avenue, Apt. 59FFF"/>
    <x v="1"/>
    <s v="(212) 555-9826"/>
    <x v="1"/>
    <x v="0"/>
    <n v="1826"/>
    <n v="3"/>
  </r>
  <r>
    <x v="131"/>
    <n v="28"/>
    <x v="2"/>
    <x v="1"/>
    <x v="2"/>
    <x v="12"/>
    <n v="0"/>
    <n v="940"/>
    <m/>
    <n v="940"/>
    <d v="2024-03-28T00:00:00"/>
    <n v="28"/>
    <s v="March"/>
    <n v="2024"/>
    <d v="1899-12-30T16:00:00"/>
    <s v="Client 55"/>
    <s v="Chikago"/>
    <s v="123 Redwood Avenue, Suite 54AAA"/>
    <x v="0"/>
    <s v="(917) 555-7840"/>
    <x v="3"/>
    <x v="0"/>
    <n v="1662"/>
    <n v="4"/>
  </r>
  <r>
    <x v="132"/>
    <n v="29"/>
    <x v="2"/>
    <x v="1"/>
    <x v="3"/>
    <x v="7"/>
    <n v="0"/>
    <n v="3600"/>
    <m/>
    <n v="3600"/>
    <d v="2024-03-29T00:00:00"/>
    <n v="29"/>
    <s v="March"/>
    <n v="2024"/>
    <d v="1899-12-30T18:00:00"/>
    <s v="Client 19"/>
    <s v="Chikago"/>
    <s v="123 Elm Street, Unit 18Q"/>
    <x v="1"/>
    <s v="(718) 555-2295"/>
    <x v="4"/>
    <x v="0"/>
    <n v="3963"/>
    <n v="3"/>
  </r>
  <r>
    <x v="132"/>
    <n v="29"/>
    <x v="2"/>
    <x v="1"/>
    <x v="4"/>
    <x v="1"/>
    <n v="0"/>
    <n v="1310"/>
    <m/>
    <n v="1310"/>
    <d v="2024-03-29T00:00:00"/>
    <n v="29"/>
    <s v="March"/>
    <n v="2024"/>
    <d v="1899-12-30T10:00:00"/>
    <s v="Client 4"/>
    <s v="Chikago"/>
    <s v="234 Pine Road, Apt. 3C"/>
    <x v="1"/>
    <n v="48900888990"/>
    <x v="3"/>
    <x v="0"/>
    <n v="1503"/>
    <n v="4"/>
  </r>
  <r>
    <x v="132"/>
    <n v="29"/>
    <x v="2"/>
    <x v="1"/>
    <x v="0"/>
    <x v="6"/>
    <n v="910"/>
    <n v="0"/>
    <m/>
    <n v="910"/>
    <d v="2024-03-29T00:00:00"/>
    <n v="29"/>
    <s v="March"/>
    <n v="2024"/>
    <d v="1899-12-30T12:00:00"/>
    <s v="Client 47"/>
    <s v="Chikago"/>
    <s v="987 Acorn Street, Unit 46SS"/>
    <x v="0"/>
    <s v="(212) 555-1185"/>
    <x v="3"/>
    <x v="0"/>
    <n v="2044"/>
    <n v="5"/>
  </r>
  <r>
    <x v="132"/>
    <n v="29"/>
    <x v="2"/>
    <x v="1"/>
    <x v="1"/>
    <x v="7"/>
    <n v="0"/>
    <n v="3610"/>
    <m/>
    <n v="3610"/>
    <d v="2024-03-29T00:00:00"/>
    <n v="29"/>
    <s v="March"/>
    <n v="2024"/>
    <d v="1899-12-30T16:00:00"/>
    <s v="Client 86"/>
    <s v="Chikago"/>
    <s v="890 Redwood Lane, Unit 85FFFF"/>
    <x v="2"/>
    <s v="(917) 555-5629"/>
    <x v="3"/>
    <x v="0"/>
    <n v="2254"/>
    <n v="4"/>
  </r>
  <r>
    <x v="133"/>
    <n v="2"/>
    <x v="3"/>
    <x v="1"/>
    <x v="2"/>
    <x v="7"/>
    <n v="0"/>
    <n v="2210"/>
    <m/>
    <n v="2210"/>
    <d v="2024-04-02T00:00:00"/>
    <n v="2"/>
    <s v="April"/>
    <n v="2024"/>
    <d v="1899-12-30T18:00:00"/>
    <s v="Client 62"/>
    <s v="New York"/>
    <s v="678 Cedarwood Road, Unit 61HHH"/>
    <x v="4"/>
    <s v="(718) 555-8716"/>
    <x v="4"/>
    <x v="0"/>
    <n v="3880"/>
    <n v="5"/>
  </r>
  <r>
    <x v="134"/>
    <n v="3"/>
    <x v="3"/>
    <x v="1"/>
    <x v="3"/>
    <x v="12"/>
    <n v="0"/>
    <n v="1400"/>
    <m/>
    <n v="1400"/>
    <d v="2024-04-03T00:00:00"/>
    <n v="3"/>
    <s v="April"/>
    <n v="2024"/>
    <d v="1899-12-30T10:00:00"/>
    <s v="Client 55"/>
    <s v="Chikago"/>
    <s v="123 Redwood Avenue, Suite 54AAA"/>
    <x v="3"/>
    <s v="(646) 555-2296"/>
    <x v="4"/>
    <x v="0"/>
    <n v="3376"/>
    <n v="5"/>
  </r>
  <r>
    <x v="135"/>
    <n v="4"/>
    <x v="3"/>
    <x v="1"/>
    <x v="4"/>
    <x v="5"/>
    <n v="0"/>
    <n v="2130"/>
    <m/>
    <n v="2130"/>
    <d v="2024-04-04T00:00:00"/>
    <n v="4"/>
    <s v="April"/>
    <n v="2024"/>
    <d v="1899-12-30T12:00:00"/>
    <s v="Client 15"/>
    <s v="Chikago"/>
    <s v="543 Willowbrook Lane, Apt. 14M"/>
    <x v="0"/>
    <s v="(212) 555-7841"/>
    <x v="3"/>
    <x v="0"/>
    <n v="1445"/>
    <n v="4"/>
  </r>
  <r>
    <x v="136"/>
    <n v="5"/>
    <x v="3"/>
    <x v="1"/>
    <x v="3"/>
    <x v="14"/>
    <n v="0"/>
    <n v="2090"/>
    <n v="0.15"/>
    <n v="2090"/>
    <d v="2024-04-05T00:00:00"/>
    <n v="5"/>
    <s v="April"/>
    <n v="2024"/>
    <d v="1899-12-30T16:00:00"/>
    <s v="Client 76"/>
    <s v="Miami"/>
    <s v="876 Willowbrook Drive, Suite 75VVV"/>
    <x v="0"/>
    <s v="(917) 555-4272"/>
    <x v="4"/>
    <x v="0"/>
    <n v="3501"/>
    <n v="5"/>
  </r>
  <r>
    <x v="137"/>
    <n v="6"/>
    <x v="3"/>
    <x v="1"/>
    <x v="1"/>
    <x v="2"/>
    <n v="0"/>
    <n v="1160"/>
    <m/>
    <n v="1160"/>
    <d v="2024-04-06T00:00:00"/>
    <n v="6"/>
    <s v="April"/>
    <n v="2024"/>
    <d v="1899-12-30T18:00:00"/>
    <s v="Client 87"/>
    <s v="Chikago"/>
    <s v="345 Spruce Street, Apt. 86GGGG"/>
    <x v="1"/>
    <s v="(718) 555-3407"/>
    <x v="1"/>
    <x v="0"/>
    <n v="664"/>
    <n v="4"/>
  </r>
  <r>
    <x v="138"/>
    <n v="1"/>
    <x v="3"/>
    <x v="1"/>
    <x v="2"/>
    <x v="9"/>
    <n v="0"/>
    <n v="100"/>
    <m/>
    <n v="100"/>
    <d v="2024-04-01T00:00:00"/>
    <n v="1"/>
    <s v="April"/>
    <n v="2024"/>
    <d v="1899-12-30T10:00:00"/>
    <s v="Client 74"/>
    <s v="New York"/>
    <s v="654 Magnolia Lane, Unit 73TTT"/>
    <x v="2"/>
    <s v="(646) 555-6740"/>
    <x v="2"/>
    <x v="1"/>
    <n v="2118"/>
    <m/>
  </r>
  <r>
    <x v="139"/>
    <n v="8"/>
    <x v="3"/>
    <x v="1"/>
    <x v="3"/>
    <x v="16"/>
    <n v="0"/>
    <n v="2680"/>
    <m/>
    <n v="2680"/>
    <d v="2024-04-08T00:00:00"/>
    <n v="8"/>
    <s v="April"/>
    <n v="2024"/>
    <d v="1899-12-30T12:00:00"/>
    <s v="Client 39"/>
    <s v="New York"/>
    <s v="789 Maple Street, Apt. 38KK"/>
    <x v="4"/>
    <s v="(212) 555-9827"/>
    <x v="0"/>
    <x v="0"/>
    <n v="1740"/>
    <n v="4"/>
  </r>
  <r>
    <x v="140"/>
    <n v="9"/>
    <x v="3"/>
    <x v="1"/>
    <x v="4"/>
    <x v="18"/>
    <n v="0"/>
    <n v="3650"/>
    <m/>
    <n v="3650"/>
    <d v="2024-04-09T00:00:00"/>
    <n v="9"/>
    <s v="April"/>
    <n v="2024"/>
    <d v="1899-12-30T16:00:00"/>
    <s v="Client 68"/>
    <s v="Chikago"/>
    <s v="890 Willow Drive, Unit 67NNN"/>
    <x v="1"/>
    <s v="(917) 555-7841"/>
    <x v="2"/>
    <x v="0"/>
    <n v="987"/>
    <n v="5"/>
  </r>
  <r>
    <x v="141"/>
    <n v="10"/>
    <x v="3"/>
    <x v="1"/>
    <x v="0"/>
    <x v="1"/>
    <n v="0"/>
    <n v="3590"/>
    <n v="0.15"/>
    <n v="3590"/>
    <d v="2024-04-10T00:00:00"/>
    <n v="10"/>
    <s v="April"/>
    <n v="2024"/>
    <d v="1899-12-30T18:00:00"/>
    <s v="Client 90"/>
    <s v="Chikago"/>
    <s v="5678 Willowbrook Drive, Apt. 89JJJJ"/>
    <x v="0"/>
    <s v="(718) 555-2296"/>
    <x v="4"/>
    <x v="0"/>
    <n v="656"/>
    <n v="5"/>
  </r>
  <r>
    <x v="142"/>
    <n v="11"/>
    <x v="3"/>
    <x v="1"/>
    <x v="3"/>
    <x v="2"/>
    <n v="0"/>
    <n v="3310"/>
    <m/>
    <n v="3310"/>
    <d v="2024-04-11T00:00:00"/>
    <n v="11"/>
    <s v="April"/>
    <n v="2024"/>
    <d v="1899-12-30T10:00:00"/>
    <s v="Client 64"/>
    <s v="Chikago"/>
    <s v="456 Birch Avenue, Suite 63JJJ"/>
    <x v="1"/>
    <n v="47900888990"/>
    <x v="3"/>
    <x v="1"/>
    <n v="3451"/>
    <m/>
  </r>
  <r>
    <x v="143"/>
    <n v="12"/>
    <x v="3"/>
    <x v="1"/>
    <x v="4"/>
    <x v="7"/>
    <n v="0"/>
    <n v="1940"/>
    <m/>
    <n v="1940"/>
    <d v="2024-04-12T00:00:00"/>
    <n v="12"/>
    <s v="April"/>
    <n v="2024"/>
    <d v="1899-12-30T12:00:00"/>
    <s v="Client 10"/>
    <s v="Chikago"/>
    <s v="5678 Juniper Street, Apt. 9H"/>
    <x v="1"/>
    <s v="(212) 555-1186"/>
    <x v="3"/>
    <x v="0"/>
    <n v="676"/>
    <n v="5"/>
  </r>
  <r>
    <x v="143"/>
    <n v="12"/>
    <x v="3"/>
    <x v="1"/>
    <x v="3"/>
    <x v="4"/>
    <n v="0"/>
    <n v="2150"/>
    <m/>
    <n v="2150"/>
    <d v="2024-04-12T00:00:00"/>
    <n v="12"/>
    <s v="April"/>
    <n v="2024"/>
    <d v="1899-12-30T16:00:00"/>
    <s v="Client 28"/>
    <s v="Chikago"/>
    <s v="5678 Cedar Drive, Unit 27Z"/>
    <x v="0"/>
    <s v="(917) 555-5630"/>
    <x v="4"/>
    <x v="0"/>
    <n v="2450"/>
    <n v="5"/>
  </r>
  <r>
    <x v="143"/>
    <n v="12"/>
    <x v="3"/>
    <x v="1"/>
    <x v="1"/>
    <x v="5"/>
    <n v="0"/>
    <n v="3230"/>
    <m/>
    <n v="3230"/>
    <d v="2024-04-12T00:00:00"/>
    <n v="12"/>
    <s v="April"/>
    <n v="2024"/>
    <d v="1899-12-30T18:00:00"/>
    <s v="Client 61"/>
    <s v="Chikago"/>
    <s v="345 Sycamore Lane, Suite 60GGG"/>
    <x v="2"/>
    <s v="(718) 555-8717"/>
    <x v="0"/>
    <x v="0"/>
    <n v="2854"/>
    <n v="5"/>
  </r>
  <r>
    <x v="143"/>
    <n v="12"/>
    <x v="3"/>
    <x v="1"/>
    <x v="2"/>
    <x v="7"/>
    <n v="0"/>
    <n v="2190"/>
    <m/>
    <n v="2190"/>
    <d v="2024-04-12T00:00:00"/>
    <n v="12"/>
    <s v="April"/>
    <n v="2024"/>
    <d v="1899-12-30T10:00:00"/>
    <s v="Client 71"/>
    <s v="Chikago"/>
    <s v="1234 Aspen Road, Unit 70QQQ"/>
    <x v="4"/>
    <s v="(646) 555-2297"/>
    <x v="2"/>
    <x v="0"/>
    <n v="2597"/>
    <n v="3"/>
  </r>
  <r>
    <x v="144"/>
    <n v="16"/>
    <x v="3"/>
    <x v="1"/>
    <x v="3"/>
    <x v="5"/>
    <n v="0"/>
    <n v="1120"/>
    <m/>
    <n v="1120"/>
    <d v="2024-04-16T00:00:00"/>
    <n v="16"/>
    <s v="April"/>
    <n v="2024"/>
    <d v="1899-12-30T12:00:00"/>
    <s v="Client 53"/>
    <s v="Chikago"/>
    <s v="8765 Maple Street, Unit 52YY"/>
    <x v="3"/>
    <s v="(212) 555-7842"/>
    <x v="1"/>
    <x v="0"/>
    <n v="1889"/>
    <n v="3"/>
  </r>
  <r>
    <x v="142"/>
    <n v="11"/>
    <x v="3"/>
    <x v="1"/>
    <x v="4"/>
    <x v="6"/>
    <n v="0"/>
    <n v="2330"/>
    <m/>
    <n v="2330"/>
    <d v="2024-04-11T00:00:00"/>
    <n v="11"/>
    <s v="April"/>
    <n v="2024"/>
    <d v="1899-12-30T16:00:00"/>
    <s v="Client 85"/>
    <s v="Chikago"/>
    <s v="567 Willow Drive, Suite 84EEEE"/>
    <x v="1"/>
    <s v="(917) 555-4273"/>
    <x v="4"/>
    <x v="0"/>
    <n v="1536"/>
    <n v="2"/>
  </r>
  <r>
    <x v="145"/>
    <n v="18"/>
    <x v="3"/>
    <x v="1"/>
    <x v="1"/>
    <x v="3"/>
    <n v="0"/>
    <n v="120"/>
    <m/>
    <n v="120"/>
    <d v="2024-04-18T00:00:00"/>
    <n v="18"/>
    <s v="April"/>
    <n v="2024"/>
    <d v="1899-12-30T18:00:00"/>
    <s v="Client 6"/>
    <s v="Chikago"/>
    <s v="890 Maple Drive, Apt. 2A"/>
    <x v="0"/>
    <s v="(718) 555-3408"/>
    <x v="3"/>
    <x v="1"/>
    <n v="1691"/>
    <m/>
  </r>
  <r>
    <x v="146"/>
    <n v="19"/>
    <x v="3"/>
    <x v="1"/>
    <x v="0"/>
    <x v="0"/>
    <n v="0"/>
    <n v="3020"/>
    <m/>
    <n v="3020"/>
    <d v="2024-04-19T00:00:00"/>
    <n v="19"/>
    <s v="April"/>
    <n v="2024"/>
    <d v="1899-12-30T10:00:00"/>
    <s v="Client 25"/>
    <s v="Dallas"/>
    <s v="345 Redwood Lane, Unit 24W"/>
    <x v="1"/>
    <s v="(646) 555-6741"/>
    <x v="3"/>
    <x v="0"/>
    <n v="3498"/>
    <n v="5"/>
  </r>
  <r>
    <x v="147"/>
    <n v="20"/>
    <x v="3"/>
    <x v="1"/>
    <x v="2"/>
    <x v="1"/>
    <n v="0"/>
    <n v="3020"/>
    <m/>
    <n v="3020"/>
    <d v="2024-04-20T00:00:00"/>
    <n v="20"/>
    <s v="April"/>
    <n v="2024"/>
    <d v="1899-12-30T12:00:00"/>
    <s v="Client 24"/>
    <s v="Chikago"/>
    <s v="890 Willow Drive, Apt. 23V"/>
    <x v="2"/>
    <s v="(212) 555-9828"/>
    <x v="3"/>
    <x v="0"/>
    <n v="2369"/>
    <n v="5"/>
  </r>
  <r>
    <x v="148"/>
    <n v="21"/>
    <x v="3"/>
    <x v="1"/>
    <x v="3"/>
    <x v="7"/>
    <n v="0"/>
    <n v="2340"/>
    <m/>
    <n v="2340"/>
    <d v="2024-04-21T00:00:00"/>
    <n v="21"/>
    <s v="April"/>
    <n v="2024"/>
    <d v="1899-12-30T16:00:00"/>
    <s v="Client 54"/>
    <s v="Chikago"/>
    <s v="4321 Pine Street, Apt. 53ZZ"/>
    <x v="0"/>
    <s v="(917) 555-7842"/>
    <x v="4"/>
    <x v="0"/>
    <n v="2339"/>
    <n v="5"/>
  </r>
  <r>
    <x v="149"/>
    <n v="22"/>
    <x v="3"/>
    <x v="1"/>
    <x v="4"/>
    <x v="5"/>
    <n v="0"/>
    <n v="2390"/>
    <m/>
    <n v="2390"/>
    <d v="2024-04-22T00:00:00"/>
    <n v="22"/>
    <s v="April"/>
    <n v="2024"/>
    <d v="1899-12-30T18:00:00"/>
    <s v="Client 60"/>
    <s v="Chikago"/>
    <s v="890 Acorn Avenue, Apt. 59FFF"/>
    <x v="1"/>
    <s v="(718) 555-2297"/>
    <x v="4"/>
    <x v="0"/>
    <n v="856"/>
    <n v="4"/>
  </r>
  <r>
    <x v="150"/>
    <n v="23"/>
    <x v="3"/>
    <x v="1"/>
    <x v="3"/>
    <x v="8"/>
    <n v="0"/>
    <n v="2610"/>
    <m/>
    <n v="2610"/>
    <d v="2024-04-23T00:00:00"/>
    <n v="23"/>
    <s v="April"/>
    <n v="2024"/>
    <d v="1899-12-30T10:00:00"/>
    <s v="Client 12"/>
    <s v="New York"/>
    <s v="654 Pinecone Lane, Unit 11J"/>
    <x v="1"/>
    <n v="46900888990"/>
    <x v="3"/>
    <x v="0"/>
    <n v="3171"/>
    <n v="3"/>
  </r>
  <r>
    <x v="151"/>
    <n v="24"/>
    <x v="3"/>
    <x v="1"/>
    <x v="4"/>
    <x v="7"/>
    <n v="0"/>
    <n v="1950"/>
    <m/>
    <n v="1950"/>
    <d v="2024-04-24T00:00:00"/>
    <n v="24"/>
    <s v="April"/>
    <n v="2024"/>
    <d v="1899-12-30T12:00:00"/>
    <s v="Client 22"/>
    <s v="Chikago"/>
    <s v="234 Maple Road, Unit 21T"/>
    <x v="0"/>
    <s v="(212) 555-1187"/>
    <x v="4"/>
    <x v="0"/>
    <n v="2039"/>
    <n v="5"/>
  </r>
  <r>
    <x v="152"/>
    <n v="25"/>
    <x v="3"/>
    <x v="1"/>
    <x v="3"/>
    <x v="19"/>
    <n v="0"/>
    <n v="110"/>
    <m/>
    <n v="110"/>
    <d v="2024-04-25T00:00:00"/>
    <n v="25"/>
    <s v="April"/>
    <n v="2024"/>
    <d v="1899-12-30T16:00:00"/>
    <s v="Client 29"/>
    <s v="Chikago"/>
    <s v="987 Pinecone Avenue, Suite 28AA"/>
    <x v="2"/>
    <s v="(917) 555-5631"/>
    <x v="1"/>
    <x v="0"/>
    <n v="667"/>
    <n v="4"/>
  </r>
  <r>
    <x v="153"/>
    <n v="26"/>
    <x v="3"/>
    <x v="1"/>
    <x v="1"/>
    <x v="10"/>
    <n v="0"/>
    <n v="2450"/>
    <m/>
    <n v="2450"/>
    <d v="2024-04-26T00:00:00"/>
    <n v="26"/>
    <s v="April"/>
    <n v="2024"/>
    <d v="1899-12-30T18:00:00"/>
    <s v="Client 12"/>
    <s v="New York"/>
    <s v="654 Pinecone Lane, Unit 11J"/>
    <x v="4"/>
    <s v="(718) 555-8718"/>
    <x v="2"/>
    <x v="0"/>
    <n v="2142"/>
    <n v="4"/>
  </r>
  <r>
    <x v="148"/>
    <n v="21"/>
    <x v="3"/>
    <x v="1"/>
    <x v="2"/>
    <x v="11"/>
    <n v="0"/>
    <n v="1960"/>
    <m/>
    <n v="1960"/>
    <d v="2024-04-21T00:00:00"/>
    <n v="21"/>
    <s v="April"/>
    <n v="2024"/>
    <d v="1899-12-30T09:00:00"/>
    <s v="Client 79"/>
    <s v="Miami"/>
    <s v="8765 Cedarwood Street, Suite 78YYY"/>
    <x v="3"/>
    <s v="(646) 555-2298"/>
    <x v="0"/>
    <x v="0"/>
    <n v="3783"/>
    <n v="5"/>
  </r>
  <r>
    <x v="149"/>
    <n v="22"/>
    <x v="3"/>
    <x v="1"/>
    <x v="2"/>
    <x v="11"/>
    <n v="7030"/>
    <n v="0"/>
    <m/>
    <n v="7030"/>
    <d v="2024-04-22T00:00:00"/>
    <n v="22"/>
    <s v="April"/>
    <n v="2024"/>
    <d v="1899-12-30T10:00:00"/>
    <s v="Client 80"/>
    <s v="Miami"/>
    <s v="8766 Cedarwood Street, Suite 78YYY"/>
    <x v="3"/>
    <s v="(646) 555-2299"/>
    <x v="0"/>
    <x v="0"/>
    <n v="860"/>
    <n v="5"/>
  </r>
  <r>
    <x v="154"/>
    <n v="28"/>
    <x v="3"/>
    <x v="1"/>
    <x v="3"/>
    <x v="4"/>
    <n v="0"/>
    <n v="2900"/>
    <m/>
    <n v="2900"/>
    <d v="2024-04-28T00:00:00"/>
    <n v="28"/>
    <s v="April"/>
    <n v="2024"/>
    <d v="1899-12-30T11:00:00"/>
    <s v="Client 40"/>
    <s v="Chikago"/>
    <s v="234 Pine Road, Suite 39LL"/>
    <x v="0"/>
    <s v="(212) 555-7843"/>
    <x v="2"/>
    <x v="0"/>
    <n v="1980"/>
    <n v="5"/>
  </r>
  <r>
    <x v="155"/>
    <n v="29"/>
    <x v="3"/>
    <x v="1"/>
    <x v="4"/>
    <x v="12"/>
    <n v="0"/>
    <n v="2850"/>
    <m/>
    <n v="2850"/>
    <d v="2024-04-29T00:00:00"/>
    <n v="29"/>
    <s v="April"/>
    <n v="2024"/>
    <d v="1899-12-30T15:00:00"/>
    <s v="Client 66"/>
    <s v="Chikago"/>
    <s v="234 Maple Road, Apt. 65LLL"/>
    <x v="0"/>
    <s v="(917) 555-4274"/>
    <x v="4"/>
    <x v="0"/>
    <n v="958"/>
    <n v="5"/>
  </r>
  <r>
    <x v="156"/>
    <n v="30"/>
    <x v="3"/>
    <x v="1"/>
    <x v="1"/>
    <x v="4"/>
    <n v="0"/>
    <n v="2810"/>
    <m/>
    <n v="2810"/>
    <d v="2024-04-30T00:00:00"/>
    <n v="30"/>
    <s v="April"/>
    <n v="2024"/>
    <d v="1899-12-30T11:00:00"/>
    <s v="Client 29"/>
    <s v="Chikago"/>
    <s v="987 Pinecone Avenue, Suite 28AA"/>
    <x v="1"/>
    <s v="(718) 555-3409"/>
    <x v="3"/>
    <x v="0"/>
    <n v="2678"/>
    <n v="4"/>
  </r>
  <r>
    <x v="156"/>
    <n v="30"/>
    <x v="3"/>
    <x v="1"/>
    <x v="0"/>
    <x v="12"/>
    <n v="0"/>
    <n v="1260"/>
    <m/>
    <n v="1260"/>
    <d v="2024-04-30T00:00:00"/>
    <n v="30"/>
    <s v="April"/>
    <n v="2024"/>
    <d v="1899-12-30T09:00:00"/>
    <s v="Client 39"/>
    <s v="New York"/>
    <s v="789 Maple Street, Apt. 38KK"/>
    <x v="2"/>
    <s v="(646) 555-6742"/>
    <x v="3"/>
    <x v="0"/>
    <n v="2652"/>
    <n v="5"/>
  </r>
  <r>
    <x v="157"/>
    <n v="2"/>
    <x v="4"/>
    <x v="1"/>
    <x v="3"/>
    <x v="7"/>
    <n v="0"/>
    <n v="2400"/>
    <m/>
    <n v="2400"/>
    <d v="2024-05-02T00:00:00"/>
    <n v="2"/>
    <s v="May"/>
    <n v="2024"/>
    <d v="1899-12-30T11:00:00"/>
    <s v="Client 36"/>
    <s v="Chikago"/>
    <s v="4321 Elm Drive, Apt. 35HH"/>
    <x v="4"/>
    <s v="(212) 555-9829"/>
    <x v="4"/>
    <x v="0"/>
    <n v="3470"/>
    <n v="5"/>
  </r>
  <r>
    <x v="157"/>
    <n v="2"/>
    <x v="4"/>
    <x v="1"/>
    <x v="4"/>
    <x v="1"/>
    <n v="0"/>
    <n v="3860"/>
    <m/>
    <n v="3860"/>
    <d v="2024-05-02T00:00:00"/>
    <n v="2"/>
    <s v="May"/>
    <n v="2024"/>
    <d v="1899-12-30T15:00:00"/>
    <s v="Client 31"/>
    <s v="Chikago"/>
    <s v="321 Sequoia Street, Unit 30CC"/>
    <x v="1"/>
    <s v="(917) 555-7843"/>
    <x v="0"/>
    <x v="0"/>
    <n v="2335"/>
    <n v="5"/>
  </r>
  <r>
    <x v="158"/>
    <n v="4"/>
    <x v="4"/>
    <x v="1"/>
    <x v="3"/>
    <x v="6"/>
    <n v="0"/>
    <n v="130"/>
    <n v="0.15"/>
    <n v="130"/>
    <d v="2024-05-04T00:00:00"/>
    <n v="4"/>
    <s v="May"/>
    <n v="2024"/>
    <d v="1899-12-30T11:00:00"/>
    <s v="Client 63"/>
    <s v="Chikago"/>
    <s v="123 Elm Street, Apt. 62III"/>
    <x v="0"/>
    <s v="(718) 555-2298"/>
    <x v="2"/>
    <x v="0"/>
    <n v="4153"/>
    <n v="5"/>
  </r>
  <r>
    <x v="159"/>
    <n v="5"/>
    <x v="4"/>
    <x v="1"/>
    <x v="1"/>
    <x v="6"/>
    <n v="0"/>
    <n v="3440"/>
    <m/>
    <n v="3440"/>
    <d v="2024-05-05T00:00:00"/>
    <n v="5"/>
    <s v="May"/>
    <n v="2024"/>
    <d v="1899-12-30T09:00:00"/>
    <s v="Client 87"/>
    <s v="Chikago"/>
    <s v="345 Spruce Street, Apt. 86GGGG"/>
    <x v="1"/>
    <n v="45900888990"/>
    <x v="1"/>
    <x v="0"/>
    <n v="4132"/>
    <n v="4"/>
  </r>
  <r>
    <x v="160"/>
    <n v="6"/>
    <x v="4"/>
    <x v="1"/>
    <x v="2"/>
    <x v="1"/>
    <n v="0"/>
    <n v="2110"/>
    <n v="0.15"/>
    <n v="2110"/>
    <d v="2024-05-06T00:00:00"/>
    <n v="6"/>
    <s v="May"/>
    <n v="2024"/>
    <d v="1899-12-30T11:00:00"/>
    <s v="Client 50"/>
    <s v="New York"/>
    <s v="876 Elm Drive, Unit 49VV"/>
    <x v="0"/>
    <s v="(212) 555-1188"/>
    <x v="4"/>
    <x v="0"/>
    <n v="1704"/>
    <n v="5"/>
  </r>
  <r>
    <x v="161"/>
    <n v="1"/>
    <x v="4"/>
    <x v="1"/>
    <x v="3"/>
    <x v="12"/>
    <n v="0"/>
    <n v="1130"/>
    <m/>
    <n v="1130"/>
    <d v="2024-05-01T00:00:00"/>
    <n v="1"/>
    <s v="May"/>
    <n v="2024"/>
    <d v="1899-12-30T15:00:00"/>
    <s v="Client 64"/>
    <s v="Chikago"/>
    <s v="456 Birch Avenue, Suite 63JJJ"/>
    <x v="4"/>
    <s v="(917) 555-5632"/>
    <x v="4"/>
    <x v="0"/>
    <n v="2279"/>
    <n v="5"/>
  </r>
  <r>
    <x v="162"/>
    <n v="8"/>
    <x v="4"/>
    <x v="1"/>
    <x v="4"/>
    <x v="5"/>
    <n v="0"/>
    <n v="890"/>
    <m/>
    <n v="890"/>
    <d v="2024-05-08T00:00:00"/>
    <n v="8"/>
    <s v="May"/>
    <n v="2024"/>
    <d v="1899-12-30T11:00:00"/>
    <s v="Client 92"/>
    <s v="New York"/>
    <s v="654 Sycamore Avenue, Unit 91LLLL"/>
    <x v="0"/>
    <s v="(718) 555-8719"/>
    <x v="4"/>
    <x v="0"/>
    <n v="4022"/>
    <n v="5"/>
  </r>
  <r>
    <x v="163"/>
    <n v="9"/>
    <x v="4"/>
    <x v="1"/>
    <x v="1"/>
    <x v="14"/>
    <n v="0"/>
    <n v="3820"/>
    <m/>
    <n v="3820"/>
    <d v="2024-05-09T00:00:00"/>
    <n v="9"/>
    <s v="May"/>
    <n v="2024"/>
    <d v="1899-12-30T09:00:00"/>
    <s v="Client 87"/>
    <s v="Chikago"/>
    <s v="345 Spruce Street, Apt. 86GGGG"/>
    <x v="1"/>
    <s v="(646) 555-2299"/>
    <x v="4"/>
    <x v="1"/>
    <n v="1752"/>
    <m/>
  </r>
  <r>
    <x v="164"/>
    <n v="10"/>
    <x v="4"/>
    <x v="1"/>
    <x v="3"/>
    <x v="15"/>
    <n v="0"/>
    <n v="1250"/>
    <n v="0.15"/>
    <n v="1250"/>
    <d v="2024-05-10T00:00:00"/>
    <n v="10"/>
    <s v="May"/>
    <n v="2024"/>
    <d v="1899-12-30T11:00:00"/>
    <s v="Client 89"/>
    <s v="Chikago"/>
    <s v="1234 Sequoia Road, Unit 88IIII"/>
    <x v="1"/>
    <s v="(212) 555-7844"/>
    <x v="4"/>
    <x v="0"/>
    <n v="1048"/>
    <n v="3"/>
  </r>
  <r>
    <x v="165"/>
    <n v="11"/>
    <x v="4"/>
    <x v="1"/>
    <x v="4"/>
    <x v="1"/>
    <n v="0"/>
    <n v="1810"/>
    <m/>
    <n v="1810"/>
    <d v="2024-05-11T00:00:00"/>
    <n v="11"/>
    <s v="May"/>
    <n v="2024"/>
    <d v="1899-12-30T15:00:00"/>
    <s v="Client 68"/>
    <s v="Chikago"/>
    <s v="890 Willow Drive, Unit 67NNN"/>
    <x v="0"/>
    <s v="(917) 555-4275"/>
    <x v="4"/>
    <x v="0"/>
    <n v="2013"/>
    <n v="4"/>
  </r>
  <r>
    <x v="166"/>
    <n v="12"/>
    <x v="4"/>
    <x v="1"/>
    <x v="3"/>
    <x v="12"/>
    <n v="0"/>
    <n v="3910"/>
    <m/>
    <n v="3910"/>
    <d v="2024-05-12T00:00:00"/>
    <n v="12"/>
    <s v="May"/>
    <n v="2024"/>
    <d v="1899-12-30T11:00:00"/>
    <s v="Client 93"/>
    <s v="Chikago"/>
    <s v="321 Cedarwood Lane, Apt. 92MMMM"/>
    <x v="2"/>
    <s v="(718) 555-3410"/>
    <x v="4"/>
    <x v="0"/>
    <n v="2891"/>
    <n v="5"/>
  </r>
  <r>
    <x v="167"/>
    <n v="13"/>
    <x v="4"/>
    <x v="1"/>
    <x v="0"/>
    <x v="5"/>
    <n v="19000"/>
    <n v="980"/>
    <m/>
    <n v="19980"/>
    <d v="2024-05-13T00:00:00"/>
    <n v="13"/>
    <s v="May"/>
    <n v="2024"/>
    <d v="1899-12-30T10:00:00"/>
    <s v="Client 43"/>
    <s v="Chikago"/>
    <s v="345 Spruce Street, Suite 42OO"/>
    <x v="4"/>
    <s v="(646) 555-6743"/>
    <x v="4"/>
    <x v="0"/>
    <n v="3471"/>
    <n v="5"/>
  </r>
  <r>
    <x v="168"/>
    <n v="14"/>
    <x v="4"/>
    <x v="1"/>
    <x v="2"/>
    <x v="14"/>
    <n v="0"/>
    <n v="130"/>
    <m/>
    <n v="130"/>
    <d v="2024-05-14T00:00:00"/>
    <n v="14"/>
    <s v="May"/>
    <n v="2024"/>
    <d v="1899-12-30T12:00:00"/>
    <s v="Client 60"/>
    <s v="Chikago"/>
    <s v="890 Acorn Avenue, Apt. 59FFF"/>
    <x v="2"/>
    <s v="(212) 555-9830"/>
    <x v="4"/>
    <x v="0"/>
    <n v="2340"/>
    <n v="5"/>
  </r>
  <r>
    <x v="169"/>
    <n v="15"/>
    <x v="4"/>
    <x v="1"/>
    <x v="3"/>
    <x v="2"/>
    <n v="0"/>
    <n v="3280"/>
    <m/>
    <n v="3280"/>
    <d v="2024-05-15T00:00:00"/>
    <n v="15"/>
    <s v="May"/>
    <n v="2024"/>
    <d v="1899-12-30T16:00:00"/>
    <s v="Client 24"/>
    <s v="Chikago"/>
    <s v="890 Willow Drive, Apt. 23V"/>
    <x v="3"/>
    <s v="(917) 555-7844"/>
    <x v="4"/>
    <x v="0"/>
    <n v="2826"/>
    <n v="4"/>
  </r>
  <r>
    <x v="170"/>
    <n v="16"/>
    <x v="4"/>
    <x v="1"/>
    <x v="4"/>
    <x v="9"/>
    <n v="0"/>
    <n v="2260"/>
    <m/>
    <n v="2260"/>
    <d v="2024-05-16T00:00:00"/>
    <n v="16"/>
    <s v="May"/>
    <n v="2024"/>
    <d v="1899-12-30T18:00:00"/>
    <s v="Client 34"/>
    <s v="Chikago"/>
    <s v="210 Sycamore Road, Unit 33FF"/>
    <x v="0"/>
    <s v="(718) 555-2299"/>
    <x v="4"/>
    <x v="0"/>
    <n v="790"/>
    <n v="5"/>
  </r>
  <r>
    <x v="165"/>
    <n v="11"/>
    <x v="4"/>
    <x v="1"/>
    <x v="1"/>
    <x v="16"/>
    <n v="0"/>
    <n v="2220"/>
    <m/>
    <n v="2220"/>
    <d v="2024-05-11T00:00:00"/>
    <n v="11"/>
    <s v="May"/>
    <n v="2024"/>
    <d v="1899-12-30T10:00:00"/>
    <s v="Client 18"/>
    <s v="Chikago"/>
    <s v="4321 Cedarwood Drive, Apt. 17P"/>
    <x v="1"/>
    <n v="44900888990"/>
    <x v="4"/>
    <x v="0"/>
    <n v="3171"/>
    <n v="5"/>
  </r>
  <r>
    <x v="171"/>
    <n v="18"/>
    <x v="4"/>
    <x v="1"/>
    <x v="1"/>
    <x v="7"/>
    <n v="0"/>
    <n v="2800"/>
    <m/>
    <n v="2800"/>
    <d v="2024-05-18T00:00:00"/>
    <n v="18"/>
    <s v="May"/>
    <n v="2024"/>
    <d v="1899-12-30T12:00:00"/>
    <s v="Client 60"/>
    <s v="Chikago"/>
    <s v="890 Acorn Avenue, Apt. 59FFF"/>
    <x v="1"/>
    <s v="(212) 555-1189"/>
    <x v="0"/>
    <x v="0"/>
    <n v="2248"/>
    <n v="5"/>
  </r>
  <r>
    <x v="172"/>
    <n v="19"/>
    <x v="4"/>
    <x v="1"/>
    <x v="2"/>
    <x v="1"/>
    <n v="0"/>
    <n v="880"/>
    <m/>
    <n v="880"/>
    <d v="2024-05-19T00:00:00"/>
    <n v="19"/>
    <s v="May"/>
    <n v="2024"/>
    <d v="1899-12-30T16:00:00"/>
    <s v="Client 72"/>
    <s v="Chikago"/>
    <s v="5678 Cedar Drive, Apt. 71RRR"/>
    <x v="0"/>
    <s v="(917) 555-5633"/>
    <x v="2"/>
    <x v="0"/>
    <n v="2773"/>
    <n v="5"/>
  </r>
  <r>
    <x v="173"/>
    <n v="20"/>
    <x v="4"/>
    <x v="1"/>
    <x v="3"/>
    <x v="2"/>
    <n v="0"/>
    <n v="190"/>
    <m/>
    <n v="190"/>
    <d v="2024-05-20T00:00:00"/>
    <n v="20"/>
    <s v="May"/>
    <n v="2024"/>
    <d v="1899-12-30T18:00:00"/>
    <s v="Client 51"/>
    <s v="Chikago"/>
    <s v="543 Birch Road, Apt. 50WW"/>
    <x v="2"/>
    <s v="(718) 555-8720"/>
    <x v="4"/>
    <x v="0"/>
    <n v="2162"/>
    <n v="5"/>
  </r>
  <r>
    <x v="174"/>
    <n v="21"/>
    <x v="4"/>
    <x v="1"/>
    <x v="4"/>
    <x v="3"/>
    <n v="0"/>
    <n v="950"/>
    <m/>
    <n v="950"/>
    <d v="2024-05-21T00:00:00"/>
    <n v="21"/>
    <s v="May"/>
    <n v="2024"/>
    <d v="1899-12-30T10:00:00"/>
    <s v="Client 34"/>
    <s v="Chikago"/>
    <s v="210 Sycamore Road, Unit 33FF"/>
    <x v="4"/>
    <s v="(646) 555-2300"/>
    <x v="3"/>
    <x v="0"/>
    <n v="1873"/>
    <n v="4"/>
  </r>
  <r>
    <x v="175"/>
    <n v="22"/>
    <x v="4"/>
    <x v="1"/>
    <x v="3"/>
    <x v="7"/>
    <n v="2630"/>
    <n v="0"/>
    <m/>
    <n v="2630"/>
    <d v="2024-05-22T00:00:00"/>
    <n v="22"/>
    <s v="May"/>
    <n v="2024"/>
    <d v="1899-12-30T12:00:00"/>
    <s v="Client 6"/>
    <s v="Chikago"/>
    <s v="890 Maple Drive, Apt. 2A"/>
    <x v="2"/>
    <s v="(212) 555-7845"/>
    <x v="3"/>
    <x v="0"/>
    <n v="3857"/>
    <n v="5"/>
  </r>
  <r>
    <x v="176"/>
    <n v="23"/>
    <x v="4"/>
    <x v="1"/>
    <x v="0"/>
    <x v="5"/>
    <n v="2640"/>
    <n v="0"/>
    <m/>
    <n v="2640"/>
    <d v="2024-05-23T00:00:00"/>
    <n v="23"/>
    <s v="May"/>
    <n v="2024"/>
    <d v="1899-12-30T16:00:00"/>
    <s v="Client 7"/>
    <s v="Chikago"/>
    <s v="345 Cedar Court, Suite 6E"/>
    <x v="3"/>
    <s v="(917) 555-4276"/>
    <x v="4"/>
    <x v="0"/>
    <n v="3169"/>
    <n v="3"/>
  </r>
  <r>
    <x v="177"/>
    <n v="24"/>
    <x v="4"/>
    <x v="1"/>
    <x v="2"/>
    <x v="4"/>
    <n v="1380"/>
    <n v="0"/>
    <m/>
    <n v="1380"/>
    <d v="2024-05-24T00:00:00"/>
    <n v="24"/>
    <s v="May"/>
    <n v="2024"/>
    <d v="1899-12-30T18:00:00"/>
    <s v="Client 65"/>
    <s v="New York"/>
    <s v="789 Oak Lane, Unit 64KKK"/>
    <x v="0"/>
    <s v="(718) 555-3411"/>
    <x v="0"/>
    <x v="0"/>
    <n v="1491"/>
    <n v="4"/>
  </r>
  <r>
    <x v="178"/>
    <n v="25"/>
    <x v="4"/>
    <x v="1"/>
    <x v="3"/>
    <x v="5"/>
    <n v="3180"/>
    <n v="0"/>
    <m/>
    <n v="3180"/>
    <d v="2024-05-25T00:00:00"/>
    <n v="25"/>
    <s v="May"/>
    <n v="2024"/>
    <d v="1899-12-30T10:00:00"/>
    <s v="Client 52"/>
    <s v="Chikago"/>
    <s v="210 Oak Lane, Suite 51XX"/>
    <x v="2"/>
    <s v="(646) 555-6744"/>
    <x v="2"/>
    <x v="0"/>
    <n v="2614"/>
    <n v="4"/>
  </r>
  <r>
    <x v="179"/>
    <n v="26"/>
    <x v="4"/>
    <x v="1"/>
    <x v="4"/>
    <x v="6"/>
    <n v="1110"/>
    <n v="0"/>
    <m/>
    <n v="1110"/>
    <d v="2024-05-26T00:00:00"/>
    <n v="26"/>
    <s v="May"/>
    <n v="2024"/>
    <d v="1899-12-30T12:00:00"/>
    <s v="Client 31"/>
    <s v="Chikago"/>
    <s v="321 Sequoia Street, Unit 30CC"/>
    <x v="4"/>
    <s v="(212) 555-9831"/>
    <x v="1"/>
    <x v="0"/>
    <n v="1575"/>
    <n v="5"/>
  </r>
  <r>
    <x v="174"/>
    <n v="21"/>
    <x v="4"/>
    <x v="1"/>
    <x v="1"/>
    <x v="3"/>
    <n v="0"/>
    <n v="1660"/>
    <n v="0.15"/>
    <n v="1660"/>
    <d v="2024-05-21T00:00:00"/>
    <n v="21"/>
    <s v="May"/>
    <n v="2024"/>
    <d v="1899-12-30T16:00:00"/>
    <s v="Client 34"/>
    <s v="Chikago"/>
    <s v="210 Sycamore Road, Unit 33FF"/>
    <x v="1"/>
    <s v="(917) 555-7845"/>
    <x v="4"/>
    <x v="0"/>
    <n v="1654"/>
    <n v="3"/>
  </r>
  <r>
    <x v="175"/>
    <n v="22"/>
    <x v="4"/>
    <x v="1"/>
    <x v="1"/>
    <x v="3"/>
    <n v="10500"/>
    <n v="0"/>
    <n v="0.15"/>
    <n v="10500"/>
    <d v="2024-05-22T00:00:00"/>
    <n v="22"/>
    <s v="May"/>
    <n v="2024"/>
    <d v="1899-12-30T17:00:00"/>
    <s v="Client 35"/>
    <s v="Chikago"/>
    <s v="211 Sycamore Road, Unit 33FF"/>
    <x v="5"/>
    <s v="(917) 555-7846"/>
    <x v="4"/>
    <x v="0"/>
    <n v="1801"/>
    <n v="4"/>
  </r>
  <r>
    <x v="180"/>
    <n v="28"/>
    <x v="4"/>
    <x v="1"/>
    <x v="1"/>
    <x v="0"/>
    <n v="0"/>
    <n v="1130"/>
    <n v="0.15"/>
    <n v="1130"/>
    <d v="2024-05-28T00:00:00"/>
    <n v="28"/>
    <s v="May"/>
    <n v="2024"/>
    <d v="1899-12-30T18:00:00"/>
    <s v="Client 97"/>
    <s v="New Orleans"/>
    <s v="8765 Maple Street, Suite 96QQQQ"/>
    <x v="0"/>
    <s v="(718) 555-2300"/>
    <x v="3"/>
    <x v="0"/>
    <n v="2120"/>
    <n v="2"/>
  </r>
  <r>
    <x v="181"/>
    <n v="29"/>
    <x v="4"/>
    <x v="1"/>
    <x v="2"/>
    <x v="1"/>
    <n v="0"/>
    <n v="2910"/>
    <n v="0.15"/>
    <n v="2910"/>
    <d v="2024-05-29T00:00:00"/>
    <n v="29"/>
    <s v="May"/>
    <n v="2024"/>
    <d v="1899-12-30T10:00:00"/>
    <s v="Client 14"/>
    <s v="Miami"/>
    <s v="876 Sequoia Road, Suite 13L"/>
    <x v="5"/>
    <n v="43900888990"/>
    <x v="3"/>
    <x v="0"/>
    <n v="3032"/>
    <n v="4"/>
  </r>
  <r>
    <x v="182"/>
    <n v="30"/>
    <x v="4"/>
    <x v="1"/>
    <x v="3"/>
    <x v="4"/>
    <n v="0"/>
    <n v="2390"/>
    <n v="0.15"/>
    <n v="2390"/>
    <d v="2024-05-30T00:00:00"/>
    <n v="30"/>
    <s v="May"/>
    <n v="2024"/>
    <d v="1899-12-30T12:00:00"/>
    <s v="Client 86"/>
    <s v="Chikago"/>
    <s v="890 Redwood Lane, Unit 85FFFF"/>
    <x v="0"/>
    <s v="(212) 555-1190"/>
    <x v="3"/>
    <x v="0"/>
    <n v="2786"/>
    <n v="5"/>
  </r>
  <r>
    <x v="183"/>
    <n v="31"/>
    <x v="4"/>
    <x v="1"/>
    <x v="4"/>
    <x v="5"/>
    <n v="0"/>
    <n v="1410"/>
    <n v="0.15"/>
    <n v="1410"/>
    <d v="2024-05-31T00:00:00"/>
    <n v="31"/>
    <s v="May"/>
    <n v="2024"/>
    <d v="1899-12-30T16:00:00"/>
    <s v="Client 35"/>
    <s v="Miami"/>
    <s v="8765 Cedarwood Street, Suite 34GG"/>
    <x v="4"/>
    <s v="(917) 555-5634"/>
    <x v="4"/>
    <x v="0"/>
    <n v="2814"/>
    <n v="5"/>
  </r>
  <r>
    <x v="183"/>
    <n v="31"/>
    <x v="4"/>
    <x v="1"/>
    <x v="3"/>
    <x v="8"/>
    <n v="3120"/>
    <n v="0"/>
    <n v="0.15"/>
    <n v="3120"/>
    <d v="2024-05-31T00:00:00"/>
    <n v="31"/>
    <s v="May"/>
    <n v="2024"/>
    <d v="1899-12-30T18:00:00"/>
    <s v="Client 82"/>
    <s v="Chikago"/>
    <s v="456 Oak Avenue, Suite 81BBBB"/>
    <x v="0"/>
    <s v="(718) 555-8721"/>
    <x v="4"/>
    <x v="0"/>
    <n v="3929"/>
    <n v="5"/>
  </r>
  <r>
    <x v="184"/>
    <n v="2"/>
    <x v="5"/>
    <x v="1"/>
    <x v="0"/>
    <x v="16"/>
    <n v="0"/>
    <n v="1380"/>
    <n v="0.15"/>
    <n v="1380"/>
    <d v="2024-06-02T00:00:00"/>
    <n v="2"/>
    <s v="June"/>
    <n v="2024"/>
    <d v="1899-12-30T10:00:00"/>
    <s v="Client 20"/>
    <s v="Chikago"/>
    <s v="456 Birch Avenue, Suite 19R"/>
    <x v="5"/>
    <s v="(646) 555-2301"/>
    <x v="3"/>
    <x v="0"/>
    <n v="2847"/>
    <n v="5"/>
  </r>
  <r>
    <x v="185"/>
    <n v="3"/>
    <x v="5"/>
    <x v="1"/>
    <x v="2"/>
    <x v="19"/>
    <n v="0"/>
    <n v="2110"/>
    <m/>
    <n v="2110"/>
    <d v="2024-06-03T00:00:00"/>
    <n v="3"/>
    <s v="June"/>
    <n v="2024"/>
    <d v="1899-12-30T12:00:00"/>
    <s v="Client 61"/>
    <s v="Chikago"/>
    <s v="345 Sycamore Lane, Suite 60GGG"/>
    <x v="5"/>
    <s v="(212) 555-7846"/>
    <x v="4"/>
    <x v="0"/>
    <n v="2497"/>
    <n v="5"/>
  </r>
  <r>
    <x v="186"/>
    <n v="4"/>
    <x v="5"/>
    <x v="1"/>
    <x v="3"/>
    <x v="7"/>
    <n v="0"/>
    <n v="2110"/>
    <m/>
    <n v="2110"/>
    <d v="2024-06-04T00:00:00"/>
    <n v="4"/>
    <s v="June"/>
    <n v="2024"/>
    <d v="1899-12-30T16:00:00"/>
    <s v="Client 52"/>
    <s v="Chikago"/>
    <s v="210 Oak Lane, Suite 51XX"/>
    <x v="0"/>
    <s v="(917) 555-4277"/>
    <x v="1"/>
    <x v="0"/>
    <n v="1268"/>
    <n v="5"/>
  </r>
  <r>
    <x v="187"/>
    <n v="5"/>
    <x v="5"/>
    <x v="1"/>
    <x v="4"/>
    <x v="11"/>
    <n v="0"/>
    <n v="1610"/>
    <m/>
    <n v="1610"/>
    <d v="2024-06-05T00:00:00"/>
    <n v="5"/>
    <s v="June"/>
    <n v="2024"/>
    <d v="1899-12-30T18:00:00"/>
    <s v="Client 11"/>
    <s v="Chikago"/>
    <s v="987 Aspen Avenue, Suite 10I"/>
    <x v="2"/>
    <s v="(718) 555-3412"/>
    <x v="2"/>
    <x v="0"/>
    <n v="1594"/>
    <n v="4"/>
  </r>
  <r>
    <x v="188"/>
    <n v="6"/>
    <x v="5"/>
    <x v="1"/>
    <x v="1"/>
    <x v="4"/>
    <n v="0"/>
    <n v="3340"/>
    <m/>
    <n v="3340"/>
    <d v="2024-06-06T00:00:00"/>
    <n v="6"/>
    <s v="June"/>
    <n v="2024"/>
    <d v="1899-12-30T10:00:00"/>
    <s v="Client 93"/>
    <s v="Chikago"/>
    <s v="321 Cedarwood Lane, Apt. 92MMMM"/>
    <x v="4"/>
    <s v="(646) 555-6745"/>
    <x v="0"/>
    <x v="0"/>
    <n v="3451"/>
    <n v="4"/>
  </r>
  <r>
    <x v="188"/>
    <n v="6"/>
    <x v="5"/>
    <x v="1"/>
    <x v="3"/>
    <x v="12"/>
    <n v="0"/>
    <n v="3930"/>
    <m/>
    <n v="3930"/>
    <d v="2024-06-06T00:00:00"/>
    <n v="6"/>
    <s v="June"/>
    <n v="2024"/>
    <d v="1899-12-30T12:00:00"/>
    <s v="Client 42"/>
    <s v="Chikago"/>
    <s v="890 Redwood Lane, Apt. 41NN"/>
    <x v="2"/>
    <s v="(212) 555-9832"/>
    <x v="2"/>
    <x v="0"/>
    <n v="3103"/>
    <n v="4"/>
  </r>
  <r>
    <x v="189"/>
    <n v="8"/>
    <x v="5"/>
    <x v="1"/>
    <x v="4"/>
    <x v="4"/>
    <n v="0"/>
    <n v="3880"/>
    <m/>
    <n v="3880"/>
    <d v="2024-06-08T00:00:00"/>
    <n v="8"/>
    <s v="June"/>
    <n v="2024"/>
    <d v="1899-12-30T16:00:00"/>
    <s v="Client 19"/>
    <s v="Chikago"/>
    <s v="123 Elm Street, Unit 18Q"/>
    <x v="3"/>
    <s v="(917) 555-7846"/>
    <x v="4"/>
    <x v="1"/>
    <n v="2621"/>
    <m/>
  </r>
  <r>
    <x v="190"/>
    <n v="9"/>
    <x v="5"/>
    <x v="1"/>
    <x v="3"/>
    <x v="12"/>
    <n v="0"/>
    <n v="1010"/>
    <m/>
    <n v="1010"/>
    <d v="2024-06-09T00:00:00"/>
    <n v="9"/>
    <s v="June"/>
    <n v="2024"/>
    <d v="1899-12-30T18:00:00"/>
    <s v="Client 40"/>
    <s v="Chikago"/>
    <s v="234 Pine Road, Suite 39LL"/>
    <x v="0"/>
    <s v="(718) 555-2301"/>
    <x v="3"/>
    <x v="0"/>
    <n v="1349"/>
    <n v="4"/>
  </r>
  <r>
    <x v="191"/>
    <n v="10"/>
    <x v="5"/>
    <x v="1"/>
    <x v="1"/>
    <x v="7"/>
    <n v="0"/>
    <n v="1620"/>
    <m/>
    <n v="1620"/>
    <d v="2024-06-10T00:00:00"/>
    <n v="10"/>
    <s v="June"/>
    <n v="2024"/>
    <d v="1899-12-30T10:00:00"/>
    <s v="Client 85"/>
    <s v="Chikago"/>
    <s v="567 Willow Drive, Suite 84EEEE"/>
    <x v="5"/>
    <n v="42900888990"/>
    <x v="3"/>
    <x v="0"/>
    <n v="3127"/>
    <n v="4"/>
  </r>
  <r>
    <x v="192"/>
    <n v="11"/>
    <x v="5"/>
    <x v="1"/>
    <x v="2"/>
    <x v="1"/>
    <n v="0"/>
    <n v="2450"/>
    <m/>
    <n v="2450"/>
    <d v="2024-06-11T00:00:00"/>
    <n v="11"/>
    <s v="June"/>
    <n v="2024"/>
    <d v="1899-12-30T12:00:00"/>
    <s v="Client 56"/>
    <s v="Chikago"/>
    <s v="456 Willow Lane, Unit 55BBB"/>
    <x v="5"/>
    <s v="(212) 555-1191"/>
    <x v="4"/>
    <x v="0"/>
    <n v="1531"/>
    <n v="4"/>
  </r>
  <r>
    <x v="193"/>
    <n v="12"/>
    <x v="5"/>
    <x v="1"/>
    <x v="3"/>
    <x v="6"/>
    <n v="0"/>
    <n v="1500"/>
    <m/>
    <n v="1500"/>
    <d v="2024-06-12T00:00:00"/>
    <n v="12"/>
    <s v="June"/>
    <n v="2024"/>
    <d v="1899-12-30T16:00:00"/>
    <s v="Client 88"/>
    <s v="New York"/>
    <s v="678 Aspen Avenue, Suite 87HHHH"/>
    <x v="0"/>
    <s v="(917) 555-5635"/>
    <x v="0"/>
    <x v="0"/>
    <n v="2355"/>
    <n v="4"/>
  </r>
  <r>
    <x v="194"/>
    <n v="13"/>
    <x v="5"/>
    <x v="1"/>
    <x v="4"/>
    <x v="6"/>
    <n v="0"/>
    <n v="1220"/>
    <n v="0.15"/>
    <n v="1220"/>
    <d v="2024-06-13T00:00:00"/>
    <n v="13"/>
    <s v="June"/>
    <n v="2024"/>
    <d v="1899-12-30T18:00:00"/>
    <s v="Client 27"/>
    <s v="Chikago"/>
    <s v="1234 Aspen Road, Apt. 26Y"/>
    <x v="2"/>
    <s v="(718) 555-8722"/>
    <x v="2"/>
    <x v="0"/>
    <n v="2350"/>
    <n v="4"/>
  </r>
  <r>
    <x v="195"/>
    <n v="14"/>
    <x v="5"/>
    <x v="1"/>
    <x v="0"/>
    <x v="1"/>
    <n v="0"/>
    <n v="1120"/>
    <m/>
    <n v="1120"/>
    <d v="2024-06-14T00:00:00"/>
    <n v="14"/>
    <s v="June"/>
    <n v="2024"/>
    <d v="1899-12-30T09:00:00"/>
    <s v="Client 82"/>
    <s v="Chikago"/>
    <s v="456 Oak Avenue, Suite 81BBBB"/>
    <x v="4"/>
    <s v="(646) 555-2302"/>
    <x v="1"/>
    <x v="0"/>
    <n v="2604"/>
    <n v="4"/>
  </r>
  <r>
    <x v="196"/>
    <n v="15"/>
    <x v="5"/>
    <x v="1"/>
    <x v="1"/>
    <x v="12"/>
    <n v="0"/>
    <n v="2890"/>
    <m/>
    <n v="2890"/>
    <d v="2024-06-15T00:00:00"/>
    <n v="15"/>
    <s v="June"/>
    <n v="2024"/>
    <d v="1899-12-30T11:00:00"/>
    <s v="Client 4"/>
    <s v="Chikago"/>
    <s v="234 Pine Road, Apt. 3C"/>
    <x v="2"/>
    <s v="(212) 555-7847"/>
    <x v="3"/>
    <x v="0"/>
    <n v="2807"/>
    <n v="4"/>
  </r>
  <r>
    <x v="196"/>
    <n v="15"/>
    <x v="5"/>
    <x v="1"/>
    <x v="2"/>
    <x v="5"/>
    <n v="1240"/>
    <n v="0"/>
    <m/>
    <n v="1240"/>
    <d v="2024-06-15T00:00:00"/>
    <n v="15"/>
    <s v="June"/>
    <n v="2024"/>
    <d v="1899-12-30T15:00:00"/>
    <s v="Client 35"/>
    <s v="Miami"/>
    <s v="8765 Cedarwood Street, Suite 34GG"/>
    <x v="3"/>
    <s v="(917) 555-4278"/>
    <x v="4"/>
    <x v="0"/>
    <n v="1051"/>
    <n v="3"/>
  </r>
  <r>
    <x v="196"/>
    <n v="15"/>
    <x v="5"/>
    <x v="1"/>
    <x v="3"/>
    <x v="14"/>
    <n v="2180"/>
    <n v="0"/>
    <m/>
    <n v="2180"/>
    <d v="2024-06-15T00:00:00"/>
    <n v="15"/>
    <s v="June"/>
    <n v="2024"/>
    <d v="1899-12-30T11:00:00"/>
    <s v="Client 69"/>
    <s v="Chikago"/>
    <s v="345 Redwood Lane, Apt. 68OOO"/>
    <x v="0"/>
    <s v="(718) 555-3413"/>
    <x v="4"/>
    <x v="0"/>
    <n v="2548"/>
    <n v="4"/>
  </r>
  <r>
    <x v="197"/>
    <n v="18"/>
    <x v="5"/>
    <x v="1"/>
    <x v="3"/>
    <x v="15"/>
    <n v="3010"/>
    <n v="0"/>
    <m/>
    <n v="3010"/>
    <d v="2024-06-18T00:00:00"/>
    <n v="18"/>
    <s v="June"/>
    <n v="2024"/>
    <d v="1899-12-30T09:00:00"/>
    <s v="Client 70"/>
    <s v="New York"/>
    <s v="678 Spruce Street, Suite 69PPP"/>
    <x v="2"/>
    <s v="(646) 555-6746"/>
    <x v="3"/>
    <x v="0"/>
    <n v="608"/>
    <n v="4"/>
  </r>
  <r>
    <x v="198"/>
    <n v="19"/>
    <x v="5"/>
    <x v="1"/>
    <x v="4"/>
    <x v="1"/>
    <n v="3060"/>
    <n v="0"/>
    <m/>
    <n v="3060"/>
    <d v="2024-06-19T00:00:00"/>
    <n v="19"/>
    <s v="June"/>
    <n v="2024"/>
    <d v="1899-12-30T11:00:00"/>
    <s v="Client 36"/>
    <s v="Chikago"/>
    <s v="4321 Elm Drive, Apt. 35HH"/>
    <x v="4"/>
    <s v="(212) 555-9833"/>
    <x v="3"/>
    <x v="0"/>
    <n v="2381"/>
    <n v="5"/>
  </r>
  <r>
    <x v="199"/>
    <n v="20"/>
    <x v="5"/>
    <x v="1"/>
    <x v="3"/>
    <x v="7"/>
    <n v="3610"/>
    <n v="0"/>
    <m/>
    <n v="3610"/>
    <d v="2024-06-20T00:00:00"/>
    <n v="20"/>
    <s v="June"/>
    <n v="2024"/>
    <d v="1899-12-30T15:00:00"/>
    <s v="Client 28"/>
    <s v="Chikago"/>
    <s v="5678 Cedar Drive, Unit 27Z"/>
    <x v="5"/>
    <s v="(917) 555-7847"/>
    <x v="3"/>
    <x v="0"/>
    <n v="2619"/>
    <n v="3"/>
  </r>
  <r>
    <x v="200"/>
    <n v="21"/>
    <x v="5"/>
    <x v="1"/>
    <x v="1"/>
    <x v="5"/>
    <n v="1620"/>
    <n v="0"/>
    <n v="0.15"/>
    <n v="1620"/>
    <d v="2024-06-21T00:00:00"/>
    <n v="21"/>
    <s v="June"/>
    <n v="2024"/>
    <d v="1899-12-30T11:00:00"/>
    <s v="Client 26"/>
    <s v="New York"/>
    <s v="678 Spruce Street, Suite 25X"/>
    <x v="0"/>
    <s v="(718) 555-2302"/>
    <x v="4"/>
    <x v="0"/>
    <n v="2640"/>
    <n v="2"/>
  </r>
  <r>
    <x v="201"/>
    <n v="22"/>
    <x v="5"/>
    <x v="1"/>
    <x v="2"/>
    <x v="14"/>
    <n v="3180"/>
    <n v="0"/>
    <n v="0.15"/>
    <n v="3180"/>
    <d v="2024-06-22T00:00:00"/>
    <n v="22"/>
    <s v="June"/>
    <n v="2024"/>
    <d v="1899-12-30T09:00:00"/>
    <s v="Client 73"/>
    <s v="Chikago"/>
    <s v="987 Pinecone Avenue, Suite 72SSS"/>
    <x v="5"/>
    <n v="41900888990"/>
    <x v="4"/>
    <x v="0"/>
    <n v="2383"/>
    <n v="4"/>
  </r>
  <r>
    <x v="202"/>
    <n v="23"/>
    <x v="5"/>
    <x v="1"/>
    <x v="3"/>
    <x v="2"/>
    <n v="0"/>
    <n v="1250"/>
    <n v="0.15"/>
    <n v="1250"/>
    <d v="2024-06-23T00:00:00"/>
    <n v="23"/>
    <s v="June"/>
    <n v="2024"/>
    <d v="1899-12-30T11:00:00"/>
    <s v="Client 52"/>
    <s v="Chikago"/>
    <s v="210 Oak Lane, Suite 51XX"/>
    <x v="0"/>
    <s v="(212) 555-1192"/>
    <x v="3"/>
    <x v="0"/>
    <n v="1288"/>
    <n v="5"/>
  </r>
  <r>
    <x v="203"/>
    <n v="24"/>
    <x v="5"/>
    <x v="1"/>
    <x v="4"/>
    <x v="9"/>
    <n v="0"/>
    <n v="1150"/>
    <n v="0.15"/>
    <n v="1150"/>
    <d v="2024-06-24T00:00:00"/>
    <n v="24"/>
    <s v="June"/>
    <n v="2024"/>
    <d v="1899-12-30T15:00:00"/>
    <s v="Client 98"/>
    <s v="Chikago"/>
    <s v="4321 Pine Street, Unit 97RRRR"/>
    <x v="4"/>
    <s v="(917) 555-5636"/>
    <x v="4"/>
    <x v="0"/>
    <n v="2011"/>
    <n v="5"/>
  </r>
  <r>
    <x v="204"/>
    <n v="25"/>
    <x v="5"/>
    <x v="1"/>
    <x v="0"/>
    <x v="7"/>
    <n v="20000"/>
    <n v="1550"/>
    <m/>
    <n v="21550"/>
    <d v="2024-06-25T00:00:00"/>
    <n v="25"/>
    <s v="June"/>
    <n v="2024"/>
    <d v="1899-12-30T11:00:00"/>
    <s v="Client 32"/>
    <s v="Miami"/>
    <s v="876 Willowbrook Drive, Suite 31DD"/>
    <x v="0"/>
    <s v="(718) 555-8723"/>
    <x v="1"/>
    <x v="0"/>
    <n v="2150"/>
    <n v="5"/>
  </r>
  <r>
    <x v="205"/>
    <n v="26"/>
    <x v="5"/>
    <x v="1"/>
    <x v="1"/>
    <x v="18"/>
    <n v="0"/>
    <n v="2610"/>
    <m/>
    <n v="2610"/>
    <d v="2024-06-26T00:00:00"/>
    <n v="26"/>
    <s v="June"/>
    <n v="2024"/>
    <d v="1899-12-30T09:00:00"/>
    <s v="Client 93"/>
    <s v="Chikago"/>
    <s v="321 Cedarwood Lane, Apt. 92MMMM"/>
    <x v="5"/>
    <s v="(646) 555-2303"/>
    <x v="2"/>
    <x v="0"/>
    <n v="1101"/>
    <n v="5"/>
  </r>
  <r>
    <x v="200"/>
    <n v="21"/>
    <x v="5"/>
    <x v="1"/>
    <x v="3"/>
    <x v="1"/>
    <n v="0"/>
    <n v="2040"/>
    <m/>
    <n v="2040"/>
    <d v="2024-06-21T00:00:00"/>
    <n v="21"/>
    <s v="June"/>
    <n v="2024"/>
    <d v="1899-12-30T11:00:00"/>
    <s v="Client 51"/>
    <s v="Chikago"/>
    <s v="543 Birch Road, Apt. 50WW"/>
    <x v="3"/>
    <s v="(212) 555-7848"/>
    <x v="0"/>
    <x v="0"/>
    <n v="602"/>
    <n v="5"/>
  </r>
  <r>
    <x v="206"/>
    <n v="28"/>
    <x v="5"/>
    <x v="1"/>
    <x v="4"/>
    <x v="2"/>
    <n v="0"/>
    <n v="2120"/>
    <m/>
    <n v="2120"/>
    <d v="2024-06-28T00:00:00"/>
    <n v="28"/>
    <s v="June"/>
    <n v="2024"/>
    <d v="1899-12-30T15:00:00"/>
    <s v="Client 63"/>
    <s v="Chikago"/>
    <s v="123 Elm Street, Apt. 62III"/>
    <x v="0"/>
    <s v="(917) 555-4279"/>
    <x v="2"/>
    <x v="0"/>
    <n v="2210"/>
    <n v="5"/>
  </r>
  <r>
    <x v="207"/>
    <n v="29"/>
    <x v="5"/>
    <x v="1"/>
    <x v="3"/>
    <x v="7"/>
    <n v="0"/>
    <n v="2060"/>
    <m/>
    <n v="2060"/>
    <d v="2024-06-29T00:00:00"/>
    <n v="29"/>
    <s v="June"/>
    <n v="2024"/>
    <d v="1899-12-30T11:00:00"/>
    <s v="Client 76"/>
    <s v="Miami"/>
    <s v="876 Willowbrook Drive, Suite 75VVV"/>
    <x v="2"/>
    <s v="(718) 555-3414"/>
    <x v="4"/>
    <x v="0"/>
    <n v="2747"/>
    <n v="4"/>
  </r>
  <r>
    <x v="207"/>
    <n v="29"/>
    <x v="5"/>
    <x v="1"/>
    <x v="1"/>
    <x v="4"/>
    <n v="0"/>
    <n v="3940"/>
    <m/>
    <n v="3940"/>
    <d v="2024-06-29T00:00:00"/>
    <n v="29"/>
    <s v="June"/>
    <n v="2024"/>
    <d v="1899-12-30T10:00:00"/>
    <s v="Client 6"/>
    <s v="Chikago"/>
    <s v="890 Maple Drive, Apt. 2A"/>
    <x v="4"/>
    <s v="(646) 555-6747"/>
    <x v="3"/>
    <x v="0"/>
    <n v="1228"/>
    <n v="4"/>
  </r>
  <r>
    <x v="208"/>
    <n v="30"/>
    <x v="5"/>
    <x v="1"/>
    <x v="1"/>
    <x v="4"/>
    <n v="0"/>
    <n v="23910"/>
    <n v="0.15"/>
    <n v="23910"/>
    <d v="2024-06-30T00:00:00"/>
    <n v="30"/>
    <s v="June"/>
    <n v="2024"/>
    <d v="1899-12-30T11:00:00"/>
    <s v="Client 7"/>
    <s v="Chikago"/>
    <s v="891 Maple Drive, Apt. 2A"/>
    <x v="4"/>
    <s v="(646) 555-6748"/>
    <x v="3"/>
    <x v="0"/>
    <n v="1002"/>
    <n v="5"/>
  </r>
  <r>
    <x v="209"/>
    <n v="1"/>
    <x v="6"/>
    <x v="1"/>
    <x v="2"/>
    <x v="5"/>
    <n v="0"/>
    <n v="1160"/>
    <m/>
    <n v="1160"/>
    <d v="2024-07-01T00:00:00"/>
    <n v="1"/>
    <s v="July"/>
    <n v="2024"/>
    <d v="1899-12-30T12:00:00"/>
    <s v="Client 96"/>
    <s v="Chikago"/>
    <s v="210 Oak Lane, Apt. 95PPPP"/>
    <x v="3"/>
    <s v="(212) 555-9834"/>
    <x v="4"/>
    <x v="0"/>
    <n v="1030"/>
    <n v="4"/>
  </r>
  <r>
    <x v="210"/>
    <n v="2"/>
    <x v="6"/>
    <x v="1"/>
    <x v="3"/>
    <x v="4"/>
    <n v="3110"/>
    <n v="0"/>
    <m/>
    <n v="3110"/>
    <d v="2024-07-02T00:00:00"/>
    <n v="2"/>
    <s v="July"/>
    <n v="2024"/>
    <d v="1899-12-30T16:00:00"/>
    <s v="Client 31"/>
    <s v="Chikago"/>
    <s v="321 Sequoia Street, Unit 30CC"/>
    <x v="3"/>
    <s v="(917) 555-7848"/>
    <x v="4"/>
    <x v="0"/>
    <n v="629"/>
    <n v="4"/>
  </r>
  <r>
    <x v="211"/>
    <n v="3"/>
    <x v="6"/>
    <x v="1"/>
    <x v="4"/>
    <x v="5"/>
    <n v="2110"/>
    <n v="0"/>
    <m/>
    <n v="2110"/>
    <d v="2024-07-03T00:00:00"/>
    <n v="3"/>
    <s v="July"/>
    <n v="2024"/>
    <d v="1899-12-30T18:00:00"/>
    <s v="Client 63"/>
    <s v="Chikago"/>
    <s v="123 Elm Street, Apt. 62III"/>
    <x v="0"/>
    <s v="(718) 555-2303"/>
    <x v="4"/>
    <x v="0"/>
    <n v="1154"/>
    <n v="4"/>
  </r>
  <r>
    <x v="212"/>
    <n v="4"/>
    <x v="6"/>
    <x v="1"/>
    <x v="0"/>
    <x v="6"/>
    <n v="1030"/>
    <n v="0"/>
    <m/>
    <n v="1030"/>
    <d v="2024-07-04T00:00:00"/>
    <n v="4"/>
    <s v="July"/>
    <n v="2024"/>
    <d v="1899-12-30T10:00:00"/>
    <s v="Client 50"/>
    <s v="New York"/>
    <s v="876 Elm Drive, Unit 49VV"/>
    <x v="5"/>
    <n v="40900888990"/>
    <x v="4"/>
    <x v="0"/>
    <n v="1338"/>
    <n v="4"/>
  </r>
  <r>
    <x v="213"/>
    <n v="5"/>
    <x v="6"/>
    <x v="1"/>
    <x v="3"/>
    <x v="7"/>
    <n v="1530"/>
    <n v="0"/>
    <m/>
    <n v="1530"/>
    <d v="2024-07-05T00:00:00"/>
    <n v="5"/>
    <s v="July"/>
    <n v="2024"/>
    <d v="1899-12-30T12:00:00"/>
    <s v="Client 14"/>
    <s v="Miami"/>
    <s v="876 Sequoia Road, Suite 13L"/>
    <x v="5"/>
    <s v="(212) 555-1193"/>
    <x v="4"/>
    <x v="0"/>
    <n v="3199"/>
    <n v="4"/>
  </r>
  <r>
    <x v="214"/>
    <n v="6"/>
    <x v="6"/>
    <x v="1"/>
    <x v="4"/>
    <x v="7"/>
    <n v="3150"/>
    <n v="0"/>
    <m/>
    <n v="3150"/>
    <d v="2024-07-06T00:00:00"/>
    <n v="6"/>
    <s v="July"/>
    <n v="2024"/>
    <d v="1899-12-30T16:00:00"/>
    <s v="Client 82"/>
    <s v="Chikago"/>
    <s v="456 Oak Avenue, Suite 81BBBB"/>
    <x v="0"/>
    <s v="(917) 555-5637"/>
    <x v="4"/>
    <x v="0"/>
    <n v="1245"/>
    <n v="4"/>
  </r>
  <r>
    <x v="209"/>
    <n v="1"/>
    <x v="6"/>
    <x v="1"/>
    <x v="3"/>
    <x v="1"/>
    <n v="0"/>
    <n v="3140"/>
    <n v="0.15"/>
    <n v="3140"/>
    <d v="2024-07-01T00:00:00"/>
    <n v="1"/>
    <s v="July"/>
    <n v="2024"/>
    <d v="1899-12-30T18:00:00"/>
    <s v="Client 38"/>
    <s v="Chikago"/>
    <s v="456 Oak Avenue, Unit 37JJ"/>
    <x v="2"/>
    <s v="(718) 555-8724"/>
    <x v="4"/>
    <x v="0"/>
    <n v="3106"/>
    <n v="4"/>
  </r>
  <r>
    <x v="215"/>
    <n v="8"/>
    <x v="6"/>
    <x v="1"/>
    <x v="1"/>
    <x v="4"/>
    <n v="0"/>
    <n v="2910"/>
    <m/>
    <n v="2910"/>
    <d v="2024-07-08T00:00:00"/>
    <n v="8"/>
    <s v="July"/>
    <n v="2024"/>
    <d v="1899-12-30T10:00:00"/>
    <s v="Client 57"/>
    <s v="New York"/>
    <s v="789 Magnolia Road, Apt. 56CCC"/>
    <x v="4"/>
    <s v="(646) 555-2304"/>
    <x v="4"/>
    <x v="0"/>
    <n v="3289"/>
    <n v="4"/>
  </r>
  <r>
    <x v="216"/>
    <n v="9"/>
    <x v="6"/>
    <x v="1"/>
    <x v="2"/>
    <x v="5"/>
    <n v="0"/>
    <n v="2910"/>
    <m/>
    <n v="2910"/>
    <d v="2024-07-09T00:00:00"/>
    <n v="9"/>
    <s v="July"/>
    <n v="2024"/>
    <d v="1899-12-30T12:00:00"/>
    <s v="Client 65"/>
    <s v="New York"/>
    <s v="789 Oak Lane, Unit 64KKK"/>
    <x v="2"/>
    <s v="(212) 555-7849"/>
    <x v="4"/>
    <x v="0"/>
    <n v="3814"/>
    <n v="4"/>
  </r>
  <r>
    <x v="217"/>
    <n v="10"/>
    <x v="6"/>
    <x v="1"/>
    <x v="3"/>
    <x v="8"/>
    <n v="0"/>
    <n v="2440"/>
    <m/>
    <n v="2440"/>
    <d v="2024-07-10T00:00:00"/>
    <n v="10"/>
    <s v="July"/>
    <n v="2024"/>
    <d v="1899-12-30T16:00:00"/>
    <s v="Client 28"/>
    <s v="Chikago"/>
    <s v="5678 Cedar Drive, Unit 27Z"/>
    <x v="3"/>
    <s v="(917) 555-4280"/>
    <x v="4"/>
    <x v="0"/>
    <n v="3413"/>
    <n v="4"/>
  </r>
  <r>
    <x v="218"/>
    <n v="11"/>
    <x v="6"/>
    <x v="1"/>
    <x v="4"/>
    <x v="7"/>
    <n v="1520"/>
    <n v="0"/>
    <m/>
    <n v="1520"/>
    <d v="2024-07-11T00:00:00"/>
    <n v="11"/>
    <s v="July"/>
    <n v="2024"/>
    <d v="1899-12-30T18:00:00"/>
    <s v="Client 23"/>
    <s v="Chikago"/>
    <s v="567 Pine Street, Suite 22U"/>
    <x v="2"/>
    <s v="(718) 555-3415"/>
    <x v="3"/>
    <x v="0"/>
    <n v="3442"/>
    <n v="4"/>
  </r>
  <r>
    <x v="219"/>
    <n v="12"/>
    <x v="6"/>
    <x v="1"/>
    <x v="1"/>
    <x v="19"/>
    <n v="3180"/>
    <n v="0"/>
    <m/>
    <n v="3180"/>
    <d v="2024-07-12T00:00:00"/>
    <n v="12"/>
    <s v="July"/>
    <n v="2024"/>
    <d v="1899-12-30T10:00:00"/>
    <s v="Client 58"/>
    <s v="Chikago"/>
    <s v="234 Sequoia Street, Suite 57DDD"/>
    <x v="4"/>
    <s v="(646) 555-6748"/>
    <x v="4"/>
    <x v="0"/>
    <n v="3215"/>
    <n v="4"/>
  </r>
  <r>
    <x v="220"/>
    <n v="13"/>
    <x v="6"/>
    <x v="1"/>
    <x v="0"/>
    <x v="10"/>
    <n v="3290"/>
    <n v="0"/>
    <m/>
    <n v="3290"/>
    <d v="2024-07-13T00:00:00"/>
    <n v="13"/>
    <s v="July"/>
    <n v="2024"/>
    <d v="1899-12-30T12:00:00"/>
    <s v="Client 88"/>
    <s v="New York"/>
    <s v="678 Aspen Avenue, Suite 87HHHH"/>
    <x v="5"/>
    <s v="(212) 555-9835"/>
    <x v="4"/>
    <x v="0"/>
    <n v="1697"/>
    <n v="3"/>
  </r>
  <r>
    <x v="221"/>
    <n v="14"/>
    <x v="6"/>
    <x v="1"/>
    <x v="2"/>
    <x v="11"/>
    <n v="1190"/>
    <n v="0"/>
    <n v="0.15"/>
    <n v="1190"/>
    <d v="2024-07-14T00:00:00"/>
    <n v="14"/>
    <s v="July"/>
    <n v="2024"/>
    <d v="1899-12-30T16:00:00"/>
    <s v="Client 80"/>
    <s v="Chikago"/>
    <s v="4321 Elm Drive, Unit 79ZZZ"/>
    <x v="0"/>
    <s v="(917) 555-7849"/>
    <x v="3"/>
    <x v="0"/>
    <n v="2234"/>
    <n v="4"/>
  </r>
  <r>
    <x v="222"/>
    <n v="15"/>
    <x v="6"/>
    <x v="1"/>
    <x v="3"/>
    <x v="4"/>
    <n v="2480"/>
    <n v="0"/>
    <m/>
    <n v="2480"/>
    <d v="2024-07-15T00:00:00"/>
    <n v="15"/>
    <s v="July"/>
    <n v="2024"/>
    <d v="1899-12-30T18:00:00"/>
    <s v="Client 37"/>
    <e v="#N/A"/>
    <s v="123 Birch Lane, Suite 36II"/>
    <x v="5"/>
    <s v="(718) 555-2304"/>
    <x v="4"/>
    <x v="0"/>
    <n v="3841"/>
    <n v="2"/>
  </r>
  <r>
    <x v="223"/>
    <n v="16"/>
    <x v="6"/>
    <x v="1"/>
    <x v="4"/>
    <x v="7"/>
    <n v="3210"/>
    <n v="0"/>
    <m/>
    <n v="3210"/>
    <d v="2024-07-16T00:00:00"/>
    <n v="16"/>
    <s v="July"/>
    <n v="2024"/>
    <d v="1899-12-30T10:00:00"/>
    <s v="Client 21"/>
    <s v="New York"/>
    <s v="789 Oak Lane, Apt. 20S"/>
    <x v="0"/>
    <n v="39900888990"/>
    <x v="1"/>
    <x v="0"/>
    <n v="3342"/>
    <n v="5"/>
  </r>
  <r>
    <x v="218"/>
    <n v="11"/>
    <x v="6"/>
    <x v="1"/>
    <x v="3"/>
    <x v="4"/>
    <n v="3010"/>
    <n v="0"/>
    <m/>
    <n v="3010"/>
    <d v="2024-07-11T00:00:00"/>
    <n v="11"/>
    <s v="July"/>
    <n v="2024"/>
    <d v="1899-12-30T12:00:00"/>
    <s v="Client 95"/>
    <s v="Chikago"/>
    <s v="543 Birch Road, Unit 94OOOO"/>
    <x v="4"/>
    <s v="(212) 555-1194"/>
    <x v="2"/>
    <x v="0"/>
    <n v="2294"/>
    <n v="3"/>
  </r>
  <r>
    <x v="224"/>
    <n v="18"/>
    <x v="6"/>
    <x v="1"/>
    <x v="1"/>
    <x v="12"/>
    <n v="1560"/>
    <n v="0"/>
    <m/>
    <n v="1560"/>
    <d v="2024-07-18T00:00:00"/>
    <n v="18"/>
    <s v="July"/>
    <n v="2024"/>
    <d v="1899-12-30T16:00:00"/>
    <s v="Client 83"/>
    <s v="New York"/>
    <s v="789 Maple Street, Unit 82CCCC"/>
    <x v="0"/>
    <s v="(917) 555-5638"/>
    <x v="0"/>
    <x v="0"/>
    <n v="2432"/>
    <n v="2"/>
  </r>
  <r>
    <x v="225"/>
    <n v="19"/>
    <x v="6"/>
    <x v="1"/>
    <x v="2"/>
    <x v="13"/>
    <n v="1690"/>
    <n v="0"/>
    <m/>
    <n v="1690"/>
    <d v="2024-07-19T00:00:00"/>
    <n v="19"/>
    <s v="July"/>
    <n v="2024"/>
    <d v="1899-12-30T18:00:00"/>
    <s v="Client 7"/>
    <s v="Chikago"/>
    <s v="345 Cedar Court, Suite 6E"/>
    <x v="5"/>
    <s v="(718) 555-8725"/>
    <x v="2"/>
    <x v="0"/>
    <n v="3156"/>
    <n v="4"/>
  </r>
  <r>
    <x v="226"/>
    <n v="20"/>
    <x v="6"/>
    <x v="1"/>
    <x v="3"/>
    <x v="7"/>
    <n v="3240"/>
    <n v="0"/>
    <m/>
    <n v="3240"/>
    <d v="2024-07-20T00:00:00"/>
    <n v="20"/>
    <s v="July"/>
    <n v="2024"/>
    <d v="1899-12-30T10:00:00"/>
    <s v="Client 85"/>
    <s v="Chikago"/>
    <s v="567 Willow Drive, Suite 84EEEE"/>
    <x v="5"/>
    <s v="(646) 555-2305"/>
    <x v="4"/>
    <x v="0"/>
    <n v="2061"/>
    <n v="5"/>
  </r>
  <r>
    <x v="227"/>
    <n v="21"/>
    <x v="6"/>
    <x v="1"/>
    <x v="4"/>
    <x v="6"/>
    <n v="3120"/>
    <n v="0"/>
    <m/>
    <n v="3120"/>
    <d v="2024-07-21T00:00:00"/>
    <n v="21"/>
    <s v="July"/>
    <n v="2024"/>
    <d v="1899-12-30T12:00:00"/>
    <s v="Client 23"/>
    <s v="Chikago"/>
    <s v="567 Pine Street, Suite 22U"/>
    <x v="0"/>
    <s v="(212) 555-7850"/>
    <x v="3"/>
    <x v="0"/>
    <n v="1804"/>
    <n v="5"/>
  </r>
  <r>
    <x v="228"/>
    <n v="22"/>
    <x v="6"/>
    <x v="1"/>
    <x v="1"/>
    <x v="6"/>
    <n v="3210"/>
    <n v="0"/>
    <m/>
    <n v="3210"/>
    <d v="2024-07-22T00:00:00"/>
    <n v="22"/>
    <s v="July"/>
    <n v="2024"/>
    <d v="1899-12-30T16:00:00"/>
    <s v="Client 94"/>
    <s v="New York"/>
    <s v="876 Elm Drive, Suite 93NNNN"/>
    <x v="2"/>
    <s v="(917) 555-4281"/>
    <x v="4"/>
    <x v="0"/>
    <n v="1825"/>
    <n v="5"/>
  </r>
  <r>
    <x v="229"/>
    <n v="23"/>
    <x v="6"/>
    <x v="1"/>
    <x v="0"/>
    <x v="1"/>
    <n v="1940"/>
    <n v="30000"/>
    <m/>
    <n v="31940"/>
    <d v="2024-07-23T00:00:00"/>
    <n v="23"/>
    <s v="July"/>
    <n v="2024"/>
    <d v="1899-12-30T18:00:00"/>
    <s v="Client 16"/>
    <s v="Chikago"/>
    <s v="210 Magnolia Street, Unit 15N"/>
    <x v="4"/>
    <s v="(718) 555-3416"/>
    <x v="3"/>
    <x v="0"/>
    <n v="2062"/>
    <n v="5"/>
  </r>
  <r>
    <x v="230"/>
    <n v="24"/>
    <x v="6"/>
    <x v="1"/>
    <x v="2"/>
    <x v="12"/>
    <n v="3410"/>
    <n v="0"/>
    <m/>
    <n v="3410"/>
    <d v="2024-07-24T00:00:00"/>
    <n v="24"/>
    <s v="July"/>
    <n v="2024"/>
    <d v="1899-12-30T10:00:00"/>
    <s v="Client 54"/>
    <s v="Chikago"/>
    <s v="4321 Pine Street, Apt. 53ZZ"/>
    <x v="2"/>
    <s v="(646) 555-6749"/>
    <x v="3"/>
    <x v="0"/>
    <n v="3836"/>
    <n v="5"/>
  </r>
  <r>
    <x v="231"/>
    <n v="25"/>
    <x v="6"/>
    <x v="1"/>
    <x v="3"/>
    <x v="7"/>
    <n v="0"/>
    <n v="1440"/>
    <m/>
    <n v="1440"/>
    <d v="2024-07-25T00:00:00"/>
    <n v="25"/>
    <s v="July"/>
    <n v="2024"/>
    <d v="1899-12-30T12:00:00"/>
    <s v="Client 19"/>
    <s v="Chikago"/>
    <s v="123 Elm Street, Unit 18Q"/>
    <x v="3"/>
    <s v="(212) 555-9836"/>
    <x v="3"/>
    <x v="0"/>
    <n v="1895"/>
    <n v="5"/>
  </r>
  <r>
    <x v="232"/>
    <n v="26"/>
    <x v="6"/>
    <x v="1"/>
    <x v="4"/>
    <x v="14"/>
    <n v="0"/>
    <n v="1260"/>
    <m/>
    <n v="1260"/>
    <d v="2024-07-26T00:00:00"/>
    <n v="26"/>
    <s v="July"/>
    <n v="2024"/>
    <d v="1899-12-30T16:00:00"/>
    <s v="Client 59"/>
    <s v="Chikago"/>
    <s v="567 Willowbrook Drive, Unit 58EEE"/>
    <x v="0"/>
    <s v="(917) 555-7850"/>
    <x v="4"/>
    <x v="0"/>
    <n v="3393"/>
    <n v="4"/>
  </r>
  <r>
    <x v="227"/>
    <n v="21"/>
    <x v="6"/>
    <x v="1"/>
    <x v="3"/>
    <x v="15"/>
    <n v="0"/>
    <n v="2150"/>
    <m/>
    <n v="2150"/>
    <d v="2024-07-21T00:00:00"/>
    <n v="21"/>
    <s v="July"/>
    <n v="2024"/>
    <d v="1899-12-30T18:00:00"/>
    <s v="Client 94"/>
    <s v="New York"/>
    <s v="876 Elm Drive, Suite 93NNNN"/>
    <x v="5"/>
    <s v="(718) 555-2305"/>
    <x v="4"/>
    <x v="0"/>
    <n v="1637"/>
    <n v="4"/>
  </r>
  <r>
    <x v="227"/>
    <n v="21"/>
    <x v="6"/>
    <x v="1"/>
    <x v="1"/>
    <x v="7"/>
    <n v="0"/>
    <n v="1120"/>
    <m/>
    <n v="1120"/>
    <d v="2024-07-21T00:00:00"/>
    <n v="21"/>
    <s v="July"/>
    <n v="2024"/>
    <d v="1899-12-30T10:00:00"/>
    <s v="Client 7"/>
    <s v="Chikago"/>
    <s v="345 Cedar Court, Suite 6E"/>
    <x v="5"/>
    <n v="38900888990"/>
    <x v="3"/>
    <x v="0"/>
    <n v="1839"/>
    <n v="4"/>
  </r>
  <r>
    <x v="227"/>
    <n v="21"/>
    <x v="6"/>
    <x v="1"/>
    <x v="2"/>
    <x v="12"/>
    <n v="0"/>
    <n v="3850"/>
    <n v="0.15"/>
    <n v="3850"/>
    <d v="2024-07-21T00:00:00"/>
    <n v="21"/>
    <s v="July"/>
    <n v="2024"/>
    <d v="1899-12-30T12:00:00"/>
    <s v="Client 58"/>
    <s v="Chikago"/>
    <s v="234 Sequoia Street, Suite 57DDD"/>
    <x v="0"/>
    <s v="(212) 555-1195"/>
    <x v="4"/>
    <x v="0"/>
    <n v="2093"/>
    <n v="4"/>
  </r>
  <r>
    <x v="228"/>
    <n v="22"/>
    <x v="6"/>
    <x v="1"/>
    <x v="2"/>
    <x v="12"/>
    <n v="14800"/>
    <n v="0"/>
    <n v="0.15"/>
    <n v="14800"/>
    <d v="2024-07-22T00:00:00"/>
    <n v="22"/>
    <s v="July"/>
    <n v="2024"/>
    <d v="1899-12-30T13:00:00"/>
    <s v="Client 59"/>
    <s v="Chikago"/>
    <s v="235 Sequoia Street, Suite 57DDD"/>
    <x v="0"/>
    <s v="(212) 555-1196"/>
    <x v="4"/>
    <x v="0"/>
    <n v="2089"/>
    <n v="5"/>
  </r>
  <r>
    <x v="233"/>
    <n v="30"/>
    <x v="6"/>
    <x v="1"/>
    <x v="3"/>
    <x v="5"/>
    <n v="0"/>
    <n v="1150"/>
    <m/>
    <n v="1150"/>
    <d v="2024-07-30T00:00:00"/>
    <n v="30"/>
    <s v="July"/>
    <n v="2024"/>
    <d v="1899-12-30T16:00:00"/>
    <s v="Client 70"/>
    <s v="New York"/>
    <s v="678 Spruce Street, Suite 69PPP"/>
    <x v="2"/>
    <s v="(917) 555-5639"/>
    <x v="1"/>
    <x v="0"/>
    <n v="2913"/>
    <n v="4"/>
  </r>
  <r>
    <x v="234"/>
    <n v="31"/>
    <x v="6"/>
    <x v="1"/>
    <x v="4"/>
    <x v="14"/>
    <n v="0"/>
    <n v="3190"/>
    <m/>
    <n v="3190"/>
    <d v="2024-07-31T00:00:00"/>
    <n v="31"/>
    <s v="July"/>
    <n v="2024"/>
    <d v="1899-12-30T18:00:00"/>
    <s v="Client 48"/>
    <s v="Chikago"/>
    <s v="654 Sycamore Avenue, Apt. 47TT"/>
    <x v="4"/>
    <s v="(718) 555-8726"/>
    <x v="2"/>
    <x v="0"/>
    <n v="1316"/>
    <n v="4"/>
  </r>
  <r>
    <x v="235"/>
    <n v="1"/>
    <x v="7"/>
    <x v="1"/>
    <x v="1"/>
    <x v="7"/>
    <n v="0"/>
    <n v="1800"/>
    <m/>
    <n v="1800"/>
    <d v="2024-08-01T00:00:00"/>
    <n v="1"/>
    <s v="August"/>
    <n v="2024"/>
    <d v="1899-12-30T09:00:00"/>
    <s v="Client 67"/>
    <s v="Chikago"/>
    <s v="567 Pine Street, Suite 66MMM"/>
    <x v="2"/>
    <s v="(646) 555-2306"/>
    <x v="0"/>
    <x v="0"/>
    <n v="3095"/>
    <n v="4"/>
  </r>
  <r>
    <x v="236"/>
    <n v="2"/>
    <x v="7"/>
    <x v="1"/>
    <x v="3"/>
    <x v="9"/>
    <n v="0"/>
    <n v="1800"/>
    <m/>
    <n v="1800"/>
    <d v="2024-08-02T00:00:00"/>
    <n v="2"/>
    <s v="August"/>
    <n v="2024"/>
    <d v="1899-12-30T11:00:00"/>
    <s v="Client 36"/>
    <s v="Chikago"/>
    <s v="4321 Elm Drive, Apt. 35HH"/>
    <x v="2"/>
    <s v="(212) 555-7851"/>
    <x v="2"/>
    <x v="0"/>
    <n v="1823"/>
    <n v="4"/>
  </r>
  <r>
    <x v="237"/>
    <n v="3"/>
    <x v="7"/>
    <x v="1"/>
    <x v="4"/>
    <x v="16"/>
    <n v="1830"/>
    <n v="0"/>
    <m/>
    <n v="1830"/>
    <d v="2024-08-03T00:00:00"/>
    <n v="3"/>
    <s v="August"/>
    <n v="2024"/>
    <d v="1899-12-30T15:00:00"/>
    <s v="Client 63"/>
    <s v="Chikago"/>
    <s v="123 Elm Street, Apt. 62III"/>
    <x v="4"/>
    <s v="(917) 555-4282"/>
    <x v="4"/>
    <x v="0"/>
    <n v="1340"/>
    <n v="4"/>
  </r>
  <r>
    <x v="238"/>
    <n v="4"/>
    <x v="7"/>
    <x v="1"/>
    <x v="3"/>
    <x v="18"/>
    <n v="2050"/>
    <n v="0"/>
    <m/>
    <n v="2050"/>
    <d v="2024-08-04T00:00:00"/>
    <n v="4"/>
    <s v="August"/>
    <n v="2024"/>
    <d v="1899-12-30T11:00:00"/>
    <s v="Client 37"/>
    <e v="#N/A"/>
    <s v="123 Birch Lane, Suite 36II"/>
    <x v="5"/>
    <s v="(718) 555-3417"/>
    <x v="3"/>
    <x v="0"/>
    <n v="992"/>
    <n v="4"/>
  </r>
  <r>
    <x v="238"/>
    <n v="4"/>
    <x v="7"/>
    <x v="1"/>
    <x v="0"/>
    <x v="1"/>
    <n v="1810"/>
    <n v="0"/>
    <n v="0.15"/>
    <n v="1810"/>
    <d v="2024-08-04T00:00:00"/>
    <n v="4"/>
    <s v="August"/>
    <n v="2024"/>
    <d v="1899-12-30T09:00:00"/>
    <s v="Client 34"/>
    <s v="Chikago"/>
    <s v="210 Sycamore Road, Unit 33FF"/>
    <x v="0"/>
    <s v="(646) 555-6750"/>
    <x v="3"/>
    <x v="0"/>
    <n v="2850"/>
    <n v="4"/>
  </r>
  <r>
    <x v="238"/>
    <n v="4"/>
    <x v="7"/>
    <x v="1"/>
    <x v="2"/>
    <x v="2"/>
    <n v="1110"/>
    <n v="0"/>
    <m/>
    <n v="1110"/>
    <d v="2024-08-04T00:00:00"/>
    <n v="4"/>
    <s v="August"/>
    <n v="2024"/>
    <d v="1899-12-30T11:00:00"/>
    <s v="Client 68"/>
    <s v="Chikago"/>
    <s v="890 Willow Drive, Unit 67NNN"/>
    <x v="1"/>
    <s v="(212) 555-9837"/>
    <x v="4"/>
    <x v="0"/>
    <n v="3176"/>
    <n v="4"/>
  </r>
  <r>
    <x v="235"/>
    <n v="1"/>
    <x v="7"/>
    <x v="1"/>
    <x v="3"/>
    <x v="3"/>
    <n v="1210"/>
    <n v="0"/>
    <m/>
    <n v="1210"/>
    <d v="2024-08-01T00:00:00"/>
    <n v="1"/>
    <s v="August"/>
    <n v="2024"/>
    <d v="1899-12-30T15:00:00"/>
    <s v="Client 98"/>
    <s v="Chikago"/>
    <s v="4321 Pine Street, Unit 97RRRR"/>
    <x v="0"/>
    <s v="(917) 555-7851"/>
    <x v="0"/>
    <x v="1"/>
    <n v="1946"/>
    <m/>
  </r>
  <r>
    <x v="239"/>
    <n v="8"/>
    <x v="7"/>
    <x v="1"/>
    <x v="4"/>
    <x v="4"/>
    <n v="0"/>
    <n v="2550"/>
    <m/>
    <n v="2550"/>
    <d v="2024-08-08T00:00:00"/>
    <n v="8"/>
    <s v="August"/>
    <n v="2024"/>
    <d v="1899-12-30T11:00:00"/>
    <s v="Client 3"/>
    <s v="New York"/>
    <s v="789 Oak Lane, Suite 12"/>
    <x v="4"/>
    <s v="(718) 555-2306"/>
    <x v="2"/>
    <x v="0"/>
    <n v="1596"/>
    <n v="3"/>
  </r>
  <r>
    <x v="240"/>
    <n v="9"/>
    <x v="7"/>
    <x v="1"/>
    <x v="1"/>
    <x v="5"/>
    <n v="2110"/>
    <n v="0"/>
    <m/>
    <n v="2110"/>
    <d v="2024-08-09T00:00:00"/>
    <n v="9"/>
    <s v="August"/>
    <n v="2024"/>
    <d v="1899-12-30T09:00:00"/>
    <s v="Client 38"/>
    <s v="Chikago"/>
    <s v="456 Oak Avenue, Unit 37JJ"/>
    <x v="0"/>
    <n v="37900888990"/>
    <x v="1"/>
    <x v="0"/>
    <n v="514"/>
    <n v="4"/>
  </r>
  <r>
    <x v="241"/>
    <n v="10"/>
    <x v="7"/>
    <x v="1"/>
    <x v="1"/>
    <x v="4"/>
    <n v="2160"/>
    <n v="0"/>
    <m/>
    <n v="2160"/>
    <d v="2024-08-10T00:00:00"/>
    <n v="10"/>
    <s v="August"/>
    <n v="2024"/>
    <d v="1899-12-30T11:00:00"/>
    <s v="Client 31"/>
    <s v="Chikago"/>
    <s v="321 Sequoia Street, Unit 30CC"/>
    <x v="1"/>
    <s v="(212) 555-1196"/>
    <x v="3"/>
    <x v="0"/>
    <n v="1630"/>
    <n v="4"/>
  </r>
  <r>
    <x v="241"/>
    <n v="10"/>
    <x v="7"/>
    <x v="1"/>
    <x v="2"/>
    <x v="5"/>
    <n v="2890"/>
    <n v="0"/>
    <m/>
    <n v="2890"/>
    <d v="2024-08-10T00:00:00"/>
    <n v="10"/>
    <s v="August"/>
    <n v="2024"/>
    <d v="1899-12-30T15:00:00"/>
    <s v="Client 39"/>
    <s v="New York"/>
    <s v="789 Maple Street, Apt. 38KK"/>
    <x v="1"/>
    <s v="(917) 555-5640"/>
    <x v="4"/>
    <x v="0"/>
    <n v="1658"/>
    <n v="5"/>
  </r>
  <r>
    <x v="241"/>
    <n v="10"/>
    <x v="7"/>
    <x v="1"/>
    <x v="3"/>
    <x v="6"/>
    <n v="3410"/>
    <n v="0"/>
    <n v="0.15"/>
    <n v="3410"/>
    <d v="2024-08-10T00:00:00"/>
    <n v="10"/>
    <s v="August"/>
    <n v="2024"/>
    <d v="1899-12-30T11:00:00"/>
    <s v="Client 58"/>
    <s v="Chikago"/>
    <s v="234 Sequoia Street, Suite 57DDD"/>
    <x v="0"/>
    <s v="(718) 555-8727"/>
    <x v="3"/>
    <x v="0"/>
    <n v="1412"/>
    <n v="3"/>
  </r>
  <r>
    <x v="242"/>
    <n v="13"/>
    <x v="7"/>
    <x v="1"/>
    <x v="4"/>
    <x v="3"/>
    <n v="3160"/>
    <n v="0"/>
    <m/>
    <n v="3160"/>
    <d v="2024-08-13T00:00:00"/>
    <n v="13"/>
    <s v="August"/>
    <n v="2024"/>
    <d v="1899-12-30T09:00:00"/>
    <s v="Client 97"/>
    <s v="New Orleans"/>
    <s v="8765 Maple Street, Suite 96QQQQ"/>
    <x v="2"/>
    <s v="(646) 555-2307"/>
    <x v="3"/>
    <x v="0"/>
    <n v="2323"/>
    <n v="2"/>
  </r>
  <r>
    <x v="243"/>
    <n v="14"/>
    <x v="7"/>
    <x v="1"/>
    <x v="3"/>
    <x v="0"/>
    <n v="1450"/>
    <n v="0"/>
    <m/>
    <n v="1450"/>
    <d v="2024-08-14T00:00:00"/>
    <n v="14"/>
    <s v="August"/>
    <n v="2024"/>
    <d v="1899-12-30T11:00:00"/>
    <s v="Client 21"/>
    <s v="New York"/>
    <s v="789 Oak Lane, Apt. 20S"/>
    <x v="4"/>
    <s v="(212) 555-7852"/>
    <x v="3"/>
    <x v="0"/>
    <n v="2642"/>
    <n v="4"/>
  </r>
  <r>
    <x v="244"/>
    <n v="15"/>
    <x v="7"/>
    <x v="1"/>
    <x v="3"/>
    <x v="7"/>
    <n v="2040"/>
    <n v="0"/>
    <m/>
    <n v="2040"/>
    <d v="2024-08-15T00:00:00"/>
    <n v="15"/>
    <s v="August"/>
    <n v="2024"/>
    <d v="1899-12-30T15:00:00"/>
    <s v="Client 58"/>
    <s v="Chikago"/>
    <s v="234 Sequoia Street, Suite 57DDD"/>
    <x v="2"/>
    <s v="(917) 555-4283"/>
    <x v="4"/>
    <x v="0"/>
    <n v="2790"/>
    <n v="5"/>
  </r>
  <r>
    <x v="245"/>
    <n v="16"/>
    <x v="7"/>
    <x v="1"/>
    <x v="4"/>
    <x v="7"/>
    <n v="2610"/>
    <n v="0"/>
    <m/>
    <n v="2610"/>
    <d v="2024-08-16T00:00:00"/>
    <n v="16"/>
    <s v="August"/>
    <n v="2024"/>
    <d v="1899-12-30T11:00:00"/>
    <s v="Client 34"/>
    <s v="Chikago"/>
    <s v="210 Sycamore Road, Unit 33FF"/>
    <x v="3"/>
    <s v="(718) 555-3418"/>
    <x v="4"/>
    <x v="0"/>
    <n v="2869"/>
    <n v="5"/>
  </r>
  <r>
    <x v="246"/>
    <n v="11"/>
    <x v="7"/>
    <x v="1"/>
    <x v="3"/>
    <x v="5"/>
    <n v="140"/>
    <n v="0"/>
    <m/>
    <n v="140"/>
    <d v="2024-08-11T00:00:00"/>
    <n v="11"/>
    <s v="August"/>
    <n v="2024"/>
    <d v="1899-12-30T10:00:00"/>
    <s v="Client 59"/>
    <s v="Chikago"/>
    <s v="567 Willowbrook Drive, Unit 58EEE"/>
    <x v="0"/>
    <s v="(646) 555-6751"/>
    <x v="3"/>
    <x v="1"/>
    <n v="1830"/>
    <m/>
  </r>
  <r>
    <x v="247"/>
    <n v="18"/>
    <x v="7"/>
    <x v="1"/>
    <x v="0"/>
    <x v="7"/>
    <n v="1450"/>
    <n v="0"/>
    <m/>
    <n v="1450"/>
    <d v="2024-08-18T00:00:00"/>
    <n v="18"/>
    <s v="August"/>
    <n v="2024"/>
    <d v="1899-12-30T12:00:00"/>
    <s v="Client 55"/>
    <s v="Chikago"/>
    <s v="123 Redwood Avenue, Suite 54AAA"/>
    <x v="1"/>
    <s v="(212) 555-9838"/>
    <x v="4"/>
    <x v="0"/>
    <n v="2953"/>
    <n v="5"/>
  </r>
  <r>
    <x v="248"/>
    <n v="19"/>
    <x v="7"/>
    <x v="1"/>
    <x v="2"/>
    <x v="16"/>
    <n v="1620"/>
    <n v="0"/>
    <m/>
    <n v="1620"/>
    <d v="2024-08-19T00:00:00"/>
    <n v="19"/>
    <s v="August"/>
    <n v="2024"/>
    <d v="1899-12-30T16:00:00"/>
    <s v="Client 99"/>
    <s v="Chikago"/>
    <s v="123 Redwood Avenue, Apt. 98SSSS"/>
    <x v="1"/>
    <s v="(917) 555-7852"/>
    <x v="1"/>
    <x v="0"/>
    <n v="1275"/>
    <n v="5"/>
  </r>
  <r>
    <x v="249"/>
    <n v="20"/>
    <x v="7"/>
    <x v="1"/>
    <x v="3"/>
    <x v="7"/>
    <n v="2610"/>
    <n v="0"/>
    <n v="0.15"/>
    <n v="2610"/>
    <d v="2024-08-20T00:00:00"/>
    <n v="20"/>
    <s v="August"/>
    <n v="2024"/>
    <d v="1899-12-30T18:00:00"/>
    <s v="Client 95"/>
    <s v="Chikago"/>
    <s v="543 Birch Road, Unit 94OOOO"/>
    <x v="0"/>
    <s v="(718) 555-2307"/>
    <x v="2"/>
    <x v="0"/>
    <n v="586"/>
    <n v="5"/>
  </r>
  <r>
    <x v="250"/>
    <n v="21"/>
    <x v="7"/>
    <x v="1"/>
    <x v="4"/>
    <x v="7"/>
    <n v="0"/>
    <n v="2900"/>
    <m/>
    <n v="2900"/>
    <d v="2024-08-21T00:00:00"/>
    <n v="21"/>
    <s v="August"/>
    <n v="2024"/>
    <d v="1899-12-30T10:00:00"/>
    <s v="Client 70"/>
    <s v="New York"/>
    <s v="678 Spruce Street, Suite 69PPP"/>
    <x v="2"/>
    <n v="36900888990"/>
    <x v="0"/>
    <x v="0"/>
    <n v="2571"/>
    <n v="4"/>
  </r>
  <r>
    <x v="251"/>
    <n v="22"/>
    <x v="7"/>
    <x v="1"/>
    <x v="1"/>
    <x v="11"/>
    <n v="0"/>
    <n v="3480"/>
    <m/>
    <n v="3480"/>
    <d v="2024-08-22T00:00:00"/>
    <n v="22"/>
    <s v="August"/>
    <n v="2024"/>
    <d v="1899-12-30T12:00:00"/>
    <s v="Client 19"/>
    <s v="Chikago"/>
    <s v="123 Elm Street, Unit 18Q"/>
    <x v="4"/>
    <s v="(212) 555-1197"/>
    <x v="2"/>
    <x v="0"/>
    <n v="2282"/>
    <n v="4"/>
  </r>
  <r>
    <x v="252"/>
    <n v="23"/>
    <x v="7"/>
    <x v="1"/>
    <x v="1"/>
    <x v="4"/>
    <n v="0"/>
    <n v="1610"/>
    <m/>
    <n v="1610"/>
    <d v="2024-08-23T00:00:00"/>
    <n v="23"/>
    <s v="August"/>
    <n v="2024"/>
    <d v="1899-12-30T16:00:00"/>
    <s v="Client 15"/>
    <s v="Chikago"/>
    <s v="543 Willowbrook Lane, Apt. 14M"/>
    <x v="2"/>
    <s v="(917) 555-5641"/>
    <x v="4"/>
    <x v="0"/>
    <n v="1671"/>
    <n v="4"/>
  </r>
  <r>
    <x v="253"/>
    <n v="24"/>
    <x v="7"/>
    <x v="1"/>
    <x v="3"/>
    <x v="7"/>
    <n v="1060"/>
    <n v="0"/>
    <m/>
    <n v="1060"/>
    <d v="2024-08-24T00:00:00"/>
    <n v="24"/>
    <s v="August"/>
    <n v="2024"/>
    <d v="1899-12-30T18:00:00"/>
    <s v="Client 35"/>
    <s v="Miami"/>
    <s v="8765 Cedarwood Street, Suite 34GG"/>
    <x v="2"/>
    <s v="(718) 555-8728"/>
    <x v="3"/>
    <x v="0"/>
    <n v="2196"/>
    <n v="4"/>
  </r>
  <r>
    <x v="254"/>
    <n v="25"/>
    <x v="7"/>
    <x v="1"/>
    <x v="4"/>
    <x v="4"/>
    <n v="2280"/>
    <n v="0"/>
    <m/>
    <n v="2280"/>
    <d v="2024-08-25T00:00:00"/>
    <n v="25"/>
    <s v="August"/>
    <n v="2024"/>
    <d v="1899-12-30T10:00:00"/>
    <s v="Client 74"/>
    <s v="New York"/>
    <s v="654 Magnolia Lane, Unit 73TTT"/>
    <x v="4"/>
    <s v="(646) 555-2308"/>
    <x v="3"/>
    <x v="0"/>
    <n v="1272"/>
    <n v="4"/>
  </r>
  <r>
    <x v="255"/>
    <n v="26"/>
    <x v="7"/>
    <x v="1"/>
    <x v="3"/>
    <x v="12"/>
    <n v="0"/>
    <n v="2890"/>
    <m/>
    <n v="2890"/>
    <d v="2024-08-26T00:00:00"/>
    <n v="26"/>
    <s v="August"/>
    <n v="2024"/>
    <d v="1899-12-30T12:00:00"/>
    <s v="Client 36"/>
    <s v="Chikago"/>
    <s v="4321 Elm Drive, Apt. 35HH"/>
    <x v="3"/>
    <s v="(212) 555-7853"/>
    <x v="4"/>
    <x v="0"/>
    <n v="3654"/>
    <n v="4"/>
  </r>
  <r>
    <x v="250"/>
    <n v="21"/>
    <x v="7"/>
    <x v="1"/>
    <x v="0"/>
    <x v="13"/>
    <n v="3400"/>
    <n v="0"/>
    <m/>
    <n v="3400"/>
    <d v="2024-08-21T00:00:00"/>
    <n v="21"/>
    <s v="August"/>
    <n v="2024"/>
    <d v="1899-12-30T16:00:00"/>
    <s v="Client 94"/>
    <s v="New York"/>
    <s v="876 Elm Drive, Suite 93NNNN"/>
    <x v="0"/>
    <s v="(917) 555-4284"/>
    <x v="0"/>
    <x v="0"/>
    <n v="1618"/>
    <n v="4"/>
  </r>
  <r>
    <x v="251"/>
    <n v="22"/>
    <x v="7"/>
    <x v="1"/>
    <x v="0"/>
    <x v="13"/>
    <n v="0"/>
    <n v="24280"/>
    <n v="0.15"/>
    <n v="24280"/>
    <d v="2024-08-22T00:00:00"/>
    <n v="22"/>
    <s v="August"/>
    <n v="2024"/>
    <d v="1899-12-30T17:00:00"/>
    <s v="Client 95"/>
    <s v="New York"/>
    <s v="877 Elm Drive, Suite 93NNNN"/>
    <x v="0"/>
    <s v="(917) 555-4285"/>
    <x v="0"/>
    <x v="0"/>
    <n v="2103"/>
    <n v="5"/>
  </r>
  <r>
    <x v="256"/>
    <n v="28"/>
    <x v="7"/>
    <x v="1"/>
    <x v="2"/>
    <x v="1"/>
    <n v="30000"/>
    <n v="2510"/>
    <m/>
    <n v="32510"/>
    <d v="2024-08-28T00:00:00"/>
    <n v="28"/>
    <s v="August"/>
    <n v="2024"/>
    <d v="1899-12-30T18:00:00"/>
    <s v="Client 71"/>
    <s v="Chikago"/>
    <s v="1234 Aspen Road, Unit 70QQQ"/>
    <x v="1"/>
    <s v="(718) 555-3419"/>
    <x v="2"/>
    <x v="0"/>
    <n v="973"/>
    <n v="4"/>
  </r>
  <r>
    <x v="256"/>
    <n v="28"/>
    <x v="7"/>
    <x v="1"/>
    <x v="3"/>
    <x v="7"/>
    <n v="0"/>
    <n v="2480"/>
    <m/>
    <n v="2480"/>
    <d v="2024-08-28T00:00:00"/>
    <n v="28"/>
    <s v="August"/>
    <n v="2024"/>
    <d v="1899-12-30T10:00:00"/>
    <s v="Client 71"/>
    <s v="Chikago"/>
    <s v="1234 Aspen Road, Unit 70QQQ"/>
    <x v="0"/>
    <s v="(646) 555-6752"/>
    <x v="1"/>
    <x v="0"/>
    <n v="1553"/>
    <n v="4"/>
  </r>
  <r>
    <x v="256"/>
    <n v="28"/>
    <x v="7"/>
    <x v="1"/>
    <x v="4"/>
    <x v="6"/>
    <n v="0"/>
    <n v="2200"/>
    <n v="0.15"/>
    <n v="2200"/>
    <d v="2024-08-28T00:00:00"/>
    <n v="28"/>
    <s v="August"/>
    <n v="2024"/>
    <d v="1899-12-30T12:00:00"/>
    <s v="Client 21"/>
    <s v="New York"/>
    <s v="789 Oak Lane, Apt. 20S"/>
    <x v="4"/>
    <s v="(212) 555-9839"/>
    <x v="4"/>
    <x v="0"/>
    <n v="2431"/>
    <n v="4"/>
  </r>
  <r>
    <x v="257"/>
    <n v="31"/>
    <x v="7"/>
    <x v="1"/>
    <x v="1"/>
    <x v="1"/>
    <n v="0"/>
    <n v="2100"/>
    <m/>
    <n v="2100"/>
    <d v="2024-08-31T00:00:00"/>
    <n v="31"/>
    <s v="August"/>
    <n v="2024"/>
    <d v="1899-12-30T16:00:00"/>
    <s v="Client 45"/>
    <s v="Chikago"/>
    <s v="1234 Sequoia Road, Apt. 44QQ"/>
    <x v="0"/>
    <s v="(917) 555-7853"/>
    <x v="4"/>
    <x v="0"/>
    <n v="3396"/>
    <n v="4"/>
  </r>
  <r>
    <x v="258"/>
    <n v="1"/>
    <x v="8"/>
    <x v="1"/>
    <x v="3"/>
    <x v="12"/>
    <n v="0"/>
    <n v="2150"/>
    <m/>
    <n v="2150"/>
    <d v="2024-09-01T00:00:00"/>
    <n v="1"/>
    <s v="September"/>
    <n v="2024"/>
    <d v="1899-12-30T18:00:00"/>
    <s v="Client 35"/>
    <s v="Miami"/>
    <s v="8765 Cedarwood Street, Suite 34GG"/>
    <x v="3"/>
    <s v="(718) 555-2308"/>
    <x v="4"/>
    <x v="0"/>
    <n v="2692"/>
    <n v="4"/>
  </r>
  <r>
    <x v="259"/>
    <n v="2"/>
    <x v="8"/>
    <x v="1"/>
    <x v="4"/>
    <x v="7"/>
    <n v="0"/>
    <n v="1420"/>
    <m/>
    <n v="1420"/>
    <d v="2024-09-02T00:00:00"/>
    <n v="2"/>
    <s v="September"/>
    <n v="2024"/>
    <d v="1899-12-30T10:00:00"/>
    <s v="Client 77"/>
    <s v="Chikago"/>
    <s v="543 Acorn Lane, Unit 76WWW"/>
    <x v="1"/>
    <n v="35900888990"/>
    <x v="4"/>
    <x v="0"/>
    <n v="421"/>
    <n v="5"/>
  </r>
  <r>
    <x v="260"/>
    <n v="3"/>
    <x v="8"/>
    <x v="1"/>
    <x v="3"/>
    <x v="14"/>
    <n v="0"/>
    <n v="2940"/>
    <m/>
    <n v="2940"/>
    <d v="2024-09-03T00:00:00"/>
    <n v="3"/>
    <s v="September"/>
    <n v="2024"/>
    <d v="1899-12-30T12:00:00"/>
    <s v="Client 15"/>
    <s v="Chikago"/>
    <s v="543 Willowbrook Lane, Apt. 14M"/>
    <x v="0"/>
    <s v="(212) 555-1198"/>
    <x v="4"/>
    <x v="0"/>
    <n v="2165"/>
    <n v="5"/>
  </r>
  <r>
    <x v="261"/>
    <n v="4"/>
    <x v="8"/>
    <x v="1"/>
    <x v="1"/>
    <x v="15"/>
    <n v="0"/>
    <n v="2330"/>
    <m/>
    <n v="2330"/>
    <d v="2024-09-04T00:00:00"/>
    <n v="4"/>
    <s v="September"/>
    <n v="2024"/>
    <d v="1899-12-30T16:00:00"/>
    <s v="Client 17"/>
    <s v="Chikago"/>
    <s v="8765 Sycamore Court, Suite 16O"/>
    <x v="2"/>
    <s v="(917) 555-5642"/>
    <x v="4"/>
    <x v="0"/>
    <n v="2740"/>
    <n v="5"/>
  </r>
  <r>
    <x v="262"/>
    <n v="5"/>
    <x v="8"/>
    <x v="1"/>
    <x v="2"/>
    <x v="1"/>
    <n v="0"/>
    <n v="2140"/>
    <m/>
    <n v="2140"/>
    <d v="2024-09-05T00:00:00"/>
    <n v="5"/>
    <s v="September"/>
    <n v="2024"/>
    <d v="1899-12-30T18:00:00"/>
    <s v="Client 57"/>
    <s v="New York"/>
    <s v="789 Magnolia Road, Apt. 56CCC"/>
    <x v="4"/>
    <s v="(718) 555-8729"/>
    <x v="4"/>
    <x v="0"/>
    <n v="311"/>
    <n v="5"/>
  </r>
  <r>
    <x v="263"/>
    <n v="6"/>
    <x v="8"/>
    <x v="1"/>
    <x v="3"/>
    <x v="12"/>
    <n v="0"/>
    <n v="3090"/>
    <m/>
    <n v="3090"/>
    <d v="2024-09-06T00:00:00"/>
    <n v="6"/>
    <s v="September"/>
    <n v="2024"/>
    <d v="1899-12-30T10:00:00"/>
    <s v="Client 51"/>
    <s v="Chikago"/>
    <s v="543 Birch Road, Apt. 50WW"/>
    <x v="2"/>
    <s v="(646) 555-2309"/>
    <x v="4"/>
    <x v="0"/>
    <n v="291"/>
    <n v="5"/>
  </r>
  <r>
    <x v="258"/>
    <n v="1"/>
    <x v="8"/>
    <x v="1"/>
    <x v="4"/>
    <x v="5"/>
    <n v="0"/>
    <n v="1840"/>
    <m/>
    <n v="1840"/>
    <d v="2024-09-01T00:00:00"/>
    <n v="1"/>
    <s v="September"/>
    <n v="2024"/>
    <d v="1899-12-30T12:00:00"/>
    <s v="Client 48"/>
    <s v="Chikago"/>
    <s v="654 Sycamore Avenue, Apt. 47TT"/>
    <x v="3"/>
    <s v="(212) 555-7854"/>
    <x v="4"/>
    <x v="0"/>
    <n v="2108"/>
    <n v="5"/>
  </r>
  <r>
    <x v="264"/>
    <n v="8"/>
    <x v="8"/>
    <x v="1"/>
    <x v="0"/>
    <x v="7"/>
    <n v="0"/>
    <n v="3810"/>
    <m/>
    <n v="3810"/>
    <d v="2024-09-08T00:00:00"/>
    <n v="8"/>
    <s v="September"/>
    <n v="2024"/>
    <d v="1899-12-30T16:00:00"/>
    <s v="Client 90"/>
    <s v="Chikago"/>
    <s v="5678 Willowbrook Drive, Apt. 89JJJJ"/>
    <x v="0"/>
    <s v="(917) 555-4285"/>
    <x v="4"/>
    <x v="0"/>
    <n v="974"/>
    <n v="3"/>
  </r>
  <r>
    <x v="265"/>
    <n v="9"/>
    <x v="8"/>
    <x v="1"/>
    <x v="1"/>
    <x v="2"/>
    <n v="0"/>
    <n v="1190"/>
    <n v="0.15"/>
    <n v="1190"/>
    <d v="2024-09-09T00:00:00"/>
    <n v="9"/>
    <s v="September"/>
    <n v="2024"/>
    <d v="1899-12-30T18:00:00"/>
    <s v="Client 77"/>
    <s v="Chikago"/>
    <s v="543 Acorn Lane, Unit 76WWW"/>
    <x v="1"/>
    <s v="(718) 555-3420"/>
    <x v="4"/>
    <x v="0"/>
    <n v="1792"/>
    <n v="4"/>
  </r>
  <r>
    <x v="266"/>
    <n v="10"/>
    <x v="8"/>
    <x v="1"/>
    <x v="2"/>
    <x v="9"/>
    <n v="0"/>
    <n v="160"/>
    <m/>
    <n v="160"/>
    <d v="2024-09-10T00:00:00"/>
    <n v="10"/>
    <s v="September"/>
    <n v="2024"/>
    <d v="1899-12-30T10:00:00"/>
    <s v="Client 4"/>
    <s v="Chikago"/>
    <s v="234 Pine Road, Apt. 3C"/>
    <x v="1"/>
    <s v="(646) 555-6753"/>
    <x v="4"/>
    <x v="0"/>
    <n v="1765"/>
    <n v="4"/>
  </r>
  <r>
    <x v="267"/>
    <n v="11"/>
    <x v="8"/>
    <x v="1"/>
    <x v="3"/>
    <x v="16"/>
    <n v="0"/>
    <n v="2390"/>
    <m/>
    <n v="2390"/>
    <d v="2024-09-11T00:00:00"/>
    <n v="11"/>
    <s v="September"/>
    <n v="2024"/>
    <d v="1899-12-30T12:00:00"/>
    <s v="Client 1"/>
    <s v="Chikago"/>
    <s v="123 Elm Street, Apt. 4B"/>
    <x v="0"/>
    <s v="(212) 555-9840"/>
    <x v="4"/>
    <x v="0"/>
    <n v="3486"/>
    <n v="5"/>
  </r>
  <r>
    <x v="268"/>
    <n v="12"/>
    <x v="8"/>
    <x v="1"/>
    <x v="4"/>
    <x v="18"/>
    <n v="3860"/>
    <n v="0"/>
    <m/>
    <n v="3860"/>
    <d v="2024-09-12T00:00:00"/>
    <n v="12"/>
    <s v="September"/>
    <n v="2024"/>
    <d v="1899-12-30T16:00:00"/>
    <s v="Client 15"/>
    <s v="Chikago"/>
    <s v="543 Willowbrook Lane, Apt. 14M"/>
    <x v="2"/>
    <s v="(917) 555-7854"/>
    <x v="4"/>
    <x v="0"/>
    <n v="2464"/>
    <n v="3"/>
  </r>
  <r>
    <x v="269"/>
    <n v="13"/>
    <x v="8"/>
    <x v="1"/>
    <x v="3"/>
    <x v="1"/>
    <n v="0"/>
    <n v="1950"/>
    <m/>
    <n v="1950"/>
    <d v="2024-09-13T00:00:00"/>
    <n v="13"/>
    <s v="September"/>
    <n v="2024"/>
    <d v="1899-12-30T18:00:00"/>
    <s v="Client 24"/>
    <s v="Chikago"/>
    <s v="890 Willow Drive, Apt. 23V"/>
    <x v="4"/>
    <s v="(718) 555-2309"/>
    <x v="4"/>
    <x v="0"/>
    <n v="3584"/>
    <n v="2"/>
  </r>
  <r>
    <x v="270"/>
    <n v="14"/>
    <x v="8"/>
    <x v="1"/>
    <x v="1"/>
    <x v="2"/>
    <n v="0"/>
    <n v="3050"/>
    <m/>
    <n v="3050"/>
    <d v="2024-09-14T00:00:00"/>
    <n v="14"/>
    <s v="September"/>
    <n v="2024"/>
    <d v="1899-12-30T10:00:00"/>
    <s v="Client 53"/>
    <s v="Chikago"/>
    <s v="8765 Maple Street, Unit 52YY"/>
    <x v="2"/>
    <n v="34900888990"/>
    <x v="4"/>
    <x v="0"/>
    <n v="661"/>
    <n v="4"/>
  </r>
  <r>
    <x v="271"/>
    <n v="15"/>
    <x v="8"/>
    <x v="1"/>
    <x v="2"/>
    <x v="3"/>
    <n v="0"/>
    <n v="3010"/>
    <m/>
    <n v="3010"/>
    <d v="2024-09-15T00:00:00"/>
    <n v="15"/>
    <s v="September"/>
    <n v="2024"/>
    <d v="1899-12-30T12:00:00"/>
    <s v="Client 79"/>
    <s v="Miami"/>
    <s v="8765 Cedarwood Street, Suite 78YYY"/>
    <x v="3"/>
    <s v="(212) 555-1199"/>
    <x v="0"/>
    <x v="0"/>
    <n v="2302"/>
    <n v="5"/>
  </r>
  <r>
    <x v="272"/>
    <n v="16"/>
    <x v="8"/>
    <x v="1"/>
    <x v="3"/>
    <x v="4"/>
    <n v="0"/>
    <n v="1480"/>
    <m/>
    <n v="1480"/>
    <d v="2024-09-16T00:00:00"/>
    <n v="16"/>
    <s v="September"/>
    <n v="2024"/>
    <d v="1899-12-30T16:00:00"/>
    <s v="Client 6"/>
    <s v="Chikago"/>
    <s v="890 Maple Drive, Apt. 2A"/>
    <x v="2"/>
    <s v="(917) 555-5643"/>
    <x v="2"/>
    <x v="0"/>
    <n v="3777"/>
    <n v="5"/>
  </r>
  <r>
    <x v="267"/>
    <n v="11"/>
    <x v="8"/>
    <x v="1"/>
    <x v="4"/>
    <x v="5"/>
    <n v="0"/>
    <n v="1120"/>
    <m/>
    <n v="1120"/>
    <d v="2024-09-11T00:00:00"/>
    <n v="11"/>
    <s v="September"/>
    <n v="2024"/>
    <d v="1899-12-30T18:00:00"/>
    <s v="Client 29"/>
    <s v="Chikago"/>
    <s v="987 Pinecone Avenue, Suite 28AA"/>
    <x v="4"/>
    <s v="(718) 555-8730"/>
    <x v="1"/>
    <x v="0"/>
    <n v="2405"/>
    <n v="5"/>
  </r>
  <r>
    <x v="273"/>
    <n v="18"/>
    <x v="8"/>
    <x v="1"/>
    <x v="0"/>
    <x v="4"/>
    <n v="30000"/>
    <n v="1830"/>
    <n v="0.15"/>
    <n v="31830"/>
    <d v="2024-09-18T00:00:00"/>
    <n v="18"/>
    <s v="September"/>
    <n v="2024"/>
    <d v="1899-12-30T09:00:00"/>
    <s v="Client 37"/>
    <e v="#N/A"/>
    <s v="123 Birch Lane, Suite 36II"/>
    <x v="1"/>
    <s v="(646) 555-2310"/>
    <x v="3"/>
    <x v="0"/>
    <n v="1273"/>
    <n v="5"/>
  </r>
  <r>
    <x v="274"/>
    <n v="19"/>
    <x v="8"/>
    <x v="1"/>
    <x v="1"/>
    <x v="5"/>
    <n v="0"/>
    <n v="1400"/>
    <m/>
    <n v="1400"/>
    <d v="2024-09-19T00:00:00"/>
    <n v="19"/>
    <s v="September"/>
    <n v="2024"/>
    <d v="1899-12-30T11:00:00"/>
    <s v="Client 58"/>
    <s v="Chikago"/>
    <s v="234 Sequoia Street, Suite 57DDD"/>
    <x v="0"/>
    <s v="(212) 555-7855"/>
    <x v="4"/>
    <x v="0"/>
    <n v="3588"/>
    <n v="5"/>
  </r>
  <r>
    <x v="275"/>
    <n v="20"/>
    <x v="8"/>
    <x v="1"/>
    <x v="2"/>
    <x v="6"/>
    <n v="0"/>
    <n v="3310"/>
    <m/>
    <n v="3310"/>
    <d v="2024-09-20T00:00:00"/>
    <n v="20"/>
    <s v="September"/>
    <n v="2024"/>
    <d v="1899-12-30T15:00:00"/>
    <s v="Client 37"/>
    <e v="#N/A"/>
    <s v="123 Birch Lane, Suite 36II"/>
    <x v="1"/>
    <s v="(917) 555-4286"/>
    <x v="0"/>
    <x v="0"/>
    <n v="2104"/>
    <n v="2"/>
  </r>
  <r>
    <x v="276"/>
    <n v="21"/>
    <x v="8"/>
    <x v="1"/>
    <x v="3"/>
    <x v="3"/>
    <n v="0"/>
    <n v="1560"/>
    <m/>
    <n v="1560"/>
    <d v="2024-09-21T00:00:00"/>
    <n v="21"/>
    <s v="September"/>
    <n v="2024"/>
    <d v="1899-12-30T11:00:00"/>
    <s v="Client 11"/>
    <s v="Chikago"/>
    <s v="987 Aspen Avenue, Suite 10I"/>
    <x v="0"/>
    <s v="(718) 555-3421"/>
    <x v="0"/>
    <x v="0"/>
    <n v="2075"/>
    <n v="4"/>
  </r>
  <r>
    <x v="276"/>
    <n v="21"/>
    <x v="8"/>
    <x v="1"/>
    <x v="4"/>
    <x v="0"/>
    <n v="0"/>
    <n v="1340"/>
    <m/>
    <n v="1340"/>
    <d v="2024-09-21T00:00:00"/>
    <n v="21"/>
    <s v="September"/>
    <n v="2024"/>
    <d v="1899-12-30T09:00:00"/>
    <s v="Client 65"/>
    <s v="New York"/>
    <s v="789 Oak Lane, Unit 64KKK"/>
    <x v="4"/>
    <s v="(646) 555-6754"/>
    <x v="0"/>
    <x v="0"/>
    <n v="945"/>
    <n v="4"/>
  </r>
  <r>
    <x v="277"/>
    <n v="22"/>
    <x v="8"/>
    <x v="1"/>
    <x v="4"/>
    <x v="0"/>
    <n v="19940"/>
    <n v="0"/>
    <n v="0.15"/>
    <n v="19940"/>
    <d v="2024-09-22T00:00:00"/>
    <n v="22"/>
    <s v="September"/>
    <n v="2024"/>
    <d v="1899-12-30T10:00:00"/>
    <s v="Client 66"/>
    <s v="New York"/>
    <s v="790 Oak Lane, Unit 64KKK"/>
    <x v="4"/>
    <s v="(646) 555-6755"/>
    <x v="0"/>
    <x v="0"/>
    <n v="2753"/>
    <n v="5"/>
  </r>
  <r>
    <x v="278"/>
    <n v="23"/>
    <x v="8"/>
    <x v="1"/>
    <x v="3"/>
    <x v="7"/>
    <n v="0"/>
    <n v="1920"/>
    <m/>
    <n v="1920"/>
    <d v="2024-09-23T00:00:00"/>
    <n v="23"/>
    <s v="September"/>
    <n v="2024"/>
    <d v="1899-12-30T11:00:00"/>
    <s v="Client 42"/>
    <s v="Chikago"/>
    <s v="890 Redwood Lane, Apt. 41NN"/>
    <x v="0"/>
    <s v="(212) 555-9841"/>
    <x v="4"/>
    <x v="0"/>
    <n v="2908"/>
    <n v="4"/>
  </r>
  <r>
    <x v="279"/>
    <n v="24"/>
    <x v="8"/>
    <x v="1"/>
    <x v="1"/>
    <x v="4"/>
    <n v="0"/>
    <n v="3830"/>
    <m/>
    <n v="3830"/>
    <d v="2024-09-24T00:00:00"/>
    <n v="24"/>
    <s v="September"/>
    <n v="2024"/>
    <d v="1899-12-30T15:00:00"/>
    <s v="Client 17"/>
    <s v="Chikago"/>
    <s v="8765 Sycamore Court, Suite 16O"/>
    <x v="1"/>
    <s v="(917) 555-7855"/>
    <x v="4"/>
    <x v="0"/>
    <n v="2555"/>
    <n v="4"/>
  </r>
  <r>
    <x v="280"/>
    <n v="25"/>
    <x v="8"/>
    <x v="1"/>
    <x v="2"/>
    <x v="5"/>
    <n v="0"/>
    <n v="1550"/>
    <m/>
    <n v="1550"/>
    <d v="2024-09-25T00:00:00"/>
    <n v="25"/>
    <s v="September"/>
    <n v="2024"/>
    <d v="1899-12-30T11:00:00"/>
    <s v="Client 98"/>
    <s v="Chikago"/>
    <s v="4321 Pine Street, Unit 97RRRR"/>
    <x v="1"/>
    <s v="(718) 555-2310"/>
    <x v="3"/>
    <x v="0"/>
    <n v="1847"/>
    <n v="4"/>
  </r>
  <r>
    <x v="281"/>
    <n v="26"/>
    <x v="8"/>
    <x v="1"/>
    <x v="3"/>
    <x v="8"/>
    <n v="1950"/>
    <n v="0"/>
    <m/>
    <n v="1950"/>
    <d v="2024-09-26T00:00:00"/>
    <n v="26"/>
    <s v="September"/>
    <n v="2024"/>
    <d v="1899-12-30T09:00:00"/>
    <s v="Client 81"/>
    <e v="#N/A"/>
    <s v="123 Birch Lane, Apt. 80AAAA"/>
    <x v="0"/>
    <n v="33900888990"/>
    <x v="4"/>
    <x v="0"/>
    <n v="1590"/>
    <n v="4"/>
  </r>
  <r>
    <x v="276"/>
    <n v="21"/>
    <x v="8"/>
    <x v="1"/>
    <x v="4"/>
    <x v="16"/>
    <n v="0"/>
    <n v="1610"/>
    <m/>
    <n v="1610"/>
    <d v="2024-09-21T00:00:00"/>
    <n v="21"/>
    <s v="September"/>
    <n v="2024"/>
    <d v="1899-12-30T11:00:00"/>
    <s v="Client 54"/>
    <s v="Chikago"/>
    <s v="4321 Pine Street, Apt. 53ZZ"/>
    <x v="2"/>
    <s v="(212) 555-1200"/>
    <x v="1"/>
    <x v="0"/>
    <n v="1993"/>
    <n v="4"/>
  </r>
  <r>
    <x v="282"/>
    <n v="28"/>
    <x v="8"/>
    <x v="1"/>
    <x v="0"/>
    <x v="7"/>
    <n v="0"/>
    <n v="1110"/>
    <m/>
    <n v="1110"/>
    <d v="2024-09-28T00:00:00"/>
    <n v="28"/>
    <s v="September"/>
    <n v="2024"/>
    <d v="1899-12-30T15:00:00"/>
    <s v="Client 60"/>
    <s v="Chikago"/>
    <s v="890 Acorn Avenue, Apt. 59FFF"/>
    <x v="4"/>
    <s v="(917) 555-5644"/>
    <x v="2"/>
    <x v="0"/>
    <n v="3767"/>
    <n v="4"/>
  </r>
  <r>
    <x v="283"/>
    <n v="29"/>
    <x v="8"/>
    <x v="1"/>
    <x v="3"/>
    <x v="10"/>
    <n v="0"/>
    <n v="3160"/>
    <n v="0.15"/>
    <n v="3160"/>
    <d v="2024-09-29T00:00:00"/>
    <n v="29"/>
    <s v="September"/>
    <n v="2024"/>
    <d v="1899-12-30T11:00:00"/>
    <s v="Client 39"/>
    <s v="New York"/>
    <s v="789 Maple Street, Apt. 38KK"/>
    <x v="2"/>
    <s v="(718) 555-8731"/>
    <x v="0"/>
    <x v="1"/>
    <n v="992"/>
    <m/>
  </r>
  <r>
    <x v="284"/>
    <n v="30"/>
    <x v="8"/>
    <x v="1"/>
    <x v="4"/>
    <x v="11"/>
    <n v="0"/>
    <n v="3660"/>
    <n v="0.15"/>
    <n v="3660"/>
    <d v="2024-09-30T00:00:00"/>
    <n v="30"/>
    <s v="September"/>
    <n v="2024"/>
    <d v="1899-12-30T09:00:00"/>
    <s v="Client 86"/>
    <s v="Chikago"/>
    <s v="890 Redwood Lane, Unit 85FFFF"/>
    <x v="3"/>
    <s v="(646) 555-2311"/>
    <x v="2"/>
    <x v="0"/>
    <n v="3788"/>
    <n v="4"/>
  </r>
  <r>
    <x v="285"/>
    <n v="1"/>
    <x v="9"/>
    <x v="1"/>
    <x v="3"/>
    <x v="4"/>
    <n v="0"/>
    <n v="1910"/>
    <n v="0.15"/>
    <n v="1910"/>
    <d v="2024-10-01T00:00:00"/>
    <n v="1"/>
    <s v="October"/>
    <n v="2024"/>
    <d v="1899-12-30T11:00:00"/>
    <s v="Client 46"/>
    <s v="New York"/>
    <s v="5678 Willowbrook Drive, Suite 45RR"/>
    <x v="0"/>
    <s v="(212) 555-7856"/>
    <x v="4"/>
    <x v="0"/>
    <n v="3456"/>
    <n v="4"/>
  </r>
  <r>
    <x v="286"/>
    <n v="2"/>
    <x v="9"/>
    <x v="1"/>
    <x v="1"/>
    <x v="12"/>
    <n v="0"/>
    <n v="1800"/>
    <n v="0.15"/>
    <n v="1800"/>
    <d v="2024-10-02T00:00:00"/>
    <n v="2"/>
    <s v="October"/>
    <n v="2024"/>
    <d v="1899-12-30T15:00:00"/>
    <s v="Client 75"/>
    <s v="Chikago"/>
    <s v="321 Sequoia Street, Apt. 74UUU"/>
    <x v="1"/>
    <s v="(917) 555-4287"/>
    <x v="0"/>
    <x v="0"/>
    <n v="2704"/>
    <n v="4"/>
  </r>
  <r>
    <x v="287"/>
    <n v="3"/>
    <x v="9"/>
    <x v="1"/>
    <x v="2"/>
    <x v="4"/>
    <n v="0"/>
    <n v="2680"/>
    <m/>
    <n v="2680"/>
    <d v="2024-10-03T00:00:00"/>
    <n v="3"/>
    <s v="October"/>
    <n v="2024"/>
    <d v="1899-12-30T11:00:00"/>
    <s v="Client 96"/>
    <s v="Chikago"/>
    <s v="210 Oak Lane, Apt. 95PPPP"/>
    <x v="1"/>
    <s v="(718) 555-3422"/>
    <x v="0"/>
    <x v="0"/>
    <n v="2325"/>
    <n v="5"/>
  </r>
  <r>
    <x v="288"/>
    <n v="4"/>
    <x v="9"/>
    <x v="1"/>
    <x v="3"/>
    <x v="7"/>
    <n v="0"/>
    <n v="2320"/>
    <m/>
    <n v="2320"/>
    <d v="2024-10-04T00:00:00"/>
    <n v="4"/>
    <s v="October"/>
    <n v="2024"/>
    <d v="1899-12-30T10:00:00"/>
    <s v="Client 59"/>
    <s v="Chikago"/>
    <s v="567 Willowbrook Drive, Unit 58EEE"/>
    <x v="0"/>
    <s v="(646) 555-6755"/>
    <x v="4"/>
    <x v="0"/>
    <n v="3780"/>
    <n v="5"/>
  </r>
  <r>
    <x v="288"/>
    <n v="4"/>
    <x v="9"/>
    <x v="1"/>
    <x v="4"/>
    <x v="13"/>
    <n v="0"/>
    <n v="1090"/>
    <m/>
    <n v="1090"/>
    <d v="2024-10-04T00:00:00"/>
    <n v="4"/>
    <s v="October"/>
    <n v="2024"/>
    <d v="1899-12-30T12:00:00"/>
    <s v="Client 94"/>
    <s v="New York"/>
    <s v="876 Elm Drive, Suite 93NNNN"/>
    <x v="2"/>
    <s v="(212) 555-9842"/>
    <x v="0"/>
    <x v="0"/>
    <n v="943"/>
    <n v="3"/>
  </r>
  <r>
    <x v="289"/>
    <n v="6"/>
    <x v="9"/>
    <x v="1"/>
    <x v="1"/>
    <x v="1"/>
    <n v="0"/>
    <n v="1100"/>
    <m/>
    <n v="1100"/>
    <d v="2024-10-06T00:00:00"/>
    <n v="6"/>
    <s v="October"/>
    <n v="2024"/>
    <d v="1899-12-30T16:00:00"/>
    <s v="Client 87"/>
    <s v="Chikago"/>
    <s v="345 Spruce Street, Apt. 86GGGG"/>
    <x v="4"/>
    <s v="(917) 555-7856"/>
    <x v="2"/>
    <x v="0"/>
    <n v="2998"/>
    <n v="4"/>
  </r>
  <r>
    <x v="285"/>
    <n v="1"/>
    <x v="9"/>
    <x v="1"/>
    <x v="0"/>
    <x v="6"/>
    <n v="0"/>
    <n v="1980"/>
    <m/>
    <n v="1980"/>
    <d v="2024-10-01T00:00:00"/>
    <n v="1"/>
    <s v="October"/>
    <n v="2024"/>
    <d v="1899-12-30T18:00:00"/>
    <s v="Client 7"/>
    <s v="Chikago"/>
    <s v="345 Cedar Court, Suite 6E"/>
    <x v="2"/>
    <s v="(718) 555-2311"/>
    <x v="1"/>
    <x v="0"/>
    <n v="1068"/>
    <n v="4"/>
  </r>
  <r>
    <x v="290"/>
    <n v="8"/>
    <x v="9"/>
    <x v="1"/>
    <x v="2"/>
    <x v="6"/>
    <n v="0"/>
    <n v="1930"/>
    <m/>
    <n v="1930"/>
    <d v="2024-10-08T00:00:00"/>
    <n v="8"/>
    <s v="October"/>
    <n v="2024"/>
    <d v="1899-12-30T10:00:00"/>
    <s v="Client 74"/>
    <s v="New York"/>
    <s v="654 Magnolia Lane, Unit 73TTT"/>
    <x v="3"/>
    <n v="32900888990"/>
    <x v="3"/>
    <x v="0"/>
    <n v="564"/>
    <n v="5"/>
  </r>
  <r>
    <x v="291"/>
    <n v="9"/>
    <x v="9"/>
    <x v="1"/>
    <x v="3"/>
    <x v="1"/>
    <n v="0"/>
    <n v="1800"/>
    <m/>
    <n v="1800"/>
    <d v="2024-10-09T00:00:00"/>
    <n v="9"/>
    <s v="October"/>
    <n v="2024"/>
    <d v="1899-12-30T12:00:00"/>
    <s v="Client 86"/>
    <s v="Chikago"/>
    <s v="890 Redwood Lane, Unit 85FFFF"/>
    <x v="0"/>
    <s v="(212) 555-1201"/>
    <x v="4"/>
    <x v="0"/>
    <n v="2190"/>
    <n v="3"/>
  </r>
  <r>
    <x v="292"/>
    <n v="10"/>
    <x v="9"/>
    <x v="1"/>
    <x v="4"/>
    <x v="12"/>
    <n v="0"/>
    <n v="2380"/>
    <m/>
    <n v="2380"/>
    <d v="2024-10-10T00:00:00"/>
    <n v="10"/>
    <s v="October"/>
    <n v="2024"/>
    <d v="1899-12-30T16:00:00"/>
    <s v="Client 19"/>
    <s v="Chikago"/>
    <s v="123 Elm Street, Unit 18Q"/>
    <x v="2"/>
    <s v="(917) 555-5645"/>
    <x v="0"/>
    <x v="0"/>
    <n v="2400"/>
    <n v="2"/>
  </r>
  <r>
    <x v="293"/>
    <n v="11"/>
    <x v="9"/>
    <x v="1"/>
    <x v="3"/>
    <x v="5"/>
    <n v="3240"/>
    <n v="0"/>
    <m/>
    <n v="3240"/>
    <d v="2024-10-11T00:00:00"/>
    <n v="11"/>
    <s v="October"/>
    <n v="2024"/>
    <d v="1899-12-30T18:00:00"/>
    <s v="Client 15"/>
    <s v="Chikago"/>
    <s v="543 Willowbrook Lane, Apt. 14M"/>
    <x v="4"/>
    <s v="(718) 555-8732"/>
    <x v="0"/>
    <x v="0"/>
    <n v="2941"/>
    <n v="4"/>
  </r>
  <r>
    <x v="294"/>
    <n v="12"/>
    <x v="9"/>
    <x v="1"/>
    <x v="1"/>
    <x v="14"/>
    <n v="2900"/>
    <n v="0"/>
    <m/>
    <n v="2900"/>
    <d v="2024-10-12T00:00:00"/>
    <n v="12"/>
    <s v="October"/>
    <n v="2024"/>
    <d v="1899-12-30T10:00:00"/>
    <s v="Client 68"/>
    <s v="Chikago"/>
    <s v="890 Willow Drive, Unit 67NNN"/>
    <x v="1"/>
    <s v="(646) 555-2312"/>
    <x v="0"/>
    <x v="0"/>
    <n v="481"/>
    <n v="5"/>
  </r>
  <r>
    <x v="295"/>
    <n v="13"/>
    <x v="9"/>
    <x v="1"/>
    <x v="2"/>
    <x v="1"/>
    <n v="2660"/>
    <n v="0"/>
    <m/>
    <n v="2660"/>
    <d v="2024-10-13T00:00:00"/>
    <n v="13"/>
    <s v="October"/>
    <n v="2024"/>
    <d v="1899-12-30T12:00:00"/>
    <s v="Client 94"/>
    <s v="New York"/>
    <s v="876 Elm Drive, Suite 93NNNN"/>
    <x v="0"/>
    <s v="(212) 555-7857"/>
    <x v="4"/>
    <x v="0"/>
    <n v="2782"/>
    <n v="5"/>
  </r>
  <r>
    <x v="296"/>
    <n v="14"/>
    <x v="9"/>
    <x v="1"/>
    <x v="3"/>
    <x v="12"/>
    <n v="0"/>
    <n v="2130"/>
    <m/>
    <n v="2130"/>
    <d v="2024-10-14T00:00:00"/>
    <n v="14"/>
    <s v="October"/>
    <n v="2024"/>
    <d v="1899-12-30T16:00:00"/>
    <s v="Client 85"/>
    <s v="Chikago"/>
    <s v="567 Willow Drive, Suite 84EEEE"/>
    <x v="5"/>
    <s v="(917) 555-4288"/>
    <x v="4"/>
    <x v="0"/>
    <n v="2618"/>
    <n v="5"/>
  </r>
  <r>
    <x v="297"/>
    <n v="15"/>
    <x v="9"/>
    <x v="1"/>
    <x v="3"/>
    <x v="5"/>
    <n v="0"/>
    <n v="2940"/>
    <m/>
    <n v="2940"/>
    <d v="2024-10-15T00:00:00"/>
    <n v="15"/>
    <s v="October"/>
    <n v="2024"/>
    <d v="1899-12-30T18:00:00"/>
    <s v="Client 76"/>
    <s v="Miami"/>
    <s v="876 Willowbrook Drive, Suite 75VVV"/>
    <x v="0"/>
    <s v="(718) 555-3423"/>
    <x v="3"/>
    <x v="0"/>
    <n v="1550"/>
    <n v="5"/>
  </r>
  <r>
    <x v="298"/>
    <n v="16"/>
    <x v="9"/>
    <x v="1"/>
    <x v="4"/>
    <x v="14"/>
    <n v="0"/>
    <n v="3120"/>
    <m/>
    <n v="3120"/>
    <d v="2024-10-16T00:00:00"/>
    <n v="16"/>
    <s v="October"/>
    <n v="2024"/>
    <d v="1899-12-30T10:00:00"/>
    <s v="Client 66"/>
    <s v="Chikago"/>
    <s v="234 Maple Road, Apt. 65LLL"/>
    <x v="4"/>
    <s v="(646) 555-6756"/>
    <x v="4"/>
    <x v="0"/>
    <n v="1966"/>
    <n v="5"/>
  </r>
  <r>
    <x v="293"/>
    <n v="11"/>
    <x v="9"/>
    <x v="1"/>
    <x v="3"/>
    <x v="2"/>
    <n v="0"/>
    <n v="1110"/>
    <m/>
    <n v="1110"/>
    <d v="2024-10-11T00:00:00"/>
    <n v="11"/>
    <s v="October"/>
    <n v="2024"/>
    <d v="1899-12-30T12:00:00"/>
    <s v="Client 96"/>
    <s v="Chikago"/>
    <s v="210 Oak Lane, Apt. 95PPPP"/>
    <x v="0"/>
    <s v="(212) 555-9843"/>
    <x v="1"/>
    <x v="0"/>
    <n v="1429"/>
    <n v="5"/>
  </r>
  <r>
    <x v="299"/>
    <n v="18"/>
    <x v="9"/>
    <x v="1"/>
    <x v="1"/>
    <x v="9"/>
    <n v="0"/>
    <n v="1010"/>
    <m/>
    <n v="1010"/>
    <d v="2024-10-18T00:00:00"/>
    <n v="18"/>
    <s v="October"/>
    <n v="2024"/>
    <d v="1899-12-30T16:00:00"/>
    <s v="Client 47"/>
    <s v="Chikago"/>
    <s v="987 Acorn Street, Unit 46SS"/>
    <x v="5"/>
    <s v="(917) 555-7857"/>
    <x v="2"/>
    <x v="0"/>
    <n v="647"/>
    <n v="4"/>
  </r>
  <r>
    <x v="300"/>
    <n v="19"/>
    <x v="9"/>
    <x v="1"/>
    <x v="2"/>
    <x v="7"/>
    <n v="0"/>
    <n v="610"/>
    <m/>
    <n v="610"/>
    <d v="2024-10-19T00:00:00"/>
    <n v="19"/>
    <s v="October"/>
    <n v="2024"/>
    <d v="1899-12-30T18:00:00"/>
    <s v="Client 98"/>
    <s v="Chikago"/>
    <s v="4321 Pine Street, Unit 97RRRR"/>
    <x v="5"/>
    <s v="(718) 555-2312"/>
    <x v="0"/>
    <x v="0"/>
    <n v="1750"/>
    <n v="4"/>
  </r>
  <r>
    <x v="301"/>
    <n v="20"/>
    <x v="9"/>
    <x v="1"/>
    <x v="3"/>
    <x v="18"/>
    <n v="0"/>
    <n v="1860"/>
    <n v="0.15"/>
    <n v="1860"/>
    <d v="2024-10-20T00:00:00"/>
    <n v="20"/>
    <s v="October"/>
    <n v="2024"/>
    <d v="1899-12-30T10:00:00"/>
    <s v="Client 37"/>
    <e v="#N/A"/>
    <s v="123 Birch Lane, Suite 36II"/>
    <x v="0"/>
    <n v="31900888990"/>
    <x v="2"/>
    <x v="0"/>
    <n v="1401"/>
    <n v="4"/>
  </r>
  <r>
    <x v="302"/>
    <n v="21"/>
    <x v="9"/>
    <x v="1"/>
    <x v="4"/>
    <x v="1"/>
    <n v="0"/>
    <n v="3830"/>
    <n v="0.15"/>
    <n v="3830"/>
    <d v="2024-10-21T00:00:00"/>
    <n v="21"/>
    <s v="October"/>
    <n v="2024"/>
    <d v="1899-12-30T12:00:00"/>
    <s v="Client 77"/>
    <s v="Chikago"/>
    <s v="543 Acorn Lane, Unit 76WWW"/>
    <x v="2"/>
    <s v="(212) 555-1202"/>
    <x v="4"/>
    <x v="0"/>
    <n v="2443"/>
    <n v="4"/>
  </r>
  <r>
    <x v="303"/>
    <n v="22"/>
    <x v="9"/>
    <x v="1"/>
    <x v="4"/>
    <x v="1"/>
    <n v="16730"/>
    <n v="0"/>
    <n v="0.15"/>
    <n v="16730"/>
    <d v="2024-10-22T00:00:00"/>
    <n v="22"/>
    <s v="October"/>
    <n v="2024"/>
    <d v="1899-12-30T13:00:00"/>
    <s v="Client 78"/>
    <s v="Chikago"/>
    <s v="544 Acorn Lane, Unit 76WWW"/>
    <x v="2"/>
    <s v="(212) 555-1203"/>
    <x v="4"/>
    <x v="0"/>
    <n v="1158"/>
    <n v="5"/>
  </r>
  <r>
    <x v="303"/>
    <n v="22"/>
    <x v="9"/>
    <x v="1"/>
    <x v="0"/>
    <x v="2"/>
    <n v="20000"/>
    <n v="160"/>
    <n v="0.15"/>
    <n v="20160"/>
    <d v="2024-10-22T00:00:00"/>
    <n v="22"/>
    <s v="October"/>
    <n v="2024"/>
    <d v="1899-12-30T16:00:00"/>
    <s v="Client 54"/>
    <s v="Chikago"/>
    <s v="4321 Pine Street, Apt. 53ZZ"/>
    <x v="4"/>
    <s v="(917) 555-5646"/>
    <x v="0"/>
    <x v="0"/>
    <n v="2477"/>
    <n v="4"/>
  </r>
  <r>
    <x v="304"/>
    <n v="23"/>
    <x v="9"/>
    <x v="1"/>
    <x v="1"/>
    <x v="3"/>
    <n v="0"/>
    <n v="2620"/>
    <n v="0.15"/>
    <n v="2620"/>
    <d v="2024-10-23T00:00:00"/>
    <n v="23"/>
    <s v="October"/>
    <n v="2024"/>
    <d v="1899-12-30T18:00:00"/>
    <s v="Client 66"/>
    <s v="Chikago"/>
    <s v="234 Maple Road, Apt. 65LLL"/>
    <x v="2"/>
    <s v="(718) 555-8733"/>
    <x v="0"/>
    <x v="0"/>
    <n v="2608"/>
    <n v="4"/>
  </r>
  <r>
    <x v="305"/>
    <n v="24"/>
    <x v="9"/>
    <x v="1"/>
    <x v="3"/>
    <x v="4"/>
    <n v="0"/>
    <n v="3100"/>
    <m/>
    <n v="3100"/>
    <d v="2024-10-24T00:00:00"/>
    <n v="24"/>
    <s v="October"/>
    <n v="2024"/>
    <d v="1899-12-30T10:00:00"/>
    <s v="Client 66"/>
    <s v="Chikago"/>
    <s v="234 Maple Road, Apt. 65LLL"/>
    <x v="3"/>
    <s v="(646) 555-2313"/>
    <x v="4"/>
    <x v="0"/>
    <n v="591"/>
    <n v="4"/>
  </r>
  <r>
    <x v="305"/>
    <n v="24"/>
    <x v="9"/>
    <x v="1"/>
    <x v="4"/>
    <x v="5"/>
    <n v="0"/>
    <n v="1510"/>
    <m/>
    <n v="1510"/>
    <d v="2024-10-24T00:00:00"/>
    <n v="24"/>
    <s v="October"/>
    <n v="2024"/>
    <d v="1899-12-30T12:00:00"/>
    <s v="Client 2"/>
    <s v="Chikago"/>
    <s v="456 Willow Avenue, Unit 7"/>
    <x v="0"/>
    <s v="(212) 555-7858"/>
    <x v="4"/>
    <x v="0"/>
    <n v="3554"/>
    <n v="4"/>
  </r>
  <r>
    <x v="306"/>
    <n v="26"/>
    <x v="9"/>
    <x v="1"/>
    <x v="3"/>
    <x v="4"/>
    <n v="0"/>
    <n v="1200"/>
    <m/>
    <n v="1200"/>
    <d v="2024-10-26T00:00:00"/>
    <n v="26"/>
    <s v="October"/>
    <n v="2024"/>
    <d v="1899-12-30T16:00:00"/>
    <s v="Client 59"/>
    <s v="Chikago"/>
    <s v="567 Willowbrook Drive, Unit 58EEE"/>
    <x v="5"/>
    <s v="(917) 555-4289"/>
    <x v="0"/>
    <x v="0"/>
    <n v="2989"/>
    <n v="4"/>
  </r>
  <r>
    <x v="302"/>
    <n v="21"/>
    <x v="9"/>
    <x v="1"/>
    <x v="1"/>
    <x v="5"/>
    <n v="0"/>
    <n v="3150"/>
    <m/>
    <n v="3150"/>
    <d v="2024-10-21T00:00:00"/>
    <n v="21"/>
    <s v="October"/>
    <n v="2024"/>
    <d v="1899-12-30T18:00:00"/>
    <s v="Client 84"/>
    <s v="Chikago"/>
    <s v="234 Pine Road, Apt. 83DDDD"/>
    <x v="5"/>
    <s v="(718) 555-3424"/>
    <x v="0"/>
    <x v="0"/>
    <n v="2848"/>
    <n v="4"/>
  </r>
  <r>
    <x v="307"/>
    <n v="28"/>
    <x v="9"/>
    <x v="1"/>
    <x v="2"/>
    <x v="6"/>
    <n v="1880"/>
    <n v="0"/>
    <m/>
    <n v="1880"/>
    <d v="2024-10-28T00:00:00"/>
    <n v="28"/>
    <s v="October"/>
    <n v="2024"/>
    <d v="1899-12-30T10:00:00"/>
    <s v="Client 88"/>
    <s v="New York"/>
    <s v="678 Aspen Avenue, Suite 87HHHH"/>
    <x v="0"/>
    <s v="(646) 555-6757"/>
    <x v="0"/>
    <x v="0"/>
    <n v="2236"/>
    <n v="4"/>
  </r>
  <r>
    <x v="308"/>
    <n v="29"/>
    <x v="9"/>
    <x v="1"/>
    <x v="3"/>
    <x v="3"/>
    <n v="2940"/>
    <n v="0"/>
    <m/>
    <n v="2940"/>
    <d v="2024-10-29T00:00:00"/>
    <n v="29"/>
    <s v="October"/>
    <n v="2024"/>
    <d v="1899-12-30T12:00:00"/>
    <s v="Client 27"/>
    <s v="Chikago"/>
    <s v="1234 Aspen Road, Apt. 26Y"/>
    <x v="2"/>
    <s v="(212) 555-9844"/>
    <x v="4"/>
    <x v="0"/>
    <n v="1253"/>
    <n v="4"/>
  </r>
  <r>
    <x v="309"/>
    <n v="30"/>
    <x v="9"/>
    <x v="1"/>
    <x v="4"/>
    <x v="0"/>
    <n v="0"/>
    <n v="110"/>
    <m/>
    <n v="110"/>
    <d v="2024-10-30T00:00:00"/>
    <n v="30"/>
    <s v="October"/>
    <n v="2024"/>
    <d v="1899-12-30T16:00:00"/>
    <s v="Client 91"/>
    <s v="Chikago"/>
    <s v="987 Acorn Street, Suite 90KKKK"/>
    <x v="4"/>
    <s v="(917) 555-7858"/>
    <x v="4"/>
    <x v="0"/>
    <n v="2596"/>
    <n v="5"/>
  </r>
  <r>
    <x v="310"/>
    <n v="31"/>
    <x v="9"/>
    <x v="1"/>
    <x v="0"/>
    <x v="1"/>
    <n v="0"/>
    <n v="2800"/>
    <m/>
    <n v="2800"/>
    <d v="2024-10-31T00:00:00"/>
    <n v="31"/>
    <s v="October"/>
    <n v="2024"/>
    <d v="1899-12-30T18:00:00"/>
    <s v="Client 44"/>
    <s v="New York"/>
    <s v="678 Aspen Avenue, Unit 43PP"/>
    <x v="2"/>
    <s v="(718) 555-2313"/>
    <x v="3"/>
    <x v="0"/>
    <n v="3141"/>
    <n v="4"/>
  </r>
  <r>
    <x v="311"/>
    <n v="1"/>
    <x v="10"/>
    <x v="1"/>
    <x v="3"/>
    <x v="4"/>
    <n v="0"/>
    <n v="1010"/>
    <m/>
    <n v="1010"/>
    <d v="2024-11-01T00:00:00"/>
    <n v="1"/>
    <s v="November"/>
    <n v="2024"/>
    <d v="1899-12-30T10:00:00"/>
    <s v="Client 67"/>
    <s v="Chikago"/>
    <s v="567 Pine Street, Suite 66MMM"/>
    <x v="3"/>
    <n v="30900888990"/>
    <x v="4"/>
    <x v="0"/>
    <n v="3053"/>
    <n v="4"/>
  </r>
  <r>
    <x v="312"/>
    <n v="2"/>
    <x v="10"/>
    <x v="1"/>
    <x v="4"/>
    <x v="5"/>
    <n v="0"/>
    <n v="3300"/>
    <m/>
    <n v="3300"/>
    <d v="2024-11-02T00:00:00"/>
    <n v="2"/>
    <s v="November"/>
    <n v="2024"/>
    <d v="1899-12-30T12:00:00"/>
    <s v="Client 83"/>
    <s v="New York"/>
    <s v="789 Maple Street, Unit 82CCCC"/>
    <x v="0"/>
    <s v="(212) 555-1203"/>
    <x v="1"/>
    <x v="0"/>
    <n v="3529"/>
    <n v="4"/>
  </r>
  <r>
    <x v="313"/>
    <n v="3"/>
    <x v="10"/>
    <x v="1"/>
    <x v="3"/>
    <x v="8"/>
    <n v="0"/>
    <n v="4000"/>
    <m/>
    <n v="4000"/>
    <d v="2024-11-03T00:00:00"/>
    <n v="3"/>
    <s v="November"/>
    <n v="2024"/>
    <d v="1899-12-30T16:00:00"/>
    <s v="Client 49"/>
    <s v="Chikago"/>
    <s v="321 Cedarwood Lane, Suite 48UU"/>
    <x v="5"/>
    <s v="(917) 555-5647"/>
    <x v="2"/>
    <x v="0"/>
    <n v="1294"/>
    <n v="4"/>
  </r>
  <r>
    <x v="314"/>
    <n v="4"/>
    <x v="10"/>
    <x v="1"/>
    <x v="1"/>
    <x v="16"/>
    <n v="0"/>
    <n v="3480"/>
    <n v="0.15"/>
    <n v="3480"/>
    <d v="2024-11-04T00:00:00"/>
    <n v="4"/>
    <s v="November"/>
    <n v="2024"/>
    <d v="1899-12-30T18:00:00"/>
    <s v="Client 24"/>
    <s v="Chikago"/>
    <s v="890 Willow Drive, Apt. 23V"/>
    <x v="0"/>
    <s v="(718) 555-8734"/>
    <x v="0"/>
    <x v="0"/>
    <n v="2410"/>
    <n v="5"/>
  </r>
  <r>
    <x v="315"/>
    <n v="5"/>
    <x v="10"/>
    <x v="1"/>
    <x v="2"/>
    <x v="19"/>
    <n v="0"/>
    <n v="2530"/>
    <m/>
    <n v="2530"/>
    <d v="2024-11-05T00:00:00"/>
    <n v="5"/>
    <s v="November"/>
    <n v="2024"/>
    <d v="1899-12-30T09:00:00"/>
    <s v="Client 35"/>
    <s v="Miami"/>
    <s v="8765 Cedarwood Street, Suite 34GG"/>
    <x v="2"/>
    <s v="(646) 555-2314"/>
    <x v="2"/>
    <x v="0"/>
    <n v="2589"/>
    <n v="5"/>
  </r>
  <r>
    <x v="316"/>
    <n v="6"/>
    <x v="10"/>
    <x v="1"/>
    <x v="3"/>
    <x v="10"/>
    <n v="850"/>
    <n v="0"/>
    <m/>
    <n v="850"/>
    <d v="2024-11-06T00:00:00"/>
    <n v="6"/>
    <s v="November"/>
    <n v="2024"/>
    <d v="1899-12-30T11:00:00"/>
    <s v="Client 43"/>
    <s v="Chikago"/>
    <s v="345 Spruce Street, Suite 42OO"/>
    <x v="4"/>
    <s v="(212) 555-7859"/>
    <x v="4"/>
    <x v="0"/>
    <n v="1988"/>
    <n v="3"/>
  </r>
  <r>
    <x v="311"/>
    <n v="1"/>
    <x v="10"/>
    <x v="1"/>
    <x v="4"/>
    <x v="11"/>
    <n v="3900"/>
    <n v="0"/>
    <m/>
    <n v="3900"/>
    <d v="2024-11-01T00:00:00"/>
    <n v="1"/>
    <s v="November"/>
    <n v="2024"/>
    <d v="1899-12-30T15:00:00"/>
    <s v="Client 67"/>
    <s v="Chikago"/>
    <s v="567 Pine Street, Suite 66MMM"/>
    <x v="2"/>
    <s v="(917) 555-4290"/>
    <x v="0"/>
    <x v="0"/>
    <n v="2970"/>
    <n v="4"/>
  </r>
  <r>
    <x v="317"/>
    <n v="8"/>
    <x v="10"/>
    <x v="1"/>
    <x v="1"/>
    <x v="7"/>
    <n v="0"/>
    <n v="640"/>
    <m/>
    <n v="640"/>
    <d v="2024-11-08T00:00:00"/>
    <n v="8"/>
    <s v="November"/>
    <n v="2024"/>
    <d v="1899-12-30T11:00:00"/>
    <s v="Client 43"/>
    <s v="Chikago"/>
    <s v="345 Spruce Street, Suite 42OO"/>
    <x v="3"/>
    <s v="(718) 555-3425"/>
    <x v="0"/>
    <x v="0"/>
    <n v="2467"/>
    <n v="4"/>
  </r>
  <r>
    <x v="318"/>
    <n v="9"/>
    <x v="10"/>
    <x v="1"/>
    <x v="0"/>
    <x v="12"/>
    <n v="0"/>
    <n v="1390"/>
    <m/>
    <n v="1390"/>
    <d v="2024-11-09T00:00:00"/>
    <n v="9"/>
    <s v="November"/>
    <n v="2024"/>
    <d v="1899-12-30T09:00:00"/>
    <s v="Client 15"/>
    <s v="Chikago"/>
    <s v="543 Willowbrook Lane, Apt. 14M"/>
    <x v="2"/>
    <s v="(646) 555-6758"/>
    <x v="4"/>
    <x v="0"/>
    <n v="2678"/>
    <n v="5"/>
  </r>
  <r>
    <x v="319"/>
    <n v="10"/>
    <x v="10"/>
    <x v="1"/>
    <x v="2"/>
    <x v="4"/>
    <n v="0"/>
    <n v="3260"/>
    <m/>
    <n v="3260"/>
    <d v="2024-11-10T00:00:00"/>
    <n v="10"/>
    <s v="November"/>
    <n v="2024"/>
    <d v="1899-12-30T11:00:00"/>
    <s v="Client 80"/>
    <s v="Chikago"/>
    <s v="4321 Elm Drive, Unit 79ZZZ"/>
    <x v="4"/>
    <s v="(212) 555-9845"/>
    <x v="0"/>
    <x v="0"/>
    <n v="3811"/>
    <n v="3"/>
  </r>
  <r>
    <x v="320"/>
    <n v="11"/>
    <x v="10"/>
    <x v="1"/>
    <x v="3"/>
    <x v="12"/>
    <n v="0"/>
    <n v="1010"/>
    <m/>
    <n v="1010"/>
    <d v="2024-11-11T00:00:00"/>
    <n v="11"/>
    <s v="November"/>
    <n v="2024"/>
    <d v="1899-12-30T15:00:00"/>
    <s v="Client 92"/>
    <s v="New York"/>
    <s v="654 Sycamore Avenue, Unit 91LLLL"/>
    <x v="5"/>
    <s v="(917) 555-7859"/>
    <x v="2"/>
    <x v="0"/>
    <n v="2805"/>
    <n v="2"/>
  </r>
  <r>
    <x v="321"/>
    <n v="12"/>
    <x v="10"/>
    <x v="1"/>
    <x v="4"/>
    <x v="13"/>
    <n v="0"/>
    <n v="1500"/>
    <n v="0.15"/>
    <n v="1500"/>
    <d v="2024-11-12T00:00:00"/>
    <n v="12"/>
    <s v="November"/>
    <n v="2024"/>
    <d v="1899-12-30T11:00:00"/>
    <s v="Client 71"/>
    <s v="Chikago"/>
    <s v="1234 Aspen Road, Unit 70QQQ"/>
    <x v="0"/>
    <s v="(718) 555-2314"/>
    <x v="1"/>
    <x v="1"/>
    <n v="1470"/>
    <m/>
  </r>
  <r>
    <x v="322"/>
    <n v="13"/>
    <x v="10"/>
    <x v="1"/>
    <x v="3"/>
    <x v="1"/>
    <n v="0"/>
    <n v="3490"/>
    <m/>
    <n v="3490"/>
    <d v="2024-11-13T00:00:00"/>
    <n v="13"/>
    <s v="November"/>
    <n v="2024"/>
    <d v="1899-12-30T09:00:00"/>
    <s v="Client 84"/>
    <s v="Chikago"/>
    <s v="234 Pine Road, Apt. 83DDDD"/>
    <x v="5"/>
    <n v="29900888990"/>
    <x v="3"/>
    <x v="0"/>
    <n v="2692"/>
    <n v="5"/>
  </r>
  <r>
    <x v="323"/>
    <n v="14"/>
    <x v="10"/>
    <x v="1"/>
    <x v="1"/>
    <x v="6"/>
    <n v="0"/>
    <n v="2360"/>
    <m/>
    <n v="2360"/>
    <d v="2024-11-14T00:00:00"/>
    <n v="14"/>
    <s v="November"/>
    <n v="2024"/>
    <d v="1899-12-30T11:00:00"/>
    <s v="Client 67"/>
    <s v="Chikago"/>
    <s v="567 Pine Street, Suite 66MMM"/>
    <x v="0"/>
    <s v="(212) 555-1204"/>
    <x v="4"/>
    <x v="0"/>
    <n v="2931"/>
    <n v="5"/>
  </r>
  <r>
    <x v="324"/>
    <n v="15"/>
    <x v="10"/>
    <x v="1"/>
    <x v="2"/>
    <x v="7"/>
    <n v="0"/>
    <n v="610"/>
    <m/>
    <n v="610"/>
    <d v="2024-11-15T00:00:00"/>
    <n v="15"/>
    <s v="November"/>
    <n v="2024"/>
    <d v="1899-12-30T15:00:00"/>
    <s v="Client 49"/>
    <s v="Chikago"/>
    <s v="321 Cedarwood Lane, Suite 48UU"/>
    <x v="4"/>
    <s v="(917) 555-5648"/>
    <x v="4"/>
    <x v="0"/>
    <n v="2338"/>
    <n v="5"/>
  </r>
  <r>
    <x v="325"/>
    <n v="16"/>
    <x v="10"/>
    <x v="1"/>
    <x v="3"/>
    <x v="1"/>
    <n v="0"/>
    <n v="1040"/>
    <m/>
    <n v="1040"/>
    <d v="2024-11-16T00:00:00"/>
    <n v="16"/>
    <s v="November"/>
    <n v="2024"/>
    <d v="1899-12-30T11:00:00"/>
    <s v="Client 96"/>
    <s v="Chikago"/>
    <s v="210 Oak Lane, Apt. 95PPPP"/>
    <x v="0"/>
    <s v="(718) 555-8735"/>
    <x v="4"/>
    <x v="0"/>
    <n v="768"/>
    <n v="5"/>
  </r>
  <r>
    <x v="325"/>
    <n v="16"/>
    <x v="10"/>
    <x v="1"/>
    <x v="4"/>
    <x v="12"/>
    <n v="0"/>
    <n v="1500"/>
    <n v="0.15"/>
    <n v="1500"/>
    <d v="2024-11-16T00:00:00"/>
    <n v="16"/>
    <s v="November"/>
    <n v="2024"/>
    <d v="1899-12-30T09:00:00"/>
    <s v="Client 74"/>
    <s v="New York"/>
    <s v="654 Magnolia Lane, Unit 73TTT"/>
    <x v="5"/>
    <s v="(646) 555-2315"/>
    <x v="4"/>
    <x v="0"/>
    <n v="1957"/>
    <n v="5"/>
  </r>
  <r>
    <x v="326"/>
    <n v="18"/>
    <x v="10"/>
    <x v="1"/>
    <x v="1"/>
    <x v="5"/>
    <n v="0"/>
    <n v="2480"/>
    <m/>
    <n v="2480"/>
    <d v="2024-11-18T00:00:00"/>
    <n v="18"/>
    <s v="November"/>
    <n v="2024"/>
    <d v="1899-12-30T11:00:00"/>
    <s v="Client 93"/>
    <s v="Chikago"/>
    <s v="321 Cedarwood Lane, Apt. 92MMMM"/>
    <x v="5"/>
    <s v="(212) 555-7860"/>
    <x v="4"/>
    <x v="0"/>
    <n v="3125"/>
    <n v="5"/>
  </r>
  <r>
    <x v="327"/>
    <n v="19"/>
    <x v="10"/>
    <x v="1"/>
    <x v="0"/>
    <x v="14"/>
    <n v="10000"/>
    <n v="1090"/>
    <m/>
    <n v="11090"/>
    <d v="2024-11-19T00:00:00"/>
    <n v="19"/>
    <s v="November"/>
    <n v="2024"/>
    <d v="1899-12-30T15:00:00"/>
    <s v="Client 50"/>
    <s v="New York"/>
    <s v="876 Elm Drive, Unit 49VV"/>
    <x v="0"/>
    <s v="(917) 555-4291"/>
    <x v="4"/>
    <x v="0"/>
    <n v="2723"/>
    <n v="4"/>
  </r>
  <r>
    <x v="328"/>
    <n v="20"/>
    <x v="10"/>
    <x v="1"/>
    <x v="2"/>
    <x v="15"/>
    <n v="2200"/>
    <n v="0"/>
    <m/>
    <n v="2200"/>
    <d v="2024-11-20T00:00:00"/>
    <n v="20"/>
    <s v="November"/>
    <n v="2024"/>
    <d v="1899-12-30T11:00:00"/>
    <s v="Client 27"/>
    <s v="Chikago"/>
    <s v="1234 Aspen Road, Apt. 26Y"/>
    <x v="2"/>
    <s v="(718) 555-3426"/>
    <x v="0"/>
    <x v="0"/>
    <n v="599"/>
    <n v="4"/>
  </r>
  <r>
    <x v="329"/>
    <n v="21"/>
    <x v="10"/>
    <x v="1"/>
    <x v="2"/>
    <x v="15"/>
    <n v="0"/>
    <n v="6060"/>
    <n v="0.15"/>
    <n v="6060"/>
    <d v="2024-11-21T00:00:00"/>
    <n v="21"/>
    <s v="November"/>
    <n v="2024"/>
    <d v="1899-12-30T12:00:00"/>
    <s v="Client 28"/>
    <s v="Chikago"/>
    <s v="1235 Aspen Road, Apt. 26Y"/>
    <x v="2"/>
    <s v="(718) 555-3427"/>
    <x v="0"/>
    <x v="0"/>
    <n v="963"/>
    <n v="5"/>
  </r>
  <r>
    <x v="329"/>
    <n v="21"/>
    <x v="10"/>
    <x v="1"/>
    <x v="3"/>
    <x v="16"/>
    <n v="620"/>
    <n v="0"/>
    <m/>
    <n v="620"/>
    <d v="2024-11-21T00:00:00"/>
    <n v="21"/>
    <s v="November"/>
    <n v="2024"/>
    <d v="1899-12-30T10:00:00"/>
    <s v="Client 25"/>
    <s v="Dallas"/>
    <s v="345 Redwood Lane, Unit 24W"/>
    <x v="4"/>
    <s v="(646) 555-6759"/>
    <x v="4"/>
    <x v="0"/>
    <n v="2388"/>
    <n v="4"/>
  </r>
  <r>
    <x v="330"/>
    <n v="22"/>
    <x v="10"/>
    <x v="1"/>
    <x v="4"/>
    <x v="7"/>
    <n v="0"/>
    <n v="1590"/>
    <m/>
    <n v="1590"/>
    <d v="2024-11-22T00:00:00"/>
    <n v="22"/>
    <s v="November"/>
    <n v="2024"/>
    <d v="1899-12-30T12:00:00"/>
    <s v="Client 95"/>
    <s v="Chikago"/>
    <s v="543 Birch Road, Unit 94OOOO"/>
    <x v="2"/>
    <s v="(212) 555-9846"/>
    <x v="1"/>
    <x v="0"/>
    <n v="1580"/>
    <n v="4"/>
  </r>
  <r>
    <x v="331"/>
    <n v="23"/>
    <x v="10"/>
    <x v="1"/>
    <x v="3"/>
    <x v="10"/>
    <n v="0"/>
    <n v="3680"/>
    <m/>
    <n v="3680"/>
    <d v="2024-11-23T00:00:00"/>
    <n v="23"/>
    <s v="November"/>
    <n v="2024"/>
    <d v="1899-12-30T16:00:00"/>
    <s v="Client 17"/>
    <s v="Chikago"/>
    <s v="8765 Sycamore Court, Suite 16O"/>
    <x v="3"/>
    <s v="(917) 555-7860"/>
    <x v="2"/>
    <x v="0"/>
    <n v="881"/>
    <n v="4"/>
  </r>
  <r>
    <x v="332"/>
    <n v="24"/>
    <x v="10"/>
    <x v="1"/>
    <x v="1"/>
    <x v="20"/>
    <n v="0"/>
    <n v="2180"/>
    <m/>
    <n v="2180"/>
    <d v="2024-11-24T00:00:00"/>
    <n v="24"/>
    <s v="November"/>
    <n v="2024"/>
    <d v="1899-12-30T18:00:00"/>
    <s v="Client 87"/>
    <s v="Chikago"/>
    <s v="345 Spruce Street, Apt. 86GGGG"/>
    <x v="0"/>
    <s v="(718) 555-2315"/>
    <x v="0"/>
    <x v="0"/>
    <n v="1638"/>
    <n v="4"/>
  </r>
  <r>
    <x v="333"/>
    <n v="25"/>
    <x v="10"/>
    <x v="1"/>
    <x v="2"/>
    <x v="3"/>
    <n v="0"/>
    <n v="2650"/>
    <m/>
    <n v="2650"/>
    <d v="2024-11-25T00:00:00"/>
    <n v="25"/>
    <s v="November"/>
    <n v="2024"/>
    <d v="1899-12-30T10:00:00"/>
    <s v="Client 57"/>
    <s v="New York"/>
    <s v="789 Magnolia Road, Apt. 56CCC"/>
    <x v="5"/>
    <n v="28900888990"/>
    <x v="2"/>
    <x v="0"/>
    <n v="2723"/>
    <n v="4"/>
  </r>
  <r>
    <x v="334"/>
    <n v="26"/>
    <x v="10"/>
    <x v="1"/>
    <x v="3"/>
    <x v="3"/>
    <n v="0"/>
    <n v="3210"/>
    <m/>
    <n v="3210"/>
    <d v="2024-11-26T00:00:00"/>
    <n v="26"/>
    <s v="November"/>
    <n v="2024"/>
    <d v="1899-12-30T12:00:00"/>
    <s v="Client 63"/>
    <s v="Chikago"/>
    <s v="123 Elm Street, Apt. 62III"/>
    <x v="5"/>
    <s v="(212) 555-1205"/>
    <x v="4"/>
    <x v="0"/>
    <n v="1521"/>
    <n v="4"/>
  </r>
  <r>
    <x v="329"/>
    <n v="21"/>
    <x v="10"/>
    <x v="1"/>
    <x v="4"/>
    <x v="4"/>
    <n v="0"/>
    <n v="3150"/>
    <m/>
    <n v="3150"/>
    <d v="2024-11-21T00:00:00"/>
    <n v="21"/>
    <s v="November"/>
    <n v="2024"/>
    <d v="1899-12-30T16:00:00"/>
    <s v="Client 52"/>
    <s v="Chikago"/>
    <s v="210 Oak Lane, Suite 51XX"/>
    <x v="0"/>
    <s v="(917) 555-5649"/>
    <x v="0"/>
    <x v="0"/>
    <n v="1176"/>
    <n v="4"/>
  </r>
  <r>
    <x v="335"/>
    <n v="28"/>
    <x v="10"/>
    <x v="1"/>
    <x v="1"/>
    <x v="12"/>
    <n v="0"/>
    <n v="1990"/>
    <m/>
    <n v="1990"/>
    <d v="2024-11-28T00:00:00"/>
    <n v="28"/>
    <s v="November"/>
    <n v="2024"/>
    <d v="1899-12-30T18:00:00"/>
    <s v="Client 100"/>
    <s v="Chikago"/>
    <s v="456 Willow Lane, Suite 99TTTT"/>
    <x v="2"/>
    <s v="(718) 555-8736"/>
    <x v="3"/>
    <x v="0"/>
    <n v="1692"/>
    <n v="4"/>
  </r>
  <r>
    <x v="336"/>
    <n v="29"/>
    <x v="10"/>
    <x v="1"/>
    <x v="3"/>
    <x v="13"/>
    <n v="0"/>
    <n v="2690"/>
    <m/>
    <n v="2690"/>
    <d v="2024-11-29T00:00:00"/>
    <n v="29"/>
    <s v="November"/>
    <n v="2024"/>
    <d v="1899-12-30T10:00:00"/>
    <s v="Client 35"/>
    <s v="Miami"/>
    <s v="8765 Cedarwood Street, Suite 34GG"/>
    <x v="4"/>
    <s v="(646) 555-2316"/>
    <x v="4"/>
    <x v="0"/>
    <n v="372"/>
    <n v="4"/>
  </r>
  <r>
    <x v="337"/>
    <n v="30"/>
    <x v="10"/>
    <x v="1"/>
    <x v="4"/>
    <x v="1"/>
    <n v="0"/>
    <n v="1040"/>
    <m/>
    <n v="1040"/>
    <d v="2024-11-30T00:00:00"/>
    <n v="30"/>
    <s v="November"/>
    <n v="2024"/>
    <d v="1899-12-30T12:00:00"/>
    <s v="Client 29"/>
    <s v="Chikago"/>
    <s v="987 Pinecone Avenue, Suite 28AA"/>
    <x v="2"/>
    <s v="(212) 555-7861"/>
    <x v="0"/>
    <x v="0"/>
    <n v="2186"/>
    <n v="4"/>
  </r>
  <r>
    <x v="338"/>
    <n v="1"/>
    <x v="11"/>
    <x v="1"/>
    <x v="3"/>
    <x v="6"/>
    <n v="0"/>
    <n v="1990"/>
    <m/>
    <n v="1990"/>
    <d v="2024-12-01T00:00:00"/>
    <n v="1"/>
    <s v="December"/>
    <n v="2024"/>
    <d v="1899-12-30T16:00:00"/>
    <s v="Client 42"/>
    <s v="Chikago"/>
    <s v="890 Redwood Lane, Apt. 41NN"/>
    <x v="3"/>
    <s v="(917) 555-4292"/>
    <x v="2"/>
    <x v="0"/>
    <n v="3179"/>
    <n v="5"/>
  </r>
  <r>
    <x v="339"/>
    <n v="2"/>
    <x v="11"/>
    <x v="1"/>
    <x v="0"/>
    <x v="6"/>
    <n v="0"/>
    <n v="1980"/>
    <m/>
    <n v="1980"/>
    <d v="2024-12-02T00:00:00"/>
    <n v="2"/>
    <s v="December"/>
    <n v="2024"/>
    <d v="1899-12-30T18:00:00"/>
    <s v="Client 17"/>
    <s v="Chikago"/>
    <s v="8765 Sycamore Court, Suite 16O"/>
    <x v="0"/>
    <s v="(718) 555-3427"/>
    <x v="1"/>
    <x v="0"/>
    <n v="1923"/>
    <n v="5"/>
  </r>
  <r>
    <x v="340"/>
    <n v="3"/>
    <x v="11"/>
    <x v="1"/>
    <x v="2"/>
    <x v="1"/>
    <n v="0"/>
    <n v="3510"/>
    <m/>
    <n v="3510"/>
    <d v="2024-12-03T00:00:00"/>
    <n v="3"/>
    <s v="December"/>
    <n v="2024"/>
    <d v="1899-12-30T09:00:00"/>
    <s v="Client 45"/>
    <s v="Chikago"/>
    <s v="1234 Sequoia Road, Apt. 44QQ"/>
    <x v="2"/>
    <s v="(646) 555-6760"/>
    <x v="0"/>
    <x v="0"/>
    <n v="2476"/>
    <n v="5"/>
  </r>
  <r>
    <x v="341"/>
    <n v="4"/>
    <x v="11"/>
    <x v="1"/>
    <x v="3"/>
    <x v="12"/>
    <n v="0"/>
    <n v="810"/>
    <n v="0.15"/>
    <n v="810"/>
    <d v="2024-12-04T00:00:00"/>
    <n v="4"/>
    <s v="December"/>
    <n v="2024"/>
    <d v="1899-12-30T11:00:00"/>
    <s v="Client 28"/>
    <s v="Chikago"/>
    <s v="5678 Cedar Drive, Unit 27Z"/>
    <x v="4"/>
    <s v="(212) 555-9847"/>
    <x v="4"/>
    <x v="0"/>
    <n v="2169"/>
    <n v="5"/>
  </r>
  <r>
    <x v="342"/>
    <n v="5"/>
    <x v="11"/>
    <x v="1"/>
    <x v="4"/>
    <x v="5"/>
    <n v="0"/>
    <n v="2680"/>
    <n v="0.15"/>
    <n v="2680"/>
    <d v="2024-12-05T00:00:00"/>
    <n v="5"/>
    <s v="December"/>
    <n v="2024"/>
    <d v="1899-12-30T15:00:00"/>
    <s v="Client 99"/>
    <s v="Chikago"/>
    <s v="123 Redwood Avenue, Apt. 98SSSS"/>
    <x v="1"/>
    <s v="(917) 555-7861"/>
    <x v="4"/>
    <x v="0"/>
    <n v="3835"/>
    <n v="5"/>
  </r>
  <r>
    <x v="342"/>
    <n v="5"/>
    <x v="11"/>
    <x v="1"/>
    <x v="1"/>
    <x v="14"/>
    <n v="0"/>
    <n v="1110"/>
    <n v="0.15"/>
    <n v="1110"/>
    <d v="2024-12-05T00:00:00"/>
    <n v="5"/>
    <s v="December"/>
    <n v="2024"/>
    <d v="1899-12-30T11:00:00"/>
    <s v="Client 11"/>
    <s v="Chikago"/>
    <s v="987 Aspen Avenue, Suite 10I"/>
    <x v="0"/>
    <s v="(718) 555-2316"/>
    <x v="4"/>
    <x v="0"/>
    <n v="2468"/>
    <n v="5"/>
  </r>
  <r>
    <x v="338"/>
    <n v="1"/>
    <x v="11"/>
    <x v="1"/>
    <x v="1"/>
    <x v="15"/>
    <n v="0"/>
    <n v="3250"/>
    <n v="0.15"/>
    <n v="3250"/>
    <d v="2024-12-01T00:00:00"/>
    <n v="1"/>
    <s v="December"/>
    <n v="2024"/>
    <d v="1899-12-30T10:00:00"/>
    <s v="Client 43"/>
    <s v="Chikago"/>
    <s v="345 Spruce Street, Suite 42OO"/>
    <x v="1"/>
    <n v="27900888990"/>
    <x v="4"/>
    <x v="0"/>
    <n v="1065"/>
    <n v="5"/>
  </r>
  <r>
    <x v="343"/>
    <n v="8"/>
    <x v="11"/>
    <x v="1"/>
    <x v="2"/>
    <x v="16"/>
    <n v="0"/>
    <n v="110"/>
    <n v="0.15"/>
    <n v="110"/>
    <d v="2024-12-08T00:00:00"/>
    <n v="8"/>
    <s v="December"/>
    <n v="2024"/>
    <d v="1899-12-30T12:00:00"/>
    <s v="Client 44"/>
    <s v="New York"/>
    <s v="678 Aspen Avenue, Unit 43PP"/>
    <x v="0"/>
    <s v="(212) 555-1206"/>
    <x v="4"/>
    <x v="0"/>
    <n v="3535"/>
    <n v="4"/>
  </r>
  <r>
    <x v="344"/>
    <n v="9"/>
    <x v="11"/>
    <x v="1"/>
    <x v="3"/>
    <x v="7"/>
    <n v="0"/>
    <n v="2030"/>
    <n v="0.15"/>
    <n v="2030"/>
    <d v="2024-12-09T00:00:00"/>
    <n v="9"/>
    <s v="December"/>
    <n v="2024"/>
    <d v="1899-12-30T16:00:00"/>
    <s v="Client 53"/>
    <s v="Chikago"/>
    <s v="8765 Maple Street, Unit 52YY"/>
    <x v="4"/>
    <s v="(917) 555-5650"/>
    <x v="4"/>
    <x v="0"/>
    <n v="2271"/>
    <n v="4"/>
  </r>
  <r>
    <x v="345"/>
    <n v="10"/>
    <x v="11"/>
    <x v="1"/>
    <x v="4"/>
    <x v="10"/>
    <n v="1510"/>
    <n v="0"/>
    <m/>
    <n v="1510"/>
    <d v="2024-12-10T00:00:00"/>
    <n v="10"/>
    <s v="December"/>
    <n v="2024"/>
    <d v="1899-12-30T18:00:00"/>
    <s v="Client 71"/>
    <s v="Chikago"/>
    <s v="1234 Aspen Road, Unit 70QQQ"/>
    <x v="0"/>
    <s v="(718) 555-8737"/>
    <x v="3"/>
    <x v="0"/>
    <n v="2730"/>
    <n v="4"/>
  </r>
  <r>
    <x v="346"/>
    <n v="11"/>
    <x v="11"/>
    <x v="1"/>
    <x v="3"/>
    <x v="4"/>
    <n v="3690"/>
    <n v="0"/>
    <m/>
    <n v="3690"/>
    <d v="2024-12-11T00:00:00"/>
    <n v="11"/>
    <s v="December"/>
    <n v="2024"/>
    <d v="1899-12-30T10:00:00"/>
    <s v="Client 67"/>
    <s v="Chikago"/>
    <s v="567 Pine Street, Suite 66MMM"/>
    <x v="1"/>
    <s v="(646) 555-2317"/>
    <x v="4"/>
    <x v="0"/>
    <n v="1672"/>
    <n v="4"/>
  </r>
  <r>
    <x v="346"/>
    <n v="11"/>
    <x v="11"/>
    <x v="1"/>
    <x v="0"/>
    <x v="12"/>
    <n v="0"/>
    <n v="1090"/>
    <m/>
    <n v="1090"/>
    <d v="2024-12-11T00:00:00"/>
    <n v="11"/>
    <s v="December"/>
    <n v="2024"/>
    <d v="1899-12-30T12:00:00"/>
    <s v="Client 73"/>
    <s v="Chikago"/>
    <s v="987 Pinecone Avenue, Suite 72SSS"/>
    <x v="1"/>
    <s v="(212) 555-7862"/>
    <x v="1"/>
    <x v="0"/>
    <n v="2191"/>
    <n v="4"/>
  </r>
  <r>
    <x v="346"/>
    <n v="11"/>
    <x v="11"/>
    <x v="1"/>
    <x v="2"/>
    <x v="13"/>
    <n v="0"/>
    <n v="2820"/>
    <m/>
    <n v="2820"/>
    <d v="2024-12-11T00:00:00"/>
    <n v="11"/>
    <s v="December"/>
    <n v="2024"/>
    <d v="1899-12-30T16:00:00"/>
    <s v="Client 22"/>
    <s v="Chikago"/>
    <s v="234 Maple Road, Unit 21T"/>
    <x v="0"/>
    <s v="(917) 555-4293"/>
    <x v="2"/>
    <x v="1"/>
    <n v="3861"/>
    <m/>
  </r>
  <r>
    <x v="347"/>
    <n v="14"/>
    <x v="11"/>
    <x v="1"/>
    <x v="3"/>
    <x v="1"/>
    <n v="0"/>
    <n v="1110"/>
    <m/>
    <n v="1110"/>
    <d v="2024-12-14T00:00:00"/>
    <n v="14"/>
    <s v="December"/>
    <n v="2024"/>
    <d v="1899-12-30T18:00:00"/>
    <s v="Client 98"/>
    <s v="Chikago"/>
    <s v="4321 Pine Street, Unit 97RRRR"/>
    <x v="2"/>
    <s v="(718) 555-3428"/>
    <x v="0"/>
    <x v="0"/>
    <n v="2549"/>
    <n v="4"/>
  </r>
  <r>
    <x v="348"/>
    <n v="15"/>
    <x v="11"/>
    <x v="1"/>
    <x v="4"/>
    <x v="6"/>
    <n v="0"/>
    <n v="3990"/>
    <m/>
    <n v="3990"/>
    <d v="2024-12-15T00:00:00"/>
    <n v="15"/>
    <s v="December"/>
    <n v="2024"/>
    <d v="1899-12-30T10:00:00"/>
    <s v="Client 47"/>
    <s v="Chikago"/>
    <s v="987 Acorn Street, Unit 46SS"/>
    <x v="4"/>
    <s v="(646) 555-6761"/>
    <x v="2"/>
    <x v="0"/>
    <n v="1343"/>
    <n v="4"/>
  </r>
  <r>
    <x v="349"/>
    <n v="16"/>
    <x v="11"/>
    <x v="1"/>
    <x v="1"/>
    <x v="6"/>
    <n v="0"/>
    <n v="2150"/>
    <m/>
    <n v="2150"/>
    <d v="2024-12-16T00:00:00"/>
    <n v="16"/>
    <s v="December"/>
    <n v="2024"/>
    <d v="1899-12-30T12:00:00"/>
    <s v="Client 8"/>
    <s v="New York"/>
    <s v="678 Spruce Lane, Apt. 1F"/>
    <x v="2"/>
    <s v="(212) 555-9848"/>
    <x v="4"/>
    <x v="0"/>
    <n v="2339"/>
    <n v="4"/>
  </r>
  <r>
    <x v="346"/>
    <n v="11"/>
    <x v="11"/>
    <x v="1"/>
    <x v="1"/>
    <x v="1"/>
    <n v="0"/>
    <n v="2230"/>
    <n v="0.15"/>
    <n v="2230"/>
    <d v="2024-12-11T00:00:00"/>
    <n v="11"/>
    <s v="December"/>
    <n v="2024"/>
    <d v="1899-12-30T16:00:00"/>
    <s v="Client 35"/>
    <s v="Miami"/>
    <s v="8765 Cedarwood Street, Suite 34GG"/>
    <x v="3"/>
    <s v="(917) 555-7862"/>
    <x v="4"/>
    <x v="0"/>
    <n v="2786"/>
    <n v="5"/>
  </r>
  <r>
    <x v="350"/>
    <n v="18"/>
    <x v="11"/>
    <x v="1"/>
    <x v="0"/>
    <x v="12"/>
    <n v="0"/>
    <n v="3080"/>
    <m/>
    <n v="3080"/>
    <d v="2024-12-18T00:00:00"/>
    <n v="18"/>
    <s v="December"/>
    <n v="2024"/>
    <d v="1899-12-30T18:00:00"/>
    <s v="Client 68"/>
    <s v="Chikago"/>
    <s v="890 Willow Drive, Unit 67NNN"/>
    <x v="3"/>
    <s v="(718) 555-2317"/>
    <x v="4"/>
    <x v="0"/>
    <n v="1431"/>
    <n v="5"/>
  </r>
  <r>
    <x v="350"/>
    <n v="18"/>
    <x v="11"/>
    <x v="1"/>
    <x v="2"/>
    <x v="5"/>
    <n v="0"/>
    <n v="2180"/>
    <m/>
    <n v="2180"/>
    <d v="2024-12-18T00:00:00"/>
    <n v="18"/>
    <s v="December"/>
    <n v="2024"/>
    <d v="1899-12-30T09:00:00"/>
    <s v="Client 35"/>
    <s v="Miami"/>
    <s v="8765 Cedarwood Street, Suite 34GG"/>
    <x v="1"/>
    <n v="26900888990"/>
    <x v="4"/>
    <x v="0"/>
    <n v="2395"/>
    <n v="5"/>
  </r>
  <r>
    <x v="350"/>
    <n v="18"/>
    <x v="11"/>
    <x v="1"/>
    <x v="3"/>
    <x v="14"/>
    <n v="0"/>
    <n v="920"/>
    <m/>
    <n v="920"/>
    <d v="2024-12-18T00:00:00"/>
    <n v="18"/>
    <s v="December"/>
    <n v="2024"/>
    <d v="1899-12-30T11:00:00"/>
    <s v="Client 5"/>
    <s v="Chikago"/>
    <s v="567 Birch Street, Unit 8D"/>
    <x v="1"/>
    <s v="(212) 555-1207"/>
    <x v="0"/>
    <x v="0"/>
    <n v="3230"/>
    <n v="5"/>
  </r>
  <r>
    <x v="351"/>
    <n v="21"/>
    <x v="11"/>
    <x v="1"/>
    <x v="3"/>
    <x v="14"/>
    <n v="6920"/>
    <n v="0"/>
    <n v="0.05"/>
    <n v="6920"/>
    <d v="2024-12-21T00:00:00"/>
    <n v="21"/>
    <s v="December"/>
    <n v="2024"/>
    <d v="1899-12-30T12:00:00"/>
    <s v="Client 6"/>
    <s v="Chikago"/>
    <s v="568 Birch Street, Unit 8D"/>
    <x v="1"/>
    <s v="(212) 555-1208"/>
    <x v="0"/>
    <x v="0"/>
    <n v="3555"/>
    <n v="5"/>
  </r>
  <r>
    <x v="351"/>
    <n v="21"/>
    <x v="11"/>
    <x v="1"/>
    <x v="4"/>
    <x v="15"/>
    <n v="0"/>
    <n v="3200"/>
    <m/>
    <n v="3200"/>
    <d v="2024-12-21T00:00:00"/>
    <n v="21"/>
    <s v="December"/>
    <n v="2024"/>
    <d v="1899-12-30T15:00:00"/>
    <s v="Client 24"/>
    <s v="Chikago"/>
    <s v="890 Willow Drive, Apt. 23V"/>
    <x v="0"/>
    <s v="(917) 555-5651"/>
    <x v="2"/>
    <x v="0"/>
    <n v="3491"/>
    <n v="5"/>
  </r>
  <r>
    <x v="352"/>
    <n v="22"/>
    <x v="11"/>
    <x v="1"/>
    <x v="3"/>
    <x v="16"/>
    <n v="0"/>
    <n v="2320"/>
    <m/>
    <n v="2320"/>
    <d v="2024-12-22T00:00:00"/>
    <n v="22"/>
    <s v="December"/>
    <n v="2024"/>
    <d v="1899-12-30T11:00:00"/>
    <s v="Client 87"/>
    <s v="Chikago"/>
    <s v="345 Spruce Street, Apt. 86GGGG"/>
    <x v="2"/>
    <s v="(718) 555-8738"/>
    <x v="1"/>
    <x v="0"/>
    <n v="1174"/>
    <n v="5"/>
  </r>
  <r>
    <x v="353"/>
    <n v="23"/>
    <x v="11"/>
    <x v="1"/>
    <x v="1"/>
    <x v="7"/>
    <n v="0"/>
    <n v="3800"/>
    <m/>
    <n v="3800"/>
    <d v="2024-12-23T00:00:00"/>
    <n v="23"/>
    <s v="December"/>
    <n v="2024"/>
    <d v="1899-12-30T09:00:00"/>
    <s v="Client 16"/>
    <s v="Chikago"/>
    <s v="210 Magnolia Street, Unit 15N"/>
    <x v="0"/>
    <s v="(646) 555-2318"/>
    <x v="4"/>
    <x v="0"/>
    <n v="2272"/>
    <n v="5"/>
  </r>
  <r>
    <x v="354"/>
    <n v="24"/>
    <x v="11"/>
    <x v="1"/>
    <x v="2"/>
    <x v="10"/>
    <n v="0"/>
    <n v="2110"/>
    <m/>
    <n v="2110"/>
    <d v="2024-12-24T00:00:00"/>
    <n v="24"/>
    <s v="December"/>
    <n v="2024"/>
    <d v="1899-12-30T09:00:00"/>
    <s v="Client 38"/>
    <s v="Chikago"/>
    <s v="456 Oak Avenue, Unit 37JJ"/>
    <x v="2"/>
    <s v="(212) 555-7863"/>
    <x v="4"/>
    <x v="0"/>
    <n v="1496"/>
    <n v="5"/>
  </r>
  <r>
    <x v="354"/>
    <n v="24"/>
    <x v="11"/>
    <x v="1"/>
    <x v="3"/>
    <x v="7"/>
    <n v="0"/>
    <n v="3550"/>
    <m/>
    <n v="3550"/>
    <d v="2024-12-24T00:00:00"/>
    <n v="24"/>
    <s v="December"/>
    <n v="2024"/>
    <d v="1899-12-30T11:00:00"/>
    <s v="Client 57"/>
    <s v="New York"/>
    <s v="789 Magnolia Road, Apt. 56CCC"/>
    <x v="4"/>
    <s v="(917) 555-4294"/>
    <x v="0"/>
    <x v="0"/>
    <n v="482"/>
    <n v="5"/>
  </r>
  <r>
    <x v="355"/>
    <n v="26"/>
    <x v="11"/>
    <x v="1"/>
    <x v="1"/>
    <x v="7"/>
    <n v="0"/>
    <n v="1650"/>
    <m/>
    <n v="1650"/>
    <d v="2024-12-26T00:00:00"/>
    <n v="26"/>
    <s v="December"/>
    <n v="2024"/>
    <d v="1899-12-30T09:00:00"/>
    <s v="Client 12"/>
    <s v="New York"/>
    <s v="654 Pinecone Lane, Unit 11J"/>
    <x v="2"/>
    <s v="(718) 555-3429"/>
    <x v="4"/>
    <x v="0"/>
    <n v="3777"/>
    <n v="4"/>
  </r>
  <r>
    <x v="355"/>
    <n v="26"/>
    <x v="11"/>
    <x v="1"/>
    <x v="0"/>
    <x v="7"/>
    <n v="0"/>
    <n v="1910"/>
    <m/>
    <n v="1910"/>
    <d v="2024-12-26T00:00:00"/>
    <n v="26"/>
    <s v="December"/>
    <n v="2024"/>
    <d v="1899-12-30T09:00:00"/>
    <s v="Client 37"/>
    <e v="#N/A"/>
    <s v="123 Birch Lane, Suite 36II"/>
    <x v="3"/>
    <s v="(646) 555-6762"/>
    <x v="0"/>
    <x v="0"/>
    <n v="1280"/>
    <n v="4"/>
  </r>
  <r>
    <x v="356"/>
    <n v="10"/>
    <x v="0"/>
    <x v="2"/>
    <x v="1"/>
    <x v="4"/>
    <n v="1900"/>
    <n v="0"/>
    <m/>
    <n v="1900"/>
    <d v="2025-01-10T00:00:00"/>
    <n v="10"/>
    <s v="January"/>
    <n v="2025"/>
    <d v="1899-12-30T12:00:00"/>
    <s v="Client 63"/>
    <s v="Chikago"/>
    <s v="123 Elm Street, Apt. 62III"/>
    <x v="3"/>
    <s v="(212) 555-9849"/>
    <x v="3"/>
    <x v="0"/>
    <n v="1732"/>
    <n v="5"/>
  </r>
  <r>
    <x v="357"/>
    <n v="11"/>
    <x v="0"/>
    <x v="2"/>
    <x v="1"/>
    <x v="21"/>
    <n v="400"/>
    <n v="0"/>
    <m/>
    <n v="400"/>
    <d v="2025-01-11T00:00:00"/>
    <n v="11"/>
    <s v="January"/>
    <n v="2025"/>
    <d v="1899-12-30T16:00:00"/>
    <s v="Client 76"/>
    <s v="Miami"/>
    <s v="876 Willowbrook Drive, Suite 75VVV"/>
    <x v="3"/>
    <s v="(917) 555-7863"/>
    <x v="4"/>
    <x v="0"/>
    <n v="2625"/>
    <n v="3"/>
  </r>
  <r>
    <x v="358"/>
    <n v="12"/>
    <x v="0"/>
    <x v="2"/>
    <x v="0"/>
    <x v="6"/>
    <n v="200"/>
    <n v="0"/>
    <m/>
    <n v="200"/>
    <d v="2025-01-12T00:00:00"/>
    <n v="12"/>
    <s v="January"/>
    <n v="2025"/>
    <d v="1899-12-30T18:00:00"/>
    <s v="Client 16"/>
    <s v="Chikago"/>
    <s v="210 Magnolia Street, Unit 15N"/>
    <x v="2"/>
    <s v="(718) 555-2318"/>
    <x v="4"/>
    <x v="0"/>
    <n v="2441"/>
    <n v="5"/>
  </r>
  <r>
    <x v="359"/>
    <n v="13"/>
    <x v="0"/>
    <x v="2"/>
    <x v="2"/>
    <x v="22"/>
    <n v="0"/>
    <n v="300"/>
    <m/>
    <n v="300"/>
    <d v="2025-01-13T00:00:00"/>
    <n v="13"/>
    <s v="January"/>
    <n v="2025"/>
    <d v="1899-12-30T10:00:00"/>
    <s v="Client 72"/>
    <s v="Chikago"/>
    <s v="5678 Cedar Drive, Apt. 71RRR"/>
    <x v="2"/>
    <n v="25900888990"/>
    <x v="3"/>
    <x v="1"/>
    <n v="3883"/>
    <m/>
  </r>
  <r>
    <x v="359"/>
    <n v="13"/>
    <x v="0"/>
    <x v="2"/>
    <x v="2"/>
    <x v="23"/>
    <n v="200"/>
    <n v="0"/>
    <m/>
    <n v="200"/>
    <d v="2025-01-13T00:00:00"/>
    <n v="13"/>
    <s v="January"/>
    <n v="2025"/>
    <d v="1899-12-30T12:00:00"/>
    <s v="Client 4"/>
    <s v="Chikago"/>
    <s v="234 Pine Road, Apt. 3C"/>
    <x v="0"/>
    <s v="(212) 555-1208"/>
    <x v="4"/>
    <x v="0"/>
    <n v="5053"/>
    <n v="5"/>
  </r>
  <r>
    <x v="359"/>
    <n v="13"/>
    <x v="0"/>
    <x v="2"/>
    <x v="1"/>
    <x v="23"/>
    <n v="0"/>
    <n v="600"/>
    <m/>
    <n v="600"/>
    <d v="2025-01-13T00:00:00"/>
    <n v="13"/>
    <s v="January"/>
    <n v="2025"/>
    <d v="1899-12-30T16:00:00"/>
    <s v="Client 59"/>
    <s v="Chikago"/>
    <s v="567 Willowbrook Drive, Unit 58EEE"/>
    <x v="1"/>
    <s v="(917) 555-5652"/>
    <x v="1"/>
    <x v="0"/>
    <n v="3522"/>
    <n v="5"/>
  </r>
  <r>
    <x v="360"/>
    <n v="14"/>
    <x v="0"/>
    <x v="2"/>
    <x v="4"/>
    <x v="23"/>
    <n v="0"/>
    <n v="17610"/>
    <m/>
    <n v="17610"/>
    <d v="2025-01-14T00:00:00"/>
    <n v="14"/>
    <s v="January"/>
    <n v="2025"/>
    <d v="1899-12-30T17:00:00"/>
    <s v="Client 60"/>
    <s v="Chikago"/>
    <s v="568 Willowbrook Drive, Unit 58EEE"/>
    <x v="1"/>
    <s v="(917) 555-5653"/>
    <x v="1"/>
    <x v="0"/>
    <n v="2526"/>
    <n v="5"/>
  </r>
  <r>
    <x v="361"/>
    <n v="16"/>
    <x v="0"/>
    <x v="2"/>
    <x v="1"/>
    <x v="21"/>
    <n v="2000"/>
    <n v="0"/>
    <m/>
    <n v="2000"/>
    <d v="2025-01-16T00:00:00"/>
    <n v="16"/>
    <s v="January"/>
    <n v="2025"/>
    <d v="1899-12-30T18:00:00"/>
    <s v="Client 74"/>
    <s v="New York"/>
    <s v="654 Magnolia Lane, Unit 73TTT"/>
    <x v="2"/>
    <s v="(718) 555-8739"/>
    <x v="2"/>
    <x v="0"/>
    <n v="4945"/>
    <n v="4"/>
  </r>
  <r>
    <x v="361"/>
    <n v="16"/>
    <x v="0"/>
    <x v="2"/>
    <x v="0"/>
    <x v="21"/>
    <n v="0"/>
    <n v="4000"/>
    <n v="0.15"/>
    <n v="4000"/>
    <d v="2025-01-16T00:00:00"/>
    <n v="16"/>
    <s v="January"/>
    <n v="2025"/>
    <d v="1899-12-30T10:00:00"/>
    <s v="Client 81"/>
    <e v="#N/A"/>
    <s v="123 Birch Lane, Apt. 80AAAA"/>
    <x v="2"/>
    <s v="(646) 555-2319"/>
    <x v="0"/>
    <x v="0"/>
    <n v="4144"/>
    <n v="5"/>
  </r>
  <r>
    <x v="362"/>
    <n v="18"/>
    <x v="0"/>
    <x v="2"/>
    <x v="1"/>
    <x v="1"/>
    <n v="0"/>
    <n v="200"/>
    <m/>
    <n v="200"/>
    <d v="2025-01-18T00:00:00"/>
    <n v="18"/>
    <s v="January"/>
    <n v="2025"/>
    <d v="1899-12-30T12:00:00"/>
    <s v="Client 40"/>
    <s v="Chikago"/>
    <s v="234 Pine Road, Suite 39LL"/>
    <x v="4"/>
    <s v="(212) 555-7864"/>
    <x v="2"/>
    <x v="0"/>
    <n v="2285"/>
    <n v="5"/>
  </r>
  <r>
    <x v="363"/>
    <n v="19"/>
    <x v="0"/>
    <x v="2"/>
    <x v="1"/>
    <x v="1"/>
    <n v="800"/>
    <n v="0"/>
    <m/>
    <n v="800"/>
    <d v="2025-01-19T00:00:00"/>
    <n v="19"/>
    <s v="January"/>
    <n v="2025"/>
    <d v="1899-12-30T16:00:00"/>
    <s v="Client 19"/>
    <s v="Chikago"/>
    <s v="123 Elm Street, Unit 18Q"/>
    <x v="2"/>
    <s v="(917) 555-4295"/>
    <x v="4"/>
    <x v="0"/>
    <n v="3948"/>
    <n v="5"/>
  </r>
  <r>
    <x v="364"/>
    <n v="20"/>
    <x v="0"/>
    <x v="2"/>
    <x v="3"/>
    <x v="18"/>
    <n v="10000"/>
    <n v="3000"/>
    <m/>
    <n v="13000"/>
    <d v="2025-01-20T00:00:00"/>
    <n v="20"/>
    <s v="January"/>
    <n v="2025"/>
    <d v="1899-12-30T18:00:00"/>
    <s v="Client 60"/>
    <s v="Chikago"/>
    <s v="890 Acorn Avenue, Apt. 59FFF"/>
    <x v="2"/>
    <s v="(718) 555-3430"/>
    <x v="3"/>
    <x v="0"/>
    <n v="4310"/>
    <n v="3"/>
  </r>
  <r>
    <x v="364"/>
    <n v="20"/>
    <x v="0"/>
    <x v="2"/>
    <x v="2"/>
    <x v="4"/>
    <n v="14600"/>
    <n v="0"/>
    <m/>
    <n v="14600"/>
    <d v="2025-01-20T00:00:00"/>
    <n v="20"/>
    <s v="January"/>
    <n v="2025"/>
    <d v="1899-12-30T09:00:00"/>
    <s v="Client 54"/>
    <s v="Chikago"/>
    <s v="4321 Pine Street, Apt. 53ZZ"/>
    <x v="0"/>
    <s v="(646) 555-6763"/>
    <x v="3"/>
    <x v="0"/>
    <n v="3558"/>
    <n v="3"/>
  </r>
  <r>
    <x v="364"/>
    <n v="20"/>
    <x v="0"/>
    <x v="2"/>
    <x v="0"/>
    <x v="15"/>
    <n v="0"/>
    <n v="3000"/>
    <m/>
    <n v="3000"/>
    <d v="2025-01-20T00:00:00"/>
    <n v="20"/>
    <s v="January"/>
    <n v="2025"/>
    <d v="1899-12-30T11:00:00"/>
    <s v="Client 44"/>
    <s v="New York"/>
    <s v="678 Aspen Avenue, Unit 43PP"/>
    <x v="1"/>
    <s v="(212) 555-9850"/>
    <x v="4"/>
    <x v="0"/>
    <n v="3212"/>
    <n v="2"/>
  </r>
  <r>
    <x v="365"/>
    <n v="23"/>
    <x v="0"/>
    <x v="2"/>
    <x v="1"/>
    <x v="10"/>
    <n v="500"/>
    <n v="0"/>
    <m/>
    <n v="500"/>
    <d v="2025-01-23T00:00:00"/>
    <n v="23"/>
    <s v="January"/>
    <n v="2025"/>
    <d v="1899-12-30T15:00:00"/>
    <s v="Client 38"/>
    <s v="Chikago"/>
    <s v="456 Oak Avenue, Unit 37JJ"/>
    <x v="2"/>
    <s v="(917) 555-7864"/>
    <x v="0"/>
    <x v="0"/>
    <n v="4703"/>
    <n v="4"/>
  </r>
  <r>
    <x v="365"/>
    <n v="23"/>
    <x v="0"/>
    <x v="2"/>
    <x v="1"/>
    <x v="19"/>
    <n v="0"/>
    <n v="8000"/>
    <m/>
    <n v="8000"/>
    <d v="2025-01-23T00:00:00"/>
    <n v="23"/>
    <s v="January"/>
    <n v="2025"/>
    <d v="1899-12-30T11:00:00"/>
    <s v="Client 62"/>
    <s v="New York"/>
    <s v="678 Cedarwood Road, Unit 61HHH"/>
    <x v="2"/>
    <s v="(718) 555-2319"/>
    <x v="2"/>
    <x v="0"/>
    <n v="2422"/>
    <n v="5"/>
  </r>
  <r>
    <x v="366"/>
    <n v="25"/>
    <x v="0"/>
    <x v="2"/>
    <x v="0"/>
    <x v="5"/>
    <n v="400"/>
    <n v="0"/>
    <m/>
    <n v="400"/>
    <d v="2025-01-25T00:00:00"/>
    <n v="25"/>
    <s v="January"/>
    <n v="2025"/>
    <d v="1899-12-30T09:00:00"/>
    <s v="Client 20"/>
    <s v="Chikago"/>
    <s v="456 Birch Avenue, Suite 19R"/>
    <x v="4"/>
    <n v="24900888990"/>
    <x v="1"/>
    <x v="0"/>
    <n v="2328"/>
    <n v="3"/>
  </r>
  <r>
    <x v="367"/>
    <n v="26"/>
    <x v="0"/>
    <x v="2"/>
    <x v="1"/>
    <x v="6"/>
    <n v="0"/>
    <n v="300"/>
    <n v="0.15"/>
    <n v="300"/>
    <d v="2025-01-26T00:00:00"/>
    <n v="26"/>
    <s v="January"/>
    <n v="2025"/>
    <d v="1899-12-30T11:00:00"/>
    <s v="Client 68"/>
    <s v="Chikago"/>
    <s v="890 Willow Drive, Unit 67NNN"/>
    <x v="2"/>
    <s v="(212) 555-1209"/>
    <x v="3"/>
    <x v="0"/>
    <n v="4946"/>
    <n v="5"/>
  </r>
  <r>
    <x v="368"/>
    <n v="21"/>
    <x v="0"/>
    <x v="2"/>
    <x v="2"/>
    <x v="21"/>
    <n v="0"/>
    <n v="1500"/>
    <m/>
    <n v="1500"/>
    <d v="2025-01-21T00:00:00"/>
    <n v="21"/>
    <s v="January"/>
    <n v="2025"/>
    <d v="1899-12-30T15:00:00"/>
    <s v="Client 42"/>
    <s v="Chikago"/>
    <s v="890 Redwood Lane, Apt. 41NN"/>
    <x v="2"/>
    <s v="(917) 555-5653"/>
    <x v="0"/>
    <x v="0"/>
    <n v="1601"/>
    <n v="4"/>
  </r>
  <r>
    <x v="368"/>
    <n v="21"/>
    <x v="0"/>
    <x v="2"/>
    <x v="2"/>
    <x v="6"/>
    <n v="2200"/>
    <n v="0"/>
    <m/>
    <n v="2200"/>
    <d v="2025-01-21T00:00:00"/>
    <n v="21"/>
    <s v="January"/>
    <n v="2025"/>
    <d v="1899-12-30T11:00:00"/>
    <s v="Client 60"/>
    <s v="Chikago"/>
    <s v="890 Acorn Avenue, Apt. 59FFF"/>
    <x v="0"/>
    <s v="(718) 555-8740"/>
    <x v="0"/>
    <x v="0"/>
    <n v="2200"/>
    <n v="3"/>
  </r>
  <r>
    <x v="368"/>
    <n v="21"/>
    <x v="0"/>
    <x v="2"/>
    <x v="1"/>
    <x v="22"/>
    <n v="620"/>
    <n v="0"/>
    <m/>
    <n v="620"/>
    <d v="2025-01-21T00:00:00"/>
    <n v="21"/>
    <s v="January"/>
    <n v="2025"/>
    <d v="1899-12-30T09:00:00"/>
    <s v="Client 72"/>
    <s v="Chikago"/>
    <s v="5678 Cedar Drive, Apt. 71RRR"/>
    <x v="1"/>
    <s v="(646) 555-2320"/>
    <x v="0"/>
    <x v="1"/>
    <n v="4938"/>
    <m/>
  </r>
  <r>
    <x v="369"/>
    <n v="30"/>
    <x v="0"/>
    <x v="2"/>
    <x v="0"/>
    <x v="23"/>
    <n v="0"/>
    <n v="1590"/>
    <m/>
    <n v="1590"/>
    <d v="2025-01-30T00:00:00"/>
    <n v="30"/>
    <s v="January"/>
    <n v="2025"/>
    <d v="1899-12-30T11:00:00"/>
    <s v="Client 96"/>
    <s v="Chikago"/>
    <s v="210 Oak Lane, Apt. 95PPPP"/>
    <x v="2"/>
    <s v="(212) 555-7865"/>
    <x v="2"/>
    <x v="0"/>
    <n v="1313"/>
    <n v="4"/>
  </r>
  <r>
    <x v="370"/>
    <n v="31"/>
    <x v="0"/>
    <x v="2"/>
    <x v="1"/>
    <x v="23"/>
    <n v="0"/>
    <n v="3680"/>
    <n v="0.15"/>
    <n v="3680"/>
    <d v="2025-01-31T00:00:00"/>
    <n v="31"/>
    <s v="January"/>
    <n v="2025"/>
    <d v="1899-12-30T15:00:00"/>
    <s v="Client 49"/>
    <s v="Chikago"/>
    <s v="321 Cedarwood Lane, Suite 48UU"/>
    <x v="2"/>
    <s v="(917) 555-4296"/>
    <x v="1"/>
    <x v="0"/>
    <n v="2502"/>
    <n v="5"/>
  </r>
  <r>
    <x v="371"/>
    <n v="1"/>
    <x v="1"/>
    <x v="2"/>
    <x v="1"/>
    <x v="21"/>
    <n v="0"/>
    <n v="2180"/>
    <m/>
    <n v="2180"/>
    <d v="2025-02-01T00:00:00"/>
    <n v="1"/>
    <s v="February"/>
    <n v="2025"/>
    <d v="1899-12-30T11:00:00"/>
    <s v="Client 75"/>
    <s v="Chikago"/>
    <s v="321 Sequoia Street, Apt. 74UUU"/>
    <x v="4"/>
    <s v="(718) 555-3431"/>
    <x v="3"/>
    <x v="0"/>
    <n v="4547"/>
    <n v="4"/>
  </r>
  <r>
    <x v="371"/>
    <n v="1"/>
    <x v="1"/>
    <x v="2"/>
    <x v="2"/>
    <x v="21"/>
    <n v="0"/>
    <n v="2650"/>
    <m/>
    <n v="2650"/>
    <d v="2025-02-01T00:00:00"/>
    <n v="1"/>
    <s v="February"/>
    <n v="2025"/>
    <d v="1899-12-30T09:00:00"/>
    <s v="Client 51"/>
    <s v="Chikago"/>
    <s v="543 Birch Road, Apt. 50WW"/>
    <x v="2"/>
    <s v="(646) 555-6764"/>
    <x v="3"/>
    <x v="0"/>
    <n v="3974"/>
    <n v="3"/>
  </r>
  <r>
    <x v="372"/>
    <n v="3"/>
    <x v="1"/>
    <x v="2"/>
    <x v="2"/>
    <x v="1"/>
    <n v="0"/>
    <n v="3210"/>
    <m/>
    <n v="3210"/>
    <d v="2025-02-03T00:00:00"/>
    <n v="3"/>
    <s v="February"/>
    <n v="2025"/>
    <d v="1899-12-30T11:00:00"/>
    <s v="Client 29"/>
    <s v="Chikago"/>
    <s v="987 Pinecone Avenue, Suite 28AA"/>
    <x v="2"/>
    <s v="(212) 555-9851"/>
    <x v="4"/>
    <x v="0"/>
    <n v="1528"/>
    <n v="4"/>
  </r>
  <r>
    <x v="373"/>
    <n v="4"/>
    <x v="1"/>
    <x v="2"/>
    <x v="4"/>
    <x v="1"/>
    <n v="10000"/>
    <n v="3150"/>
    <m/>
    <n v="13150"/>
    <d v="2025-02-04T00:00:00"/>
    <n v="4"/>
    <s v="February"/>
    <n v="2025"/>
    <d v="1899-12-30T15:00:00"/>
    <s v="Client 9"/>
    <s v="Chikago"/>
    <s v="1234 Redwood Road, Unit 5G"/>
    <x v="0"/>
    <s v="(917) 555-7865"/>
    <x v="1"/>
    <x v="0"/>
    <n v="5557"/>
    <n v="3"/>
  </r>
  <r>
    <x v="374"/>
    <n v="5"/>
    <x v="1"/>
    <x v="2"/>
    <x v="1"/>
    <x v="18"/>
    <n v="2200"/>
    <n v="0"/>
    <m/>
    <n v="2200"/>
    <d v="2025-02-05T00:00:00"/>
    <n v="5"/>
    <s v="February"/>
    <n v="2025"/>
    <d v="1899-12-30T11:00:00"/>
    <s v="Client 56"/>
    <s v="Chikago"/>
    <s v="456 Willow Lane, Unit 55BBB"/>
    <x v="1"/>
    <s v="(718) 555-2320"/>
    <x v="0"/>
    <x v="0"/>
    <n v="1108"/>
    <n v="4"/>
  </r>
  <r>
    <x v="375"/>
    <n v="6"/>
    <x v="1"/>
    <x v="2"/>
    <x v="0"/>
    <x v="4"/>
    <n v="620"/>
    <n v="0"/>
    <m/>
    <n v="620"/>
    <d v="2025-02-06T00:00:00"/>
    <n v="6"/>
    <s v="February"/>
    <n v="2025"/>
    <d v="1899-12-30T10:00:00"/>
    <s v="Client 72"/>
    <s v="Chikago"/>
    <s v="5678 Cedar Drive, Apt. 71RRR"/>
    <x v="2"/>
    <n v="23900888990"/>
    <x v="0"/>
    <x v="1"/>
    <n v="2224"/>
    <m/>
  </r>
  <r>
    <x v="371"/>
    <n v="1"/>
    <x v="1"/>
    <x v="2"/>
    <x v="1"/>
    <x v="15"/>
    <n v="0"/>
    <n v="1590"/>
    <m/>
    <n v="1590"/>
    <d v="2025-02-01T00:00:00"/>
    <n v="1"/>
    <s v="February"/>
    <n v="2025"/>
    <d v="1899-12-30T12:00:00"/>
    <s v="Client 36"/>
    <s v="Chikago"/>
    <s v="4321 Elm Drive, Apt. 35HH"/>
    <x v="2"/>
    <s v="(212) 555-1210"/>
    <x v="0"/>
    <x v="0"/>
    <n v="3171"/>
    <n v="4"/>
  </r>
  <r>
    <x v="371"/>
    <n v="1"/>
    <x v="1"/>
    <x v="2"/>
    <x v="1"/>
    <x v="10"/>
    <n v="0"/>
    <n v="3680"/>
    <n v="0.15"/>
    <n v="3680"/>
    <d v="2025-02-01T00:00:00"/>
    <n v="1"/>
    <s v="February"/>
    <n v="2025"/>
    <d v="1899-12-30T16:00:00"/>
    <s v="Client 59"/>
    <s v="Chikago"/>
    <s v="567 Willowbrook Drive, Unit 58EEE"/>
    <x v="4"/>
    <s v="(917) 555-5654"/>
    <x v="2"/>
    <x v="0"/>
    <n v="4014"/>
    <n v="5"/>
  </r>
  <r>
    <x v="376"/>
    <n v="9"/>
    <x v="1"/>
    <x v="2"/>
    <x v="3"/>
    <x v="19"/>
    <n v="10000"/>
    <n v="2180"/>
    <m/>
    <n v="12180"/>
    <d v="2025-02-09T00:00:00"/>
    <n v="9"/>
    <s v="February"/>
    <n v="2025"/>
    <d v="1899-12-30T18:00:00"/>
    <s v="Client 25"/>
    <s v="Dallas"/>
    <s v="345 Redwood Lane, Unit 24W"/>
    <x v="2"/>
    <s v="(718) 555-8741"/>
    <x v="1"/>
    <x v="0"/>
    <n v="4698"/>
    <n v="5"/>
  </r>
  <r>
    <x v="376"/>
    <n v="9"/>
    <x v="1"/>
    <x v="2"/>
    <x v="1"/>
    <x v="13"/>
    <n v="0"/>
    <n v="2650"/>
    <m/>
    <n v="2650"/>
    <d v="2025-02-09T00:00:00"/>
    <n v="9"/>
    <s v="February"/>
    <n v="2025"/>
    <d v="1899-12-30T10:00:00"/>
    <s v="Client 54"/>
    <s v="Chikago"/>
    <s v="4321 Pine Street, Apt. 53ZZ"/>
    <x v="3"/>
    <s v="(646) 555-2321"/>
    <x v="3"/>
    <x v="0"/>
    <n v="2839"/>
    <n v="5"/>
  </r>
  <r>
    <x v="377"/>
    <n v="11"/>
    <x v="1"/>
    <x v="2"/>
    <x v="0"/>
    <x v="1"/>
    <n v="0"/>
    <n v="3210"/>
    <m/>
    <n v="3210"/>
    <d v="2025-02-11T00:00:00"/>
    <n v="11"/>
    <s v="February"/>
    <n v="2025"/>
    <d v="1899-12-30T12:00:00"/>
    <s v="Client 70"/>
    <s v="New York"/>
    <s v="678 Spruce Street, Suite 69PPP"/>
    <x v="0"/>
    <s v="(212) 555-7866"/>
    <x v="3"/>
    <x v="0"/>
    <n v="3147"/>
    <n v="5"/>
  </r>
  <r>
    <x v="378"/>
    <n v="12"/>
    <x v="1"/>
    <x v="2"/>
    <x v="0"/>
    <x v="1"/>
    <n v="0"/>
    <n v="12330"/>
    <m/>
    <n v="12330"/>
    <d v="2025-02-12T00:00:00"/>
    <n v="12"/>
    <s v="February"/>
    <n v="2025"/>
    <d v="1899-12-30T13:00:00"/>
    <s v="Client 71"/>
    <s v="New York"/>
    <s v="679 Spruce Street, Suite 69PPP"/>
    <x v="0"/>
    <s v="(212) 555-7867"/>
    <x v="3"/>
    <x v="0"/>
    <n v="3827"/>
    <n v="5"/>
  </r>
  <r>
    <x v="378"/>
    <n v="12"/>
    <x v="1"/>
    <x v="2"/>
    <x v="1"/>
    <x v="6"/>
    <n v="0"/>
    <n v="3150"/>
    <m/>
    <n v="3150"/>
    <d v="2025-02-12T00:00:00"/>
    <n v="12"/>
    <s v="February"/>
    <n v="2025"/>
    <d v="1899-12-30T16:00:00"/>
    <s v="Client 38"/>
    <s v="Chikago"/>
    <s v="456 Oak Avenue, Unit 37JJ"/>
    <x v="1"/>
    <s v="(917) 555-4297"/>
    <x v="4"/>
    <x v="0"/>
    <n v="3426"/>
    <n v="5"/>
  </r>
  <r>
    <x v="379"/>
    <n v="13"/>
    <x v="1"/>
    <x v="2"/>
    <x v="0"/>
    <x v="6"/>
    <n v="0"/>
    <n v="1990"/>
    <m/>
    <n v="1990"/>
    <d v="2025-02-13T00:00:00"/>
    <n v="13"/>
    <s v="February"/>
    <n v="2025"/>
    <d v="1899-12-30T18:00:00"/>
    <s v="Client 73"/>
    <s v="Chikago"/>
    <s v="987 Pinecone Avenue, Suite 72SSS"/>
    <x v="2"/>
    <s v="(718) 555-3432"/>
    <x v="2"/>
    <x v="0"/>
    <n v="4328"/>
    <n v="5"/>
  </r>
  <r>
    <x v="380"/>
    <n v="14"/>
    <x v="1"/>
    <x v="2"/>
    <x v="2"/>
    <x v="1"/>
    <n v="0"/>
    <n v="2690"/>
    <n v="0.15"/>
    <n v="2690"/>
    <d v="2025-02-14T00:00:00"/>
    <n v="14"/>
    <s v="February"/>
    <n v="2025"/>
    <d v="1899-12-30T10:00:00"/>
    <s v="Client 76"/>
    <s v="Miami"/>
    <s v="876 Willowbrook Drive, Suite 75VVV"/>
    <x v="2"/>
    <s v="(646) 555-6765"/>
    <x v="1"/>
    <x v="0"/>
    <n v="3835"/>
    <n v="5"/>
  </r>
  <r>
    <x v="381"/>
    <n v="15"/>
    <x v="1"/>
    <x v="2"/>
    <x v="2"/>
    <x v="12"/>
    <n v="0"/>
    <n v="1040"/>
    <n v="0.15"/>
    <n v="1040"/>
    <d v="2025-02-15T00:00:00"/>
    <n v="15"/>
    <s v="February"/>
    <n v="2025"/>
    <d v="1899-12-30T12:00:00"/>
    <s v="Client 56"/>
    <s v="Chikago"/>
    <s v="456 Willow Lane, Unit 55BBB"/>
    <x v="3"/>
    <s v="(212) 555-9852"/>
    <x v="3"/>
    <x v="0"/>
    <n v="6023"/>
    <n v="4"/>
  </r>
  <r>
    <x v="382"/>
    <n v="16"/>
    <x v="1"/>
    <x v="2"/>
    <x v="1"/>
    <x v="5"/>
    <n v="0"/>
    <n v="1990"/>
    <m/>
    <n v="1990"/>
    <d v="2025-02-16T00:00:00"/>
    <n v="16"/>
    <s v="February"/>
    <n v="2025"/>
    <d v="1899-12-30T16:00:00"/>
    <s v="Client 96"/>
    <s v="Chikago"/>
    <s v="210 Oak Lane, Apt. 95PPPP"/>
    <x v="2"/>
    <s v="(917) 555-7866"/>
    <x v="4"/>
    <x v="0"/>
    <n v="3235"/>
    <n v="3"/>
  </r>
  <r>
    <x v="377"/>
    <n v="11"/>
    <x v="1"/>
    <x v="2"/>
    <x v="0"/>
    <x v="14"/>
    <n v="0"/>
    <n v="1980"/>
    <m/>
    <n v="1980"/>
    <d v="2025-02-11T00:00:00"/>
    <n v="11"/>
    <s v="February"/>
    <n v="2025"/>
    <d v="1899-12-30T18:00:00"/>
    <s v="Client 73"/>
    <s v="Chikago"/>
    <s v="987 Pinecone Avenue, Suite 72SSS"/>
    <x v="0"/>
    <s v="(718) 555-2321"/>
    <x v="0"/>
    <x v="0"/>
    <n v="4815"/>
    <n v="4"/>
  </r>
  <r>
    <x v="383"/>
    <n v="18"/>
    <x v="1"/>
    <x v="2"/>
    <x v="1"/>
    <x v="15"/>
    <n v="0"/>
    <n v="3510"/>
    <m/>
    <n v="3510"/>
    <d v="2025-02-18T00:00:00"/>
    <n v="18"/>
    <s v="February"/>
    <n v="2025"/>
    <d v="1899-12-30T10:00:00"/>
    <s v="Client 88"/>
    <s v="New York"/>
    <s v="678 Aspen Avenue, Suite 87HHHH"/>
    <x v="1"/>
    <n v="22900888990"/>
    <x v="0"/>
    <x v="0"/>
    <n v="4101"/>
    <n v="5"/>
  </r>
  <r>
    <x v="383"/>
    <n v="18"/>
    <x v="1"/>
    <x v="2"/>
    <x v="1"/>
    <x v="21"/>
    <n v="0"/>
    <n v="810"/>
    <m/>
    <n v="810"/>
    <d v="2025-02-18T00:00:00"/>
    <n v="18"/>
    <s v="February"/>
    <n v="2025"/>
    <d v="1899-12-30T12:00:00"/>
    <s v="Client 85"/>
    <s v="Chikago"/>
    <s v="567 Willow Drive, Suite 84EEEE"/>
    <x v="2"/>
    <s v="(212) 555-1211"/>
    <x v="0"/>
    <x v="0"/>
    <n v="4039"/>
    <n v="2"/>
  </r>
  <r>
    <x v="383"/>
    <n v="18"/>
    <x v="1"/>
    <x v="2"/>
    <x v="2"/>
    <x v="6"/>
    <n v="0"/>
    <n v="2680"/>
    <m/>
    <n v="2680"/>
    <d v="2025-02-18T00:00:00"/>
    <n v="18"/>
    <s v="February"/>
    <n v="2025"/>
    <d v="1899-12-30T16:00:00"/>
    <s v="Client 51"/>
    <s v="Chikago"/>
    <s v="543 Birch Road, Apt. 50WW"/>
    <x v="2"/>
    <s v="(917) 555-5655"/>
    <x v="2"/>
    <x v="0"/>
    <n v="2827"/>
    <n v="5"/>
  </r>
  <r>
    <x v="383"/>
    <n v="18"/>
    <x v="1"/>
    <x v="2"/>
    <x v="2"/>
    <x v="22"/>
    <n v="0"/>
    <n v="1110"/>
    <m/>
    <n v="1110"/>
    <d v="2025-02-18T00:00:00"/>
    <n v="18"/>
    <s v="February"/>
    <n v="2025"/>
    <d v="1899-12-30T18:00:00"/>
    <s v="Client 18"/>
    <s v="Chikago"/>
    <s v="4321 Cedarwood Drive, Apt. 17P"/>
    <x v="4"/>
    <s v="(718) 555-8742"/>
    <x v="1"/>
    <x v="0"/>
    <n v="832"/>
    <n v="3"/>
  </r>
  <r>
    <x v="384"/>
    <n v="22"/>
    <x v="1"/>
    <x v="2"/>
    <x v="0"/>
    <x v="23"/>
    <n v="0"/>
    <n v="3250"/>
    <m/>
    <n v="3250"/>
    <d v="2025-02-22T00:00:00"/>
    <n v="22"/>
    <s v="February"/>
    <n v="2025"/>
    <d v="1899-12-30T10:00:00"/>
    <s v="Client 55"/>
    <s v="Chikago"/>
    <s v="123 Redwood Avenue, Suite 54AAA"/>
    <x v="2"/>
    <s v="(646) 555-2322"/>
    <x v="3"/>
    <x v="0"/>
    <n v="5587"/>
    <n v="3"/>
  </r>
  <r>
    <x v="384"/>
    <n v="22"/>
    <x v="1"/>
    <x v="2"/>
    <x v="1"/>
    <x v="23"/>
    <n v="0"/>
    <n v="110"/>
    <m/>
    <n v="110"/>
    <d v="2025-02-22T00:00:00"/>
    <n v="22"/>
    <s v="February"/>
    <n v="2025"/>
    <d v="1899-12-30T12:00:00"/>
    <s v="Client 40"/>
    <s v="Chikago"/>
    <s v="234 Pine Road, Suite 39LL"/>
    <x v="2"/>
    <s v="(212) 555-7867"/>
    <x v="3"/>
    <x v="0"/>
    <n v="4472"/>
    <n v="2"/>
  </r>
  <r>
    <x v="385"/>
    <n v="24"/>
    <x v="1"/>
    <x v="2"/>
    <x v="2"/>
    <x v="21"/>
    <n v="0"/>
    <n v="2030"/>
    <m/>
    <n v="2030"/>
    <d v="2025-02-24T00:00:00"/>
    <n v="24"/>
    <s v="February"/>
    <n v="2025"/>
    <d v="1899-12-30T16:00:00"/>
    <s v="Client 20"/>
    <s v="Chikago"/>
    <s v="456 Birch Avenue, Suite 19R"/>
    <x v="0"/>
    <s v="(917) 555-4298"/>
    <x v="4"/>
    <x v="0"/>
    <n v="1326"/>
    <n v="4"/>
  </r>
  <r>
    <x v="386"/>
    <n v="25"/>
    <x v="1"/>
    <x v="2"/>
    <x v="3"/>
    <x v="21"/>
    <n v="1510"/>
    <n v="0"/>
    <m/>
    <n v="1510"/>
    <d v="2025-02-25T00:00:00"/>
    <n v="25"/>
    <s v="February"/>
    <n v="2025"/>
    <d v="1899-12-30T18:00:00"/>
    <s v="Client 67"/>
    <s v="Chikago"/>
    <s v="567 Pine Street, Suite 66MMM"/>
    <x v="1"/>
    <s v="(718) 555-3433"/>
    <x v="1"/>
    <x v="0"/>
    <n v="2418"/>
    <n v="3"/>
  </r>
  <r>
    <x v="387"/>
    <n v="26"/>
    <x v="1"/>
    <x v="2"/>
    <x v="4"/>
    <x v="1"/>
    <n v="3690"/>
    <n v="0"/>
    <m/>
    <n v="3690"/>
    <d v="2025-02-26T00:00:00"/>
    <n v="26"/>
    <s v="February"/>
    <n v="2025"/>
    <d v="1899-12-30T10:00:00"/>
    <s v="Client 45"/>
    <s v="Chikago"/>
    <s v="1234 Sequoia Road, Apt. 44QQ"/>
    <x v="2"/>
    <s v="(646) 555-6766"/>
    <x v="2"/>
    <x v="0"/>
    <n v="3946"/>
    <n v="3"/>
  </r>
  <r>
    <x v="388"/>
    <n v="21"/>
    <x v="1"/>
    <x v="2"/>
    <x v="3"/>
    <x v="1"/>
    <n v="0"/>
    <n v="1090"/>
    <m/>
    <n v="1090"/>
    <d v="2025-02-21T00:00:00"/>
    <n v="21"/>
    <s v="February"/>
    <n v="2025"/>
    <d v="1899-12-30T12:00:00"/>
    <s v="Client 8"/>
    <s v="New York"/>
    <s v="678 Spruce Lane, Apt. 1F"/>
    <x v="2"/>
    <s v="(212) 555-9853"/>
    <x v="0"/>
    <x v="0"/>
    <n v="3565"/>
    <n v="4"/>
  </r>
  <r>
    <x v="388"/>
    <n v="21"/>
    <x v="1"/>
    <x v="2"/>
    <x v="1"/>
    <x v="18"/>
    <n v="0"/>
    <n v="2820"/>
    <m/>
    <n v="2820"/>
    <d v="2025-02-21T00:00:00"/>
    <n v="21"/>
    <s v="February"/>
    <n v="2025"/>
    <d v="1899-12-30T16:00:00"/>
    <s v="Client 38"/>
    <s v="Chikago"/>
    <s v="456 Oak Avenue, Unit 37JJ"/>
    <x v="4"/>
    <s v="(917) 555-7867"/>
    <x v="2"/>
    <x v="1"/>
    <n v="3258"/>
    <m/>
  </r>
  <r>
    <x v="389"/>
    <n v="1"/>
    <x v="2"/>
    <x v="2"/>
    <x v="2"/>
    <x v="4"/>
    <n v="0"/>
    <n v="1110"/>
    <m/>
    <n v="1110"/>
    <d v="2025-03-01T00:00:00"/>
    <n v="1"/>
    <s v="March"/>
    <n v="2025"/>
    <d v="1899-12-30T18:00:00"/>
    <s v="Client 45"/>
    <s v="Chikago"/>
    <s v="1234 Sequoia Road, Apt. 44QQ"/>
    <x v="4"/>
    <s v="(718) 555-2322"/>
    <x v="4"/>
    <x v="0"/>
    <n v="1364"/>
    <n v="4"/>
  </r>
  <r>
    <x v="390"/>
    <n v="2"/>
    <x v="2"/>
    <x v="2"/>
    <x v="3"/>
    <x v="15"/>
    <n v="0"/>
    <n v="3990"/>
    <m/>
    <n v="3990"/>
    <d v="2025-03-02T00:00:00"/>
    <n v="2"/>
    <s v="March"/>
    <n v="2025"/>
    <d v="1899-12-30T10:00:00"/>
    <s v="Client 94"/>
    <s v="New York"/>
    <s v="876 Elm Drive, Suite 93NNNN"/>
    <x v="0"/>
    <n v="21900888990"/>
    <x v="3"/>
    <x v="0"/>
    <n v="2887"/>
    <n v="5"/>
  </r>
  <r>
    <x v="391"/>
    <n v="3"/>
    <x v="2"/>
    <x v="2"/>
    <x v="3"/>
    <x v="15"/>
    <n v="0"/>
    <n v="19660"/>
    <m/>
    <n v="19660"/>
    <d v="2025-03-03T00:00:00"/>
    <n v="3"/>
    <s v="March"/>
    <n v="2025"/>
    <d v="1899-12-30T11:00:00"/>
    <s v="Client 95"/>
    <s v="New York"/>
    <s v="877 Elm Drive, Suite 93NNNN"/>
    <x v="0"/>
    <n v="21900888991"/>
    <x v="3"/>
    <x v="0"/>
    <n v="4507"/>
    <n v="5"/>
  </r>
  <r>
    <x v="391"/>
    <n v="3"/>
    <x v="2"/>
    <x v="2"/>
    <x v="0"/>
    <x v="10"/>
    <n v="0"/>
    <n v="2150"/>
    <n v="0.15"/>
    <n v="2150"/>
    <d v="2025-03-03T00:00:00"/>
    <n v="3"/>
    <s v="March"/>
    <n v="2025"/>
    <d v="1899-12-30T12:00:00"/>
    <s v="Client 9"/>
    <s v="Chikago"/>
    <s v="1234 Redwood Road, Unit 5G"/>
    <x v="2"/>
    <s v="(212) 555-1212"/>
    <x v="3"/>
    <x v="0"/>
    <n v="4326"/>
    <n v="2"/>
  </r>
  <r>
    <x v="392"/>
    <n v="4"/>
    <x v="2"/>
    <x v="2"/>
    <x v="1"/>
    <x v="19"/>
    <n v="0"/>
    <n v="2230"/>
    <m/>
    <n v="2230"/>
    <d v="2025-03-04T00:00:00"/>
    <n v="4"/>
    <s v="March"/>
    <n v="2025"/>
    <d v="1899-12-30T16:00:00"/>
    <s v="Client 30"/>
    <s v="New York"/>
    <s v="654 Magnolia Lane, Apt. 29BB"/>
    <x v="2"/>
    <s v="(917) 555-5656"/>
    <x v="4"/>
    <x v="0"/>
    <n v="5351"/>
    <n v="5"/>
  </r>
  <r>
    <x v="393"/>
    <n v="5"/>
    <x v="2"/>
    <x v="2"/>
    <x v="1"/>
    <x v="16"/>
    <n v="0"/>
    <n v="3080"/>
    <m/>
    <n v="3080"/>
    <d v="2025-03-05T00:00:00"/>
    <n v="5"/>
    <s v="March"/>
    <n v="2025"/>
    <d v="1899-12-30T18:00:00"/>
    <s v="Client 58"/>
    <s v="Chikago"/>
    <s v="234 Sequoia Street, Suite 57DDD"/>
    <x v="0"/>
    <s v="(718) 555-8743"/>
    <x v="0"/>
    <x v="0"/>
    <n v="2744"/>
    <n v="5"/>
  </r>
  <r>
    <x v="394"/>
    <n v="6"/>
    <x v="2"/>
    <x v="2"/>
    <x v="2"/>
    <x v="0"/>
    <n v="0"/>
    <n v="2180"/>
    <m/>
    <n v="2180"/>
    <d v="2025-03-06T00:00:00"/>
    <n v="6"/>
    <s v="March"/>
    <n v="2025"/>
    <d v="1899-12-30T10:00:00"/>
    <s v="Client 73"/>
    <s v="Chikago"/>
    <s v="987 Pinecone Avenue, Suite 72SSS"/>
    <x v="1"/>
    <s v="(646) 555-2323"/>
    <x v="2"/>
    <x v="0"/>
    <n v="4247"/>
    <n v="4"/>
  </r>
  <r>
    <x v="394"/>
    <n v="6"/>
    <x v="2"/>
    <x v="2"/>
    <x v="2"/>
    <x v="1"/>
    <n v="0"/>
    <n v="920"/>
    <m/>
    <n v="920"/>
    <d v="2025-03-06T00:00:00"/>
    <n v="6"/>
    <s v="March"/>
    <n v="2025"/>
    <d v="1899-12-30T12:00:00"/>
    <s v="Client 14"/>
    <s v="Miami"/>
    <s v="876 Sequoia Road, Suite 13L"/>
    <x v="2"/>
    <s v="(212) 555-7868"/>
    <x v="1"/>
    <x v="0"/>
    <n v="4369"/>
    <n v="5"/>
  </r>
  <r>
    <x v="395"/>
    <n v="8"/>
    <x v="2"/>
    <x v="2"/>
    <x v="0"/>
    <x v="2"/>
    <n v="0"/>
    <n v="3200"/>
    <m/>
    <n v="3200"/>
    <d v="2025-03-08T00:00:00"/>
    <n v="8"/>
    <s v="March"/>
    <n v="2025"/>
    <d v="1899-12-30T16:00:00"/>
    <s v="Client 56"/>
    <s v="Chikago"/>
    <s v="456 Willow Lane, Unit 55BBB"/>
    <x v="2"/>
    <s v="(917) 555-4299"/>
    <x v="3"/>
    <x v="0"/>
    <n v="3485"/>
    <n v="5"/>
  </r>
  <r>
    <x v="396"/>
    <n v="9"/>
    <x v="2"/>
    <x v="2"/>
    <x v="1"/>
    <x v="3"/>
    <n v="0"/>
    <n v="2320"/>
    <n v="0.15"/>
    <n v="2320"/>
    <d v="2025-03-09T00:00:00"/>
    <n v="9"/>
    <s v="March"/>
    <n v="2025"/>
    <d v="1899-12-30T18:00:00"/>
    <s v="Client 27"/>
    <s v="Chikago"/>
    <s v="1234 Aspen Road, Apt. 26Y"/>
    <x v="4"/>
    <s v="(718) 555-3434"/>
    <x v="4"/>
    <x v="0"/>
    <n v="3349"/>
    <n v="5"/>
  </r>
  <r>
    <x v="396"/>
    <n v="9"/>
    <x v="2"/>
    <x v="2"/>
    <x v="2"/>
    <x v="4"/>
    <n v="2200"/>
    <n v="0"/>
    <m/>
    <n v="2200"/>
    <d v="2025-03-09T00:00:00"/>
    <n v="9"/>
    <s v="March"/>
    <n v="2025"/>
    <d v="1899-12-30T09:00:00"/>
    <s v="Client 66"/>
    <s v="Chikago"/>
    <s v="234 Maple Road, Apt. 65LLL"/>
    <x v="0"/>
    <s v="(646) 555-6767"/>
    <x v="3"/>
    <x v="0"/>
    <n v="2629"/>
    <n v="5"/>
  </r>
  <r>
    <x v="397"/>
    <n v="11"/>
    <x v="2"/>
    <x v="2"/>
    <x v="3"/>
    <x v="5"/>
    <n v="620"/>
    <n v="0"/>
    <m/>
    <n v="620"/>
    <d v="2025-03-11T00:00:00"/>
    <n v="11"/>
    <s v="March"/>
    <n v="2025"/>
    <d v="1899-12-30T11:00:00"/>
    <s v="Client 46"/>
    <s v="New York"/>
    <s v="5678 Willowbrook Drive, Suite 45RR"/>
    <x v="1"/>
    <s v="(212) 555-9854"/>
    <x v="0"/>
    <x v="0"/>
    <n v="3998"/>
    <n v="5"/>
  </r>
  <r>
    <x v="398"/>
    <n v="12"/>
    <x v="2"/>
    <x v="2"/>
    <x v="4"/>
    <x v="4"/>
    <n v="20000"/>
    <n v="1590"/>
    <m/>
    <n v="21590"/>
    <d v="2025-03-12T00:00:00"/>
    <n v="12"/>
    <s v="March"/>
    <n v="2025"/>
    <d v="1899-12-30T15:00:00"/>
    <s v="Client 35"/>
    <s v="Miami"/>
    <s v="8765 Cedarwood Street, Suite 34GG"/>
    <x v="2"/>
    <s v="(917) 555-7868"/>
    <x v="0"/>
    <x v="0"/>
    <n v="1743"/>
    <n v="5"/>
  </r>
  <r>
    <x v="399"/>
    <n v="13"/>
    <x v="2"/>
    <x v="2"/>
    <x v="1"/>
    <x v="21"/>
    <n v="0"/>
    <n v="3680"/>
    <m/>
    <n v="3680"/>
    <d v="2025-03-13T00:00:00"/>
    <n v="13"/>
    <s v="March"/>
    <n v="2025"/>
    <d v="1899-12-30T11:00:00"/>
    <s v="Client 15"/>
    <s v="Chikago"/>
    <s v="543 Willowbrook Lane, Apt. 14M"/>
    <x v="3"/>
    <s v="(718) 555-2323"/>
    <x v="0"/>
    <x v="0"/>
    <n v="4879"/>
    <n v="5"/>
  </r>
  <r>
    <x v="400"/>
    <n v="14"/>
    <x v="2"/>
    <x v="2"/>
    <x v="0"/>
    <x v="6"/>
    <n v="0"/>
    <n v="2180"/>
    <m/>
    <n v="2180"/>
    <d v="2025-03-14T00:00:00"/>
    <n v="14"/>
    <s v="March"/>
    <n v="2025"/>
    <d v="1899-12-30T09:00:00"/>
    <s v="Client 14"/>
    <s v="Miami"/>
    <s v="876 Sequoia Road, Suite 13L"/>
    <x v="3"/>
    <n v="20900888990"/>
    <x v="2"/>
    <x v="0"/>
    <n v="1116"/>
    <n v="5"/>
  </r>
  <r>
    <x v="401"/>
    <n v="15"/>
    <x v="2"/>
    <x v="2"/>
    <x v="1"/>
    <x v="22"/>
    <n v="0"/>
    <n v="2650"/>
    <m/>
    <n v="2650"/>
    <d v="2025-03-15T00:00:00"/>
    <n v="15"/>
    <s v="March"/>
    <n v="2025"/>
    <d v="1899-12-30T11:00:00"/>
    <s v="Client 23"/>
    <s v="Chikago"/>
    <s v="567 Pine Street, Suite 22U"/>
    <x v="0"/>
    <s v="(212) 555-1213"/>
    <x v="1"/>
    <x v="0"/>
    <n v="4888"/>
    <n v="5"/>
  </r>
  <r>
    <x v="402"/>
    <n v="16"/>
    <x v="2"/>
    <x v="2"/>
    <x v="1"/>
    <x v="23"/>
    <n v="0"/>
    <n v="3210"/>
    <n v="0.15"/>
    <n v="3210"/>
    <d v="2025-03-16T00:00:00"/>
    <n v="16"/>
    <s v="March"/>
    <n v="2025"/>
    <d v="1899-12-30T15:00:00"/>
    <s v="Client 5"/>
    <s v="Chikago"/>
    <s v="567 Birch Street, Unit 8D"/>
    <x v="1"/>
    <s v="(917) 555-5657"/>
    <x v="3"/>
    <x v="0"/>
    <n v="5578"/>
    <n v="5"/>
  </r>
  <r>
    <x v="397"/>
    <n v="11"/>
    <x v="2"/>
    <x v="2"/>
    <x v="2"/>
    <x v="23"/>
    <n v="0"/>
    <n v="3150"/>
    <m/>
    <n v="3150"/>
    <d v="2025-03-11T00:00:00"/>
    <n v="11"/>
    <s v="March"/>
    <n v="2025"/>
    <d v="1899-12-30T11:00:00"/>
    <s v="Client 15"/>
    <s v="Chikago"/>
    <s v="543 Willowbrook Lane, Apt. 14M"/>
    <x v="2"/>
    <s v="(718) 555-8744"/>
    <x v="3"/>
    <x v="0"/>
    <n v="4440"/>
    <n v="5"/>
  </r>
  <r>
    <x v="403"/>
    <n v="18"/>
    <x v="2"/>
    <x v="2"/>
    <x v="2"/>
    <x v="21"/>
    <n v="0"/>
    <n v="1990"/>
    <m/>
    <n v="1990"/>
    <d v="2025-03-18T00:00:00"/>
    <n v="18"/>
    <s v="March"/>
    <n v="2025"/>
    <d v="1899-12-30T09:00:00"/>
    <s v="Client 87"/>
    <s v="Chikago"/>
    <s v="345 Spruce Street, Apt. 86GGGG"/>
    <x v="2"/>
    <s v="(646) 555-2324"/>
    <x v="4"/>
    <x v="0"/>
    <n v="2798"/>
    <n v="5"/>
  </r>
  <r>
    <x v="404"/>
    <n v="19"/>
    <x v="2"/>
    <x v="2"/>
    <x v="0"/>
    <x v="21"/>
    <n v="0"/>
    <n v="2690"/>
    <m/>
    <n v="2690"/>
    <d v="2025-03-19T00:00:00"/>
    <n v="19"/>
    <s v="March"/>
    <n v="2025"/>
    <d v="1899-12-30T11:00:00"/>
    <s v="Client 40"/>
    <s v="Chikago"/>
    <s v="234 Pine Road, Suite 39LL"/>
    <x v="4"/>
    <s v="(212) 555-7869"/>
    <x v="4"/>
    <x v="0"/>
    <n v="4550"/>
    <n v="5"/>
  </r>
  <r>
    <x v="405"/>
    <n v="20"/>
    <x v="2"/>
    <x v="2"/>
    <x v="1"/>
    <x v="1"/>
    <n v="0"/>
    <n v="1040"/>
    <n v="0.15"/>
    <n v="1040"/>
    <d v="2025-03-20T00:00:00"/>
    <n v="20"/>
    <s v="March"/>
    <n v="2025"/>
    <d v="1899-12-30T15:00:00"/>
    <s v="Client 10"/>
    <s v="Chikago"/>
    <s v="5678 Juniper Street, Apt. 9H"/>
    <x v="4"/>
    <s v="(917) 555-4300"/>
    <x v="4"/>
    <x v="0"/>
    <n v="2860"/>
    <n v="5"/>
  </r>
  <r>
    <x v="406"/>
    <n v="21"/>
    <x v="2"/>
    <x v="2"/>
    <x v="1"/>
    <x v="1"/>
    <n v="0"/>
    <n v="1990"/>
    <m/>
    <n v="1990"/>
    <d v="2025-03-21T00:00:00"/>
    <n v="21"/>
    <s v="March"/>
    <n v="2025"/>
    <d v="1899-12-30T11:00:00"/>
    <s v="Client 66"/>
    <s v="Chikago"/>
    <s v="234 Maple Road, Apt. 65LLL"/>
    <x v="3"/>
    <s v="(718) 555-3435"/>
    <x v="0"/>
    <x v="0"/>
    <n v="2655"/>
    <n v="5"/>
  </r>
  <r>
    <x v="406"/>
    <n v="21"/>
    <x v="2"/>
    <x v="2"/>
    <x v="0"/>
    <x v="18"/>
    <n v="0"/>
    <n v="1980"/>
    <m/>
    <n v="1980"/>
    <d v="2025-03-21T00:00:00"/>
    <n v="21"/>
    <s v="March"/>
    <n v="2025"/>
    <d v="1899-12-30T09:00:00"/>
    <s v="Client 26"/>
    <s v="New York"/>
    <s v="678 Spruce Street, Suite 25X"/>
    <x v="1"/>
    <s v="(646) 555-6768"/>
    <x v="0"/>
    <x v="0"/>
    <n v="2378"/>
    <n v="5"/>
  </r>
  <r>
    <x v="406"/>
    <n v="21"/>
    <x v="2"/>
    <x v="2"/>
    <x v="2"/>
    <x v="4"/>
    <n v="0"/>
    <n v="3510"/>
    <m/>
    <n v="3510"/>
    <d v="2025-03-21T00:00:00"/>
    <n v="21"/>
    <s v="March"/>
    <n v="2025"/>
    <d v="1899-12-30T11:00:00"/>
    <s v="Client 53"/>
    <s v="Chikago"/>
    <s v="8765 Maple Street, Unit 52YY"/>
    <x v="0"/>
    <s v="(212) 555-9855"/>
    <x v="0"/>
    <x v="0"/>
    <n v="4439"/>
    <n v="5"/>
  </r>
  <r>
    <x v="407"/>
    <n v="24"/>
    <x v="2"/>
    <x v="2"/>
    <x v="1"/>
    <x v="15"/>
    <n v="0"/>
    <n v="810"/>
    <m/>
    <n v="810"/>
    <d v="2025-03-24T00:00:00"/>
    <n v="24"/>
    <s v="March"/>
    <n v="2025"/>
    <d v="1899-12-30T15:00:00"/>
    <s v="Client 32"/>
    <s v="Miami"/>
    <s v="876 Willowbrook Drive, Suite 31DD"/>
    <x v="2"/>
    <s v="(917) 555-7869"/>
    <x v="2"/>
    <x v="0"/>
    <n v="5199"/>
    <n v="5"/>
  </r>
  <r>
    <x v="408"/>
    <n v="25"/>
    <x v="2"/>
    <x v="2"/>
    <x v="1"/>
    <x v="10"/>
    <n v="0"/>
    <n v="2680"/>
    <m/>
    <n v="2680"/>
    <d v="2025-03-25T00:00:00"/>
    <n v="25"/>
    <s v="March"/>
    <n v="2025"/>
    <d v="1899-12-30T11:00:00"/>
    <s v="Client 68"/>
    <s v="Chikago"/>
    <s v="890 Willow Drive, Unit 67NNN"/>
    <x v="2"/>
    <s v="(718) 555-2324"/>
    <x v="1"/>
    <x v="0"/>
    <n v="3125"/>
    <n v="5"/>
  </r>
  <r>
    <x v="409"/>
    <n v="26"/>
    <x v="2"/>
    <x v="2"/>
    <x v="0"/>
    <x v="19"/>
    <n v="0"/>
    <n v="1110"/>
    <n v="0.15"/>
    <n v="1110"/>
    <d v="2025-03-26T00:00:00"/>
    <n v="26"/>
    <s v="March"/>
    <n v="2025"/>
    <d v="1899-12-30T10:00:00"/>
    <s v="Client 23"/>
    <s v="Chikago"/>
    <s v="567 Pine Street, Suite 22U"/>
    <x v="0"/>
    <n v="19900888990"/>
    <x v="3"/>
    <x v="0"/>
    <n v="445"/>
    <n v="5"/>
  </r>
  <r>
    <x v="406"/>
    <n v="21"/>
    <x v="2"/>
    <x v="2"/>
    <x v="2"/>
    <x v="4"/>
    <n v="0"/>
    <n v="3250"/>
    <n v="0.15"/>
    <n v="3250"/>
    <d v="2025-03-21T00:00:00"/>
    <n v="21"/>
    <s v="March"/>
    <n v="2025"/>
    <d v="1899-12-30T12:00:00"/>
    <s v="Client 2"/>
    <s v="Chikago"/>
    <s v="456 Willow Avenue, Unit 7"/>
    <x v="1"/>
    <s v="(212) 555-1214"/>
    <x v="3"/>
    <x v="0"/>
    <n v="1493"/>
    <n v="4"/>
  </r>
  <r>
    <x v="410"/>
    <n v="28"/>
    <x v="2"/>
    <x v="2"/>
    <x v="2"/>
    <x v="12"/>
    <n v="0"/>
    <n v="110"/>
    <m/>
    <n v="110"/>
    <d v="2025-03-28T00:00:00"/>
    <n v="28"/>
    <s v="March"/>
    <n v="2025"/>
    <d v="1899-12-30T16:00:00"/>
    <s v="Client 10"/>
    <s v="Chikago"/>
    <s v="5678 Juniper Street, Apt. 9H"/>
    <x v="2"/>
    <s v="(917) 555-5658"/>
    <x v="4"/>
    <x v="0"/>
    <n v="3045"/>
    <n v="4"/>
  </r>
  <r>
    <x v="411"/>
    <n v="29"/>
    <x v="2"/>
    <x v="2"/>
    <x v="1"/>
    <x v="7"/>
    <n v="0"/>
    <n v="2030"/>
    <m/>
    <n v="2030"/>
    <d v="2025-03-29T00:00:00"/>
    <n v="29"/>
    <s v="March"/>
    <n v="2025"/>
    <d v="1899-12-30T18:00:00"/>
    <s v="Client 66"/>
    <s v="Chikago"/>
    <s v="234 Maple Road, Apt. 65LLL"/>
    <x v="2"/>
    <s v="(718) 555-8745"/>
    <x v="1"/>
    <x v="0"/>
    <n v="3918"/>
    <n v="4"/>
  </r>
  <r>
    <x v="411"/>
    <n v="29"/>
    <x v="2"/>
    <x v="2"/>
    <x v="1"/>
    <x v="21"/>
    <n v="1510"/>
    <n v="0"/>
    <m/>
    <n v="1510"/>
    <d v="2025-03-29T00:00:00"/>
    <n v="29"/>
    <s v="March"/>
    <n v="2025"/>
    <d v="1899-12-30T10:00:00"/>
    <s v="Client 53"/>
    <s v="Chikago"/>
    <s v="8765 Maple Street, Unit 52YY"/>
    <x v="4"/>
    <s v="(646) 555-2325"/>
    <x v="3"/>
    <x v="0"/>
    <n v="3597"/>
    <n v="4"/>
  </r>
  <r>
    <x v="411"/>
    <n v="29"/>
    <x v="2"/>
    <x v="2"/>
    <x v="3"/>
    <x v="6"/>
    <n v="3690"/>
    <n v="0"/>
    <m/>
    <n v="3690"/>
    <d v="2025-03-29T00:00:00"/>
    <n v="29"/>
    <s v="March"/>
    <n v="2025"/>
    <d v="1899-12-30T12:00:00"/>
    <s v="Client 40"/>
    <s v="Chikago"/>
    <s v="234 Pine Road, Suite 39LL"/>
    <x v="0"/>
    <s v="(212) 555-7870"/>
    <x v="3"/>
    <x v="0"/>
    <n v="1791"/>
    <n v="4"/>
  </r>
  <r>
    <x v="411"/>
    <n v="29"/>
    <x v="2"/>
    <x v="2"/>
    <x v="2"/>
    <x v="22"/>
    <n v="0"/>
    <n v="1090"/>
    <m/>
    <n v="1090"/>
    <d v="2025-03-29T00:00:00"/>
    <n v="29"/>
    <s v="March"/>
    <n v="2025"/>
    <d v="1899-12-30T16:00:00"/>
    <s v="Client 82"/>
    <s v="Chikago"/>
    <s v="456 Oak Avenue, Suite 81BBBB"/>
    <x v="2"/>
    <s v="(917) 555-4301"/>
    <x v="4"/>
    <x v="0"/>
    <n v="3114"/>
    <n v="4"/>
  </r>
  <r>
    <x v="412"/>
    <n v="2"/>
    <x v="3"/>
    <x v="2"/>
    <x v="2"/>
    <x v="23"/>
    <n v="0"/>
    <n v="2820"/>
    <m/>
    <n v="2820"/>
    <d v="2025-04-02T00:00:00"/>
    <n v="2"/>
    <s v="April"/>
    <n v="2025"/>
    <d v="1899-12-30T18:00:00"/>
    <s v="Client 14"/>
    <s v="Miami"/>
    <s v="876 Sequoia Road, Suite 13L"/>
    <x v="4"/>
    <s v="(718) 555-3436"/>
    <x v="4"/>
    <x v="0"/>
    <n v="3798"/>
    <n v="2"/>
  </r>
  <r>
    <x v="413"/>
    <n v="3"/>
    <x v="3"/>
    <x v="2"/>
    <x v="4"/>
    <x v="23"/>
    <n v="0"/>
    <n v="1110"/>
    <m/>
    <n v="1110"/>
    <d v="2025-04-03T00:00:00"/>
    <n v="3"/>
    <s v="April"/>
    <n v="2025"/>
    <d v="1899-12-30T10:00:00"/>
    <s v="Client 1"/>
    <s v="Chikago"/>
    <s v="123 Elm Street, Apt. 4B"/>
    <x v="3"/>
    <s v="(646) 555-6769"/>
    <x v="4"/>
    <x v="0"/>
    <n v="5071"/>
    <n v="5"/>
  </r>
  <r>
    <x v="414"/>
    <n v="4"/>
    <x v="3"/>
    <x v="2"/>
    <x v="4"/>
    <x v="21"/>
    <n v="0"/>
    <n v="3990"/>
    <m/>
    <n v="3990"/>
    <d v="2025-04-04T00:00:00"/>
    <n v="4"/>
    <s v="April"/>
    <n v="2025"/>
    <d v="1899-12-30T12:00:00"/>
    <s v="Client 98"/>
    <s v="Chikago"/>
    <s v="4321 Pine Street, Unit 97RRRR"/>
    <x v="2"/>
    <s v="(212) 555-9856"/>
    <x v="3"/>
    <x v="0"/>
    <n v="3246"/>
    <n v="4"/>
  </r>
  <r>
    <x v="415"/>
    <n v="5"/>
    <x v="3"/>
    <x v="2"/>
    <x v="0"/>
    <x v="21"/>
    <n v="10000"/>
    <n v="2150"/>
    <n v="0.15"/>
    <n v="12150"/>
    <d v="2025-04-05T00:00:00"/>
    <n v="5"/>
    <s v="April"/>
    <n v="2025"/>
    <d v="1899-12-30T16:00:00"/>
    <s v="Client 17"/>
    <s v="Chikago"/>
    <s v="8765 Sycamore Court, Suite 16O"/>
    <x v="2"/>
    <s v="(917) 555-7870"/>
    <x v="4"/>
    <x v="0"/>
    <n v="1911"/>
    <n v="5"/>
  </r>
  <r>
    <x v="416"/>
    <n v="6"/>
    <x v="3"/>
    <x v="2"/>
    <x v="3"/>
    <x v="1"/>
    <n v="0"/>
    <n v="2230"/>
    <m/>
    <n v="2230"/>
    <d v="2025-04-06T00:00:00"/>
    <n v="6"/>
    <s v="April"/>
    <n v="2025"/>
    <d v="1899-12-30T18:00:00"/>
    <s v="Client 28"/>
    <s v="Chikago"/>
    <s v="5678 Cedar Drive, Unit 27Z"/>
    <x v="0"/>
    <s v="(718) 555-2325"/>
    <x v="1"/>
    <x v="0"/>
    <n v="2021"/>
    <n v="4"/>
  </r>
  <r>
    <x v="417"/>
    <n v="1"/>
    <x v="3"/>
    <x v="2"/>
    <x v="2"/>
    <x v="1"/>
    <n v="0"/>
    <n v="3080"/>
    <m/>
    <n v="3080"/>
    <d v="2025-04-01T00:00:00"/>
    <n v="1"/>
    <s v="April"/>
    <n v="2025"/>
    <d v="1899-12-30T10:00:00"/>
    <s v="Client 25"/>
    <s v="Dallas"/>
    <s v="345 Redwood Lane, Unit 24W"/>
    <x v="1"/>
    <n v="18900888990"/>
    <x v="0"/>
    <x v="0"/>
    <n v="5451"/>
    <n v="5"/>
  </r>
  <r>
    <x v="418"/>
    <n v="8"/>
    <x v="3"/>
    <x v="2"/>
    <x v="2"/>
    <x v="18"/>
    <n v="0"/>
    <n v="2180"/>
    <m/>
    <n v="2180"/>
    <d v="2025-04-08T00:00:00"/>
    <n v="8"/>
    <s v="April"/>
    <n v="2025"/>
    <d v="1899-12-30T12:00:00"/>
    <s v="Client 88"/>
    <s v="New York"/>
    <s v="678 Aspen Avenue, Suite 87HHHH"/>
    <x v="3"/>
    <s v="(212) 555-1215"/>
    <x v="0"/>
    <x v="0"/>
    <n v="3377"/>
    <n v="4"/>
  </r>
  <r>
    <x v="419"/>
    <n v="9"/>
    <x v="3"/>
    <x v="2"/>
    <x v="4"/>
    <x v="21"/>
    <n v="0"/>
    <n v="920"/>
    <m/>
    <n v="920"/>
    <d v="2025-04-09T00:00:00"/>
    <n v="9"/>
    <s v="April"/>
    <n v="2025"/>
    <d v="1899-12-30T16:00:00"/>
    <s v="Client 15"/>
    <s v="Chikago"/>
    <s v="543 Willowbrook Lane, Apt. 14M"/>
    <x v="2"/>
    <s v="(917) 555-5659"/>
    <x v="0"/>
    <x v="0"/>
    <n v="1879"/>
    <n v="5"/>
  </r>
  <r>
    <x v="420"/>
    <n v="10"/>
    <x v="3"/>
    <x v="2"/>
    <x v="4"/>
    <x v="6"/>
    <n v="2200"/>
    <n v="0"/>
    <n v="0.15"/>
    <n v="2200"/>
    <d v="2025-04-10T00:00:00"/>
    <n v="10"/>
    <s v="April"/>
    <n v="2025"/>
    <d v="1899-12-30T18:00:00"/>
    <s v="Client 91"/>
    <s v="Chikago"/>
    <s v="987 Acorn Street, Suite 90KKKK"/>
    <x v="4"/>
    <s v="(718) 555-8746"/>
    <x v="2"/>
    <x v="0"/>
    <n v="2790"/>
    <n v="5"/>
  </r>
  <r>
    <x v="421"/>
    <n v="11"/>
    <x v="3"/>
    <x v="2"/>
    <x v="1"/>
    <x v="22"/>
    <n v="620"/>
    <n v="10000"/>
    <m/>
    <n v="10620"/>
    <d v="2025-04-11T00:00:00"/>
    <n v="11"/>
    <s v="April"/>
    <n v="2025"/>
    <d v="1899-12-30T10:00:00"/>
    <s v="Client 97"/>
    <s v="New Orleans"/>
    <s v="8765 Maple Street, Suite 96QQQQ"/>
    <x v="1"/>
    <s v="(646) 555-2326"/>
    <x v="1"/>
    <x v="0"/>
    <n v="4673"/>
    <n v="2"/>
  </r>
  <r>
    <x v="422"/>
    <n v="12"/>
    <x v="3"/>
    <x v="2"/>
    <x v="3"/>
    <x v="23"/>
    <n v="0"/>
    <n v="1590"/>
    <m/>
    <n v="1590"/>
    <d v="2025-04-12T00:00:00"/>
    <n v="12"/>
    <s v="April"/>
    <n v="2025"/>
    <d v="1899-12-30T12:00:00"/>
    <s v="Client 26"/>
    <s v="New York"/>
    <s v="678 Spruce Street, Suite 25X"/>
    <x v="5"/>
    <s v="(212) 555-7871"/>
    <x v="3"/>
    <x v="1"/>
    <n v="4931"/>
    <m/>
  </r>
  <r>
    <x v="422"/>
    <n v="12"/>
    <x v="3"/>
    <x v="2"/>
    <x v="2"/>
    <x v="23"/>
    <n v="0"/>
    <n v="1590"/>
    <m/>
    <n v="1590"/>
    <d v="2025-04-12T00:00:00"/>
    <n v="12"/>
    <s v="April"/>
    <n v="2025"/>
    <d v="1899-12-30T16:00:00"/>
    <s v="Client 72"/>
    <s v="Chikago"/>
    <s v="5678 Cedar Drive, Apt. 71RRR"/>
    <x v="2"/>
    <s v="(917) 555-4302"/>
    <x v="3"/>
    <x v="0"/>
    <n v="3397"/>
    <n v="5"/>
  </r>
  <r>
    <x v="423"/>
    <n v="13"/>
    <x v="3"/>
    <x v="2"/>
    <x v="2"/>
    <x v="23"/>
    <n v="0"/>
    <n v="27580"/>
    <m/>
    <n v="27580"/>
    <d v="2025-04-13T00:00:00"/>
    <n v="13"/>
    <s v="April"/>
    <n v="2025"/>
    <d v="1899-12-30T17:00:00"/>
    <s v="Client 73"/>
    <s v="Chikago"/>
    <s v="5679 Cedar Drive, Apt. 71RRR"/>
    <x v="3"/>
    <s v="(917) 555-4303"/>
    <x v="3"/>
    <x v="0"/>
    <n v="4527"/>
    <n v="5"/>
  </r>
  <r>
    <x v="422"/>
    <n v="12"/>
    <x v="3"/>
    <x v="2"/>
    <x v="2"/>
    <x v="21"/>
    <n v="0"/>
    <n v="1590"/>
    <m/>
    <n v="1590"/>
    <d v="2025-04-12T00:00:00"/>
    <n v="12"/>
    <s v="April"/>
    <n v="2025"/>
    <d v="1899-12-30T18:00:00"/>
    <s v="Client 81"/>
    <e v="#N/A"/>
    <s v="123 Birch Lane, Apt. 80AAAA"/>
    <x v="3"/>
    <s v="(718) 555-3437"/>
    <x v="4"/>
    <x v="0"/>
    <n v="1719"/>
    <n v="5"/>
  </r>
  <r>
    <x v="422"/>
    <n v="12"/>
    <x v="3"/>
    <x v="2"/>
    <x v="4"/>
    <x v="21"/>
    <n v="0"/>
    <n v="1590"/>
    <m/>
    <n v="1590"/>
    <d v="2025-04-12T00:00:00"/>
    <n v="12"/>
    <s v="April"/>
    <n v="2025"/>
    <d v="1899-12-30T10:00:00"/>
    <s v="Client 30"/>
    <s v="New York"/>
    <s v="654 Magnolia Lane, Apt. 29BB"/>
    <x v="0"/>
    <s v="(646) 555-6770"/>
    <x v="2"/>
    <x v="0"/>
    <n v="3999"/>
    <n v="3"/>
  </r>
  <r>
    <x v="424"/>
    <n v="16"/>
    <x v="3"/>
    <x v="2"/>
    <x v="4"/>
    <x v="1"/>
    <n v="0"/>
    <n v="1590"/>
    <m/>
    <n v="1590"/>
    <d v="2025-04-16T00:00:00"/>
    <n v="16"/>
    <s v="April"/>
    <n v="2025"/>
    <d v="1899-12-30T12:00:00"/>
    <s v="Client 34"/>
    <s v="Chikago"/>
    <s v="210 Sycamore Road, Unit 33FF"/>
    <x v="5"/>
    <s v="(212) 555-9857"/>
    <x v="1"/>
    <x v="0"/>
    <n v="4965"/>
    <n v="3"/>
  </r>
  <r>
    <x v="421"/>
    <n v="11"/>
    <x v="3"/>
    <x v="2"/>
    <x v="1"/>
    <x v="1"/>
    <n v="0"/>
    <n v="1590"/>
    <m/>
    <n v="1590"/>
    <d v="2025-04-11T00:00:00"/>
    <n v="11"/>
    <s v="April"/>
    <n v="2025"/>
    <d v="1899-12-30T16:00:00"/>
    <s v="Client 61"/>
    <s v="Chikago"/>
    <s v="345 Sycamore Lane, Suite 60GGG"/>
    <x v="5"/>
    <s v="(917) 555-7871"/>
    <x v="4"/>
    <x v="0"/>
    <n v="4702"/>
    <n v="2"/>
  </r>
  <r>
    <x v="425"/>
    <n v="18"/>
    <x v="3"/>
    <x v="2"/>
    <x v="3"/>
    <x v="18"/>
    <n v="0"/>
    <n v="1590"/>
    <m/>
    <n v="1590"/>
    <d v="2025-04-18T00:00:00"/>
    <n v="18"/>
    <s v="April"/>
    <n v="2025"/>
    <d v="1899-12-30T18:00:00"/>
    <s v="Client 48"/>
    <s v="Chikago"/>
    <s v="654 Sycamore Avenue, Apt. 47TT"/>
    <x v="2"/>
    <s v="(718) 555-2326"/>
    <x v="0"/>
    <x v="0"/>
    <n v="3572"/>
    <n v="3"/>
  </r>
  <r>
    <x v="426"/>
    <n v="19"/>
    <x v="3"/>
    <x v="2"/>
    <x v="4"/>
    <x v="4"/>
    <n v="0"/>
    <n v="1590"/>
    <m/>
    <n v="1590"/>
    <d v="2025-04-19T00:00:00"/>
    <n v="19"/>
    <s v="April"/>
    <n v="2025"/>
    <d v="1899-12-30T10:00:00"/>
    <s v="Client 9"/>
    <s v="Chikago"/>
    <s v="1234 Redwood Road, Unit 5G"/>
    <x v="4"/>
    <n v="17900888990"/>
    <x v="0"/>
    <x v="0"/>
    <n v="2970"/>
    <n v="2"/>
  </r>
  <r>
    <x v="427"/>
    <n v="20"/>
    <x v="3"/>
    <x v="2"/>
    <x v="2"/>
    <x v="15"/>
    <n v="0"/>
    <n v="1590"/>
    <m/>
    <n v="1590"/>
    <d v="2025-04-20T00:00:00"/>
    <n v="20"/>
    <s v="April"/>
    <n v="2025"/>
    <d v="1899-12-30T12:00:00"/>
    <s v="Client 49"/>
    <s v="Chikago"/>
    <s v="321 Cedarwood Lane, Suite 48UU"/>
    <x v="2"/>
    <s v="(212) 555-1216"/>
    <x v="0"/>
    <x v="0"/>
    <n v="3375"/>
    <n v="5"/>
  </r>
  <r>
    <x v="428"/>
    <n v="21"/>
    <x v="3"/>
    <x v="2"/>
    <x v="4"/>
    <x v="10"/>
    <n v="0"/>
    <n v="3990"/>
    <m/>
    <n v="3990"/>
    <d v="2025-04-21T00:00:00"/>
    <n v="21"/>
    <s v="April"/>
    <n v="2025"/>
    <d v="1899-12-30T16:00:00"/>
    <s v="Client 4"/>
    <s v="Chikago"/>
    <s v="234 Pine Road, Apt. 3C"/>
    <x v="0"/>
    <s v="(917) 555-5660"/>
    <x v="2"/>
    <x v="0"/>
    <n v="4930"/>
    <n v="5"/>
  </r>
  <r>
    <x v="429"/>
    <n v="22"/>
    <x v="3"/>
    <x v="2"/>
    <x v="4"/>
    <x v="19"/>
    <n v="0"/>
    <n v="3990"/>
    <m/>
    <n v="3990"/>
    <d v="2025-04-22T00:00:00"/>
    <n v="22"/>
    <s v="April"/>
    <n v="2025"/>
    <d v="1899-12-30T18:00:00"/>
    <s v="Client 71"/>
    <s v="Chikago"/>
    <s v="1234 Aspen Road, Unit 70QQQ"/>
    <x v="5"/>
    <s v="(718) 555-8747"/>
    <x v="1"/>
    <x v="0"/>
    <n v="5458"/>
    <n v="4"/>
  </r>
  <r>
    <x v="430"/>
    <n v="23"/>
    <x v="3"/>
    <x v="2"/>
    <x v="3"/>
    <x v="8"/>
    <n v="0"/>
    <n v="3990"/>
    <m/>
    <n v="3990"/>
    <d v="2025-04-23T00:00:00"/>
    <n v="23"/>
    <s v="April"/>
    <n v="2025"/>
    <d v="1899-12-30T10:00:00"/>
    <s v="Client 13"/>
    <s v="Chikago"/>
    <s v="321 Acorn Drive, Apt. 12K"/>
    <x v="5"/>
    <s v="(646) 555-2327"/>
    <x v="3"/>
    <x v="0"/>
    <n v="4811"/>
    <n v="3"/>
  </r>
  <r>
    <x v="431"/>
    <n v="24"/>
    <x v="3"/>
    <x v="2"/>
    <x v="4"/>
    <x v="21"/>
    <n v="0"/>
    <n v="3990"/>
    <m/>
    <n v="3990"/>
    <d v="2025-04-24T00:00:00"/>
    <n v="24"/>
    <s v="April"/>
    <n v="2025"/>
    <d v="1899-12-30T12:00:00"/>
    <s v="Client 75"/>
    <s v="Chikago"/>
    <s v="321 Sequoia Street, Apt. 74UUU"/>
    <x v="2"/>
    <s v="(212) 555-7872"/>
    <x v="3"/>
    <x v="0"/>
    <n v="4518"/>
    <n v="5"/>
  </r>
  <r>
    <x v="432"/>
    <n v="25"/>
    <x v="3"/>
    <x v="2"/>
    <x v="2"/>
    <x v="6"/>
    <n v="0"/>
    <n v="3990"/>
    <m/>
    <n v="3990"/>
    <d v="2025-04-25T00:00:00"/>
    <n v="25"/>
    <s v="April"/>
    <n v="2025"/>
    <d v="1899-12-30T16:00:00"/>
    <s v="Client 16"/>
    <s v="Chikago"/>
    <s v="210 Magnolia Street, Unit 15N"/>
    <x v="2"/>
    <s v="(917) 555-4303"/>
    <x v="4"/>
    <x v="0"/>
    <n v="3974"/>
    <n v="4"/>
  </r>
  <r>
    <x v="433"/>
    <n v="26"/>
    <x v="3"/>
    <x v="2"/>
    <x v="4"/>
    <x v="22"/>
    <n v="0"/>
    <n v="3990"/>
    <m/>
    <n v="3990"/>
    <d v="2025-04-26T00:00:00"/>
    <n v="26"/>
    <s v="April"/>
    <n v="2025"/>
    <d v="1899-12-30T18:00:00"/>
    <s v="Client 96"/>
    <s v="Chikago"/>
    <s v="210 Oak Lane, Apt. 95PPPP"/>
    <x v="0"/>
    <s v="(718) 555-3438"/>
    <x v="2"/>
    <x v="0"/>
    <n v="2447"/>
    <n v="4"/>
  </r>
  <r>
    <x v="428"/>
    <n v="21"/>
    <x v="3"/>
    <x v="2"/>
    <x v="4"/>
    <x v="23"/>
    <n v="0"/>
    <n v="1590"/>
    <m/>
    <n v="1590"/>
    <d v="2025-04-21T00:00:00"/>
    <n v="21"/>
    <s v="April"/>
    <n v="2025"/>
    <d v="1899-12-30T09:00:00"/>
    <s v="Client 98"/>
    <s v="Chikago"/>
    <s v="4321 Pine Street, Unit 97RRRR"/>
    <x v="5"/>
    <s v="(646) 555-6771"/>
    <x v="0"/>
    <x v="0"/>
    <n v="3574"/>
    <n v="2"/>
  </r>
  <r>
    <x v="434"/>
    <n v="28"/>
    <x v="3"/>
    <x v="2"/>
    <x v="3"/>
    <x v="23"/>
    <n v="0"/>
    <n v="1590"/>
    <m/>
    <n v="1590"/>
    <d v="2025-04-28T00:00:00"/>
    <n v="28"/>
    <s v="April"/>
    <n v="2025"/>
    <d v="1899-12-30T11:00:00"/>
    <s v="Client 61"/>
    <s v="Chikago"/>
    <s v="345 Sycamore Lane, Suite 60GGG"/>
    <x v="2"/>
    <s v="(212) 555-9858"/>
    <x v="2"/>
    <x v="0"/>
    <n v="1532"/>
    <n v="5"/>
  </r>
  <r>
    <x v="435"/>
    <n v="29"/>
    <x v="3"/>
    <x v="2"/>
    <x v="4"/>
    <x v="21"/>
    <n v="0"/>
    <n v="1590"/>
    <m/>
    <n v="1590"/>
    <d v="2025-04-29T00:00:00"/>
    <n v="29"/>
    <s v="April"/>
    <n v="2025"/>
    <d v="1899-12-30T15:00:00"/>
    <s v="Client 55"/>
    <s v="Chikago"/>
    <s v="123 Redwood Avenue, Suite 54AAA"/>
    <x v="2"/>
    <s v="(917) 555-7872"/>
    <x v="4"/>
    <x v="0"/>
    <n v="4329"/>
    <n v="5"/>
  </r>
  <r>
    <x v="436"/>
    <n v="30"/>
    <x v="3"/>
    <x v="2"/>
    <x v="2"/>
    <x v="21"/>
    <n v="1510"/>
    <n v="0"/>
    <m/>
    <n v="1510"/>
    <d v="2025-04-30T00:00:00"/>
    <n v="30"/>
    <s v="April"/>
    <n v="2025"/>
    <d v="1899-12-30T11:00:00"/>
    <s v="Client 87"/>
    <s v="Chikago"/>
    <s v="345 Spruce Street, Apt. 86GGGG"/>
    <x v="4"/>
    <s v="(718) 555-2327"/>
    <x v="3"/>
    <x v="0"/>
    <n v="2320"/>
    <n v="5"/>
  </r>
  <r>
    <x v="436"/>
    <n v="30"/>
    <x v="3"/>
    <x v="2"/>
    <x v="4"/>
    <x v="1"/>
    <n v="3690"/>
    <n v="0"/>
    <m/>
    <n v="3690"/>
    <d v="2025-04-30T00:00:00"/>
    <n v="30"/>
    <s v="April"/>
    <n v="2025"/>
    <d v="1899-12-30T09:00:00"/>
    <s v="Client 28"/>
    <s v="Chikago"/>
    <s v="5678 Cedar Drive, Unit 27Z"/>
    <x v="2"/>
    <n v="16900888990"/>
    <x v="3"/>
    <x v="0"/>
    <n v="482"/>
    <n v="5"/>
  </r>
  <r>
    <x v="437"/>
    <n v="2"/>
    <x v="4"/>
    <x v="2"/>
    <x v="4"/>
    <x v="1"/>
    <n v="0"/>
    <n v="1090"/>
    <m/>
    <n v="1090"/>
    <d v="2025-05-02T00:00:00"/>
    <n v="2"/>
    <s v="May"/>
    <n v="2025"/>
    <d v="1899-12-30T11:00:00"/>
    <s v="Client 87"/>
    <s v="Chikago"/>
    <s v="345 Spruce Street, Apt. 86GGGG"/>
    <x v="4"/>
    <s v="(212) 555-1217"/>
    <x v="4"/>
    <x v="0"/>
    <n v="4602"/>
    <n v="5"/>
  </r>
  <r>
    <x v="437"/>
    <n v="2"/>
    <x v="4"/>
    <x v="2"/>
    <x v="3"/>
    <x v="18"/>
    <n v="0"/>
    <n v="3990"/>
    <m/>
    <n v="3990"/>
    <d v="2025-05-02T00:00:00"/>
    <n v="2"/>
    <s v="May"/>
    <n v="2025"/>
    <d v="1899-12-30T15:00:00"/>
    <s v="Client 76"/>
    <s v="Miami"/>
    <s v="876 Willowbrook Drive, Suite 75VVV"/>
    <x v="5"/>
    <s v="(917) 555-5661"/>
    <x v="0"/>
    <x v="0"/>
    <n v="2661"/>
    <n v="5"/>
  </r>
  <r>
    <x v="438"/>
    <n v="4"/>
    <x v="4"/>
    <x v="2"/>
    <x v="4"/>
    <x v="4"/>
    <n v="0"/>
    <n v="3990"/>
    <n v="0.15"/>
    <n v="3990"/>
    <d v="2025-05-04T00:00:00"/>
    <n v="4"/>
    <s v="May"/>
    <n v="2025"/>
    <d v="1899-12-30T11:00:00"/>
    <s v="Client 61"/>
    <s v="Chikago"/>
    <s v="345 Sycamore Lane, Suite 60GGG"/>
    <x v="2"/>
    <s v="(718) 555-8748"/>
    <x v="2"/>
    <x v="0"/>
    <n v="1791"/>
    <n v="5"/>
  </r>
  <r>
    <x v="439"/>
    <n v="5"/>
    <x v="4"/>
    <x v="2"/>
    <x v="2"/>
    <x v="15"/>
    <n v="0"/>
    <n v="3990"/>
    <m/>
    <n v="3990"/>
    <d v="2025-05-05T00:00:00"/>
    <n v="5"/>
    <s v="May"/>
    <n v="2025"/>
    <d v="1899-12-30T09:00:00"/>
    <s v="Client 56"/>
    <s v="Chikago"/>
    <s v="456 Willow Lane, Unit 55BBB"/>
    <x v="2"/>
    <s v="(646) 555-2328"/>
    <x v="1"/>
    <x v="0"/>
    <n v="2705"/>
    <n v="5"/>
  </r>
  <r>
    <x v="440"/>
    <n v="6"/>
    <x v="4"/>
    <x v="2"/>
    <x v="2"/>
    <x v="15"/>
    <n v="0"/>
    <n v="17340"/>
    <m/>
    <n v="17340"/>
    <d v="2025-05-06T00:00:00"/>
    <n v="6"/>
    <s v="May"/>
    <n v="2025"/>
    <d v="1899-12-30T10:00:00"/>
    <s v="Client 57"/>
    <s v="Chikago"/>
    <s v="457 Willow Lane, Unit 55BBB"/>
    <x v="2"/>
    <s v="(646) 555-2329"/>
    <x v="1"/>
    <x v="0"/>
    <n v="2770"/>
    <n v="5"/>
  </r>
  <r>
    <x v="440"/>
    <n v="6"/>
    <x v="4"/>
    <x v="2"/>
    <x v="0"/>
    <x v="10"/>
    <n v="10000"/>
    <n v="2150"/>
    <n v="0.15"/>
    <n v="12150"/>
    <d v="2025-05-06T00:00:00"/>
    <n v="6"/>
    <s v="May"/>
    <n v="2025"/>
    <d v="1899-12-30T11:00:00"/>
    <s v="Client 22"/>
    <s v="Chikago"/>
    <s v="234 Maple Road, Unit 21T"/>
    <x v="0"/>
    <s v="(212) 555-7873"/>
    <x v="0"/>
    <x v="0"/>
    <n v="3959"/>
    <n v="5"/>
  </r>
  <r>
    <x v="441"/>
    <n v="1"/>
    <x v="4"/>
    <x v="2"/>
    <x v="1"/>
    <x v="19"/>
    <n v="2230"/>
    <n v="0"/>
    <m/>
    <n v="2230"/>
    <d v="2025-05-01T00:00:00"/>
    <n v="1"/>
    <s v="May"/>
    <n v="2025"/>
    <d v="1899-12-30T15:00:00"/>
    <s v="Client 52"/>
    <s v="Chikago"/>
    <s v="210 Oak Lane, Suite 51XX"/>
    <x v="5"/>
    <s v="(917) 555-4304"/>
    <x v="0"/>
    <x v="0"/>
    <n v="2682"/>
    <n v="5"/>
  </r>
  <r>
    <x v="442"/>
    <n v="8"/>
    <x v="4"/>
    <x v="2"/>
    <x v="3"/>
    <x v="21"/>
    <n v="3080"/>
    <n v="0"/>
    <m/>
    <n v="3080"/>
    <d v="2025-05-08T00:00:00"/>
    <n v="8"/>
    <s v="May"/>
    <n v="2025"/>
    <d v="1899-12-30T11:00:00"/>
    <s v="Client 14"/>
    <s v="Miami"/>
    <s v="876 Sequoia Road, Suite 13L"/>
    <x v="2"/>
    <s v="(718) 555-3439"/>
    <x v="0"/>
    <x v="0"/>
    <n v="4204"/>
    <n v="5"/>
  </r>
  <r>
    <x v="443"/>
    <n v="9"/>
    <x v="4"/>
    <x v="2"/>
    <x v="2"/>
    <x v="6"/>
    <n v="2180"/>
    <n v="0"/>
    <m/>
    <n v="2180"/>
    <d v="2025-05-09T00:00:00"/>
    <n v="9"/>
    <s v="May"/>
    <n v="2025"/>
    <d v="1899-12-30T09:00:00"/>
    <s v="Client 47"/>
    <s v="Chikago"/>
    <s v="987 Acorn Street, Unit 46SS"/>
    <x v="2"/>
    <s v="(646) 555-6772"/>
    <x v="2"/>
    <x v="0"/>
    <n v="903"/>
    <n v="5"/>
  </r>
  <r>
    <x v="444"/>
    <n v="10"/>
    <x v="4"/>
    <x v="2"/>
    <x v="2"/>
    <x v="22"/>
    <n v="0"/>
    <n v="920"/>
    <n v="0.15"/>
    <n v="920"/>
    <d v="2025-05-10T00:00:00"/>
    <n v="10"/>
    <s v="May"/>
    <n v="2025"/>
    <d v="1899-12-30T11:00:00"/>
    <s v="Client 83"/>
    <s v="New York"/>
    <s v="789 Maple Street, Unit 82CCCC"/>
    <x v="4"/>
    <s v="(212) 555-9859"/>
    <x v="1"/>
    <x v="0"/>
    <n v="1492"/>
    <n v="5"/>
  </r>
  <r>
    <x v="445"/>
    <n v="11"/>
    <x v="4"/>
    <x v="2"/>
    <x v="4"/>
    <x v="23"/>
    <n v="0"/>
    <n v="3200"/>
    <m/>
    <n v="3200"/>
    <d v="2025-05-11T00:00:00"/>
    <n v="11"/>
    <s v="May"/>
    <n v="2025"/>
    <d v="1899-12-30T15:00:00"/>
    <s v="Client 40"/>
    <s v="Chikago"/>
    <s v="234 Pine Road, Suite 39LL"/>
    <x v="0"/>
    <s v="(917) 555-7873"/>
    <x v="3"/>
    <x v="0"/>
    <n v="2652"/>
    <n v="5"/>
  </r>
  <r>
    <x v="446"/>
    <n v="12"/>
    <x v="4"/>
    <x v="2"/>
    <x v="4"/>
    <x v="23"/>
    <n v="0"/>
    <n v="2320"/>
    <m/>
    <n v="2320"/>
    <d v="2025-05-12T00:00:00"/>
    <n v="12"/>
    <s v="May"/>
    <n v="2025"/>
    <d v="1899-12-30T11:00:00"/>
    <s v="Client 70"/>
    <s v="New York"/>
    <s v="678 Spruce Street, Suite 69PPP"/>
    <x v="5"/>
    <s v="(718) 555-2328"/>
    <x v="0"/>
    <x v="0"/>
    <n v="5012"/>
    <n v="5"/>
  </r>
  <r>
    <x v="447"/>
    <n v="13"/>
    <x v="4"/>
    <x v="2"/>
    <x v="1"/>
    <x v="21"/>
    <n v="0"/>
    <n v="3800"/>
    <m/>
    <n v="3800"/>
    <d v="2025-05-13T00:00:00"/>
    <n v="13"/>
    <s v="May"/>
    <n v="2025"/>
    <d v="1899-12-30T10:00:00"/>
    <s v="Client 57"/>
    <s v="New York"/>
    <s v="789 Magnolia Road, Apt. 56CCC"/>
    <x v="2"/>
    <n v="15900888990"/>
    <x v="0"/>
    <x v="0"/>
    <n v="5058"/>
    <n v="5"/>
  </r>
  <r>
    <x v="448"/>
    <n v="14"/>
    <x v="4"/>
    <x v="2"/>
    <x v="3"/>
    <x v="21"/>
    <n v="0"/>
    <n v="1110"/>
    <m/>
    <n v="1110"/>
    <d v="2025-05-14T00:00:00"/>
    <n v="14"/>
    <s v="May"/>
    <n v="2025"/>
    <d v="1899-12-30T12:00:00"/>
    <s v="Client 62"/>
    <s v="New York"/>
    <s v="678 Cedarwood Road, Unit 61HHH"/>
    <x v="2"/>
    <s v="(212) 555-1218"/>
    <x v="0"/>
    <x v="0"/>
    <n v="2908"/>
    <n v="5"/>
  </r>
  <r>
    <x v="449"/>
    <n v="15"/>
    <x v="4"/>
    <x v="2"/>
    <x v="2"/>
    <x v="1"/>
    <n v="0"/>
    <n v="3550"/>
    <m/>
    <n v="3550"/>
    <d v="2025-05-15T00:00:00"/>
    <n v="15"/>
    <s v="May"/>
    <n v="2025"/>
    <d v="1899-12-30T16:00:00"/>
    <s v="Client 55"/>
    <s v="Chikago"/>
    <s v="123 Redwood Avenue, Suite 54AAA"/>
    <x v="4"/>
    <s v="(917) 555-5662"/>
    <x v="2"/>
    <x v="0"/>
    <n v="3036"/>
    <n v="4"/>
  </r>
  <r>
    <x v="450"/>
    <n v="16"/>
    <x v="4"/>
    <x v="2"/>
    <x v="2"/>
    <x v="1"/>
    <n v="0"/>
    <n v="2650"/>
    <m/>
    <n v="2650"/>
    <d v="2025-05-16T00:00:00"/>
    <n v="16"/>
    <s v="May"/>
    <n v="2025"/>
    <d v="1899-12-30T18:00:00"/>
    <s v="Client 47"/>
    <s v="Chikago"/>
    <s v="987 Acorn Street, Unit 46SS"/>
    <x v="0"/>
    <s v="(718) 555-8749"/>
    <x v="1"/>
    <x v="0"/>
    <n v="2740"/>
    <n v="5"/>
  </r>
  <r>
    <x v="445"/>
    <n v="11"/>
    <x v="4"/>
    <x v="2"/>
    <x v="4"/>
    <x v="18"/>
    <n v="0"/>
    <n v="1910"/>
    <m/>
    <n v="1910"/>
    <d v="2025-05-11T00:00:00"/>
    <n v="11"/>
    <s v="May"/>
    <n v="2025"/>
    <d v="1899-12-30T10:00:00"/>
    <s v="Client 40"/>
    <s v="Chikago"/>
    <s v="234 Pine Road, Suite 39LL"/>
    <x v="1"/>
    <s v="(646) 555-2329"/>
    <x v="3"/>
    <x v="0"/>
    <n v="2449"/>
    <n v="5"/>
  </r>
  <r>
    <x v="451"/>
    <n v="18"/>
    <x v="4"/>
    <x v="2"/>
    <x v="4"/>
    <x v="4"/>
    <n v="1900"/>
    <n v="0"/>
    <m/>
    <n v="1900"/>
    <d v="2025-05-18T00:00:00"/>
    <n v="18"/>
    <s v="May"/>
    <n v="2025"/>
    <d v="1899-12-30T12:00:00"/>
    <s v="Client 81"/>
    <e v="#N/A"/>
    <s v="123 Birch Lane, Apt. 80AAAA"/>
    <x v="1"/>
    <s v="(212) 555-7874"/>
    <x v="3"/>
    <x v="0"/>
    <n v="3399"/>
    <n v="5"/>
  </r>
  <r>
    <x v="452"/>
    <n v="19"/>
    <x v="4"/>
    <x v="2"/>
    <x v="0"/>
    <x v="15"/>
    <n v="400"/>
    <n v="0"/>
    <m/>
    <n v="400"/>
    <d v="2025-05-19T00:00:00"/>
    <n v="19"/>
    <s v="May"/>
    <n v="2025"/>
    <d v="1899-12-30T16:00:00"/>
    <s v="Client 3"/>
    <s v="New York"/>
    <s v="789 Oak Lane, Suite 12"/>
    <x v="0"/>
    <s v="(917) 555-4305"/>
    <x v="4"/>
    <x v="0"/>
    <n v="3523"/>
    <n v="5"/>
  </r>
  <r>
    <x v="453"/>
    <n v="20"/>
    <x v="4"/>
    <x v="2"/>
    <x v="3"/>
    <x v="10"/>
    <n v="200"/>
    <n v="0"/>
    <m/>
    <n v="200"/>
    <d v="2025-05-20T00:00:00"/>
    <n v="20"/>
    <s v="May"/>
    <n v="2025"/>
    <d v="1899-12-30T18:00:00"/>
    <s v="Client 72"/>
    <s v="Chikago"/>
    <s v="5678 Cedar Drive, Apt. 71RRR"/>
    <x v="1"/>
    <s v="(718) 555-3440"/>
    <x v="1"/>
    <x v="1"/>
    <n v="1408"/>
    <m/>
  </r>
  <r>
    <x v="454"/>
    <n v="21"/>
    <x v="4"/>
    <x v="2"/>
    <x v="2"/>
    <x v="19"/>
    <n v="0"/>
    <n v="300"/>
    <m/>
    <n v="300"/>
    <d v="2025-05-21T00:00:00"/>
    <n v="21"/>
    <s v="May"/>
    <n v="2025"/>
    <d v="1899-12-30T10:00:00"/>
    <s v="Client 79"/>
    <s v="Miami"/>
    <s v="8765 Cedarwood Street, Suite 78YYY"/>
    <x v="1"/>
    <s v="(646) 555-6773"/>
    <x v="3"/>
    <x v="0"/>
    <n v="3736"/>
    <n v="4"/>
  </r>
  <r>
    <x v="455"/>
    <n v="22"/>
    <x v="4"/>
    <x v="2"/>
    <x v="2"/>
    <x v="21"/>
    <n v="5000"/>
    <n v="0"/>
    <m/>
    <n v="5000"/>
    <d v="2025-05-22T00:00:00"/>
    <n v="22"/>
    <s v="May"/>
    <n v="2025"/>
    <d v="1899-12-30T12:00:00"/>
    <s v="Client 14"/>
    <s v="Miami"/>
    <s v="876 Sequoia Road, Suite 13L"/>
    <x v="1"/>
    <s v="(212) 555-9860"/>
    <x v="3"/>
    <x v="0"/>
    <n v="3369"/>
    <n v="5"/>
  </r>
  <r>
    <x v="456"/>
    <n v="23"/>
    <x v="4"/>
    <x v="2"/>
    <x v="4"/>
    <x v="6"/>
    <n v="0"/>
    <n v="600"/>
    <m/>
    <n v="600"/>
    <d v="2025-05-23T00:00:00"/>
    <n v="23"/>
    <s v="May"/>
    <n v="2025"/>
    <d v="1899-12-30T16:00:00"/>
    <s v="Client 89"/>
    <s v="Chikago"/>
    <s v="1234 Sequoia Road, Unit 88IIII"/>
    <x v="0"/>
    <s v="(917) 555-7874"/>
    <x v="4"/>
    <x v="0"/>
    <n v="3107"/>
    <n v="3"/>
  </r>
  <r>
    <x v="457"/>
    <n v="24"/>
    <x v="4"/>
    <x v="2"/>
    <x v="4"/>
    <x v="22"/>
    <n v="2000"/>
    <n v="0"/>
    <m/>
    <n v="2000"/>
    <d v="2025-05-24T00:00:00"/>
    <n v="24"/>
    <s v="May"/>
    <n v="2025"/>
    <d v="1899-12-30T18:00:00"/>
    <s v="Client 50"/>
    <s v="New York"/>
    <s v="876 Elm Drive, Unit 49VV"/>
    <x v="0"/>
    <s v="(718) 555-2329"/>
    <x v="0"/>
    <x v="0"/>
    <n v="1639"/>
    <n v="4"/>
  </r>
  <r>
    <x v="458"/>
    <n v="25"/>
    <x v="4"/>
    <x v="2"/>
    <x v="1"/>
    <x v="23"/>
    <n v="0"/>
    <n v="4000"/>
    <m/>
    <n v="4000"/>
    <d v="2025-05-25T00:00:00"/>
    <n v="25"/>
    <s v="May"/>
    <n v="2025"/>
    <d v="1899-12-30T10:00:00"/>
    <s v="Client 30"/>
    <s v="New York"/>
    <s v="654 Magnolia Lane, Apt. 29BB"/>
    <x v="1"/>
    <n v="14900888990"/>
    <x v="2"/>
    <x v="0"/>
    <n v="3602"/>
    <n v="4"/>
  </r>
  <r>
    <x v="459"/>
    <n v="26"/>
    <x v="4"/>
    <x v="2"/>
    <x v="3"/>
    <x v="23"/>
    <n v="0"/>
    <n v="200"/>
    <m/>
    <n v="200"/>
    <d v="2025-05-26T00:00:00"/>
    <n v="26"/>
    <s v="May"/>
    <n v="2025"/>
    <d v="1899-12-30T12:00:00"/>
    <s v="Client 10"/>
    <s v="Chikago"/>
    <s v="5678 Juniper Street, Apt. 9H"/>
    <x v="3"/>
    <s v="(212) 555-1219"/>
    <x v="1"/>
    <x v="1"/>
    <n v="2915"/>
    <m/>
  </r>
  <r>
    <x v="454"/>
    <n v="21"/>
    <x v="4"/>
    <x v="2"/>
    <x v="4"/>
    <x v="21"/>
    <n v="800"/>
    <n v="0"/>
    <n v="0.15"/>
    <n v="800"/>
    <d v="2025-05-21T00:00:00"/>
    <n v="21"/>
    <s v="May"/>
    <n v="2025"/>
    <d v="1899-12-30T16:00:00"/>
    <s v="Client 100"/>
    <s v="Chikago"/>
    <s v="456 Willow Lane, Suite 99TTTT"/>
    <x v="1"/>
    <s v="(917) 555-5663"/>
    <x v="4"/>
    <x v="0"/>
    <n v="840"/>
    <n v="3"/>
  </r>
  <r>
    <x v="460"/>
    <n v="28"/>
    <x v="4"/>
    <x v="2"/>
    <x v="2"/>
    <x v="21"/>
    <n v="0"/>
    <n v="3000"/>
    <n v="0.15"/>
    <n v="3000"/>
    <d v="2025-05-28T00:00:00"/>
    <n v="28"/>
    <s v="May"/>
    <n v="2025"/>
    <d v="1899-12-30T18:00:00"/>
    <s v="Client 42"/>
    <s v="Chikago"/>
    <s v="890 Redwood Lane, Apt. 41NN"/>
    <x v="0"/>
    <s v="(718) 555-8750"/>
    <x v="3"/>
    <x v="0"/>
    <n v="5889"/>
    <n v="4"/>
  </r>
  <r>
    <x v="461"/>
    <n v="29"/>
    <x v="4"/>
    <x v="2"/>
    <x v="4"/>
    <x v="1"/>
    <n v="10000"/>
    <n v="0"/>
    <n v="0.15"/>
    <n v="10000"/>
    <d v="2025-05-29T00:00:00"/>
    <n v="29"/>
    <s v="May"/>
    <n v="2025"/>
    <d v="1899-12-30T10:00:00"/>
    <s v="Client 83"/>
    <s v="New York"/>
    <s v="789 Maple Street, Unit 82CCCC"/>
    <x v="1"/>
    <s v="(646) 555-2330"/>
    <x v="3"/>
    <x v="0"/>
    <n v="5261"/>
    <n v="4"/>
  </r>
  <r>
    <x v="462"/>
    <n v="30"/>
    <x v="4"/>
    <x v="2"/>
    <x v="4"/>
    <x v="1"/>
    <n v="0"/>
    <n v="3000"/>
    <n v="0.15"/>
    <n v="3000"/>
    <d v="2025-05-30T00:00:00"/>
    <n v="30"/>
    <s v="May"/>
    <n v="2025"/>
    <d v="1899-12-30T12:00:00"/>
    <s v="Client 67"/>
    <s v="Chikago"/>
    <s v="567 Pine Street, Suite 66MMM"/>
    <x v="1"/>
    <s v="(212) 555-7875"/>
    <x v="3"/>
    <x v="0"/>
    <n v="4278"/>
    <n v="5"/>
  </r>
  <r>
    <x v="463"/>
    <n v="31"/>
    <x v="4"/>
    <x v="2"/>
    <x v="3"/>
    <x v="18"/>
    <n v="500"/>
    <n v="0"/>
    <n v="0.15"/>
    <n v="500"/>
    <d v="2025-05-31T00:00:00"/>
    <n v="31"/>
    <s v="May"/>
    <n v="2025"/>
    <d v="1899-12-30T16:00:00"/>
    <s v="Client 1"/>
    <s v="Chikago"/>
    <s v="123 Elm Street, Apt. 4B"/>
    <x v="1"/>
    <s v="(917) 555-4306"/>
    <x v="4"/>
    <x v="0"/>
    <n v="2960"/>
    <n v="4"/>
  </r>
  <r>
    <x v="463"/>
    <n v="31"/>
    <x v="4"/>
    <x v="2"/>
    <x v="4"/>
    <x v="4"/>
    <n v="0"/>
    <n v="8000"/>
    <n v="0.15"/>
    <n v="8000"/>
    <d v="2025-05-31T00:00:00"/>
    <n v="31"/>
    <s v="May"/>
    <n v="2025"/>
    <d v="1899-12-30T18:00:00"/>
    <s v="Client 62"/>
    <s v="New York"/>
    <s v="678 Cedarwood Road, Unit 61HHH"/>
    <x v="0"/>
    <s v="(718) 555-3441"/>
    <x v="4"/>
    <x v="0"/>
    <n v="2397"/>
    <n v="5"/>
  </r>
  <r>
    <x v="464"/>
    <n v="2"/>
    <x v="5"/>
    <x v="2"/>
    <x v="2"/>
    <x v="15"/>
    <n v="400"/>
    <n v="0"/>
    <n v="0.15"/>
    <n v="400"/>
    <d v="2025-06-02T00:00:00"/>
    <n v="2"/>
    <s v="June"/>
    <n v="2025"/>
    <d v="1899-12-30T10:00:00"/>
    <s v="Client 16"/>
    <s v="Chikago"/>
    <s v="210 Magnolia Street, Unit 15N"/>
    <x v="0"/>
    <s v="(646) 555-6774"/>
    <x v="3"/>
    <x v="0"/>
    <n v="5788"/>
    <n v="5"/>
  </r>
  <r>
    <x v="465"/>
    <n v="3"/>
    <x v="5"/>
    <x v="2"/>
    <x v="4"/>
    <x v="10"/>
    <n v="0"/>
    <n v="300"/>
    <m/>
    <n v="300"/>
    <d v="2025-06-03T00:00:00"/>
    <n v="3"/>
    <s v="June"/>
    <n v="2025"/>
    <d v="1899-12-30T12:00:00"/>
    <s v="Client 85"/>
    <s v="Chikago"/>
    <s v="567 Willow Drive, Suite 84EEEE"/>
    <x v="1"/>
    <s v="(212) 555-9861"/>
    <x v="4"/>
    <x v="0"/>
    <n v="3631"/>
    <n v="5"/>
  </r>
  <r>
    <x v="466"/>
    <n v="4"/>
    <x v="5"/>
    <x v="2"/>
    <x v="4"/>
    <x v="19"/>
    <n v="0"/>
    <n v="1500"/>
    <m/>
    <n v="1500"/>
    <d v="2025-06-04T00:00:00"/>
    <n v="4"/>
    <s v="June"/>
    <n v="2025"/>
    <d v="1899-12-30T16:00:00"/>
    <s v="Client 34"/>
    <s v="Chikago"/>
    <s v="210 Sycamore Road, Unit 33FF"/>
    <x v="3"/>
    <s v="(917) 555-7875"/>
    <x v="1"/>
    <x v="0"/>
    <n v="3522"/>
    <n v="5"/>
  </r>
  <r>
    <x v="467"/>
    <n v="5"/>
    <x v="5"/>
    <x v="2"/>
    <x v="3"/>
    <x v="21"/>
    <n v="0"/>
    <n v="3000"/>
    <m/>
    <n v="3000"/>
    <d v="2025-06-05T00:00:00"/>
    <n v="5"/>
    <s v="June"/>
    <n v="2025"/>
    <d v="1899-12-30T18:00:00"/>
    <s v="Client 75"/>
    <s v="Chikago"/>
    <s v="321 Sequoia Street, Apt. 74UUU"/>
    <x v="2"/>
    <s v="(718) 555-2330"/>
    <x v="2"/>
    <x v="0"/>
    <n v="2873"/>
    <n v="4"/>
  </r>
  <r>
    <x v="468"/>
    <n v="6"/>
    <x v="5"/>
    <x v="2"/>
    <x v="3"/>
    <x v="21"/>
    <n v="0"/>
    <n v="27200"/>
    <m/>
    <n v="27200"/>
    <d v="2025-06-06T00:00:00"/>
    <n v="6"/>
    <s v="June"/>
    <n v="2025"/>
    <d v="1899-12-30T19:00:00"/>
    <s v="Client 76"/>
    <s v="Chikago"/>
    <s v="322 Sequoia Street, Apt. 74UUU"/>
    <x v="2"/>
    <s v="(718) 555-2331"/>
    <x v="2"/>
    <x v="0"/>
    <n v="5811"/>
    <n v="5"/>
  </r>
  <r>
    <x v="468"/>
    <n v="6"/>
    <x v="5"/>
    <x v="2"/>
    <x v="4"/>
    <x v="6"/>
    <n v="500"/>
    <n v="0"/>
    <m/>
    <n v="500"/>
    <d v="2025-06-06T00:00:00"/>
    <n v="6"/>
    <s v="June"/>
    <n v="2025"/>
    <d v="1899-12-30T10:00:00"/>
    <s v="Client 89"/>
    <s v="Chikago"/>
    <s v="1234 Sequoia Road, Unit 88IIII"/>
    <x v="4"/>
    <n v="13900888990"/>
    <x v="0"/>
    <x v="0"/>
    <n v="4533"/>
    <n v="4"/>
  </r>
  <r>
    <x v="468"/>
    <n v="6"/>
    <x v="5"/>
    <x v="2"/>
    <x v="2"/>
    <x v="22"/>
    <n v="0"/>
    <n v="8000"/>
    <m/>
    <n v="8000"/>
    <d v="2025-06-06T00:00:00"/>
    <n v="6"/>
    <s v="June"/>
    <n v="2025"/>
    <d v="1899-12-30T12:00:00"/>
    <s v="Client 95"/>
    <s v="Chikago"/>
    <s v="543 Birch Road, Unit 94OOOO"/>
    <x v="2"/>
    <s v="(212) 555-1220"/>
    <x v="0"/>
    <x v="1"/>
    <n v="2970"/>
    <m/>
  </r>
  <r>
    <x v="469"/>
    <n v="8"/>
    <x v="5"/>
    <x v="2"/>
    <x v="4"/>
    <x v="23"/>
    <n v="400"/>
    <n v="0"/>
    <m/>
    <n v="400"/>
    <d v="2025-06-08T00:00:00"/>
    <n v="8"/>
    <s v="June"/>
    <n v="2025"/>
    <d v="1899-12-30T16:00:00"/>
    <s v="Client 86"/>
    <s v="Chikago"/>
    <s v="890 Redwood Lane, Unit 85FFFF"/>
    <x v="3"/>
    <s v="(917) 555-5664"/>
    <x v="0"/>
    <x v="0"/>
    <n v="1325"/>
    <n v="2"/>
  </r>
  <r>
    <x v="470"/>
    <n v="9"/>
    <x v="5"/>
    <x v="2"/>
    <x v="4"/>
    <x v="23"/>
    <n v="0"/>
    <n v="300"/>
    <m/>
    <n v="300"/>
    <d v="2025-06-09T00:00:00"/>
    <n v="9"/>
    <s v="June"/>
    <n v="2025"/>
    <d v="1899-12-30T18:00:00"/>
    <s v="Client 62"/>
    <s v="New York"/>
    <s v="678 Cedarwood Road, Unit 61HHH"/>
    <x v="0"/>
    <s v="(718) 555-8751"/>
    <x v="0"/>
    <x v="0"/>
    <n v="3408"/>
    <n v="4"/>
  </r>
  <r>
    <x v="471"/>
    <n v="10"/>
    <x v="5"/>
    <x v="2"/>
    <x v="3"/>
    <x v="21"/>
    <n v="0"/>
    <n v="1500"/>
    <m/>
    <n v="1500"/>
    <d v="2025-06-10T00:00:00"/>
    <n v="10"/>
    <s v="June"/>
    <n v="2025"/>
    <d v="1899-12-30T10:00:00"/>
    <s v="Client 17"/>
    <s v="Chikago"/>
    <s v="8765 Sycamore Court, Suite 16O"/>
    <x v="1"/>
    <s v="(646) 555-2331"/>
    <x v="2"/>
    <x v="0"/>
    <n v="5831"/>
    <n v="4"/>
  </r>
  <r>
    <x v="472"/>
    <n v="11"/>
    <x v="5"/>
    <x v="2"/>
    <x v="4"/>
    <x v="21"/>
    <n v="0"/>
    <n v="3000"/>
    <m/>
    <n v="3000"/>
    <d v="2025-06-11T00:00:00"/>
    <n v="11"/>
    <s v="June"/>
    <n v="2025"/>
    <d v="1899-12-30T12:00:00"/>
    <s v="Client 22"/>
    <s v="Chikago"/>
    <s v="234 Maple Road, Unit 21T"/>
    <x v="1"/>
    <s v="(212) 555-7876"/>
    <x v="1"/>
    <x v="0"/>
    <n v="2537"/>
    <n v="4"/>
  </r>
  <r>
    <x v="473"/>
    <n v="12"/>
    <x v="5"/>
    <x v="2"/>
    <x v="2"/>
    <x v="1"/>
    <n v="500"/>
    <n v="0"/>
    <m/>
    <n v="500"/>
    <d v="2025-06-12T00:00:00"/>
    <n v="12"/>
    <s v="June"/>
    <n v="2025"/>
    <d v="1899-12-30T16:00:00"/>
    <s v="Client 96"/>
    <s v="Chikago"/>
    <s v="210 Oak Lane, Apt. 95PPPP"/>
    <x v="0"/>
    <s v="(917) 555-4307"/>
    <x v="3"/>
    <x v="0"/>
    <n v="5926"/>
    <n v="2"/>
  </r>
  <r>
    <x v="474"/>
    <n v="13"/>
    <x v="5"/>
    <x v="2"/>
    <x v="4"/>
    <x v="1"/>
    <n v="0"/>
    <n v="8000"/>
    <n v="0.15"/>
    <n v="8000"/>
    <d v="2025-06-13T00:00:00"/>
    <n v="13"/>
    <s v="June"/>
    <n v="2025"/>
    <d v="1899-12-30T18:00:00"/>
    <s v="Client 14"/>
    <s v="Miami"/>
    <s v="876 Sequoia Road, Suite 13L"/>
    <x v="2"/>
    <s v="(718) 555-3442"/>
    <x v="3"/>
    <x v="0"/>
    <n v="4359"/>
    <n v="4"/>
  </r>
  <r>
    <x v="475"/>
    <n v="14"/>
    <x v="5"/>
    <x v="2"/>
    <x v="1"/>
    <x v="18"/>
    <n v="400"/>
    <n v="10000"/>
    <m/>
    <n v="10400"/>
    <d v="2025-06-14T00:00:00"/>
    <n v="14"/>
    <s v="June"/>
    <n v="2025"/>
    <d v="1899-12-30T09:00:00"/>
    <s v="Client 73"/>
    <s v="Chikago"/>
    <s v="987 Pinecone Avenue, Suite 72SSS"/>
    <x v="4"/>
    <s v="(646) 555-6775"/>
    <x v="4"/>
    <x v="0"/>
    <n v="1977"/>
    <n v="4"/>
  </r>
  <r>
    <x v="476"/>
    <n v="15"/>
    <x v="5"/>
    <x v="2"/>
    <x v="0"/>
    <x v="4"/>
    <n v="10000"/>
    <n v="300"/>
    <m/>
    <n v="10300"/>
    <d v="2025-06-15T00:00:00"/>
    <n v="15"/>
    <s v="June"/>
    <n v="2025"/>
    <d v="1899-12-30T11:00:00"/>
    <s v="Client 69"/>
    <s v="Chikago"/>
    <s v="345 Redwood Lane, Apt. 68OOO"/>
    <x v="2"/>
    <s v="(212) 555-9862"/>
    <x v="3"/>
    <x v="0"/>
    <n v="831"/>
    <n v="4"/>
  </r>
  <r>
    <x v="476"/>
    <n v="15"/>
    <x v="5"/>
    <x v="2"/>
    <x v="2"/>
    <x v="15"/>
    <n v="0"/>
    <n v="1500"/>
    <m/>
    <n v="1500"/>
    <d v="2025-06-15T00:00:00"/>
    <n v="15"/>
    <s v="June"/>
    <n v="2025"/>
    <d v="1899-12-30T15:00:00"/>
    <s v="Client 50"/>
    <s v="New York"/>
    <s v="876 Elm Drive, Unit 49VV"/>
    <x v="0"/>
    <s v="(917) 555-7876"/>
    <x v="4"/>
    <x v="0"/>
    <n v="3844"/>
    <n v="3"/>
  </r>
  <r>
    <x v="476"/>
    <n v="15"/>
    <x v="5"/>
    <x v="2"/>
    <x v="3"/>
    <x v="10"/>
    <n v="0"/>
    <n v="3000"/>
    <m/>
    <n v="3000"/>
    <d v="2025-06-15T00:00:00"/>
    <n v="15"/>
    <s v="June"/>
    <n v="2025"/>
    <d v="1899-12-30T11:00:00"/>
    <s v="Client 91"/>
    <s v="Chikago"/>
    <s v="987 Acorn Street, Suite 90KKKK"/>
    <x v="1"/>
    <s v="(718) 555-2331"/>
    <x v="4"/>
    <x v="0"/>
    <n v="1724"/>
    <n v="4"/>
  </r>
  <r>
    <x v="477"/>
    <n v="18"/>
    <x v="5"/>
    <x v="2"/>
    <x v="3"/>
    <x v="19"/>
    <n v="500"/>
    <n v="0"/>
    <m/>
    <n v="500"/>
    <d v="2025-06-18T00:00:00"/>
    <n v="18"/>
    <s v="June"/>
    <n v="2025"/>
    <d v="1899-12-30T09:00:00"/>
    <s v="Client 49"/>
    <s v="Chikago"/>
    <s v="321 Cedarwood Lane, Suite 48UU"/>
    <x v="1"/>
    <n v="12900888990"/>
    <x v="3"/>
    <x v="0"/>
    <n v="3576"/>
    <n v="4"/>
  </r>
  <r>
    <x v="478"/>
    <n v="19"/>
    <x v="5"/>
    <x v="2"/>
    <x v="4"/>
    <x v="21"/>
    <n v="0"/>
    <n v="8000"/>
    <m/>
    <n v="8000"/>
    <d v="2025-06-19T00:00:00"/>
    <n v="19"/>
    <s v="June"/>
    <n v="2025"/>
    <d v="1899-12-30T11:00:00"/>
    <s v="Client 32"/>
    <s v="Miami"/>
    <s v="876 Willowbrook Drive, Suite 31DD"/>
    <x v="1"/>
    <s v="(212) 555-1221"/>
    <x v="0"/>
    <x v="0"/>
    <n v="1363"/>
    <n v="5"/>
  </r>
  <r>
    <x v="479"/>
    <n v="20"/>
    <x v="5"/>
    <x v="2"/>
    <x v="3"/>
    <x v="6"/>
    <n v="400"/>
    <n v="0"/>
    <m/>
    <n v="400"/>
    <d v="2025-06-20T00:00:00"/>
    <n v="20"/>
    <s v="June"/>
    <n v="2025"/>
    <d v="1899-12-30T15:00:00"/>
    <s v="Client 71"/>
    <s v="Chikago"/>
    <s v="1234 Aspen Road, Unit 70QQQ"/>
    <x v="0"/>
    <s v="(917) 555-5665"/>
    <x v="0"/>
    <x v="0"/>
    <n v="2283"/>
    <n v="3"/>
  </r>
  <r>
    <x v="480"/>
    <n v="21"/>
    <x v="5"/>
    <x v="2"/>
    <x v="1"/>
    <x v="22"/>
    <n v="0"/>
    <n v="300"/>
    <n v="0.15"/>
    <n v="300"/>
    <d v="2025-06-21T00:00:00"/>
    <n v="21"/>
    <s v="June"/>
    <n v="2025"/>
    <d v="1899-12-30T11:00:00"/>
    <s v="Client 91"/>
    <s v="Chikago"/>
    <s v="987 Acorn Street, Suite 90KKKK"/>
    <x v="0"/>
    <s v="(718) 555-8752"/>
    <x v="0"/>
    <x v="0"/>
    <n v="2606"/>
    <n v="2"/>
  </r>
  <r>
    <x v="481"/>
    <n v="22"/>
    <x v="5"/>
    <x v="2"/>
    <x v="2"/>
    <x v="23"/>
    <n v="0"/>
    <n v="1500"/>
    <n v="0.15"/>
    <n v="1500"/>
    <d v="2025-06-22T00:00:00"/>
    <n v="22"/>
    <s v="June"/>
    <n v="2025"/>
    <d v="1899-12-30T09:00:00"/>
    <s v="Client 56"/>
    <s v="Chikago"/>
    <s v="456 Willow Lane, Unit 55BBB"/>
    <x v="1"/>
    <s v="(646) 555-2332"/>
    <x v="2"/>
    <x v="0"/>
    <n v="2994"/>
    <n v="4"/>
  </r>
  <r>
    <x v="482"/>
    <n v="23"/>
    <x v="5"/>
    <x v="2"/>
    <x v="3"/>
    <x v="23"/>
    <n v="400"/>
    <n v="0"/>
    <n v="0.15"/>
    <n v="400"/>
    <d v="2025-06-23T00:00:00"/>
    <n v="23"/>
    <s v="June"/>
    <n v="2025"/>
    <d v="1899-12-30T11:00:00"/>
    <s v="Client 97"/>
    <s v="New Orleans"/>
    <s v="8765 Maple Street, Suite 96QQQQ"/>
    <x v="3"/>
    <s v="(212) 555-7877"/>
    <x v="1"/>
    <x v="0"/>
    <n v="3123"/>
    <n v="5"/>
  </r>
  <r>
    <x v="483"/>
    <n v="24"/>
    <x v="5"/>
    <x v="2"/>
    <x v="4"/>
    <x v="21"/>
    <n v="0"/>
    <n v="300"/>
    <n v="0.15"/>
    <n v="300"/>
    <d v="2025-06-24T00:00:00"/>
    <n v="24"/>
    <s v="June"/>
    <n v="2025"/>
    <d v="1899-12-30T15:00:00"/>
    <s v="Client 21"/>
    <s v="New York"/>
    <s v="789 Oak Lane, Apt. 20S"/>
    <x v="1"/>
    <s v="(917) 555-4308"/>
    <x v="3"/>
    <x v="0"/>
    <n v="1646"/>
    <n v="5"/>
  </r>
  <r>
    <x v="484"/>
    <n v="25"/>
    <x v="5"/>
    <x v="2"/>
    <x v="1"/>
    <x v="21"/>
    <n v="0"/>
    <n v="1500"/>
    <m/>
    <n v="1500"/>
    <d v="2025-06-25T00:00:00"/>
    <n v="25"/>
    <s v="June"/>
    <n v="2025"/>
    <d v="1899-12-30T11:00:00"/>
    <s v="Client 39"/>
    <s v="New York"/>
    <s v="789 Maple Street, Apt. 38KK"/>
    <x v="1"/>
    <s v="(718) 555-3443"/>
    <x v="3"/>
    <x v="0"/>
    <n v="3489"/>
    <n v="2"/>
  </r>
  <r>
    <x v="485"/>
    <n v="26"/>
    <x v="5"/>
    <x v="2"/>
    <x v="0"/>
    <x v="1"/>
    <n v="400"/>
    <n v="0"/>
    <m/>
    <n v="400"/>
    <d v="2025-06-26T00:00:00"/>
    <n v="26"/>
    <s v="June"/>
    <n v="2025"/>
    <d v="1899-12-30T09:00:00"/>
    <s v="Client 14"/>
    <s v="Miami"/>
    <s v="876 Sequoia Road, Suite 13L"/>
    <x v="0"/>
    <s v="(646) 555-6776"/>
    <x v="4"/>
    <x v="0"/>
    <n v="3462"/>
    <n v="5"/>
  </r>
  <r>
    <x v="480"/>
    <n v="21"/>
    <x v="5"/>
    <x v="2"/>
    <x v="1"/>
    <x v="1"/>
    <n v="0"/>
    <n v="300"/>
    <m/>
    <n v="300"/>
    <d v="2025-06-21T00:00:00"/>
    <n v="21"/>
    <s v="June"/>
    <n v="2025"/>
    <d v="1899-12-30T11:00:00"/>
    <s v="Client 46"/>
    <s v="New York"/>
    <s v="5678 Willowbrook Drive, Suite 45RR"/>
    <x v="0"/>
    <s v="(212) 555-9863"/>
    <x v="0"/>
    <x v="0"/>
    <n v="2134"/>
    <n v="5"/>
  </r>
  <r>
    <x v="486"/>
    <n v="28"/>
    <x v="5"/>
    <x v="2"/>
    <x v="3"/>
    <x v="18"/>
    <n v="0"/>
    <n v="300"/>
    <m/>
    <n v="300"/>
    <d v="2025-06-28T00:00:00"/>
    <n v="28"/>
    <s v="June"/>
    <n v="2025"/>
    <d v="1899-12-30T15:00:00"/>
    <s v="Client 9"/>
    <s v="Chikago"/>
    <s v="1234 Redwood Road, Unit 5G"/>
    <x v="1"/>
    <s v="(917) 555-7877"/>
    <x v="2"/>
    <x v="0"/>
    <n v="3207"/>
    <n v="5"/>
  </r>
  <r>
    <x v="487"/>
    <n v="29"/>
    <x v="5"/>
    <x v="2"/>
    <x v="2"/>
    <x v="4"/>
    <n v="0"/>
    <n v="1500"/>
    <m/>
    <n v="1500"/>
    <d v="2025-06-29T00:00:00"/>
    <n v="29"/>
    <s v="June"/>
    <n v="2025"/>
    <d v="1899-12-30T11:00:00"/>
    <s v="Client 17"/>
    <s v="Chikago"/>
    <s v="8765 Sycamore Court, Suite 16O"/>
    <x v="3"/>
    <s v="(718) 555-2332"/>
    <x v="4"/>
    <x v="0"/>
    <n v="4279"/>
    <n v="5"/>
  </r>
  <r>
    <x v="487"/>
    <n v="29"/>
    <x v="5"/>
    <x v="2"/>
    <x v="2"/>
    <x v="15"/>
    <n v="400"/>
    <n v="0"/>
    <m/>
    <n v="400"/>
    <d v="2025-06-29T00:00:00"/>
    <n v="29"/>
    <s v="June"/>
    <n v="2025"/>
    <d v="1899-12-30T10:00:00"/>
    <s v="Client 59"/>
    <s v="Chikago"/>
    <s v="567 Willowbrook Drive, Unit 58EEE"/>
    <x v="4"/>
    <n v="11900888990"/>
    <x v="3"/>
    <x v="1"/>
    <n v="2951"/>
    <m/>
  </r>
  <r>
    <x v="488"/>
    <n v="1"/>
    <x v="6"/>
    <x v="2"/>
    <x v="4"/>
    <x v="10"/>
    <n v="0"/>
    <n v="300"/>
    <m/>
    <n v="300"/>
    <d v="2025-07-01T00:00:00"/>
    <n v="1"/>
    <s v="July"/>
    <n v="2025"/>
    <d v="1899-12-30T12:00:00"/>
    <s v="Client 83"/>
    <s v="New York"/>
    <s v="789 Maple Street, Unit 82CCCC"/>
    <x v="2"/>
    <s v="(212) 555-1222"/>
    <x v="4"/>
    <x v="0"/>
    <n v="2924"/>
    <n v="5"/>
  </r>
  <r>
    <x v="489"/>
    <n v="2"/>
    <x v="6"/>
    <x v="2"/>
    <x v="4"/>
    <x v="19"/>
    <n v="0"/>
    <n v="1500"/>
    <m/>
    <n v="1500"/>
    <d v="2025-07-02T00:00:00"/>
    <n v="2"/>
    <s v="July"/>
    <n v="2025"/>
    <d v="1899-12-30T16:00:00"/>
    <s v="Client 40"/>
    <s v="Chikago"/>
    <s v="234 Pine Road, Suite 39LL"/>
    <x v="3"/>
    <s v="(917) 555-5666"/>
    <x v="0"/>
    <x v="0"/>
    <n v="4767"/>
    <n v="5"/>
  </r>
  <r>
    <x v="490"/>
    <n v="3"/>
    <x v="6"/>
    <x v="2"/>
    <x v="1"/>
    <x v="21"/>
    <n v="400"/>
    <n v="0"/>
    <m/>
    <n v="400"/>
    <d v="2025-07-03T00:00:00"/>
    <n v="3"/>
    <s v="July"/>
    <n v="2025"/>
    <d v="1899-12-30T18:00:00"/>
    <s v="Client 77"/>
    <s v="Chikago"/>
    <s v="543 Acorn Lane, Unit 76WWW"/>
    <x v="0"/>
    <s v="(718) 555-8753"/>
    <x v="0"/>
    <x v="0"/>
    <n v="3290"/>
    <n v="5"/>
  </r>
  <r>
    <x v="491"/>
    <n v="4"/>
    <x v="6"/>
    <x v="2"/>
    <x v="1"/>
    <x v="21"/>
    <n v="0"/>
    <n v="28500"/>
    <n v="0.05"/>
    <n v="28500"/>
    <d v="2025-07-04T00:00:00"/>
    <n v="4"/>
    <s v="July"/>
    <n v="2025"/>
    <d v="1899-12-30T19:00:00"/>
    <s v="Client 78"/>
    <s v="Chikago"/>
    <s v="544 Acorn Lane, Unit 76WWW"/>
    <x v="0"/>
    <s v="(718) 555-8754"/>
    <x v="0"/>
    <x v="0"/>
    <n v="3419"/>
    <n v="5"/>
  </r>
  <r>
    <x v="491"/>
    <n v="4"/>
    <x v="6"/>
    <x v="2"/>
    <x v="3"/>
    <x v="6"/>
    <n v="0"/>
    <n v="300"/>
    <m/>
    <n v="300"/>
    <d v="2025-07-04T00:00:00"/>
    <n v="4"/>
    <s v="July"/>
    <n v="2025"/>
    <d v="1899-12-30T10:00:00"/>
    <s v="Client 1"/>
    <s v="Chikago"/>
    <s v="123 Elm Street, Apt. 4B"/>
    <x v="0"/>
    <s v="(646) 555-2333"/>
    <x v="0"/>
    <x v="0"/>
    <n v="3807"/>
    <n v="4"/>
  </r>
  <r>
    <x v="492"/>
    <n v="5"/>
    <x v="6"/>
    <x v="2"/>
    <x v="2"/>
    <x v="22"/>
    <n v="0"/>
    <n v="2690"/>
    <m/>
    <n v="2690"/>
    <d v="2025-07-05T00:00:00"/>
    <n v="5"/>
    <s v="July"/>
    <n v="2025"/>
    <d v="1899-12-30T12:00:00"/>
    <s v="Client 62"/>
    <s v="New York"/>
    <s v="678 Cedarwood Road, Unit 61HHH"/>
    <x v="1"/>
    <s v="(212) 555-7878"/>
    <x v="0"/>
    <x v="0"/>
    <n v="4130"/>
    <n v="4"/>
  </r>
  <r>
    <x v="493"/>
    <n v="6"/>
    <x v="6"/>
    <x v="2"/>
    <x v="2"/>
    <x v="23"/>
    <n v="0"/>
    <n v="1040"/>
    <m/>
    <n v="1040"/>
    <d v="2025-07-06T00:00:00"/>
    <n v="6"/>
    <s v="July"/>
    <n v="2025"/>
    <d v="1899-12-30T16:00:00"/>
    <s v="Client 13"/>
    <s v="Chikago"/>
    <s v="321 Acorn Drive, Apt. 12K"/>
    <x v="1"/>
    <s v="(917) 555-4309"/>
    <x v="0"/>
    <x v="0"/>
    <n v="5050"/>
    <n v="4"/>
  </r>
  <r>
    <x v="494"/>
    <n v="7"/>
    <x v="6"/>
    <x v="2"/>
    <x v="4"/>
    <x v="23"/>
    <n v="0"/>
    <n v="1990"/>
    <n v="0.15"/>
    <n v="1990"/>
    <d v="2025-07-07T00:00:00"/>
    <n v="7"/>
    <s v="July"/>
    <n v="2025"/>
    <d v="1899-12-30T18:00:00"/>
    <s v="Client 99"/>
    <s v="Chikago"/>
    <s v="123 Redwood Avenue, Apt. 98SSSS"/>
    <x v="1"/>
    <s v="(718) 555-3444"/>
    <x v="0"/>
    <x v="0"/>
    <n v="2837"/>
    <n v="4"/>
  </r>
  <r>
    <x v="495"/>
    <n v="8"/>
    <x v="6"/>
    <x v="2"/>
    <x v="4"/>
    <x v="21"/>
    <n v="0"/>
    <n v="1980"/>
    <m/>
    <n v="1980"/>
    <d v="2025-07-08T00:00:00"/>
    <n v="8"/>
    <s v="July"/>
    <n v="2025"/>
    <d v="1899-12-30T10:00:00"/>
    <s v="Client 37"/>
    <e v="#N/A"/>
    <s v="123 Birch Lane, Suite 36II"/>
    <x v="0"/>
    <s v="(646) 555-6777"/>
    <x v="2"/>
    <x v="0"/>
    <n v="4689"/>
    <n v="4"/>
  </r>
  <r>
    <x v="496"/>
    <n v="9"/>
    <x v="6"/>
    <x v="2"/>
    <x v="0"/>
    <x v="21"/>
    <n v="0"/>
    <n v="3510"/>
    <m/>
    <n v="3510"/>
    <d v="2025-07-09T00:00:00"/>
    <n v="9"/>
    <s v="July"/>
    <n v="2025"/>
    <d v="1899-12-30T12:00:00"/>
    <s v="Client 85"/>
    <s v="Chikago"/>
    <s v="567 Willow Drive, Suite 84EEEE"/>
    <x v="0"/>
    <s v="(212) 555-9864"/>
    <x v="1"/>
    <x v="0"/>
    <n v="2569"/>
    <n v="4"/>
  </r>
  <r>
    <x v="497"/>
    <n v="10"/>
    <x v="6"/>
    <x v="2"/>
    <x v="3"/>
    <x v="1"/>
    <n v="0"/>
    <n v="810"/>
    <m/>
    <n v="810"/>
    <d v="2025-07-10T00:00:00"/>
    <n v="10"/>
    <s v="July"/>
    <n v="2025"/>
    <d v="1899-12-30T16:00:00"/>
    <s v="Client 48"/>
    <s v="Chikago"/>
    <s v="654 Sycamore Avenue, Apt. 47TT"/>
    <x v="5"/>
    <s v="(917) 555-7878"/>
    <x v="3"/>
    <x v="0"/>
    <n v="5582"/>
    <n v="4"/>
  </r>
  <r>
    <x v="498"/>
    <n v="11"/>
    <x v="6"/>
    <x v="2"/>
    <x v="2"/>
    <x v="1"/>
    <n v="0"/>
    <n v="2680"/>
    <m/>
    <n v="2680"/>
    <d v="2025-07-11T00:00:00"/>
    <n v="11"/>
    <s v="July"/>
    <n v="2025"/>
    <d v="1899-12-30T18:00:00"/>
    <s v="Client 50"/>
    <s v="New York"/>
    <s v="876 Elm Drive, Unit 49VV"/>
    <x v="3"/>
    <s v="(718) 555-2333"/>
    <x v="3"/>
    <x v="0"/>
    <n v="4436"/>
    <n v="4"/>
  </r>
  <r>
    <x v="499"/>
    <n v="12"/>
    <x v="6"/>
    <x v="2"/>
    <x v="2"/>
    <x v="18"/>
    <n v="0"/>
    <n v="1110"/>
    <m/>
    <n v="1110"/>
    <d v="2025-07-12T00:00:00"/>
    <n v="12"/>
    <s v="July"/>
    <n v="2025"/>
    <d v="1899-12-30T10:00:00"/>
    <s v="Client 85"/>
    <s v="Chikago"/>
    <s v="567 Willow Drive, Suite 84EEEE"/>
    <x v="0"/>
    <n v="10900888990"/>
    <x v="4"/>
    <x v="0"/>
    <n v="2054"/>
    <n v="4"/>
  </r>
  <r>
    <x v="500"/>
    <n v="13"/>
    <x v="6"/>
    <x v="2"/>
    <x v="0"/>
    <x v="4"/>
    <n v="0"/>
    <n v="3250"/>
    <m/>
    <n v="3250"/>
    <d v="2025-07-13T00:00:00"/>
    <n v="13"/>
    <s v="July"/>
    <n v="2025"/>
    <d v="1899-12-30T12:00:00"/>
    <s v="Client 77"/>
    <s v="Chikago"/>
    <s v="543 Acorn Lane, Unit 76WWW"/>
    <x v="5"/>
    <s v="(212) 555-1223"/>
    <x v="4"/>
    <x v="0"/>
    <n v="487"/>
    <n v="3"/>
  </r>
  <r>
    <x v="501"/>
    <n v="14"/>
    <x v="6"/>
    <x v="2"/>
    <x v="4"/>
    <x v="15"/>
    <n v="0"/>
    <n v="110"/>
    <n v="0.15"/>
    <n v="110"/>
    <d v="2025-07-14T00:00:00"/>
    <n v="14"/>
    <s v="July"/>
    <n v="2025"/>
    <d v="1899-12-30T16:00:00"/>
    <s v="Client 52"/>
    <s v="Chikago"/>
    <s v="210 Oak Lane, Suite 51XX"/>
    <x v="5"/>
    <s v="(917) 555-5667"/>
    <x v="3"/>
    <x v="0"/>
    <n v="3876"/>
    <n v="4"/>
  </r>
  <r>
    <x v="502"/>
    <n v="15"/>
    <x v="6"/>
    <x v="2"/>
    <x v="1"/>
    <x v="10"/>
    <n v="0"/>
    <n v="2030"/>
    <m/>
    <n v="2030"/>
    <d v="2025-07-15T00:00:00"/>
    <n v="15"/>
    <s v="July"/>
    <n v="2025"/>
    <d v="1899-12-30T18:00:00"/>
    <s v="Client 37"/>
    <e v="#N/A"/>
    <s v="123 Birch Lane, Suite 36II"/>
    <x v="5"/>
    <s v="(718) 555-8754"/>
    <x v="4"/>
    <x v="0"/>
    <n v="582"/>
    <n v="2"/>
  </r>
  <r>
    <x v="503"/>
    <n v="16"/>
    <x v="6"/>
    <x v="2"/>
    <x v="3"/>
    <x v="19"/>
    <n v="1510"/>
    <n v="0"/>
    <m/>
    <n v="1510"/>
    <d v="2025-07-16T00:00:00"/>
    <n v="16"/>
    <s v="July"/>
    <n v="2025"/>
    <d v="1899-12-30T10:00:00"/>
    <s v="Client 88"/>
    <s v="New York"/>
    <s v="678 Aspen Avenue, Suite 87HHHH"/>
    <x v="0"/>
    <s v="(646) 555-2334"/>
    <x v="1"/>
    <x v="0"/>
    <n v="3005"/>
    <n v="5"/>
  </r>
  <r>
    <x v="504"/>
    <n v="17"/>
    <x v="6"/>
    <x v="2"/>
    <x v="4"/>
    <x v="21"/>
    <n v="3690"/>
    <n v="0"/>
    <m/>
    <n v="3690"/>
    <d v="2025-07-17T00:00:00"/>
    <n v="17"/>
    <s v="July"/>
    <n v="2025"/>
    <d v="1899-12-30T12:00:00"/>
    <s v="Client 19"/>
    <s v="Chikago"/>
    <s v="123 Elm Street, Unit 18Q"/>
    <x v="0"/>
    <s v="(212) 555-7879"/>
    <x v="2"/>
    <x v="0"/>
    <n v="5088"/>
    <n v="3"/>
  </r>
  <r>
    <x v="505"/>
    <n v="18"/>
    <x v="6"/>
    <x v="2"/>
    <x v="2"/>
    <x v="6"/>
    <n v="0"/>
    <n v="1090"/>
    <m/>
    <n v="1090"/>
    <d v="2025-07-18T00:00:00"/>
    <n v="18"/>
    <s v="July"/>
    <n v="2025"/>
    <d v="1899-12-30T16:00:00"/>
    <s v="Client 88"/>
    <s v="New York"/>
    <s v="678 Aspen Avenue, Suite 87HHHH"/>
    <x v="5"/>
    <s v="(917) 555-4310"/>
    <x v="0"/>
    <x v="0"/>
    <n v="3443"/>
    <n v="2"/>
  </r>
  <r>
    <x v="506"/>
    <n v="19"/>
    <x v="6"/>
    <x v="2"/>
    <x v="4"/>
    <x v="22"/>
    <n v="0"/>
    <n v="2820"/>
    <m/>
    <n v="2820"/>
    <d v="2025-07-19T00:00:00"/>
    <n v="19"/>
    <s v="July"/>
    <n v="2025"/>
    <d v="1899-12-30T18:00:00"/>
    <s v="Client 67"/>
    <s v="Chikago"/>
    <s v="567 Pine Street, Suite 66MMM"/>
    <x v="3"/>
    <s v="(718) 555-3445"/>
    <x v="2"/>
    <x v="0"/>
    <n v="1881"/>
    <n v="4"/>
  </r>
  <r>
    <x v="507"/>
    <n v="20"/>
    <x v="6"/>
    <x v="2"/>
    <x v="0"/>
    <x v="23"/>
    <n v="0"/>
    <n v="1110"/>
    <m/>
    <n v="1110"/>
    <d v="2025-07-20T00:00:00"/>
    <n v="20"/>
    <s v="July"/>
    <n v="2025"/>
    <d v="1899-12-30T10:00:00"/>
    <s v="Client 85"/>
    <s v="Chikago"/>
    <s v="567 Willow Drive, Suite 84EEEE"/>
    <x v="5"/>
    <s v="(646) 555-6778"/>
    <x v="4"/>
    <x v="0"/>
    <n v="602"/>
    <n v="5"/>
  </r>
  <r>
    <x v="508"/>
    <n v="21"/>
    <x v="6"/>
    <x v="2"/>
    <x v="3"/>
    <x v="23"/>
    <n v="0"/>
    <n v="3990"/>
    <m/>
    <n v="3990"/>
    <d v="2025-07-21T00:00:00"/>
    <n v="21"/>
    <s v="July"/>
    <n v="2025"/>
    <d v="1899-12-30T12:00:00"/>
    <s v="Client 70"/>
    <s v="New York"/>
    <s v="678 Spruce Street, Suite 69PPP"/>
    <x v="0"/>
    <s v="(212) 555-9865"/>
    <x v="3"/>
    <x v="1"/>
    <n v="3540"/>
    <m/>
  </r>
  <r>
    <x v="509"/>
    <n v="22"/>
    <x v="6"/>
    <x v="2"/>
    <x v="4"/>
    <x v="21"/>
    <n v="0"/>
    <n v="2150"/>
    <m/>
    <n v="2150"/>
    <d v="2025-07-22T00:00:00"/>
    <n v="22"/>
    <s v="July"/>
    <n v="2025"/>
    <d v="1899-12-30T16:00:00"/>
    <s v="Client 87"/>
    <s v="Chikago"/>
    <s v="345 Spruce Street, Apt. 86GGGG"/>
    <x v="2"/>
    <s v="(917) 555-7879"/>
    <x v="4"/>
    <x v="0"/>
    <n v="2891"/>
    <n v="5"/>
  </r>
  <r>
    <x v="510"/>
    <n v="23"/>
    <x v="6"/>
    <x v="2"/>
    <x v="2"/>
    <x v="21"/>
    <n v="0"/>
    <n v="2230"/>
    <m/>
    <n v="2230"/>
    <d v="2025-07-23T00:00:00"/>
    <n v="23"/>
    <s v="July"/>
    <n v="2025"/>
    <d v="1899-12-30T18:00:00"/>
    <s v="Client 21"/>
    <s v="New York"/>
    <s v="789 Oak Lane, Apt. 20S"/>
    <x v="4"/>
    <s v="(718) 555-2334"/>
    <x v="3"/>
    <x v="0"/>
    <n v="2782"/>
    <n v="5"/>
  </r>
  <r>
    <x v="511"/>
    <n v="24"/>
    <x v="6"/>
    <x v="2"/>
    <x v="4"/>
    <x v="1"/>
    <n v="0"/>
    <n v="3080"/>
    <m/>
    <n v="3080"/>
    <d v="2025-07-24T00:00:00"/>
    <n v="24"/>
    <s v="July"/>
    <n v="2025"/>
    <d v="1899-12-30T10:00:00"/>
    <s v="Client 33"/>
    <s v="Chikago"/>
    <s v="543 Acorn Lane, Apt. 32EE"/>
    <x v="2"/>
    <n v="9900888990"/>
    <x v="0"/>
    <x v="0"/>
    <n v="625"/>
    <n v="5"/>
  </r>
  <r>
    <x v="512"/>
    <n v="25"/>
    <x v="6"/>
    <x v="2"/>
    <x v="4"/>
    <x v="1"/>
    <n v="0"/>
    <n v="2330"/>
    <m/>
    <n v="2330"/>
    <d v="2025-07-25T00:00:00"/>
    <n v="25"/>
    <s v="July"/>
    <n v="2025"/>
    <d v="1899-12-30T12:00:00"/>
    <s v="Client 21"/>
    <s v="New York"/>
    <s v="789 Oak Lane, Apt. 20S"/>
    <x v="3"/>
    <s v="(212) 555-1224"/>
    <x v="0"/>
    <x v="0"/>
    <n v="4016"/>
    <n v="5"/>
  </r>
  <r>
    <x v="513"/>
    <n v="26"/>
    <x v="6"/>
    <x v="2"/>
    <x v="3"/>
    <x v="18"/>
    <n v="0"/>
    <n v="120"/>
    <m/>
    <n v="120"/>
    <d v="2025-07-26T00:00:00"/>
    <n v="26"/>
    <s v="July"/>
    <n v="2025"/>
    <d v="1899-12-30T16:00:00"/>
    <s v="Client 3"/>
    <s v="New York"/>
    <s v="789 Oak Lane, Suite 12"/>
    <x v="0"/>
    <s v="(917) 555-5668"/>
    <x v="0"/>
    <x v="0"/>
    <n v="3453"/>
    <n v="4"/>
  </r>
  <r>
    <x v="514"/>
    <n v="27"/>
    <x v="6"/>
    <x v="2"/>
    <x v="0"/>
    <x v="4"/>
    <n v="0"/>
    <n v="3020"/>
    <m/>
    <n v="3020"/>
    <d v="2025-07-27T00:00:00"/>
    <n v="27"/>
    <s v="July"/>
    <n v="2025"/>
    <d v="1899-12-30T18:00:00"/>
    <s v="Client 33"/>
    <s v="Chikago"/>
    <s v="543 Acorn Lane, Apt. 32EE"/>
    <x v="0"/>
    <s v="(718) 555-8755"/>
    <x v="2"/>
    <x v="0"/>
    <n v="2135"/>
    <n v="4"/>
  </r>
  <r>
    <x v="515"/>
    <n v="28"/>
    <x v="6"/>
    <x v="2"/>
    <x v="2"/>
    <x v="15"/>
    <n v="0"/>
    <n v="3020"/>
    <m/>
    <n v="3020"/>
    <d v="2025-07-28T00:00:00"/>
    <n v="28"/>
    <s v="July"/>
    <n v="2025"/>
    <d v="1899-12-30T10:00:00"/>
    <s v="Client 51"/>
    <s v="Chikago"/>
    <s v="543 Birch Road, Apt. 50WW"/>
    <x v="5"/>
    <s v="(646) 555-2335"/>
    <x v="0"/>
    <x v="0"/>
    <n v="1152"/>
    <n v="4"/>
  </r>
  <r>
    <x v="516"/>
    <n v="29"/>
    <x v="6"/>
    <x v="2"/>
    <x v="4"/>
    <x v="10"/>
    <n v="0"/>
    <n v="2340"/>
    <n v="0.15"/>
    <n v="2340"/>
    <d v="2025-07-29T00:00:00"/>
    <n v="29"/>
    <s v="July"/>
    <n v="2025"/>
    <d v="1899-12-30T12:00:00"/>
    <s v="Client 67"/>
    <s v="Chikago"/>
    <s v="567 Pine Street, Suite 66MMM"/>
    <x v="5"/>
    <s v="(212) 555-7880"/>
    <x v="0"/>
    <x v="0"/>
    <n v="524"/>
    <n v="4"/>
  </r>
  <r>
    <x v="517"/>
    <n v="30"/>
    <x v="6"/>
    <x v="2"/>
    <x v="4"/>
    <x v="19"/>
    <n v="0"/>
    <n v="2390"/>
    <m/>
    <n v="2390"/>
    <d v="2025-07-30T00:00:00"/>
    <n v="30"/>
    <s v="July"/>
    <n v="2025"/>
    <d v="1899-12-30T16:00:00"/>
    <s v="Client 41"/>
    <s v="Chikago"/>
    <s v="567 Willow Drive, Unit 40MM"/>
    <x v="5"/>
    <s v="(917) 555-4311"/>
    <x v="0"/>
    <x v="0"/>
    <n v="5573"/>
    <n v="4"/>
  </r>
  <r>
    <x v="518"/>
    <n v="31"/>
    <x v="6"/>
    <x v="2"/>
    <x v="3"/>
    <x v="21"/>
    <n v="0"/>
    <n v="2610"/>
    <m/>
    <n v="2610"/>
    <d v="2025-07-31T00:00:00"/>
    <n v="31"/>
    <s v="July"/>
    <n v="2025"/>
    <d v="1899-12-30T18:00:00"/>
    <s v="Client 44"/>
    <s v="New York"/>
    <s v="678 Aspen Avenue, Unit 43PP"/>
    <x v="0"/>
    <s v="(718) 555-3446"/>
    <x v="2"/>
    <x v="0"/>
    <n v="3498"/>
    <n v="4"/>
  </r>
  <r>
    <x v="519"/>
    <n v="1"/>
    <x v="7"/>
    <x v="2"/>
    <x v="4"/>
    <x v="6"/>
    <n v="0"/>
    <n v="1950"/>
    <m/>
    <n v="1950"/>
    <d v="2025-08-01T00:00:00"/>
    <n v="1"/>
    <s v="August"/>
    <n v="2025"/>
    <d v="1899-12-30T09:00:00"/>
    <s v="Client 4"/>
    <s v="Chikago"/>
    <s v="234 Pine Road, Apt. 3C"/>
    <x v="0"/>
    <s v="(646) 555-6779"/>
    <x v="1"/>
    <x v="0"/>
    <n v="2811"/>
    <n v="4"/>
  </r>
  <r>
    <x v="520"/>
    <n v="2"/>
    <x v="7"/>
    <x v="2"/>
    <x v="2"/>
    <x v="22"/>
    <n v="0"/>
    <n v="110"/>
    <m/>
    <n v="110"/>
    <d v="2025-08-02T00:00:00"/>
    <n v="2"/>
    <s v="August"/>
    <n v="2025"/>
    <d v="1899-12-30T11:00:00"/>
    <s v="Client 76"/>
    <s v="Miami"/>
    <s v="876 Willowbrook Drive, Suite 75VVV"/>
    <x v="5"/>
    <s v="(212) 555-9866"/>
    <x v="3"/>
    <x v="1"/>
    <n v="4774"/>
    <m/>
  </r>
  <r>
    <x v="521"/>
    <n v="3"/>
    <x v="7"/>
    <x v="2"/>
    <x v="4"/>
    <x v="23"/>
    <n v="0"/>
    <n v="2450"/>
    <m/>
    <n v="2450"/>
    <d v="2025-08-03T00:00:00"/>
    <n v="3"/>
    <s v="August"/>
    <n v="2025"/>
    <d v="1899-12-30T15:00:00"/>
    <s v="Client 31"/>
    <s v="Chikago"/>
    <s v="321 Sequoia Street, Unit 30CC"/>
    <x v="3"/>
    <s v="(917) 555-7880"/>
    <x v="3"/>
    <x v="0"/>
    <n v="3306"/>
    <n v="4"/>
  </r>
  <r>
    <x v="522"/>
    <n v="4"/>
    <x v="7"/>
    <x v="2"/>
    <x v="3"/>
    <x v="23"/>
    <n v="0"/>
    <n v="1960"/>
    <m/>
    <n v="1960"/>
    <d v="2025-08-04T00:00:00"/>
    <n v="4"/>
    <s v="August"/>
    <n v="2025"/>
    <d v="1899-12-30T11:00:00"/>
    <s v="Client 92"/>
    <s v="New York"/>
    <s v="654 Sycamore Avenue, Unit 91LLLL"/>
    <x v="1"/>
    <s v="(718) 555-2335"/>
    <x v="4"/>
    <x v="0"/>
    <n v="3044"/>
    <n v="4"/>
  </r>
  <r>
    <x v="523"/>
    <n v="5"/>
    <x v="7"/>
    <x v="2"/>
    <x v="0"/>
    <x v="23"/>
    <n v="27130"/>
    <n v="0"/>
    <m/>
    <n v="27130"/>
    <d v="2025-08-05T00:00:00"/>
    <n v="5"/>
    <s v="August"/>
    <n v="2025"/>
    <d v="1899-12-30T12:00:00"/>
    <s v="Client 93"/>
    <s v="New York"/>
    <s v="655 Sycamore Avenue, Unit 91LLLL"/>
    <x v="1"/>
    <s v="(718) 555-2336"/>
    <x v="4"/>
    <x v="0"/>
    <n v="2677"/>
    <n v="5"/>
  </r>
  <r>
    <x v="522"/>
    <n v="4"/>
    <x v="7"/>
    <x v="2"/>
    <x v="1"/>
    <x v="21"/>
    <n v="0"/>
    <n v="2900"/>
    <n v="0.15"/>
    <n v="2900"/>
    <d v="2025-08-04T00:00:00"/>
    <n v="4"/>
    <s v="August"/>
    <n v="2025"/>
    <d v="1899-12-30T09:00:00"/>
    <s v="Client 38"/>
    <s v="Chikago"/>
    <s v="456 Oak Avenue, Unit 37JJ"/>
    <x v="0"/>
    <n v="8900888990"/>
    <x v="3"/>
    <x v="0"/>
    <n v="5005"/>
    <n v="4"/>
  </r>
  <r>
    <x v="522"/>
    <n v="4"/>
    <x v="7"/>
    <x v="2"/>
    <x v="2"/>
    <x v="21"/>
    <n v="0"/>
    <n v="2850"/>
    <m/>
    <n v="2850"/>
    <d v="2025-08-04T00:00:00"/>
    <n v="4"/>
    <s v="August"/>
    <n v="2025"/>
    <d v="1899-12-30T11:00:00"/>
    <s v="Client 71"/>
    <s v="Chikago"/>
    <s v="1234 Aspen Road, Unit 70QQQ"/>
    <x v="1"/>
    <s v="(212) 555-1225"/>
    <x v="4"/>
    <x v="0"/>
    <n v="2890"/>
    <n v="4"/>
  </r>
  <r>
    <x v="519"/>
    <n v="1"/>
    <x v="7"/>
    <x v="2"/>
    <x v="3"/>
    <x v="1"/>
    <n v="0"/>
    <n v="2810"/>
    <m/>
    <n v="2810"/>
    <d v="2025-08-01T00:00:00"/>
    <n v="1"/>
    <s v="August"/>
    <n v="2025"/>
    <d v="1899-12-30T15:00:00"/>
    <s v="Client 19"/>
    <s v="Chikago"/>
    <s v="123 Elm Street, Unit 18Q"/>
    <x v="0"/>
    <s v="(917) 555-5669"/>
    <x v="0"/>
    <x v="0"/>
    <n v="3014"/>
    <n v="5"/>
  </r>
  <r>
    <x v="524"/>
    <n v="8"/>
    <x v="7"/>
    <x v="2"/>
    <x v="4"/>
    <x v="1"/>
    <n v="0"/>
    <n v="1260"/>
    <m/>
    <n v="1260"/>
    <d v="2025-08-08T00:00:00"/>
    <n v="8"/>
    <s v="August"/>
    <n v="2025"/>
    <d v="1899-12-30T11:00:00"/>
    <s v="Client 45"/>
    <s v="Chikago"/>
    <s v="1234 Sequoia Road, Apt. 44QQ"/>
    <x v="0"/>
    <s v="(718) 555-8756"/>
    <x v="2"/>
    <x v="0"/>
    <n v="3964"/>
    <n v="3"/>
  </r>
  <r>
    <x v="525"/>
    <n v="9"/>
    <x v="7"/>
    <x v="2"/>
    <x v="0"/>
    <x v="18"/>
    <n v="0"/>
    <n v="2400"/>
    <m/>
    <n v="2400"/>
    <d v="2025-08-09T00:00:00"/>
    <n v="9"/>
    <s v="August"/>
    <n v="2025"/>
    <d v="1899-12-30T09:00:00"/>
    <s v="Client 48"/>
    <s v="Chikago"/>
    <s v="654 Sycamore Avenue, Apt. 47TT"/>
    <x v="1"/>
    <s v="(646) 555-2336"/>
    <x v="1"/>
    <x v="0"/>
    <n v="3674"/>
    <n v="4"/>
  </r>
  <r>
    <x v="526"/>
    <n v="10"/>
    <x v="7"/>
    <x v="2"/>
    <x v="1"/>
    <x v="4"/>
    <n v="0"/>
    <n v="3860"/>
    <m/>
    <n v="3860"/>
    <d v="2025-08-10T00:00:00"/>
    <n v="10"/>
    <s v="August"/>
    <n v="2025"/>
    <d v="1899-12-30T11:00:00"/>
    <s v="Client 60"/>
    <s v="Chikago"/>
    <s v="890 Acorn Avenue, Apt. 59FFF"/>
    <x v="1"/>
    <s v="(212) 555-7881"/>
    <x v="3"/>
    <x v="0"/>
    <n v="3377"/>
    <n v="4"/>
  </r>
  <r>
    <x v="526"/>
    <n v="10"/>
    <x v="7"/>
    <x v="2"/>
    <x v="2"/>
    <x v="15"/>
    <n v="0"/>
    <n v="130"/>
    <m/>
    <n v="130"/>
    <d v="2025-08-10T00:00:00"/>
    <n v="10"/>
    <s v="August"/>
    <n v="2025"/>
    <d v="1899-12-30T15:00:00"/>
    <s v="Client 17"/>
    <s v="Chikago"/>
    <s v="8765 Sycamore Court, Suite 16O"/>
    <x v="1"/>
    <s v="(917) 555-4312"/>
    <x v="4"/>
    <x v="0"/>
    <n v="3505"/>
    <n v="5"/>
  </r>
  <r>
    <x v="526"/>
    <n v="10"/>
    <x v="7"/>
    <x v="2"/>
    <x v="3"/>
    <x v="10"/>
    <n v="0"/>
    <n v="3440"/>
    <n v="0.15"/>
    <n v="3440"/>
    <d v="2025-08-10T00:00:00"/>
    <n v="10"/>
    <s v="August"/>
    <n v="2025"/>
    <d v="1899-12-30T11:00:00"/>
    <s v="Client 6"/>
    <s v="Chikago"/>
    <s v="890 Maple Drive, Apt. 2A"/>
    <x v="0"/>
    <s v="(718) 555-3447"/>
    <x v="3"/>
    <x v="0"/>
    <n v="1356"/>
    <n v="3"/>
  </r>
  <r>
    <x v="527"/>
    <n v="13"/>
    <x v="7"/>
    <x v="2"/>
    <x v="1"/>
    <x v="19"/>
    <n v="0"/>
    <n v="2110"/>
    <m/>
    <n v="2110"/>
    <d v="2025-08-13T00:00:00"/>
    <n v="13"/>
    <s v="August"/>
    <n v="2025"/>
    <d v="1899-12-30T09:00:00"/>
    <s v="Client 35"/>
    <s v="Miami"/>
    <s v="8765 Cedarwood Street, Suite 34GG"/>
    <x v="0"/>
    <s v="(646) 555-6780"/>
    <x v="3"/>
    <x v="0"/>
    <n v="1401"/>
    <n v="2"/>
  </r>
  <r>
    <x v="528"/>
    <n v="14"/>
    <x v="7"/>
    <x v="2"/>
    <x v="0"/>
    <x v="21"/>
    <n v="0"/>
    <n v="1130"/>
    <m/>
    <n v="1130"/>
    <d v="2025-08-14T00:00:00"/>
    <n v="14"/>
    <s v="August"/>
    <n v="2025"/>
    <d v="1899-12-30T11:00:00"/>
    <s v="Client 23"/>
    <s v="Chikago"/>
    <s v="567 Pine Street, Suite 22U"/>
    <x v="1"/>
    <s v="(212) 555-9867"/>
    <x v="0"/>
    <x v="1"/>
    <n v="3761"/>
    <m/>
  </r>
  <r>
    <x v="529"/>
    <n v="15"/>
    <x v="7"/>
    <x v="2"/>
    <x v="3"/>
    <x v="6"/>
    <n v="0"/>
    <n v="890"/>
    <m/>
    <n v="890"/>
    <d v="2025-08-15T00:00:00"/>
    <n v="15"/>
    <s v="August"/>
    <n v="2025"/>
    <d v="1899-12-30T15:00:00"/>
    <s v="Client 94"/>
    <s v="New York"/>
    <s v="876 Elm Drive, Suite 93NNNN"/>
    <x v="3"/>
    <s v="(917) 555-7881"/>
    <x v="0"/>
    <x v="0"/>
    <n v="4921"/>
    <n v="5"/>
  </r>
  <r>
    <x v="530"/>
    <n v="16"/>
    <x v="7"/>
    <x v="2"/>
    <x v="2"/>
    <x v="22"/>
    <n v="0"/>
    <n v="3820"/>
    <m/>
    <n v="3820"/>
    <d v="2025-08-16T00:00:00"/>
    <n v="16"/>
    <s v="August"/>
    <n v="2025"/>
    <d v="1899-12-30T11:00:00"/>
    <s v="Client 35"/>
    <s v="Miami"/>
    <s v="8765 Cedarwood Street, Suite 34GG"/>
    <x v="3"/>
    <s v="(718) 555-2336"/>
    <x v="0"/>
    <x v="0"/>
    <n v="5510"/>
    <n v="5"/>
  </r>
  <r>
    <x v="531"/>
    <n v="11"/>
    <x v="7"/>
    <x v="2"/>
    <x v="2"/>
    <x v="23"/>
    <n v="0"/>
    <n v="1250"/>
    <m/>
    <n v="1250"/>
    <d v="2025-08-11T00:00:00"/>
    <n v="11"/>
    <s v="August"/>
    <n v="2025"/>
    <d v="1899-12-30T10:00:00"/>
    <s v="Client 99"/>
    <s v="Chikago"/>
    <s v="123 Redwood Avenue, Apt. 98SSSS"/>
    <x v="0"/>
    <n v="7900888990"/>
    <x v="2"/>
    <x v="0"/>
    <n v="2209"/>
    <n v="2"/>
  </r>
  <r>
    <x v="532"/>
    <n v="18"/>
    <x v="7"/>
    <x v="2"/>
    <x v="4"/>
    <x v="23"/>
    <n v="0"/>
    <n v="1810"/>
    <m/>
    <n v="1810"/>
    <d v="2025-08-18T00:00:00"/>
    <n v="18"/>
    <s v="August"/>
    <n v="2025"/>
    <d v="1899-12-30T12:00:00"/>
    <s v="Client 62"/>
    <s v="New York"/>
    <s v="678 Cedarwood Road, Unit 61HHH"/>
    <x v="1"/>
    <s v="(212) 555-1226"/>
    <x v="1"/>
    <x v="0"/>
    <n v="3731"/>
    <n v="5"/>
  </r>
  <r>
    <x v="533"/>
    <n v="19"/>
    <x v="7"/>
    <x v="2"/>
    <x v="4"/>
    <x v="21"/>
    <n v="0"/>
    <n v="3910"/>
    <m/>
    <n v="3910"/>
    <d v="2025-08-19T00:00:00"/>
    <n v="19"/>
    <s v="August"/>
    <n v="2025"/>
    <d v="1899-12-30T16:00:00"/>
    <s v="Client 2"/>
    <s v="Chikago"/>
    <s v="456 Willow Avenue, Unit 7"/>
    <x v="1"/>
    <s v="(917) 555-5670"/>
    <x v="3"/>
    <x v="0"/>
    <n v="2454"/>
    <n v="5"/>
  </r>
  <r>
    <x v="534"/>
    <n v="20"/>
    <x v="7"/>
    <x v="2"/>
    <x v="1"/>
    <x v="21"/>
    <n v="0"/>
    <n v="980"/>
    <n v="0.15"/>
    <n v="980"/>
    <d v="2025-08-20T00:00:00"/>
    <n v="20"/>
    <s v="August"/>
    <n v="2025"/>
    <d v="1899-12-30T18:00:00"/>
    <s v="Client 27"/>
    <s v="Chikago"/>
    <s v="1234 Aspen Road, Apt. 26Y"/>
    <x v="0"/>
    <s v="(718) 555-8757"/>
    <x v="3"/>
    <x v="0"/>
    <n v="3643"/>
    <n v="5"/>
  </r>
  <r>
    <x v="535"/>
    <n v="21"/>
    <x v="7"/>
    <x v="2"/>
    <x v="3"/>
    <x v="1"/>
    <n v="0"/>
    <n v="130"/>
    <m/>
    <n v="130"/>
    <d v="2025-08-21T00:00:00"/>
    <n v="21"/>
    <s v="August"/>
    <n v="2025"/>
    <d v="1899-12-30T10:00:00"/>
    <s v="Client 74"/>
    <s v="New York"/>
    <s v="654 Magnolia Lane, Unit 73TTT"/>
    <x v="2"/>
    <s v="(646) 555-2337"/>
    <x v="4"/>
    <x v="0"/>
    <n v="3708"/>
    <n v="4"/>
  </r>
  <r>
    <x v="536"/>
    <n v="22"/>
    <x v="7"/>
    <x v="2"/>
    <x v="2"/>
    <x v="1"/>
    <n v="0"/>
    <n v="3280"/>
    <m/>
    <n v="3280"/>
    <d v="2025-08-22T00:00:00"/>
    <n v="22"/>
    <s v="August"/>
    <n v="2025"/>
    <d v="1899-12-30T12:00:00"/>
    <s v="Client 44"/>
    <s v="New York"/>
    <s v="678 Aspen Avenue, Unit 43PP"/>
    <x v="4"/>
    <s v="(212) 555-7882"/>
    <x v="2"/>
    <x v="0"/>
    <n v="4622"/>
    <n v="4"/>
  </r>
  <r>
    <x v="537"/>
    <n v="23"/>
    <x v="7"/>
    <x v="2"/>
    <x v="2"/>
    <x v="18"/>
    <n v="0"/>
    <n v="2260"/>
    <m/>
    <n v="2260"/>
    <d v="2025-08-23T00:00:00"/>
    <n v="23"/>
    <s v="August"/>
    <n v="2025"/>
    <d v="1899-12-30T16:00:00"/>
    <s v="Client 47"/>
    <s v="Chikago"/>
    <s v="987 Acorn Street, Unit 46SS"/>
    <x v="2"/>
    <s v="(917) 555-4313"/>
    <x v="4"/>
    <x v="0"/>
    <n v="3752"/>
    <n v="5"/>
  </r>
  <r>
    <x v="538"/>
    <n v="24"/>
    <x v="7"/>
    <x v="2"/>
    <x v="4"/>
    <x v="4"/>
    <n v="0"/>
    <n v="2330"/>
    <m/>
    <n v="2330"/>
    <d v="2025-08-24T00:00:00"/>
    <n v="24"/>
    <s v="August"/>
    <n v="2025"/>
    <d v="1899-12-30T18:00:00"/>
    <s v="Client 25"/>
    <s v="Dallas"/>
    <s v="345 Redwood Lane, Unit 24W"/>
    <x v="2"/>
    <s v="(718) 555-3448"/>
    <x v="3"/>
    <x v="0"/>
    <n v="1811"/>
    <n v="5"/>
  </r>
  <r>
    <x v="539"/>
    <n v="25"/>
    <x v="7"/>
    <x v="2"/>
    <x v="4"/>
    <x v="15"/>
    <n v="0"/>
    <n v="120"/>
    <m/>
    <n v="120"/>
    <d v="2025-08-25T00:00:00"/>
    <n v="25"/>
    <s v="August"/>
    <n v="2025"/>
    <d v="1899-12-30T10:00:00"/>
    <s v="Client 27"/>
    <s v="Chikago"/>
    <s v="1234 Aspen Road, Apt. 26Y"/>
    <x v="4"/>
    <s v="(646) 555-6781"/>
    <x v="3"/>
    <x v="0"/>
    <n v="5931"/>
    <n v="5"/>
  </r>
  <r>
    <x v="540"/>
    <n v="26"/>
    <x v="7"/>
    <x v="2"/>
    <x v="1"/>
    <x v="10"/>
    <n v="0"/>
    <n v="3020"/>
    <m/>
    <n v="3020"/>
    <d v="2025-08-26T00:00:00"/>
    <n v="26"/>
    <s v="August"/>
    <n v="2025"/>
    <d v="1899-12-30T12:00:00"/>
    <s v="Client 25"/>
    <s v="Dallas"/>
    <s v="345 Redwood Lane, Unit 24W"/>
    <x v="5"/>
    <s v="(212) 555-9868"/>
    <x v="4"/>
    <x v="0"/>
    <n v="4093"/>
    <n v="5"/>
  </r>
  <r>
    <x v="535"/>
    <n v="21"/>
    <x v="7"/>
    <x v="2"/>
    <x v="3"/>
    <x v="19"/>
    <n v="0"/>
    <n v="3020"/>
    <m/>
    <n v="3020"/>
    <d v="2025-08-21T00:00:00"/>
    <n v="21"/>
    <s v="August"/>
    <n v="2025"/>
    <d v="1899-12-30T16:00:00"/>
    <s v="Client 75"/>
    <s v="Chikago"/>
    <s v="321 Sequoia Street, Apt. 74UUU"/>
    <x v="0"/>
    <s v="(917) 555-7882"/>
    <x v="0"/>
    <x v="0"/>
    <n v="2084"/>
    <n v="5"/>
  </r>
  <r>
    <x v="541"/>
    <n v="28"/>
    <x v="7"/>
    <x v="2"/>
    <x v="2"/>
    <x v="21"/>
    <n v="0"/>
    <n v="2340"/>
    <m/>
    <n v="2340"/>
    <d v="2025-08-28T00:00:00"/>
    <n v="28"/>
    <s v="August"/>
    <n v="2025"/>
    <d v="1899-12-30T18:00:00"/>
    <s v="Client 94"/>
    <s v="New York"/>
    <s v="876 Elm Drive, Suite 93NNNN"/>
    <x v="0"/>
    <s v="(718) 555-2337"/>
    <x v="2"/>
    <x v="0"/>
    <n v="4881"/>
    <n v="5"/>
  </r>
  <r>
    <x v="541"/>
    <n v="28"/>
    <x v="7"/>
    <x v="2"/>
    <x v="2"/>
    <x v="6"/>
    <n v="10000"/>
    <n v="2390"/>
    <m/>
    <n v="12390"/>
    <d v="2025-08-28T00:00:00"/>
    <n v="28"/>
    <s v="August"/>
    <n v="2025"/>
    <d v="1899-12-30T10:00:00"/>
    <s v="Client 57"/>
    <s v="New York"/>
    <s v="789 Magnolia Road, Apt. 56CCC"/>
    <x v="5"/>
    <n v="6900888990"/>
    <x v="1"/>
    <x v="0"/>
    <n v="2839"/>
    <n v="5"/>
  </r>
  <r>
    <x v="541"/>
    <n v="28"/>
    <x v="7"/>
    <x v="2"/>
    <x v="4"/>
    <x v="22"/>
    <n v="0"/>
    <n v="2610"/>
    <n v="0.15"/>
    <n v="2610"/>
    <d v="2025-08-28T00:00:00"/>
    <n v="28"/>
    <s v="August"/>
    <n v="2025"/>
    <d v="1899-12-30T12:00:00"/>
    <s v="Client 17"/>
    <s v="Chikago"/>
    <s v="8765 Sycamore Court, Suite 16O"/>
    <x v="5"/>
    <s v="(212) 555-1227"/>
    <x v="4"/>
    <x v="0"/>
    <n v="3966"/>
    <n v="5"/>
  </r>
  <r>
    <x v="542"/>
    <n v="31"/>
    <x v="7"/>
    <x v="2"/>
    <x v="4"/>
    <x v="23"/>
    <n v="0"/>
    <n v="1950"/>
    <m/>
    <n v="1950"/>
    <d v="2025-08-31T00:00:00"/>
    <n v="31"/>
    <s v="August"/>
    <n v="2025"/>
    <d v="1899-12-30T16:00:00"/>
    <s v="Client 72"/>
    <s v="Chikago"/>
    <s v="5678 Cedar Drive, Apt. 71RRR"/>
    <x v="5"/>
    <s v="(917) 555-5671"/>
    <x v="4"/>
    <x v="0"/>
    <n v="2439"/>
    <n v="5"/>
  </r>
  <r>
    <x v="543"/>
    <n v="1"/>
    <x v="8"/>
    <x v="2"/>
    <x v="0"/>
    <x v="23"/>
    <n v="10000"/>
    <n v="110"/>
    <m/>
    <n v="10110"/>
    <d v="2025-09-01T00:00:00"/>
    <n v="1"/>
    <s v="September"/>
    <n v="2025"/>
    <d v="1899-12-30T18:00:00"/>
    <s v="Client 27"/>
    <s v="Chikago"/>
    <s v="1234 Aspen Road, Apt. 26Y"/>
    <x v="0"/>
    <s v="(718) 555-8758"/>
    <x v="4"/>
    <x v="0"/>
    <n v="1895"/>
    <n v="5"/>
  </r>
  <r>
    <x v="544"/>
    <n v="2"/>
    <x v="8"/>
    <x v="2"/>
    <x v="3"/>
    <x v="21"/>
    <n v="20000"/>
    <n v="2450"/>
    <m/>
    <n v="22450"/>
    <d v="2025-09-02T00:00:00"/>
    <n v="2"/>
    <s v="September"/>
    <n v="2025"/>
    <d v="1899-12-30T10:00:00"/>
    <s v="Client 28"/>
    <s v="Chikago"/>
    <s v="5678 Cedar Drive, Unit 27Z"/>
    <x v="0"/>
    <s v="(646) 555-2338"/>
    <x v="4"/>
    <x v="0"/>
    <n v="1602"/>
    <n v="5"/>
  </r>
  <r>
    <x v="545"/>
    <n v="3"/>
    <x v="8"/>
    <x v="2"/>
    <x v="4"/>
    <x v="21"/>
    <n v="0"/>
    <n v="1960"/>
    <m/>
    <n v="1960"/>
    <d v="2025-09-03T00:00:00"/>
    <n v="3"/>
    <s v="September"/>
    <n v="2025"/>
    <d v="1899-12-30T12:00:00"/>
    <s v="Client 60"/>
    <s v="Chikago"/>
    <s v="890 Acorn Avenue, Apt. 59FFF"/>
    <x v="5"/>
    <s v="(212) 555-7883"/>
    <x v="4"/>
    <x v="0"/>
    <n v="955"/>
    <n v="5"/>
  </r>
  <r>
    <x v="546"/>
    <n v="4"/>
    <x v="8"/>
    <x v="2"/>
    <x v="2"/>
    <x v="1"/>
    <n v="0"/>
    <n v="2900"/>
    <m/>
    <n v="2900"/>
    <d v="2025-09-04T00:00:00"/>
    <n v="4"/>
    <s v="September"/>
    <n v="2025"/>
    <d v="1899-12-30T16:00:00"/>
    <s v="Client 7"/>
    <s v="Chikago"/>
    <s v="345 Cedar Court, Suite 6E"/>
    <x v="3"/>
    <s v="(917) 555-4314"/>
    <x v="0"/>
    <x v="0"/>
    <n v="1483"/>
    <n v="5"/>
  </r>
  <r>
    <x v="547"/>
    <n v="5"/>
    <x v="8"/>
    <x v="2"/>
    <x v="4"/>
    <x v="1"/>
    <n v="0"/>
    <n v="2850"/>
    <m/>
    <n v="2850"/>
    <d v="2025-09-05T00:00:00"/>
    <n v="5"/>
    <s v="September"/>
    <n v="2025"/>
    <d v="1899-12-30T18:00:00"/>
    <s v="Client 34"/>
    <s v="Chikago"/>
    <s v="210 Sycamore Road, Unit 33FF"/>
    <x v="4"/>
    <s v="(718) 555-3449"/>
    <x v="0"/>
    <x v="0"/>
    <n v="3038"/>
    <n v="5"/>
  </r>
  <r>
    <x v="548"/>
    <n v="6"/>
    <x v="8"/>
    <x v="2"/>
    <x v="4"/>
    <x v="18"/>
    <n v="0"/>
    <n v="2810"/>
    <m/>
    <n v="2810"/>
    <d v="2025-09-06T00:00:00"/>
    <n v="6"/>
    <s v="September"/>
    <n v="2025"/>
    <d v="1899-12-30T10:00:00"/>
    <s v="Client 60"/>
    <s v="Chikago"/>
    <s v="890 Acorn Avenue, Apt. 59FFF"/>
    <x v="0"/>
    <s v="(646) 555-6782"/>
    <x v="0"/>
    <x v="0"/>
    <n v="3443"/>
    <n v="5"/>
  </r>
  <r>
    <x v="543"/>
    <n v="1"/>
    <x v="8"/>
    <x v="2"/>
    <x v="3"/>
    <x v="4"/>
    <n v="0"/>
    <n v="1260"/>
    <m/>
    <n v="1260"/>
    <d v="2025-09-01T00:00:00"/>
    <n v="1"/>
    <s v="September"/>
    <n v="2025"/>
    <d v="1899-12-30T12:00:00"/>
    <s v="Client 48"/>
    <s v="Chikago"/>
    <s v="654 Sycamore Avenue, Apt. 47TT"/>
    <x v="5"/>
    <s v="(212) 555-9869"/>
    <x v="2"/>
    <x v="0"/>
    <n v="2841"/>
    <n v="5"/>
  </r>
  <r>
    <x v="549"/>
    <n v="8"/>
    <x v="8"/>
    <x v="2"/>
    <x v="4"/>
    <x v="15"/>
    <n v="0"/>
    <n v="2400"/>
    <m/>
    <n v="2400"/>
    <d v="2025-09-08T00:00:00"/>
    <n v="8"/>
    <s v="September"/>
    <n v="2025"/>
    <d v="1899-12-30T16:00:00"/>
    <s v="Client 57"/>
    <s v="New York"/>
    <s v="789 Magnolia Road, Apt. 56CCC"/>
    <x v="5"/>
    <s v="(917) 555-7883"/>
    <x v="1"/>
    <x v="0"/>
    <n v="1711"/>
    <n v="5"/>
  </r>
  <r>
    <x v="550"/>
    <n v="9"/>
    <x v="8"/>
    <x v="2"/>
    <x v="4"/>
    <x v="15"/>
    <n v="0"/>
    <n v="25070"/>
    <n v="0.15"/>
    <n v="25070"/>
    <d v="2025-09-09T00:00:00"/>
    <n v="9"/>
    <s v="September"/>
    <n v="2025"/>
    <d v="1899-12-30T17:00:00"/>
    <s v="Client 58"/>
    <s v="New York"/>
    <s v="790 Magnolia Road, Apt. 56CCC"/>
    <x v="5"/>
    <s v="(917) 555-7884"/>
    <x v="1"/>
    <x v="0"/>
    <n v="1448"/>
    <n v="5"/>
  </r>
  <r>
    <x v="550"/>
    <n v="9"/>
    <x v="8"/>
    <x v="2"/>
    <x v="2"/>
    <x v="10"/>
    <n v="0"/>
    <n v="3860"/>
    <n v="0.15"/>
    <n v="3860"/>
    <d v="2025-09-09T00:00:00"/>
    <n v="9"/>
    <s v="September"/>
    <n v="2025"/>
    <d v="1899-12-30T18:00:00"/>
    <s v="Client 62"/>
    <s v="New York"/>
    <s v="678 Cedarwood Road, Unit 61HHH"/>
    <x v="5"/>
    <s v="(718) 555-2338"/>
    <x v="3"/>
    <x v="0"/>
    <n v="2414"/>
    <n v="5"/>
  </r>
  <r>
    <x v="551"/>
    <n v="10"/>
    <x v="8"/>
    <x v="2"/>
    <x v="4"/>
    <x v="19"/>
    <n v="0"/>
    <n v="130"/>
    <m/>
    <n v="130"/>
    <d v="2025-09-10T00:00:00"/>
    <n v="10"/>
    <s v="September"/>
    <n v="2025"/>
    <d v="1899-12-30T10:00:00"/>
    <s v="Client 75"/>
    <s v="Chikago"/>
    <s v="321 Sequoia Street, Apt. 74UUU"/>
    <x v="0"/>
    <n v="5900888990"/>
    <x v="3"/>
    <x v="0"/>
    <n v="4694"/>
    <n v="5"/>
  </r>
  <r>
    <x v="552"/>
    <n v="11"/>
    <x v="8"/>
    <x v="2"/>
    <x v="4"/>
    <x v="21"/>
    <n v="0"/>
    <n v="3440"/>
    <m/>
    <n v="3440"/>
    <d v="2025-09-11T00:00:00"/>
    <n v="11"/>
    <s v="September"/>
    <n v="2025"/>
    <d v="1899-12-30T12:00:00"/>
    <s v="Client 44"/>
    <s v="New York"/>
    <s v="678 Aspen Avenue, Unit 43PP"/>
    <x v="0"/>
    <s v="(212) 555-1228"/>
    <x v="4"/>
    <x v="0"/>
    <n v="1886"/>
    <n v="5"/>
  </r>
  <r>
    <x v="553"/>
    <n v="12"/>
    <x v="8"/>
    <x v="2"/>
    <x v="3"/>
    <x v="6"/>
    <n v="0"/>
    <n v="2110"/>
    <m/>
    <n v="2110"/>
    <d v="2025-09-12T00:00:00"/>
    <n v="12"/>
    <s v="September"/>
    <n v="2025"/>
    <d v="1899-12-30T16:00:00"/>
    <s v="Client 56"/>
    <s v="Chikago"/>
    <s v="456 Willow Lane, Unit 55BBB"/>
    <x v="5"/>
    <s v="(917) 555-5672"/>
    <x v="4"/>
    <x v="0"/>
    <n v="3016"/>
    <n v="5"/>
  </r>
  <r>
    <x v="554"/>
    <n v="13"/>
    <x v="8"/>
    <x v="2"/>
    <x v="4"/>
    <x v="22"/>
    <n v="0"/>
    <n v="1130"/>
    <m/>
    <n v="1130"/>
    <d v="2025-09-13T00:00:00"/>
    <n v="13"/>
    <s v="September"/>
    <n v="2025"/>
    <d v="1899-12-30T18:00:00"/>
    <s v="Client 33"/>
    <s v="Chikago"/>
    <s v="543 Acorn Lane, Apt. 32EE"/>
    <x v="3"/>
    <s v="(718) 555-8759"/>
    <x v="4"/>
    <x v="0"/>
    <n v="1482"/>
    <n v="5"/>
  </r>
  <r>
    <x v="555"/>
    <n v="14"/>
    <x v="8"/>
    <x v="2"/>
    <x v="2"/>
    <x v="23"/>
    <n v="0"/>
    <n v="890"/>
    <m/>
    <n v="890"/>
    <d v="2025-09-14T00:00:00"/>
    <n v="14"/>
    <s v="September"/>
    <n v="2025"/>
    <d v="1899-12-30T10:00:00"/>
    <s v="Client 14"/>
    <s v="Miami"/>
    <s v="876 Sequoia Road, Suite 13L"/>
    <x v="5"/>
    <s v="(646) 555-2339"/>
    <x v="4"/>
    <x v="0"/>
    <n v="1740"/>
    <n v="5"/>
  </r>
  <r>
    <x v="556"/>
    <n v="15"/>
    <x v="8"/>
    <x v="2"/>
    <x v="4"/>
    <x v="23"/>
    <n v="0"/>
    <n v="3820"/>
    <m/>
    <n v="3820"/>
    <d v="2025-09-15T00:00:00"/>
    <n v="15"/>
    <s v="September"/>
    <n v="2025"/>
    <d v="1899-12-30T12:00:00"/>
    <s v="Client 75"/>
    <s v="Chikago"/>
    <s v="321 Sequoia Street, Apt. 74UUU"/>
    <x v="0"/>
    <s v="(212) 555-7884"/>
    <x v="0"/>
    <x v="0"/>
    <n v="3623"/>
    <n v="5"/>
  </r>
  <r>
    <x v="557"/>
    <n v="16"/>
    <x v="8"/>
    <x v="2"/>
    <x v="4"/>
    <x v="21"/>
    <n v="0"/>
    <n v="1250"/>
    <m/>
    <n v="1250"/>
    <d v="2025-09-16T00:00:00"/>
    <n v="16"/>
    <s v="September"/>
    <n v="2025"/>
    <d v="1899-12-30T16:00:00"/>
    <s v="Client 44"/>
    <s v="New York"/>
    <s v="678 Aspen Avenue, Unit 43PP"/>
    <x v="0"/>
    <s v="(917) 555-4315"/>
    <x v="2"/>
    <x v="0"/>
    <n v="4534"/>
    <n v="5"/>
  </r>
  <r>
    <x v="552"/>
    <n v="11"/>
    <x v="8"/>
    <x v="2"/>
    <x v="3"/>
    <x v="21"/>
    <n v="0"/>
    <n v="1810"/>
    <m/>
    <n v="1810"/>
    <d v="2025-09-11T00:00:00"/>
    <n v="11"/>
    <s v="September"/>
    <n v="2025"/>
    <d v="1899-12-30T18:00:00"/>
    <s v="Client 29"/>
    <s v="Chikago"/>
    <s v="987 Pinecone Avenue, Suite 28AA"/>
    <x v="1"/>
    <s v="(718) 555-3450"/>
    <x v="1"/>
    <x v="0"/>
    <n v="3036"/>
    <n v="5"/>
  </r>
  <r>
    <x v="558"/>
    <n v="18"/>
    <x v="8"/>
    <x v="2"/>
    <x v="2"/>
    <x v="1"/>
    <n v="0"/>
    <n v="3910"/>
    <n v="0.15"/>
    <n v="3910"/>
    <d v="2025-09-18T00:00:00"/>
    <n v="18"/>
    <s v="September"/>
    <n v="2025"/>
    <d v="1899-12-30T09:00:00"/>
    <s v="Client 25"/>
    <s v="Dallas"/>
    <s v="345 Redwood Lane, Unit 24W"/>
    <x v="3"/>
    <s v="(646) 555-6783"/>
    <x v="3"/>
    <x v="0"/>
    <n v="962"/>
    <n v="5"/>
  </r>
  <r>
    <x v="559"/>
    <n v="19"/>
    <x v="8"/>
    <x v="2"/>
    <x v="2"/>
    <x v="1"/>
    <n v="0"/>
    <n v="980"/>
    <m/>
    <n v="980"/>
    <d v="2025-09-19T00:00:00"/>
    <n v="19"/>
    <s v="September"/>
    <n v="2025"/>
    <d v="1899-12-30T11:00:00"/>
    <s v="Client 40"/>
    <s v="Chikago"/>
    <s v="234 Pine Road, Suite 39LL"/>
    <x v="0"/>
    <s v="(212) 555-9870"/>
    <x v="4"/>
    <x v="0"/>
    <n v="4392"/>
    <n v="5"/>
  </r>
  <r>
    <x v="560"/>
    <n v="20"/>
    <x v="8"/>
    <x v="2"/>
    <x v="2"/>
    <x v="18"/>
    <n v="0"/>
    <n v="130"/>
    <m/>
    <n v="130"/>
    <d v="2025-09-20T00:00:00"/>
    <n v="20"/>
    <s v="September"/>
    <n v="2025"/>
    <d v="1899-12-30T15:00:00"/>
    <s v="Client 77"/>
    <s v="Chikago"/>
    <s v="543 Acorn Lane, Unit 76WWW"/>
    <x v="1"/>
    <s v="(917) 555-7884"/>
    <x v="0"/>
    <x v="0"/>
    <n v="4502"/>
    <n v="5"/>
  </r>
  <r>
    <x v="561"/>
    <n v="21"/>
    <x v="8"/>
    <x v="2"/>
    <x v="3"/>
    <x v="4"/>
    <n v="0"/>
    <n v="3280"/>
    <m/>
    <n v="3280"/>
    <d v="2025-09-21T00:00:00"/>
    <n v="21"/>
    <s v="September"/>
    <n v="2025"/>
    <d v="1899-12-30T11:00:00"/>
    <s v="Client 24"/>
    <s v="Chikago"/>
    <s v="890 Willow Drive, Apt. 23V"/>
    <x v="0"/>
    <s v="(718) 555-2339"/>
    <x v="0"/>
    <x v="0"/>
    <n v="3167"/>
    <n v="4"/>
  </r>
  <r>
    <x v="561"/>
    <n v="21"/>
    <x v="8"/>
    <x v="2"/>
    <x v="4"/>
    <x v="15"/>
    <n v="0"/>
    <n v="2260"/>
    <m/>
    <n v="2260"/>
    <d v="2025-09-21T00:00:00"/>
    <n v="21"/>
    <s v="September"/>
    <n v="2025"/>
    <d v="1899-12-30T09:00:00"/>
    <s v="Client 82"/>
    <s v="Chikago"/>
    <s v="456 Oak Avenue, Suite 81BBBB"/>
    <x v="4"/>
    <n v="4900888990"/>
    <x v="0"/>
    <x v="0"/>
    <n v="1342"/>
    <n v="4"/>
  </r>
  <r>
    <x v="562"/>
    <n v="23"/>
    <x v="8"/>
    <x v="2"/>
    <x v="3"/>
    <x v="10"/>
    <n v="0"/>
    <n v="2220"/>
    <m/>
    <n v="2220"/>
    <d v="2025-09-23T00:00:00"/>
    <n v="23"/>
    <s v="September"/>
    <n v="2025"/>
    <d v="1899-12-30T11:00:00"/>
    <s v="Client 66"/>
    <s v="Chikago"/>
    <s v="234 Maple Road, Apt. 65LLL"/>
    <x v="0"/>
    <s v="(212) 555-1229"/>
    <x v="0"/>
    <x v="0"/>
    <n v="2615"/>
    <n v="4"/>
  </r>
  <r>
    <x v="563"/>
    <n v="24"/>
    <x v="8"/>
    <x v="2"/>
    <x v="1"/>
    <x v="19"/>
    <n v="10000"/>
    <n v="2800"/>
    <m/>
    <n v="12800"/>
    <d v="2025-09-24T00:00:00"/>
    <n v="24"/>
    <s v="September"/>
    <n v="2025"/>
    <d v="1899-12-30T15:00:00"/>
    <s v="Client 75"/>
    <s v="Chikago"/>
    <s v="321 Sequoia Street, Apt. 74UUU"/>
    <x v="4"/>
    <s v="(917) 555-5673"/>
    <x v="0"/>
    <x v="0"/>
    <n v="3299"/>
    <n v="4"/>
  </r>
  <r>
    <x v="564"/>
    <n v="25"/>
    <x v="8"/>
    <x v="2"/>
    <x v="2"/>
    <x v="21"/>
    <n v="0"/>
    <n v="880"/>
    <m/>
    <n v="880"/>
    <d v="2025-09-25T00:00:00"/>
    <n v="25"/>
    <s v="September"/>
    <n v="2025"/>
    <d v="1899-12-30T11:00:00"/>
    <s v="Client 16"/>
    <s v="Chikago"/>
    <s v="210 Magnolia Street, Unit 15N"/>
    <x v="1"/>
    <s v="(718) 555-8760"/>
    <x v="2"/>
    <x v="0"/>
    <n v="4622"/>
    <n v="4"/>
  </r>
  <r>
    <x v="565"/>
    <n v="26"/>
    <x v="8"/>
    <x v="2"/>
    <x v="3"/>
    <x v="6"/>
    <n v="0"/>
    <n v="190"/>
    <m/>
    <n v="190"/>
    <d v="2025-09-26T00:00:00"/>
    <n v="26"/>
    <s v="September"/>
    <n v="2025"/>
    <d v="1899-12-30T09:00:00"/>
    <s v="Client 1"/>
    <s v="Chikago"/>
    <s v="123 Elm Street, Apt. 4B"/>
    <x v="0"/>
    <s v="(646) 555-2340"/>
    <x v="1"/>
    <x v="0"/>
    <n v="2816"/>
    <n v="4"/>
  </r>
  <r>
    <x v="561"/>
    <n v="21"/>
    <x v="8"/>
    <x v="2"/>
    <x v="4"/>
    <x v="22"/>
    <n v="0"/>
    <n v="950"/>
    <m/>
    <n v="950"/>
    <d v="2025-09-21T00:00:00"/>
    <n v="21"/>
    <s v="September"/>
    <n v="2025"/>
    <d v="1899-12-30T11:00:00"/>
    <s v="Client 32"/>
    <s v="Miami"/>
    <s v="876 Willowbrook Drive, Suite 31DD"/>
    <x v="1"/>
    <s v="(212) 555-7885"/>
    <x v="3"/>
    <x v="1"/>
    <n v="2495"/>
    <m/>
  </r>
  <r>
    <x v="566"/>
    <n v="28"/>
    <x v="8"/>
    <x v="2"/>
    <x v="1"/>
    <x v="23"/>
    <n v="2630"/>
    <n v="0"/>
    <m/>
    <n v="2630"/>
    <d v="2025-09-28T00:00:00"/>
    <n v="28"/>
    <s v="September"/>
    <n v="2025"/>
    <d v="1899-12-30T15:00:00"/>
    <s v="Client 65"/>
    <s v="New York"/>
    <s v="789 Oak Lane, Unit 64KKK"/>
    <x v="4"/>
    <s v="(917) 555-4316"/>
    <x v="3"/>
    <x v="0"/>
    <n v="3368"/>
    <n v="4"/>
  </r>
  <r>
    <x v="567"/>
    <n v="29"/>
    <x v="8"/>
    <x v="2"/>
    <x v="0"/>
    <x v="23"/>
    <n v="2640"/>
    <n v="0"/>
    <n v="0.15"/>
    <n v="2640"/>
    <d v="2025-09-29T00:00:00"/>
    <n v="29"/>
    <s v="September"/>
    <n v="2025"/>
    <d v="1899-12-30T11:00:00"/>
    <s v="Client 20"/>
    <s v="Chikago"/>
    <s v="456 Birch Avenue, Suite 19R"/>
    <x v="1"/>
    <s v="(718) 555-3451"/>
    <x v="4"/>
    <x v="0"/>
    <n v="4920"/>
    <n v="4"/>
  </r>
  <r>
    <x v="568"/>
    <n v="30"/>
    <x v="8"/>
    <x v="2"/>
    <x v="3"/>
    <x v="21"/>
    <n v="1380"/>
    <n v="0"/>
    <n v="0.15"/>
    <n v="1380"/>
    <d v="2025-09-30T00:00:00"/>
    <n v="30"/>
    <s v="September"/>
    <n v="2025"/>
    <d v="1899-12-30T09:00:00"/>
    <s v="Client 62"/>
    <s v="New York"/>
    <s v="678 Cedarwood Road, Unit 61HHH"/>
    <x v="0"/>
    <s v="(646) 555-6784"/>
    <x v="2"/>
    <x v="0"/>
    <n v="5968"/>
    <n v="4"/>
  </r>
  <r>
    <x v="569"/>
    <n v="1"/>
    <x v="9"/>
    <x v="2"/>
    <x v="2"/>
    <x v="21"/>
    <n v="3180"/>
    <n v="0"/>
    <n v="0.15"/>
    <n v="3180"/>
    <d v="2025-10-01T00:00:00"/>
    <n v="1"/>
    <s v="October"/>
    <n v="2025"/>
    <d v="1899-12-30T11:00:00"/>
    <s v="Client 67"/>
    <s v="Chikago"/>
    <s v="567 Pine Street, Suite 66MMM"/>
    <x v="0"/>
    <s v="(212) 555-9871"/>
    <x v="4"/>
    <x v="0"/>
    <n v="3288"/>
    <n v="4"/>
  </r>
  <r>
    <x v="570"/>
    <n v="2"/>
    <x v="9"/>
    <x v="2"/>
    <x v="2"/>
    <x v="1"/>
    <n v="2800"/>
    <n v="0"/>
    <n v="0.15"/>
    <n v="2800"/>
    <d v="2025-10-02T00:00:00"/>
    <n v="2"/>
    <s v="October"/>
    <n v="2025"/>
    <d v="1899-12-30T15:00:00"/>
    <s v="Client 13"/>
    <s v="Chikago"/>
    <s v="321 Acorn Drive, Apt. 12K"/>
    <x v="1"/>
    <s v="(917) 555-7885"/>
    <x v="0"/>
    <x v="0"/>
    <n v="1214"/>
    <n v="4"/>
  </r>
  <r>
    <x v="571"/>
    <n v="3"/>
    <x v="9"/>
    <x v="2"/>
    <x v="4"/>
    <x v="1"/>
    <n v="9000"/>
    <n v="0"/>
    <m/>
    <n v="9000"/>
    <d v="2025-10-03T00:00:00"/>
    <n v="3"/>
    <s v="October"/>
    <n v="2025"/>
    <d v="1899-12-30T11:00:00"/>
    <s v="Client 63"/>
    <s v="Chikago"/>
    <s v="123 Elm Street, Apt. 62III"/>
    <x v="3"/>
    <s v="(718) 555-2340"/>
    <x v="0"/>
    <x v="0"/>
    <n v="1974"/>
    <n v="5"/>
  </r>
  <r>
    <x v="572"/>
    <n v="4"/>
    <x v="9"/>
    <x v="2"/>
    <x v="4"/>
    <x v="18"/>
    <n v="0"/>
    <n v="890"/>
    <m/>
    <n v="890"/>
    <d v="2025-10-04T00:00:00"/>
    <n v="4"/>
    <s v="October"/>
    <n v="2025"/>
    <d v="1899-12-30T10:00:00"/>
    <s v="Client 55"/>
    <s v="Chikago"/>
    <s v="123 Redwood Avenue, Suite 54AAA"/>
    <x v="1"/>
    <n v="3900888990"/>
    <x v="4"/>
    <x v="0"/>
    <n v="4035"/>
    <n v="5"/>
  </r>
  <r>
    <x v="572"/>
    <n v="4"/>
    <x v="9"/>
    <x v="2"/>
    <x v="1"/>
    <x v="4"/>
    <n v="0"/>
    <n v="100"/>
    <m/>
    <n v="100"/>
    <d v="2025-10-04T00:00:00"/>
    <n v="4"/>
    <s v="October"/>
    <n v="2025"/>
    <d v="1899-12-30T12:00:00"/>
    <s v="Client 27"/>
    <s v="Chikago"/>
    <s v="1234 Aspen Road, Apt. 26Y"/>
    <x v="1"/>
    <s v="(212) 555-1230"/>
    <x v="0"/>
    <x v="0"/>
    <n v="3758"/>
    <n v="3"/>
  </r>
  <r>
    <x v="573"/>
    <n v="6"/>
    <x v="9"/>
    <x v="2"/>
    <x v="3"/>
    <x v="15"/>
    <n v="0"/>
    <n v="5000"/>
    <m/>
    <n v="5000"/>
    <d v="2025-10-06T00:00:00"/>
    <n v="6"/>
    <s v="October"/>
    <n v="2025"/>
    <d v="1899-12-30T16:00:00"/>
    <s v="Client 65"/>
    <s v="New York"/>
    <s v="789 Oak Lane, Unit 64KKK"/>
    <x v="1"/>
    <s v="(917) 555-5674"/>
    <x v="2"/>
    <x v="0"/>
    <n v="3553"/>
    <n v="4"/>
  </r>
  <r>
    <x v="569"/>
    <n v="1"/>
    <x v="9"/>
    <x v="2"/>
    <x v="0"/>
    <x v="10"/>
    <n v="200"/>
    <n v="30000"/>
    <m/>
    <n v="30200"/>
    <d v="2025-10-01T00:00:00"/>
    <n v="1"/>
    <s v="October"/>
    <n v="2025"/>
    <d v="1899-12-30T18:00:00"/>
    <s v="Client 97"/>
    <s v="New Orleans"/>
    <s v="8765 Maple Street, Suite 96QQQQ"/>
    <x v="0"/>
    <s v="(718) 555-8761"/>
    <x v="1"/>
    <x v="0"/>
    <n v="1863"/>
    <n v="4"/>
  </r>
  <r>
    <x v="574"/>
    <n v="8"/>
    <x v="9"/>
    <x v="2"/>
    <x v="2"/>
    <x v="19"/>
    <n v="0"/>
    <n v="500"/>
    <m/>
    <n v="500"/>
    <d v="2025-10-08T00:00:00"/>
    <n v="8"/>
    <s v="October"/>
    <n v="2025"/>
    <d v="1899-12-30T10:00:00"/>
    <s v="Client 30"/>
    <s v="New York"/>
    <s v="654 Magnolia Lane, Apt. 29BB"/>
    <x v="0"/>
    <s v="(646) 555-2341"/>
    <x v="3"/>
    <x v="0"/>
    <n v="3615"/>
    <n v="5"/>
  </r>
  <r>
    <x v="575"/>
    <n v="9"/>
    <x v="9"/>
    <x v="2"/>
    <x v="4"/>
    <x v="21"/>
    <n v="4000"/>
    <n v="0"/>
    <m/>
    <n v="4000"/>
    <d v="2025-10-09T00:00:00"/>
    <n v="9"/>
    <s v="October"/>
    <n v="2025"/>
    <d v="1899-12-30T12:00:00"/>
    <s v="Client 73"/>
    <s v="Chikago"/>
    <s v="987 Pinecone Avenue, Suite 72SSS"/>
    <x v="1"/>
    <s v="(212) 555-7886"/>
    <x v="4"/>
    <x v="0"/>
    <n v="1973"/>
    <n v="3"/>
  </r>
  <r>
    <x v="576"/>
    <n v="10"/>
    <x v="9"/>
    <x v="2"/>
    <x v="4"/>
    <x v="6"/>
    <n v="0"/>
    <n v="100"/>
    <m/>
    <n v="100"/>
    <d v="2025-10-10T00:00:00"/>
    <n v="10"/>
    <s v="October"/>
    <n v="2025"/>
    <d v="1899-12-30T16:00:00"/>
    <s v="Client 80"/>
    <s v="Chikago"/>
    <s v="4321 Elm Drive, Unit 79ZZZ"/>
    <x v="3"/>
    <s v="(917) 555-4317"/>
    <x v="0"/>
    <x v="0"/>
    <n v="835"/>
    <n v="2"/>
  </r>
  <r>
    <x v="577"/>
    <n v="11"/>
    <x v="9"/>
    <x v="2"/>
    <x v="1"/>
    <x v="22"/>
    <n v="1000"/>
    <n v="0"/>
    <m/>
    <n v="1000"/>
    <d v="2025-10-11T00:00:00"/>
    <n v="11"/>
    <s v="October"/>
    <n v="2025"/>
    <d v="1899-12-30T18:00:00"/>
    <s v="Client 55"/>
    <s v="Chikago"/>
    <s v="123 Redwood Avenue, Suite 54AAA"/>
    <x v="4"/>
    <s v="(718) 555-3452"/>
    <x v="0"/>
    <x v="0"/>
    <n v="1525"/>
    <n v="4"/>
  </r>
  <r>
    <x v="578"/>
    <n v="12"/>
    <x v="9"/>
    <x v="2"/>
    <x v="1"/>
    <x v="22"/>
    <n v="0"/>
    <n v="35070"/>
    <m/>
    <n v="35070"/>
    <d v="2025-10-12T00:00:00"/>
    <n v="12"/>
    <s v="October"/>
    <n v="2025"/>
    <d v="1899-12-30T19:00:00"/>
    <s v="Client 56"/>
    <s v="Chikago"/>
    <s v="124 Redwood Avenue, Suite 54AAA"/>
    <x v="4"/>
    <s v="(718) 555-3453"/>
    <x v="0"/>
    <x v="0"/>
    <n v="5297"/>
    <n v="5"/>
  </r>
  <r>
    <x v="578"/>
    <n v="12"/>
    <x v="9"/>
    <x v="2"/>
    <x v="3"/>
    <x v="23"/>
    <n v="3000"/>
    <n v="0"/>
    <m/>
    <n v="3000"/>
    <d v="2025-10-12T00:00:00"/>
    <n v="12"/>
    <s v="October"/>
    <n v="2025"/>
    <d v="1899-12-30T10:00:00"/>
    <s v="Client 93"/>
    <s v="Chikago"/>
    <s v="321 Cedarwood Lane, Apt. 92MMMM"/>
    <x v="1"/>
    <s v="(646) 555-6785"/>
    <x v="0"/>
    <x v="0"/>
    <n v="1534"/>
    <n v="5"/>
  </r>
  <r>
    <x v="579"/>
    <n v="13"/>
    <x v="9"/>
    <x v="2"/>
    <x v="2"/>
    <x v="23"/>
    <n v="5600"/>
    <n v="0"/>
    <m/>
    <n v="5600"/>
    <d v="2025-10-13T00:00:00"/>
    <n v="13"/>
    <s v="October"/>
    <n v="2025"/>
    <d v="1899-12-30T12:00:00"/>
    <s v="Client 72"/>
    <s v="Chikago"/>
    <s v="5678 Cedar Drive, Apt. 71RRR"/>
    <x v="0"/>
    <s v="(212) 555-9872"/>
    <x v="4"/>
    <x v="0"/>
    <n v="4670"/>
    <n v="5"/>
  </r>
  <r>
    <x v="580"/>
    <n v="14"/>
    <x v="9"/>
    <x v="2"/>
    <x v="2"/>
    <x v="21"/>
    <n v="0"/>
    <n v="2000"/>
    <m/>
    <n v="2000"/>
    <d v="2025-10-14T00:00:00"/>
    <n v="14"/>
    <s v="October"/>
    <n v="2025"/>
    <d v="1899-12-30T16:00:00"/>
    <s v="Client 39"/>
    <s v="New York"/>
    <s v="789 Maple Street, Apt. 38KK"/>
    <x v="1"/>
    <s v="(917) 555-7886"/>
    <x v="4"/>
    <x v="0"/>
    <n v="2415"/>
    <n v="5"/>
  </r>
  <r>
    <x v="581"/>
    <n v="15"/>
    <x v="9"/>
    <x v="2"/>
    <x v="4"/>
    <x v="21"/>
    <n v="1000"/>
    <n v="0"/>
    <m/>
    <n v="1000"/>
    <d v="2025-10-15T00:00:00"/>
    <n v="15"/>
    <s v="October"/>
    <n v="2025"/>
    <d v="1899-12-30T18:00:00"/>
    <s v="Client 15"/>
    <s v="Chikago"/>
    <s v="543 Willowbrook Lane, Apt. 14M"/>
    <x v="0"/>
    <s v="(718) 555-2341"/>
    <x v="3"/>
    <x v="0"/>
    <n v="3784"/>
    <n v="5"/>
  </r>
  <r>
    <x v="582"/>
    <n v="16"/>
    <x v="9"/>
    <x v="2"/>
    <x v="4"/>
    <x v="1"/>
    <n v="0"/>
    <n v="800"/>
    <m/>
    <n v="800"/>
    <d v="2025-10-16T00:00:00"/>
    <n v="16"/>
    <s v="October"/>
    <n v="2025"/>
    <d v="1899-12-30T10:00:00"/>
    <s v="Client 98"/>
    <s v="Chikago"/>
    <s v="4321 Pine Street, Unit 97RRRR"/>
    <x v="4"/>
    <n v="2900888990"/>
    <x v="4"/>
    <x v="0"/>
    <n v="3064"/>
    <n v="5"/>
  </r>
  <r>
    <x v="577"/>
    <n v="11"/>
    <x v="9"/>
    <x v="2"/>
    <x v="0"/>
    <x v="1"/>
    <n v="0"/>
    <n v="900"/>
    <m/>
    <n v="900"/>
    <d v="2025-10-11T00:00:00"/>
    <n v="11"/>
    <s v="October"/>
    <n v="2025"/>
    <d v="1899-12-30T12:00:00"/>
    <s v="Client 89"/>
    <s v="Chikago"/>
    <s v="1234 Sequoia Road, Unit 88IIII"/>
    <x v="0"/>
    <s v="(212) 555-1231"/>
    <x v="0"/>
    <x v="0"/>
    <n v="2928"/>
    <n v="5"/>
  </r>
  <r>
    <x v="583"/>
    <n v="18"/>
    <x v="9"/>
    <x v="2"/>
    <x v="3"/>
    <x v="18"/>
    <n v="0"/>
    <n v="900"/>
    <m/>
    <n v="900"/>
    <d v="2025-10-18T00:00:00"/>
    <n v="18"/>
    <s v="October"/>
    <n v="2025"/>
    <d v="1899-12-30T16:00:00"/>
    <s v="Client 77"/>
    <s v="Chikago"/>
    <s v="543 Acorn Lane, Unit 76WWW"/>
    <x v="5"/>
    <s v="(917) 555-5675"/>
    <x v="0"/>
    <x v="0"/>
    <n v="2044"/>
    <n v="4"/>
  </r>
  <r>
    <x v="584"/>
    <n v="19"/>
    <x v="9"/>
    <x v="2"/>
    <x v="4"/>
    <x v="4"/>
    <n v="2000"/>
    <n v="0"/>
    <m/>
    <n v="2000"/>
    <d v="2025-10-19T00:00:00"/>
    <n v="19"/>
    <s v="October"/>
    <n v="2025"/>
    <d v="1899-12-30T18:00:00"/>
    <s v="Client 95"/>
    <s v="Chikago"/>
    <s v="543 Birch Road, Unit 94OOOO"/>
    <x v="5"/>
    <s v="(718) 555-8762"/>
    <x v="0"/>
    <x v="0"/>
    <n v="2166"/>
    <n v="4"/>
  </r>
  <r>
    <x v="585"/>
    <n v="20"/>
    <x v="9"/>
    <x v="2"/>
    <x v="2"/>
    <x v="15"/>
    <n v="0"/>
    <n v="2130"/>
    <n v="0.15"/>
    <n v="2130"/>
    <d v="2025-10-20T00:00:00"/>
    <n v="20"/>
    <s v="October"/>
    <n v="2025"/>
    <d v="1899-12-30T10:00:00"/>
    <s v="Client 49"/>
    <s v="Chikago"/>
    <s v="321 Cedarwood Lane, Suite 48UU"/>
    <x v="0"/>
    <s v="(646) 555-2342"/>
    <x v="2"/>
    <x v="0"/>
    <n v="3669"/>
    <n v="4"/>
  </r>
  <r>
    <x v="586"/>
    <n v="21"/>
    <x v="9"/>
    <x v="2"/>
    <x v="4"/>
    <x v="10"/>
    <n v="100"/>
    <n v="0"/>
    <n v="0.15"/>
    <n v="100"/>
    <d v="2025-10-21T00:00:00"/>
    <n v="21"/>
    <s v="October"/>
    <n v="2025"/>
    <d v="1899-12-30T12:00:00"/>
    <s v="Client 71"/>
    <s v="Chikago"/>
    <s v="1234 Aspen Road, Unit 70QQQ"/>
    <x v="2"/>
    <s v="(212) 555-7887"/>
    <x v="1"/>
    <x v="0"/>
    <n v="1062"/>
    <n v="4"/>
  </r>
  <r>
    <x v="587"/>
    <n v="22"/>
    <x v="9"/>
    <x v="2"/>
    <x v="4"/>
    <x v="19"/>
    <n v="3510"/>
    <n v="0"/>
    <n v="0.15"/>
    <n v="3510"/>
    <d v="2025-10-22T00:00:00"/>
    <n v="22"/>
    <s v="October"/>
    <n v="2025"/>
    <d v="1899-12-30T16:00:00"/>
    <s v="Client 71"/>
    <s v="Chikago"/>
    <s v="1234 Aspen Road, Unit 70QQQ"/>
    <x v="4"/>
    <s v="(917) 555-4318"/>
    <x v="3"/>
    <x v="0"/>
    <n v="2087"/>
    <n v="4"/>
  </r>
  <r>
    <x v="588"/>
    <n v="23"/>
    <x v="9"/>
    <x v="2"/>
    <x v="3"/>
    <x v="21"/>
    <n v="3500"/>
    <n v="0"/>
    <n v="0.15"/>
    <n v="3500"/>
    <d v="2025-10-23T00:00:00"/>
    <n v="23"/>
    <s v="October"/>
    <n v="2025"/>
    <d v="1899-12-30T18:00:00"/>
    <s v="Client 32"/>
    <s v="Miami"/>
    <s v="876 Willowbrook Drive, Suite 31DD"/>
    <x v="2"/>
    <s v="(718) 555-3453"/>
    <x v="3"/>
    <x v="0"/>
    <n v="1906"/>
    <n v="4"/>
  </r>
  <r>
    <x v="589"/>
    <n v="24"/>
    <x v="9"/>
    <x v="2"/>
    <x v="4"/>
    <x v="6"/>
    <n v="1040"/>
    <n v="0"/>
    <m/>
    <n v="1040"/>
    <d v="2025-10-24T00:00:00"/>
    <n v="24"/>
    <s v="October"/>
    <n v="2025"/>
    <d v="1899-12-30T10:00:00"/>
    <s v="Client 35"/>
    <s v="Miami"/>
    <s v="8765 Cedarwood Street, Suite 34GG"/>
    <x v="3"/>
    <s v="(646) 555-6786"/>
    <x v="4"/>
    <x v="0"/>
    <n v="3526"/>
    <n v="4"/>
  </r>
  <r>
    <x v="590"/>
    <n v="25"/>
    <x v="9"/>
    <x v="2"/>
    <x v="4"/>
    <x v="6"/>
    <n v="380"/>
    <n v="0"/>
    <m/>
    <n v="380"/>
    <d v="2025-10-25T00:00:00"/>
    <n v="25"/>
    <s v="October"/>
    <n v="2025"/>
    <d v="1899-12-30T11:00:00"/>
    <s v="Client 36"/>
    <s v="Miami"/>
    <s v="8766 Cedarwood Street, Suite 34GG"/>
    <x v="3"/>
    <s v="(646) 555-6787"/>
    <x v="4"/>
    <x v="0"/>
    <n v="5049"/>
    <n v="5"/>
  </r>
  <r>
    <x v="589"/>
    <n v="24"/>
    <x v="9"/>
    <x v="2"/>
    <x v="2"/>
    <x v="22"/>
    <n v="0"/>
    <n v="1420"/>
    <m/>
    <n v="1420"/>
    <d v="2025-10-24T00:00:00"/>
    <n v="24"/>
    <s v="October"/>
    <n v="2025"/>
    <d v="1899-12-30T12:00:00"/>
    <s v="Client 82"/>
    <s v="Chikago"/>
    <s v="456 Oak Avenue, Suite 81BBBB"/>
    <x v="0"/>
    <s v="(212) 555-9873"/>
    <x v="4"/>
    <x v="0"/>
    <n v="3155"/>
    <n v="4"/>
  </r>
  <r>
    <x v="591"/>
    <n v="26"/>
    <x v="9"/>
    <x v="2"/>
    <x v="4"/>
    <x v="23"/>
    <n v="2090"/>
    <n v="0"/>
    <m/>
    <n v="2090"/>
    <d v="2025-10-26T00:00:00"/>
    <n v="26"/>
    <s v="October"/>
    <n v="2025"/>
    <d v="1899-12-30T16:00:00"/>
    <s v="Client 78"/>
    <s v="Chikago"/>
    <s v="210 Sycamore Road, Apt. 77XXX"/>
    <x v="5"/>
    <s v="(917) 555-7887"/>
    <x v="0"/>
    <x v="0"/>
    <n v="2848"/>
    <n v="4"/>
  </r>
  <r>
    <x v="586"/>
    <n v="21"/>
    <x v="9"/>
    <x v="2"/>
    <x v="4"/>
    <x v="23"/>
    <n v="4500"/>
    <n v="0"/>
    <m/>
    <n v="4500"/>
    <d v="2025-10-21T00:00:00"/>
    <n v="21"/>
    <s v="October"/>
    <n v="2025"/>
    <d v="1899-12-30T18:00:00"/>
    <s v="Client 79"/>
    <s v="Miami"/>
    <s v="8765 Cedarwood Street, Suite 78YYY"/>
    <x v="5"/>
    <s v="(718) 555-2342"/>
    <x v="0"/>
    <x v="0"/>
    <n v="2467"/>
    <n v="4"/>
  </r>
  <r>
    <x v="592"/>
    <n v="28"/>
    <x v="9"/>
    <x v="2"/>
    <x v="3"/>
    <x v="21"/>
    <n v="9000"/>
    <n v="0"/>
    <m/>
    <n v="9000"/>
    <d v="2025-10-28T00:00:00"/>
    <n v="28"/>
    <s v="October"/>
    <n v="2025"/>
    <d v="1899-12-30T10:00:00"/>
    <s v="Client 27"/>
    <s v="Chikago"/>
    <s v="1234 Aspen Road, Apt. 26Y"/>
    <x v="0"/>
    <n v="1900888990"/>
    <x v="0"/>
    <x v="0"/>
    <n v="3995"/>
    <n v="4"/>
  </r>
  <r>
    <x v="593"/>
    <n v="29"/>
    <x v="9"/>
    <x v="2"/>
    <x v="4"/>
    <x v="21"/>
    <n v="0"/>
    <n v="890"/>
    <m/>
    <n v="890"/>
    <d v="2025-10-29T00:00:00"/>
    <n v="29"/>
    <s v="October"/>
    <n v="2025"/>
    <d v="1899-12-30T12:00:00"/>
    <s v="Client 21"/>
    <s v="New York"/>
    <s v="789 Oak Lane, Apt. 20S"/>
    <x v="2"/>
    <s v="(212) 555-1232"/>
    <x v="4"/>
    <x v="0"/>
    <n v="5087"/>
    <n v="4"/>
  </r>
  <r>
    <x v="594"/>
    <n v="30"/>
    <x v="9"/>
    <x v="2"/>
    <x v="2"/>
    <x v="1"/>
    <n v="0"/>
    <n v="100"/>
    <m/>
    <n v="100"/>
    <d v="2025-10-30T00:00:00"/>
    <n v="30"/>
    <s v="October"/>
    <n v="2025"/>
    <d v="1899-12-30T16:00:00"/>
    <s v="Client 36"/>
    <s v="Chikago"/>
    <s v="4321 Elm Drive, Apt. 35HH"/>
    <x v="4"/>
    <s v="(917) 555-5676"/>
    <x v="4"/>
    <x v="0"/>
    <n v="1941"/>
    <n v="5"/>
  </r>
  <r>
    <x v="595"/>
    <n v="31"/>
    <x v="9"/>
    <x v="2"/>
    <x v="4"/>
    <x v="1"/>
    <n v="0"/>
    <n v="500"/>
    <m/>
    <n v="500"/>
    <d v="2025-10-31T00:00:00"/>
    <n v="31"/>
    <s v="October"/>
    <n v="2025"/>
    <d v="1899-12-30T18:00:00"/>
    <s v="Client 36"/>
    <s v="Chikago"/>
    <s v="4321 Elm Drive, Apt. 35HH"/>
    <x v="2"/>
    <s v="(718) 555-8763"/>
    <x v="3"/>
    <x v="0"/>
    <n v="826"/>
    <n v="4"/>
  </r>
  <r>
    <x v="596"/>
    <n v="1"/>
    <x v="10"/>
    <x v="2"/>
    <x v="4"/>
    <x v="18"/>
    <n v="200"/>
    <n v="0"/>
    <m/>
    <n v="200"/>
    <d v="2025-11-01T00:00:00"/>
    <n v="1"/>
    <s v="November"/>
    <n v="2025"/>
    <d v="1899-12-30T10:00:00"/>
    <s v="Client 66"/>
    <s v="Chikago"/>
    <s v="234 Maple Road, Apt. 65LLL"/>
    <x v="3"/>
    <s v="(646) 555-2343"/>
    <x v="4"/>
    <x v="1"/>
    <n v="5581"/>
    <m/>
  </r>
  <r>
    <x v="597"/>
    <n v="2"/>
    <x v="10"/>
    <x v="2"/>
    <x v="3"/>
    <x v="4"/>
    <n v="20000"/>
    <n v="500"/>
    <m/>
    <n v="20500"/>
    <d v="2025-11-02T00:00:00"/>
    <n v="2"/>
    <s v="November"/>
    <n v="2025"/>
    <d v="1899-12-30T12:00:00"/>
    <s v="Client 75"/>
    <s v="Chikago"/>
    <s v="321 Sequoia Street, Apt. 74UUU"/>
    <x v="0"/>
    <s v="(212) 555-7888"/>
    <x v="1"/>
    <x v="0"/>
    <n v="3586"/>
    <n v="4"/>
  </r>
  <r>
    <x v="598"/>
    <n v="3"/>
    <x v="10"/>
    <x v="2"/>
    <x v="4"/>
    <x v="15"/>
    <n v="4000"/>
    <n v="20000"/>
    <m/>
    <n v="24000"/>
    <d v="2025-11-03T00:00:00"/>
    <n v="3"/>
    <s v="November"/>
    <n v="2025"/>
    <d v="1899-12-30T16:00:00"/>
    <s v="Client 22"/>
    <s v="Chikago"/>
    <s v="234 Maple Road, Unit 21T"/>
    <x v="5"/>
    <s v="(917) 555-4319"/>
    <x v="2"/>
    <x v="0"/>
    <n v="2374"/>
    <n v="4"/>
  </r>
  <r>
    <x v="599"/>
    <n v="4"/>
    <x v="10"/>
    <x v="2"/>
    <x v="2"/>
    <x v="10"/>
    <n v="0"/>
    <n v="100"/>
    <n v="0.15"/>
    <n v="100"/>
    <d v="2025-11-04T00:00:00"/>
    <n v="4"/>
    <s v="November"/>
    <n v="2025"/>
    <d v="1899-12-30T18:00:00"/>
    <s v="Client 100"/>
    <s v="Chikago"/>
    <s v="456 Willow Lane, Suite 99TTTT"/>
    <x v="0"/>
    <s v="(718) 555-3454"/>
    <x v="0"/>
    <x v="0"/>
    <n v="2313"/>
    <n v="5"/>
  </r>
  <r>
    <x v="600"/>
    <n v="5"/>
    <x v="10"/>
    <x v="2"/>
    <x v="2"/>
    <x v="10"/>
    <n v="0"/>
    <n v="8760"/>
    <n v="0.15"/>
    <n v="8760"/>
    <d v="2025-11-05T00:00:00"/>
    <n v="5"/>
    <s v="November"/>
    <n v="2025"/>
    <d v="1899-12-30T19:00:00"/>
    <s v="Client 101"/>
    <s v="Chikago"/>
    <s v="457 Willow Lane, Suite 99TTTT"/>
    <x v="0"/>
    <s v="(718) 555-3455"/>
    <x v="0"/>
    <x v="0"/>
    <n v="1598"/>
    <n v="5"/>
  </r>
  <r>
    <x v="600"/>
    <n v="5"/>
    <x v="10"/>
    <x v="2"/>
    <x v="2"/>
    <x v="19"/>
    <n v="1000"/>
    <n v="0"/>
    <m/>
    <n v="1000"/>
    <d v="2025-11-05T00:00:00"/>
    <n v="5"/>
    <s v="November"/>
    <n v="2025"/>
    <d v="1899-12-30T09:00:00"/>
    <s v="Client 99"/>
    <s v="Chikago"/>
    <s v="123 Redwood Avenue, Apt. 98SSSS"/>
    <x v="2"/>
    <s v="(646) 555-6787"/>
    <x v="2"/>
    <x v="0"/>
    <n v="3178"/>
    <n v="5"/>
  </r>
  <r>
    <x v="601"/>
    <n v="6"/>
    <x v="10"/>
    <x v="2"/>
    <x v="3"/>
    <x v="21"/>
    <n v="3000"/>
    <n v="0"/>
    <m/>
    <n v="3000"/>
    <d v="2025-11-06T00:00:00"/>
    <n v="6"/>
    <s v="November"/>
    <n v="2025"/>
    <d v="1899-12-30T11:00:00"/>
    <s v="Client 63"/>
    <s v="Chikago"/>
    <s v="123 Elm Street, Apt. 62III"/>
    <x v="4"/>
    <s v="(212) 555-9874"/>
    <x v="4"/>
    <x v="0"/>
    <n v="390"/>
    <n v="3"/>
  </r>
  <r>
    <x v="596"/>
    <n v="1"/>
    <x v="10"/>
    <x v="2"/>
    <x v="4"/>
    <x v="6"/>
    <n v="5600"/>
    <n v="0"/>
    <m/>
    <n v="5600"/>
    <d v="2025-11-01T00:00:00"/>
    <n v="1"/>
    <s v="November"/>
    <n v="2025"/>
    <d v="1899-12-30T15:00:00"/>
    <s v="Client 33"/>
    <s v="Chikago"/>
    <s v="543 Acorn Lane, Apt. 32EE"/>
    <x v="2"/>
    <s v="(917) 555-7888"/>
    <x v="0"/>
    <x v="0"/>
    <n v="2579"/>
    <n v="4"/>
  </r>
  <r>
    <x v="602"/>
    <n v="8"/>
    <x v="10"/>
    <x v="2"/>
    <x v="1"/>
    <x v="22"/>
    <n v="20000"/>
    <n v="2000"/>
    <m/>
    <n v="22000"/>
    <d v="2025-11-08T00:00:00"/>
    <n v="8"/>
    <s v="November"/>
    <n v="2025"/>
    <d v="1899-12-30T11:00:00"/>
    <s v="Client 92"/>
    <s v="New York"/>
    <s v="654 Sycamore Avenue, Unit 91LLLL"/>
    <x v="3"/>
    <s v="(718) 555-2343"/>
    <x v="0"/>
    <x v="0"/>
    <n v="2085"/>
    <n v="4"/>
  </r>
  <r>
    <x v="603"/>
    <n v="9"/>
    <x v="10"/>
    <x v="2"/>
    <x v="1"/>
    <x v="23"/>
    <n v="1000"/>
    <n v="0"/>
    <m/>
    <n v="1000"/>
    <d v="2025-11-09T00:00:00"/>
    <n v="9"/>
    <s v="November"/>
    <n v="2025"/>
    <d v="1899-12-30T09:00:00"/>
    <s v="Client 97"/>
    <s v="New Orleans"/>
    <s v="8765 Maple Street, Suite 96QQQQ"/>
    <x v="2"/>
    <s v="0 900 888 990"/>
    <x v="4"/>
    <x v="0"/>
    <n v="2988"/>
    <n v="5"/>
  </r>
  <r>
    <x v="604"/>
    <n v="10"/>
    <x v="10"/>
    <x v="2"/>
    <x v="2"/>
    <x v="23"/>
    <n v="0"/>
    <n v="800"/>
    <m/>
    <n v="800"/>
    <d v="2025-11-10T00:00:00"/>
    <n v="10"/>
    <s v="November"/>
    <n v="2025"/>
    <d v="1899-12-30T11:00:00"/>
    <s v="Client 51"/>
    <s v="Chikago"/>
    <s v="543 Birch Road, Apt. 50WW"/>
    <x v="0"/>
    <s v="(212) 555-1233"/>
    <x v="0"/>
    <x v="0"/>
    <n v="2586"/>
    <n v="3"/>
  </r>
  <r>
    <x v="605"/>
    <n v="11"/>
    <x v="10"/>
    <x v="2"/>
    <x v="3"/>
    <x v="21"/>
    <n v="0"/>
    <n v="900"/>
    <m/>
    <n v="900"/>
    <d v="2025-11-11T00:00:00"/>
    <n v="11"/>
    <s v="November"/>
    <n v="2025"/>
    <d v="1899-12-30T15:00:00"/>
    <s v="Client 63"/>
    <s v="Chikago"/>
    <s v="123 Elm Street, Apt. 62III"/>
    <x v="5"/>
    <s v="(917) 555-5677"/>
    <x v="0"/>
    <x v="0"/>
    <n v="3266"/>
    <n v="2"/>
  </r>
  <r>
    <x v="606"/>
    <n v="12"/>
    <x v="10"/>
    <x v="2"/>
    <x v="4"/>
    <x v="21"/>
    <n v="0"/>
    <n v="900"/>
    <n v="0.15"/>
    <n v="900"/>
    <d v="2025-11-12T00:00:00"/>
    <n v="12"/>
    <s v="November"/>
    <n v="2025"/>
    <d v="1899-12-30T11:00:00"/>
    <s v="Client 23"/>
    <s v="Chikago"/>
    <s v="567 Pine Street, Suite 22U"/>
    <x v="4"/>
    <s v="(718) 555-8764"/>
    <x v="0"/>
    <x v="0"/>
    <n v="3574"/>
    <n v="4"/>
  </r>
  <r>
    <x v="607"/>
    <n v="13"/>
    <x v="10"/>
    <x v="2"/>
    <x v="0"/>
    <x v="1"/>
    <n v="2000"/>
    <n v="20000"/>
    <m/>
    <n v="22000"/>
    <d v="2025-11-13T00:00:00"/>
    <n v="13"/>
    <s v="November"/>
    <n v="2025"/>
    <d v="1899-12-30T09:00:00"/>
    <s v="Client 92"/>
    <s v="New York"/>
    <s v="654 Sycamore Avenue, Unit 91LLLL"/>
    <x v="5"/>
    <s v="(646) 555-2344"/>
    <x v="2"/>
    <x v="0"/>
    <n v="1715"/>
    <n v="5"/>
  </r>
  <r>
    <x v="608"/>
    <n v="14"/>
    <x v="10"/>
    <x v="2"/>
    <x v="1"/>
    <x v="1"/>
    <n v="0"/>
    <n v="2130"/>
    <m/>
    <n v="2130"/>
    <d v="2025-11-14T00:00:00"/>
    <n v="14"/>
    <s v="November"/>
    <n v="2025"/>
    <d v="1899-12-30T11:00:00"/>
    <s v="Client 4"/>
    <s v="Chikago"/>
    <s v="234 Pine Road, Apt. 3C"/>
    <x v="0"/>
    <s v="(212) 555-7889"/>
    <x v="1"/>
    <x v="0"/>
    <n v="2399"/>
    <n v="5"/>
  </r>
  <r>
    <x v="609"/>
    <n v="15"/>
    <x v="10"/>
    <x v="2"/>
    <x v="3"/>
    <x v="18"/>
    <n v="160"/>
    <n v="0"/>
    <m/>
    <n v="160"/>
    <d v="2025-11-15T00:00:00"/>
    <n v="15"/>
    <s v="November"/>
    <n v="2025"/>
    <d v="1899-12-30T15:00:00"/>
    <s v="Client 95"/>
    <s v="Chikago"/>
    <s v="543 Birch Road, Unit 94OOOO"/>
    <x v="0"/>
    <s v="(917) 555-4320"/>
    <x v="3"/>
    <x v="0"/>
    <n v="3242"/>
    <n v="5"/>
  </r>
  <r>
    <x v="610"/>
    <n v="16"/>
    <x v="10"/>
    <x v="2"/>
    <x v="2"/>
    <x v="4"/>
    <n v="3510"/>
    <n v="0"/>
    <m/>
    <n v="3510"/>
    <d v="2025-11-16T00:00:00"/>
    <n v="16"/>
    <s v="November"/>
    <n v="2025"/>
    <d v="1899-12-30T11:00:00"/>
    <s v="Client 83"/>
    <s v="New York"/>
    <s v="789 Maple Street, Unit 82CCCC"/>
    <x v="5"/>
    <s v="(718) 555-3455"/>
    <x v="3"/>
    <x v="0"/>
    <n v="4189"/>
    <n v="5"/>
  </r>
  <r>
    <x v="610"/>
    <n v="16"/>
    <x v="10"/>
    <x v="2"/>
    <x v="2"/>
    <x v="15"/>
    <n v="3510"/>
    <n v="0"/>
    <n v="0.15"/>
    <n v="3510"/>
    <d v="2025-11-16T00:00:00"/>
    <n v="16"/>
    <s v="November"/>
    <n v="2025"/>
    <d v="1899-12-30T09:00:00"/>
    <s v="Client 62"/>
    <s v="New York"/>
    <s v="678 Cedarwood Road, Unit 61HHH"/>
    <x v="3"/>
    <s v="(646) 555-6788"/>
    <x v="4"/>
    <x v="0"/>
    <n v="5305"/>
    <n v="5"/>
  </r>
  <r>
    <x v="611"/>
    <n v="18"/>
    <x v="10"/>
    <x v="2"/>
    <x v="4"/>
    <x v="10"/>
    <n v="2540"/>
    <n v="0"/>
    <m/>
    <n v="2540"/>
    <d v="2025-11-18T00:00:00"/>
    <n v="18"/>
    <s v="November"/>
    <n v="2025"/>
    <d v="1899-12-30T11:00:00"/>
    <s v="Client 52"/>
    <s v="Chikago"/>
    <s v="210 Oak Lane, Suite 51XX"/>
    <x v="5"/>
    <s v="(212) 555-9875"/>
    <x v="4"/>
    <x v="0"/>
    <n v="856"/>
    <n v="5"/>
  </r>
  <r>
    <x v="612"/>
    <n v="19"/>
    <x v="10"/>
    <x v="2"/>
    <x v="4"/>
    <x v="19"/>
    <n v="0"/>
    <n v="1420"/>
    <m/>
    <n v="1420"/>
    <d v="2025-11-19T00:00:00"/>
    <n v="19"/>
    <s v="November"/>
    <n v="2025"/>
    <d v="1899-12-30T15:00:00"/>
    <s v="Client 99"/>
    <s v="Chikago"/>
    <s v="123 Redwood Avenue, Apt. 98SSSS"/>
    <x v="0"/>
    <s v="(917) 555-7889"/>
    <x v="4"/>
    <x v="0"/>
    <n v="4885"/>
    <n v="4"/>
  </r>
  <r>
    <x v="613"/>
    <n v="20"/>
    <x v="10"/>
    <x v="2"/>
    <x v="1"/>
    <x v="21"/>
    <n v="2090"/>
    <n v="0"/>
    <m/>
    <n v="2090"/>
    <d v="2025-11-20T00:00:00"/>
    <n v="20"/>
    <s v="November"/>
    <n v="2025"/>
    <d v="1899-12-30T11:00:00"/>
    <s v="Client 85"/>
    <s v="Chikago"/>
    <s v="567 Willow Drive, Suite 84EEEE"/>
    <x v="4"/>
    <s v="(718) 555-2344"/>
    <x v="0"/>
    <x v="0"/>
    <n v="2439"/>
    <n v="4"/>
  </r>
  <r>
    <x v="614"/>
    <n v="21"/>
    <x v="10"/>
    <x v="2"/>
    <x v="3"/>
    <x v="6"/>
    <n v="3190"/>
    <n v="0"/>
    <m/>
    <n v="3190"/>
    <d v="2025-11-21T00:00:00"/>
    <n v="21"/>
    <s v="November"/>
    <n v="2025"/>
    <d v="1899-12-30T10:00:00"/>
    <s v="Client 76"/>
    <s v="Miami"/>
    <s v="876 Willowbrook Drive, Suite 75VVV"/>
    <x v="4"/>
    <n v="1900888990"/>
    <x v="4"/>
    <x v="0"/>
    <n v="1867"/>
    <n v="4"/>
  </r>
  <r>
    <x v="615"/>
    <n v="22"/>
    <x v="10"/>
    <x v="2"/>
    <x v="2"/>
    <x v="22"/>
    <n v="9000"/>
    <n v="0"/>
    <m/>
    <n v="9000"/>
    <d v="2025-11-22T00:00:00"/>
    <n v="22"/>
    <s v="November"/>
    <n v="2025"/>
    <d v="1899-12-30T12:00:00"/>
    <s v="Client 75"/>
    <s v="Chikago"/>
    <s v="321 Sequoia Street, Apt. 74UUU"/>
    <x v="2"/>
    <s v="(212) 555-1234"/>
    <x v="1"/>
    <x v="0"/>
    <n v="3911"/>
    <n v="4"/>
  </r>
  <r>
    <x v="616"/>
    <n v="23"/>
    <x v="10"/>
    <x v="2"/>
    <x v="2"/>
    <x v="23"/>
    <n v="0"/>
    <n v="890"/>
    <m/>
    <n v="890"/>
    <d v="2025-11-23T00:00:00"/>
    <n v="23"/>
    <s v="November"/>
    <n v="2025"/>
    <d v="1899-12-30T16:00:00"/>
    <s v="Client 27"/>
    <s v="Chikago"/>
    <s v="1234 Aspen Road, Apt. 26Y"/>
    <x v="3"/>
    <s v="(917) 555-5678"/>
    <x v="2"/>
    <x v="0"/>
    <n v="5100"/>
    <n v="4"/>
  </r>
  <r>
    <x v="617"/>
    <n v="24"/>
    <x v="10"/>
    <x v="2"/>
    <x v="4"/>
    <x v="23"/>
    <n v="0"/>
    <n v="100"/>
    <m/>
    <n v="100"/>
    <d v="2025-11-24T00:00:00"/>
    <n v="24"/>
    <s v="November"/>
    <n v="2025"/>
    <d v="1899-12-30T18:00:00"/>
    <s v="Client 56"/>
    <s v="Chikago"/>
    <s v="456 Willow Lane, Unit 55BBB"/>
    <x v="0"/>
    <s v="(718) 555-8765"/>
    <x v="0"/>
    <x v="1"/>
    <n v="1475"/>
    <m/>
  </r>
  <r>
    <x v="618"/>
    <n v="25"/>
    <x v="10"/>
    <x v="2"/>
    <x v="4"/>
    <x v="21"/>
    <n v="0"/>
    <n v="5000"/>
    <m/>
    <n v="5000"/>
    <d v="2025-11-25T00:00:00"/>
    <n v="25"/>
    <s v="November"/>
    <n v="2025"/>
    <d v="1899-12-30T10:00:00"/>
    <s v="Client 96"/>
    <s v="Chikago"/>
    <s v="210 Oak Lane, Apt. 95PPPP"/>
    <x v="4"/>
    <s v="(646) 555-2345"/>
    <x v="2"/>
    <x v="0"/>
    <n v="4213"/>
    <n v="4"/>
  </r>
  <r>
    <x v="619"/>
    <n v="26"/>
    <x v="10"/>
    <x v="2"/>
    <x v="0"/>
    <x v="21"/>
    <n v="200"/>
    <n v="0"/>
    <m/>
    <n v="200"/>
    <d v="2025-11-26T00:00:00"/>
    <n v="26"/>
    <s v="November"/>
    <n v="2025"/>
    <d v="1899-12-30T12:00:00"/>
    <s v="Client 70"/>
    <s v="New York"/>
    <s v="678 Spruce Street, Suite 69PPP"/>
    <x v="1"/>
    <s v="(212) 555-7890"/>
    <x v="4"/>
    <x v="1"/>
    <n v="4812"/>
    <m/>
  </r>
  <r>
    <x v="620"/>
    <n v="29"/>
    <x v="10"/>
    <x v="2"/>
    <x v="3"/>
    <x v="1"/>
    <n v="0"/>
    <n v="500"/>
    <m/>
    <n v="500"/>
    <d v="2025-11-29T00:00:00"/>
    <n v="29"/>
    <s v="November"/>
    <n v="2025"/>
    <d v="1899-12-30T16:00:00"/>
    <s v="Client 30"/>
    <s v="New York"/>
    <s v="654 Magnolia Lane, Apt. 29BB"/>
    <x v="1"/>
    <s v="(917) 555-4321"/>
    <x v="0"/>
    <x v="0"/>
    <n v="1467"/>
    <n v="4"/>
  </r>
  <r>
    <x v="621"/>
    <n v="1"/>
    <x v="11"/>
    <x v="2"/>
    <x v="0"/>
    <x v="1"/>
    <n v="4000"/>
    <n v="0"/>
    <m/>
    <n v="4000"/>
    <d v="2025-12-01T00:00:00"/>
    <n v="1"/>
    <s v="December"/>
    <n v="2025"/>
    <d v="1899-12-30T18:00:00"/>
    <s v="Client 32"/>
    <s v="Miami"/>
    <s v="876 Willowbrook Drive, Suite 31DD"/>
    <x v="0"/>
    <s v="(718) 555-3456"/>
    <x v="3"/>
    <x v="0"/>
    <n v="4085"/>
    <n v="4"/>
  </r>
  <r>
    <x v="621"/>
    <n v="1"/>
    <x v="11"/>
    <x v="2"/>
    <x v="0"/>
    <x v="18"/>
    <n v="0"/>
    <n v="100"/>
    <m/>
    <n v="100"/>
    <d v="2025-12-01T00:00:00"/>
    <n v="1"/>
    <s v="December"/>
    <n v="2025"/>
    <d v="1899-12-30T10:00:00"/>
    <s v="Client 63"/>
    <s v="Chikago"/>
    <s v="123 Elm Street, Apt. 62III"/>
    <x v="0"/>
    <s v="(646) 555-6789"/>
    <x v="0"/>
    <x v="1"/>
    <n v="3991"/>
    <m/>
  </r>
  <r>
    <x v="621"/>
    <n v="1"/>
    <x v="11"/>
    <x v="2"/>
    <x v="4"/>
    <x v="4"/>
    <n v="1000"/>
    <n v="0"/>
    <m/>
    <n v="1000"/>
    <d v="2025-12-01T00:00:00"/>
    <n v="1"/>
    <s v="December"/>
    <n v="2025"/>
    <d v="1899-12-30T12:00:00"/>
    <s v="Client 71"/>
    <s v="Chikago"/>
    <s v="1234 Aspen Road, Unit 70QQQ"/>
    <x v="1"/>
    <s v="(212) 555-9876"/>
    <x v="0"/>
    <x v="0"/>
    <n v="1710"/>
    <n v="4"/>
  </r>
  <r>
    <x v="621"/>
    <n v="1"/>
    <x v="11"/>
    <x v="2"/>
    <x v="4"/>
    <x v="15"/>
    <n v="3000"/>
    <n v="0"/>
    <m/>
    <n v="3000"/>
    <d v="2025-12-01T00:00:00"/>
    <n v="1"/>
    <s v="December"/>
    <n v="2025"/>
    <d v="1899-12-30T16:00:00"/>
    <s v="Client 32"/>
    <s v="Miami"/>
    <s v="876 Willowbrook Drive, Suite 31DD"/>
    <x v="3"/>
    <s v="(917) 555-7890"/>
    <x v="0"/>
    <x v="2"/>
    <n v="3201"/>
    <m/>
  </r>
  <r>
    <x v="622"/>
    <n v="2"/>
    <x v="11"/>
    <x v="2"/>
    <x v="4"/>
    <x v="15"/>
    <n v="19510"/>
    <n v="0"/>
    <m/>
    <n v="19510"/>
    <d v="2025-12-02T00:00:00"/>
    <n v="2"/>
    <s v="December"/>
    <n v="2025"/>
    <d v="1899-12-30T17:00:00"/>
    <s v="Client 33"/>
    <s v="Miami"/>
    <s v="877 Willowbrook Drive, Suite 31DD"/>
    <x v="3"/>
    <s v="(917) 555-7891"/>
    <x v="0"/>
    <x v="0"/>
    <n v="2855"/>
    <n v="5"/>
  </r>
  <r>
    <x v="622"/>
    <n v="2"/>
    <x v="11"/>
    <x v="2"/>
    <x v="1"/>
    <x v="10"/>
    <n v="5600"/>
    <n v="20000"/>
    <m/>
    <n v="25600"/>
    <d v="2025-12-02T00:00:00"/>
    <n v="2"/>
    <s v="December"/>
    <n v="2025"/>
    <d v="1899-12-30T18:00:00"/>
    <s v="Client 33"/>
    <s v="Chikago"/>
    <s v="543 Acorn Lane, Apt. 32EE"/>
    <x v="0"/>
    <s v="(718) 555-2345"/>
    <x v="2"/>
    <x v="2"/>
    <n v="2103"/>
    <m/>
  </r>
  <r>
    <x v="623"/>
    <n v="3"/>
    <x v="11"/>
    <x v="2"/>
    <x v="3"/>
    <x v="19"/>
    <n v="20000"/>
    <n v="2000"/>
    <m/>
    <n v="22000"/>
    <d v="2025-12-03T00:00:00"/>
    <n v="3"/>
    <s v="December"/>
    <n v="2025"/>
    <d v="1899-12-30T09:00:00"/>
    <s v="Client 17"/>
    <s v="Chikago"/>
    <s v="8765 Sycamore Court, Suite 16O"/>
    <x v="2"/>
    <n v="1900888990"/>
    <x v="1"/>
    <x v="0"/>
    <n v="2465"/>
    <n v="4"/>
  </r>
  <r>
    <x v="624"/>
    <n v="4"/>
    <x v="11"/>
    <x v="2"/>
    <x v="4"/>
    <x v="21"/>
    <n v="1000"/>
    <n v="0"/>
    <n v="0.15"/>
    <n v="1000"/>
    <d v="2025-12-04T00:00:00"/>
    <n v="4"/>
    <s v="December"/>
    <n v="2025"/>
    <d v="1899-12-30T11:00:00"/>
    <s v="Client 44"/>
    <s v="New York"/>
    <s v="678 Aspen Avenue, Unit 43PP"/>
    <x v="4"/>
    <s v="(212) 555-1235"/>
    <x v="3"/>
    <x v="0"/>
    <n v="4128"/>
    <n v="4"/>
  </r>
  <r>
    <x v="625"/>
    <n v="5"/>
    <x v="11"/>
    <x v="2"/>
    <x v="2"/>
    <x v="6"/>
    <n v="20000"/>
    <n v="800"/>
    <n v="0.15"/>
    <n v="20800"/>
    <d v="2025-12-05T00:00:00"/>
    <n v="5"/>
    <s v="December"/>
    <n v="2025"/>
    <d v="1899-12-30T15:00:00"/>
    <s v="Client 9"/>
    <s v="Chikago"/>
    <s v="1234 Redwood Road, Unit 5G"/>
    <x v="1"/>
    <s v="(917) 555-5679"/>
    <x v="3"/>
    <x v="0"/>
    <n v="2269"/>
    <n v="4"/>
  </r>
  <r>
    <x v="625"/>
    <n v="5"/>
    <x v="11"/>
    <x v="2"/>
    <x v="1"/>
    <x v="22"/>
    <n v="0"/>
    <n v="900"/>
    <n v="0.15"/>
    <n v="900"/>
    <d v="2025-12-05T00:00:00"/>
    <n v="5"/>
    <s v="December"/>
    <n v="2025"/>
    <d v="1899-12-30T11:00:00"/>
    <s v="Client 21"/>
    <s v="New York"/>
    <s v="789 Oak Lane, Apt. 20S"/>
    <x v="0"/>
    <s v="(718) 555-8766"/>
    <x v="4"/>
    <x v="2"/>
    <n v="1468"/>
    <m/>
  </r>
  <r>
    <x v="621"/>
    <n v="1"/>
    <x v="11"/>
    <x v="2"/>
    <x v="4"/>
    <x v="23"/>
    <n v="9000"/>
    <n v="0"/>
    <n v="0.15"/>
    <n v="9000"/>
    <d v="2025-12-01T00:00:00"/>
    <n v="1"/>
    <s v="December"/>
    <n v="2025"/>
    <d v="1899-12-30T10:00:00"/>
    <s v="Client 38"/>
    <s v="Chikago"/>
    <s v="456 Oak Avenue, Unit 37JJ"/>
    <x v="1"/>
    <s v="(646) 555-2346"/>
    <x v="4"/>
    <x v="0"/>
    <n v="3887"/>
    <n v="4"/>
  </r>
  <r>
    <x v="621"/>
    <n v="1"/>
    <x v="11"/>
    <x v="2"/>
    <x v="3"/>
    <x v="23"/>
    <n v="0"/>
    <n v="890"/>
    <n v="0.15"/>
    <n v="890"/>
    <d v="2025-12-01T00:00:00"/>
    <n v="1"/>
    <s v="December"/>
    <n v="2025"/>
    <d v="1899-12-30T12:00:00"/>
    <s v="Client 73"/>
    <s v="Chikago"/>
    <s v="987 Pinecone Avenue, Suite 72SSS"/>
    <x v="0"/>
    <s v="(212) 555-7891"/>
    <x v="4"/>
    <x v="2"/>
    <n v="2891"/>
    <m/>
  </r>
  <r>
    <x v="621"/>
    <n v="1"/>
    <x v="11"/>
    <x v="2"/>
    <x v="4"/>
    <x v="21"/>
    <n v="0"/>
    <n v="100"/>
    <n v="0.15"/>
    <n v="100"/>
    <d v="2025-12-01T00:00:00"/>
    <n v="1"/>
    <s v="December"/>
    <n v="2025"/>
    <d v="1899-12-30T16:00:00"/>
    <s v="Client 84"/>
    <s v="Chikago"/>
    <s v="234 Pine Road, Apt. 83DDDD"/>
    <x v="0"/>
    <s v="(917) 555-4322"/>
    <x v="4"/>
    <x v="1"/>
    <n v="1360"/>
    <m/>
  </r>
  <r>
    <x v="621"/>
    <n v="1"/>
    <x v="11"/>
    <x v="2"/>
    <x v="2"/>
    <x v="21"/>
    <n v="20000"/>
    <n v="5000"/>
    <m/>
    <n v="25000"/>
    <d v="2025-12-01T00:00:00"/>
    <n v="1"/>
    <s v="December"/>
    <n v="2025"/>
    <d v="1899-12-30T16:00:00"/>
    <s v="Client 10"/>
    <s v="Chikago"/>
    <s v="5678 Juniper Street, Apt. 9H"/>
    <x v="3"/>
    <s v="(718) 555-3457"/>
    <x v="3"/>
    <x v="2"/>
    <n v="2530"/>
    <m/>
  </r>
  <r>
    <x v="621"/>
    <n v="1"/>
    <x v="11"/>
    <x v="2"/>
    <x v="4"/>
    <x v="1"/>
    <n v="200"/>
    <n v="0"/>
    <m/>
    <n v="200"/>
    <d v="2025-12-01T00:00:00"/>
    <n v="1"/>
    <s v="December"/>
    <n v="2025"/>
    <d v="1899-12-30T18:00:00"/>
    <s v="Client 61"/>
    <s v="Chikago"/>
    <s v="345 Sycamore Lane, Suite 60GGG"/>
    <x v="1"/>
    <s v="(646) 555-6790"/>
    <x v="4"/>
    <x v="0"/>
    <n v="3972"/>
    <n v="4"/>
  </r>
  <r>
    <x v="626"/>
    <n v="8"/>
    <x v="11"/>
    <x v="2"/>
    <x v="4"/>
    <x v="24"/>
    <n v="100"/>
    <n v="0"/>
    <n v="0.05"/>
    <n v="100"/>
    <d v="2025-12-08T00:00:00"/>
    <n v="8"/>
    <s v="December"/>
    <n v="2025"/>
    <d v="1899-12-30T14:00:00"/>
    <s v="Client 56"/>
    <s v="Chikago"/>
    <s v="456 Willow Lane, Unit 55BBB"/>
    <x v="4"/>
    <s v="(212) 555-9877"/>
    <x v="0"/>
    <x v="2"/>
    <n v="3788"/>
    <m/>
  </r>
  <r>
    <x v="626"/>
    <n v="8"/>
    <x v="11"/>
    <x v="2"/>
    <x v="4"/>
    <x v="21"/>
    <n v="0"/>
    <n v="500"/>
    <n v="0.15"/>
    <n v="500"/>
    <d v="2025-12-08T00:00:00"/>
    <n v="8"/>
    <s v="December"/>
    <n v="2025"/>
    <d v="1899-12-30T16:00:00"/>
    <s v="Client 56"/>
    <s v="Chikago"/>
    <s v="456 Willow Lane, Unit 55BBB"/>
    <x v="1"/>
    <s v="(917) 555-5678"/>
    <x v="4"/>
    <x v="2"/>
    <n v="468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4F0378-249C-4B0E-AE09-D6CE14BD507F}"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axis="axisRow" showAll="0" sortType="ascending">
      <items count="24">
        <item x="0"/>
        <item x="1"/>
        <item x="2"/>
        <item x="3"/>
        <item m="1" x="12"/>
        <item m="1" x="13"/>
        <item m="1" x="14"/>
        <item m="1" x="15"/>
        <item x="4"/>
        <item x="5"/>
        <item m="1" x="16"/>
        <item m="1" x="17"/>
        <item m="1" x="18"/>
        <item m="1" x="19"/>
        <item m="1" x="20"/>
        <item m="1" x="21"/>
        <item m="1" x="22"/>
        <item x="6"/>
        <item x="7"/>
        <item x="8"/>
        <item x="9"/>
        <item x="10"/>
        <item x="11"/>
        <item t="default"/>
      </items>
    </pivotField>
    <pivotField numFmtId="1" showAll="0">
      <items count="4">
        <item h="1" x="0"/>
        <item h="1" x="1"/>
        <item x="2"/>
        <item t="default"/>
      </items>
    </pivotField>
    <pivotField showAll="0"/>
    <pivotField showAll="0"/>
    <pivotField dataField="1" showAll="0"/>
    <pivotField dataField="1" showAll="0"/>
    <pivotField showAll="0"/>
    <pivotField dataField="1"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2"/>
  </rowFields>
  <rowItems count="13">
    <i>
      <x/>
    </i>
    <i>
      <x v="1"/>
    </i>
    <i>
      <x v="2"/>
    </i>
    <i>
      <x v="3"/>
    </i>
    <i>
      <x v="8"/>
    </i>
    <i>
      <x v="9"/>
    </i>
    <i>
      <x v="17"/>
    </i>
    <i>
      <x v="18"/>
    </i>
    <i>
      <x v="19"/>
    </i>
    <i>
      <x v="20"/>
    </i>
    <i>
      <x v="21"/>
    </i>
    <i>
      <x v="22"/>
    </i>
    <i t="grand">
      <x/>
    </i>
  </rowItems>
  <colFields count="1">
    <field x="-2"/>
  </colFields>
  <colItems count="4">
    <i>
      <x/>
    </i>
    <i i="1">
      <x v="1"/>
    </i>
    <i i="2">
      <x v="2"/>
    </i>
    <i i="3">
      <x v="3"/>
    </i>
  </colItems>
  <dataFields count="4">
    <dataField name="Sum of Cash" fld="6" baseField="3" baseItem="0"/>
    <dataField name="Sum of Card" fld="7" baseField="3" baseItem="0"/>
    <dataField name="Sum of Total" fld="9" baseField="0" baseItem="0"/>
    <dataField name="Sum of Cos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C1D99C-CACF-4EEF-9437-46B9A891B388}" name="PivotTable9"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9:T20" firstHeaderRow="0" firstDataRow="1" firstDataCol="0"/>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showAll="0"/>
    <pivotField dataField="1" showAll="0"/>
    <pivotField dataField="1"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Items count="1">
    <i/>
  </rowItems>
  <colFields count="1">
    <field x="-2"/>
  </colFields>
  <colItems count="2">
    <i>
      <x/>
    </i>
    <i i="1">
      <x v="1"/>
    </i>
  </colItems>
  <dataFields count="2">
    <dataField name="Sum of Card" fld="7" baseField="0" baseItem="0"/>
    <dataField name="Sum of Cash"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11452-053F-478B-8E0B-41A55A39EEC2}"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9:K26"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showAll="0"/>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axis="axisRow" showAll="0">
      <items count="7">
        <item x="0"/>
        <item x="2"/>
        <item x="4"/>
        <item x="3"/>
        <item x="1"/>
        <item x="5"/>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18"/>
  </rowFields>
  <rowItems count="7">
    <i>
      <x/>
    </i>
    <i>
      <x v="1"/>
    </i>
    <i>
      <x v="2"/>
    </i>
    <i>
      <x v="3"/>
    </i>
    <i>
      <x v="4"/>
    </i>
    <i>
      <x v="5"/>
    </i>
    <i t="grand">
      <x/>
    </i>
  </rowItems>
  <colItems count="1">
    <i/>
  </colItems>
  <dataFields count="1">
    <dataField name="Count of Client rating" fld="23" subtotal="count"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D9685-CD99-408C-B5B6-24FF9672C643}" name="PivotTable5" cacheId="7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5:A36"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pivotField axis="axisRow" numFmtId="1" showAll="0">
      <items count="4">
        <item h="1" x="0"/>
        <item h="1" x="1"/>
        <item x="2"/>
        <item t="default"/>
      </items>
    </pivotField>
    <pivotField showAll="0"/>
    <pivotField showAll="0"/>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3"/>
  </rowFields>
  <rowItems count="1">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BF1E49-1F75-44C3-93A9-25A83D712D12}"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E32" firstHeaderRow="0"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axis="axisRow"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showAll="0"/>
    <pivotField dataField="1" showAll="0"/>
    <pivotField dataField="1" showAll="0"/>
    <pivotField showAll="0"/>
    <pivotField dataField="1"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2"/>
  </rowFields>
  <rowItems count="13">
    <i>
      <x/>
    </i>
    <i>
      <x v="1"/>
    </i>
    <i>
      <x v="2"/>
    </i>
    <i>
      <x v="3"/>
    </i>
    <i>
      <x v="8"/>
    </i>
    <i>
      <x v="9"/>
    </i>
    <i>
      <x v="17"/>
    </i>
    <i>
      <x v="18"/>
    </i>
    <i>
      <x v="19"/>
    </i>
    <i>
      <x v="20"/>
    </i>
    <i>
      <x v="21"/>
    </i>
    <i>
      <x v="22"/>
    </i>
    <i t="grand">
      <x/>
    </i>
  </rowItems>
  <colFields count="1">
    <field x="-2"/>
  </colFields>
  <colItems count="4">
    <i>
      <x/>
    </i>
    <i i="1">
      <x v="1"/>
    </i>
    <i i="2">
      <x v="2"/>
    </i>
    <i i="3">
      <x v="3"/>
    </i>
  </colItems>
  <dataFields count="4">
    <dataField name="Sum of Cash" fld="6" baseField="3" baseItem="0"/>
    <dataField name="Sum of Card" fld="7" baseField="3" baseItem="0"/>
    <dataField name="Sum of Total" fld="9" baseField="0" baseItem="0"/>
    <dataField name="Sum of Cos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FAB6C-DF6B-4504-9F4B-91E2452EBAAC}" name="PivotTable1"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H25"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axis="axisRow" showAll="0">
      <items count="6">
        <item x="4"/>
        <item x="3"/>
        <item x="0"/>
        <item x="1"/>
        <item x="2"/>
        <item t="default"/>
      </items>
    </pivotField>
    <pivotField showAll="0"/>
    <pivotField showAll="0"/>
    <pivotField showAll="0"/>
    <pivotField showAll="0"/>
    <pivotField dataField="1"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4"/>
  </rowFields>
  <rowItems count="6">
    <i>
      <x/>
    </i>
    <i>
      <x v="1"/>
    </i>
    <i>
      <x v="2"/>
    </i>
    <i>
      <x v="3"/>
    </i>
    <i>
      <x v="4"/>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5C926E-C557-4C24-A665-BADABBDA4EFA}" name="PivotTable6" cacheId="7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1:A53"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axis="axisRow" showAll="0" sortType="ascending">
      <items count="24">
        <item h="1" m="1" x="12"/>
        <item h="1" m="1" x="13"/>
        <item h="1" m="1" x="14"/>
        <item h="1" m="1" x="15"/>
        <item x="0"/>
        <item x="1"/>
        <item x="2"/>
        <item x="3"/>
        <item x="4"/>
        <item h="1" m="1" x="16"/>
        <item x="5"/>
        <item x="6"/>
        <item x="7"/>
        <item x="8"/>
        <item x="9"/>
        <item x="10"/>
        <item x="11"/>
        <item h="1" m="1" x="17"/>
        <item h="1" m="1" x="18"/>
        <item h="1" m="1" x="19"/>
        <item h="1" m="1" x="20"/>
        <item h="1" m="1" x="21"/>
        <item h="1" m="1" x="22"/>
        <item t="default"/>
      </items>
    </pivotField>
    <pivotField numFmtId="1" showAll="0">
      <items count="4">
        <item h="1" x="0"/>
        <item h="1" x="1"/>
        <item x="2"/>
        <item t="default"/>
      </items>
    </pivotField>
    <pivotField showAll="0"/>
    <pivotField showAll="0"/>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2"/>
  </rowFields>
  <rowItems count="12">
    <i>
      <x v="4"/>
    </i>
    <i>
      <x v="5"/>
    </i>
    <i>
      <x v="6"/>
    </i>
    <i>
      <x v="7"/>
    </i>
    <i>
      <x v="8"/>
    </i>
    <i>
      <x v="10"/>
    </i>
    <i>
      <x v="11"/>
    </i>
    <i>
      <x v="12"/>
    </i>
    <i>
      <x v="13"/>
    </i>
    <i>
      <x v="14"/>
    </i>
    <i>
      <x v="15"/>
    </i>
    <i>
      <x v="16"/>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0F5138-9C48-4294-9AB3-CB144B64B476}" name="PivotTable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9:N25"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showAll="0"/>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axis="axisRow" dataField="1" showAll="0">
      <items count="6">
        <item x="2"/>
        <item x="0"/>
        <item x="3"/>
        <item x="1"/>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20"/>
  </rowFields>
  <rowItems count="6">
    <i>
      <x/>
    </i>
    <i>
      <x v="1"/>
    </i>
    <i>
      <x v="2"/>
    </i>
    <i>
      <x v="3"/>
    </i>
    <i>
      <x v="4"/>
    </i>
    <i t="grand">
      <x/>
    </i>
  </rowItems>
  <colItems count="1">
    <i/>
  </colItems>
  <dataFields count="1">
    <dataField name="Count of Channel"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FADE75-010B-4FA9-9B3E-25620EC6D306}" name="PivotTable10"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1:H63"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axis="axisRow" dataField="1" showAll="0">
      <items count="26">
        <item x="12"/>
        <item x="6"/>
        <item x="0"/>
        <item x="10"/>
        <item x="5"/>
        <item x="22"/>
        <item x="23"/>
        <item x="17"/>
        <item x="11"/>
        <item x="15"/>
        <item x="3"/>
        <item x="1"/>
        <item x="14"/>
        <item x="2"/>
        <item x="18"/>
        <item x="4"/>
        <item x="20"/>
        <item x="24"/>
        <item x="7"/>
        <item x="16"/>
        <item x="8"/>
        <item x="9"/>
        <item x="19"/>
        <item x="13"/>
        <item x="21"/>
        <item t="default"/>
      </items>
    </pivotField>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5"/>
  </rowFields>
  <rowItems count="22">
    <i>
      <x/>
    </i>
    <i>
      <x v="1"/>
    </i>
    <i>
      <x v="2"/>
    </i>
    <i>
      <x v="3"/>
    </i>
    <i>
      <x v="4"/>
    </i>
    <i>
      <x v="5"/>
    </i>
    <i>
      <x v="6"/>
    </i>
    <i>
      <x v="9"/>
    </i>
    <i>
      <x v="10"/>
    </i>
    <i>
      <x v="11"/>
    </i>
    <i>
      <x v="12"/>
    </i>
    <i>
      <x v="13"/>
    </i>
    <i>
      <x v="14"/>
    </i>
    <i>
      <x v="15"/>
    </i>
    <i>
      <x v="17"/>
    </i>
    <i>
      <x v="18"/>
    </i>
    <i>
      <x v="19"/>
    </i>
    <i>
      <x v="20"/>
    </i>
    <i>
      <x v="22"/>
    </i>
    <i>
      <x v="23"/>
    </i>
    <i>
      <x v="24"/>
    </i>
    <i t="grand">
      <x/>
    </i>
  </rowItems>
  <colItems count="1">
    <i/>
  </colItems>
  <dataFields count="1">
    <dataField name="Count of Servic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99709F-2371-4AD8-83CF-8CB3B0A1AE91}"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9:Q23" firstHeaderRow="1" firstDataRow="1" firstDataCol="1"/>
  <pivotFields count="27">
    <pivotField numFmtId="14" showAll="0">
      <items count="641">
        <item x="0"/>
        <item x="1"/>
        <item x="2"/>
        <item x="3"/>
        <item x="5"/>
        <item x="4"/>
        <item x="6"/>
        <item x="7"/>
        <item x="9"/>
        <item x="8"/>
        <item x="11"/>
        <item x="12"/>
        <item x="13"/>
        <item x="14"/>
        <item x="15"/>
        <item x="16"/>
        <item x="17"/>
        <item x="18"/>
        <item m="1" x="627"/>
        <item x="22"/>
        <item x="23"/>
        <item x="24"/>
        <item x="27"/>
        <item x="32"/>
        <item x="33"/>
        <item x="34"/>
        <item x="35"/>
        <item x="37"/>
        <item m="1" x="628"/>
        <item x="42"/>
        <item m="1" x="630"/>
        <item m="1" x="631"/>
        <item m="1" x="634"/>
        <item x="52"/>
        <item x="53"/>
        <item x="54"/>
        <item x="55"/>
        <item x="57"/>
        <item m="1" x="635"/>
        <item m="1" x="636"/>
        <item m="1" x="637"/>
        <item m="1" x="638"/>
        <item m="1" x="639"/>
        <item x="58"/>
        <item x="59"/>
        <item x="60"/>
        <item x="61"/>
        <item x="62"/>
        <item x="63"/>
        <item x="64"/>
        <item x="65"/>
        <item x="66"/>
        <item x="67"/>
        <item x="68"/>
        <item x="69"/>
        <item x="70"/>
        <item x="71"/>
        <item x="72"/>
        <item x="73"/>
        <item x="74"/>
        <item x="75"/>
        <item x="76"/>
        <item x="77"/>
        <item x="78"/>
        <item x="79"/>
        <item x="80"/>
        <item x="81"/>
        <item x="82"/>
        <item x="83"/>
        <item x="84"/>
        <item x="88"/>
        <item x="85"/>
        <item x="86"/>
        <item x="87"/>
        <item x="90"/>
        <item x="91"/>
        <item x="92"/>
        <item x="93"/>
        <item x="94"/>
        <item x="95"/>
        <item x="96"/>
        <item x="97"/>
        <item x="98"/>
        <item x="99"/>
        <item x="100"/>
        <item x="101"/>
        <item x="102"/>
        <item x="103"/>
        <item x="104"/>
        <item m="1" x="633"/>
        <item x="105"/>
        <item x="106"/>
        <item x="107"/>
        <item x="108"/>
        <item x="110"/>
        <item x="111"/>
        <item x="112"/>
        <item x="113"/>
        <item x="114"/>
        <item x="115"/>
        <item x="116"/>
        <item x="117"/>
        <item x="118"/>
        <item x="119"/>
        <item x="120"/>
        <item x="121"/>
        <item x="122"/>
        <item x="123"/>
        <item x="124"/>
        <item x="125"/>
        <item x="126"/>
        <item x="127"/>
        <item x="128"/>
        <item x="129"/>
        <item x="130"/>
        <item x="131"/>
        <item x="132"/>
        <item x="138"/>
        <item x="133"/>
        <item x="134"/>
        <item x="135"/>
        <item x="136"/>
        <item x="137"/>
        <item x="139"/>
        <item x="140"/>
        <item x="141"/>
        <item x="142"/>
        <item x="143"/>
        <item x="144"/>
        <item x="145"/>
        <item x="146"/>
        <item x="147"/>
        <item x="148"/>
        <item x="149"/>
        <item x="150"/>
        <item x="151"/>
        <item x="152"/>
        <item x="153"/>
        <item x="154"/>
        <item x="155"/>
        <item x="156"/>
        <item x="161"/>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6"/>
        <item x="242"/>
        <item x="243"/>
        <item x="244"/>
        <item x="245"/>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1"/>
        <item x="362"/>
        <item x="363"/>
        <item x="364"/>
        <item x="368"/>
        <item x="365"/>
        <item x="366"/>
        <item x="367"/>
        <item x="369"/>
        <item x="370"/>
        <item x="371"/>
        <item x="372"/>
        <item x="373"/>
        <item x="374"/>
        <item x="375"/>
        <item x="376"/>
        <item x="377"/>
        <item x="378"/>
        <item x="379"/>
        <item x="380"/>
        <item x="381"/>
        <item x="382"/>
        <item x="383"/>
        <item x="388"/>
        <item x="384"/>
        <item x="385"/>
        <item x="386"/>
        <item x="387"/>
        <item x="389"/>
        <item x="390"/>
        <item x="391"/>
        <item x="392"/>
        <item x="393"/>
        <item x="394"/>
        <item x="395"/>
        <item x="396"/>
        <item x="397"/>
        <item x="398"/>
        <item x="399"/>
        <item x="400"/>
        <item x="401"/>
        <item x="402"/>
        <item x="403"/>
        <item x="404"/>
        <item x="405"/>
        <item x="406"/>
        <item x="407"/>
        <item x="408"/>
        <item x="409"/>
        <item x="410"/>
        <item x="411"/>
        <item x="417"/>
        <item x="412"/>
        <item x="413"/>
        <item x="414"/>
        <item x="415"/>
        <item x="416"/>
        <item x="418"/>
        <item x="419"/>
        <item x="420"/>
        <item x="421"/>
        <item x="422"/>
        <item x="424"/>
        <item x="425"/>
        <item x="426"/>
        <item x="427"/>
        <item x="428"/>
        <item x="429"/>
        <item x="430"/>
        <item x="431"/>
        <item x="432"/>
        <item x="433"/>
        <item x="434"/>
        <item x="435"/>
        <item x="436"/>
        <item x="441"/>
        <item x="437"/>
        <item x="438"/>
        <item x="439"/>
        <item x="440"/>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519"/>
        <item x="520"/>
        <item x="521"/>
        <item x="522"/>
        <item x="524"/>
        <item x="525"/>
        <item x="526"/>
        <item x="531"/>
        <item x="527"/>
        <item x="528"/>
        <item x="529"/>
        <item x="530"/>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36"/>
        <item m="1" x="629"/>
        <item m="1" x="632"/>
        <item x="56"/>
        <item x="89"/>
        <item x="109"/>
        <item x="208"/>
        <item x="277"/>
        <item x="360"/>
        <item x="423"/>
        <item x="523"/>
        <item x="590"/>
        <item x="10"/>
        <item x="19"/>
        <item x="20"/>
        <item x="21"/>
        <item x="25"/>
        <item x="26"/>
        <item x="28"/>
        <item x="29"/>
        <item x="30"/>
        <item x="31"/>
        <item x="38"/>
        <item x="39"/>
        <item x="40"/>
        <item x="41"/>
        <item x="43"/>
        <item x="44"/>
        <item x="45"/>
        <item x="46"/>
        <item x="47"/>
        <item x="48"/>
        <item x="49"/>
        <item x="50"/>
        <item x="51"/>
        <item t="default"/>
      </items>
    </pivotField>
    <pivotField numFmtId="1" showAll="0"/>
    <pivotField showAll="0" sortType="ascending">
      <items count="24">
        <item x="0"/>
        <item x="1"/>
        <item x="2"/>
        <item x="3"/>
        <item h="1" m="1" x="12"/>
        <item h="1" m="1" x="13"/>
        <item h="1" m="1" x="14"/>
        <item h="1" m="1" x="15"/>
        <item x="4"/>
        <item x="5"/>
        <item h="1" m="1" x="16"/>
        <item h="1" m="1" x="17"/>
        <item h="1" m="1" x="18"/>
        <item h="1" m="1" x="19"/>
        <item h="1" m="1" x="20"/>
        <item h="1" m="1" x="21"/>
        <item h="1" m="1" x="22"/>
        <item x="6"/>
        <item x="7"/>
        <item x="8"/>
        <item x="9"/>
        <item x="10"/>
        <item x="11"/>
        <item t="default"/>
      </items>
    </pivotField>
    <pivotField numFmtId="1" showAll="0">
      <items count="4">
        <item h="1" x="0"/>
        <item h="1" x="1"/>
        <item x="2"/>
        <item t="default"/>
      </items>
    </pivotField>
    <pivotField showAll="0"/>
    <pivotField showAll="0"/>
    <pivotField showAll="0"/>
    <pivotField showAll="0"/>
    <pivotField showAll="0"/>
    <pivotField numFmtId="3" showAll="0"/>
    <pivotField numFmtId="14" showAll="0"/>
    <pivotField numFmtId="1" showAll="0"/>
    <pivotField showAll="0"/>
    <pivotField numFmtId="1" showAll="0"/>
    <pivotField numFmtId="18"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x="3"/>
        <item sd="0" x="4"/>
        <item t="default"/>
      </items>
    </pivotField>
  </pivotFields>
  <rowFields count="1">
    <field x="21"/>
  </rowFields>
  <rowItems count="4">
    <i>
      <x/>
    </i>
    <i>
      <x v="1"/>
    </i>
    <i>
      <x v="2"/>
    </i>
    <i t="grand">
      <x/>
    </i>
  </rowItems>
  <colItems count="1">
    <i/>
  </colItems>
  <dataFields count="1">
    <dataField name="Count of Status"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5BD0A38-8A42-43D7-A1CD-705A3ABFF09D}" sourceName="Year">
  <pivotTables>
    <pivotTable tabId="14" name="PivotTable3"/>
    <pivotTable tabId="14" name="PivotTable4"/>
    <pivotTable tabId="14" name="PivotTable1"/>
    <pivotTable tabId="14" name="PivotTable2"/>
    <pivotTable tabId="14" name="PivotTable5"/>
    <pivotTable tabId="14" name="PivotTable6"/>
    <pivotTable tabId="14" name="PivotTable7"/>
    <pivotTable tabId="14" name="PivotTable8"/>
    <pivotTable tabId="14" name="PivotTable9"/>
    <pivotTable tabId="14" name="PivotTable10"/>
  </pivotTables>
  <data>
    <tabular pivotCacheId="1267827244">
      <items count="3">
        <i x="0"/>
        <i x="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19A7CD5-9FDF-46FB-9FEA-84CF366F896B}" sourceName="Month">
  <pivotTables>
    <pivotTable tabId="14" name="PivotTable4"/>
    <pivotTable tabId="14" name="PivotTable1"/>
    <pivotTable tabId="14" name="PivotTable2"/>
    <pivotTable tabId="14" name="PivotTable6"/>
    <pivotTable tabId="14" name="PivotTable7"/>
    <pivotTable tabId="14" name="PivotTable8"/>
    <pivotTable tabId="14" name="PivotTable9"/>
    <pivotTable tabId="14" name="PivotTable10"/>
  </pivotTables>
  <data>
    <tabular pivotCacheId="1267827244" showMissing="0">
      <items count="23">
        <i x="0" s="1"/>
        <i x="1" s="1"/>
        <i x="2" s="1"/>
        <i x="3" s="1"/>
        <i x="4" s="1"/>
        <i x="5" s="1"/>
        <i x="6" s="1"/>
        <i x="7" s="1"/>
        <i x="8" s="1"/>
        <i x="9" s="1"/>
        <i x="10" s="1"/>
        <i x="11" s="1"/>
        <i x="12" nd="1"/>
        <i x="13" nd="1"/>
        <i x="14" nd="1"/>
        <i x="15" nd="1"/>
        <i x="16" nd="1"/>
        <i x="17" nd="1"/>
        <i x="18" nd="1"/>
        <i x="19" nd="1"/>
        <i x="20" nd="1"/>
        <i x="21" nd="1"/>
        <i x="2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EFE5DF-5196-4E90-8481-B4DAEB40EFE3}" cache="Slicer_Year" columnCount="3" showCaption="0" style="SlicerStyleLight1 2" rowHeight="234950"/>
  <slicer name="Month" xr10:uid="{603DF174-BE69-41CA-8CF4-1DA396D41797}" cache="Slicer_Month" columnCount="12" showCaption="0" style="SlicerStyleLight1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8C21797-E24F-44D7-BA7A-0CC1C180F06C}" cache="Slicer_Year" columnCount="3" showCaption="0" style="SlicerStyleLight1 2" rowHeight="234950"/>
  <slicer name="Month 1" xr10:uid="{0407FDB7-ABEC-449D-9530-7E80476A4AF1}" cache="Slicer_Month" columnCount="3" showCaption="0" style="SlicerStyleLight1 2 2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362EF46-78F3-4393-9CF8-8DBF94D08B2C}" cache="Slicer_Year" columnCount="3" showCaption="0" style="SlicerStyleLight1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AD2CABDA-6AF6-4764-8968-7C203801C829}" cache="Slicer_Year" columnCount="3" showCaption="0" style="SlicerStyleLight1 2" rowHeight="234950"/>
  <slicer name="Month 2" xr10:uid="{02CAA991-9F9F-4300-B7BE-36C5F7AD2F63}" cache="Slicer_Month" columnCount="12" showCaption="0" style="SlicerStyleLight1 2 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24.png"/></Relationships>
</file>

<file path=xl/webextensions/webextension1.xml><?xml version="1.0" encoding="utf-8"?>
<we:webextension xmlns:we="http://schemas.microsoft.com/office/webextensions/webextension/2010/11" id="{9673E158-327C-4677-BAAF-74863ABA2E12}">
  <we:reference id="wa102957661" version="1.6.0.0" store="ru-RU" storeType="OMEX"/>
  <we:alternateReferences>
    <we:reference id="wa102957661" version="1.6.0.0" store="wa102957661" storeType="OMEX"/>
  </we:alternateReferences>
  <we:properties>
    <we:property name="color" value="[&quot;#006699&quot;,&quot;#00b4FF&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legendLeft" value="0"/>
    <we:property name="legendTop" value="347.82501220703125"/>
    <we:property name="mapType" value="&quot;road&quot;"/>
    <we:property name="pointType" value="&quot;pie&quot;"/>
    <we:property name="showLegend" value="&quot;show&quot;"/>
  </we:properties>
  <we:bindings>
    <we:binding id="Locations" type="matrix" appref="{507C5134-53A9-4B6A-BEC1-AD9DDA2FFD6D}"/>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72BA-59A3-432D-A4F7-E8A2C2303438}">
  <sheetPr codeName="Sheet1"/>
  <dimension ref="A1:AS198"/>
  <sheetViews>
    <sheetView showRowColHeaders="0" tabSelected="1" zoomScale="90" zoomScaleNormal="90" workbookViewId="0">
      <selection activeCell="I39" sqref="I39"/>
    </sheetView>
  </sheetViews>
  <sheetFormatPr defaultColWidth="8.85546875" defaultRowHeight="15" x14ac:dyDescent="0.25"/>
  <cols>
    <col min="1" max="21" width="8.85546875" style="1"/>
    <col min="22" max="22" width="10.7109375" style="1" customWidth="1"/>
    <col min="23" max="16384" width="8.85546875" style="1"/>
  </cols>
  <sheetData>
    <row r="1" spans="1:45"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x14ac:dyDescent="0.25">
      <c r="A4" s="2"/>
      <c r="X4" s="2"/>
      <c r="Y4" s="2"/>
      <c r="Z4" s="2"/>
      <c r="AA4" s="2"/>
      <c r="AB4" s="2"/>
      <c r="AC4" s="2"/>
      <c r="AD4" s="2"/>
      <c r="AE4" s="2"/>
      <c r="AF4" s="2"/>
      <c r="AG4" s="2"/>
      <c r="AH4" s="2"/>
      <c r="AI4" s="2"/>
      <c r="AJ4" s="2"/>
      <c r="AK4" s="2"/>
      <c r="AL4" s="2"/>
      <c r="AM4" s="2"/>
      <c r="AN4" s="2"/>
      <c r="AO4" s="2"/>
      <c r="AP4" s="2"/>
      <c r="AQ4" s="2"/>
      <c r="AR4" s="2"/>
      <c r="AS4" s="2"/>
    </row>
    <row r="5" spans="1:45" x14ac:dyDescent="0.25">
      <c r="A5" s="2"/>
      <c r="X5" s="2"/>
      <c r="Y5" s="2"/>
      <c r="Z5" s="2"/>
      <c r="AA5" s="2"/>
      <c r="AB5" s="2"/>
      <c r="AC5" s="2"/>
      <c r="AD5" s="2"/>
      <c r="AE5" s="2"/>
      <c r="AF5" s="2"/>
      <c r="AG5" s="2"/>
      <c r="AH5" s="2"/>
      <c r="AI5" s="2"/>
      <c r="AJ5" s="2"/>
      <c r="AK5" s="2"/>
      <c r="AL5" s="2"/>
      <c r="AM5" s="2"/>
      <c r="AN5" s="2"/>
      <c r="AO5" s="2"/>
      <c r="AP5" s="2"/>
      <c r="AQ5" s="2"/>
      <c r="AR5" s="2"/>
      <c r="AS5" s="2"/>
    </row>
    <row r="6" spans="1:45" x14ac:dyDescent="0.25">
      <c r="A6" s="2"/>
      <c r="X6" s="2"/>
      <c r="Y6" s="2"/>
      <c r="Z6" s="2"/>
      <c r="AA6" s="2"/>
      <c r="AB6" s="2"/>
      <c r="AC6" s="2"/>
      <c r="AD6" s="2"/>
      <c r="AE6" s="2"/>
      <c r="AF6" s="2"/>
      <c r="AG6" s="2"/>
      <c r="AH6" s="2"/>
      <c r="AI6" s="2"/>
      <c r="AJ6" s="2"/>
      <c r="AK6" s="2"/>
      <c r="AL6" s="2"/>
      <c r="AM6" s="2"/>
      <c r="AN6" s="2"/>
      <c r="AO6" s="2"/>
      <c r="AP6" s="2"/>
      <c r="AQ6" s="2"/>
      <c r="AR6" s="2"/>
      <c r="AS6" s="2"/>
    </row>
    <row r="7" spans="1:45" x14ac:dyDescent="0.25">
      <c r="A7" s="2"/>
      <c r="X7" s="2"/>
      <c r="Y7" s="2"/>
      <c r="Z7" s="2"/>
      <c r="AA7" s="2"/>
      <c r="AB7" s="2"/>
      <c r="AC7" s="2"/>
      <c r="AD7" s="2"/>
      <c r="AE7" s="2"/>
      <c r="AF7" s="2"/>
      <c r="AG7" s="2"/>
      <c r="AH7" s="2"/>
      <c r="AI7" s="2"/>
      <c r="AJ7" s="2"/>
      <c r="AK7" s="2"/>
      <c r="AL7" s="2"/>
      <c r="AM7" s="2"/>
      <c r="AN7" s="2"/>
      <c r="AO7" s="2"/>
      <c r="AP7" s="2"/>
      <c r="AQ7" s="2"/>
      <c r="AR7" s="2"/>
      <c r="AS7" s="2"/>
    </row>
    <row r="8" spans="1:45" x14ac:dyDescent="0.25">
      <c r="A8" s="2"/>
      <c r="X8" s="2"/>
      <c r="Y8" s="2"/>
      <c r="Z8" s="2"/>
      <c r="AA8" s="2"/>
      <c r="AB8" s="2"/>
      <c r="AC8" s="2"/>
      <c r="AD8" s="2"/>
      <c r="AE8" s="2"/>
      <c r="AF8" s="2"/>
      <c r="AG8" s="2"/>
      <c r="AH8" s="2"/>
      <c r="AI8" s="2"/>
      <c r="AJ8" s="2"/>
      <c r="AK8" s="2"/>
      <c r="AL8" s="2"/>
      <c r="AM8" s="2"/>
      <c r="AN8" s="2"/>
      <c r="AO8" s="2"/>
      <c r="AP8" s="2"/>
      <c r="AQ8" s="2"/>
      <c r="AR8" s="2"/>
      <c r="AS8" s="2"/>
    </row>
    <row r="9" spans="1:45" x14ac:dyDescent="0.25">
      <c r="A9" s="2"/>
      <c r="X9" s="2"/>
      <c r="Y9" s="2"/>
      <c r="Z9" s="2"/>
      <c r="AA9" s="2"/>
      <c r="AB9" s="2"/>
      <c r="AC9" s="2"/>
      <c r="AD9" s="2"/>
      <c r="AE9" s="2"/>
      <c r="AF9" s="2"/>
      <c r="AG9" s="2"/>
      <c r="AH9" s="2"/>
      <c r="AI9" s="2"/>
      <c r="AJ9" s="2"/>
      <c r="AK9" s="2"/>
      <c r="AL9" s="2"/>
      <c r="AM9" s="2"/>
      <c r="AN9" s="2"/>
      <c r="AO9" s="2"/>
      <c r="AP9" s="2"/>
      <c r="AQ9" s="2"/>
      <c r="AR9" s="2"/>
      <c r="AS9" s="2"/>
    </row>
    <row r="10" spans="1:45" x14ac:dyDescent="0.25">
      <c r="A10" s="2"/>
      <c r="X10" s="2"/>
      <c r="Y10" s="2"/>
      <c r="Z10" s="2"/>
      <c r="AA10" s="2"/>
      <c r="AB10" s="2"/>
      <c r="AC10" s="2"/>
      <c r="AD10" s="2"/>
      <c r="AE10" s="2"/>
      <c r="AF10" s="2"/>
      <c r="AG10" s="2"/>
      <c r="AH10" s="2"/>
      <c r="AI10" s="2"/>
      <c r="AJ10" s="2"/>
      <c r="AK10" s="2"/>
      <c r="AL10" s="2"/>
      <c r="AM10" s="2"/>
      <c r="AN10" s="2"/>
      <c r="AO10" s="2"/>
      <c r="AP10" s="2"/>
      <c r="AQ10" s="2"/>
      <c r="AR10" s="2"/>
      <c r="AS10" s="2"/>
    </row>
    <row r="11" spans="1:45" x14ac:dyDescent="0.25">
      <c r="A11" s="2"/>
      <c r="X11" s="2"/>
      <c r="Y11" s="2"/>
      <c r="Z11" s="2"/>
      <c r="AA11" s="2"/>
      <c r="AB11" s="2"/>
      <c r="AC11" s="2"/>
      <c r="AD11" s="2"/>
      <c r="AE11" s="2"/>
      <c r="AF11" s="2"/>
      <c r="AG11" s="2"/>
      <c r="AH11" s="2"/>
      <c r="AI11" s="2"/>
      <c r="AJ11" s="2"/>
      <c r="AK11" s="2"/>
      <c r="AL11" s="2"/>
      <c r="AM11" s="2"/>
      <c r="AN11" s="2"/>
      <c r="AO11" s="2"/>
      <c r="AP11" s="2"/>
      <c r="AQ11" s="2"/>
      <c r="AR11" s="2"/>
      <c r="AS11" s="2"/>
    </row>
    <row r="12" spans="1:45" x14ac:dyDescent="0.25">
      <c r="A12" s="2"/>
      <c r="X12" s="2"/>
      <c r="Y12" s="2"/>
      <c r="Z12" s="2"/>
      <c r="AA12" s="2"/>
      <c r="AB12" s="2"/>
      <c r="AC12" s="2"/>
      <c r="AD12" s="2"/>
      <c r="AE12" s="2"/>
      <c r="AF12" s="2"/>
      <c r="AG12" s="2"/>
      <c r="AH12" s="2"/>
      <c r="AI12" s="2"/>
      <c r="AJ12" s="2"/>
      <c r="AK12" s="2"/>
      <c r="AL12" s="2"/>
      <c r="AM12" s="2"/>
      <c r="AN12" s="2"/>
      <c r="AO12" s="2"/>
      <c r="AP12" s="2"/>
      <c r="AQ12" s="2"/>
      <c r="AR12" s="2"/>
      <c r="AS12" s="2"/>
    </row>
    <row r="13" spans="1:45" x14ac:dyDescent="0.25">
      <c r="A13" s="2"/>
      <c r="X13" s="2"/>
      <c r="Y13" s="2"/>
      <c r="Z13" s="2"/>
      <c r="AA13" s="2"/>
      <c r="AB13" s="2"/>
      <c r="AC13" s="2"/>
      <c r="AD13" s="2"/>
      <c r="AE13" s="2"/>
      <c r="AF13" s="2"/>
      <c r="AG13" s="2"/>
      <c r="AH13" s="2"/>
      <c r="AI13" s="2"/>
      <c r="AJ13" s="2"/>
      <c r="AK13" s="2"/>
      <c r="AL13" s="2"/>
      <c r="AM13" s="2"/>
      <c r="AN13" s="2"/>
      <c r="AO13" s="2"/>
      <c r="AP13" s="2"/>
      <c r="AQ13" s="2"/>
      <c r="AR13" s="2"/>
      <c r="AS13" s="2"/>
    </row>
    <row r="14" spans="1:45" x14ac:dyDescent="0.25">
      <c r="A14" s="2"/>
      <c r="I14" s="5"/>
      <c r="X14" s="2"/>
      <c r="Y14" s="2"/>
      <c r="Z14" s="2"/>
      <c r="AA14" s="2"/>
      <c r="AB14" s="2"/>
      <c r="AC14" s="2"/>
      <c r="AD14" s="2"/>
      <c r="AE14" s="2"/>
      <c r="AF14" s="2"/>
      <c r="AG14" s="2"/>
      <c r="AH14" s="2"/>
      <c r="AI14" s="2"/>
      <c r="AJ14" s="2"/>
      <c r="AK14" s="2"/>
      <c r="AL14" s="2"/>
      <c r="AM14" s="2"/>
      <c r="AN14" s="2"/>
      <c r="AO14" s="2"/>
      <c r="AP14" s="2"/>
      <c r="AQ14" s="2"/>
      <c r="AR14" s="2"/>
      <c r="AS14" s="2"/>
    </row>
    <row r="15" spans="1:45" x14ac:dyDescent="0.25">
      <c r="A15" s="2"/>
      <c r="X15" s="2"/>
      <c r="Y15" s="2"/>
      <c r="Z15" s="2"/>
      <c r="AA15" s="2"/>
      <c r="AB15" s="2"/>
      <c r="AC15" s="2"/>
      <c r="AD15" s="2"/>
      <c r="AE15" s="2"/>
      <c r="AF15" s="2"/>
      <c r="AG15" s="2"/>
      <c r="AH15" s="2"/>
      <c r="AI15" s="2"/>
      <c r="AJ15" s="2"/>
      <c r="AK15" s="2"/>
      <c r="AL15" s="2"/>
      <c r="AM15" s="2"/>
      <c r="AN15" s="2"/>
      <c r="AO15" s="2"/>
      <c r="AP15" s="2"/>
      <c r="AQ15" s="2"/>
      <c r="AR15" s="2"/>
      <c r="AS15" s="2"/>
    </row>
    <row r="16" spans="1:45" x14ac:dyDescent="0.25">
      <c r="A16" s="2"/>
      <c r="X16" s="2"/>
      <c r="Y16" s="2"/>
      <c r="Z16" s="2"/>
      <c r="AA16" s="2"/>
      <c r="AB16" s="2"/>
      <c r="AC16" s="2"/>
      <c r="AD16" s="2"/>
      <c r="AE16" s="2"/>
      <c r="AF16" s="2"/>
      <c r="AG16" s="2"/>
      <c r="AH16" s="2"/>
      <c r="AI16" s="2"/>
      <c r="AJ16" s="2"/>
      <c r="AK16" s="2"/>
      <c r="AL16" s="2"/>
      <c r="AM16" s="2"/>
      <c r="AN16" s="2"/>
      <c r="AO16" s="2"/>
      <c r="AP16" s="2"/>
      <c r="AQ16" s="2"/>
      <c r="AR16" s="2"/>
      <c r="AS16" s="2"/>
    </row>
    <row r="17" spans="1:45" x14ac:dyDescent="0.25">
      <c r="A17" s="2"/>
      <c r="X17" s="2"/>
      <c r="Y17" s="2"/>
      <c r="Z17" s="2"/>
      <c r="AA17" s="2"/>
      <c r="AB17" s="2"/>
      <c r="AC17" s="2"/>
      <c r="AD17" s="2"/>
      <c r="AE17" s="2"/>
      <c r="AF17" s="2"/>
      <c r="AG17" s="2"/>
      <c r="AH17" s="2"/>
      <c r="AI17" s="2"/>
      <c r="AJ17" s="2"/>
      <c r="AK17" s="2"/>
      <c r="AL17" s="2"/>
      <c r="AM17" s="2"/>
      <c r="AN17" s="2"/>
      <c r="AO17" s="2"/>
      <c r="AP17" s="2"/>
      <c r="AQ17" s="2"/>
      <c r="AR17" s="2"/>
      <c r="AS17" s="2"/>
    </row>
    <row r="18" spans="1:45" x14ac:dyDescent="0.25">
      <c r="A18" s="2"/>
      <c r="X18" s="2"/>
      <c r="Y18" s="2"/>
      <c r="Z18" s="2"/>
      <c r="AA18" s="2"/>
      <c r="AB18" s="2"/>
      <c r="AC18" s="2"/>
      <c r="AD18" s="2"/>
      <c r="AE18" s="2"/>
      <c r="AF18" s="2"/>
      <c r="AG18" s="2"/>
      <c r="AH18" s="2"/>
      <c r="AI18" s="2"/>
      <c r="AJ18" s="2"/>
      <c r="AK18" s="2"/>
      <c r="AL18" s="2"/>
      <c r="AM18" s="2"/>
      <c r="AN18" s="2"/>
      <c r="AO18" s="2"/>
      <c r="AP18" s="2"/>
      <c r="AQ18" s="2"/>
      <c r="AR18" s="2"/>
      <c r="AS18" s="2"/>
    </row>
    <row r="19" spans="1:45" x14ac:dyDescent="0.25">
      <c r="A19" s="2"/>
      <c r="X19" s="2"/>
      <c r="Y19" s="2"/>
      <c r="Z19" s="2"/>
      <c r="AA19" s="2"/>
      <c r="AB19" s="2"/>
      <c r="AC19" s="2"/>
      <c r="AD19" s="2"/>
      <c r="AE19" s="2"/>
      <c r="AF19" s="2"/>
      <c r="AG19" s="2"/>
      <c r="AH19" s="2"/>
      <c r="AI19" s="2"/>
      <c r="AJ19" s="2"/>
      <c r="AK19" s="2"/>
      <c r="AL19" s="2"/>
      <c r="AM19" s="2"/>
      <c r="AN19" s="2"/>
      <c r="AO19" s="2"/>
      <c r="AP19" s="2"/>
      <c r="AQ19" s="2"/>
      <c r="AR19" s="2"/>
      <c r="AS19" s="2"/>
    </row>
    <row r="20" spans="1:45" x14ac:dyDescent="0.25">
      <c r="A20" s="2"/>
      <c r="X20" s="2"/>
      <c r="Y20" s="2"/>
      <c r="Z20" s="2"/>
      <c r="AA20" s="2"/>
      <c r="AB20" s="2"/>
      <c r="AC20" s="2"/>
      <c r="AD20" s="2"/>
      <c r="AE20" s="2"/>
      <c r="AF20" s="2"/>
      <c r="AG20" s="2"/>
      <c r="AH20" s="2"/>
      <c r="AI20" s="2"/>
      <c r="AJ20" s="2"/>
      <c r="AK20" s="2"/>
      <c r="AL20" s="2"/>
      <c r="AM20" s="2"/>
      <c r="AN20" s="2"/>
      <c r="AO20" s="2"/>
      <c r="AP20" s="2"/>
      <c r="AQ20" s="2"/>
      <c r="AR20" s="2"/>
      <c r="AS20" s="2"/>
    </row>
    <row r="21" spans="1:45" x14ac:dyDescent="0.25">
      <c r="A21" s="2"/>
      <c r="X21" s="2"/>
      <c r="Y21" s="2"/>
      <c r="Z21" s="2"/>
      <c r="AA21" s="2"/>
      <c r="AB21" s="2"/>
      <c r="AC21" s="2"/>
      <c r="AD21" s="2"/>
      <c r="AE21" s="2"/>
      <c r="AF21" s="2"/>
      <c r="AG21" s="2"/>
      <c r="AH21" s="2"/>
      <c r="AI21" s="2"/>
      <c r="AJ21" s="2"/>
      <c r="AK21" s="2"/>
      <c r="AL21" s="2"/>
      <c r="AM21" s="2"/>
      <c r="AN21" s="2"/>
      <c r="AO21" s="2"/>
      <c r="AP21" s="2"/>
      <c r="AQ21" s="2"/>
      <c r="AR21" s="2"/>
      <c r="AS21" s="2"/>
    </row>
    <row r="22" spans="1:45" x14ac:dyDescent="0.25">
      <c r="A22" s="2"/>
      <c r="X22" s="2"/>
      <c r="Y22" s="2"/>
      <c r="Z22" s="2"/>
      <c r="AA22" s="2"/>
      <c r="AB22" s="2"/>
      <c r="AC22" s="2"/>
      <c r="AD22" s="2"/>
      <c r="AE22" s="2"/>
      <c r="AF22" s="2"/>
      <c r="AG22" s="2"/>
      <c r="AH22" s="2"/>
      <c r="AI22" s="2"/>
      <c r="AJ22" s="2"/>
      <c r="AK22" s="2"/>
      <c r="AL22" s="2"/>
      <c r="AM22" s="2"/>
      <c r="AN22" s="2"/>
      <c r="AO22" s="2"/>
      <c r="AP22" s="2"/>
      <c r="AQ22" s="2"/>
      <c r="AR22" s="2"/>
      <c r="AS22" s="2"/>
    </row>
    <row r="23" spans="1:45" x14ac:dyDescent="0.25">
      <c r="A23" s="2"/>
      <c r="X23" s="2"/>
      <c r="Y23" s="2"/>
      <c r="Z23" s="2"/>
      <c r="AA23" s="2"/>
      <c r="AB23" s="2"/>
      <c r="AC23" s="2"/>
      <c r="AD23" s="2"/>
      <c r="AE23" s="2"/>
      <c r="AF23" s="2"/>
      <c r="AG23" s="2"/>
      <c r="AH23" s="2"/>
      <c r="AI23" s="2"/>
      <c r="AJ23" s="2"/>
      <c r="AK23" s="2"/>
      <c r="AL23" s="2"/>
      <c r="AM23" s="2"/>
      <c r="AN23" s="2"/>
      <c r="AO23" s="2"/>
      <c r="AP23" s="2"/>
      <c r="AQ23" s="2"/>
      <c r="AR23" s="2"/>
      <c r="AS23" s="2"/>
    </row>
    <row r="24" spans="1:45" x14ac:dyDescent="0.25">
      <c r="A24" s="2"/>
      <c r="X24" s="2"/>
      <c r="Y24" s="2"/>
      <c r="Z24" s="2"/>
      <c r="AA24" s="2"/>
      <c r="AB24" s="2"/>
      <c r="AC24" s="2"/>
      <c r="AD24" s="2"/>
      <c r="AE24" s="2"/>
      <c r="AF24" s="2"/>
      <c r="AG24" s="2"/>
      <c r="AH24" s="2"/>
      <c r="AI24" s="2"/>
      <c r="AJ24" s="2"/>
      <c r="AK24" s="2"/>
      <c r="AL24" s="2"/>
      <c r="AM24" s="2"/>
      <c r="AN24" s="2"/>
      <c r="AO24" s="2"/>
      <c r="AP24" s="2"/>
      <c r="AQ24" s="2"/>
      <c r="AR24" s="2"/>
      <c r="AS24" s="2"/>
    </row>
    <row r="25" spans="1:45" x14ac:dyDescent="0.25">
      <c r="A25" s="2"/>
      <c r="X25" s="2"/>
      <c r="Y25" s="2"/>
      <c r="Z25" s="2"/>
      <c r="AA25" s="2"/>
      <c r="AB25" s="2"/>
      <c r="AC25" s="2"/>
      <c r="AD25" s="2"/>
      <c r="AE25" s="2"/>
      <c r="AF25" s="2"/>
      <c r="AG25" s="2"/>
      <c r="AH25" s="2"/>
      <c r="AI25" s="2"/>
      <c r="AJ25" s="2"/>
      <c r="AK25" s="2"/>
      <c r="AL25" s="2"/>
      <c r="AM25" s="2"/>
      <c r="AN25" s="2"/>
      <c r="AO25" s="2"/>
      <c r="AP25" s="2"/>
      <c r="AQ25" s="2"/>
      <c r="AR25" s="2"/>
      <c r="AS25" s="2"/>
    </row>
    <row r="26" spans="1:45" x14ac:dyDescent="0.25">
      <c r="A26" s="2"/>
      <c r="X26" s="2"/>
      <c r="Y26" s="2"/>
      <c r="Z26" s="2"/>
      <c r="AA26" s="2"/>
      <c r="AB26" s="2"/>
      <c r="AC26" s="2"/>
      <c r="AD26" s="2"/>
      <c r="AE26" s="2"/>
      <c r="AF26" s="2"/>
      <c r="AG26" s="2"/>
      <c r="AH26" s="2"/>
      <c r="AI26" s="2"/>
      <c r="AJ26" s="2"/>
      <c r="AK26" s="2"/>
      <c r="AL26" s="2"/>
      <c r="AM26" s="2"/>
      <c r="AN26" s="2"/>
      <c r="AO26" s="2"/>
      <c r="AP26" s="2"/>
      <c r="AQ26" s="2"/>
      <c r="AR26" s="2"/>
      <c r="AS26" s="2"/>
    </row>
    <row r="27" spans="1:45" x14ac:dyDescent="0.25">
      <c r="A27" s="2"/>
      <c r="X27" s="2"/>
      <c r="Y27" s="2"/>
      <c r="Z27" s="2"/>
      <c r="AA27" s="2"/>
      <c r="AB27" s="2"/>
      <c r="AC27" s="2"/>
      <c r="AD27" s="2"/>
      <c r="AE27" s="2"/>
      <c r="AF27" s="2"/>
      <c r="AG27" s="2"/>
      <c r="AH27" s="2"/>
      <c r="AI27" s="2"/>
      <c r="AJ27" s="2"/>
      <c r="AK27" s="2"/>
      <c r="AL27" s="2"/>
      <c r="AM27" s="2"/>
      <c r="AN27" s="2"/>
      <c r="AO27" s="2"/>
      <c r="AP27" s="2"/>
      <c r="AQ27" s="2"/>
      <c r="AR27" s="2"/>
      <c r="AS27" s="2"/>
    </row>
    <row r="28" spans="1:45" x14ac:dyDescent="0.25">
      <c r="A28" s="2"/>
      <c r="X28" s="2"/>
      <c r="Y28" s="2"/>
      <c r="Z28" s="2"/>
      <c r="AA28" s="2"/>
      <c r="AB28" s="2"/>
      <c r="AC28" s="2"/>
      <c r="AD28" s="2"/>
      <c r="AE28" s="2"/>
      <c r="AF28" s="2"/>
      <c r="AG28" s="2"/>
      <c r="AH28" s="2"/>
      <c r="AI28" s="2"/>
      <c r="AJ28" s="2"/>
      <c r="AK28" s="2"/>
      <c r="AL28" s="2"/>
      <c r="AM28" s="2"/>
      <c r="AN28" s="2"/>
      <c r="AO28" s="2"/>
      <c r="AP28" s="2"/>
      <c r="AQ28" s="2"/>
      <c r="AR28" s="2"/>
      <c r="AS28" s="2"/>
    </row>
    <row r="29" spans="1:45" x14ac:dyDescent="0.25">
      <c r="A29" s="2"/>
      <c r="X29" s="2"/>
      <c r="Y29" s="2"/>
      <c r="Z29" s="2"/>
      <c r="AA29" s="2"/>
      <c r="AB29" s="2"/>
      <c r="AC29" s="2"/>
      <c r="AD29" s="2"/>
      <c r="AE29" s="2"/>
      <c r="AF29" s="2"/>
      <c r="AG29" s="2"/>
      <c r="AH29" s="2"/>
      <c r="AI29" s="2"/>
      <c r="AJ29" s="2"/>
      <c r="AK29" s="2"/>
      <c r="AL29" s="2"/>
      <c r="AM29" s="2"/>
      <c r="AN29" s="2"/>
      <c r="AO29" s="2"/>
      <c r="AP29" s="2"/>
      <c r="AQ29" s="2"/>
      <c r="AR29" s="2"/>
      <c r="AS29" s="2"/>
    </row>
    <row r="30" spans="1:45" x14ac:dyDescent="0.25">
      <c r="A30" s="2"/>
      <c r="X30" s="2"/>
      <c r="Y30" s="2"/>
      <c r="Z30" s="2"/>
      <c r="AA30" s="2"/>
      <c r="AB30" s="2"/>
      <c r="AC30" s="2"/>
      <c r="AD30" s="2"/>
      <c r="AE30" s="2"/>
      <c r="AF30" s="2"/>
      <c r="AG30" s="2"/>
      <c r="AH30" s="2"/>
      <c r="AI30" s="2"/>
      <c r="AJ30" s="2"/>
      <c r="AK30" s="2"/>
      <c r="AL30" s="2"/>
      <c r="AM30" s="2"/>
      <c r="AN30" s="2"/>
      <c r="AO30" s="2"/>
      <c r="AP30" s="2"/>
      <c r="AQ30" s="2"/>
      <c r="AR30" s="2"/>
      <c r="AS30" s="2"/>
    </row>
    <row r="31" spans="1:45" x14ac:dyDescent="0.25">
      <c r="A31" s="2"/>
      <c r="X31" s="2"/>
      <c r="Y31" s="2"/>
      <c r="Z31" s="2"/>
      <c r="AA31" s="2"/>
      <c r="AB31" s="2"/>
      <c r="AC31" s="2"/>
      <c r="AD31" s="2"/>
      <c r="AE31" s="2"/>
      <c r="AF31" s="2"/>
      <c r="AG31" s="2"/>
      <c r="AH31" s="2"/>
      <c r="AI31" s="2"/>
      <c r="AJ31" s="2"/>
      <c r="AK31" s="2"/>
      <c r="AL31" s="2"/>
      <c r="AM31" s="2"/>
      <c r="AN31" s="2"/>
      <c r="AO31" s="2"/>
      <c r="AP31" s="2"/>
      <c r="AQ31" s="2"/>
      <c r="AR31" s="2"/>
      <c r="AS31" s="2"/>
    </row>
    <row r="32" spans="1:45" x14ac:dyDescent="0.25">
      <c r="A32" s="2"/>
      <c r="X32" s="2"/>
      <c r="Y32" s="2"/>
      <c r="Z32" s="2"/>
      <c r="AA32" s="2"/>
      <c r="AB32" s="2"/>
      <c r="AC32" s="2"/>
      <c r="AD32" s="2"/>
      <c r="AE32" s="2"/>
      <c r="AF32" s="2"/>
      <c r="AG32" s="2"/>
      <c r="AH32" s="2"/>
      <c r="AI32" s="2"/>
      <c r="AJ32" s="2"/>
      <c r="AK32" s="2"/>
      <c r="AL32" s="2"/>
      <c r="AM32" s="2"/>
      <c r="AN32" s="2"/>
      <c r="AO32" s="2"/>
      <c r="AP32" s="2"/>
      <c r="AQ32" s="2"/>
      <c r="AR32" s="2"/>
      <c r="AS32" s="2"/>
    </row>
    <row r="33" spans="1:45" x14ac:dyDescent="0.25">
      <c r="A33" s="2"/>
      <c r="X33" s="2"/>
      <c r="Y33" s="2"/>
      <c r="Z33" s="2"/>
      <c r="AA33" s="2"/>
      <c r="AB33" s="2"/>
      <c r="AC33" s="2"/>
      <c r="AD33" s="2"/>
      <c r="AE33" s="2"/>
      <c r="AF33" s="2"/>
      <c r="AG33" s="2"/>
      <c r="AH33" s="2"/>
      <c r="AI33" s="2"/>
      <c r="AJ33" s="2"/>
      <c r="AK33" s="2"/>
      <c r="AL33" s="2"/>
      <c r="AM33" s="2"/>
      <c r="AN33" s="2"/>
      <c r="AO33" s="2"/>
      <c r="AP33" s="2"/>
      <c r="AQ33" s="2"/>
      <c r="AR33" s="2"/>
      <c r="AS33" s="2"/>
    </row>
    <row r="34" spans="1:45" x14ac:dyDescent="0.25">
      <c r="A34" s="2"/>
      <c r="X34" s="2"/>
      <c r="Y34" s="2"/>
      <c r="Z34" s="2"/>
      <c r="AA34" s="2"/>
      <c r="AB34" s="2"/>
      <c r="AC34" s="2"/>
      <c r="AD34" s="2"/>
      <c r="AE34" s="2"/>
      <c r="AF34" s="2"/>
      <c r="AG34" s="2"/>
      <c r="AH34" s="2"/>
      <c r="AI34" s="2"/>
      <c r="AJ34" s="2"/>
      <c r="AK34" s="2"/>
      <c r="AL34" s="2"/>
      <c r="AM34" s="2"/>
      <c r="AN34" s="2"/>
      <c r="AO34" s="2"/>
      <c r="AP34" s="2"/>
      <c r="AQ34" s="2"/>
      <c r="AR34" s="2"/>
      <c r="AS34" s="2"/>
    </row>
    <row r="35" spans="1:45"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A5B0B-146C-4167-9B0C-CA38DCF98F2C}">
  <dimension ref="A2:Z811"/>
  <sheetViews>
    <sheetView showRowColHeaders="0" zoomScaleNormal="100" workbookViewId="0">
      <pane ySplit="3" topLeftCell="A4" activePane="bottomLeft" state="frozen"/>
      <selection pane="bottomLeft"/>
    </sheetView>
  </sheetViews>
  <sheetFormatPr defaultColWidth="8.85546875" defaultRowHeight="15" x14ac:dyDescent="0.25"/>
  <cols>
    <col min="1" max="1" width="14.7109375" style="31" customWidth="1"/>
    <col min="2" max="4" width="8.85546875" style="31"/>
    <col min="5" max="5" width="10.7109375" style="31" customWidth="1"/>
    <col min="6" max="6" width="34.28515625" style="31" customWidth="1"/>
    <col min="7" max="8" width="10.28515625" style="31" bestFit="1" customWidth="1"/>
    <col min="9" max="9" width="8.85546875" style="31"/>
    <col min="10" max="10" width="10.28515625" style="31" bestFit="1" customWidth="1"/>
    <col min="11" max="11" width="9.7109375" style="31" bestFit="1" customWidth="1"/>
    <col min="12" max="16" width="8.85546875" style="31"/>
    <col min="17" max="17" width="10.5703125" style="31" bestFit="1" customWidth="1"/>
    <col min="18" max="18" width="29.85546875" style="31" bestFit="1" customWidth="1"/>
    <col min="19" max="19" width="8.85546875" style="31"/>
    <col min="20" max="20" width="13" style="31" bestFit="1" customWidth="1"/>
    <col min="21" max="22" width="8.85546875" style="31"/>
    <col min="23" max="23" width="10.7109375" style="42" bestFit="1" customWidth="1"/>
    <col min="24" max="24" width="8.85546875" style="31"/>
    <col min="25" max="25" width="10.140625" style="31" bestFit="1" customWidth="1"/>
    <col min="26" max="16384" width="8.85546875" style="31"/>
  </cols>
  <sheetData>
    <row r="2" spans="1:26" ht="30.6" customHeight="1" x14ac:dyDescent="0.25">
      <c r="F2" s="114" t="s">
        <v>1160</v>
      </c>
      <c r="G2" s="114"/>
      <c r="H2" s="114"/>
      <c r="I2" s="114"/>
      <c r="J2" s="114"/>
      <c r="K2" s="114"/>
      <c r="L2" s="114"/>
      <c r="M2" s="114"/>
      <c r="N2" s="114"/>
      <c r="O2" s="114"/>
      <c r="P2" s="114"/>
      <c r="Q2" s="114"/>
    </row>
    <row r="3" spans="1:26" ht="34.15" customHeight="1" x14ac:dyDescent="0.25">
      <c r="A3" s="44" t="s">
        <v>382</v>
      </c>
      <c r="B3" s="44" t="s">
        <v>151</v>
      </c>
      <c r="C3" s="44" t="s">
        <v>12</v>
      </c>
      <c r="D3" s="44" t="s">
        <v>13</v>
      </c>
      <c r="E3" s="44" t="s">
        <v>31</v>
      </c>
      <c r="F3" s="44" t="s">
        <v>103</v>
      </c>
      <c r="G3" s="44" t="s">
        <v>358</v>
      </c>
      <c r="H3" s="44" t="s">
        <v>1077</v>
      </c>
      <c r="I3" s="45" t="s">
        <v>109</v>
      </c>
      <c r="J3" s="44" t="s">
        <v>30</v>
      </c>
      <c r="K3" s="44" t="s">
        <v>359</v>
      </c>
      <c r="L3" s="44" t="s">
        <v>360</v>
      </c>
      <c r="M3" s="44" t="s">
        <v>361</v>
      </c>
      <c r="N3" s="44" t="s">
        <v>362</v>
      </c>
      <c r="O3" s="44" t="s">
        <v>363</v>
      </c>
      <c r="P3" s="44" t="s">
        <v>154</v>
      </c>
      <c r="Q3" s="44" t="s">
        <v>89</v>
      </c>
      <c r="R3" s="44" t="s">
        <v>105</v>
      </c>
      <c r="S3" s="44" t="s">
        <v>59</v>
      </c>
      <c r="T3" s="46" t="s">
        <v>52</v>
      </c>
      <c r="U3" s="44" t="s">
        <v>369</v>
      </c>
      <c r="V3" s="44" t="s">
        <v>364</v>
      </c>
      <c r="W3" s="44" t="s">
        <v>1149</v>
      </c>
      <c r="X3" s="44" t="s">
        <v>365</v>
      </c>
    </row>
    <row r="4" spans="1:26" x14ac:dyDescent="0.25">
      <c r="A4" s="53">
        <v>44927</v>
      </c>
      <c r="B4" s="54">
        <f>DAY(A4)</f>
        <v>1</v>
      </c>
      <c r="C4" s="55" t="str" cm="1">
        <f t="array" ref="C4">INDEX(Processing!$C$11:$C$22,MONTH('ALL ORDERS'!A4))</f>
        <v>JAN</v>
      </c>
      <c r="D4" s="54">
        <f>YEAR(A4)</f>
        <v>2023</v>
      </c>
      <c r="E4" s="56" t="s">
        <v>51</v>
      </c>
      <c r="F4" s="56" t="s">
        <v>18</v>
      </c>
      <c r="G4" s="100">
        <v>4500</v>
      </c>
      <c r="H4" s="100">
        <v>0</v>
      </c>
      <c r="I4" s="57"/>
      <c r="J4" s="99">
        <f>G4+H4</f>
        <v>4500</v>
      </c>
      <c r="K4" s="53">
        <v>44927</v>
      </c>
      <c r="L4" s="54">
        <f>DAY(K4)</f>
        <v>1</v>
      </c>
      <c r="M4" s="55" t="str" cm="1">
        <f t="array" ref="M4">INDEX(Processing!$W$6:$W$17,MONTH('ALL ORDERS'!K4))</f>
        <v>January</v>
      </c>
      <c r="N4" s="54">
        <f>YEAR(K4)</f>
        <v>2023</v>
      </c>
      <c r="O4" s="58">
        <v>0.4375</v>
      </c>
      <c r="P4" s="59" t="s">
        <v>155</v>
      </c>
      <c r="Q4" s="60" t="s">
        <v>94</v>
      </c>
      <c r="R4" s="56" t="s">
        <v>237</v>
      </c>
      <c r="S4" s="61" t="s">
        <v>41</v>
      </c>
      <c r="T4" s="62" t="s">
        <v>393</v>
      </c>
      <c r="U4" s="63" t="s">
        <v>25</v>
      </c>
      <c r="V4" s="63" t="s">
        <v>147</v>
      </c>
      <c r="W4" s="64">
        <v>5618</v>
      </c>
      <c r="X4" s="64">
        <v>5</v>
      </c>
      <c r="Y4" s="47">
        <v>1467</v>
      </c>
      <c r="Z4" s="47">
        <f>W4+Y4</f>
        <v>7085</v>
      </c>
    </row>
    <row r="5" spans="1:26" x14ac:dyDescent="0.25">
      <c r="A5" s="53">
        <v>44928</v>
      </c>
      <c r="B5" s="54">
        <f t="shared" ref="B5:B83" si="0">DAY(A5)</f>
        <v>2</v>
      </c>
      <c r="C5" s="55" t="str" cm="1">
        <f t="array" ref="C5">INDEX(Processing!$C$11:$C$22,MONTH('ALL ORDERS'!A5))</f>
        <v>JAN</v>
      </c>
      <c r="D5" s="54">
        <f t="shared" ref="D5:D83" si="1">YEAR(A5)</f>
        <v>2023</v>
      </c>
      <c r="E5" s="56" t="s">
        <v>48</v>
      </c>
      <c r="F5" s="56" t="s">
        <v>19</v>
      </c>
      <c r="G5" s="100">
        <v>10000</v>
      </c>
      <c r="H5" s="100">
        <v>0</v>
      </c>
      <c r="I5" s="57"/>
      <c r="J5" s="99">
        <f t="shared" ref="J5:J85" si="2">G5+H5</f>
        <v>10000</v>
      </c>
      <c r="K5" s="53">
        <v>44928</v>
      </c>
      <c r="L5" s="54">
        <f t="shared" ref="L5:L284" si="3">DAY(K5)</f>
        <v>2</v>
      </c>
      <c r="M5" s="55" t="str" cm="1">
        <f t="array" ref="M5">INDEX(Processing!$W$6:$W$17,MONTH('ALL ORDERS'!K5))</f>
        <v>January</v>
      </c>
      <c r="N5" s="54">
        <f t="shared" ref="N5:N59" si="4">YEAR(K5)</f>
        <v>2023</v>
      </c>
      <c r="O5" s="58">
        <v>0.41666666666666669</v>
      </c>
      <c r="P5" s="59" t="s">
        <v>156</v>
      </c>
      <c r="Q5" s="60" t="s">
        <v>94</v>
      </c>
      <c r="R5" s="56" t="s">
        <v>238</v>
      </c>
      <c r="S5" s="61" t="s">
        <v>42</v>
      </c>
      <c r="T5" s="62" t="s">
        <v>394</v>
      </c>
      <c r="U5" s="63" t="s">
        <v>27</v>
      </c>
      <c r="V5" s="63" t="s">
        <v>147</v>
      </c>
      <c r="W5" s="64">
        <v>10619</v>
      </c>
      <c r="X5" s="64">
        <v>4</v>
      </c>
      <c r="Y5" s="47">
        <v>2073</v>
      </c>
      <c r="Z5" s="47">
        <f t="shared" ref="Z5:Z60" si="5">W5+Y5</f>
        <v>12692</v>
      </c>
    </row>
    <row r="6" spans="1:26" x14ac:dyDescent="0.25">
      <c r="A6" s="53">
        <v>44929</v>
      </c>
      <c r="B6" s="54">
        <f t="shared" si="0"/>
        <v>3</v>
      </c>
      <c r="C6" s="55" t="str" cm="1">
        <f t="array" ref="C6">INDEX(Processing!$C$11:$C$22,MONTH('ALL ORDERS'!A6))</f>
        <v>JAN</v>
      </c>
      <c r="D6" s="54">
        <f t="shared" si="1"/>
        <v>2023</v>
      </c>
      <c r="E6" s="56" t="s">
        <v>49</v>
      </c>
      <c r="F6" s="56" t="s">
        <v>20</v>
      </c>
      <c r="G6" s="100">
        <v>5450</v>
      </c>
      <c r="H6" s="100">
        <v>0</v>
      </c>
      <c r="I6" s="57"/>
      <c r="J6" s="99">
        <f t="shared" si="2"/>
        <v>5450</v>
      </c>
      <c r="K6" s="53">
        <v>44929</v>
      </c>
      <c r="L6" s="54">
        <f t="shared" si="3"/>
        <v>3</v>
      </c>
      <c r="M6" s="55" t="str" cm="1">
        <f t="array" ref="M6">INDEX(Processing!$W$6:$W$17,MONTH('ALL ORDERS'!K6))</f>
        <v>January</v>
      </c>
      <c r="N6" s="54">
        <f t="shared" si="4"/>
        <v>2023</v>
      </c>
      <c r="O6" s="58">
        <v>0.5</v>
      </c>
      <c r="P6" s="59" t="s">
        <v>157</v>
      </c>
      <c r="Q6" s="60" t="s">
        <v>90</v>
      </c>
      <c r="R6" s="56" t="s">
        <v>239</v>
      </c>
      <c r="S6" s="61" t="s">
        <v>43</v>
      </c>
      <c r="T6" s="62" t="s">
        <v>395</v>
      </c>
      <c r="U6" s="63" t="s">
        <v>23</v>
      </c>
      <c r="V6" s="63" t="s">
        <v>147</v>
      </c>
      <c r="W6" s="64">
        <v>8931</v>
      </c>
      <c r="X6" s="64">
        <v>4</v>
      </c>
      <c r="Y6" s="47">
        <v>1235</v>
      </c>
      <c r="Z6" s="47">
        <f t="shared" si="5"/>
        <v>10166</v>
      </c>
    </row>
    <row r="7" spans="1:26" x14ac:dyDescent="0.25">
      <c r="A7" s="53">
        <v>44930</v>
      </c>
      <c r="B7" s="54">
        <f t="shared" si="0"/>
        <v>4</v>
      </c>
      <c r="C7" s="55" t="str" cm="1">
        <f t="array" ref="C7">INDEX(Processing!$C$11:$C$22,MONTH('ALL ORDERS'!A7))</f>
        <v>JAN</v>
      </c>
      <c r="D7" s="54">
        <f t="shared" si="1"/>
        <v>2023</v>
      </c>
      <c r="E7" s="56" t="s">
        <v>47</v>
      </c>
      <c r="F7" s="56" t="s">
        <v>21</v>
      </c>
      <c r="G7" s="100">
        <v>6200</v>
      </c>
      <c r="H7" s="100">
        <v>0</v>
      </c>
      <c r="I7" s="57"/>
      <c r="J7" s="99">
        <f t="shared" si="2"/>
        <v>6200</v>
      </c>
      <c r="K7" s="53">
        <v>44930</v>
      </c>
      <c r="L7" s="54">
        <f t="shared" si="3"/>
        <v>4</v>
      </c>
      <c r="M7" s="55" t="str" cm="1">
        <f t="array" ref="M7">INDEX(Processing!$W$6:$W$17,MONTH('ALL ORDERS'!K7))</f>
        <v>January</v>
      </c>
      <c r="N7" s="54">
        <f t="shared" si="4"/>
        <v>2023</v>
      </c>
      <c r="O7" s="58">
        <v>0.66666666666666663</v>
      </c>
      <c r="P7" s="59" t="s">
        <v>158</v>
      </c>
      <c r="Q7" s="60" t="s">
        <v>94</v>
      </c>
      <c r="R7" s="56" t="s">
        <v>240</v>
      </c>
      <c r="S7" s="61" t="s">
        <v>44</v>
      </c>
      <c r="T7" s="62" t="s">
        <v>396</v>
      </c>
      <c r="U7" s="63" t="s">
        <v>24</v>
      </c>
      <c r="V7" s="63" t="s">
        <v>147</v>
      </c>
      <c r="W7" s="64">
        <v>11848</v>
      </c>
      <c r="X7" s="64">
        <v>4</v>
      </c>
      <c r="Y7" s="47">
        <v>1883</v>
      </c>
      <c r="Z7" s="47">
        <f t="shared" si="5"/>
        <v>13731</v>
      </c>
    </row>
    <row r="8" spans="1:26" x14ac:dyDescent="0.25">
      <c r="A8" s="53">
        <v>44957</v>
      </c>
      <c r="B8" s="54">
        <f t="shared" ref="B8" si="6">DAY(A8)</f>
        <v>31</v>
      </c>
      <c r="C8" s="55" t="str" cm="1">
        <f t="array" ref="C8">INDEX(Processing!$C$11:$C$22,MONTH('ALL ORDERS'!A8))</f>
        <v>JAN</v>
      </c>
      <c r="D8" s="54">
        <f t="shared" ref="D8" si="7">YEAR(A8)</f>
        <v>2023</v>
      </c>
      <c r="E8" s="56" t="s">
        <v>48</v>
      </c>
      <c r="F8" s="56" t="s">
        <v>21</v>
      </c>
      <c r="G8" s="100">
        <v>5000</v>
      </c>
      <c r="H8" s="100">
        <v>6250</v>
      </c>
      <c r="I8" s="57"/>
      <c r="J8" s="99">
        <f t="shared" si="2"/>
        <v>11250</v>
      </c>
      <c r="K8" s="53">
        <v>44957</v>
      </c>
      <c r="L8" s="54">
        <f t="shared" ref="L8" si="8">DAY(K8)</f>
        <v>31</v>
      </c>
      <c r="M8" s="55" t="str" cm="1">
        <f t="array" ref="M8">INDEX(Processing!$W$6:$W$17,MONTH('ALL ORDERS'!K8))</f>
        <v>January</v>
      </c>
      <c r="N8" s="54">
        <f t="shared" ref="N8" si="9">YEAR(K8)</f>
        <v>2023</v>
      </c>
      <c r="O8" s="58">
        <v>0.70833333333333304</v>
      </c>
      <c r="P8" s="59" t="s">
        <v>159</v>
      </c>
      <c r="Q8" s="60" t="s">
        <v>94</v>
      </c>
      <c r="R8" s="56" t="s">
        <v>1080</v>
      </c>
      <c r="S8" s="61" t="s">
        <v>45</v>
      </c>
      <c r="T8" s="62" t="s">
        <v>407</v>
      </c>
      <c r="U8" s="63" t="s">
        <v>25</v>
      </c>
      <c r="V8" s="63" t="s">
        <v>147</v>
      </c>
      <c r="W8" s="64">
        <v>2176</v>
      </c>
      <c r="X8" s="64">
        <v>5</v>
      </c>
      <c r="Y8" s="47">
        <v>921</v>
      </c>
      <c r="Z8" s="47">
        <f t="shared" si="5"/>
        <v>3097</v>
      </c>
    </row>
    <row r="9" spans="1:26" x14ac:dyDescent="0.25">
      <c r="A9" s="53">
        <v>44931</v>
      </c>
      <c r="B9" s="54">
        <f t="shared" si="0"/>
        <v>5</v>
      </c>
      <c r="C9" s="55" t="str" cm="1">
        <f t="array" ref="C9">INDEX(Processing!$C$11:$C$22,MONTH('ALL ORDERS'!A9))</f>
        <v>JAN</v>
      </c>
      <c r="D9" s="54">
        <f t="shared" si="1"/>
        <v>2023</v>
      </c>
      <c r="E9" s="56" t="s">
        <v>50</v>
      </c>
      <c r="F9" s="56" t="s">
        <v>22</v>
      </c>
      <c r="G9" s="100">
        <v>4000</v>
      </c>
      <c r="H9" s="100">
        <v>0</v>
      </c>
      <c r="I9" s="57"/>
      <c r="J9" s="99">
        <f t="shared" si="2"/>
        <v>4000</v>
      </c>
      <c r="K9" s="53">
        <v>44931</v>
      </c>
      <c r="L9" s="54">
        <f t="shared" si="3"/>
        <v>5</v>
      </c>
      <c r="M9" s="55" t="str" cm="1">
        <f t="array" ref="M9">INDEX(Processing!$W$6:$W$17,MONTH('ALL ORDERS'!K9))</f>
        <v>January</v>
      </c>
      <c r="N9" s="54">
        <f t="shared" si="4"/>
        <v>2023</v>
      </c>
      <c r="O9" s="58">
        <v>0.4375</v>
      </c>
      <c r="P9" s="59" t="s">
        <v>159</v>
      </c>
      <c r="Q9" s="60" t="s">
        <v>94</v>
      </c>
      <c r="R9" s="56" t="s">
        <v>241</v>
      </c>
      <c r="S9" s="61" t="s">
        <v>46</v>
      </c>
      <c r="T9" s="62" t="s">
        <v>397</v>
      </c>
      <c r="U9" s="63" t="s">
        <v>25</v>
      </c>
      <c r="V9" s="63" t="s">
        <v>147</v>
      </c>
      <c r="W9" s="64">
        <v>10588</v>
      </c>
      <c r="X9" s="64">
        <v>4</v>
      </c>
      <c r="Y9" s="47">
        <v>1331</v>
      </c>
      <c r="Z9" s="47">
        <f t="shared" si="5"/>
        <v>11919</v>
      </c>
    </row>
    <row r="10" spans="1:26" x14ac:dyDescent="0.25">
      <c r="A10" s="53">
        <v>44958</v>
      </c>
      <c r="B10" s="54">
        <f t="shared" si="0"/>
        <v>1</v>
      </c>
      <c r="C10" s="55" t="str" cm="1">
        <f t="array" ref="C10">INDEX(Processing!$C$11:$C$22,MONTH('ALL ORDERS'!A10))</f>
        <v>FEB</v>
      </c>
      <c r="D10" s="54">
        <f t="shared" si="1"/>
        <v>2023</v>
      </c>
      <c r="E10" s="56" t="s">
        <v>48</v>
      </c>
      <c r="F10" s="56" t="s">
        <v>135</v>
      </c>
      <c r="G10" s="100">
        <v>8600</v>
      </c>
      <c r="H10" s="100">
        <v>0</v>
      </c>
      <c r="I10" s="57">
        <v>0.05</v>
      </c>
      <c r="J10" s="99">
        <f t="shared" si="2"/>
        <v>8600</v>
      </c>
      <c r="K10" s="53">
        <v>44958</v>
      </c>
      <c r="L10" s="54">
        <f t="shared" si="3"/>
        <v>1</v>
      </c>
      <c r="M10" s="55" t="str" cm="1">
        <f t="array" ref="M10">INDEX(Processing!$W$6:$W$17,MONTH('ALL ORDERS'!K10))</f>
        <v>February</v>
      </c>
      <c r="N10" s="54">
        <f t="shared" si="4"/>
        <v>2023</v>
      </c>
      <c r="O10" s="58">
        <v>0.4375</v>
      </c>
      <c r="P10" s="59" t="s">
        <v>160</v>
      </c>
      <c r="Q10" s="60" t="s">
        <v>94</v>
      </c>
      <c r="R10" s="56" t="s">
        <v>242</v>
      </c>
      <c r="S10" s="61" t="s">
        <v>41</v>
      </c>
      <c r="T10" s="62" t="s">
        <v>398</v>
      </c>
      <c r="U10" s="63" t="s">
        <v>27</v>
      </c>
      <c r="V10" s="63" t="s">
        <v>147</v>
      </c>
      <c r="W10" s="64">
        <v>10812</v>
      </c>
      <c r="X10" s="64">
        <v>4</v>
      </c>
      <c r="Y10" s="47">
        <v>2111</v>
      </c>
      <c r="Z10" s="47">
        <f t="shared" si="5"/>
        <v>12923</v>
      </c>
    </row>
    <row r="11" spans="1:26" x14ac:dyDescent="0.25">
      <c r="A11" s="53">
        <v>44959</v>
      </c>
      <c r="B11" s="54">
        <f t="shared" si="0"/>
        <v>2</v>
      </c>
      <c r="C11" s="55" t="str" cm="1">
        <f t="array" ref="C11">INDEX(Processing!$C$11:$C$22,MONTH('ALL ORDERS'!A11))</f>
        <v>FEB</v>
      </c>
      <c r="D11" s="54">
        <f t="shared" si="1"/>
        <v>2023</v>
      </c>
      <c r="E11" s="56" t="s">
        <v>51</v>
      </c>
      <c r="F11" s="56" t="s">
        <v>22</v>
      </c>
      <c r="G11" s="100">
        <v>10000</v>
      </c>
      <c r="H11" s="100">
        <v>0</v>
      </c>
      <c r="I11" s="57"/>
      <c r="J11" s="99">
        <f t="shared" si="2"/>
        <v>10000</v>
      </c>
      <c r="K11" s="53">
        <v>44959</v>
      </c>
      <c r="L11" s="54">
        <f t="shared" si="3"/>
        <v>2</v>
      </c>
      <c r="M11" s="55" t="str" cm="1">
        <f t="array" ref="M11">INDEX(Processing!$W$6:$W$17,MONTH('ALL ORDERS'!K11))</f>
        <v>February</v>
      </c>
      <c r="N11" s="54">
        <f t="shared" si="4"/>
        <v>2023</v>
      </c>
      <c r="O11" s="58">
        <v>0.41666666666666669</v>
      </c>
      <c r="P11" s="59" t="s">
        <v>337</v>
      </c>
      <c r="Q11" s="60" t="s">
        <v>94</v>
      </c>
      <c r="R11" s="56" t="s">
        <v>243</v>
      </c>
      <c r="S11" s="61" t="s">
        <v>42</v>
      </c>
      <c r="T11" s="62" t="s">
        <v>399</v>
      </c>
      <c r="U11" s="63" t="s">
        <v>23</v>
      </c>
      <c r="V11" s="63" t="s">
        <v>147</v>
      </c>
      <c r="W11" s="64">
        <v>4615</v>
      </c>
      <c r="X11" s="64">
        <v>4</v>
      </c>
      <c r="Y11" s="47">
        <v>785</v>
      </c>
      <c r="Z11" s="47">
        <f t="shared" si="5"/>
        <v>5400</v>
      </c>
    </row>
    <row r="12" spans="1:26" x14ac:dyDescent="0.25">
      <c r="A12" s="53">
        <v>44985</v>
      </c>
      <c r="B12" s="54">
        <f t="shared" ref="B12" si="10">DAY(A12)</f>
        <v>28</v>
      </c>
      <c r="C12" s="55" t="str" cm="1">
        <f t="array" ref="C12">INDEX(Processing!$C$11:$C$22,MONTH('ALL ORDERS'!A12))</f>
        <v>FEB</v>
      </c>
      <c r="D12" s="54">
        <f t="shared" ref="D12" si="11">YEAR(A12)</f>
        <v>2023</v>
      </c>
      <c r="E12" s="56" t="s">
        <v>50</v>
      </c>
      <c r="F12" s="56" t="s">
        <v>22</v>
      </c>
      <c r="G12" s="100">
        <v>0</v>
      </c>
      <c r="H12" s="100">
        <v>14900</v>
      </c>
      <c r="I12" s="57"/>
      <c r="J12" s="99">
        <f t="shared" si="2"/>
        <v>14900</v>
      </c>
      <c r="K12" s="53">
        <v>44985</v>
      </c>
      <c r="L12" s="54">
        <f t="shared" ref="L12" si="12">DAY(K12)</f>
        <v>28</v>
      </c>
      <c r="M12" s="55" t="str" cm="1">
        <f t="array" ref="M12">INDEX(Processing!$W$6:$W$17,MONTH('ALL ORDERS'!K12))</f>
        <v>February</v>
      </c>
      <c r="N12" s="54">
        <f t="shared" ref="N12" si="13">YEAR(K12)</f>
        <v>2023</v>
      </c>
      <c r="O12" s="58">
        <v>0.45833333333333298</v>
      </c>
      <c r="P12" s="59" t="s">
        <v>161</v>
      </c>
      <c r="Q12" s="60" t="s">
        <v>94</v>
      </c>
      <c r="R12" s="56" t="s">
        <v>1081</v>
      </c>
      <c r="S12" s="61" t="s">
        <v>43</v>
      </c>
      <c r="T12" s="62" t="s">
        <v>410</v>
      </c>
      <c r="U12" s="63" t="s">
        <v>23</v>
      </c>
      <c r="V12" s="63" t="s">
        <v>147</v>
      </c>
      <c r="W12" s="64">
        <v>5454</v>
      </c>
      <c r="X12" s="64">
        <v>5</v>
      </c>
      <c r="Y12" s="47">
        <v>957</v>
      </c>
      <c r="Z12" s="47">
        <f t="shared" si="5"/>
        <v>6411</v>
      </c>
    </row>
    <row r="13" spans="1:26" x14ac:dyDescent="0.25">
      <c r="A13" s="53">
        <v>44960</v>
      </c>
      <c r="B13" s="54">
        <f t="shared" si="0"/>
        <v>3</v>
      </c>
      <c r="C13" s="55" t="str" cm="1">
        <f t="array" ref="C13">INDEX(Processing!$C$11:$C$22,MONTH('ALL ORDERS'!A13))</f>
        <v>FEB</v>
      </c>
      <c r="D13" s="54">
        <f t="shared" si="1"/>
        <v>2023</v>
      </c>
      <c r="E13" s="56" t="s">
        <v>49</v>
      </c>
      <c r="F13" s="56" t="s">
        <v>135</v>
      </c>
      <c r="G13" s="100">
        <v>10300</v>
      </c>
      <c r="H13" s="100">
        <v>0</v>
      </c>
      <c r="I13" s="57"/>
      <c r="J13" s="99">
        <f t="shared" si="2"/>
        <v>10300</v>
      </c>
      <c r="K13" s="53">
        <v>44960</v>
      </c>
      <c r="L13" s="54">
        <f t="shared" si="3"/>
        <v>3</v>
      </c>
      <c r="M13" s="55" t="str" cm="1">
        <f t="array" ref="M13">INDEX(Processing!$W$6:$W$17,MONTH('ALL ORDERS'!K13))</f>
        <v>February</v>
      </c>
      <c r="N13" s="54">
        <f t="shared" si="4"/>
        <v>2023</v>
      </c>
      <c r="O13" s="58">
        <v>0.5</v>
      </c>
      <c r="P13" s="59" t="s">
        <v>161</v>
      </c>
      <c r="Q13" s="60" t="s">
        <v>90</v>
      </c>
      <c r="R13" s="56" t="s">
        <v>244</v>
      </c>
      <c r="S13" s="61" t="s">
        <v>44</v>
      </c>
      <c r="T13" s="62" t="s">
        <v>400</v>
      </c>
      <c r="U13" s="63" t="s">
        <v>24</v>
      </c>
      <c r="V13" s="63" t="s">
        <v>147</v>
      </c>
      <c r="W13" s="64">
        <v>11688</v>
      </c>
      <c r="X13" s="64">
        <v>4</v>
      </c>
      <c r="Y13" s="47">
        <v>1216</v>
      </c>
      <c r="Z13" s="47">
        <f t="shared" si="5"/>
        <v>12904</v>
      </c>
    </row>
    <row r="14" spans="1:26" x14ac:dyDescent="0.25">
      <c r="A14" s="53">
        <v>44961</v>
      </c>
      <c r="B14" s="54">
        <f t="shared" ref="B14" si="14">DAY(A14)</f>
        <v>4</v>
      </c>
      <c r="C14" s="55" t="str" cm="1">
        <f t="array" ref="C14">INDEX(Processing!$C$11:$C$22,MONTH('ALL ORDERS'!A14))</f>
        <v>FEB</v>
      </c>
      <c r="D14" s="54">
        <f t="shared" ref="D14" si="15">YEAR(A14)</f>
        <v>2023</v>
      </c>
      <c r="E14" s="56" t="s">
        <v>47</v>
      </c>
      <c r="F14" s="56" t="s">
        <v>135</v>
      </c>
      <c r="G14" s="100">
        <v>10300</v>
      </c>
      <c r="H14" s="100">
        <v>0</v>
      </c>
      <c r="I14" s="57"/>
      <c r="J14" s="99">
        <f t="shared" ref="J14" si="16">G14+H14</f>
        <v>10300</v>
      </c>
      <c r="K14" s="53">
        <v>44961</v>
      </c>
      <c r="L14" s="54">
        <f t="shared" ref="L14" si="17">DAY(K14)</f>
        <v>4</v>
      </c>
      <c r="M14" s="55" t="str" cm="1">
        <f t="array" ref="M14">INDEX(Processing!$W$6:$W$17,MONTH('ALL ORDERS'!K14))</f>
        <v>February</v>
      </c>
      <c r="N14" s="54">
        <f t="shared" ref="N14" si="18">YEAR(K14)</f>
        <v>2023</v>
      </c>
      <c r="O14" s="58">
        <v>0.54166666666666696</v>
      </c>
      <c r="P14" s="59" t="s">
        <v>162</v>
      </c>
      <c r="Q14" s="60" t="s">
        <v>90</v>
      </c>
      <c r="R14" s="56" t="s">
        <v>1122</v>
      </c>
      <c r="S14" s="61" t="s">
        <v>45</v>
      </c>
      <c r="T14" s="62" t="s">
        <v>411</v>
      </c>
      <c r="U14" s="63" t="s">
        <v>25</v>
      </c>
      <c r="V14" s="63" t="s">
        <v>147</v>
      </c>
      <c r="W14" s="64">
        <v>6749</v>
      </c>
      <c r="X14" s="64">
        <v>5</v>
      </c>
      <c r="Y14" s="47">
        <v>1165</v>
      </c>
      <c r="Z14" s="47">
        <f t="shared" si="5"/>
        <v>7914</v>
      </c>
    </row>
    <row r="15" spans="1:26" x14ac:dyDescent="0.25">
      <c r="A15" s="53">
        <v>44986</v>
      </c>
      <c r="B15" s="54">
        <f t="shared" si="0"/>
        <v>1</v>
      </c>
      <c r="C15" s="55" t="str" cm="1">
        <f t="array" ref="C15">INDEX(Processing!$C$11:$C$22,MONTH('ALL ORDERS'!A15))</f>
        <v>MAR</v>
      </c>
      <c r="D15" s="54">
        <f t="shared" si="1"/>
        <v>2023</v>
      </c>
      <c r="E15" s="56" t="s">
        <v>47</v>
      </c>
      <c r="F15" s="56" t="s">
        <v>137</v>
      </c>
      <c r="G15" s="100">
        <v>13000</v>
      </c>
      <c r="H15" s="100">
        <v>0</v>
      </c>
      <c r="I15" s="57"/>
      <c r="J15" s="99">
        <f t="shared" si="2"/>
        <v>13000</v>
      </c>
      <c r="K15" s="53">
        <v>44986</v>
      </c>
      <c r="L15" s="54">
        <f t="shared" si="3"/>
        <v>1</v>
      </c>
      <c r="M15" s="55" t="str" cm="1">
        <f t="array" ref="M15">INDEX(Processing!$W$6:$W$17,MONTH('ALL ORDERS'!K15))</f>
        <v>March</v>
      </c>
      <c r="N15" s="54">
        <f t="shared" si="4"/>
        <v>2023</v>
      </c>
      <c r="O15" s="58">
        <v>0.66666666666666663</v>
      </c>
      <c r="P15" s="59" t="s">
        <v>162</v>
      </c>
      <c r="Q15" s="60" t="s">
        <v>94</v>
      </c>
      <c r="R15" s="56" t="s">
        <v>245</v>
      </c>
      <c r="S15" s="61" t="s">
        <v>46</v>
      </c>
      <c r="T15" s="62" t="s">
        <v>401</v>
      </c>
      <c r="U15" s="63" t="s">
        <v>25</v>
      </c>
      <c r="V15" s="63" t="s">
        <v>147</v>
      </c>
      <c r="W15" s="64">
        <v>9627</v>
      </c>
      <c r="X15" s="64">
        <v>4</v>
      </c>
      <c r="Y15" s="47">
        <v>2721</v>
      </c>
      <c r="Z15" s="47">
        <f t="shared" si="5"/>
        <v>12348</v>
      </c>
    </row>
    <row r="16" spans="1:26" x14ac:dyDescent="0.25">
      <c r="A16" s="53">
        <v>44987</v>
      </c>
      <c r="B16" s="54">
        <f t="shared" si="0"/>
        <v>2</v>
      </c>
      <c r="C16" s="55" t="str" cm="1">
        <f t="array" ref="C16">INDEX(Processing!$C$11:$C$22,MONTH('ALL ORDERS'!A16))</f>
        <v>MAR</v>
      </c>
      <c r="D16" s="54">
        <f t="shared" si="1"/>
        <v>2023</v>
      </c>
      <c r="E16" s="56" t="s">
        <v>50</v>
      </c>
      <c r="F16" s="56" t="s">
        <v>21</v>
      </c>
      <c r="G16" s="100">
        <v>10000</v>
      </c>
      <c r="H16" s="100">
        <v>0</v>
      </c>
      <c r="I16" s="57"/>
      <c r="J16" s="99">
        <f t="shared" si="2"/>
        <v>10000</v>
      </c>
      <c r="K16" s="53">
        <v>44987</v>
      </c>
      <c r="L16" s="54">
        <f t="shared" si="3"/>
        <v>2</v>
      </c>
      <c r="M16" s="55" t="str" cm="1">
        <f t="array" ref="M16">INDEX(Processing!$W$6:$W$17,MONTH('ALL ORDERS'!K16))</f>
        <v>March</v>
      </c>
      <c r="N16" s="54">
        <f t="shared" si="4"/>
        <v>2023</v>
      </c>
      <c r="O16" s="58">
        <v>0.4375</v>
      </c>
      <c r="P16" s="59" t="s">
        <v>163</v>
      </c>
      <c r="Q16" s="60" t="s">
        <v>94</v>
      </c>
      <c r="R16" s="56" t="s">
        <v>246</v>
      </c>
      <c r="S16" s="61" t="s">
        <v>44</v>
      </c>
      <c r="T16" s="62" t="s">
        <v>402</v>
      </c>
      <c r="U16" s="63" t="s">
        <v>24</v>
      </c>
      <c r="V16" s="63" t="s">
        <v>147</v>
      </c>
      <c r="W16" s="64">
        <v>5190</v>
      </c>
      <c r="X16" s="64">
        <v>4</v>
      </c>
      <c r="Y16" s="47">
        <v>783</v>
      </c>
      <c r="Z16" s="47">
        <f t="shared" si="5"/>
        <v>5973</v>
      </c>
    </row>
    <row r="17" spans="1:26" x14ac:dyDescent="0.25">
      <c r="A17" s="53">
        <v>44988</v>
      </c>
      <c r="B17" s="54">
        <f t="shared" si="0"/>
        <v>3</v>
      </c>
      <c r="C17" s="55" t="str" cm="1">
        <f t="array" ref="C17">INDEX(Processing!$C$11:$C$22,MONTH('ALL ORDERS'!A17))</f>
        <v>MAR</v>
      </c>
      <c r="D17" s="54">
        <f t="shared" si="1"/>
        <v>2023</v>
      </c>
      <c r="E17" s="56" t="s">
        <v>48</v>
      </c>
      <c r="F17" s="56" t="s">
        <v>18</v>
      </c>
      <c r="G17" s="100">
        <v>2500</v>
      </c>
      <c r="H17" s="100">
        <v>10000</v>
      </c>
      <c r="I17" s="57">
        <v>0.1</v>
      </c>
      <c r="J17" s="99">
        <f t="shared" si="2"/>
        <v>12500</v>
      </c>
      <c r="K17" s="53">
        <v>44988</v>
      </c>
      <c r="L17" s="54">
        <f t="shared" si="3"/>
        <v>3</v>
      </c>
      <c r="M17" s="55" t="str" cm="1">
        <f t="array" ref="M17">INDEX(Processing!$W$6:$W$17,MONTH('ALL ORDERS'!K17))</f>
        <v>March</v>
      </c>
      <c r="N17" s="54">
        <f t="shared" si="4"/>
        <v>2023</v>
      </c>
      <c r="O17" s="58">
        <v>0.4375</v>
      </c>
      <c r="P17" s="59" t="s">
        <v>164</v>
      </c>
      <c r="Q17" s="60" t="s">
        <v>94</v>
      </c>
      <c r="R17" s="56" t="s">
        <v>247</v>
      </c>
      <c r="S17" s="61" t="s">
        <v>45</v>
      </c>
      <c r="T17" s="70">
        <v>60900888990</v>
      </c>
      <c r="U17" s="63" t="s">
        <v>23</v>
      </c>
      <c r="V17" s="63" t="s">
        <v>147</v>
      </c>
      <c r="W17" s="64">
        <v>9051</v>
      </c>
      <c r="X17" s="64">
        <v>4</v>
      </c>
      <c r="Y17" s="47">
        <v>1326</v>
      </c>
      <c r="Z17" s="47">
        <f t="shared" si="5"/>
        <v>10377</v>
      </c>
    </row>
    <row r="18" spans="1:26" x14ac:dyDescent="0.25">
      <c r="A18" s="53">
        <v>44989</v>
      </c>
      <c r="B18" s="54">
        <f t="shared" si="0"/>
        <v>4</v>
      </c>
      <c r="C18" s="55" t="str" cm="1">
        <f t="array" ref="C18">INDEX(Processing!$C$11:$C$22,MONTH('ALL ORDERS'!A18))</f>
        <v>MAR</v>
      </c>
      <c r="D18" s="54">
        <f t="shared" si="1"/>
        <v>2023</v>
      </c>
      <c r="E18" s="56" t="s">
        <v>51</v>
      </c>
      <c r="F18" s="56" t="s">
        <v>124</v>
      </c>
      <c r="G18" s="100">
        <v>0</v>
      </c>
      <c r="H18" s="100">
        <v>6500</v>
      </c>
      <c r="I18" s="57"/>
      <c r="J18" s="99">
        <f t="shared" si="2"/>
        <v>6500</v>
      </c>
      <c r="K18" s="53">
        <v>44989</v>
      </c>
      <c r="L18" s="54">
        <f t="shared" si="3"/>
        <v>4</v>
      </c>
      <c r="M18" s="55" t="str" cm="1">
        <f t="array" ref="M18">INDEX(Processing!$W$6:$W$17,MONTH('ALL ORDERS'!K18))</f>
        <v>March</v>
      </c>
      <c r="N18" s="54">
        <f t="shared" si="4"/>
        <v>2023</v>
      </c>
      <c r="O18" s="58">
        <v>0.41666666666666669</v>
      </c>
      <c r="P18" s="59" t="s">
        <v>165</v>
      </c>
      <c r="Q18" s="60" t="s">
        <v>90</v>
      </c>
      <c r="R18" s="56" t="s">
        <v>248</v>
      </c>
      <c r="S18" s="61" t="s">
        <v>46</v>
      </c>
      <c r="T18" s="62" t="s">
        <v>403</v>
      </c>
      <c r="U18" s="63" t="s">
        <v>24</v>
      </c>
      <c r="V18" s="63" t="s">
        <v>147</v>
      </c>
      <c r="W18" s="64">
        <v>12438</v>
      </c>
      <c r="X18" s="64">
        <v>4</v>
      </c>
      <c r="Y18" s="47">
        <v>931</v>
      </c>
      <c r="Z18" s="47">
        <f t="shared" si="5"/>
        <v>13369</v>
      </c>
    </row>
    <row r="19" spans="1:26" x14ac:dyDescent="0.25">
      <c r="A19" s="53">
        <v>44990</v>
      </c>
      <c r="B19" s="54">
        <f t="shared" ref="B19" si="19">DAY(A19)</f>
        <v>5</v>
      </c>
      <c r="C19" s="55" t="str" cm="1">
        <f t="array" ref="C19">INDEX(Processing!$C$11:$C$22,MONTH('ALL ORDERS'!A19))</f>
        <v>MAR</v>
      </c>
      <c r="D19" s="54">
        <f t="shared" ref="D19" si="20">YEAR(A19)</f>
        <v>2023</v>
      </c>
      <c r="E19" s="56" t="s">
        <v>47</v>
      </c>
      <c r="F19" s="56" t="s">
        <v>22</v>
      </c>
      <c r="G19" s="100">
        <v>2000</v>
      </c>
      <c r="H19" s="100">
        <v>0</v>
      </c>
      <c r="I19" s="57"/>
      <c r="J19" s="99">
        <f t="shared" si="2"/>
        <v>2000</v>
      </c>
      <c r="K19" s="53">
        <v>44990</v>
      </c>
      <c r="L19" s="54">
        <f t="shared" ref="L19" si="21">DAY(K19)</f>
        <v>5</v>
      </c>
      <c r="M19" s="55" t="str" cm="1">
        <f t="array" ref="M19">INDEX(Processing!$W$6:$W$17,MONTH('ALL ORDERS'!K19))</f>
        <v>March</v>
      </c>
      <c r="N19" s="54">
        <f t="shared" ref="N19" si="22">YEAR(K19)</f>
        <v>2023</v>
      </c>
      <c r="O19" s="58">
        <v>0.45833333333333298</v>
      </c>
      <c r="P19" s="59" t="s">
        <v>165</v>
      </c>
      <c r="Q19" s="60" t="s">
        <v>94</v>
      </c>
      <c r="R19" s="56" t="s">
        <v>1082</v>
      </c>
      <c r="S19" s="61" t="s">
        <v>41</v>
      </c>
      <c r="T19" s="62" t="s">
        <v>393</v>
      </c>
      <c r="U19" s="63" t="s">
        <v>24</v>
      </c>
      <c r="V19" s="63" t="s">
        <v>147</v>
      </c>
      <c r="W19" s="64">
        <v>8956</v>
      </c>
      <c r="X19" s="64">
        <v>4</v>
      </c>
      <c r="Y19" s="47">
        <v>1414</v>
      </c>
      <c r="Z19" s="47">
        <f t="shared" si="5"/>
        <v>10370</v>
      </c>
    </row>
    <row r="20" spans="1:26" x14ac:dyDescent="0.25">
      <c r="A20" s="53">
        <v>45016</v>
      </c>
      <c r="B20" s="54">
        <f t="shared" si="0"/>
        <v>31</v>
      </c>
      <c r="C20" s="55" t="str" cm="1">
        <f t="array" ref="C20">INDEX(Processing!$C$11:$C$22,MONTH('ALL ORDERS'!A20))</f>
        <v>MAR</v>
      </c>
      <c r="D20" s="54">
        <f t="shared" si="1"/>
        <v>2023</v>
      </c>
      <c r="E20" s="56" t="s">
        <v>49</v>
      </c>
      <c r="F20" s="56" t="s">
        <v>22</v>
      </c>
      <c r="G20" s="100">
        <v>12200</v>
      </c>
      <c r="H20" s="100">
        <v>0</v>
      </c>
      <c r="I20" s="57"/>
      <c r="J20" s="99">
        <f t="shared" si="2"/>
        <v>12200</v>
      </c>
      <c r="K20" s="53">
        <v>45016</v>
      </c>
      <c r="L20" s="54">
        <f t="shared" si="3"/>
        <v>31</v>
      </c>
      <c r="M20" s="55" t="str" cm="1">
        <f t="array" ref="M20">INDEX(Processing!$W$6:$W$17,MONTH('ALL ORDERS'!K20))</f>
        <v>March</v>
      </c>
      <c r="N20" s="54">
        <f t="shared" si="4"/>
        <v>2023</v>
      </c>
      <c r="O20" s="58">
        <v>0.5</v>
      </c>
      <c r="P20" s="59" t="s">
        <v>166</v>
      </c>
      <c r="Q20" s="60" t="s">
        <v>94</v>
      </c>
      <c r="R20" s="56" t="s">
        <v>249</v>
      </c>
      <c r="S20" s="61" t="s">
        <v>42</v>
      </c>
      <c r="T20" s="62" t="s">
        <v>404</v>
      </c>
      <c r="U20" s="63" t="s">
        <v>25</v>
      </c>
      <c r="V20" s="63" t="s">
        <v>147</v>
      </c>
      <c r="W20" s="64">
        <v>3530</v>
      </c>
      <c r="X20" s="64">
        <v>5</v>
      </c>
      <c r="Y20" s="47">
        <v>1323</v>
      </c>
      <c r="Z20" s="47">
        <f t="shared" si="5"/>
        <v>4853</v>
      </c>
    </row>
    <row r="21" spans="1:26" x14ac:dyDescent="0.25">
      <c r="A21" s="53">
        <v>45017</v>
      </c>
      <c r="B21" s="54">
        <f t="shared" si="0"/>
        <v>1</v>
      </c>
      <c r="C21" s="55" t="str" cm="1">
        <f t="array" ref="C21">INDEX(Processing!$C$11:$C$22,MONTH('ALL ORDERS'!A21))</f>
        <v>APR</v>
      </c>
      <c r="D21" s="54">
        <f t="shared" si="1"/>
        <v>2023</v>
      </c>
      <c r="E21" s="56" t="s">
        <v>50</v>
      </c>
      <c r="F21" s="56" t="s">
        <v>135</v>
      </c>
      <c r="G21" s="100">
        <v>0</v>
      </c>
      <c r="H21" s="100">
        <v>6540</v>
      </c>
      <c r="I21" s="57"/>
      <c r="J21" s="99">
        <f t="shared" si="2"/>
        <v>6540</v>
      </c>
      <c r="K21" s="53">
        <v>45017</v>
      </c>
      <c r="L21" s="54">
        <f t="shared" si="3"/>
        <v>1</v>
      </c>
      <c r="M21" s="55" t="str" cm="1">
        <f t="array" ref="M21">INDEX(Processing!$W$6:$W$17,MONTH('ALL ORDERS'!K21))</f>
        <v>April</v>
      </c>
      <c r="N21" s="54">
        <f t="shared" si="4"/>
        <v>2023</v>
      </c>
      <c r="O21" s="58">
        <v>0.66666666666666663</v>
      </c>
      <c r="P21" s="59" t="s">
        <v>167</v>
      </c>
      <c r="Q21" s="60" t="s">
        <v>91</v>
      </c>
      <c r="R21" s="56" t="s">
        <v>250</v>
      </c>
      <c r="S21" s="61" t="s">
        <v>43</v>
      </c>
      <c r="T21" s="62" t="s">
        <v>405</v>
      </c>
      <c r="U21" s="63" t="s">
        <v>25</v>
      </c>
      <c r="V21" s="63" t="s">
        <v>147</v>
      </c>
      <c r="W21" s="64">
        <v>8029</v>
      </c>
      <c r="X21" s="64">
        <v>5</v>
      </c>
      <c r="Y21" s="47">
        <v>1329</v>
      </c>
      <c r="Z21" s="47">
        <f t="shared" si="5"/>
        <v>9358</v>
      </c>
    </row>
    <row r="22" spans="1:26" x14ac:dyDescent="0.25">
      <c r="A22" s="53">
        <v>45018</v>
      </c>
      <c r="B22" s="54">
        <f t="shared" si="0"/>
        <v>2</v>
      </c>
      <c r="C22" s="55" t="str" cm="1">
        <f t="array" ref="C22">INDEX(Processing!$C$11:$C$22,MONTH('ALL ORDERS'!A22))</f>
        <v>APR</v>
      </c>
      <c r="D22" s="54">
        <f t="shared" si="1"/>
        <v>2023</v>
      </c>
      <c r="E22" s="56" t="s">
        <v>48</v>
      </c>
      <c r="F22" s="56" t="s">
        <v>122</v>
      </c>
      <c r="G22" s="100">
        <v>0</v>
      </c>
      <c r="H22" s="100">
        <v>4550</v>
      </c>
      <c r="I22" s="57">
        <v>0.15</v>
      </c>
      <c r="J22" s="99">
        <f t="shared" si="2"/>
        <v>4550</v>
      </c>
      <c r="K22" s="53">
        <v>45018</v>
      </c>
      <c r="L22" s="54">
        <f t="shared" si="3"/>
        <v>2</v>
      </c>
      <c r="M22" s="55" t="str" cm="1">
        <f t="array" ref="M22">INDEX(Processing!$W$6:$W$17,MONTH('ALL ORDERS'!K22))</f>
        <v>April</v>
      </c>
      <c r="N22" s="54">
        <f t="shared" si="4"/>
        <v>2023</v>
      </c>
      <c r="O22" s="58">
        <v>0.4375</v>
      </c>
      <c r="P22" s="59" t="s">
        <v>168</v>
      </c>
      <c r="Q22" s="60" t="s">
        <v>94</v>
      </c>
      <c r="R22" s="56" t="s">
        <v>251</v>
      </c>
      <c r="S22" s="61" t="s">
        <v>44</v>
      </c>
      <c r="T22" s="62" t="s">
        <v>406</v>
      </c>
      <c r="U22" s="63" t="s">
        <v>25</v>
      </c>
      <c r="V22" s="63" t="s">
        <v>147</v>
      </c>
      <c r="W22" s="64">
        <v>6134</v>
      </c>
      <c r="X22" s="64">
        <v>5</v>
      </c>
      <c r="Y22" s="47">
        <v>1438</v>
      </c>
      <c r="Z22" s="47">
        <f t="shared" si="5"/>
        <v>7572</v>
      </c>
    </row>
    <row r="23" spans="1:26" x14ac:dyDescent="0.25">
      <c r="A23" s="53">
        <v>45038</v>
      </c>
      <c r="B23" s="54">
        <f t="shared" ref="B23" si="23">DAY(A23)</f>
        <v>22</v>
      </c>
      <c r="C23" s="55" t="str" cm="1">
        <f t="array" ref="C23">INDEX(Processing!$C$11:$C$22,MONTH('ALL ORDERS'!A23))</f>
        <v>APR</v>
      </c>
      <c r="D23" s="54">
        <f t="shared" ref="D23" si="24">YEAR(A23)</f>
        <v>2023</v>
      </c>
      <c r="E23" s="56" t="s">
        <v>51</v>
      </c>
      <c r="F23" s="56" t="s">
        <v>122</v>
      </c>
      <c r="G23" s="100">
        <v>0</v>
      </c>
      <c r="H23" s="100">
        <v>17710</v>
      </c>
      <c r="I23" s="57"/>
      <c r="J23" s="99">
        <f t="shared" si="2"/>
        <v>17710</v>
      </c>
      <c r="K23" s="53">
        <v>45038</v>
      </c>
      <c r="L23" s="54">
        <f t="shared" ref="L23" si="25">DAY(K23)</f>
        <v>22</v>
      </c>
      <c r="M23" s="55" t="str" cm="1">
        <f t="array" ref="M23">INDEX(Processing!$W$6:$W$17,MONTH('ALL ORDERS'!K23))</f>
        <v>April</v>
      </c>
      <c r="N23" s="54">
        <f t="shared" ref="N23" si="26">YEAR(K23)</f>
        <v>2023</v>
      </c>
      <c r="O23" s="58">
        <v>0.47916666666666702</v>
      </c>
      <c r="P23" s="59" t="s">
        <v>169</v>
      </c>
      <c r="Q23" s="60" t="s">
        <v>94</v>
      </c>
      <c r="R23" s="56" t="s">
        <v>1083</v>
      </c>
      <c r="S23" s="61" t="s">
        <v>45</v>
      </c>
      <c r="T23" s="62" t="s">
        <v>417</v>
      </c>
      <c r="U23" s="63" t="s">
        <v>23</v>
      </c>
      <c r="V23" s="63" t="s">
        <v>147</v>
      </c>
      <c r="W23" s="64">
        <v>4243</v>
      </c>
      <c r="X23" s="64">
        <v>5</v>
      </c>
      <c r="Y23" s="47">
        <v>597</v>
      </c>
      <c r="Z23" s="47">
        <f t="shared" si="5"/>
        <v>4840</v>
      </c>
    </row>
    <row r="24" spans="1:26" x14ac:dyDescent="0.25">
      <c r="A24" s="53">
        <v>45039</v>
      </c>
      <c r="B24" s="54">
        <f t="shared" ref="B24:B25" si="27">DAY(A24)</f>
        <v>23</v>
      </c>
      <c r="C24" s="55" t="str" cm="1">
        <f t="array" ref="C24">INDEX(Processing!$C$11:$C$22,MONTH('ALL ORDERS'!A24))</f>
        <v>APR</v>
      </c>
      <c r="D24" s="54">
        <f t="shared" ref="D24:D25" si="28">YEAR(A24)</f>
        <v>2023</v>
      </c>
      <c r="E24" s="56" t="s">
        <v>47</v>
      </c>
      <c r="F24" s="56" t="s">
        <v>122</v>
      </c>
      <c r="G24" s="100">
        <v>10000</v>
      </c>
      <c r="H24" s="100">
        <v>0</v>
      </c>
      <c r="I24" s="57"/>
      <c r="J24" s="99">
        <f t="shared" ref="J24:J25" si="29">G24+H24</f>
        <v>10000</v>
      </c>
      <c r="K24" s="53">
        <v>45039</v>
      </c>
      <c r="L24" s="54">
        <f t="shared" ref="L24:L25" si="30">DAY(K24)</f>
        <v>23</v>
      </c>
      <c r="M24" s="55" t="str" cm="1">
        <f t="array" ref="M24">INDEX(Processing!$W$6:$W$17,MONTH('ALL ORDERS'!K24))</f>
        <v>April</v>
      </c>
      <c r="N24" s="54">
        <f t="shared" ref="N24:N25" si="31">YEAR(K24)</f>
        <v>2023</v>
      </c>
      <c r="O24" s="58">
        <v>0.52083333333333404</v>
      </c>
      <c r="P24" s="59" t="s">
        <v>338</v>
      </c>
      <c r="Q24" s="60" t="s">
        <v>94</v>
      </c>
      <c r="R24" s="56" t="s">
        <v>1123</v>
      </c>
      <c r="S24" s="61" t="s">
        <v>46</v>
      </c>
      <c r="T24" s="62" t="s">
        <v>428</v>
      </c>
      <c r="U24" s="63" t="s">
        <v>24</v>
      </c>
      <c r="V24" s="63" t="s">
        <v>147</v>
      </c>
      <c r="W24" s="64">
        <v>10772</v>
      </c>
      <c r="X24" s="64">
        <v>6</v>
      </c>
      <c r="Y24" s="47">
        <v>1394</v>
      </c>
      <c r="Z24" s="47">
        <f t="shared" si="5"/>
        <v>12166</v>
      </c>
    </row>
    <row r="25" spans="1:26" x14ac:dyDescent="0.25">
      <c r="A25" s="53">
        <v>45040</v>
      </c>
      <c r="B25" s="54">
        <f t="shared" si="27"/>
        <v>24</v>
      </c>
      <c r="C25" s="55" t="str" cm="1">
        <f t="array" ref="C25">INDEX(Processing!$C$11:$C$22,MONTH('ALL ORDERS'!A25))</f>
        <v>APR</v>
      </c>
      <c r="D25" s="54">
        <f t="shared" si="28"/>
        <v>2023</v>
      </c>
      <c r="E25" s="56" t="s">
        <v>49</v>
      </c>
      <c r="F25" s="56" t="s">
        <v>122</v>
      </c>
      <c r="G25" s="100">
        <v>0</v>
      </c>
      <c r="H25" s="100">
        <v>10000</v>
      </c>
      <c r="I25" s="57"/>
      <c r="J25" s="99">
        <f t="shared" si="29"/>
        <v>10000</v>
      </c>
      <c r="K25" s="53">
        <v>45040</v>
      </c>
      <c r="L25" s="54">
        <f t="shared" si="30"/>
        <v>24</v>
      </c>
      <c r="M25" s="55" t="str" cm="1">
        <f t="array" ref="M25">INDEX(Processing!$W$6:$W$17,MONTH('ALL ORDERS'!K25))</f>
        <v>April</v>
      </c>
      <c r="N25" s="54">
        <f t="shared" si="31"/>
        <v>2023</v>
      </c>
      <c r="O25" s="58">
        <v>0.5625</v>
      </c>
      <c r="P25" s="59" t="s">
        <v>170</v>
      </c>
      <c r="Q25" s="60" t="s">
        <v>94</v>
      </c>
      <c r="R25" s="56" t="s">
        <v>1124</v>
      </c>
      <c r="S25" s="61" t="s">
        <v>41</v>
      </c>
      <c r="T25" s="62" t="s">
        <v>439</v>
      </c>
      <c r="U25" s="63" t="s">
        <v>27</v>
      </c>
      <c r="V25" s="63" t="s">
        <v>147</v>
      </c>
      <c r="W25" s="64">
        <v>10784</v>
      </c>
      <c r="X25" s="64">
        <v>7</v>
      </c>
      <c r="Y25" s="47">
        <v>1259</v>
      </c>
      <c r="Z25" s="47">
        <f t="shared" si="5"/>
        <v>12043</v>
      </c>
    </row>
    <row r="26" spans="1:26" x14ac:dyDescent="0.25">
      <c r="A26" s="53">
        <v>45047</v>
      </c>
      <c r="B26" s="54">
        <f t="shared" si="0"/>
        <v>1</v>
      </c>
      <c r="C26" s="55" t="str" cm="1">
        <f t="array" ref="C26">INDEX(Processing!$C$11:$C$22,MONTH('ALL ORDERS'!A26))</f>
        <v>MAY</v>
      </c>
      <c r="D26" s="54">
        <f t="shared" si="1"/>
        <v>2023</v>
      </c>
      <c r="E26" s="56" t="s">
        <v>50</v>
      </c>
      <c r="F26" s="56" t="s">
        <v>18</v>
      </c>
      <c r="G26" s="100">
        <v>0</v>
      </c>
      <c r="H26" s="100">
        <v>8060</v>
      </c>
      <c r="I26" s="57">
        <v>0.05</v>
      </c>
      <c r="J26" s="99">
        <f t="shared" si="2"/>
        <v>8060</v>
      </c>
      <c r="K26" s="53">
        <v>45047</v>
      </c>
      <c r="L26" s="54">
        <f t="shared" si="3"/>
        <v>1</v>
      </c>
      <c r="M26" s="55" t="str" cm="1">
        <f t="array" ref="M26">INDEX(Processing!$W$6:$W$17,MONTH('ALL ORDERS'!K26))</f>
        <v>May</v>
      </c>
      <c r="N26" s="54">
        <f t="shared" si="4"/>
        <v>2023</v>
      </c>
      <c r="O26" s="58">
        <v>0.41666666666666669</v>
      </c>
      <c r="P26" s="59" t="s">
        <v>169</v>
      </c>
      <c r="Q26" s="60" t="s">
        <v>94</v>
      </c>
      <c r="R26" s="56" t="s">
        <v>252</v>
      </c>
      <c r="S26" s="61" t="s">
        <v>42</v>
      </c>
      <c r="T26" s="62" t="s">
        <v>407</v>
      </c>
      <c r="U26" s="63" t="s">
        <v>23</v>
      </c>
      <c r="V26" s="63" t="s">
        <v>147</v>
      </c>
      <c r="W26" s="64">
        <v>9985</v>
      </c>
      <c r="X26" s="64">
        <v>5</v>
      </c>
      <c r="Y26" s="47">
        <v>2222</v>
      </c>
      <c r="Z26" s="47">
        <f t="shared" si="5"/>
        <v>12207</v>
      </c>
    </row>
    <row r="27" spans="1:26" x14ac:dyDescent="0.25">
      <c r="A27" s="53">
        <v>45048</v>
      </c>
      <c r="B27" s="54">
        <f t="shared" si="0"/>
        <v>2</v>
      </c>
      <c r="C27" s="55" t="str" cm="1">
        <f t="array" ref="C27">INDEX(Processing!$C$11:$C$22,MONTH('ALL ORDERS'!A27))</f>
        <v>MAY</v>
      </c>
      <c r="D27" s="54">
        <f t="shared" si="1"/>
        <v>2023</v>
      </c>
      <c r="E27" s="56" t="s">
        <v>48</v>
      </c>
      <c r="F27" s="56" t="s">
        <v>19</v>
      </c>
      <c r="G27" s="100">
        <v>0</v>
      </c>
      <c r="H27" s="100">
        <v>2450</v>
      </c>
      <c r="I27" s="57"/>
      <c r="J27" s="99">
        <f t="shared" si="2"/>
        <v>2450</v>
      </c>
      <c r="K27" s="53">
        <v>45048</v>
      </c>
      <c r="L27" s="54">
        <f t="shared" si="3"/>
        <v>2</v>
      </c>
      <c r="M27" s="55" t="str" cm="1">
        <f t="array" ref="M27">INDEX(Processing!$W$6:$W$17,MONTH('ALL ORDERS'!K27))</f>
        <v>May</v>
      </c>
      <c r="N27" s="54">
        <f t="shared" si="4"/>
        <v>2023</v>
      </c>
      <c r="O27" s="58">
        <v>0.5</v>
      </c>
      <c r="P27" s="59" t="s">
        <v>338</v>
      </c>
      <c r="Q27" s="60" t="s">
        <v>94</v>
      </c>
      <c r="R27" s="56" t="s">
        <v>253</v>
      </c>
      <c r="S27" s="61" t="s">
        <v>43</v>
      </c>
      <c r="T27" s="62" t="s">
        <v>408</v>
      </c>
      <c r="U27" s="63" t="s">
        <v>24</v>
      </c>
      <c r="V27" s="63" t="s">
        <v>147</v>
      </c>
      <c r="W27" s="64">
        <v>7141</v>
      </c>
      <c r="X27" s="64">
        <v>5</v>
      </c>
      <c r="Y27" s="47">
        <v>1724</v>
      </c>
      <c r="Z27" s="47">
        <f t="shared" si="5"/>
        <v>8865</v>
      </c>
    </row>
    <row r="28" spans="1:26" x14ac:dyDescent="0.25">
      <c r="A28" s="53">
        <v>45049</v>
      </c>
      <c r="B28" s="54">
        <f t="shared" si="0"/>
        <v>3</v>
      </c>
      <c r="C28" s="55" t="str" cm="1">
        <f t="array" ref="C28">INDEX(Processing!$C$11:$C$22,MONTH('ALL ORDERS'!A28))</f>
        <v>MAY</v>
      </c>
      <c r="D28" s="54">
        <f t="shared" si="1"/>
        <v>2023</v>
      </c>
      <c r="E28" s="56" t="s">
        <v>51</v>
      </c>
      <c r="F28" s="56" t="s">
        <v>20</v>
      </c>
      <c r="G28" s="100">
        <v>5000</v>
      </c>
      <c r="H28" s="100">
        <v>890</v>
      </c>
      <c r="I28" s="57"/>
      <c r="J28" s="99">
        <f t="shared" si="2"/>
        <v>5890</v>
      </c>
      <c r="K28" s="53">
        <v>45049</v>
      </c>
      <c r="L28" s="54">
        <f t="shared" si="3"/>
        <v>3</v>
      </c>
      <c r="M28" s="55" t="str" cm="1">
        <f t="array" ref="M28">INDEX(Processing!$W$6:$W$17,MONTH('ALL ORDERS'!K28))</f>
        <v>May</v>
      </c>
      <c r="N28" s="54">
        <f t="shared" si="4"/>
        <v>2023</v>
      </c>
      <c r="O28" s="58">
        <v>0.66666666666666663</v>
      </c>
      <c r="P28" s="59" t="s">
        <v>170</v>
      </c>
      <c r="Q28" s="60" t="s">
        <v>94</v>
      </c>
      <c r="R28" s="56" t="s">
        <v>254</v>
      </c>
      <c r="S28" s="61" t="s">
        <v>44</v>
      </c>
      <c r="T28" s="62" t="s">
        <v>409</v>
      </c>
      <c r="U28" s="63" t="s">
        <v>27</v>
      </c>
      <c r="V28" s="63" t="s">
        <v>147</v>
      </c>
      <c r="W28" s="64">
        <v>9079</v>
      </c>
      <c r="X28" s="64">
        <v>3</v>
      </c>
      <c r="Y28" s="47">
        <v>1824</v>
      </c>
      <c r="Z28" s="47">
        <f t="shared" si="5"/>
        <v>10903</v>
      </c>
    </row>
    <row r="29" spans="1:26" x14ac:dyDescent="0.25">
      <c r="A29" s="53">
        <v>45050</v>
      </c>
      <c r="B29" s="54">
        <f t="shared" ref="B29:B30" si="32">DAY(A29)</f>
        <v>4</v>
      </c>
      <c r="C29" s="55" t="str" cm="1">
        <f t="array" ref="C29">INDEX(Processing!$C$11:$C$22,MONTH('ALL ORDERS'!A29))</f>
        <v>MAY</v>
      </c>
      <c r="D29" s="54">
        <f t="shared" ref="D29:D30" si="33">YEAR(A29)</f>
        <v>2023</v>
      </c>
      <c r="E29" s="56" t="s">
        <v>47</v>
      </c>
      <c r="F29" s="56" t="s">
        <v>20</v>
      </c>
      <c r="G29" s="100">
        <v>5000</v>
      </c>
      <c r="H29" s="100">
        <v>0</v>
      </c>
      <c r="I29" s="57"/>
      <c r="J29" s="99">
        <f t="shared" ref="J29:J30" si="34">G29+H29</f>
        <v>5000</v>
      </c>
      <c r="K29" s="53">
        <v>45050</v>
      </c>
      <c r="L29" s="54">
        <f t="shared" ref="L29:L30" si="35">DAY(K29)</f>
        <v>4</v>
      </c>
      <c r="M29" s="55" t="str" cm="1">
        <f t="array" ref="M29">INDEX(Processing!$W$6:$W$17,MONTH('ALL ORDERS'!K29))</f>
        <v>May</v>
      </c>
      <c r="N29" s="54">
        <f t="shared" ref="N29:N30" si="36">YEAR(K29)</f>
        <v>2023</v>
      </c>
      <c r="O29" s="58">
        <v>0.70833333333333304</v>
      </c>
      <c r="P29" s="59" t="s">
        <v>171</v>
      </c>
      <c r="Q29" s="60" t="s">
        <v>94</v>
      </c>
      <c r="R29" s="56" t="s">
        <v>1125</v>
      </c>
      <c r="S29" s="61" t="s">
        <v>45</v>
      </c>
      <c r="T29" s="62" t="s">
        <v>420</v>
      </c>
      <c r="U29" s="63" t="s">
        <v>27</v>
      </c>
      <c r="V29" s="63" t="s">
        <v>147</v>
      </c>
      <c r="W29" s="64">
        <v>7195</v>
      </c>
      <c r="X29" s="64">
        <v>4</v>
      </c>
      <c r="Y29" s="47">
        <v>1639</v>
      </c>
      <c r="Z29" s="47">
        <f t="shared" si="5"/>
        <v>8834</v>
      </c>
    </row>
    <row r="30" spans="1:26" x14ac:dyDescent="0.25">
      <c r="A30" s="53">
        <v>45051</v>
      </c>
      <c r="B30" s="54">
        <f t="shared" si="32"/>
        <v>5</v>
      </c>
      <c r="C30" s="55" t="str" cm="1">
        <f t="array" ref="C30">INDEX(Processing!$C$11:$C$22,MONTH('ALL ORDERS'!A30))</f>
        <v>MAY</v>
      </c>
      <c r="D30" s="54">
        <f t="shared" si="33"/>
        <v>2023</v>
      </c>
      <c r="E30" s="56" t="s">
        <v>49</v>
      </c>
      <c r="F30" s="56" t="s">
        <v>20</v>
      </c>
      <c r="G30" s="100">
        <v>10000</v>
      </c>
      <c r="H30" s="100">
        <v>0</v>
      </c>
      <c r="I30" s="57"/>
      <c r="J30" s="99">
        <f t="shared" si="34"/>
        <v>10000</v>
      </c>
      <c r="K30" s="53">
        <v>45051</v>
      </c>
      <c r="L30" s="54">
        <f t="shared" si="35"/>
        <v>5</v>
      </c>
      <c r="M30" s="55" t="str" cm="1">
        <f t="array" ref="M30">INDEX(Processing!$W$6:$W$17,MONTH('ALL ORDERS'!K30))</f>
        <v>May</v>
      </c>
      <c r="N30" s="54">
        <f t="shared" si="36"/>
        <v>2023</v>
      </c>
      <c r="O30" s="58">
        <v>0.75</v>
      </c>
      <c r="P30" s="59" t="s">
        <v>172</v>
      </c>
      <c r="Q30" s="60" t="s">
        <v>94</v>
      </c>
      <c r="R30" s="56" t="s">
        <v>1126</v>
      </c>
      <c r="S30" s="61" t="s">
        <v>46</v>
      </c>
      <c r="T30" s="62" t="s">
        <v>431</v>
      </c>
      <c r="U30" s="63" t="s">
        <v>27</v>
      </c>
      <c r="V30" s="63" t="s">
        <v>147</v>
      </c>
      <c r="W30" s="64">
        <v>1645</v>
      </c>
      <c r="X30" s="64">
        <v>5</v>
      </c>
      <c r="Y30" s="47">
        <v>1250</v>
      </c>
      <c r="Z30" s="47">
        <f t="shared" si="5"/>
        <v>2895</v>
      </c>
    </row>
    <row r="31" spans="1:26" x14ac:dyDescent="0.25">
      <c r="A31" s="53">
        <v>45078</v>
      </c>
      <c r="B31" s="54">
        <f t="shared" si="0"/>
        <v>1</v>
      </c>
      <c r="C31" s="55" t="str" cm="1">
        <f t="array" ref="C31">INDEX(Processing!$C$11:$C$22,MONTH('ALL ORDERS'!A31))</f>
        <v>JUN</v>
      </c>
      <c r="D31" s="54">
        <f t="shared" si="1"/>
        <v>2023</v>
      </c>
      <c r="E31" s="56" t="s">
        <v>50</v>
      </c>
      <c r="F31" s="56" t="s">
        <v>21</v>
      </c>
      <c r="G31" s="100">
        <v>3200</v>
      </c>
      <c r="H31" s="100">
        <v>0</v>
      </c>
      <c r="I31" s="57"/>
      <c r="J31" s="99">
        <f t="shared" si="2"/>
        <v>3200</v>
      </c>
      <c r="K31" s="53">
        <v>45078</v>
      </c>
      <c r="L31" s="54">
        <f t="shared" si="3"/>
        <v>1</v>
      </c>
      <c r="M31" s="55" t="str" cm="1">
        <f t="array" ref="M31">INDEX(Processing!$W$6:$W$17,MONTH('ALL ORDERS'!K31))</f>
        <v>June</v>
      </c>
      <c r="N31" s="54">
        <f t="shared" si="4"/>
        <v>2023</v>
      </c>
      <c r="O31" s="58">
        <v>0.4375</v>
      </c>
      <c r="P31" s="59" t="s">
        <v>171</v>
      </c>
      <c r="Q31" s="60" t="s">
        <v>94</v>
      </c>
      <c r="R31" s="56" t="s">
        <v>255</v>
      </c>
      <c r="S31" s="61" t="s">
        <v>41</v>
      </c>
      <c r="T31" s="62" t="s">
        <v>410</v>
      </c>
      <c r="U31" s="63" t="s">
        <v>23</v>
      </c>
      <c r="V31" s="63" t="s">
        <v>147</v>
      </c>
      <c r="W31" s="64">
        <v>5595</v>
      </c>
      <c r="X31" s="64">
        <v>3</v>
      </c>
      <c r="Y31" s="47">
        <v>1703</v>
      </c>
      <c r="Z31" s="47">
        <f t="shared" si="5"/>
        <v>7298</v>
      </c>
    </row>
    <row r="32" spans="1:26" x14ac:dyDescent="0.25">
      <c r="A32" s="53">
        <v>45079</v>
      </c>
      <c r="B32" s="54">
        <f t="shared" ref="B32:B35" si="37">DAY(A32)</f>
        <v>2</v>
      </c>
      <c r="C32" s="55" t="str" cm="1">
        <f t="array" ref="C32">INDEX(Processing!$C$11:$C$22,MONTH('ALL ORDERS'!A32))</f>
        <v>JUN</v>
      </c>
      <c r="D32" s="54">
        <f t="shared" ref="D32:D35" si="38">YEAR(A32)</f>
        <v>2023</v>
      </c>
      <c r="E32" s="56" t="s">
        <v>48</v>
      </c>
      <c r="F32" s="56" t="s">
        <v>137</v>
      </c>
      <c r="G32" s="100">
        <v>5000</v>
      </c>
      <c r="H32" s="100">
        <v>0</v>
      </c>
      <c r="I32" s="57"/>
      <c r="J32" s="99">
        <f t="shared" ref="J32:J35" si="39">G32+H32</f>
        <v>5000</v>
      </c>
      <c r="K32" s="53">
        <v>45079</v>
      </c>
      <c r="L32" s="54">
        <f t="shared" ref="L32:L35" si="40">DAY(K32)</f>
        <v>2</v>
      </c>
      <c r="M32" s="55" t="str" cm="1">
        <f t="array" ref="M32">INDEX(Processing!$W$6:$W$17,MONTH('ALL ORDERS'!K32))</f>
        <v>June</v>
      </c>
      <c r="N32" s="54">
        <f t="shared" ref="N32:N35" si="41">YEAR(K32)</f>
        <v>2023</v>
      </c>
      <c r="O32" s="58">
        <v>0.47916666666666702</v>
      </c>
      <c r="P32" s="59" t="s">
        <v>172</v>
      </c>
      <c r="Q32" s="60" t="s">
        <v>94</v>
      </c>
      <c r="R32" s="56" t="s">
        <v>1127</v>
      </c>
      <c r="S32" s="61" t="s">
        <v>42</v>
      </c>
      <c r="T32" s="62" t="s">
        <v>421</v>
      </c>
      <c r="U32" s="63" t="s">
        <v>27</v>
      </c>
      <c r="V32" s="63" t="s">
        <v>147</v>
      </c>
      <c r="W32" s="64">
        <v>9709</v>
      </c>
      <c r="X32" s="64">
        <v>4</v>
      </c>
      <c r="Y32" s="47">
        <v>1570</v>
      </c>
      <c r="Z32" s="47">
        <f t="shared" si="5"/>
        <v>11279</v>
      </c>
    </row>
    <row r="33" spans="1:26" x14ac:dyDescent="0.25">
      <c r="A33" s="53">
        <v>45080</v>
      </c>
      <c r="B33" s="54">
        <f t="shared" si="37"/>
        <v>3</v>
      </c>
      <c r="C33" s="55" t="str" cm="1">
        <f t="array" ref="C33">INDEX(Processing!$C$11:$C$22,MONTH('ALL ORDERS'!A33))</f>
        <v>JUN</v>
      </c>
      <c r="D33" s="54">
        <f t="shared" si="38"/>
        <v>2023</v>
      </c>
      <c r="E33" s="56" t="s">
        <v>51</v>
      </c>
      <c r="F33" s="56" t="s">
        <v>21</v>
      </c>
      <c r="G33" s="100">
        <v>0</v>
      </c>
      <c r="H33" s="100">
        <v>5000</v>
      </c>
      <c r="I33" s="57"/>
      <c r="J33" s="99">
        <f t="shared" si="39"/>
        <v>5000</v>
      </c>
      <c r="K33" s="53">
        <v>45080</v>
      </c>
      <c r="L33" s="54">
        <f t="shared" si="40"/>
        <v>3</v>
      </c>
      <c r="M33" s="55" t="str" cm="1">
        <f t="array" ref="M33">INDEX(Processing!$W$6:$W$17,MONTH('ALL ORDERS'!K33))</f>
        <v>June</v>
      </c>
      <c r="N33" s="54">
        <f t="shared" si="41"/>
        <v>2023</v>
      </c>
      <c r="O33" s="58">
        <v>0.52083333333333304</v>
      </c>
      <c r="P33" s="59" t="s">
        <v>173</v>
      </c>
      <c r="Q33" s="60" t="s">
        <v>94</v>
      </c>
      <c r="R33" s="56" t="s">
        <v>1128</v>
      </c>
      <c r="S33" s="61" t="s">
        <v>43</v>
      </c>
      <c r="T33" s="62" t="s">
        <v>432</v>
      </c>
      <c r="U33" s="63" t="s">
        <v>23</v>
      </c>
      <c r="V33" s="63" t="s">
        <v>147</v>
      </c>
      <c r="W33" s="64">
        <v>10307</v>
      </c>
      <c r="X33" s="64">
        <v>5</v>
      </c>
      <c r="Y33" s="47">
        <v>1438</v>
      </c>
      <c r="Z33" s="47">
        <f t="shared" si="5"/>
        <v>11745</v>
      </c>
    </row>
    <row r="34" spans="1:26" x14ac:dyDescent="0.25">
      <c r="A34" s="53">
        <v>45081</v>
      </c>
      <c r="B34" s="54">
        <f t="shared" si="37"/>
        <v>4</v>
      </c>
      <c r="C34" s="55" t="str" cm="1">
        <f t="array" ref="C34">INDEX(Processing!$C$11:$C$22,MONTH('ALL ORDERS'!A34))</f>
        <v>JUN</v>
      </c>
      <c r="D34" s="54">
        <f t="shared" si="38"/>
        <v>2023</v>
      </c>
      <c r="E34" s="56" t="s">
        <v>47</v>
      </c>
      <c r="F34" s="56" t="s">
        <v>122</v>
      </c>
      <c r="G34" s="100">
        <v>0</v>
      </c>
      <c r="H34" s="100">
        <v>5000</v>
      </c>
      <c r="I34" s="57"/>
      <c r="J34" s="99">
        <f t="shared" si="39"/>
        <v>5000</v>
      </c>
      <c r="K34" s="53">
        <v>45081</v>
      </c>
      <c r="L34" s="54">
        <f t="shared" si="40"/>
        <v>4</v>
      </c>
      <c r="M34" s="55" t="str" cm="1">
        <f t="array" ref="M34">INDEX(Processing!$W$6:$W$17,MONTH('ALL ORDERS'!K34))</f>
        <v>June</v>
      </c>
      <c r="N34" s="54">
        <f t="shared" si="41"/>
        <v>2023</v>
      </c>
      <c r="O34" s="58">
        <v>0.5625</v>
      </c>
      <c r="P34" s="59" t="s">
        <v>174</v>
      </c>
      <c r="Q34" s="60" t="s">
        <v>94</v>
      </c>
      <c r="R34" s="56" t="s">
        <v>1129</v>
      </c>
      <c r="S34" s="61" t="s">
        <v>44</v>
      </c>
      <c r="T34" s="62" t="s">
        <v>443</v>
      </c>
      <c r="U34" s="63" t="s">
        <v>24</v>
      </c>
      <c r="V34" s="63" t="s">
        <v>147</v>
      </c>
      <c r="W34" s="64">
        <v>6557</v>
      </c>
      <c r="X34" s="64">
        <v>6</v>
      </c>
      <c r="Y34" s="47">
        <v>1891</v>
      </c>
      <c r="Z34" s="47">
        <f t="shared" si="5"/>
        <v>8448</v>
      </c>
    </row>
    <row r="35" spans="1:26" x14ac:dyDescent="0.25">
      <c r="A35" s="53">
        <v>45082</v>
      </c>
      <c r="B35" s="54">
        <f t="shared" si="37"/>
        <v>5</v>
      </c>
      <c r="C35" s="55" t="str" cm="1">
        <f t="array" ref="C35">INDEX(Processing!$C$11:$C$22,MONTH('ALL ORDERS'!A35))</f>
        <v>JUN</v>
      </c>
      <c r="D35" s="54">
        <f t="shared" si="38"/>
        <v>2023</v>
      </c>
      <c r="E35" s="56" t="s">
        <v>49</v>
      </c>
      <c r="F35" s="56" t="s">
        <v>21</v>
      </c>
      <c r="G35" s="100">
        <v>5000</v>
      </c>
      <c r="H35" s="100">
        <v>0</v>
      </c>
      <c r="I35" s="57"/>
      <c r="J35" s="99">
        <f t="shared" si="39"/>
        <v>5000</v>
      </c>
      <c r="K35" s="53">
        <v>45082</v>
      </c>
      <c r="L35" s="54">
        <f t="shared" si="40"/>
        <v>5</v>
      </c>
      <c r="M35" s="55" t="str" cm="1">
        <f t="array" ref="M35">INDEX(Processing!$W$6:$W$17,MONTH('ALL ORDERS'!K35))</f>
        <v>June</v>
      </c>
      <c r="N35" s="54">
        <f t="shared" si="41"/>
        <v>2023</v>
      </c>
      <c r="O35" s="58">
        <v>0.60416666666666696</v>
      </c>
      <c r="P35" s="59" t="s">
        <v>175</v>
      </c>
      <c r="Q35" s="60" t="s">
        <v>94</v>
      </c>
      <c r="R35" s="56" t="s">
        <v>1130</v>
      </c>
      <c r="S35" s="61" t="s">
        <v>45</v>
      </c>
      <c r="T35" s="62" t="s">
        <v>454</v>
      </c>
      <c r="U35" s="63" t="s">
        <v>23</v>
      </c>
      <c r="V35" s="63" t="s">
        <v>147</v>
      </c>
      <c r="W35" s="64">
        <v>12381</v>
      </c>
      <c r="X35" s="64">
        <v>7</v>
      </c>
      <c r="Y35" s="47">
        <v>1501</v>
      </c>
      <c r="Z35" s="47">
        <f t="shared" si="5"/>
        <v>13882</v>
      </c>
    </row>
    <row r="36" spans="1:26" x14ac:dyDescent="0.25">
      <c r="A36" s="53">
        <v>45108</v>
      </c>
      <c r="B36" s="54">
        <f t="shared" si="0"/>
        <v>1</v>
      </c>
      <c r="C36" s="55" t="str" cm="1">
        <f t="array" ref="C36">INDEX(Processing!$C$11:$C$22,MONTH('ALL ORDERS'!A36))</f>
        <v>JUL</v>
      </c>
      <c r="D36" s="54">
        <f t="shared" si="1"/>
        <v>2023</v>
      </c>
      <c r="E36" s="56" t="s">
        <v>50</v>
      </c>
      <c r="F36" s="56" t="s">
        <v>22</v>
      </c>
      <c r="G36" s="100">
        <v>8800</v>
      </c>
      <c r="H36" s="100">
        <v>0</v>
      </c>
      <c r="I36" s="57"/>
      <c r="J36" s="99">
        <f t="shared" si="2"/>
        <v>8800</v>
      </c>
      <c r="K36" s="53">
        <v>45108</v>
      </c>
      <c r="L36" s="54">
        <f t="shared" si="3"/>
        <v>1</v>
      </c>
      <c r="M36" s="55" t="str" cm="1">
        <f t="array" ref="M36">INDEX(Processing!$W$6:$W$17,MONTH('ALL ORDERS'!K36))</f>
        <v>July</v>
      </c>
      <c r="N36" s="54">
        <f t="shared" si="4"/>
        <v>2023</v>
      </c>
      <c r="O36" s="58">
        <v>0.4375</v>
      </c>
      <c r="P36" s="59" t="s">
        <v>172</v>
      </c>
      <c r="Q36" s="60" t="s">
        <v>94</v>
      </c>
      <c r="R36" s="56" t="s">
        <v>256</v>
      </c>
      <c r="S36" s="61" t="s">
        <v>46</v>
      </c>
      <c r="T36" s="62" t="s">
        <v>411</v>
      </c>
      <c r="U36" s="63" t="s">
        <v>24</v>
      </c>
      <c r="V36" s="63" t="s">
        <v>147</v>
      </c>
      <c r="W36" s="64">
        <v>9211</v>
      </c>
      <c r="X36" s="64">
        <v>3</v>
      </c>
      <c r="Y36" s="47">
        <v>1316</v>
      </c>
      <c r="Z36" s="47">
        <f t="shared" si="5"/>
        <v>10527</v>
      </c>
    </row>
    <row r="37" spans="1:26" x14ac:dyDescent="0.25">
      <c r="A37" s="53">
        <v>45109</v>
      </c>
      <c r="B37" s="54">
        <f t="shared" si="0"/>
        <v>2</v>
      </c>
      <c r="C37" s="55" t="str" cm="1">
        <f t="array" ref="C37">INDEX(Processing!$C$11:$C$22,MONTH('ALL ORDERS'!A37))</f>
        <v>JUL</v>
      </c>
      <c r="D37" s="54">
        <f t="shared" si="1"/>
        <v>2023</v>
      </c>
      <c r="E37" s="56" t="s">
        <v>48</v>
      </c>
      <c r="F37" s="56" t="s">
        <v>135</v>
      </c>
      <c r="G37" s="100">
        <v>4500</v>
      </c>
      <c r="H37" s="100">
        <v>0</v>
      </c>
      <c r="I37" s="57"/>
      <c r="J37" s="99">
        <f t="shared" si="2"/>
        <v>4500</v>
      </c>
      <c r="K37" s="53">
        <v>45109</v>
      </c>
      <c r="L37" s="54">
        <f t="shared" si="3"/>
        <v>2</v>
      </c>
      <c r="M37" s="55" t="str" cm="1">
        <f t="array" ref="M37">INDEX(Processing!$W$6:$W$17,MONTH('ALL ORDERS'!K37))</f>
        <v>July</v>
      </c>
      <c r="N37" s="54">
        <f t="shared" si="4"/>
        <v>2023</v>
      </c>
      <c r="O37" s="58">
        <v>0.41666666666666669</v>
      </c>
      <c r="P37" s="59" t="s">
        <v>173</v>
      </c>
      <c r="Q37" s="60" t="s">
        <v>90</v>
      </c>
      <c r="R37" s="56" t="s">
        <v>257</v>
      </c>
      <c r="S37" s="61" t="s">
        <v>41</v>
      </c>
      <c r="T37" s="62" t="s">
        <v>412</v>
      </c>
      <c r="U37" s="63" t="s">
        <v>24</v>
      </c>
      <c r="V37" s="63" t="s">
        <v>147</v>
      </c>
      <c r="W37" s="64">
        <v>8933</v>
      </c>
      <c r="X37" s="64">
        <v>3</v>
      </c>
      <c r="Y37" s="47">
        <v>1416</v>
      </c>
      <c r="Z37" s="47">
        <f t="shared" si="5"/>
        <v>10349</v>
      </c>
    </row>
    <row r="38" spans="1:26" x14ac:dyDescent="0.25">
      <c r="A38" s="53">
        <v>45110</v>
      </c>
      <c r="B38" s="54">
        <f t="shared" si="0"/>
        <v>3</v>
      </c>
      <c r="C38" s="55" t="str" cm="1">
        <f t="array" ref="C38">INDEX(Processing!$C$11:$C$22,MONTH('ALL ORDERS'!A38))</f>
        <v>JUL</v>
      </c>
      <c r="D38" s="54">
        <f t="shared" si="1"/>
        <v>2023</v>
      </c>
      <c r="E38" s="56" t="s">
        <v>51</v>
      </c>
      <c r="F38" s="56" t="s">
        <v>22</v>
      </c>
      <c r="G38" s="100">
        <v>6100</v>
      </c>
      <c r="H38" s="100">
        <v>0</v>
      </c>
      <c r="I38" s="57">
        <v>0.05</v>
      </c>
      <c r="J38" s="99">
        <f t="shared" si="2"/>
        <v>6100</v>
      </c>
      <c r="K38" s="53">
        <v>45110</v>
      </c>
      <c r="L38" s="54">
        <f t="shared" si="3"/>
        <v>3</v>
      </c>
      <c r="M38" s="55" t="str" cm="1">
        <f t="array" ref="M38">INDEX(Processing!$W$6:$W$17,MONTH('ALL ORDERS'!K38))</f>
        <v>July</v>
      </c>
      <c r="N38" s="54">
        <f t="shared" si="4"/>
        <v>2023</v>
      </c>
      <c r="O38" s="58">
        <v>0.5</v>
      </c>
      <c r="P38" s="59" t="s">
        <v>174</v>
      </c>
      <c r="Q38" s="60" t="s">
        <v>94</v>
      </c>
      <c r="R38" s="56" t="s">
        <v>258</v>
      </c>
      <c r="S38" s="61" t="s">
        <v>42</v>
      </c>
      <c r="T38" s="62" t="s">
        <v>413</v>
      </c>
      <c r="U38" s="63" t="s">
        <v>23</v>
      </c>
      <c r="V38" s="63" t="s">
        <v>147</v>
      </c>
      <c r="W38" s="64">
        <v>5412</v>
      </c>
      <c r="X38" s="64">
        <v>3</v>
      </c>
      <c r="Y38" s="47">
        <v>919</v>
      </c>
      <c r="Z38" s="47">
        <f t="shared" si="5"/>
        <v>6331</v>
      </c>
    </row>
    <row r="39" spans="1:26" x14ac:dyDescent="0.25">
      <c r="A39" s="53">
        <v>45111</v>
      </c>
      <c r="B39" s="54">
        <f t="shared" si="0"/>
        <v>4</v>
      </c>
      <c r="C39" s="55" t="str" cm="1">
        <f t="array" ref="C39">INDEX(Processing!$C$11:$C$22,MONTH('ALL ORDERS'!A39))</f>
        <v>JUL</v>
      </c>
      <c r="D39" s="54">
        <f t="shared" si="1"/>
        <v>2023</v>
      </c>
      <c r="E39" s="56" t="s">
        <v>47</v>
      </c>
      <c r="F39" s="56" t="s">
        <v>135</v>
      </c>
      <c r="G39" s="100">
        <v>600</v>
      </c>
      <c r="H39" s="100">
        <v>10000</v>
      </c>
      <c r="I39" s="57"/>
      <c r="J39" s="99">
        <f t="shared" si="2"/>
        <v>10600</v>
      </c>
      <c r="K39" s="53">
        <v>45111</v>
      </c>
      <c r="L39" s="54">
        <f t="shared" si="3"/>
        <v>4</v>
      </c>
      <c r="M39" s="55" t="str" cm="1">
        <f t="array" ref="M39">INDEX(Processing!$W$6:$W$17,MONTH('ALL ORDERS'!K39))</f>
        <v>July</v>
      </c>
      <c r="N39" s="54">
        <f t="shared" si="4"/>
        <v>2023</v>
      </c>
      <c r="O39" s="58">
        <v>0.66666666666666663</v>
      </c>
      <c r="P39" s="59" t="s">
        <v>175</v>
      </c>
      <c r="Q39" s="60" t="s">
        <v>94</v>
      </c>
      <c r="R39" s="56" t="s">
        <v>259</v>
      </c>
      <c r="S39" s="61" t="s">
        <v>43</v>
      </c>
      <c r="T39" s="70">
        <v>59900888990</v>
      </c>
      <c r="U39" s="63" t="s">
        <v>24</v>
      </c>
      <c r="V39" s="63" t="s">
        <v>147</v>
      </c>
      <c r="W39" s="64">
        <v>8575</v>
      </c>
      <c r="X39" s="64">
        <v>2</v>
      </c>
      <c r="Y39" s="47">
        <v>1881</v>
      </c>
      <c r="Z39" s="47">
        <f t="shared" si="5"/>
        <v>10456</v>
      </c>
    </row>
    <row r="40" spans="1:26" x14ac:dyDescent="0.25">
      <c r="A40" s="53">
        <v>45138</v>
      </c>
      <c r="B40" s="54">
        <f t="shared" ref="B40" si="42">DAY(A40)</f>
        <v>31</v>
      </c>
      <c r="C40" s="55" t="str" cm="1">
        <f t="array" ref="C40">INDEX(Processing!$C$11:$C$22,MONTH('ALL ORDERS'!A40))</f>
        <v>JUL</v>
      </c>
      <c r="D40" s="54">
        <f t="shared" ref="D40" si="43">YEAR(A40)</f>
        <v>2023</v>
      </c>
      <c r="E40" s="56" t="s">
        <v>49</v>
      </c>
      <c r="F40" s="56" t="s">
        <v>135</v>
      </c>
      <c r="G40" s="100">
        <v>800</v>
      </c>
      <c r="H40" s="100">
        <v>4000</v>
      </c>
      <c r="I40" s="57">
        <v>0.05</v>
      </c>
      <c r="J40" s="99">
        <f t="shared" si="2"/>
        <v>4800</v>
      </c>
      <c r="K40" s="53">
        <v>45138</v>
      </c>
      <c r="L40" s="54">
        <f t="shared" ref="L40" si="44">DAY(K40)</f>
        <v>31</v>
      </c>
      <c r="M40" s="55" t="str" cm="1">
        <f t="array" ref="M40">INDEX(Processing!$W$6:$W$17,MONTH('ALL ORDERS'!K40))</f>
        <v>July</v>
      </c>
      <c r="N40" s="54">
        <f t="shared" ref="N40" si="45">YEAR(K40)</f>
        <v>2023</v>
      </c>
      <c r="O40" s="58">
        <v>0.70833333333333304</v>
      </c>
      <c r="P40" s="59" t="s">
        <v>176</v>
      </c>
      <c r="Q40" s="60" t="s">
        <v>94</v>
      </c>
      <c r="R40" s="56" t="s">
        <v>1087</v>
      </c>
      <c r="S40" s="61" t="s">
        <v>44</v>
      </c>
      <c r="T40" s="70">
        <v>59900888991</v>
      </c>
      <c r="U40" s="63" t="s">
        <v>27</v>
      </c>
      <c r="V40" s="63" t="s">
        <v>147</v>
      </c>
      <c r="W40" s="64">
        <v>2526</v>
      </c>
      <c r="X40" s="64">
        <v>3</v>
      </c>
      <c r="Y40" s="47">
        <v>1747</v>
      </c>
      <c r="Z40" s="47">
        <f t="shared" si="5"/>
        <v>4273</v>
      </c>
    </row>
    <row r="41" spans="1:26" x14ac:dyDescent="0.25">
      <c r="A41" s="53">
        <v>45139</v>
      </c>
      <c r="B41" s="54">
        <f t="shared" si="0"/>
        <v>1</v>
      </c>
      <c r="C41" s="55" t="str" cm="1">
        <f t="array" ref="C41">INDEX(Processing!$C$11:$C$22,MONTH('ALL ORDERS'!A41))</f>
        <v>AUG</v>
      </c>
      <c r="D41" s="54">
        <f t="shared" si="1"/>
        <v>2023</v>
      </c>
      <c r="E41" s="56" t="s">
        <v>50</v>
      </c>
      <c r="F41" s="56" t="s">
        <v>137</v>
      </c>
      <c r="G41" s="100">
        <v>5000</v>
      </c>
      <c r="H41" s="100">
        <v>0</v>
      </c>
      <c r="I41" s="57"/>
      <c r="J41" s="99">
        <f t="shared" si="2"/>
        <v>5000</v>
      </c>
      <c r="K41" s="53">
        <v>45139</v>
      </c>
      <c r="L41" s="54">
        <f t="shared" si="3"/>
        <v>1</v>
      </c>
      <c r="M41" s="55" t="str" cm="1">
        <f t="array" ref="M41">INDEX(Processing!$W$6:$W$17,MONTH('ALL ORDERS'!K41))</f>
        <v>August</v>
      </c>
      <c r="N41" s="54">
        <f t="shared" si="4"/>
        <v>2023</v>
      </c>
      <c r="O41" s="58">
        <v>0.4375</v>
      </c>
      <c r="P41" s="59" t="s">
        <v>176</v>
      </c>
      <c r="Q41" s="60" t="s">
        <v>94</v>
      </c>
      <c r="R41" s="56" t="s">
        <v>260</v>
      </c>
      <c r="S41" s="61" t="s">
        <v>45</v>
      </c>
      <c r="T41" s="62" t="s">
        <v>414</v>
      </c>
      <c r="U41" s="63" t="s">
        <v>27</v>
      </c>
      <c r="V41" s="63" t="s">
        <v>147</v>
      </c>
      <c r="W41" s="64">
        <v>7602</v>
      </c>
      <c r="X41" s="64">
        <v>3</v>
      </c>
      <c r="Y41" s="47">
        <v>2543</v>
      </c>
      <c r="Z41" s="47">
        <f t="shared" si="5"/>
        <v>10145</v>
      </c>
    </row>
    <row r="42" spans="1:26" x14ac:dyDescent="0.25">
      <c r="A42" s="53">
        <v>45146</v>
      </c>
      <c r="B42" s="54">
        <f t="shared" ref="B42" si="46">DAY(A42)</f>
        <v>8</v>
      </c>
      <c r="C42" s="55" t="str" cm="1">
        <f t="array" ref="C42">INDEX(Processing!$C$11:$C$22,MONTH('ALL ORDERS'!A42))</f>
        <v>AUG</v>
      </c>
      <c r="D42" s="54">
        <f t="shared" ref="D42" si="47">YEAR(A42)</f>
        <v>2023</v>
      </c>
      <c r="E42" s="56" t="s">
        <v>48</v>
      </c>
      <c r="F42" s="56" t="s">
        <v>124</v>
      </c>
      <c r="G42" s="100">
        <v>17500</v>
      </c>
      <c r="H42" s="100">
        <v>0</v>
      </c>
      <c r="I42" s="57"/>
      <c r="J42" s="99">
        <f t="shared" si="2"/>
        <v>17500</v>
      </c>
      <c r="K42" s="53">
        <v>45146</v>
      </c>
      <c r="L42" s="54">
        <f t="shared" ref="L42" si="48">DAY(K42)</f>
        <v>8</v>
      </c>
      <c r="M42" s="55" t="str" cm="1">
        <f t="array" ref="M42">INDEX(Processing!$W$6:$W$17,MONTH('ALL ORDERS'!K42))</f>
        <v>August</v>
      </c>
      <c r="N42" s="54">
        <f t="shared" ref="N42" si="49">YEAR(K42)</f>
        <v>2023</v>
      </c>
      <c r="O42" s="58">
        <v>0.47916666666666702</v>
      </c>
      <c r="P42" s="59" t="s">
        <v>177</v>
      </c>
      <c r="Q42" s="60" t="s">
        <v>94</v>
      </c>
      <c r="R42" s="56" t="s">
        <v>1084</v>
      </c>
      <c r="S42" s="61" t="s">
        <v>46</v>
      </c>
      <c r="T42" s="62" t="s">
        <v>425</v>
      </c>
      <c r="U42" s="63" t="s">
        <v>27</v>
      </c>
      <c r="V42" s="63" t="s">
        <v>147</v>
      </c>
      <c r="W42" s="64">
        <v>8515</v>
      </c>
      <c r="X42" s="64">
        <v>4</v>
      </c>
      <c r="Y42" s="47">
        <v>1702</v>
      </c>
      <c r="Z42" s="47">
        <f t="shared" si="5"/>
        <v>10217</v>
      </c>
    </row>
    <row r="43" spans="1:26" x14ac:dyDescent="0.25">
      <c r="A43" s="53">
        <v>45147</v>
      </c>
      <c r="B43" s="54">
        <f t="shared" ref="B43:B45" si="50">DAY(A43)</f>
        <v>9</v>
      </c>
      <c r="C43" s="55" t="str" cm="1">
        <f t="array" ref="C43">INDEX(Processing!$C$11:$C$22,MONTH('ALL ORDERS'!A43))</f>
        <v>AUG</v>
      </c>
      <c r="D43" s="54">
        <f t="shared" ref="D43:D45" si="51">YEAR(A43)</f>
        <v>2023</v>
      </c>
      <c r="E43" s="56" t="s">
        <v>51</v>
      </c>
      <c r="F43" s="56" t="s">
        <v>137</v>
      </c>
      <c r="G43" s="100">
        <v>15000</v>
      </c>
      <c r="H43" s="100">
        <v>0</v>
      </c>
      <c r="I43" s="57"/>
      <c r="J43" s="99">
        <f t="shared" ref="J43:J45" si="52">G43+H43</f>
        <v>15000</v>
      </c>
      <c r="K43" s="53">
        <v>45147</v>
      </c>
      <c r="L43" s="54">
        <f t="shared" ref="L43:L45" si="53">DAY(K43)</f>
        <v>9</v>
      </c>
      <c r="M43" s="55" t="str" cm="1">
        <f t="array" ref="M43">INDEX(Processing!$W$6:$W$17,MONTH('ALL ORDERS'!K43))</f>
        <v>August</v>
      </c>
      <c r="N43" s="54">
        <f t="shared" ref="N43:N45" si="54">YEAR(K43)</f>
        <v>2023</v>
      </c>
      <c r="O43" s="58">
        <v>0.52083333333333404</v>
      </c>
      <c r="P43" s="59" t="s">
        <v>178</v>
      </c>
      <c r="Q43" s="60" t="s">
        <v>94</v>
      </c>
      <c r="R43" s="56" t="s">
        <v>1131</v>
      </c>
      <c r="S43" s="61" t="s">
        <v>41</v>
      </c>
      <c r="T43" s="62" t="s">
        <v>436</v>
      </c>
      <c r="U43" s="63" t="s">
        <v>24</v>
      </c>
      <c r="V43" s="63" t="s">
        <v>147</v>
      </c>
      <c r="W43" s="64">
        <v>7694</v>
      </c>
      <c r="X43" s="64">
        <v>5</v>
      </c>
      <c r="Y43" s="47">
        <v>1811</v>
      </c>
      <c r="Z43" s="47">
        <f t="shared" si="5"/>
        <v>9505</v>
      </c>
    </row>
    <row r="44" spans="1:26" x14ac:dyDescent="0.25">
      <c r="A44" s="53">
        <v>45148</v>
      </c>
      <c r="B44" s="54">
        <f t="shared" si="50"/>
        <v>10</v>
      </c>
      <c r="C44" s="55" t="str" cm="1">
        <f t="array" ref="C44">INDEX(Processing!$C$11:$C$22,MONTH('ALL ORDERS'!A44))</f>
        <v>AUG</v>
      </c>
      <c r="D44" s="54">
        <f t="shared" si="51"/>
        <v>2023</v>
      </c>
      <c r="E44" s="56" t="s">
        <v>47</v>
      </c>
      <c r="F44" s="56" t="s">
        <v>18</v>
      </c>
      <c r="G44" s="100">
        <v>0</v>
      </c>
      <c r="H44" s="100">
        <v>14000</v>
      </c>
      <c r="I44" s="57"/>
      <c r="J44" s="99">
        <f t="shared" si="52"/>
        <v>14000</v>
      </c>
      <c r="K44" s="53">
        <v>45148</v>
      </c>
      <c r="L44" s="54">
        <f t="shared" si="53"/>
        <v>10</v>
      </c>
      <c r="M44" s="55" t="str" cm="1">
        <f t="array" ref="M44">INDEX(Processing!$W$6:$W$17,MONTH('ALL ORDERS'!K44))</f>
        <v>August</v>
      </c>
      <c r="N44" s="54">
        <f t="shared" si="54"/>
        <v>2023</v>
      </c>
      <c r="O44" s="58">
        <v>0.5625</v>
      </c>
      <c r="P44" s="59" t="s">
        <v>339</v>
      </c>
      <c r="Q44" s="60" t="s">
        <v>94</v>
      </c>
      <c r="R44" s="56" t="s">
        <v>1132</v>
      </c>
      <c r="S44" s="61" t="s">
        <v>42</v>
      </c>
      <c r="T44" s="62" t="s">
        <v>447</v>
      </c>
      <c r="U44" s="63" t="s">
        <v>25</v>
      </c>
      <c r="V44" s="63" t="s">
        <v>147</v>
      </c>
      <c r="W44" s="64">
        <v>10465</v>
      </c>
      <c r="X44" s="64">
        <v>6</v>
      </c>
      <c r="Y44" s="47">
        <v>1817</v>
      </c>
      <c r="Z44" s="47">
        <f t="shared" si="5"/>
        <v>12282</v>
      </c>
    </row>
    <row r="45" spans="1:26" x14ac:dyDescent="0.25">
      <c r="A45" s="53">
        <v>45149</v>
      </c>
      <c r="B45" s="54">
        <f t="shared" si="50"/>
        <v>11</v>
      </c>
      <c r="C45" s="55" t="str" cm="1">
        <f t="array" ref="C45">INDEX(Processing!$C$11:$C$22,MONTH('ALL ORDERS'!A45))</f>
        <v>AUG</v>
      </c>
      <c r="D45" s="54">
        <f t="shared" si="51"/>
        <v>2023</v>
      </c>
      <c r="E45" s="56" t="s">
        <v>49</v>
      </c>
      <c r="F45" s="56" t="s">
        <v>137</v>
      </c>
      <c r="G45" s="100">
        <v>16000</v>
      </c>
      <c r="H45" s="100">
        <v>0</v>
      </c>
      <c r="I45" s="57"/>
      <c r="J45" s="99">
        <f t="shared" si="52"/>
        <v>16000</v>
      </c>
      <c r="K45" s="53">
        <v>45149</v>
      </c>
      <c r="L45" s="54">
        <f t="shared" si="53"/>
        <v>11</v>
      </c>
      <c r="M45" s="55" t="str" cm="1">
        <f t="array" ref="M45">INDEX(Processing!$W$6:$W$17,MONTH('ALL ORDERS'!K45))</f>
        <v>August</v>
      </c>
      <c r="N45" s="54">
        <f t="shared" si="54"/>
        <v>2023</v>
      </c>
      <c r="O45" s="58">
        <v>0.60416666666666696</v>
      </c>
      <c r="P45" s="59" t="s">
        <v>179</v>
      </c>
      <c r="Q45" s="60" t="s">
        <v>94</v>
      </c>
      <c r="R45" s="56" t="s">
        <v>1133</v>
      </c>
      <c r="S45" s="61" t="s">
        <v>43</v>
      </c>
      <c r="T45" s="62" t="s">
        <v>458</v>
      </c>
      <c r="U45" s="63" t="s">
        <v>25</v>
      </c>
      <c r="V45" s="63" t="s">
        <v>147</v>
      </c>
      <c r="W45" s="64">
        <v>8589</v>
      </c>
      <c r="X45" s="64">
        <v>7</v>
      </c>
      <c r="Y45" s="47">
        <v>1726</v>
      </c>
      <c r="Z45" s="47">
        <f t="shared" si="5"/>
        <v>10315</v>
      </c>
    </row>
    <row r="46" spans="1:26" ht="24" x14ac:dyDescent="0.25">
      <c r="A46" s="53">
        <v>45170</v>
      </c>
      <c r="B46" s="54">
        <f t="shared" si="0"/>
        <v>1</v>
      </c>
      <c r="C46" s="55" t="str" cm="1">
        <f t="array" ref="C46">INDEX(Processing!$C$11:$C$22,MONTH('ALL ORDERS'!A46))</f>
        <v>SEP</v>
      </c>
      <c r="D46" s="54">
        <f t="shared" si="1"/>
        <v>2023</v>
      </c>
      <c r="E46" s="56" t="s">
        <v>50</v>
      </c>
      <c r="F46" s="56" t="s">
        <v>135</v>
      </c>
      <c r="G46" s="100">
        <v>25000</v>
      </c>
      <c r="H46" s="100">
        <v>0</v>
      </c>
      <c r="I46" s="57"/>
      <c r="J46" s="99">
        <f t="shared" si="2"/>
        <v>25000</v>
      </c>
      <c r="K46" s="53">
        <v>45170</v>
      </c>
      <c r="L46" s="54">
        <f t="shared" si="3"/>
        <v>1</v>
      </c>
      <c r="M46" s="55" t="str" cm="1">
        <f t="array" ref="M46">INDEX(Processing!$W$6:$W$17,MONTH('ALL ORDERS'!K46))</f>
        <v>September</v>
      </c>
      <c r="N46" s="54">
        <f t="shared" si="4"/>
        <v>2023</v>
      </c>
      <c r="O46" s="58">
        <v>0.4375</v>
      </c>
      <c r="P46" s="59" t="s">
        <v>177</v>
      </c>
      <c r="Q46" s="60" t="s">
        <v>93</v>
      </c>
      <c r="R46" s="56" t="s">
        <v>261</v>
      </c>
      <c r="S46" s="61" t="s">
        <v>44</v>
      </c>
      <c r="T46" s="62" t="s">
        <v>415</v>
      </c>
      <c r="U46" s="63" t="s">
        <v>25</v>
      </c>
      <c r="V46" s="63" t="s">
        <v>147</v>
      </c>
      <c r="W46" s="64">
        <v>2780</v>
      </c>
      <c r="X46" s="64">
        <v>4</v>
      </c>
      <c r="Y46" s="47">
        <v>2209</v>
      </c>
      <c r="Z46" s="47">
        <f t="shared" si="5"/>
        <v>4989</v>
      </c>
    </row>
    <row r="47" spans="1:26" ht="24" x14ac:dyDescent="0.25">
      <c r="A47" s="53">
        <v>45189</v>
      </c>
      <c r="B47" s="54">
        <f t="shared" ref="B47" si="55">DAY(A47)</f>
        <v>20</v>
      </c>
      <c r="C47" s="55" t="str" cm="1">
        <f t="array" ref="C47">INDEX(Processing!$C$11:$C$22,MONTH('ALL ORDERS'!A47))</f>
        <v>SEP</v>
      </c>
      <c r="D47" s="54">
        <f t="shared" ref="D47" si="56">YEAR(A47)</f>
        <v>2023</v>
      </c>
      <c r="E47" s="56" t="s">
        <v>48</v>
      </c>
      <c r="F47" s="56" t="s">
        <v>21</v>
      </c>
      <c r="G47" s="100">
        <v>20000</v>
      </c>
      <c r="H47" s="100">
        <v>600</v>
      </c>
      <c r="I47" s="57"/>
      <c r="J47" s="99">
        <f t="shared" si="2"/>
        <v>20600</v>
      </c>
      <c r="K47" s="53">
        <v>45189</v>
      </c>
      <c r="L47" s="54">
        <f t="shared" ref="L47" si="57">DAY(K47)</f>
        <v>20</v>
      </c>
      <c r="M47" s="55" t="str" cm="1">
        <f t="array" ref="M47">INDEX(Processing!$W$6:$W$17,MONTH('ALL ORDERS'!K47))</f>
        <v>September</v>
      </c>
      <c r="N47" s="54">
        <f t="shared" ref="N47" si="58">YEAR(K47)</f>
        <v>2023</v>
      </c>
      <c r="O47" s="58">
        <v>0.47916666666666702</v>
      </c>
      <c r="P47" s="59" t="s">
        <v>178</v>
      </c>
      <c r="Q47" s="60" t="s">
        <v>93</v>
      </c>
      <c r="R47" s="56" t="s">
        <v>1085</v>
      </c>
      <c r="S47" s="61" t="s">
        <v>45</v>
      </c>
      <c r="T47" s="62" t="s">
        <v>426</v>
      </c>
      <c r="U47" s="63" t="s">
        <v>24</v>
      </c>
      <c r="V47" s="63" t="s">
        <v>147</v>
      </c>
      <c r="W47" s="64">
        <v>10134</v>
      </c>
      <c r="X47" s="64">
        <v>5</v>
      </c>
      <c r="Y47" s="47">
        <v>1814</v>
      </c>
      <c r="Z47" s="47">
        <f t="shared" si="5"/>
        <v>11948</v>
      </c>
    </row>
    <row r="48" spans="1:26" ht="24" x14ac:dyDescent="0.25">
      <c r="A48" s="53">
        <v>45190</v>
      </c>
      <c r="B48" s="54">
        <f t="shared" ref="B48" si="59">DAY(A48)</f>
        <v>21</v>
      </c>
      <c r="C48" s="55" t="str" cm="1">
        <f t="array" ref="C48">INDEX(Processing!$C$11:$C$22,MONTH('ALL ORDERS'!A48))</f>
        <v>SEP</v>
      </c>
      <c r="D48" s="54">
        <f t="shared" ref="D48" si="60">YEAR(A48)</f>
        <v>2023</v>
      </c>
      <c r="E48" s="56" t="s">
        <v>51</v>
      </c>
      <c r="F48" s="56" t="s">
        <v>18</v>
      </c>
      <c r="G48" s="100">
        <v>16400</v>
      </c>
      <c r="H48" s="100">
        <v>0</v>
      </c>
      <c r="I48" s="57"/>
      <c r="J48" s="99">
        <f t="shared" si="2"/>
        <v>16400</v>
      </c>
      <c r="K48" s="53">
        <v>45190</v>
      </c>
      <c r="L48" s="54">
        <f t="shared" ref="L48" si="61">DAY(K48)</f>
        <v>21</v>
      </c>
      <c r="M48" s="55" t="str" cm="1">
        <f t="array" ref="M48">INDEX(Processing!$W$6:$W$17,MONTH('ALL ORDERS'!K48))</f>
        <v>September</v>
      </c>
      <c r="N48" s="54">
        <f t="shared" ref="N48" si="62">YEAR(K48)</f>
        <v>2023</v>
      </c>
      <c r="O48" s="58">
        <v>0.47916666666666702</v>
      </c>
      <c r="P48" s="59" t="s">
        <v>178</v>
      </c>
      <c r="Q48" s="60" t="s">
        <v>93</v>
      </c>
      <c r="R48" s="56" t="s">
        <v>1085</v>
      </c>
      <c r="S48" s="61" t="s">
        <v>46</v>
      </c>
      <c r="T48" s="62" t="s">
        <v>426</v>
      </c>
      <c r="U48" s="63" t="s">
        <v>24</v>
      </c>
      <c r="V48" s="63" t="s">
        <v>147</v>
      </c>
      <c r="W48" s="64">
        <v>6743</v>
      </c>
      <c r="X48" s="64">
        <v>5</v>
      </c>
      <c r="Y48" s="47">
        <v>2358</v>
      </c>
      <c r="Z48" s="47">
        <f t="shared" si="5"/>
        <v>9101</v>
      </c>
    </row>
    <row r="49" spans="1:26" ht="24" x14ac:dyDescent="0.25">
      <c r="A49" s="53">
        <v>45191</v>
      </c>
      <c r="B49" s="54">
        <f t="shared" ref="B49:B50" si="63">DAY(A49)</f>
        <v>22</v>
      </c>
      <c r="C49" s="55" t="str" cm="1">
        <f t="array" ref="C49">INDEX(Processing!$C$11:$C$22,MONTH('ALL ORDERS'!A49))</f>
        <v>SEP</v>
      </c>
      <c r="D49" s="54">
        <f t="shared" ref="D49:D50" si="64">YEAR(A49)</f>
        <v>2023</v>
      </c>
      <c r="E49" s="56" t="s">
        <v>47</v>
      </c>
      <c r="F49" s="56" t="s">
        <v>21</v>
      </c>
      <c r="G49" s="100">
        <v>0</v>
      </c>
      <c r="H49" s="100">
        <v>10000</v>
      </c>
      <c r="I49" s="57"/>
      <c r="J49" s="99">
        <f t="shared" ref="J49:J50" si="65">G49+H49</f>
        <v>10000</v>
      </c>
      <c r="K49" s="53">
        <v>45191</v>
      </c>
      <c r="L49" s="54">
        <f t="shared" ref="L49:L50" si="66">DAY(K49)</f>
        <v>22</v>
      </c>
      <c r="M49" s="55" t="str" cm="1">
        <f t="array" ref="M49">INDEX(Processing!$W$6:$W$17,MONTH('ALL ORDERS'!K49))</f>
        <v>September</v>
      </c>
      <c r="N49" s="54">
        <f t="shared" ref="N49:N50" si="67">YEAR(K49)</f>
        <v>2023</v>
      </c>
      <c r="O49" s="58">
        <v>0.52083333333333404</v>
      </c>
      <c r="P49" s="59" t="s">
        <v>339</v>
      </c>
      <c r="Q49" s="60" t="s">
        <v>93</v>
      </c>
      <c r="R49" s="56" t="s">
        <v>1134</v>
      </c>
      <c r="S49" s="61" t="s">
        <v>41</v>
      </c>
      <c r="T49" s="62" t="s">
        <v>437</v>
      </c>
      <c r="U49" s="63" t="s">
        <v>27</v>
      </c>
      <c r="V49" s="63" t="s">
        <v>147</v>
      </c>
      <c r="W49" s="64">
        <v>8349</v>
      </c>
      <c r="X49" s="64">
        <v>6</v>
      </c>
      <c r="Y49" s="47">
        <v>419</v>
      </c>
      <c r="Z49" s="47">
        <f t="shared" si="5"/>
        <v>8768</v>
      </c>
    </row>
    <row r="50" spans="1:26" ht="24" x14ac:dyDescent="0.25">
      <c r="A50" s="53">
        <v>45192</v>
      </c>
      <c r="B50" s="54">
        <f t="shared" si="63"/>
        <v>23</v>
      </c>
      <c r="C50" s="55" t="str" cm="1">
        <f t="array" ref="C50">INDEX(Processing!$C$11:$C$22,MONTH('ALL ORDERS'!A50))</f>
        <v>SEP</v>
      </c>
      <c r="D50" s="54">
        <f t="shared" si="64"/>
        <v>2023</v>
      </c>
      <c r="E50" s="56" t="s">
        <v>49</v>
      </c>
      <c r="F50" s="56" t="s">
        <v>21</v>
      </c>
      <c r="G50" s="100">
        <v>0</v>
      </c>
      <c r="H50" s="100">
        <v>10000</v>
      </c>
      <c r="I50" s="57"/>
      <c r="J50" s="99">
        <f t="shared" si="65"/>
        <v>10000</v>
      </c>
      <c r="K50" s="53">
        <v>45192</v>
      </c>
      <c r="L50" s="54">
        <f t="shared" si="66"/>
        <v>23</v>
      </c>
      <c r="M50" s="55" t="str" cm="1">
        <f t="array" ref="M50">INDEX(Processing!$W$6:$W$17,MONTH('ALL ORDERS'!K50))</f>
        <v>September</v>
      </c>
      <c r="N50" s="54">
        <f t="shared" si="67"/>
        <v>2023</v>
      </c>
      <c r="O50" s="58">
        <v>0.5625</v>
      </c>
      <c r="P50" s="59" t="s">
        <v>179</v>
      </c>
      <c r="Q50" s="60" t="s">
        <v>93</v>
      </c>
      <c r="R50" s="56" t="s">
        <v>1135</v>
      </c>
      <c r="S50" s="61" t="s">
        <v>42</v>
      </c>
      <c r="T50" s="62" t="s">
        <v>448</v>
      </c>
      <c r="U50" s="63" t="s">
        <v>27</v>
      </c>
      <c r="V50" s="63" t="s">
        <v>147</v>
      </c>
      <c r="W50" s="64">
        <v>5970</v>
      </c>
      <c r="X50" s="64">
        <v>7</v>
      </c>
      <c r="Y50" s="47">
        <v>1975</v>
      </c>
      <c r="Z50" s="47">
        <f t="shared" si="5"/>
        <v>7945</v>
      </c>
    </row>
    <row r="51" spans="1:26" x14ac:dyDescent="0.25">
      <c r="A51" s="53">
        <v>45204</v>
      </c>
      <c r="B51" s="54">
        <f t="shared" si="0"/>
        <v>5</v>
      </c>
      <c r="C51" s="55" t="str" cm="1">
        <f t="array" ref="C51">INDEX(Processing!$C$11:$C$22,MONTH('ALL ORDERS'!A51))</f>
        <v>OCT</v>
      </c>
      <c r="D51" s="54">
        <f t="shared" si="1"/>
        <v>2023</v>
      </c>
      <c r="E51" s="56" t="s">
        <v>50</v>
      </c>
      <c r="F51" s="56" t="s">
        <v>18</v>
      </c>
      <c r="G51" s="100">
        <v>15600</v>
      </c>
      <c r="H51" s="100">
        <v>0</v>
      </c>
      <c r="I51" s="57">
        <v>0.1</v>
      </c>
      <c r="J51" s="99">
        <f t="shared" si="2"/>
        <v>15600</v>
      </c>
      <c r="K51" s="53">
        <v>45204</v>
      </c>
      <c r="L51" s="54">
        <f t="shared" si="3"/>
        <v>5</v>
      </c>
      <c r="M51" s="55" t="str" cm="1">
        <f t="array" ref="M51">INDEX(Processing!$W$6:$W$17,MONTH('ALL ORDERS'!K51))</f>
        <v>October</v>
      </c>
      <c r="N51" s="54">
        <f t="shared" si="4"/>
        <v>2023</v>
      </c>
      <c r="O51" s="58">
        <v>0.41666666666666669</v>
      </c>
      <c r="P51" s="59" t="s">
        <v>178</v>
      </c>
      <c r="Q51" s="60" t="s">
        <v>90</v>
      </c>
      <c r="R51" s="56" t="s">
        <v>262</v>
      </c>
      <c r="S51" s="61" t="s">
        <v>43</v>
      </c>
      <c r="T51" s="62" t="s">
        <v>416</v>
      </c>
      <c r="U51" s="63" t="s">
        <v>26</v>
      </c>
      <c r="V51" s="63" t="s">
        <v>147</v>
      </c>
      <c r="W51" s="64">
        <v>13669</v>
      </c>
      <c r="X51" s="64">
        <v>4</v>
      </c>
      <c r="Y51" s="47">
        <v>1925</v>
      </c>
      <c r="Z51" s="47">
        <f t="shared" si="5"/>
        <v>15594</v>
      </c>
    </row>
    <row r="52" spans="1:26" x14ac:dyDescent="0.25">
      <c r="A52" s="53">
        <v>45205</v>
      </c>
      <c r="B52" s="54">
        <f t="shared" ref="B52" si="68">DAY(A52)</f>
        <v>6</v>
      </c>
      <c r="C52" s="55" t="str" cm="1">
        <f t="array" ref="C52">INDEX(Processing!$C$11:$C$22,MONTH('ALL ORDERS'!A52))</f>
        <v>OCT</v>
      </c>
      <c r="D52" s="54">
        <f t="shared" ref="D52" si="69">YEAR(A52)</f>
        <v>2023</v>
      </c>
      <c r="E52" s="56" t="s">
        <v>48</v>
      </c>
      <c r="F52" s="56" t="s">
        <v>18</v>
      </c>
      <c r="G52" s="100">
        <v>24800</v>
      </c>
      <c r="H52" s="100">
        <v>0</v>
      </c>
      <c r="I52" s="57">
        <v>0.15</v>
      </c>
      <c r="J52" s="99">
        <f t="shared" si="2"/>
        <v>24800</v>
      </c>
      <c r="K52" s="53">
        <v>45205</v>
      </c>
      <c r="L52" s="54">
        <f t="shared" ref="L52" si="70">DAY(K52)</f>
        <v>6</v>
      </c>
      <c r="M52" s="55" t="str" cm="1">
        <f t="array" ref="M52">INDEX(Processing!$W$6:$W$17,MONTH('ALL ORDERS'!K52))</f>
        <v>October</v>
      </c>
      <c r="N52" s="54">
        <f t="shared" ref="N52" si="71">YEAR(K52)</f>
        <v>2023</v>
      </c>
      <c r="O52" s="58">
        <v>0.45833333333333298</v>
      </c>
      <c r="P52" s="59" t="s">
        <v>339</v>
      </c>
      <c r="Q52" s="60" t="s">
        <v>90</v>
      </c>
      <c r="R52" s="56" t="s">
        <v>1086</v>
      </c>
      <c r="S52" s="61" t="s">
        <v>44</v>
      </c>
      <c r="T52" s="62" t="s">
        <v>427</v>
      </c>
      <c r="U52" s="63" t="s">
        <v>23</v>
      </c>
      <c r="V52" s="63" t="s">
        <v>147</v>
      </c>
      <c r="W52" s="64">
        <v>7635</v>
      </c>
      <c r="X52" s="64">
        <v>5</v>
      </c>
      <c r="Y52" s="47">
        <v>2183</v>
      </c>
      <c r="Z52" s="47">
        <f t="shared" si="5"/>
        <v>9818</v>
      </c>
    </row>
    <row r="53" spans="1:26" x14ac:dyDescent="0.25">
      <c r="A53" s="53">
        <v>45206</v>
      </c>
      <c r="B53" s="54">
        <f t="shared" ref="B53:B55" si="72">DAY(A53)</f>
        <v>7</v>
      </c>
      <c r="C53" s="55" t="str" cm="1">
        <f t="array" ref="C53">INDEX(Processing!$C$11:$C$22,MONTH('ALL ORDERS'!A53))</f>
        <v>OCT</v>
      </c>
      <c r="D53" s="54">
        <f t="shared" ref="D53:D55" si="73">YEAR(A53)</f>
        <v>2023</v>
      </c>
      <c r="E53" s="56" t="s">
        <v>51</v>
      </c>
      <c r="F53" s="56" t="s">
        <v>135</v>
      </c>
      <c r="G53" s="100">
        <v>0</v>
      </c>
      <c r="H53" s="100">
        <v>10000</v>
      </c>
      <c r="I53" s="57">
        <v>0.15</v>
      </c>
      <c r="J53" s="99">
        <f t="shared" ref="J53:J55" si="74">G53+H53</f>
        <v>10000</v>
      </c>
      <c r="K53" s="53">
        <v>45206</v>
      </c>
      <c r="L53" s="54">
        <f t="shared" ref="L53:L55" si="75">DAY(K53)</f>
        <v>7</v>
      </c>
      <c r="M53" s="55" t="str" cm="1">
        <f t="array" ref="M53">INDEX(Processing!$W$6:$W$17,MONTH('ALL ORDERS'!K53))</f>
        <v>October</v>
      </c>
      <c r="N53" s="54">
        <f t="shared" ref="N53:N55" si="76">YEAR(K53)</f>
        <v>2023</v>
      </c>
      <c r="O53" s="58">
        <v>0.5</v>
      </c>
      <c r="P53" s="59" t="s">
        <v>179</v>
      </c>
      <c r="Q53" s="60" t="s">
        <v>90</v>
      </c>
      <c r="R53" s="56" t="s">
        <v>1136</v>
      </c>
      <c r="S53" s="61" t="s">
        <v>45</v>
      </c>
      <c r="T53" s="62" t="s">
        <v>438</v>
      </c>
      <c r="U53" s="63" t="s">
        <v>27</v>
      </c>
      <c r="V53" s="63" t="s">
        <v>147</v>
      </c>
      <c r="W53" s="64">
        <v>6022</v>
      </c>
      <c r="X53" s="64">
        <v>6</v>
      </c>
      <c r="Y53" s="47">
        <v>2356</v>
      </c>
      <c r="Z53" s="47">
        <f t="shared" si="5"/>
        <v>8378</v>
      </c>
    </row>
    <row r="54" spans="1:26" x14ac:dyDescent="0.25">
      <c r="A54" s="53">
        <v>45207</v>
      </c>
      <c r="B54" s="54">
        <f t="shared" si="72"/>
        <v>8</v>
      </c>
      <c r="C54" s="55" t="str" cm="1">
        <f t="array" ref="C54">INDEX(Processing!$C$11:$C$22,MONTH('ALL ORDERS'!A54))</f>
        <v>OCT</v>
      </c>
      <c r="D54" s="54">
        <f t="shared" si="73"/>
        <v>2023</v>
      </c>
      <c r="E54" s="56" t="s">
        <v>47</v>
      </c>
      <c r="F54" s="56" t="s">
        <v>22</v>
      </c>
      <c r="G54" s="100">
        <v>10000</v>
      </c>
      <c r="H54" s="100">
        <v>0</v>
      </c>
      <c r="I54" s="57">
        <v>0.15</v>
      </c>
      <c r="J54" s="99">
        <f t="shared" si="74"/>
        <v>10000</v>
      </c>
      <c r="K54" s="53">
        <v>45207</v>
      </c>
      <c r="L54" s="54">
        <f t="shared" si="75"/>
        <v>8</v>
      </c>
      <c r="M54" s="55" t="str" cm="1">
        <f t="array" ref="M54">INDEX(Processing!$W$6:$W$17,MONTH('ALL ORDERS'!K54))</f>
        <v>October</v>
      </c>
      <c r="N54" s="54">
        <f t="shared" si="76"/>
        <v>2023</v>
      </c>
      <c r="O54" s="58">
        <v>0.54166666666666596</v>
      </c>
      <c r="P54" s="59" t="s">
        <v>180</v>
      </c>
      <c r="Q54" s="60" t="s">
        <v>90</v>
      </c>
      <c r="R54" s="56" t="s">
        <v>1137</v>
      </c>
      <c r="S54" s="61" t="s">
        <v>46</v>
      </c>
      <c r="T54" s="62" t="s">
        <v>449</v>
      </c>
      <c r="U54" s="63" t="s">
        <v>23</v>
      </c>
      <c r="V54" s="63" t="s">
        <v>147</v>
      </c>
      <c r="W54" s="64">
        <v>7460</v>
      </c>
      <c r="X54" s="64">
        <v>7</v>
      </c>
      <c r="Y54" s="47">
        <v>1029</v>
      </c>
      <c r="Z54" s="47">
        <f t="shared" si="5"/>
        <v>8489</v>
      </c>
    </row>
    <row r="55" spans="1:26" x14ac:dyDescent="0.25">
      <c r="A55" s="53">
        <v>45208</v>
      </c>
      <c r="B55" s="54">
        <f t="shared" si="72"/>
        <v>9</v>
      </c>
      <c r="C55" s="55" t="str" cm="1">
        <f t="array" ref="C55">INDEX(Processing!$C$11:$C$22,MONTH('ALL ORDERS'!A55))</f>
        <v>OCT</v>
      </c>
      <c r="D55" s="54">
        <f t="shared" si="73"/>
        <v>2023</v>
      </c>
      <c r="E55" s="56" t="s">
        <v>49</v>
      </c>
      <c r="F55" s="56" t="s">
        <v>18</v>
      </c>
      <c r="G55" s="100">
        <v>0</v>
      </c>
      <c r="H55" s="100">
        <v>10000</v>
      </c>
      <c r="I55" s="57">
        <v>0.15</v>
      </c>
      <c r="J55" s="99">
        <f t="shared" si="74"/>
        <v>10000</v>
      </c>
      <c r="K55" s="53">
        <v>45208</v>
      </c>
      <c r="L55" s="54">
        <f t="shared" si="75"/>
        <v>9</v>
      </c>
      <c r="M55" s="55" t="str" cm="1">
        <f t="array" ref="M55">INDEX(Processing!$W$6:$W$17,MONTH('ALL ORDERS'!K55))</f>
        <v>October</v>
      </c>
      <c r="N55" s="54">
        <f t="shared" si="76"/>
        <v>2023</v>
      </c>
      <c r="O55" s="58">
        <v>0.58333333333333304</v>
      </c>
      <c r="P55" s="59" t="s">
        <v>181</v>
      </c>
      <c r="Q55" s="60" t="s">
        <v>90</v>
      </c>
      <c r="R55" s="56" t="s">
        <v>1138</v>
      </c>
      <c r="S55" s="61" t="s">
        <v>41</v>
      </c>
      <c r="T55" s="62" t="s">
        <v>460</v>
      </c>
      <c r="U55" s="63" t="s">
        <v>23</v>
      </c>
      <c r="V55" s="63" t="s">
        <v>147</v>
      </c>
      <c r="W55" s="64">
        <v>7311</v>
      </c>
      <c r="X55" s="64">
        <v>8</v>
      </c>
      <c r="Y55" s="47">
        <v>1809</v>
      </c>
      <c r="Z55" s="47">
        <f t="shared" si="5"/>
        <v>9120</v>
      </c>
    </row>
    <row r="56" spans="1:26" ht="24" x14ac:dyDescent="0.25">
      <c r="A56" s="53">
        <v>45231</v>
      </c>
      <c r="B56" s="54">
        <f t="shared" si="0"/>
        <v>1</v>
      </c>
      <c r="C56" s="55" t="str" cm="1">
        <f t="array" ref="C56">INDEX(Processing!$C$11:$C$22,MONTH('ALL ORDERS'!A56))</f>
        <v>NOV</v>
      </c>
      <c r="D56" s="54">
        <f t="shared" si="1"/>
        <v>2023</v>
      </c>
      <c r="E56" s="56" t="s">
        <v>50</v>
      </c>
      <c r="F56" s="56" t="s">
        <v>124</v>
      </c>
      <c r="G56" s="100">
        <v>5800</v>
      </c>
      <c r="H56" s="100">
        <v>0</v>
      </c>
      <c r="I56" s="57">
        <v>0.1</v>
      </c>
      <c r="J56" s="99">
        <f t="shared" si="2"/>
        <v>5800</v>
      </c>
      <c r="K56" s="53">
        <v>45231</v>
      </c>
      <c r="L56" s="54">
        <f t="shared" si="3"/>
        <v>1</v>
      </c>
      <c r="M56" s="55" t="str" cm="1">
        <f t="array" ref="M56">INDEX(Processing!$W$6:$W$17,MONTH('ALL ORDERS'!K56))</f>
        <v>November</v>
      </c>
      <c r="N56" s="54">
        <f t="shared" si="4"/>
        <v>2023</v>
      </c>
      <c r="O56" s="58">
        <v>0.5</v>
      </c>
      <c r="P56" s="59" t="s">
        <v>339</v>
      </c>
      <c r="Q56" s="60" t="s">
        <v>94</v>
      </c>
      <c r="R56" s="56" t="s">
        <v>263</v>
      </c>
      <c r="S56" s="61" t="s">
        <v>42</v>
      </c>
      <c r="T56" s="62" t="s">
        <v>417</v>
      </c>
      <c r="U56" s="63" t="s">
        <v>24</v>
      </c>
      <c r="V56" s="63" t="s">
        <v>147</v>
      </c>
      <c r="W56" s="64">
        <v>9475</v>
      </c>
      <c r="X56" s="64">
        <v>5</v>
      </c>
      <c r="Y56" s="47">
        <v>2219</v>
      </c>
      <c r="Z56" s="47">
        <f t="shared" si="5"/>
        <v>11694</v>
      </c>
    </row>
    <row r="57" spans="1:26" ht="24" x14ac:dyDescent="0.25">
      <c r="A57" s="53">
        <v>45232</v>
      </c>
      <c r="B57" s="54">
        <f t="shared" si="0"/>
        <v>2</v>
      </c>
      <c r="C57" s="55" t="str" cm="1">
        <f t="array" ref="C57">INDEX(Processing!$C$11:$C$22,MONTH('ALL ORDERS'!A57))</f>
        <v>NOV</v>
      </c>
      <c r="D57" s="54">
        <f t="shared" si="1"/>
        <v>2023</v>
      </c>
      <c r="E57" s="56" t="s">
        <v>48</v>
      </c>
      <c r="F57" s="56" t="s">
        <v>22</v>
      </c>
      <c r="G57" s="100">
        <v>9000</v>
      </c>
      <c r="H57" s="100">
        <v>0</v>
      </c>
      <c r="I57" s="57"/>
      <c r="J57" s="99">
        <f t="shared" si="2"/>
        <v>9000</v>
      </c>
      <c r="K57" s="53">
        <v>45232</v>
      </c>
      <c r="L57" s="54">
        <f t="shared" si="3"/>
        <v>2</v>
      </c>
      <c r="M57" s="55" t="str" cm="1">
        <f t="array" ref="M57">INDEX(Processing!$W$6:$W$17,MONTH('ALL ORDERS'!K57))</f>
        <v>November</v>
      </c>
      <c r="N57" s="54">
        <f t="shared" si="4"/>
        <v>2023</v>
      </c>
      <c r="O57" s="58">
        <v>0.66666666666666663</v>
      </c>
      <c r="P57" s="59" t="s">
        <v>179</v>
      </c>
      <c r="Q57" s="60" t="s">
        <v>94</v>
      </c>
      <c r="R57" s="56" t="s">
        <v>264</v>
      </c>
      <c r="S57" s="61" t="s">
        <v>43</v>
      </c>
      <c r="T57" s="62" t="s">
        <v>418</v>
      </c>
      <c r="U57" s="63" t="s">
        <v>24</v>
      </c>
      <c r="V57" s="63" t="s">
        <v>147</v>
      </c>
      <c r="W57" s="64">
        <v>12793</v>
      </c>
      <c r="X57" s="64">
        <v>4</v>
      </c>
      <c r="Y57" s="47">
        <v>1257</v>
      </c>
      <c r="Z57" s="47">
        <f t="shared" si="5"/>
        <v>14050</v>
      </c>
    </row>
    <row r="58" spans="1:26" ht="24" x14ac:dyDescent="0.25">
      <c r="A58" s="53">
        <v>45233</v>
      </c>
      <c r="B58" s="54">
        <f t="shared" si="0"/>
        <v>3</v>
      </c>
      <c r="C58" s="55" t="str" cm="1">
        <f t="array" ref="C58">INDEX(Processing!$C$11:$C$22,MONTH('ALL ORDERS'!A58))</f>
        <v>NOV</v>
      </c>
      <c r="D58" s="54">
        <f t="shared" si="1"/>
        <v>2023</v>
      </c>
      <c r="E58" s="56" t="s">
        <v>51</v>
      </c>
      <c r="F58" s="56" t="s">
        <v>135</v>
      </c>
      <c r="G58" s="100">
        <v>10000</v>
      </c>
      <c r="H58" s="100">
        <v>890</v>
      </c>
      <c r="I58" s="57"/>
      <c r="J58" s="99">
        <f t="shared" si="2"/>
        <v>10890</v>
      </c>
      <c r="K58" s="53">
        <v>45233</v>
      </c>
      <c r="L58" s="54">
        <f t="shared" si="3"/>
        <v>3</v>
      </c>
      <c r="M58" s="55" t="str" cm="1">
        <f t="array" ref="M58">INDEX(Processing!$W$6:$W$17,MONTH('ALL ORDERS'!K58))</f>
        <v>November</v>
      </c>
      <c r="N58" s="54">
        <f t="shared" si="4"/>
        <v>2023</v>
      </c>
      <c r="O58" s="58">
        <v>0.4375</v>
      </c>
      <c r="P58" s="59" t="s">
        <v>180</v>
      </c>
      <c r="Q58" s="60" t="s">
        <v>94</v>
      </c>
      <c r="R58" s="56" t="s">
        <v>265</v>
      </c>
      <c r="S58" s="61" t="s">
        <v>44</v>
      </c>
      <c r="T58" s="62" t="s">
        <v>419</v>
      </c>
      <c r="U58" s="63" t="s">
        <v>23</v>
      </c>
      <c r="V58" s="63" t="s">
        <v>147</v>
      </c>
      <c r="W58" s="64">
        <v>7526</v>
      </c>
      <c r="X58" s="64">
        <v>3</v>
      </c>
      <c r="Y58" s="47">
        <v>1905</v>
      </c>
      <c r="Z58" s="47">
        <f t="shared" si="5"/>
        <v>9431</v>
      </c>
    </row>
    <row r="59" spans="1:26" ht="24" x14ac:dyDescent="0.25">
      <c r="A59" s="53">
        <v>45234</v>
      </c>
      <c r="B59" s="54">
        <f t="shared" si="0"/>
        <v>4</v>
      </c>
      <c r="C59" s="55" t="str" cm="1">
        <f t="array" ref="C59">INDEX(Processing!$C$11:$C$22,MONTH('ALL ORDERS'!A59))</f>
        <v>NOV</v>
      </c>
      <c r="D59" s="54">
        <f t="shared" si="1"/>
        <v>2023</v>
      </c>
      <c r="E59" s="56" t="s">
        <v>47</v>
      </c>
      <c r="F59" s="56" t="s">
        <v>122</v>
      </c>
      <c r="G59" s="100">
        <v>7000</v>
      </c>
      <c r="H59" s="100">
        <v>100</v>
      </c>
      <c r="I59" s="57"/>
      <c r="J59" s="99">
        <f t="shared" si="2"/>
        <v>7100</v>
      </c>
      <c r="K59" s="53">
        <v>45234</v>
      </c>
      <c r="L59" s="54">
        <f t="shared" si="3"/>
        <v>4</v>
      </c>
      <c r="M59" s="55" t="str" cm="1">
        <f t="array" ref="M59">INDEX(Processing!$W$6:$W$17,MONTH('ALL ORDERS'!K59))</f>
        <v>November</v>
      </c>
      <c r="N59" s="54">
        <f t="shared" si="4"/>
        <v>2023</v>
      </c>
      <c r="O59" s="58">
        <v>0.66666666666666663</v>
      </c>
      <c r="P59" s="59" t="s">
        <v>181</v>
      </c>
      <c r="Q59" s="60" t="s">
        <v>90</v>
      </c>
      <c r="R59" s="56" t="s">
        <v>266</v>
      </c>
      <c r="S59" s="61" t="s">
        <v>45</v>
      </c>
      <c r="T59" s="62" t="s">
        <v>420</v>
      </c>
      <c r="U59" s="63" t="s">
        <v>24</v>
      </c>
      <c r="V59" s="63" t="s">
        <v>147</v>
      </c>
      <c r="W59" s="64">
        <v>8890</v>
      </c>
      <c r="X59" s="64">
        <v>4</v>
      </c>
      <c r="Y59" s="47">
        <v>1068</v>
      </c>
      <c r="Z59" s="47">
        <f t="shared" si="5"/>
        <v>9958</v>
      </c>
    </row>
    <row r="60" spans="1:26" ht="24" x14ac:dyDescent="0.25">
      <c r="A60" s="53">
        <v>45260</v>
      </c>
      <c r="B60" s="54">
        <f t="shared" ref="B60" si="77">DAY(A60)</f>
        <v>30</v>
      </c>
      <c r="C60" s="55" t="str" cm="1">
        <f t="array" ref="C60">INDEX(Processing!$C$11:$C$22,MONTH('ALL ORDERS'!A60))</f>
        <v>NOV</v>
      </c>
      <c r="D60" s="54">
        <f t="shared" ref="D60" si="78">YEAR(A60)</f>
        <v>2023</v>
      </c>
      <c r="E60" s="56" t="s">
        <v>49</v>
      </c>
      <c r="F60" s="56" t="s">
        <v>122</v>
      </c>
      <c r="G60" s="100">
        <v>0</v>
      </c>
      <c r="H60" s="100">
        <v>21910</v>
      </c>
      <c r="I60" s="57"/>
      <c r="J60" s="99">
        <f t="shared" si="2"/>
        <v>21910</v>
      </c>
      <c r="K60" s="53">
        <v>45260</v>
      </c>
      <c r="L60" s="54">
        <f t="shared" ref="L60" si="79">DAY(K60)</f>
        <v>30</v>
      </c>
      <c r="M60" s="55" t="str" cm="1">
        <f t="array" ref="M60">INDEX(Processing!$W$6:$W$17,MONTH('ALL ORDERS'!K60))</f>
        <v>November</v>
      </c>
      <c r="N60" s="54">
        <f t="shared" ref="N60" si="80">YEAR(K60)</f>
        <v>2023</v>
      </c>
      <c r="O60" s="58">
        <v>0.70833333333333304</v>
      </c>
      <c r="P60" s="59" t="s">
        <v>182</v>
      </c>
      <c r="Q60" s="60" t="s">
        <v>90</v>
      </c>
      <c r="R60" s="56" t="s">
        <v>1088</v>
      </c>
      <c r="S60" s="61" t="s">
        <v>46</v>
      </c>
      <c r="T60" s="62" t="s">
        <v>431</v>
      </c>
      <c r="U60" s="63" t="s">
        <v>26</v>
      </c>
      <c r="V60" s="63" t="s">
        <v>147</v>
      </c>
      <c r="W60" s="64">
        <v>6470</v>
      </c>
      <c r="X60" s="64">
        <v>5</v>
      </c>
      <c r="Y60" s="47">
        <v>1673</v>
      </c>
      <c r="Z60" s="47">
        <f t="shared" si="5"/>
        <v>8143</v>
      </c>
    </row>
    <row r="61" spans="1:26" ht="24" x14ac:dyDescent="0.25">
      <c r="A61" s="53">
        <v>45261</v>
      </c>
      <c r="B61" s="54">
        <f t="shared" si="0"/>
        <v>1</v>
      </c>
      <c r="C61" s="55" t="str" cm="1">
        <f t="array" ref="C61">INDEX(Processing!$C$11:$C$22,MONTH('ALL ORDERS'!A61))</f>
        <v>DEC</v>
      </c>
      <c r="D61" s="54">
        <f t="shared" si="1"/>
        <v>2023</v>
      </c>
      <c r="E61" s="56" t="s">
        <v>47</v>
      </c>
      <c r="F61" s="56" t="s">
        <v>18</v>
      </c>
      <c r="G61" s="100">
        <v>0</v>
      </c>
      <c r="H61" s="100">
        <v>900</v>
      </c>
      <c r="I61" s="57">
        <v>0.15</v>
      </c>
      <c r="J61" s="99">
        <f t="shared" si="2"/>
        <v>900</v>
      </c>
      <c r="K61" s="53">
        <v>45261</v>
      </c>
      <c r="L61" s="54">
        <f t="shared" si="3"/>
        <v>1</v>
      </c>
      <c r="M61" s="55" t="str" cm="1">
        <f t="array" ref="M61">INDEX(Processing!$W$6:$W$17,MONTH('ALL ORDERS'!K61))</f>
        <v>December</v>
      </c>
      <c r="N61" s="54">
        <f t="shared" ref="N61:N113" si="81">YEAR(K61)</f>
        <v>2023</v>
      </c>
      <c r="O61" s="58">
        <v>0.41666666666666669</v>
      </c>
      <c r="P61" s="59" t="s">
        <v>193</v>
      </c>
      <c r="Q61" s="60" t="s">
        <v>94</v>
      </c>
      <c r="R61" s="56" t="s">
        <v>279</v>
      </c>
      <c r="S61" s="61" t="s">
        <v>41</v>
      </c>
      <c r="T61" s="62" t="s">
        <v>432</v>
      </c>
      <c r="U61" s="63" t="s">
        <v>25</v>
      </c>
      <c r="V61" s="63" t="s">
        <v>147</v>
      </c>
      <c r="W61" s="101">
        <v>1420</v>
      </c>
      <c r="X61" s="64">
        <v>5</v>
      </c>
      <c r="Y61" s="47">
        <v>3000</v>
      </c>
      <c r="Z61" s="47">
        <f>W61-Y61</f>
        <v>-1580</v>
      </c>
    </row>
    <row r="62" spans="1:26" ht="24" x14ac:dyDescent="0.25">
      <c r="A62" s="53">
        <v>45261</v>
      </c>
      <c r="B62" s="54">
        <f t="shared" si="0"/>
        <v>1</v>
      </c>
      <c r="C62" s="55" t="str" cm="1">
        <f t="array" ref="C62">INDEX(Processing!$C$11:$C$22,MONTH('ALL ORDERS'!A62))</f>
        <v>DEC</v>
      </c>
      <c r="D62" s="54">
        <f t="shared" si="1"/>
        <v>2023</v>
      </c>
      <c r="E62" s="56" t="s">
        <v>51</v>
      </c>
      <c r="F62" s="56" t="s">
        <v>124</v>
      </c>
      <c r="G62" s="100">
        <v>2000</v>
      </c>
      <c r="H62" s="100">
        <v>0</v>
      </c>
      <c r="I62" s="57"/>
      <c r="J62" s="99">
        <f t="shared" si="2"/>
        <v>2000</v>
      </c>
      <c r="K62" s="53">
        <v>45261</v>
      </c>
      <c r="L62" s="54">
        <f t="shared" si="3"/>
        <v>1</v>
      </c>
      <c r="M62" s="55" t="str" cm="1">
        <f t="array" ref="M62">INDEX(Processing!$W$6:$W$17,MONTH('ALL ORDERS'!K62))</f>
        <v>December</v>
      </c>
      <c r="N62" s="54">
        <f t="shared" si="81"/>
        <v>2023</v>
      </c>
      <c r="O62" s="58">
        <v>0.5</v>
      </c>
      <c r="P62" s="59" t="s">
        <v>194</v>
      </c>
      <c r="Q62" s="60" t="s">
        <v>90</v>
      </c>
      <c r="R62" s="56" t="s">
        <v>280</v>
      </c>
      <c r="S62" s="61" t="s">
        <v>42</v>
      </c>
      <c r="T62" s="62" t="s">
        <v>433</v>
      </c>
      <c r="U62" s="63" t="s">
        <v>24</v>
      </c>
      <c r="V62" s="63" t="s">
        <v>147</v>
      </c>
      <c r="W62" s="101">
        <v>435</v>
      </c>
      <c r="X62" s="64">
        <v>5</v>
      </c>
      <c r="Y62" s="47">
        <v>1000</v>
      </c>
      <c r="Z62" s="47">
        <f t="shared" ref="Z62:Z93" si="82">W62-Y62</f>
        <v>-565</v>
      </c>
    </row>
    <row r="63" spans="1:26" ht="24" x14ac:dyDescent="0.25">
      <c r="A63" s="53">
        <v>45261</v>
      </c>
      <c r="B63" s="54">
        <f t="shared" si="0"/>
        <v>1</v>
      </c>
      <c r="C63" s="55" t="str" cm="1">
        <f t="array" ref="C63">INDEX(Processing!$C$11:$C$22,MONTH('ALL ORDERS'!A63))</f>
        <v>DEC</v>
      </c>
      <c r="D63" s="54">
        <f t="shared" si="1"/>
        <v>2023</v>
      </c>
      <c r="E63" s="56" t="s">
        <v>47</v>
      </c>
      <c r="F63" s="56" t="s">
        <v>22</v>
      </c>
      <c r="G63" s="100">
        <v>0</v>
      </c>
      <c r="H63" s="100">
        <v>2130</v>
      </c>
      <c r="I63" s="57"/>
      <c r="J63" s="99">
        <f t="shared" si="2"/>
        <v>2130</v>
      </c>
      <c r="K63" s="53">
        <v>45261</v>
      </c>
      <c r="L63" s="54">
        <f t="shared" si="3"/>
        <v>1</v>
      </c>
      <c r="M63" s="55" t="str" cm="1">
        <f t="array" ref="M63">INDEX(Processing!$W$6:$W$17,MONTH('ALL ORDERS'!K63))</f>
        <v>December</v>
      </c>
      <c r="N63" s="54">
        <f t="shared" si="81"/>
        <v>2023</v>
      </c>
      <c r="O63" s="58">
        <v>0.66666666666666663</v>
      </c>
      <c r="P63" s="59" t="s">
        <v>195</v>
      </c>
      <c r="Q63" s="60" t="s">
        <v>94</v>
      </c>
      <c r="R63" s="56" t="s">
        <v>281</v>
      </c>
      <c r="S63" s="61" t="s">
        <v>43</v>
      </c>
      <c r="T63" s="62" t="s">
        <v>434</v>
      </c>
      <c r="U63" s="63" t="s">
        <v>27</v>
      </c>
      <c r="V63" s="63" t="s">
        <v>147</v>
      </c>
      <c r="W63" s="101">
        <v>4649</v>
      </c>
      <c r="X63" s="64">
        <v>5</v>
      </c>
      <c r="Y63" s="47">
        <v>3000</v>
      </c>
      <c r="Z63" s="47">
        <f t="shared" si="82"/>
        <v>1649</v>
      </c>
    </row>
    <row r="64" spans="1:26" ht="24" x14ac:dyDescent="0.25">
      <c r="A64" s="53">
        <v>45261</v>
      </c>
      <c r="B64" s="54">
        <f t="shared" si="0"/>
        <v>1</v>
      </c>
      <c r="C64" s="55" t="str" cm="1">
        <f t="array" ref="C64">INDEX(Processing!$C$11:$C$22,MONTH('ALL ORDERS'!A64))</f>
        <v>DEC</v>
      </c>
      <c r="D64" s="54">
        <f t="shared" si="1"/>
        <v>2023</v>
      </c>
      <c r="E64" s="56" t="s">
        <v>50</v>
      </c>
      <c r="F64" s="56" t="s">
        <v>135</v>
      </c>
      <c r="G64" s="100">
        <v>160</v>
      </c>
      <c r="H64" s="100">
        <v>0</v>
      </c>
      <c r="I64" s="57"/>
      <c r="J64" s="99">
        <f t="shared" si="2"/>
        <v>160</v>
      </c>
      <c r="K64" s="53">
        <v>45261</v>
      </c>
      <c r="L64" s="54">
        <f t="shared" si="3"/>
        <v>1</v>
      </c>
      <c r="M64" s="55" t="str" cm="1">
        <f t="array" ref="M64">INDEX(Processing!$W$6:$W$17,MONTH('ALL ORDERS'!K64))</f>
        <v>December</v>
      </c>
      <c r="N64" s="54">
        <f t="shared" si="81"/>
        <v>2023</v>
      </c>
      <c r="O64" s="58">
        <v>0.75</v>
      </c>
      <c r="P64" s="59" t="s">
        <v>196</v>
      </c>
      <c r="Q64" s="60" t="s">
        <v>90</v>
      </c>
      <c r="R64" s="56" t="s">
        <v>282</v>
      </c>
      <c r="S64" s="61" t="s">
        <v>44</v>
      </c>
      <c r="T64" s="62" t="s">
        <v>435</v>
      </c>
      <c r="U64" s="63" t="s">
        <v>26</v>
      </c>
      <c r="V64" s="63" t="s">
        <v>147</v>
      </c>
      <c r="W64" s="101">
        <v>445</v>
      </c>
      <c r="X64" s="64">
        <v>4</v>
      </c>
      <c r="Y64" s="47">
        <v>3000</v>
      </c>
      <c r="Z64" s="47">
        <f t="shared" si="82"/>
        <v>-2555</v>
      </c>
    </row>
    <row r="65" spans="1:26" ht="24" x14ac:dyDescent="0.25">
      <c r="A65" s="53">
        <v>45268</v>
      </c>
      <c r="B65" s="54">
        <f t="shared" si="0"/>
        <v>8</v>
      </c>
      <c r="C65" s="55" t="str" cm="1">
        <f t="array" ref="C65">INDEX(Processing!$C$11:$C$22,MONTH('ALL ORDERS'!A65))</f>
        <v>DEC</v>
      </c>
      <c r="D65" s="54">
        <f t="shared" si="1"/>
        <v>2023</v>
      </c>
      <c r="E65" s="56" t="s">
        <v>47</v>
      </c>
      <c r="F65" s="56" t="s">
        <v>122</v>
      </c>
      <c r="G65" s="100">
        <v>3510</v>
      </c>
      <c r="H65" s="100">
        <v>0</v>
      </c>
      <c r="I65" s="57"/>
      <c r="J65" s="99">
        <f t="shared" si="2"/>
        <v>3510</v>
      </c>
      <c r="K65" s="53">
        <v>45268</v>
      </c>
      <c r="L65" s="54">
        <f t="shared" si="3"/>
        <v>8</v>
      </c>
      <c r="M65" s="55" t="str" cm="1">
        <f t="array" ref="M65">INDEX(Processing!$W$6:$W$17,MONTH('ALL ORDERS'!K65))</f>
        <v>December</v>
      </c>
      <c r="N65" s="54">
        <f t="shared" si="81"/>
        <v>2023</v>
      </c>
      <c r="O65" s="58">
        <v>0.41666666666666669</v>
      </c>
      <c r="P65" s="59" t="s">
        <v>341</v>
      </c>
      <c r="Q65" s="60" t="s">
        <v>94</v>
      </c>
      <c r="R65" s="56" t="s">
        <v>283</v>
      </c>
      <c r="S65" s="61" t="s">
        <v>45</v>
      </c>
      <c r="T65" s="70">
        <v>57900888990</v>
      </c>
      <c r="U65" s="63" t="s">
        <v>25</v>
      </c>
      <c r="V65" s="63" t="s">
        <v>147</v>
      </c>
      <c r="W65" s="101">
        <v>1176</v>
      </c>
      <c r="X65" s="64">
        <v>4</v>
      </c>
      <c r="Y65" s="47">
        <v>3000</v>
      </c>
      <c r="Z65" s="47">
        <f t="shared" si="82"/>
        <v>-1824</v>
      </c>
    </row>
    <row r="66" spans="1:26" ht="24" x14ac:dyDescent="0.25">
      <c r="A66" s="53">
        <v>45269</v>
      </c>
      <c r="B66" s="54">
        <f t="shared" si="0"/>
        <v>9</v>
      </c>
      <c r="C66" s="55" t="str" cm="1">
        <f t="array" ref="C66">INDEX(Processing!$C$11:$C$22,MONTH('ALL ORDERS'!A66))</f>
        <v>DEC</v>
      </c>
      <c r="D66" s="54">
        <f t="shared" si="1"/>
        <v>2023</v>
      </c>
      <c r="E66" s="56" t="s">
        <v>48</v>
      </c>
      <c r="F66" s="56" t="s">
        <v>124</v>
      </c>
      <c r="G66" s="100">
        <v>3510</v>
      </c>
      <c r="H66" s="100">
        <v>0</v>
      </c>
      <c r="I66" s="57"/>
      <c r="J66" s="99">
        <f t="shared" si="2"/>
        <v>3510</v>
      </c>
      <c r="K66" s="53">
        <v>45269</v>
      </c>
      <c r="L66" s="54">
        <f t="shared" si="3"/>
        <v>9</v>
      </c>
      <c r="M66" s="55" t="str" cm="1">
        <f t="array" ref="M66">INDEX(Processing!$W$6:$W$17,MONTH('ALL ORDERS'!K66))</f>
        <v>December</v>
      </c>
      <c r="N66" s="54">
        <f t="shared" si="81"/>
        <v>2023</v>
      </c>
      <c r="O66" s="58">
        <v>0.5</v>
      </c>
      <c r="P66" s="59" t="s">
        <v>197</v>
      </c>
      <c r="Q66" s="60" t="s">
        <v>94</v>
      </c>
      <c r="R66" s="56" t="s">
        <v>284</v>
      </c>
      <c r="S66" s="61" t="s">
        <v>46</v>
      </c>
      <c r="T66" s="62" t="s">
        <v>436</v>
      </c>
      <c r="U66" s="63" t="s">
        <v>23</v>
      </c>
      <c r="V66" s="63" t="s">
        <v>147</v>
      </c>
      <c r="W66" s="101">
        <v>5422</v>
      </c>
      <c r="X66" s="64">
        <v>4</v>
      </c>
      <c r="Y66" s="47">
        <v>3000</v>
      </c>
      <c r="Z66" s="47">
        <f t="shared" si="82"/>
        <v>2422</v>
      </c>
    </row>
    <row r="67" spans="1:26" ht="24" x14ac:dyDescent="0.25">
      <c r="A67" s="53">
        <v>45270</v>
      </c>
      <c r="B67" s="54">
        <f t="shared" si="0"/>
        <v>10</v>
      </c>
      <c r="C67" s="55" t="str" cm="1">
        <f t="array" ref="C67">INDEX(Processing!$C$11:$C$22,MONTH('ALL ORDERS'!A67))</f>
        <v>DEC</v>
      </c>
      <c r="D67" s="54">
        <f t="shared" si="1"/>
        <v>2023</v>
      </c>
      <c r="E67" s="56" t="s">
        <v>49</v>
      </c>
      <c r="F67" s="56" t="s">
        <v>123</v>
      </c>
      <c r="G67" s="100">
        <v>2540</v>
      </c>
      <c r="H67" s="100">
        <v>0</v>
      </c>
      <c r="I67" s="57"/>
      <c r="J67" s="99">
        <f t="shared" si="2"/>
        <v>2540</v>
      </c>
      <c r="K67" s="53">
        <v>45270</v>
      </c>
      <c r="L67" s="54">
        <f t="shared" si="3"/>
        <v>10</v>
      </c>
      <c r="M67" s="55" t="str" cm="1">
        <f t="array" ref="M67">INDEX(Processing!$W$6:$W$17,MONTH('ALL ORDERS'!K67))</f>
        <v>December</v>
      </c>
      <c r="N67" s="54">
        <f t="shared" si="81"/>
        <v>2023</v>
      </c>
      <c r="O67" s="58">
        <v>0.66666666666666663</v>
      </c>
      <c r="P67" s="59" t="s">
        <v>198</v>
      </c>
      <c r="Q67" s="60" t="s">
        <v>94</v>
      </c>
      <c r="R67" s="56" t="s">
        <v>285</v>
      </c>
      <c r="S67" s="61" t="s">
        <v>41</v>
      </c>
      <c r="T67" s="62" t="s">
        <v>437</v>
      </c>
      <c r="U67" s="63" t="s">
        <v>27</v>
      </c>
      <c r="V67" s="63" t="s">
        <v>147</v>
      </c>
      <c r="W67" s="101">
        <v>8920</v>
      </c>
      <c r="X67" s="64">
        <v>4</v>
      </c>
      <c r="Y67" s="47">
        <v>3000</v>
      </c>
      <c r="Z67" s="47">
        <f t="shared" si="82"/>
        <v>5920</v>
      </c>
    </row>
    <row r="68" spans="1:26" ht="24" x14ac:dyDescent="0.25">
      <c r="A68" s="53">
        <v>45271</v>
      </c>
      <c r="B68" s="54">
        <f t="shared" si="0"/>
        <v>11</v>
      </c>
      <c r="C68" s="55" t="str" cm="1">
        <f t="array" ref="C68">INDEX(Processing!$C$11:$C$22,MONTH('ALL ORDERS'!A68))</f>
        <v>DEC</v>
      </c>
      <c r="D68" s="54">
        <f t="shared" si="1"/>
        <v>2023</v>
      </c>
      <c r="E68" s="56" t="s">
        <v>47</v>
      </c>
      <c r="F68" s="56" t="s">
        <v>125</v>
      </c>
      <c r="G68" s="100">
        <v>0</v>
      </c>
      <c r="H68" s="100">
        <v>1420</v>
      </c>
      <c r="I68" s="57"/>
      <c r="J68" s="99">
        <f t="shared" si="2"/>
        <v>1420</v>
      </c>
      <c r="K68" s="53">
        <v>45271</v>
      </c>
      <c r="L68" s="54">
        <f t="shared" si="3"/>
        <v>11</v>
      </c>
      <c r="M68" s="55" t="str" cm="1">
        <f t="array" ref="M68">INDEX(Processing!$W$6:$W$17,MONTH('ALL ORDERS'!K68))</f>
        <v>December</v>
      </c>
      <c r="N68" s="54">
        <f t="shared" si="81"/>
        <v>2023</v>
      </c>
      <c r="O68" s="58">
        <v>0.75</v>
      </c>
      <c r="P68" s="59" t="s">
        <v>199</v>
      </c>
      <c r="Q68" s="60" t="s">
        <v>90</v>
      </c>
      <c r="R68" s="56" t="s">
        <v>286</v>
      </c>
      <c r="S68" s="61" t="s">
        <v>42</v>
      </c>
      <c r="T68" s="62" t="s">
        <v>438</v>
      </c>
      <c r="U68" s="63" t="s">
        <v>24</v>
      </c>
      <c r="V68" s="63" t="s">
        <v>147</v>
      </c>
      <c r="W68" s="101">
        <v>3759</v>
      </c>
      <c r="X68" s="64">
        <v>4</v>
      </c>
      <c r="Y68" s="47">
        <v>3000</v>
      </c>
      <c r="Z68" s="47">
        <f t="shared" si="82"/>
        <v>759</v>
      </c>
    </row>
    <row r="69" spans="1:26" ht="24" x14ac:dyDescent="0.25">
      <c r="A69" s="53">
        <v>45272</v>
      </c>
      <c r="B69" s="54">
        <f t="shared" si="0"/>
        <v>12</v>
      </c>
      <c r="C69" s="55" t="str" cm="1">
        <f t="array" ref="C69">INDEX(Processing!$C$11:$C$22,MONTH('ALL ORDERS'!A69))</f>
        <v>DEC</v>
      </c>
      <c r="D69" s="54">
        <f t="shared" si="1"/>
        <v>2023</v>
      </c>
      <c r="E69" s="56" t="s">
        <v>47</v>
      </c>
      <c r="F69" s="56" t="s">
        <v>129</v>
      </c>
      <c r="G69" s="100">
        <v>2090</v>
      </c>
      <c r="H69" s="100">
        <v>0</v>
      </c>
      <c r="I69" s="57"/>
      <c r="J69" s="99">
        <f t="shared" si="2"/>
        <v>2090</v>
      </c>
      <c r="K69" s="53">
        <v>45272</v>
      </c>
      <c r="L69" s="54">
        <f t="shared" si="3"/>
        <v>12</v>
      </c>
      <c r="M69" s="55" t="str" cm="1">
        <f t="array" ref="M69">INDEX(Processing!$W$6:$W$17,MONTH('ALL ORDERS'!K69))</f>
        <v>December</v>
      </c>
      <c r="N69" s="54">
        <f t="shared" si="81"/>
        <v>2023</v>
      </c>
      <c r="O69" s="58">
        <v>0.41666666666666669</v>
      </c>
      <c r="P69" s="59" t="s">
        <v>200</v>
      </c>
      <c r="Q69" s="60" t="s">
        <v>94</v>
      </c>
      <c r="R69" s="56" t="s">
        <v>287</v>
      </c>
      <c r="S69" s="61" t="s">
        <v>43</v>
      </c>
      <c r="T69" s="62" t="s">
        <v>439</v>
      </c>
      <c r="U69" s="63" t="s">
        <v>26</v>
      </c>
      <c r="V69" s="63" t="s">
        <v>147</v>
      </c>
      <c r="W69" s="101">
        <v>2059</v>
      </c>
      <c r="X69" s="64">
        <v>4</v>
      </c>
      <c r="Y69" s="47">
        <v>3000</v>
      </c>
      <c r="Z69" s="47">
        <f t="shared" si="82"/>
        <v>-941</v>
      </c>
    </row>
    <row r="70" spans="1:26" ht="24" x14ac:dyDescent="0.25">
      <c r="A70" s="53">
        <v>45273</v>
      </c>
      <c r="B70" s="54">
        <f t="shared" si="0"/>
        <v>13</v>
      </c>
      <c r="C70" s="55" t="str" cm="1">
        <f t="array" ref="C70">INDEX(Processing!$C$11:$C$22,MONTH('ALL ORDERS'!A70))</f>
        <v>DEC</v>
      </c>
      <c r="D70" s="54">
        <f t="shared" si="1"/>
        <v>2023</v>
      </c>
      <c r="E70" s="56" t="s">
        <v>50</v>
      </c>
      <c r="F70" s="56" t="s">
        <v>124</v>
      </c>
      <c r="G70" s="100">
        <v>3190</v>
      </c>
      <c r="H70" s="100">
        <v>0</v>
      </c>
      <c r="I70" s="57"/>
      <c r="J70" s="99">
        <f t="shared" si="2"/>
        <v>3190</v>
      </c>
      <c r="K70" s="53">
        <v>45273</v>
      </c>
      <c r="L70" s="54">
        <f t="shared" si="3"/>
        <v>13</v>
      </c>
      <c r="M70" s="55" t="str" cm="1">
        <f t="array" ref="M70">INDEX(Processing!$W$6:$W$17,MONTH('ALL ORDERS'!K70))</f>
        <v>December</v>
      </c>
      <c r="N70" s="54">
        <f t="shared" si="81"/>
        <v>2023</v>
      </c>
      <c r="O70" s="58">
        <v>0.5</v>
      </c>
      <c r="P70" s="59" t="s">
        <v>201</v>
      </c>
      <c r="Q70" s="60" t="s">
        <v>94</v>
      </c>
      <c r="R70" s="56" t="s">
        <v>288</v>
      </c>
      <c r="S70" s="61" t="s">
        <v>44</v>
      </c>
      <c r="T70" s="62" t="s">
        <v>440</v>
      </c>
      <c r="U70" s="63" t="s">
        <v>26</v>
      </c>
      <c r="V70" s="63" t="s">
        <v>147</v>
      </c>
      <c r="W70" s="101">
        <v>3898</v>
      </c>
      <c r="X70" s="64">
        <v>4</v>
      </c>
      <c r="Y70" s="47">
        <v>3000</v>
      </c>
      <c r="Z70" s="47">
        <f t="shared" si="82"/>
        <v>898</v>
      </c>
    </row>
    <row r="71" spans="1:26" ht="24" x14ac:dyDescent="0.25">
      <c r="A71" s="53">
        <v>45273</v>
      </c>
      <c r="B71" s="54">
        <f t="shared" si="0"/>
        <v>13</v>
      </c>
      <c r="C71" s="55" t="str" cm="1">
        <f t="array" ref="C71">INDEX(Processing!$C$11:$C$22,MONTH('ALL ORDERS'!A71))</f>
        <v>DEC</v>
      </c>
      <c r="D71" s="54">
        <f t="shared" si="1"/>
        <v>2023</v>
      </c>
      <c r="E71" s="56" t="s">
        <v>47</v>
      </c>
      <c r="F71" s="56" t="s">
        <v>152</v>
      </c>
      <c r="G71" s="100">
        <v>1280</v>
      </c>
      <c r="H71" s="100">
        <v>0</v>
      </c>
      <c r="I71" s="57"/>
      <c r="J71" s="99">
        <f t="shared" si="2"/>
        <v>1280</v>
      </c>
      <c r="K71" s="53">
        <v>45273</v>
      </c>
      <c r="L71" s="54">
        <f t="shared" si="3"/>
        <v>13</v>
      </c>
      <c r="M71" s="55" t="str" cm="1">
        <f t="array" ref="M71">INDEX(Processing!$W$6:$W$17,MONTH('ALL ORDERS'!K71))</f>
        <v>December</v>
      </c>
      <c r="N71" s="54">
        <f t="shared" si="81"/>
        <v>2023</v>
      </c>
      <c r="O71" s="58">
        <v>0.66666666666666663</v>
      </c>
      <c r="P71" s="59" t="s">
        <v>202</v>
      </c>
      <c r="Q71" s="60" t="s">
        <v>94</v>
      </c>
      <c r="R71" s="56" t="s">
        <v>289</v>
      </c>
      <c r="S71" s="61" t="s">
        <v>45</v>
      </c>
      <c r="T71" s="62" t="s">
        <v>441</v>
      </c>
      <c r="U71" s="63" t="s">
        <v>24</v>
      </c>
      <c r="V71" s="63" t="s">
        <v>147</v>
      </c>
      <c r="W71" s="101">
        <v>1552</v>
      </c>
      <c r="X71" s="64">
        <v>4</v>
      </c>
      <c r="Y71" s="47">
        <v>3000</v>
      </c>
      <c r="Z71" s="47">
        <f t="shared" si="82"/>
        <v>-1448</v>
      </c>
    </row>
    <row r="72" spans="1:26" ht="24" x14ac:dyDescent="0.25">
      <c r="A72" s="53">
        <v>45273</v>
      </c>
      <c r="B72" s="54">
        <f t="shared" si="0"/>
        <v>13</v>
      </c>
      <c r="C72" s="55" t="str" cm="1">
        <f t="array" ref="C72">INDEX(Processing!$C$11:$C$22,MONTH('ALL ORDERS'!A72))</f>
        <v>DEC</v>
      </c>
      <c r="D72" s="54">
        <f t="shared" si="1"/>
        <v>2023</v>
      </c>
      <c r="E72" s="56" t="s">
        <v>51</v>
      </c>
      <c r="F72" s="56" t="s">
        <v>22</v>
      </c>
      <c r="G72" s="100">
        <v>0</v>
      </c>
      <c r="H72" s="100">
        <v>3610</v>
      </c>
      <c r="I72" s="57"/>
      <c r="J72" s="99">
        <f t="shared" si="2"/>
        <v>3610</v>
      </c>
      <c r="K72" s="53">
        <v>45273</v>
      </c>
      <c r="L72" s="54">
        <f t="shared" si="3"/>
        <v>13</v>
      </c>
      <c r="M72" s="55" t="str" cm="1">
        <f t="array" ref="M72">INDEX(Processing!$W$6:$W$17,MONTH('ALL ORDERS'!K72))</f>
        <v>December</v>
      </c>
      <c r="N72" s="54">
        <f t="shared" si="81"/>
        <v>2023</v>
      </c>
      <c r="O72" s="58">
        <v>0.75</v>
      </c>
      <c r="P72" s="59" t="s">
        <v>203</v>
      </c>
      <c r="Q72" s="60" t="s">
        <v>94</v>
      </c>
      <c r="R72" s="56" t="s">
        <v>290</v>
      </c>
      <c r="S72" s="61" t="s">
        <v>46</v>
      </c>
      <c r="T72" s="62" t="s">
        <v>442</v>
      </c>
      <c r="U72" s="63" t="s">
        <v>27</v>
      </c>
      <c r="V72" s="63" t="s">
        <v>147</v>
      </c>
      <c r="W72" s="101">
        <v>790</v>
      </c>
      <c r="X72" s="64">
        <v>4</v>
      </c>
      <c r="Y72" s="47">
        <v>2000</v>
      </c>
      <c r="Z72" s="47">
        <f t="shared" si="82"/>
        <v>-1210</v>
      </c>
    </row>
    <row r="73" spans="1:26" ht="24" x14ac:dyDescent="0.25">
      <c r="A73" s="53">
        <v>45273</v>
      </c>
      <c r="B73" s="54">
        <f t="shared" si="0"/>
        <v>13</v>
      </c>
      <c r="C73" s="55" t="str" cm="1">
        <f t="array" ref="C73">INDEX(Processing!$C$11:$C$22,MONTH('ALL ORDERS'!A73))</f>
        <v>DEC</v>
      </c>
      <c r="D73" s="54">
        <f t="shared" si="1"/>
        <v>2023</v>
      </c>
      <c r="E73" s="56" t="s">
        <v>49</v>
      </c>
      <c r="F73" s="56" t="s">
        <v>152</v>
      </c>
      <c r="G73" s="100">
        <v>3320</v>
      </c>
      <c r="H73" s="100">
        <v>0</v>
      </c>
      <c r="I73" s="57">
        <v>0.15</v>
      </c>
      <c r="J73" s="99">
        <f t="shared" si="2"/>
        <v>3320</v>
      </c>
      <c r="K73" s="53">
        <v>45273</v>
      </c>
      <c r="L73" s="54">
        <f t="shared" si="3"/>
        <v>13</v>
      </c>
      <c r="M73" s="55" t="str" cm="1">
        <f t="array" ref="M73">INDEX(Processing!$W$6:$W$17,MONTH('ALL ORDERS'!K73))</f>
        <v>December</v>
      </c>
      <c r="N73" s="54">
        <f t="shared" si="81"/>
        <v>2023</v>
      </c>
      <c r="O73" s="58">
        <v>0.41666666666666669</v>
      </c>
      <c r="P73" s="59" t="s">
        <v>204</v>
      </c>
      <c r="Q73" s="60" t="s">
        <v>94</v>
      </c>
      <c r="R73" s="56" t="s">
        <v>291</v>
      </c>
      <c r="S73" s="61" t="s">
        <v>41</v>
      </c>
      <c r="T73" s="62" t="s">
        <v>443</v>
      </c>
      <c r="U73" s="63" t="s">
        <v>24</v>
      </c>
      <c r="V73" s="63" t="s">
        <v>147</v>
      </c>
      <c r="W73" s="101">
        <v>937</v>
      </c>
      <c r="X73" s="64">
        <v>4</v>
      </c>
      <c r="Y73" s="47">
        <v>2000</v>
      </c>
      <c r="Z73" s="47">
        <f t="shared" si="82"/>
        <v>-1063</v>
      </c>
    </row>
    <row r="74" spans="1:26" ht="24" x14ac:dyDescent="0.25">
      <c r="A74" s="53">
        <v>45274</v>
      </c>
      <c r="B74" s="54">
        <f t="shared" si="0"/>
        <v>14</v>
      </c>
      <c r="C74" s="55" t="str" cm="1">
        <f t="array" ref="C74">INDEX(Processing!$C$11:$C$22,MONTH('ALL ORDERS'!A74))</f>
        <v>DEC</v>
      </c>
      <c r="D74" s="54">
        <f t="shared" si="1"/>
        <v>2023</v>
      </c>
      <c r="E74" s="56" t="s">
        <v>47</v>
      </c>
      <c r="F74" s="56" t="s">
        <v>153</v>
      </c>
      <c r="G74" s="100">
        <v>2960</v>
      </c>
      <c r="H74" s="100">
        <v>0</v>
      </c>
      <c r="I74" s="57"/>
      <c r="J74" s="99">
        <f t="shared" si="2"/>
        <v>2960</v>
      </c>
      <c r="K74" s="53">
        <v>45274</v>
      </c>
      <c r="L74" s="54">
        <f t="shared" si="3"/>
        <v>14</v>
      </c>
      <c r="M74" s="55" t="str" cm="1">
        <f t="array" ref="M74">INDEX(Processing!$W$6:$W$17,MONTH('ALL ORDERS'!K74))</f>
        <v>December</v>
      </c>
      <c r="N74" s="54">
        <f t="shared" si="81"/>
        <v>2023</v>
      </c>
      <c r="O74" s="58">
        <v>0.5</v>
      </c>
      <c r="P74" s="59" t="s">
        <v>205</v>
      </c>
      <c r="Q74" s="60" t="s">
        <v>94</v>
      </c>
      <c r="R74" s="56" t="s">
        <v>292</v>
      </c>
      <c r="S74" s="61" t="s">
        <v>42</v>
      </c>
      <c r="T74" s="62" t="s">
        <v>444</v>
      </c>
      <c r="U74" s="63" t="s">
        <v>26</v>
      </c>
      <c r="V74" s="63" t="s">
        <v>148</v>
      </c>
      <c r="W74" s="101">
        <v>5669</v>
      </c>
      <c r="X74" s="64"/>
      <c r="Y74" s="47">
        <v>3000</v>
      </c>
      <c r="Z74" s="47">
        <f t="shared" si="82"/>
        <v>2669</v>
      </c>
    </row>
    <row r="75" spans="1:26" ht="24" x14ac:dyDescent="0.25">
      <c r="A75" s="53">
        <v>45275</v>
      </c>
      <c r="B75" s="54">
        <f t="shared" si="0"/>
        <v>15</v>
      </c>
      <c r="C75" s="55" t="str" cm="1">
        <f t="array" ref="C75">INDEX(Processing!$C$11:$C$22,MONTH('ALL ORDERS'!A75))</f>
        <v>DEC</v>
      </c>
      <c r="D75" s="54">
        <f t="shared" si="1"/>
        <v>2023</v>
      </c>
      <c r="E75" s="56" t="s">
        <v>47</v>
      </c>
      <c r="F75" s="56" t="s">
        <v>124</v>
      </c>
      <c r="G75" s="100">
        <v>2130</v>
      </c>
      <c r="H75" s="100">
        <v>0</v>
      </c>
      <c r="I75" s="57"/>
      <c r="J75" s="99">
        <f t="shared" si="2"/>
        <v>2130</v>
      </c>
      <c r="K75" s="53">
        <v>45275</v>
      </c>
      <c r="L75" s="54">
        <f t="shared" si="3"/>
        <v>15</v>
      </c>
      <c r="M75" s="55" t="str" cm="1">
        <f t="array" ref="M75">INDEX(Processing!$W$6:$W$17,MONTH('ALL ORDERS'!K75))</f>
        <v>December</v>
      </c>
      <c r="N75" s="54">
        <f t="shared" si="81"/>
        <v>2023</v>
      </c>
      <c r="O75" s="58">
        <v>0.66666666666666663</v>
      </c>
      <c r="P75" s="59" t="s">
        <v>342</v>
      </c>
      <c r="Q75" s="60" t="s">
        <v>90</v>
      </c>
      <c r="R75" s="56" t="s">
        <v>293</v>
      </c>
      <c r="S75" s="61" t="s">
        <v>43</v>
      </c>
      <c r="T75" s="62" t="s">
        <v>445</v>
      </c>
      <c r="U75" s="63" t="s">
        <v>26</v>
      </c>
      <c r="V75" s="63" t="s">
        <v>147</v>
      </c>
      <c r="W75" s="101">
        <v>4619</v>
      </c>
      <c r="X75" s="64">
        <v>4</v>
      </c>
      <c r="Y75" s="47">
        <v>3000</v>
      </c>
      <c r="Z75" s="47">
        <f t="shared" si="82"/>
        <v>1619</v>
      </c>
    </row>
    <row r="76" spans="1:26" ht="24" x14ac:dyDescent="0.25">
      <c r="A76" s="53">
        <v>45276</v>
      </c>
      <c r="B76" s="54">
        <f t="shared" si="0"/>
        <v>16</v>
      </c>
      <c r="C76" s="55" t="str" cm="1">
        <f t="array" ref="C76">INDEX(Processing!$C$11:$C$22,MONTH('ALL ORDERS'!A76))</f>
        <v>DEC</v>
      </c>
      <c r="D76" s="54">
        <f t="shared" si="1"/>
        <v>2023</v>
      </c>
      <c r="E76" s="56" t="s">
        <v>50</v>
      </c>
      <c r="F76" s="56" t="s">
        <v>137</v>
      </c>
      <c r="G76" s="100">
        <v>1420</v>
      </c>
      <c r="H76" s="100">
        <v>0</v>
      </c>
      <c r="I76" s="57"/>
      <c r="J76" s="99">
        <f t="shared" si="2"/>
        <v>1420</v>
      </c>
      <c r="K76" s="53">
        <v>45276</v>
      </c>
      <c r="L76" s="54">
        <f t="shared" si="3"/>
        <v>16</v>
      </c>
      <c r="M76" s="55" t="str" cm="1">
        <f t="array" ref="M76">INDEX(Processing!$W$6:$W$17,MONTH('ALL ORDERS'!K76))</f>
        <v>December</v>
      </c>
      <c r="N76" s="54">
        <f t="shared" si="81"/>
        <v>2023</v>
      </c>
      <c r="O76" s="58">
        <v>0.75</v>
      </c>
      <c r="P76" s="59" t="s">
        <v>206</v>
      </c>
      <c r="Q76" s="60" t="s">
        <v>94</v>
      </c>
      <c r="R76" s="56" t="s">
        <v>294</v>
      </c>
      <c r="S76" s="61" t="s">
        <v>44</v>
      </c>
      <c r="T76" s="62" t="s">
        <v>446</v>
      </c>
      <c r="U76" s="63" t="s">
        <v>24</v>
      </c>
      <c r="V76" s="63" t="s">
        <v>147</v>
      </c>
      <c r="W76" s="101">
        <v>2614</v>
      </c>
      <c r="X76" s="64">
        <v>5</v>
      </c>
      <c r="Y76" s="47">
        <v>3000</v>
      </c>
      <c r="Z76" s="47">
        <f t="shared" si="82"/>
        <v>-386</v>
      </c>
    </row>
    <row r="77" spans="1:26" ht="24" x14ac:dyDescent="0.25">
      <c r="A77" s="53">
        <v>45271</v>
      </c>
      <c r="B77" s="54">
        <f t="shared" si="0"/>
        <v>11</v>
      </c>
      <c r="C77" s="55" t="str" cm="1">
        <f t="array" ref="C77">INDEX(Processing!$C$11:$C$22,MONTH('ALL ORDERS'!A77))</f>
        <v>DEC</v>
      </c>
      <c r="D77" s="54">
        <f t="shared" si="1"/>
        <v>2023</v>
      </c>
      <c r="E77" s="56" t="s">
        <v>47</v>
      </c>
      <c r="F77" s="56" t="s">
        <v>137</v>
      </c>
      <c r="G77" s="100">
        <v>890</v>
      </c>
      <c r="H77" s="100">
        <v>0</v>
      </c>
      <c r="I77" s="57"/>
      <c r="J77" s="99">
        <f t="shared" si="2"/>
        <v>890</v>
      </c>
      <c r="K77" s="53">
        <v>45271</v>
      </c>
      <c r="L77" s="54">
        <f t="shared" si="3"/>
        <v>11</v>
      </c>
      <c r="M77" s="55" t="str" cm="1">
        <f t="array" ref="M77">INDEX(Processing!$W$6:$W$17,MONTH('ALL ORDERS'!K77))</f>
        <v>December</v>
      </c>
      <c r="N77" s="54">
        <f t="shared" si="81"/>
        <v>2023</v>
      </c>
      <c r="O77" s="58">
        <v>0.41666666666666669</v>
      </c>
      <c r="P77" s="59" t="s">
        <v>207</v>
      </c>
      <c r="Q77" s="60" t="s">
        <v>94</v>
      </c>
      <c r="R77" s="56" t="s">
        <v>295</v>
      </c>
      <c r="S77" s="61" t="s">
        <v>45</v>
      </c>
      <c r="T77" s="70">
        <v>56900888990</v>
      </c>
      <c r="U77" s="63" t="s">
        <v>26</v>
      </c>
      <c r="V77" s="63" t="s">
        <v>147</v>
      </c>
      <c r="W77" s="101">
        <v>7108</v>
      </c>
      <c r="X77" s="64">
        <v>5</v>
      </c>
      <c r="Y77" s="47">
        <v>3000</v>
      </c>
      <c r="Z77" s="47">
        <f t="shared" si="82"/>
        <v>4108</v>
      </c>
    </row>
    <row r="78" spans="1:26" ht="24" x14ac:dyDescent="0.25">
      <c r="A78" s="53">
        <v>45278</v>
      </c>
      <c r="B78" s="54">
        <f t="shared" si="0"/>
        <v>18</v>
      </c>
      <c r="C78" s="55" t="str" cm="1">
        <f t="array" ref="C78">INDEX(Processing!$C$11:$C$22,MONTH('ALL ORDERS'!A78))</f>
        <v>DEC</v>
      </c>
      <c r="D78" s="54">
        <f t="shared" si="1"/>
        <v>2023</v>
      </c>
      <c r="E78" s="56" t="s">
        <v>48</v>
      </c>
      <c r="F78" s="56" t="s">
        <v>19</v>
      </c>
      <c r="G78" s="100">
        <v>190</v>
      </c>
      <c r="H78" s="100">
        <v>0</v>
      </c>
      <c r="I78" s="57"/>
      <c r="J78" s="99">
        <f t="shared" si="2"/>
        <v>190</v>
      </c>
      <c r="K78" s="53">
        <v>45278</v>
      </c>
      <c r="L78" s="54">
        <f t="shared" si="3"/>
        <v>18</v>
      </c>
      <c r="M78" s="55" t="str" cm="1">
        <f t="array" ref="M78">INDEX(Processing!$W$6:$W$17,MONTH('ALL ORDERS'!K78))</f>
        <v>December</v>
      </c>
      <c r="N78" s="54">
        <f t="shared" si="81"/>
        <v>2023</v>
      </c>
      <c r="O78" s="58">
        <v>0.5</v>
      </c>
      <c r="P78" s="59" t="s">
        <v>208</v>
      </c>
      <c r="Q78" s="60" t="s">
        <v>94</v>
      </c>
      <c r="R78" s="56" t="s">
        <v>296</v>
      </c>
      <c r="S78" s="61" t="s">
        <v>46</v>
      </c>
      <c r="T78" s="62" t="s">
        <v>447</v>
      </c>
      <c r="U78" s="63" t="s">
        <v>27</v>
      </c>
      <c r="V78" s="63" t="s">
        <v>147</v>
      </c>
      <c r="W78" s="101">
        <v>1773</v>
      </c>
      <c r="X78" s="64">
        <v>5</v>
      </c>
      <c r="Y78" s="47">
        <v>3000</v>
      </c>
      <c r="Z78" s="47">
        <f t="shared" si="82"/>
        <v>-1227</v>
      </c>
    </row>
    <row r="79" spans="1:26" ht="24" x14ac:dyDescent="0.25">
      <c r="A79" s="53">
        <v>45279</v>
      </c>
      <c r="B79" s="54">
        <f t="shared" si="0"/>
        <v>19</v>
      </c>
      <c r="C79" s="55" t="str" cm="1">
        <f t="array" ref="C79">INDEX(Processing!$C$11:$C$22,MONTH('ALL ORDERS'!A79))</f>
        <v>DEC</v>
      </c>
      <c r="D79" s="54">
        <f t="shared" si="1"/>
        <v>2023</v>
      </c>
      <c r="E79" s="56" t="s">
        <v>49</v>
      </c>
      <c r="F79" s="56" t="s">
        <v>152</v>
      </c>
      <c r="G79" s="100">
        <v>1310</v>
      </c>
      <c r="H79" s="100">
        <v>0</v>
      </c>
      <c r="I79" s="57">
        <v>0.15</v>
      </c>
      <c r="J79" s="99">
        <f t="shared" si="2"/>
        <v>1310</v>
      </c>
      <c r="K79" s="53">
        <v>45279</v>
      </c>
      <c r="L79" s="54">
        <f t="shared" si="3"/>
        <v>19</v>
      </c>
      <c r="M79" s="55" t="str" cm="1">
        <f t="array" ref="M79">INDEX(Processing!$W$6:$W$17,MONTH('ALL ORDERS'!K79))</f>
        <v>December</v>
      </c>
      <c r="N79" s="54">
        <f t="shared" si="81"/>
        <v>2023</v>
      </c>
      <c r="O79" s="58">
        <v>0.66666666666666663</v>
      </c>
      <c r="P79" s="59" t="s">
        <v>209</v>
      </c>
      <c r="Q79" s="60" t="s">
        <v>94</v>
      </c>
      <c r="R79" s="56" t="s">
        <v>297</v>
      </c>
      <c r="S79" s="61" t="s">
        <v>41</v>
      </c>
      <c r="T79" s="62" t="s">
        <v>448</v>
      </c>
      <c r="U79" s="63" t="s">
        <v>23</v>
      </c>
      <c r="V79" s="63" t="s">
        <v>147</v>
      </c>
      <c r="W79" s="101">
        <v>308</v>
      </c>
      <c r="X79" s="64">
        <v>5</v>
      </c>
      <c r="Y79" s="47">
        <v>500</v>
      </c>
      <c r="Z79" s="47">
        <f t="shared" si="82"/>
        <v>-192</v>
      </c>
    </row>
    <row r="80" spans="1:26" ht="24" x14ac:dyDescent="0.25">
      <c r="A80" s="53">
        <v>45279</v>
      </c>
      <c r="B80" s="54">
        <f t="shared" si="0"/>
        <v>19</v>
      </c>
      <c r="C80" s="55" t="str" cm="1">
        <f t="array" ref="C80">INDEX(Processing!$C$11:$C$22,MONTH('ALL ORDERS'!A80))</f>
        <v>DEC</v>
      </c>
      <c r="D80" s="54">
        <f t="shared" si="1"/>
        <v>2023</v>
      </c>
      <c r="E80" s="56" t="s">
        <v>47</v>
      </c>
      <c r="F80" s="56" t="s">
        <v>135</v>
      </c>
      <c r="G80" s="100">
        <v>1610</v>
      </c>
      <c r="H80" s="100">
        <v>0</v>
      </c>
      <c r="I80" s="57"/>
      <c r="J80" s="99">
        <f t="shared" si="2"/>
        <v>1610</v>
      </c>
      <c r="K80" s="53">
        <v>45279</v>
      </c>
      <c r="L80" s="54">
        <f t="shared" si="3"/>
        <v>19</v>
      </c>
      <c r="M80" s="55" t="str" cm="1">
        <f t="array" ref="M80">INDEX(Processing!$W$6:$W$17,MONTH('ALL ORDERS'!K80))</f>
        <v>December</v>
      </c>
      <c r="N80" s="54">
        <f t="shared" si="81"/>
        <v>2023</v>
      </c>
      <c r="O80" s="58">
        <v>0.75</v>
      </c>
      <c r="P80" s="59" t="s">
        <v>210</v>
      </c>
      <c r="Q80" s="60" t="s">
        <v>90</v>
      </c>
      <c r="R80" s="56" t="s">
        <v>298</v>
      </c>
      <c r="S80" s="61" t="s">
        <v>42</v>
      </c>
      <c r="T80" s="62" t="s">
        <v>449</v>
      </c>
      <c r="U80" s="63" t="s">
        <v>25</v>
      </c>
      <c r="V80" s="63" t="s">
        <v>147</v>
      </c>
      <c r="W80" s="101">
        <v>1589</v>
      </c>
      <c r="X80" s="64">
        <v>5</v>
      </c>
      <c r="Y80" s="47">
        <v>3000</v>
      </c>
      <c r="Z80" s="47">
        <f t="shared" si="82"/>
        <v>-1411</v>
      </c>
    </row>
    <row r="81" spans="1:26" ht="24" x14ac:dyDescent="0.25">
      <c r="A81" s="53">
        <v>45280</v>
      </c>
      <c r="B81" s="54">
        <f t="shared" si="0"/>
        <v>20</v>
      </c>
      <c r="C81" s="55" t="str" cm="1">
        <f t="array" ref="C81">INDEX(Processing!$C$11:$C$22,MONTH('ALL ORDERS'!A81))</f>
        <v>DEC</v>
      </c>
      <c r="D81" s="54">
        <f t="shared" si="1"/>
        <v>2023</v>
      </c>
      <c r="E81" s="56" t="s">
        <v>50</v>
      </c>
      <c r="F81" s="56" t="s">
        <v>126</v>
      </c>
      <c r="G81" s="100">
        <v>0</v>
      </c>
      <c r="H81" s="100">
        <v>1960</v>
      </c>
      <c r="I81" s="57"/>
      <c r="J81" s="99">
        <f t="shared" si="2"/>
        <v>1960</v>
      </c>
      <c r="K81" s="53">
        <v>45280</v>
      </c>
      <c r="L81" s="54">
        <f t="shared" si="3"/>
        <v>20</v>
      </c>
      <c r="M81" s="55" t="str" cm="1">
        <f t="array" ref="M81">INDEX(Processing!$W$6:$W$17,MONTH('ALL ORDERS'!K81))</f>
        <v>December</v>
      </c>
      <c r="N81" s="54">
        <f t="shared" si="81"/>
        <v>2023</v>
      </c>
      <c r="O81" s="58">
        <v>0.41666666666666669</v>
      </c>
      <c r="P81" s="59" t="s">
        <v>211</v>
      </c>
      <c r="Q81" s="60" t="s">
        <v>94</v>
      </c>
      <c r="R81" s="56" t="s">
        <v>299</v>
      </c>
      <c r="S81" s="61" t="s">
        <v>43</v>
      </c>
      <c r="T81" s="62" t="s">
        <v>450</v>
      </c>
      <c r="U81" s="63" t="s">
        <v>23</v>
      </c>
      <c r="V81" s="63" t="s">
        <v>147</v>
      </c>
      <c r="W81" s="101">
        <v>4908</v>
      </c>
      <c r="X81" s="64">
        <v>5</v>
      </c>
      <c r="Y81" s="47">
        <v>3000</v>
      </c>
      <c r="Z81" s="47">
        <f t="shared" si="82"/>
        <v>1908</v>
      </c>
    </row>
    <row r="82" spans="1:26" ht="24" x14ac:dyDescent="0.25">
      <c r="A82" s="53">
        <v>45281</v>
      </c>
      <c r="B82" s="54">
        <f t="shared" si="0"/>
        <v>21</v>
      </c>
      <c r="C82" s="55" t="str" cm="1">
        <f t="array" ref="C82">INDEX(Processing!$C$11:$C$22,MONTH('ALL ORDERS'!A82))</f>
        <v>DEC</v>
      </c>
      <c r="D82" s="54">
        <f t="shared" si="1"/>
        <v>2023</v>
      </c>
      <c r="E82" s="56" t="s">
        <v>51</v>
      </c>
      <c r="F82" s="56" t="s">
        <v>127</v>
      </c>
      <c r="G82" s="100">
        <v>0</v>
      </c>
      <c r="H82" s="100">
        <v>1560</v>
      </c>
      <c r="I82" s="57"/>
      <c r="J82" s="99">
        <f t="shared" si="2"/>
        <v>1560</v>
      </c>
      <c r="K82" s="53">
        <v>45281</v>
      </c>
      <c r="L82" s="54">
        <f t="shared" si="3"/>
        <v>21</v>
      </c>
      <c r="M82" s="55" t="str" cm="1">
        <f t="array" ref="M82">INDEX(Processing!$W$6:$W$17,MONTH('ALL ORDERS'!K82))</f>
        <v>December</v>
      </c>
      <c r="N82" s="54">
        <f t="shared" si="81"/>
        <v>2023</v>
      </c>
      <c r="O82" s="58">
        <v>0.5</v>
      </c>
      <c r="P82" s="59" t="s">
        <v>212</v>
      </c>
      <c r="Q82" s="60" t="s">
        <v>94</v>
      </c>
      <c r="R82" s="56" t="s">
        <v>300</v>
      </c>
      <c r="S82" s="61" t="s">
        <v>44</v>
      </c>
      <c r="T82" s="62" t="s">
        <v>451</v>
      </c>
      <c r="U82" s="63" t="s">
        <v>26</v>
      </c>
      <c r="V82" s="63" t="s">
        <v>147</v>
      </c>
      <c r="W82" s="101">
        <v>2409</v>
      </c>
      <c r="X82" s="64">
        <v>3</v>
      </c>
      <c r="Y82" s="47">
        <v>3000</v>
      </c>
      <c r="Z82" s="47">
        <f t="shared" si="82"/>
        <v>-591</v>
      </c>
    </row>
    <row r="83" spans="1:26" ht="24" x14ac:dyDescent="0.25">
      <c r="A83" s="53">
        <v>45282</v>
      </c>
      <c r="B83" s="54">
        <f t="shared" si="0"/>
        <v>22</v>
      </c>
      <c r="C83" s="55" t="str" cm="1">
        <f t="array" ref="C83">INDEX(Processing!$C$11:$C$22,MONTH('ALL ORDERS'!A83))</f>
        <v>DEC</v>
      </c>
      <c r="D83" s="54">
        <f t="shared" si="1"/>
        <v>2023</v>
      </c>
      <c r="E83" s="56" t="s">
        <v>48</v>
      </c>
      <c r="F83" s="56" t="s">
        <v>123</v>
      </c>
      <c r="G83" s="100">
        <v>2960</v>
      </c>
      <c r="H83" s="100">
        <v>0</v>
      </c>
      <c r="I83" s="57"/>
      <c r="J83" s="99">
        <f t="shared" si="2"/>
        <v>2960</v>
      </c>
      <c r="K83" s="53">
        <v>45282</v>
      </c>
      <c r="L83" s="54">
        <f t="shared" si="3"/>
        <v>22</v>
      </c>
      <c r="M83" s="55" t="str" cm="1">
        <f t="array" ref="M83">INDEX(Processing!$W$6:$W$17,MONTH('ALL ORDERS'!K83))</f>
        <v>December</v>
      </c>
      <c r="N83" s="54">
        <f t="shared" si="81"/>
        <v>2023</v>
      </c>
      <c r="O83" s="58">
        <v>0.66666666666666663</v>
      </c>
      <c r="P83" s="59" t="s">
        <v>213</v>
      </c>
      <c r="Q83" s="60" t="s">
        <v>90</v>
      </c>
      <c r="R83" s="56" t="s">
        <v>301</v>
      </c>
      <c r="S83" s="61" t="s">
        <v>45</v>
      </c>
      <c r="T83" s="62" t="s">
        <v>452</v>
      </c>
      <c r="U83" s="63" t="s">
        <v>24</v>
      </c>
      <c r="V83" s="63" t="s">
        <v>147</v>
      </c>
      <c r="W83" s="101">
        <v>3730</v>
      </c>
      <c r="X83" s="64">
        <v>3</v>
      </c>
      <c r="Y83" s="47">
        <v>3000</v>
      </c>
      <c r="Z83" s="47">
        <f t="shared" si="82"/>
        <v>730</v>
      </c>
    </row>
    <row r="84" spans="1:26" ht="24" x14ac:dyDescent="0.25">
      <c r="A84" s="53">
        <v>45283</v>
      </c>
      <c r="B84" s="54">
        <f t="shared" ref="B84:B148" si="83">DAY(A84)</f>
        <v>23</v>
      </c>
      <c r="C84" s="55" t="str" cm="1">
        <f t="array" ref="C84">INDEX(Processing!$C$11:$C$22,MONTH('ALL ORDERS'!A84))</f>
        <v>DEC</v>
      </c>
      <c r="D84" s="54">
        <f t="shared" ref="D84:D148" si="84">YEAR(A84)</f>
        <v>2023</v>
      </c>
      <c r="E84" s="56" t="s">
        <v>47</v>
      </c>
      <c r="F84" s="56" t="s">
        <v>124</v>
      </c>
      <c r="G84" s="100">
        <v>1520</v>
      </c>
      <c r="H84" s="100">
        <v>0</v>
      </c>
      <c r="I84" s="57"/>
      <c r="J84" s="99">
        <f t="shared" si="2"/>
        <v>1520</v>
      </c>
      <c r="K84" s="53">
        <v>45283</v>
      </c>
      <c r="L84" s="54">
        <f t="shared" si="3"/>
        <v>23</v>
      </c>
      <c r="M84" s="55" t="str" cm="1">
        <f t="array" ref="M84">INDEX(Processing!$W$6:$W$17,MONTH('ALL ORDERS'!K84))</f>
        <v>December</v>
      </c>
      <c r="N84" s="54">
        <f t="shared" si="81"/>
        <v>2023</v>
      </c>
      <c r="O84" s="58">
        <v>0.75</v>
      </c>
      <c r="P84" s="59" t="s">
        <v>214</v>
      </c>
      <c r="Q84" s="60" t="s">
        <v>94</v>
      </c>
      <c r="R84" s="56" t="s">
        <v>302</v>
      </c>
      <c r="S84" s="61" t="s">
        <v>46</v>
      </c>
      <c r="T84" s="62" t="s">
        <v>453</v>
      </c>
      <c r="U84" s="63" t="s">
        <v>27</v>
      </c>
      <c r="V84" s="63" t="s">
        <v>147</v>
      </c>
      <c r="W84" s="101">
        <v>842</v>
      </c>
      <c r="X84" s="64">
        <v>2</v>
      </c>
      <c r="Y84" s="47">
        <v>1000</v>
      </c>
      <c r="Z84" s="47">
        <f t="shared" si="82"/>
        <v>-158</v>
      </c>
    </row>
    <row r="85" spans="1:26" ht="24" x14ac:dyDescent="0.25">
      <c r="A85" s="53">
        <v>45283</v>
      </c>
      <c r="B85" s="54">
        <f t="shared" si="83"/>
        <v>23</v>
      </c>
      <c r="C85" s="55" t="str" cm="1">
        <f t="array" ref="C85">INDEX(Processing!$C$11:$C$22,MONTH('ALL ORDERS'!A85))</f>
        <v>DEC</v>
      </c>
      <c r="D85" s="54">
        <f t="shared" si="84"/>
        <v>2023</v>
      </c>
      <c r="E85" s="56" t="s">
        <v>50</v>
      </c>
      <c r="F85" s="56" t="s">
        <v>18</v>
      </c>
      <c r="G85" s="100">
        <v>1290</v>
      </c>
      <c r="H85" s="100">
        <v>0</v>
      </c>
      <c r="I85" s="57"/>
      <c r="J85" s="99">
        <f t="shared" si="2"/>
        <v>1290</v>
      </c>
      <c r="K85" s="53">
        <v>45283</v>
      </c>
      <c r="L85" s="54">
        <f t="shared" si="3"/>
        <v>23</v>
      </c>
      <c r="M85" s="55" t="str" cm="1">
        <f t="array" ref="M85">INDEX(Processing!$W$6:$W$17,MONTH('ALL ORDERS'!K85))</f>
        <v>December</v>
      </c>
      <c r="N85" s="54">
        <f t="shared" si="81"/>
        <v>2023</v>
      </c>
      <c r="O85" s="58">
        <v>0.41666666666666669</v>
      </c>
      <c r="P85" s="59" t="s">
        <v>343</v>
      </c>
      <c r="Q85" s="60" t="s">
        <v>94</v>
      </c>
      <c r="R85" s="56" t="s">
        <v>303</v>
      </c>
      <c r="S85" s="61" t="s">
        <v>41</v>
      </c>
      <c r="T85" s="62" t="s">
        <v>454</v>
      </c>
      <c r="U85" s="63" t="s">
        <v>26</v>
      </c>
      <c r="V85" s="63" t="s">
        <v>147</v>
      </c>
      <c r="W85" s="101">
        <v>4817</v>
      </c>
      <c r="X85" s="64">
        <v>3</v>
      </c>
      <c r="Y85" s="47">
        <v>3000</v>
      </c>
      <c r="Z85" s="47">
        <f t="shared" si="82"/>
        <v>1817</v>
      </c>
    </row>
    <row r="86" spans="1:26" ht="24" x14ac:dyDescent="0.25">
      <c r="A86" s="53">
        <v>45283</v>
      </c>
      <c r="B86" s="54">
        <f t="shared" si="83"/>
        <v>23</v>
      </c>
      <c r="C86" s="55" t="str" cm="1">
        <f t="array" ref="C86">INDEX(Processing!$C$11:$C$22,MONTH('ALL ORDERS'!A86))</f>
        <v>DEC</v>
      </c>
      <c r="D86" s="54">
        <f t="shared" si="84"/>
        <v>2023</v>
      </c>
      <c r="E86" s="56" t="s">
        <v>47</v>
      </c>
      <c r="F86" s="56" t="s">
        <v>19</v>
      </c>
      <c r="G86" s="100">
        <v>1410</v>
      </c>
      <c r="H86" s="100">
        <v>0</v>
      </c>
      <c r="I86" s="57"/>
      <c r="J86" s="99">
        <f t="shared" ref="J86:J149" si="85">G86+H86</f>
        <v>1410</v>
      </c>
      <c r="K86" s="53">
        <v>45283</v>
      </c>
      <c r="L86" s="54">
        <f t="shared" si="3"/>
        <v>23</v>
      </c>
      <c r="M86" s="55" t="str" cm="1">
        <f t="array" ref="M86">INDEX(Processing!$W$6:$W$17,MONTH('ALL ORDERS'!K86))</f>
        <v>December</v>
      </c>
      <c r="N86" s="54">
        <f t="shared" si="81"/>
        <v>2023</v>
      </c>
      <c r="O86" s="58">
        <v>0.5</v>
      </c>
      <c r="P86" s="59" t="s">
        <v>215</v>
      </c>
      <c r="Q86" s="60" t="s">
        <v>94</v>
      </c>
      <c r="R86" s="56" t="s">
        <v>304</v>
      </c>
      <c r="S86" s="61" t="s">
        <v>42</v>
      </c>
      <c r="T86" s="62" t="s">
        <v>455</v>
      </c>
      <c r="U86" s="63" t="s">
        <v>25</v>
      </c>
      <c r="V86" s="63" t="s">
        <v>147</v>
      </c>
      <c r="W86" s="101">
        <v>5484</v>
      </c>
      <c r="X86" s="64">
        <v>4</v>
      </c>
      <c r="Y86" s="47">
        <v>3000</v>
      </c>
      <c r="Z86" s="47">
        <f t="shared" si="82"/>
        <v>2484</v>
      </c>
    </row>
    <row r="87" spans="1:26" ht="24" x14ac:dyDescent="0.25">
      <c r="A87" s="53">
        <v>45284</v>
      </c>
      <c r="B87" s="54">
        <f t="shared" si="83"/>
        <v>24</v>
      </c>
      <c r="C87" s="55" t="str" cm="1">
        <f t="array" ref="C87">INDEX(Processing!$C$11:$C$22,MONTH('ALL ORDERS'!A87))</f>
        <v>DEC</v>
      </c>
      <c r="D87" s="54">
        <f t="shared" si="84"/>
        <v>2023</v>
      </c>
      <c r="E87" s="56" t="s">
        <v>51</v>
      </c>
      <c r="F87" s="56" t="s">
        <v>20</v>
      </c>
      <c r="G87" s="100">
        <v>1250</v>
      </c>
      <c r="H87" s="100">
        <v>0</v>
      </c>
      <c r="I87" s="57"/>
      <c r="J87" s="99">
        <f t="shared" si="85"/>
        <v>1250</v>
      </c>
      <c r="K87" s="53">
        <v>45284</v>
      </c>
      <c r="L87" s="54">
        <f t="shared" si="3"/>
        <v>24</v>
      </c>
      <c r="M87" s="55" t="str" cm="1">
        <f t="array" ref="M87">INDEX(Processing!$W$6:$W$17,MONTH('ALL ORDERS'!K87))</f>
        <v>December</v>
      </c>
      <c r="N87" s="54">
        <f t="shared" si="81"/>
        <v>2023</v>
      </c>
      <c r="O87" s="58">
        <v>0.66666666666666663</v>
      </c>
      <c r="P87" s="59" t="s">
        <v>216</v>
      </c>
      <c r="Q87" s="60" t="s">
        <v>94</v>
      </c>
      <c r="R87" s="56" t="s">
        <v>305</v>
      </c>
      <c r="S87" s="61" t="s">
        <v>43</v>
      </c>
      <c r="T87" s="62" t="s">
        <v>456</v>
      </c>
      <c r="U87" s="63" t="s">
        <v>23</v>
      </c>
      <c r="V87" s="63" t="s">
        <v>147</v>
      </c>
      <c r="W87" s="101">
        <v>614</v>
      </c>
      <c r="X87" s="64">
        <v>3</v>
      </c>
      <c r="Y87" s="47">
        <v>3000</v>
      </c>
      <c r="Z87" s="47">
        <f t="shared" si="82"/>
        <v>-2386</v>
      </c>
    </row>
    <row r="88" spans="1:26" ht="24" x14ac:dyDescent="0.25">
      <c r="A88" s="53">
        <v>45285</v>
      </c>
      <c r="B88" s="54">
        <f t="shared" si="83"/>
        <v>25</v>
      </c>
      <c r="C88" s="55" t="str" cm="1">
        <f t="array" ref="C88">INDEX(Processing!$C$11:$C$22,MONTH('ALL ORDERS'!A88))</f>
        <v>DEC</v>
      </c>
      <c r="D88" s="54">
        <f t="shared" si="84"/>
        <v>2023</v>
      </c>
      <c r="E88" s="56" t="s">
        <v>49</v>
      </c>
      <c r="F88" s="56" t="s">
        <v>21</v>
      </c>
      <c r="G88" s="100">
        <v>1100</v>
      </c>
      <c r="H88" s="100">
        <v>0</v>
      </c>
      <c r="I88" s="57"/>
      <c r="J88" s="99">
        <f t="shared" si="85"/>
        <v>1100</v>
      </c>
      <c r="K88" s="53">
        <v>45285</v>
      </c>
      <c r="L88" s="54">
        <f t="shared" si="3"/>
        <v>25</v>
      </c>
      <c r="M88" s="55" t="str" cm="1">
        <f t="array" ref="M88">INDEX(Processing!$W$6:$W$17,MONTH('ALL ORDERS'!K88))</f>
        <v>December</v>
      </c>
      <c r="N88" s="54">
        <f t="shared" si="81"/>
        <v>2023</v>
      </c>
      <c r="O88" s="58">
        <v>0.75</v>
      </c>
      <c r="P88" s="59" t="s">
        <v>344</v>
      </c>
      <c r="Q88" s="60" t="s">
        <v>90</v>
      </c>
      <c r="R88" s="56" t="s">
        <v>306</v>
      </c>
      <c r="S88" s="61" t="s">
        <v>44</v>
      </c>
      <c r="T88" s="62" t="s">
        <v>457</v>
      </c>
      <c r="U88" s="63" t="s">
        <v>27</v>
      </c>
      <c r="V88" s="63" t="s">
        <v>147</v>
      </c>
      <c r="W88" s="101">
        <v>57</v>
      </c>
      <c r="X88" s="64">
        <v>4</v>
      </c>
      <c r="Y88" s="47">
        <v>3000</v>
      </c>
      <c r="Z88" s="47">
        <f t="shared" si="82"/>
        <v>-2943</v>
      </c>
    </row>
    <row r="89" spans="1:26" ht="24" x14ac:dyDescent="0.25">
      <c r="A89" s="53">
        <v>45286</v>
      </c>
      <c r="B89" s="54">
        <f t="shared" si="83"/>
        <v>26</v>
      </c>
      <c r="C89" s="55" t="str" cm="1">
        <f t="array" ref="C89">INDEX(Processing!$C$11:$C$22,MONTH('ALL ORDERS'!A89))</f>
        <v>DEC</v>
      </c>
      <c r="D89" s="54">
        <f t="shared" si="84"/>
        <v>2023</v>
      </c>
      <c r="E89" s="56" t="s">
        <v>47</v>
      </c>
      <c r="F89" s="56" t="s">
        <v>22</v>
      </c>
      <c r="G89" s="100">
        <v>0</v>
      </c>
      <c r="H89" s="100">
        <v>1140</v>
      </c>
      <c r="I89" s="57"/>
      <c r="J89" s="99">
        <f t="shared" si="85"/>
        <v>1140</v>
      </c>
      <c r="K89" s="53">
        <v>45286</v>
      </c>
      <c r="L89" s="54">
        <f t="shared" si="3"/>
        <v>26</v>
      </c>
      <c r="M89" s="55" t="str" cm="1">
        <f t="array" ref="M89">INDEX(Processing!$W$6:$W$17,MONTH('ALL ORDERS'!K89))</f>
        <v>December</v>
      </c>
      <c r="N89" s="54">
        <f t="shared" si="81"/>
        <v>2023</v>
      </c>
      <c r="O89" s="58">
        <v>0.41666666666666669</v>
      </c>
      <c r="P89" s="59" t="s">
        <v>345</v>
      </c>
      <c r="Q89" s="60" t="s">
        <v>94</v>
      </c>
      <c r="R89" s="56" t="s">
        <v>307</v>
      </c>
      <c r="S89" s="61" t="s">
        <v>45</v>
      </c>
      <c r="T89" s="70">
        <v>55900888990</v>
      </c>
      <c r="U89" s="63" t="s">
        <v>24</v>
      </c>
      <c r="V89" s="63" t="s">
        <v>147</v>
      </c>
      <c r="W89" s="101">
        <v>8060</v>
      </c>
      <c r="X89" s="64">
        <v>5</v>
      </c>
      <c r="Y89" s="47">
        <v>3000</v>
      </c>
      <c r="Z89" s="47">
        <f t="shared" si="82"/>
        <v>5060</v>
      </c>
    </row>
    <row r="90" spans="1:26" ht="24" x14ac:dyDescent="0.25">
      <c r="A90" s="53">
        <v>45281</v>
      </c>
      <c r="B90" s="54">
        <f t="shared" si="83"/>
        <v>21</v>
      </c>
      <c r="C90" s="55" t="str" cm="1">
        <f t="array" ref="C90">INDEX(Processing!$C$11:$C$22,MONTH('ALL ORDERS'!A90))</f>
        <v>DEC</v>
      </c>
      <c r="D90" s="54">
        <f t="shared" si="84"/>
        <v>2023</v>
      </c>
      <c r="E90" s="56" t="s">
        <v>50</v>
      </c>
      <c r="F90" s="56" t="s">
        <v>135</v>
      </c>
      <c r="G90" s="100">
        <v>0</v>
      </c>
      <c r="H90" s="100">
        <v>2810</v>
      </c>
      <c r="I90" s="57"/>
      <c r="J90" s="99">
        <f t="shared" si="85"/>
        <v>2810</v>
      </c>
      <c r="K90" s="53">
        <v>45281</v>
      </c>
      <c r="L90" s="54">
        <f t="shared" si="3"/>
        <v>21</v>
      </c>
      <c r="M90" s="55" t="str" cm="1">
        <f t="array" ref="M90">INDEX(Processing!$W$6:$W$17,MONTH('ALL ORDERS'!K90))</f>
        <v>December</v>
      </c>
      <c r="N90" s="54">
        <f t="shared" si="81"/>
        <v>2023</v>
      </c>
      <c r="O90" s="58">
        <v>0.5</v>
      </c>
      <c r="P90" s="59" t="s">
        <v>346</v>
      </c>
      <c r="Q90" s="60" t="s">
        <v>94</v>
      </c>
      <c r="R90" s="56" t="s">
        <v>308</v>
      </c>
      <c r="S90" s="61" t="s">
        <v>46</v>
      </c>
      <c r="T90" s="62" t="s">
        <v>458</v>
      </c>
      <c r="U90" s="63" t="s">
        <v>26</v>
      </c>
      <c r="V90" s="63" t="s">
        <v>147</v>
      </c>
      <c r="W90" s="101">
        <v>349</v>
      </c>
      <c r="X90" s="64">
        <v>4</v>
      </c>
      <c r="Y90" s="47">
        <v>2000</v>
      </c>
      <c r="Z90" s="47">
        <f t="shared" si="82"/>
        <v>-1651</v>
      </c>
    </row>
    <row r="91" spans="1:26" ht="24" x14ac:dyDescent="0.25">
      <c r="A91" s="53">
        <v>45288</v>
      </c>
      <c r="B91" s="54">
        <f t="shared" si="83"/>
        <v>28</v>
      </c>
      <c r="C91" s="55" t="str" cm="1">
        <f t="array" ref="C91">INDEX(Processing!$C$11:$C$22,MONTH('ALL ORDERS'!A91))</f>
        <v>DEC</v>
      </c>
      <c r="D91" s="54">
        <f t="shared" si="84"/>
        <v>2023</v>
      </c>
      <c r="E91" s="56" t="s">
        <v>48</v>
      </c>
      <c r="F91" s="56" t="s">
        <v>124</v>
      </c>
      <c r="G91" s="100">
        <v>0</v>
      </c>
      <c r="H91" s="100">
        <v>2680</v>
      </c>
      <c r="I91" s="57"/>
      <c r="J91" s="99">
        <f t="shared" si="85"/>
        <v>2680</v>
      </c>
      <c r="K91" s="53">
        <v>45288</v>
      </c>
      <c r="L91" s="54">
        <f t="shared" si="3"/>
        <v>28</v>
      </c>
      <c r="M91" s="55" t="str" cm="1">
        <f t="array" ref="M91">INDEX(Processing!$W$6:$W$17,MONTH('ALL ORDERS'!K91))</f>
        <v>December</v>
      </c>
      <c r="N91" s="54">
        <f t="shared" si="81"/>
        <v>2023</v>
      </c>
      <c r="O91" s="58">
        <v>0.66666666666666663</v>
      </c>
      <c r="P91" s="59" t="s">
        <v>347</v>
      </c>
      <c r="Q91" s="60" t="s">
        <v>94</v>
      </c>
      <c r="R91" s="56" t="s">
        <v>309</v>
      </c>
      <c r="S91" s="61" t="s">
        <v>41</v>
      </c>
      <c r="T91" s="62" t="s">
        <v>459</v>
      </c>
      <c r="U91" s="63" t="s">
        <v>26</v>
      </c>
      <c r="V91" s="63" t="s">
        <v>147</v>
      </c>
      <c r="W91" s="101">
        <v>1619</v>
      </c>
      <c r="X91" s="64">
        <v>5</v>
      </c>
      <c r="Y91" s="47">
        <v>3000</v>
      </c>
      <c r="Z91" s="47">
        <f t="shared" si="82"/>
        <v>-1381</v>
      </c>
    </row>
    <row r="92" spans="1:26" ht="24" x14ac:dyDescent="0.25">
      <c r="A92" s="53">
        <v>45288</v>
      </c>
      <c r="B92" s="54">
        <f t="shared" si="83"/>
        <v>28</v>
      </c>
      <c r="C92" s="55" t="str" cm="1">
        <f t="array" ref="C92">INDEX(Processing!$C$11:$C$22,MONTH('ALL ORDERS'!A92))</f>
        <v>DEC</v>
      </c>
      <c r="D92" s="54">
        <f t="shared" si="84"/>
        <v>2023</v>
      </c>
      <c r="E92" s="56" t="s">
        <v>47</v>
      </c>
      <c r="F92" s="56" t="s">
        <v>135</v>
      </c>
      <c r="G92" s="100">
        <v>0</v>
      </c>
      <c r="H92" s="100">
        <v>220</v>
      </c>
      <c r="I92" s="57"/>
      <c r="J92" s="99">
        <f t="shared" si="85"/>
        <v>220</v>
      </c>
      <c r="K92" s="53">
        <v>45288</v>
      </c>
      <c r="L92" s="54">
        <f t="shared" si="3"/>
        <v>28</v>
      </c>
      <c r="M92" s="55" t="str" cm="1">
        <f t="array" ref="M92">INDEX(Processing!$W$6:$W$17,MONTH('ALL ORDERS'!K92))</f>
        <v>December</v>
      </c>
      <c r="N92" s="54">
        <f t="shared" si="81"/>
        <v>2023</v>
      </c>
      <c r="O92" s="58">
        <v>0.75</v>
      </c>
      <c r="P92" s="59" t="s">
        <v>348</v>
      </c>
      <c r="Q92" s="60" t="s">
        <v>90</v>
      </c>
      <c r="R92" s="56" t="s">
        <v>310</v>
      </c>
      <c r="S92" s="61" t="s">
        <v>42</v>
      </c>
      <c r="T92" s="62" t="s">
        <v>460</v>
      </c>
      <c r="U92" s="63" t="s">
        <v>24</v>
      </c>
      <c r="V92" s="63" t="s">
        <v>148</v>
      </c>
      <c r="W92" s="101">
        <v>769</v>
      </c>
      <c r="X92" s="64"/>
      <c r="Y92" s="47">
        <v>3000</v>
      </c>
      <c r="Z92" s="47">
        <f t="shared" si="82"/>
        <v>-2231</v>
      </c>
    </row>
    <row r="93" spans="1:26" ht="24" x14ac:dyDescent="0.25">
      <c r="A93" s="53">
        <v>45288</v>
      </c>
      <c r="B93" s="54">
        <f t="shared" si="83"/>
        <v>28</v>
      </c>
      <c r="C93" s="55" t="str" cm="1">
        <f t="array" ref="C93">INDEX(Processing!$C$11:$C$22,MONTH('ALL ORDERS'!A93))</f>
        <v>DEC</v>
      </c>
      <c r="D93" s="54">
        <f t="shared" si="84"/>
        <v>2023</v>
      </c>
      <c r="E93" s="56" t="s">
        <v>50</v>
      </c>
      <c r="F93" s="56" t="s">
        <v>137</v>
      </c>
      <c r="G93" s="100">
        <v>0</v>
      </c>
      <c r="H93" s="100">
        <v>430</v>
      </c>
      <c r="I93" s="57">
        <v>0.15</v>
      </c>
      <c r="J93" s="99">
        <f t="shared" si="85"/>
        <v>430</v>
      </c>
      <c r="K93" s="53">
        <v>45288</v>
      </c>
      <c r="L93" s="54">
        <f t="shared" si="3"/>
        <v>28</v>
      </c>
      <c r="M93" s="55" t="str" cm="1">
        <f t="array" ref="M93">INDEX(Processing!$W$6:$W$17,MONTH('ALL ORDERS'!K93))</f>
        <v>December</v>
      </c>
      <c r="N93" s="54">
        <f t="shared" si="81"/>
        <v>2023</v>
      </c>
      <c r="O93" s="58">
        <v>0.41666666666666669</v>
      </c>
      <c r="P93" s="59" t="s">
        <v>349</v>
      </c>
      <c r="Q93" s="60" t="s">
        <v>94</v>
      </c>
      <c r="R93" s="56" t="s">
        <v>311</v>
      </c>
      <c r="S93" s="61" t="s">
        <v>43</v>
      </c>
      <c r="T93" s="62" t="s">
        <v>461</v>
      </c>
      <c r="U93" s="63" t="s">
        <v>27</v>
      </c>
      <c r="V93" s="63" t="s">
        <v>148</v>
      </c>
      <c r="W93" s="101">
        <v>5163</v>
      </c>
      <c r="X93" s="64"/>
      <c r="Y93" s="47">
        <v>3000</v>
      </c>
      <c r="Z93" s="47">
        <f t="shared" si="82"/>
        <v>2163</v>
      </c>
    </row>
    <row r="94" spans="1:26" x14ac:dyDescent="0.25">
      <c r="A94" s="53">
        <v>45301</v>
      </c>
      <c r="B94" s="54">
        <f t="shared" si="83"/>
        <v>10</v>
      </c>
      <c r="C94" s="55" t="str" cm="1">
        <f t="array" ref="C94">INDEX(Processing!$C$11:$C$22,MONTH('ALL ORDERS'!A94))</f>
        <v>JAN</v>
      </c>
      <c r="D94" s="54">
        <f t="shared" si="84"/>
        <v>2024</v>
      </c>
      <c r="E94" s="56" t="s">
        <v>47</v>
      </c>
      <c r="F94" s="56" t="s">
        <v>21</v>
      </c>
      <c r="G94" s="100">
        <v>0</v>
      </c>
      <c r="H94" s="100">
        <v>3340</v>
      </c>
      <c r="I94" s="57"/>
      <c r="J94" s="99">
        <f t="shared" si="85"/>
        <v>3340</v>
      </c>
      <c r="K94" s="53">
        <v>45301</v>
      </c>
      <c r="L94" s="54">
        <f t="shared" si="3"/>
        <v>10</v>
      </c>
      <c r="M94" s="55" t="str" cm="1">
        <f t="array" ref="M94">INDEX(Processing!$W$6:$W$17,MONTH('ALL ORDERS'!K94))</f>
        <v>January</v>
      </c>
      <c r="N94" s="54">
        <f t="shared" si="81"/>
        <v>2024</v>
      </c>
      <c r="O94" s="58">
        <v>0.5</v>
      </c>
      <c r="P94" s="59" t="s">
        <v>350</v>
      </c>
      <c r="Q94" s="60" t="s">
        <v>91</v>
      </c>
      <c r="R94" s="56" t="s">
        <v>312</v>
      </c>
      <c r="S94" s="61" t="s">
        <v>44</v>
      </c>
      <c r="T94" s="62" t="s">
        <v>462</v>
      </c>
      <c r="U94" s="63" t="s">
        <v>24</v>
      </c>
      <c r="V94" s="63" t="s">
        <v>148</v>
      </c>
      <c r="W94" s="64">
        <v>3164</v>
      </c>
      <c r="X94" s="64"/>
      <c r="Y94" s="47">
        <f>SUM(Y61:Y93)</f>
        <v>89500</v>
      </c>
      <c r="Z94" s="47"/>
    </row>
    <row r="95" spans="1:26" x14ac:dyDescent="0.25">
      <c r="A95" s="53">
        <v>45302</v>
      </c>
      <c r="B95" s="54">
        <f t="shared" si="83"/>
        <v>11</v>
      </c>
      <c r="C95" s="55" t="str" cm="1">
        <f t="array" ref="C95">INDEX(Processing!$C$11:$C$22,MONTH('ALL ORDERS'!A95))</f>
        <v>JAN</v>
      </c>
      <c r="D95" s="54">
        <f t="shared" si="84"/>
        <v>2024</v>
      </c>
      <c r="E95" s="56" t="s">
        <v>51</v>
      </c>
      <c r="F95" s="56" t="s">
        <v>18</v>
      </c>
      <c r="G95" s="100">
        <v>0</v>
      </c>
      <c r="H95" s="100">
        <v>1150</v>
      </c>
      <c r="I95" s="57"/>
      <c r="J95" s="99">
        <f t="shared" si="85"/>
        <v>1150</v>
      </c>
      <c r="K95" s="53">
        <v>45302</v>
      </c>
      <c r="L95" s="54">
        <f t="shared" si="3"/>
        <v>11</v>
      </c>
      <c r="M95" s="55" t="str" cm="1">
        <f t="array" ref="M95">INDEX(Processing!$W$6:$W$17,MONTH('ALL ORDERS'!K95))</f>
        <v>January</v>
      </c>
      <c r="N95" s="54">
        <f t="shared" si="81"/>
        <v>2024</v>
      </c>
      <c r="O95" s="58">
        <v>0.66666666666666663</v>
      </c>
      <c r="P95" s="59" t="s">
        <v>351</v>
      </c>
      <c r="Q95" s="60" t="s">
        <v>94</v>
      </c>
      <c r="R95" s="56" t="s">
        <v>313</v>
      </c>
      <c r="S95" s="61" t="s">
        <v>45</v>
      </c>
      <c r="T95" s="62" t="s">
        <v>463</v>
      </c>
      <c r="U95" s="63" t="s">
        <v>26</v>
      </c>
      <c r="V95" s="63" t="s">
        <v>148</v>
      </c>
      <c r="W95" s="64">
        <v>666</v>
      </c>
      <c r="X95" s="64"/>
      <c r="Y95" s="47"/>
      <c r="Z95" s="47"/>
    </row>
    <row r="96" spans="1:26" x14ac:dyDescent="0.25">
      <c r="A96" s="53">
        <v>45303</v>
      </c>
      <c r="B96" s="54">
        <f t="shared" si="83"/>
        <v>12</v>
      </c>
      <c r="C96" s="55" t="str" cm="1">
        <f t="array" ref="C96">INDEX(Processing!$C$11:$C$22,MONTH('ALL ORDERS'!A96))</f>
        <v>JAN</v>
      </c>
      <c r="D96" s="54">
        <f t="shared" si="84"/>
        <v>2024</v>
      </c>
      <c r="E96" s="56" t="s">
        <v>49</v>
      </c>
      <c r="F96" s="56" t="s">
        <v>19</v>
      </c>
      <c r="G96" s="100">
        <v>1650</v>
      </c>
      <c r="H96" s="100">
        <v>0</v>
      </c>
      <c r="I96" s="57"/>
      <c r="J96" s="99">
        <f t="shared" si="85"/>
        <v>1650</v>
      </c>
      <c r="K96" s="53">
        <v>45303</v>
      </c>
      <c r="L96" s="54">
        <f t="shared" si="3"/>
        <v>12</v>
      </c>
      <c r="M96" s="55" t="str" cm="1">
        <f t="array" ref="M96">INDEX(Processing!$W$6:$W$17,MONTH('ALL ORDERS'!K96))</f>
        <v>January</v>
      </c>
      <c r="N96" s="54">
        <f t="shared" si="81"/>
        <v>2024</v>
      </c>
      <c r="O96" s="58">
        <v>0.75</v>
      </c>
      <c r="P96" s="59" t="s">
        <v>352</v>
      </c>
      <c r="Q96" s="60" t="s">
        <v>94</v>
      </c>
      <c r="R96" s="56" t="s">
        <v>314</v>
      </c>
      <c r="S96" s="61" t="s">
        <v>46</v>
      </c>
      <c r="T96" s="62" t="s">
        <v>464</v>
      </c>
      <c r="U96" s="63" t="s">
        <v>26</v>
      </c>
      <c r="V96" s="63" t="s">
        <v>148</v>
      </c>
      <c r="W96" s="64">
        <v>3961</v>
      </c>
      <c r="X96" s="64"/>
      <c r="Y96" s="47"/>
      <c r="Z96" s="47"/>
    </row>
    <row r="97" spans="1:26" x14ac:dyDescent="0.25">
      <c r="A97" s="53">
        <v>45304</v>
      </c>
      <c r="B97" s="54">
        <f t="shared" si="83"/>
        <v>13</v>
      </c>
      <c r="C97" s="55" t="str" cm="1">
        <f t="array" ref="C97">INDEX(Processing!$C$11:$C$22,MONTH('ALL ORDERS'!A97))</f>
        <v>JAN</v>
      </c>
      <c r="D97" s="54">
        <f t="shared" si="84"/>
        <v>2024</v>
      </c>
      <c r="E97" s="56" t="s">
        <v>47</v>
      </c>
      <c r="F97" s="56" t="s">
        <v>22</v>
      </c>
      <c r="G97" s="100">
        <v>3980</v>
      </c>
      <c r="H97" s="100">
        <v>0</v>
      </c>
      <c r="I97" s="57"/>
      <c r="J97" s="99">
        <f t="shared" si="85"/>
        <v>3980</v>
      </c>
      <c r="K97" s="53">
        <v>45304</v>
      </c>
      <c r="L97" s="54">
        <f t="shared" si="3"/>
        <v>13</v>
      </c>
      <c r="M97" s="55" t="str" cm="1">
        <f t="array" ref="M97">INDEX(Processing!$W$6:$W$17,MONTH('ALL ORDERS'!K97))</f>
        <v>January</v>
      </c>
      <c r="N97" s="54">
        <f t="shared" si="81"/>
        <v>2024</v>
      </c>
      <c r="O97" s="58">
        <v>0.41666666666666669</v>
      </c>
      <c r="P97" s="59" t="s">
        <v>353</v>
      </c>
      <c r="Q97" s="60" t="s">
        <v>91</v>
      </c>
      <c r="R97" s="56" t="s">
        <v>315</v>
      </c>
      <c r="S97" s="61" t="s">
        <v>41</v>
      </c>
      <c r="T97" s="62" t="s">
        <v>465</v>
      </c>
      <c r="U97" s="63" t="s">
        <v>24</v>
      </c>
      <c r="V97" s="63" t="s">
        <v>147</v>
      </c>
      <c r="W97" s="64">
        <v>2948</v>
      </c>
      <c r="X97" s="64">
        <v>4</v>
      </c>
      <c r="Y97" s="47"/>
      <c r="Z97" s="47"/>
    </row>
    <row r="98" spans="1:26" x14ac:dyDescent="0.25">
      <c r="A98" s="53">
        <v>45304</v>
      </c>
      <c r="B98" s="54">
        <f t="shared" si="83"/>
        <v>13</v>
      </c>
      <c r="C98" s="55" t="str" cm="1">
        <f t="array" ref="C98">INDEX(Processing!$C$11:$C$22,MONTH('ALL ORDERS'!A98))</f>
        <v>JAN</v>
      </c>
      <c r="D98" s="54">
        <f t="shared" si="84"/>
        <v>2024</v>
      </c>
      <c r="E98" s="56" t="s">
        <v>50</v>
      </c>
      <c r="F98" s="56" t="s">
        <v>135</v>
      </c>
      <c r="G98" s="100">
        <v>1530</v>
      </c>
      <c r="H98" s="100">
        <v>0</v>
      </c>
      <c r="I98" s="57"/>
      <c r="J98" s="99">
        <f t="shared" si="85"/>
        <v>1530</v>
      </c>
      <c r="K98" s="53">
        <v>45304</v>
      </c>
      <c r="L98" s="54">
        <f t="shared" si="3"/>
        <v>13</v>
      </c>
      <c r="M98" s="55" t="str" cm="1">
        <f t="array" ref="M98">INDEX(Processing!$W$6:$W$17,MONTH('ALL ORDERS'!K98))</f>
        <v>January</v>
      </c>
      <c r="N98" s="54">
        <f t="shared" si="81"/>
        <v>2024</v>
      </c>
      <c r="O98" s="58">
        <v>0.5</v>
      </c>
      <c r="P98" s="59" t="s">
        <v>217</v>
      </c>
      <c r="Q98" s="60" t="s">
        <v>94</v>
      </c>
      <c r="R98" s="56" t="s">
        <v>316</v>
      </c>
      <c r="S98" s="61" t="s">
        <v>42</v>
      </c>
      <c r="T98" s="62" t="s">
        <v>466</v>
      </c>
      <c r="U98" s="63" t="s">
        <v>26</v>
      </c>
      <c r="V98" s="63" t="s">
        <v>147</v>
      </c>
      <c r="W98" s="64">
        <v>2171</v>
      </c>
      <c r="X98" s="64">
        <v>5</v>
      </c>
      <c r="Y98" s="47"/>
      <c r="Z98" s="47"/>
    </row>
    <row r="99" spans="1:26" x14ac:dyDescent="0.25">
      <c r="A99" s="53">
        <v>45304</v>
      </c>
      <c r="B99" s="54">
        <f t="shared" si="83"/>
        <v>13</v>
      </c>
      <c r="C99" s="55" t="str" cm="1">
        <f t="array" ref="C99">INDEX(Processing!$C$11:$C$22,MONTH('ALL ORDERS'!A99))</f>
        <v>JAN</v>
      </c>
      <c r="D99" s="54">
        <f t="shared" si="84"/>
        <v>2024</v>
      </c>
      <c r="E99" s="56" t="s">
        <v>48</v>
      </c>
      <c r="F99" s="56" t="s">
        <v>124</v>
      </c>
      <c r="G99" s="100">
        <v>2150</v>
      </c>
      <c r="H99" s="100">
        <v>0</v>
      </c>
      <c r="I99" s="57"/>
      <c r="J99" s="99">
        <f t="shared" si="85"/>
        <v>2150</v>
      </c>
      <c r="K99" s="53">
        <v>45304</v>
      </c>
      <c r="L99" s="54">
        <f t="shared" si="3"/>
        <v>13</v>
      </c>
      <c r="M99" s="55" t="str" cm="1">
        <f t="array" ref="M99">INDEX(Processing!$W$6:$W$17,MONTH('ALL ORDERS'!K99))</f>
        <v>January</v>
      </c>
      <c r="N99" s="54">
        <f t="shared" si="81"/>
        <v>2024</v>
      </c>
      <c r="O99" s="58">
        <v>0.66666666666666663</v>
      </c>
      <c r="P99" s="59" t="s">
        <v>218</v>
      </c>
      <c r="Q99" s="60" t="s">
        <v>91</v>
      </c>
      <c r="R99" s="56" t="s">
        <v>317</v>
      </c>
      <c r="S99" s="61" t="s">
        <v>44</v>
      </c>
      <c r="T99" s="62" t="s">
        <v>467</v>
      </c>
      <c r="U99" s="63" t="s">
        <v>27</v>
      </c>
      <c r="V99" s="63" t="s">
        <v>147</v>
      </c>
      <c r="W99" s="64">
        <v>3270</v>
      </c>
      <c r="X99" s="64">
        <v>5</v>
      </c>
      <c r="Y99" s="47"/>
      <c r="Z99" s="47"/>
    </row>
    <row r="100" spans="1:26" x14ac:dyDescent="0.25">
      <c r="A100" s="53">
        <v>45307</v>
      </c>
      <c r="B100" s="54">
        <f t="shared" si="83"/>
        <v>16</v>
      </c>
      <c r="C100" s="55" t="str" cm="1">
        <f t="array" ref="C100">INDEX(Processing!$C$11:$C$22,MONTH('ALL ORDERS'!A100))</f>
        <v>JAN</v>
      </c>
      <c r="D100" s="54">
        <f t="shared" si="84"/>
        <v>2024</v>
      </c>
      <c r="E100" s="56" t="s">
        <v>51</v>
      </c>
      <c r="F100" s="56" t="s">
        <v>123</v>
      </c>
      <c r="G100" s="100">
        <v>810</v>
      </c>
      <c r="H100" s="100">
        <v>0</v>
      </c>
      <c r="I100" s="57"/>
      <c r="J100" s="99">
        <f t="shared" si="85"/>
        <v>810</v>
      </c>
      <c r="K100" s="53">
        <v>45307</v>
      </c>
      <c r="L100" s="54">
        <f t="shared" si="3"/>
        <v>16</v>
      </c>
      <c r="M100" s="55" t="str" cm="1">
        <f t="array" ref="M100">INDEX(Processing!$W$6:$W$17,MONTH('ALL ORDERS'!K100))</f>
        <v>January</v>
      </c>
      <c r="N100" s="54">
        <f t="shared" si="81"/>
        <v>2024</v>
      </c>
      <c r="O100" s="58">
        <v>0.75</v>
      </c>
      <c r="P100" s="59" t="s">
        <v>219</v>
      </c>
      <c r="Q100" s="60" t="s">
        <v>94</v>
      </c>
      <c r="R100" s="56" t="s">
        <v>318</v>
      </c>
      <c r="S100" s="61" t="s">
        <v>41</v>
      </c>
      <c r="T100" s="62" t="s">
        <v>468</v>
      </c>
      <c r="U100" s="63" t="s">
        <v>23</v>
      </c>
      <c r="V100" s="63" t="s">
        <v>147</v>
      </c>
      <c r="W100" s="64">
        <v>952</v>
      </c>
      <c r="X100" s="64">
        <v>4</v>
      </c>
      <c r="Y100" s="47"/>
      <c r="Z100" s="47"/>
    </row>
    <row r="101" spans="1:26" x14ac:dyDescent="0.25">
      <c r="A101" s="53">
        <v>45307</v>
      </c>
      <c r="B101" s="54">
        <f t="shared" si="83"/>
        <v>16</v>
      </c>
      <c r="C101" s="55" t="str" cm="1">
        <f t="array" ref="C101">INDEX(Processing!$C$11:$C$22,MONTH('ALL ORDERS'!A101))</f>
        <v>JAN</v>
      </c>
      <c r="D101" s="54">
        <f t="shared" si="84"/>
        <v>2024</v>
      </c>
      <c r="E101" s="56" t="s">
        <v>49</v>
      </c>
      <c r="F101" s="56" t="s">
        <v>121</v>
      </c>
      <c r="G101" s="100">
        <v>0</v>
      </c>
      <c r="H101" s="100">
        <v>2340</v>
      </c>
      <c r="I101" s="57">
        <v>0.15</v>
      </c>
      <c r="J101" s="99">
        <f t="shared" si="85"/>
        <v>2340</v>
      </c>
      <c r="K101" s="53">
        <v>45307</v>
      </c>
      <c r="L101" s="54">
        <f t="shared" si="3"/>
        <v>16</v>
      </c>
      <c r="M101" s="55" t="str" cm="1">
        <f t="array" ref="M101">INDEX(Processing!$W$6:$W$17,MONTH('ALL ORDERS'!K101))</f>
        <v>January</v>
      </c>
      <c r="N101" s="54">
        <f t="shared" si="81"/>
        <v>2024</v>
      </c>
      <c r="O101" s="58">
        <v>0.41666666666666669</v>
      </c>
      <c r="P101" s="59" t="s">
        <v>220</v>
      </c>
      <c r="Q101" s="60" t="s">
        <v>90</v>
      </c>
      <c r="R101" s="56" t="s">
        <v>319</v>
      </c>
      <c r="S101" s="61" t="s">
        <v>43</v>
      </c>
      <c r="T101" s="70">
        <v>54900888990</v>
      </c>
      <c r="U101" s="63" t="s">
        <v>25</v>
      </c>
      <c r="V101" s="63" t="s">
        <v>147</v>
      </c>
      <c r="W101" s="64">
        <v>889</v>
      </c>
      <c r="X101" s="64">
        <v>5</v>
      </c>
      <c r="Y101" s="47"/>
      <c r="Z101" s="47"/>
    </row>
    <row r="102" spans="1:26" x14ac:dyDescent="0.25">
      <c r="A102" s="53">
        <v>45309</v>
      </c>
      <c r="B102" s="54">
        <f t="shared" si="83"/>
        <v>18</v>
      </c>
      <c r="C102" s="55" t="str" cm="1">
        <f t="array" ref="C102">INDEX(Processing!$C$11:$C$22,MONTH('ALL ORDERS'!A102))</f>
        <v>JAN</v>
      </c>
      <c r="D102" s="54">
        <f t="shared" si="84"/>
        <v>2024</v>
      </c>
      <c r="E102" s="56" t="s">
        <v>47</v>
      </c>
      <c r="F102" s="56" t="s">
        <v>18</v>
      </c>
      <c r="G102" s="100">
        <v>0</v>
      </c>
      <c r="H102" s="100">
        <v>3110</v>
      </c>
      <c r="I102" s="57"/>
      <c r="J102" s="99">
        <f t="shared" si="85"/>
        <v>3110</v>
      </c>
      <c r="K102" s="53">
        <v>45309</v>
      </c>
      <c r="L102" s="54">
        <f t="shared" si="3"/>
        <v>18</v>
      </c>
      <c r="M102" s="55" t="str" cm="1">
        <f t="array" ref="M102">INDEX(Processing!$W$6:$W$17,MONTH('ALL ORDERS'!K102))</f>
        <v>January</v>
      </c>
      <c r="N102" s="54">
        <f t="shared" si="81"/>
        <v>2024</v>
      </c>
      <c r="O102" s="58">
        <v>0.5</v>
      </c>
      <c r="P102" s="59" t="s">
        <v>221</v>
      </c>
      <c r="Q102" s="60" t="s">
        <v>94</v>
      </c>
      <c r="R102" s="56" t="s">
        <v>320</v>
      </c>
      <c r="S102" s="61" t="s">
        <v>45</v>
      </c>
      <c r="T102" s="62" t="s">
        <v>469</v>
      </c>
      <c r="U102" s="63" t="s">
        <v>23</v>
      </c>
      <c r="V102" s="63" t="s">
        <v>147</v>
      </c>
      <c r="W102" s="64">
        <v>1213</v>
      </c>
      <c r="X102" s="64">
        <v>5</v>
      </c>
      <c r="Y102" s="47"/>
      <c r="Z102" s="47"/>
    </row>
    <row r="103" spans="1:26" x14ac:dyDescent="0.25">
      <c r="A103" s="53">
        <v>45310</v>
      </c>
      <c r="B103" s="54">
        <f t="shared" si="83"/>
        <v>19</v>
      </c>
      <c r="C103" s="55" t="str" cm="1">
        <f t="array" ref="C103">INDEX(Processing!$C$11:$C$22,MONTH('ALL ORDERS'!A103))</f>
        <v>JAN</v>
      </c>
      <c r="D103" s="54">
        <f t="shared" si="84"/>
        <v>2024</v>
      </c>
      <c r="E103" s="56" t="s">
        <v>50</v>
      </c>
      <c r="F103" s="56" t="s">
        <v>19</v>
      </c>
      <c r="G103" s="100">
        <v>0</v>
      </c>
      <c r="H103" s="100">
        <v>1190</v>
      </c>
      <c r="I103" s="57"/>
      <c r="J103" s="99">
        <f t="shared" si="85"/>
        <v>1190</v>
      </c>
      <c r="K103" s="53">
        <v>45310</v>
      </c>
      <c r="L103" s="54">
        <f t="shared" si="3"/>
        <v>19</v>
      </c>
      <c r="M103" s="55" t="str" cm="1">
        <f t="array" ref="M103">INDEX(Processing!$W$6:$W$17,MONTH('ALL ORDERS'!K103))</f>
        <v>January</v>
      </c>
      <c r="N103" s="54">
        <f t="shared" si="81"/>
        <v>2024</v>
      </c>
      <c r="O103" s="58">
        <v>0.66666666666666663</v>
      </c>
      <c r="P103" s="59" t="s">
        <v>222</v>
      </c>
      <c r="Q103" s="60" t="s">
        <v>94</v>
      </c>
      <c r="R103" s="56" t="s">
        <v>321</v>
      </c>
      <c r="S103" s="61" t="s">
        <v>44</v>
      </c>
      <c r="T103" s="62" t="s">
        <v>470</v>
      </c>
      <c r="U103" s="63" t="s">
        <v>26</v>
      </c>
      <c r="V103" s="63" t="s">
        <v>147</v>
      </c>
      <c r="W103" s="64">
        <v>2048</v>
      </c>
      <c r="X103" s="64">
        <v>5</v>
      </c>
      <c r="Y103" s="47"/>
      <c r="Z103" s="47"/>
    </row>
    <row r="104" spans="1:26" x14ac:dyDescent="0.25">
      <c r="A104" s="53">
        <v>45311</v>
      </c>
      <c r="B104" s="54">
        <f t="shared" si="83"/>
        <v>20</v>
      </c>
      <c r="C104" s="55" t="str" cm="1">
        <f t="array" ref="C104">INDEX(Processing!$C$11:$C$22,MONTH('ALL ORDERS'!A104))</f>
        <v>JAN</v>
      </c>
      <c r="D104" s="54">
        <f t="shared" si="84"/>
        <v>2024</v>
      </c>
      <c r="E104" s="56" t="s">
        <v>47</v>
      </c>
      <c r="F104" s="56" t="s">
        <v>124</v>
      </c>
      <c r="G104" s="100">
        <v>0</v>
      </c>
      <c r="H104" s="100">
        <v>840</v>
      </c>
      <c r="I104" s="57"/>
      <c r="J104" s="99">
        <f t="shared" si="85"/>
        <v>840</v>
      </c>
      <c r="K104" s="53">
        <v>45311</v>
      </c>
      <c r="L104" s="54">
        <f t="shared" si="3"/>
        <v>20</v>
      </c>
      <c r="M104" s="55" t="str" cm="1">
        <f t="array" ref="M104">INDEX(Processing!$W$6:$W$17,MONTH('ALL ORDERS'!K104))</f>
        <v>January</v>
      </c>
      <c r="N104" s="54">
        <f t="shared" si="81"/>
        <v>2024</v>
      </c>
      <c r="O104" s="58">
        <v>0.75</v>
      </c>
      <c r="P104" s="59" t="s">
        <v>223</v>
      </c>
      <c r="Q104" s="60" t="s">
        <v>94</v>
      </c>
      <c r="R104" s="56" t="s">
        <v>322</v>
      </c>
      <c r="S104" s="61" t="s">
        <v>41</v>
      </c>
      <c r="T104" s="62" t="s">
        <v>471</v>
      </c>
      <c r="U104" s="63" t="s">
        <v>24</v>
      </c>
      <c r="V104" s="63" t="s">
        <v>147</v>
      </c>
      <c r="W104" s="64">
        <v>3012</v>
      </c>
      <c r="X104" s="64">
        <v>3</v>
      </c>
      <c r="Y104" s="47"/>
      <c r="Z104" s="47"/>
    </row>
    <row r="105" spans="1:26" x14ac:dyDescent="0.25">
      <c r="A105" s="53">
        <v>45311</v>
      </c>
      <c r="B105" s="54">
        <f t="shared" si="83"/>
        <v>20</v>
      </c>
      <c r="C105" s="55" t="str" cm="1">
        <f t="array" ref="C105">INDEX(Processing!$C$11:$C$22,MONTH('ALL ORDERS'!A105))</f>
        <v>JAN</v>
      </c>
      <c r="D105" s="54">
        <f t="shared" si="84"/>
        <v>2024</v>
      </c>
      <c r="E105" s="56" t="s">
        <v>48</v>
      </c>
      <c r="F105" s="56" t="s">
        <v>21</v>
      </c>
      <c r="G105" s="100">
        <v>0</v>
      </c>
      <c r="H105" s="100">
        <v>2290</v>
      </c>
      <c r="I105" s="57"/>
      <c r="J105" s="99">
        <f t="shared" si="85"/>
        <v>2290</v>
      </c>
      <c r="K105" s="53">
        <v>45311</v>
      </c>
      <c r="L105" s="54">
        <f t="shared" si="3"/>
        <v>20</v>
      </c>
      <c r="M105" s="55" t="str" cm="1">
        <f t="array" ref="M105">INDEX(Processing!$W$6:$W$17,MONTH('ALL ORDERS'!K105))</f>
        <v>January</v>
      </c>
      <c r="N105" s="54">
        <f t="shared" si="81"/>
        <v>2024</v>
      </c>
      <c r="O105" s="58">
        <v>0.375</v>
      </c>
      <c r="P105" s="59" t="s">
        <v>354</v>
      </c>
      <c r="Q105" s="60" t="s">
        <v>94</v>
      </c>
      <c r="R105" s="56" t="s">
        <v>323</v>
      </c>
      <c r="S105" s="61" t="s">
        <v>41</v>
      </c>
      <c r="T105" s="62" t="s">
        <v>472</v>
      </c>
      <c r="U105" s="63" t="s">
        <v>24</v>
      </c>
      <c r="V105" s="63" t="s">
        <v>147</v>
      </c>
      <c r="W105" s="64">
        <v>1658</v>
      </c>
      <c r="X105" s="64">
        <v>3</v>
      </c>
      <c r="Y105" s="47"/>
      <c r="Z105" s="47"/>
    </row>
    <row r="106" spans="1:26" x14ac:dyDescent="0.25">
      <c r="A106" s="53">
        <v>45311</v>
      </c>
      <c r="B106" s="54">
        <f t="shared" si="83"/>
        <v>20</v>
      </c>
      <c r="C106" s="55" t="str" cm="1">
        <f t="array" ref="C106">INDEX(Processing!$C$11:$C$22,MONTH('ALL ORDERS'!A106))</f>
        <v>JAN</v>
      </c>
      <c r="D106" s="54">
        <f t="shared" si="84"/>
        <v>2024</v>
      </c>
      <c r="E106" s="56" t="s">
        <v>49</v>
      </c>
      <c r="F106" s="56" t="s">
        <v>22</v>
      </c>
      <c r="G106" s="100">
        <v>0</v>
      </c>
      <c r="H106" s="100">
        <v>810</v>
      </c>
      <c r="I106" s="57"/>
      <c r="J106" s="99">
        <f t="shared" si="85"/>
        <v>810</v>
      </c>
      <c r="K106" s="53">
        <v>45311</v>
      </c>
      <c r="L106" s="54">
        <f t="shared" si="3"/>
        <v>20</v>
      </c>
      <c r="M106" s="55" t="str" cm="1">
        <f t="array" ref="M106">INDEX(Processing!$W$6:$W$17,MONTH('ALL ORDERS'!K106))</f>
        <v>January</v>
      </c>
      <c r="N106" s="54">
        <f t="shared" si="81"/>
        <v>2024</v>
      </c>
      <c r="O106" s="58">
        <v>0.45833333333333331</v>
      </c>
      <c r="P106" s="59" t="s">
        <v>224</v>
      </c>
      <c r="Q106" s="60" t="s">
        <v>90</v>
      </c>
      <c r="R106" s="56" t="s">
        <v>324</v>
      </c>
      <c r="S106" s="61" t="s">
        <v>42</v>
      </c>
      <c r="T106" s="62" t="s">
        <v>473</v>
      </c>
      <c r="U106" s="63" t="s">
        <v>26</v>
      </c>
      <c r="V106" s="63" t="s">
        <v>147</v>
      </c>
      <c r="W106" s="64">
        <v>2105</v>
      </c>
      <c r="X106" s="64">
        <v>2</v>
      </c>
      <c r="Y106" s="47"/>
      <c r="Z106" s="47"/>
    </row>
    <row r="107" spans="1:26" x14ac:dyDescent="0.25">
      <c r="A107" s="53">
        <v>45314</v>
      </c>
      <c r="B107" s="54">
        <f t="shared" si="83"/>
        <v>23</v>
      </c>
      <c r="C107" s="55" t="str" cm="1">
        <f t="array" ref="C107">INDEX(Processing!$C$11:$C$22,MONTH('ALL ORDERS'!A107))</f>
        <v>JAN</v>
      </c>
      <c r="D107" s="54">
        <f t="shared" si="84"/>
        <v>2024</v>
      </c>
      <c r="E107" s="56" t="s">
        <v>47</v>
      </c>
      <c r="F107" s="56" t="s">
        <v>135</v>
      </c>
      <c r="G107" s="100">
        <v>0</v>
      </c>
      <c r="H107" s="100">
        <v>940</v>
      </c>
      <c r="I107" s="57"/>
      <c r="J107" s="99">
        <f t="shared" si="85"/>
        <v>940</v>
      </c>
      <c r="K107" s="53">
        <v>45314</v>
      </c>
      <c r="L107" s="54">
        <f t="shared" si="3"/>
        <v>23</v>
      </c>
      <c r="M107" s="55" t="str" cm="1">
        <f t="array" ref="M107">INDEX(Processing!$W$6:$W$17,MONTH('ALL ORDERS'!K107))</f>
        <v>January</v>
      </c>
      <c r="N107" s="54">
        <f t="shared" si="81"/>
        <v>2024</v>
      </c>
      <c r="O107" s="58">
        <v>0.625</v>
      </c>
      <c r="P107" s="59" t="s">
        <v>225</v>
      </c>
      <c r="Q107" s="60" t="s">
        <v>94</v>
      </c>
      <c r="R107" s="56" t="s">
        <v>325</v>
      </c>
      <c r="S107" s="61" t="s">
        <v>43</v>
      </c>
      <c r="T107" s="62" t="s">
        <v>474</v>
      </c>
      <c r="U107" s="63" t="s">
        <v>25</v>
      </c>
      <c r="V107" s="63" t="s">
        <v>147</v>
      </c>
      <c r="W107" s="64">
        <v>3101</v>
      </c>
      <c r="X107" s="64">
        <v>4</v>
      </c>
      <c r="Y107" s="47"/>
      <c r="Z107" s="47"/>
    </row>
    <row r="108" spans="1:26" x14ac:dyDescent="0.25">
      <c r="A108" s="53">
        <v>45314</v>
      </c>
      <c r="B108" s="54">
        <f t="shared" si="83"/>
        <v>23</v>
      </c>
      <c r="C108" s="55" t="str" cm="1">
        <f t="array" ref="C108">INDEX(Processing!$C$11:$C$22,MONTH('ALL ORDERS'!A108))</f>
        <v>JAN</v>
      </c>
      <c r="D108" s="54">
        <f t="shared" si="84"/>
        <v>2024</v>
      </c>
      <c r="E108" s="56" t="s">
        <v>50</v>
      </c>
      <c r="F108" s="56" t="s">
        <v>22</v>
      </c>
      <c r="G108" s="100">
        <v>0</v>
      </c>
      <c r="H108" s="100">
        <v>3090</v>
      </c>
      <c r="I108" s="57"/>
      <c r="J108" s="99">
        <f t="shared" si="85"/>
        <v>3090</v>
      </c>
      <c r="K108" s="53">
        <v>45314</v>
      </c>
      <c r="L108" s="54">
        <f t="shared" si="3"/>
        <v>23</v>
      </c>
      <c r="M108" s="55" t="str" cm="1">
        <f t="array" ref="M108">INDEX(Processing!$W$6:$W$17,MONTH('ALL ORDERS'!K108))</f>
        <v>January</v>
      </c>
      <c r="N108" s="54">
        <f t="shared" si="81"/>
        <v>2024</v>
      </c>
      <c r="O108" s="58">
        <v>0.45833333333333331</v>
      </c>
      <c r="P108" s="59" t="s">
        <v>226</v>
      </c>
      <c r="Q108" s="60" t="s">
        <v>94</v>
      </c>
      <c r="R108" s="56" t="s">
        <v>326</v>
      </c>
      <c r="S108" s="61" t="s">
        <v>45</v>
      </c>
      <c r="T108" s="62" t="s">
        <v>475</v>
      </c>
      <c r="U108" s="63" t="s">
        <v>23</v>
      </c>
      <c r="V108" s="63" t="s">
        <v>147</v>
      </c>
      <c r="W108" s="64">
        <v>1894</v>
      </c>
      <c r="X108" s="64">
        <v>5</v>
      </c>
      <c r="Y108" s="47"/>
      <c r="Z108" s="47"/>
    </row>
    <row r="109" spans="1:26" x14ac:dyDescent="0.25">
      <c r="A109" s="53">
        <v>45316</v>
      </c>
      <c r="B109" s="54">
        <f t="shared" si="83"/>
        <v>25</v>
      </c>
      <c r="C109" s="55" t="str" cm="1">
        <f t="array" ref="C109">INDEX(Processing!$C$11:$C$22,MONTH('ALL ORDERS'!A109))</f>
        <v>JAN</v>
      </c>
      <c r="D109" s="54">
        <f t="shared" si="84"/>
        <v>2024</v>
      </c>
      <c r="E109" s="56" t="s">
        <v>51</v>
      </c>
      <c r="F109" s="56" t="s">
        <v>135</v>
      </c>
      <c r="G109" s="100">
        <v>0</v>
      </c>
      <c r="H109" s="100">
        <v>2250</v>
      </c>
      <c r="I109" s="57"/>
      <c r="J109" s="99">
        <f t="shared" si="85"/>
        <v>2250</v>
      </c>
      <c r="K109" s="53">
        <v>45316</v>
      </c>
      <c r="L109" s="54">
        <f t="shared" ref="L109" si="86">DAY(K109)</f>
        <v>25</v>
      </c>
      <c r="M109" s="55" t="str" cm="1">
        <f t="array" ref="M109">INDEX(Processing!$W$6:$W$17,MONTH('ALL ORDERS'!K109))</f>
        <v>January</v>
      </c>
      <c r="N109" s="54">
        <f t="shared" si="81"/>
        <v>2024</v>
      </c>
      <c r="O109" s="58">
        <v>0.375</v>
      </c>
      <c r="P109" s="59" t="s">
        <v>227</v>
      </c>
      <c r="Q109" s="60" t="s">
        <v>94</v>
      </c>
      <c r="R109" s="56" t="s">
        <v>327</v>
      </c>
      <c r="S109" s="61" t="s">
        <v>42</v>
      </c>
      <c r="T109" s="62" t="s">
        <v>476</v>
      </c>
      <c r="U109" s="63" t="s">
        <v>27</v>
      </c>
      <c r="V109" s="63" t="s">
        <v>147</v>
      </c>
      <c r="W109" s="64">
        <v>582</v>
      </c>
      <c r="X109" s="64">
        <v>3</v>
      </c>
      <c r="Y109" s="47"/>
      <c r="Z109" s="47"/>
    </row>
    <row r="110" spans="1:26" x14ac:dyDescent="0.25">
      <c r="A110" s="53">
        <v>45317</v>
      </c>
      <c r="B110" s="54">
        <f t="shared" si="83"/>
        <v>26</v>
      </c>
      <c r="C110" s="55" t="str" cm="1">
        <f t="array" ref="C110">INDEX(Processing!$C$11:$C$22,MONTH('ALL ORDERS'!A110))</f>
        <v>JAN</v>
      </c>
      <c r="D110" s="54">
        <f t="shared" si="84"/>
        <v>2024</v>
      </c>
      <c r="E110" s="56" t="s">
        <v>48</v>
      </c>
      <c r="F110" s="56" t="s">
        <v>137</v>
      </c>
      <c r="G110" s="100">
        <v>0</v>
      </c>
      <c r="H110" s="100">
        <v>1130</v>
      </c>
      <c r="I110" s="57">
        <v>0.15</v>
      </c>
      <c r="J110" s="99">
        <f t="shared" si="85"/>
        <v>1130</v>
      </c>
      <c r="K110" s="53">
        <v>45317</v>
      </c>
      <c r="L110" s="54">
        <f t="shared" si="3"/>
        <v>26</v>
      </c>
      <c r="M110" s="55" t="str" cm="1">
        <f t="array" ref="M110">INDEX(Processing!$W$6:$W$17,MONTH('ALL ORDERS'!K110))</f>
        <v>January</v>
      </c>
      <c r="N110" s="54">
        <f t="shared" si="81"/>
        <v>2024</v>
      </c>
      <c r="O110" s="58">
        <v>0.45833333333333331</v>
      </c>
      <c r="P110" s="59" t="s">
        <v>228</v>
      </c>
      <c r="Q110" s="60" t="s">
        <v>90</v>
      </c>
      <c r="R110" s="56" t="s">
        <v>328</v>
      </c>
      <c r="S110" s="61" t="s">
        <v>41</v>
      </c>
      <c r="T110" s="62" t="s">
        <v>477</v>
      </c>
      <c r="U110" s="63" t="s">
        <v>24</v>
      </c>
      <c r="V110" s="63" t="s">
        <v>147</v>
      </c>
      <c r="W110" s="64">
        <v>2253</v>
      </c>
      <c r="X110" s="64">
        <v>5</v>
      </c>
      <c r="Y110" s="47"/>
      <c r="Z110" s="47"/>
    </row>
    <row r="111" spans="1:26" x14ac:dyDescent="0.25">
      <c r="A111" s="53">
        <v>45312</v>
      </c>
      <c r="B111" s="54">
        <f t="shared" si="83"/>
        <v>21</v>
      </c>
      <c r="C111" s="55" t="str" cm="1">
        <f t="array" ref="C111">INDEX(Processing!$C$11:$C$22,MONTH('ALL ORDERS'!A111))</f>
        <v>JAN</v>
      </c>
      <c r="D111" s="54">
        <f t="shared" si="84"/>
        <v>2024</v>
      </c>
      <c r="E111" s="56" t="s">
        <v>49</v>
      </c>
      <c r="F111" s="56" t="s">
        <v>21</v>
      </c>
      <c r="G111" s="100">
        <v>0</v>
      </c>
      <c r="H111" s="100">
        <v>3830</v>
      </c>
      <c r="I111" s="57"/>
      <c r="J111" s="99">
        <f t="shared" si="85"/>
        <v>3830</v>
      </c>
      <c r="K111" s="53">
        <v>45312</v>
      </c>
      <c r="L111" s="54">
        <f t="shared" si="3"/>
        <v>21</v>
      </c>
      <c r="M111" s="55" t="str" cm="1">
        <f t="array" ref="M111">INDEX(Processing!$W$6:$W$17,MONTH('ALL ORDERS'!K111))</f>
        <v>January</v>
      </c>
      <c r="N111" s="54">
        <f t="shared" si="81"/>
        <v>2024</v>
      </c>
      <c r="O111" s="58">
        <v>0.625</v>
      </c>
      <c r="P111" s="59" t="s">
        <v>229</v>
      </c>
      <c r="Q111" s="60" t="s">
        <v>94</v>
      </c>
      <c r="R111" s="56" t="s">
        <v>329</v>
      </c>
      <c r="S111" s="61" t="s">
        <v>42</v>
      </c>
      <c r="T111" s="62" t="s">
        <v>478</v>
      </c>
      <c r="U111" s="63" t="s">
        <v>26</v>
      </c>
      <c r="V111" s="63" t="s">
        <v>147</v>
      </c>
      <c r="W111" s="64">
        <v>2772</v>
      </c>
      <c r="X111" s="64">
        <v>4</v>
      </c>
      <c r="Y111" s="47"/>
      <c r="Z111" s="47"/>
    </row>
    <row r="112" spans="1:26" x14ac:dyDescent="0.25">
      <c r="A112" s="53">
        <v>45312</v>
      </c>
      <c r="B112" s="54">
        <f t="shared" si="83"/>
        <v>21</v>
      </c>
      <c r="C112" s="55" t="str" cm="1">
        <f t="array" ref="C112">INDEX(Processing!$C$11:$C$22,MONTH('ALL ORDERS'!A112))</f>
        <v>JAN</v>
      </c>
      <c r="D112" s="54">
        <f t="shared" si="84"/>
        <v>2024</v>
      </c>
      <c r="E112" s="56" t="s">
        <v>47</v>
      </c>
      <c r="F112" s="56" t="s">
        <v>124</v>
      </c>
      <c r="G112" s="100">
        <v>0</v>
      </c>
      <c r="H112" s="100">
        <v>2910</v>
      </c>
      <c r="I112" s="57"/>
      <c r="J112" s="99">
        <f t="shared" si="85"/>
        <v>2910</v>
      </c>
      <c r="K112" s="53">
        <v>45312</v>
      </c>
      <c r="L112" s="54">
        <f t="shared" si="3"/>
        <v>21</v>
      </c>
      <c r="M112" s="55" t="str" cm="1">
        <f t="array" ref="M112">INDEX(Processing!$W$6:$W$17,MONTH('ALL ORDERS'!K112))</f>
        <v>January</v>
      </c>
      <c r="N112" s="54">
        <f t="shared" si="81"/>
        <v>2024</v>
      </c>
      <c r="O112" s="58">
        <v>0.45833333333333331</v>
      </c>
      <c r="P112" s="59" t="s">
        <v>230</v>
      </c>
      <c r="Q112" s="60" t="s">
        <v>90</v>
      </c>
      <c r="R112" s="56" t="s">
        <v>330</v>
      </c>
      <c r="S112" s="61" t="s">
        <v>42</v>
      </c>
      <c r="T112" s="62" t="s">
        <v>479</v>
      </c>
      <c r="U112" s="63" t="s">
        <v>24</v>
      </c>
      <c r="V112" s="63" t="s">
        <v>147</v>
      </c>
      <c r="W112" s="64">
        <v>1714</v>
      </c>
      <c r="X112" s="64">
        <v>3</v>
      </c>
      <c r="Y112" s="47"/>
      <c r="Z112" s="47"/>
    </row>
    <row r="113" spans="1:26" x14ac:dyDescent="0.25">
      <c r="A113" s="53">
        <v>45312</v>
      </c>
      <c r="B113" s="54">
        <f t="shared" si="83"/>
        <v>21</v>
      </c>
      <c r="C113" s="55" t="str" cm="1">
        <f t="array" ref="C113">INDEX(Processing!$C$11:$C$22,MONTH('ALL ORDERS'!A113))</f>
        <v>JAN</v>
      </c>
      <c r="D113" s="54">
        <f t="shared" si="84"/>
        <v>2024</v>
      </c>
      <c r="E113" s="56" t="s">
        <v>50</v>
      </c>
      <c r="F113" s="56" t="s">
        <v>19</v>
      </c>
      <c r="G113" s="100">
        <v>0</v>
      </c>
      <c r="H113" s="100">
        <v>2950</v>
      </c>
      <c r="I113" s="57"/>
      <c r="J113" s="99">
        <f t="shared" si="85"/>
        <v>2950</v>
      </c>
      <c r="K113" s="53">
        <v>45312</v>
      </c>
      <c r="L113" s="54">
        <f t="shared" si="3"/>
        <v>21</v>
      </c>
      <c r="M113" s="55" t="str" cm="1">
        <f t="array" ref="M113">INDEX(Processing!$W$6:$W$17,MONTH('ALL ORDERS'!K113))</f>
        <v>January</v>
      </c>
      <c r="N113" s="54">
        <f t="shared" si="81"/>
        <v>2024</v>
      </c>
      <c r="O113" s="58">
        <v>0.375</v>
      </c>
      <c r="P113" s="59" t="s">
        <v>231</v>
      </c>
      <c r="Q113" s="60" t="s">
        <v>94</v>
      </c>
      <c r="R113" s="56" t="s">
        <v>331</v>
      </c>
      <c r="S113" s="61" t="s">
        <v>41</v>
      </c>
      <c r="T113" s="70">
        <v>53900888990</v>
      </c>
      <c r="U113" s="63" t="s">
        <v>27</v>
      </c>
      <c r="V113" s="63" t="s">
        <v>147</v>
      </c>
      <c r="W113" s="64">
        <v>2173</v>
      </c>
      <c r="X113" s="64">
        <v>5</v>
      </c>
      <c r="Y113" s="47"/>
      <c r="Z113" s="47"/>
    </row>
    <row r="114" spans="1:26" x14ac:dyDescent="0.25">
      <c r="A114" s="53">
        <v>45313</v>
      </c>
      <c r="B114" s="54">
        <f t="shared" ref="B114" si="87">DAY(A114)</f>
        <v>22</v>
      </c>
      <c r="C114" s="55" t="str" cm="1">
        <f t="array" ref="C114">INDEX(Processing!$C$11:$C$22,MONTH('ALL ORDERS'!A114))</f>
        <v>JAN</v>
      </c>
      <c r="D114" s="54">
        <f t="shared" ref="D114" si="88">YEAR(A114)</f>
        <v>2024</v>
      </c>
      <c r="E114" s="56" t="s">
        <v>50</v>
      </c>
      <c r="F114" s="56" t="s">
        <v>19</v>
      </c>
      <c r="G114" s="100">
        <v>0</v>
      </c>
      <c r="H114" s="100">
        <v>1150</v>
      </c>
      <c r="I114" s="57"/>
      <c r="J114" s="99">
        <f t="shared" si="85"/>
        <v>1150</v>
      </c>
      <c r="K114" s="53">
        <v>45313</v>
      </c>
      <c r="L114" s="54">
        <f t="shared" ref="L114" si="89">DAY(K114)</f>
        <v>22</v>
      </c>
      <c r="M114" s="55" t="str" cm="1">
        <f t="array" ref="M114">INDEX(Processing!$W$6:$W$17,MONTH('ALL ORDERS'!K114))</f>
        <v>January</v>
      </c>
      <c r="N114" s="54">
        <f t="shared" ref="N114" si="90">YEAR(K114)</f>
        <v>2024</v>
      </c>
      <c r="O114" s="58">
        <v>0.41666666666666702</v>
      </c>
      <c r="P114" s="59" t="s">
        <v>232</v>
      </c>
      <c r="Q114" s="60" t="s">
        <v>94</v>
      </c>
      <c r="R114" s="56" t="s">
        <v>1089</v>
      </c>
      <c r="S114" s="61" t="s">
        <v>41</v>
      </c>
      <c r="T114" s="70">
        <v>53900888991</v>
      </c>
      <c r="U114" s="63" t="s">
        <v>27</v>
      </c>
      <c r="V114" s="63" t="s">
        <v>147</v>
      </c>
      <c r="W114" s="64">
        <v>909</v>
      </c>
      <c r="X114" s="64">
        <v>5</v>
      </c>
      <c r="Y114" s="47"/>
      <c r="Z114" s="47"/>
    </row>
    <row r="115" spans="1:26" x14ac:dyDescent="0.25">
      <c r="A115" s="53">
        <v>45321</v>
      </c>
      <c r="B115" s="54">
        <f t="shared" si="83"/>
        <v>30</v>
      </c>
      <c r="C115" s="55" t="str" cm="1">
        <f t="array" ref="C115">INDEX(Processing!$C$11:$C$22,MONTH('ALL ORDERS'!A115))</f>
        <v>JAN</v>
      </c>
      <c r="D115" s="54">
        <f t="shared" si="84"/>
        <v>2024</v>
      </c>
      <c r="E115" s="56" t="s">
        <v>47</v>
      </c>
      <c r="F115" s="56" t="s">
        <v>22</v>
      </c>
      <c r="G115" s="100">
        <v>0</v>
      </c>
      <c r="H115" s="100">
        <v>3860</v>
      </c>
      <c r="I115" s="57"/>
      <c r="J115" s="99">
        <f t="shared" si="85"/>
        <v>3860</v>
      </c>
      <c r="K115" s="53">
        <v>45321</v>
      </c>
      <c r="L115" s="54">
        <f t="shared" si="3"/>
        <v>30</v>
      </c>
      <c r="M115" s="55" t="str" cm="1">
        <f t="array" ref="M115">INDEX(Processing!$W$6:$W$17,MONTH('ALL ORDERS'!K115))</f>
        <v>January</v>
      </c>
      <c r="N115" s="54">
        <f t="shared" ref="N115:N178" si="91">YEAR(K115)</f>
        <v>2024</v>
      </c>
      <c r="O115" s="58">
        <v>0.45833333333333331</v>
      </c>
      <c r="P115" s="59" t="s">
        <v>232</v>
      </c>
      <c r="Q115" s="60" t="s">
        <v>94</v>
      </c>
      <c r="R115" s="56" t="s">
        <v>332</v>
      </c>
      <c r="S115" s="61" t="s">
        <v>43</v>
      </c>
      <c r="T115" s="62" t="s">
        <v>480</v>
      </c>
      <c r="U115" s="63" t="s">
        <v>24</v>
      </c>
      <c r="V115" s="63" t="s">
        <v>147</v>
      </c>
      <c r="W115" s="64">
        <v>3379</v>
      </c>
      <c r="X115" s="64">
        <v>4</v>
      </c>
      <c r="Y115" s="47"/>
      <c r="Z115" s="47"/>
    </row>
    <row r="116" spans="1:26" x14ac:dyDescent="0.25">
      <c r="A116" s="53">
        <v>45322</v>
      </c>
      <c r="B116" s="54">
        <f t="shared" si="83"/>
        <v>31</v>
      </c>
      <c r="C116" s="55" t="str" cm="1">
        <f t="array" ref="C116">INDEX(Processing!$C$11:$C$22,MONTH('ALL ORDERS'!A116))</f>
        <v>JAN</v>
      </c>
      <c r="D116" s="54">
        <f t="shared" si="84"/>
        <v>2024</v>
      </c>
      <c r="E116" s="56" t="s">
        <v>51</v>
      </c>
      <c r="F116" s="56" t="s">
        <v>135</v>
      </c>
      <c r="G116" s="100">
        <v>0</v>
      </c>
      <c r="H116" s="100">
        <v>2100</v>
      </c>
      <c r="I116" s="57">
        <v>0.15</v>
      </c>
      <c r="J116" s="99">
        <f t="shared" si="85"/>
        <v>2100</v>
      </c>
      <c r="K116" s="53">
        <v>45322</v>
      </c>
      <c r="L116" s="54">
        <f t="shared" si="3"/>
        <v>31</v>
      </c>
      <c r="M116" s="55" t="str" cm="1">
        <f t="array" ref="M116">INDEX(Processing!$W$6:$W$17,MONTH('ALL ORDERS'!K116))</f>
        <v>January</v>
      </c>
      <c r="N116" s="54">
        <f t="shared" si="91"/>
        <v>2024</v>
      </c>
      <c r="O116" s="58">
        <v>0.625</v>
      </c>
      <c r="P116" s="59" t="s">
        <v>355</v>
      </c>
      <c r="Q116" s="60" t="s">
        <v>92</v>
      </c>
      <c r="R116" s="56" t="s">
        <v>333</v>
      </c>
      <c r="S116" s="61" t="s">
        <v>45</v>
      </c>
      <c r="T116" s="62" t="s">
        <v>481</v>
      </c>
      <c r="U116" s="63" t="s">
        <v>26</v>
      </c>
      <c r="V116" s="63" t="s">
        <v>147</v>
      </c>
      <c r="W116" s="64">
        <v>1976</v>
      </c>
      <c r="X116" s="64">
        <v>5</v>
      </c>
      <c r="Y116" s="47"/>
      <c r="Z116" s="47"/>
    </row>
    <row r="117" spans="1:26" x14ac:dyDescent="0.25">
      <c r="A117" s="53">
        <v>45323</v>
      </c>
      <c r="B117" s="54">
        <f t="shared" si="83"/>
        <v>1</v>
      </c>
      <c r="C117" s="55" t="str" cm="1">
        <f t="array" ref="C117">INDEX(Processing!$C$11:$C$22,MONTH('ALL ORDERS'!A117))</f>
        <v>FEB</v>
      </c>
      <c r="D117" s="54">
        <f t="shared" si="84"/>
        <v>2024</v>
      </c>
      <c r="E117" s="56" t="s">
        <v>49</v>
      </c>
      <c r="F117" s="56" t="s">
        <v>124</v>
      </c>
      <c r="G117" s="100">
        <v>0</v>
      </c>
      <c r="H117" s="100">
        <v>1480</v>
      </c>
      <c r="I117" s="57"/>
      <c r="J117" s="99">
        <f t="shared" si="85"/>
        <v>1480</v>
      </c>
      <c r="K117" s="53">
        <v>45323</v>
      </c>
      <c r="L117" s="54">
        <f t="shared" si="3"/>
        <v>1</v>
      </c>
      <c r="M117" s="55" t="str" cm="1">
        <f t="array" ref="M117">INDEX(Processing!$W$6:$W$17,MONTH('ALL ORDERS'!K117))</f>
        <v>February</v>
      </c>
      <c r="N117" s="54">
        <f t="shared" si="91"/>
        <v>2024</v>
      </c>
      <c r="O117" s="58">
        <v>0.45833333333333331</v>
      </c>
      <c r="P117" s="59" t="s">
        <v>233</v>
      </c>
      <c r="Q117" s="60" t="s">
        <v>94</v>
      </c>
      <c r="R117" s="56" t="s">
        <v>334</v>
      </c>
      <c r="S117" s="61" t="s">
        <v>44</v>
      </c>
      <c r="T117" s="62" t="s">
        <v>482</v>
      </c>
      <c r="U117" s="63" t="s">
        <v>26</v>
      </c>
      <c r="V117" s="63" t="s">
        <v>148</v>
      </c>
      <c r="W117" s="64">
        <v>608</v>
      </c>
      <c r="X117" s="64"/>
      <c r="Y117" s="47"/>
      <c r="Z117" s="47"/>
    </row>
    <row r="118" spans="1:26" x14ac:dyDescent="0.25">
      <c r="A118" s="53">
        <v>45323</v>
      </c>
      <c r="B118" s="54">
        <f t="shared" si="83"/>
        <v>1</v>
      </c>
      <c r="C118" s="55" t="str" cm="1">
        <f t="array" ref="C118">INDEX(Processing!$C$11:$C$22,MONTH('ALL ORDERS'!A118))</f>
        <v>FEB</v>
      </c>
      <c r="D118" s="54">
        <f t="shared" si="84"/>
        <v>2024</v>
      </c>
      <c r="E118" s="56" t="s">
        <v>47</v>
      </c>
      <c r="F118" s="56" t="s">
        <v>121</v>
      </c>
      <c r="G118" s="100">
        <v>0</v>
      </c>
      <c r="H118" s="100">
        <v>1920</v>
      </c>
      <c r="I118" s="57"/>
      <c r="J118" s="99">
        <f t="shared" si="85"/>
        <v>1920</v>
      </c>
      <c r="K118" s="53">
        <v>45323</v>
      </c>
      <c r="L118" s="54">
        <f t="shared" si="3"/>
        <v>1</v>
      </c>
      <c r="M118" s="55" t="str" cm="1">
        <f t="array" ref="M118">INDEX(Processing!$W$6:$W$17,MONTH('ALL ORDERS'!K118))</f>
        <v>February</v>
      </c>
      <c r="N118" s="54">
        <f t="shared" si="91"/>
        <v>2024</v>
      </c>
      <c r="O118" s="58">
        <v>0.375</v>
      </c>
      <c r="P118" s="59" t="s">
        <v>234</v>
      </c>
      <c r="Q118" s="60" t="s">
        <v>94</v>
      </c>
      <c r="R118" s="56" t="s">
        <v>335</v>
      </c>
      <c r="S118" s="61" t="s">
        <v>46</v>
      </c>
      <c r="T118" s="62" t="s">
        <v>483</v>
      </c>
      <c r="U118" s="63" t="s">
        <v>24</v>
      </c>
      <c r="V118" s="63" t="s">
        <v>147</v>
      </c>
      <c r="W118" s="64">
        <v>2274</v>
      </c>
      <c r="X118" s="64">
        <v>3</v>
      </c>
      <c r="Y118" s="47"/>
      <c r="Z118" s="47"/>
    </row>
    <row r="119" spans="1:26" x14ac:dyDescent="0.25">
      <c r="A119" s="53">
        <v>45325</v>
      </c>
      <c r="B119" s="54">
        <f t="shared" si="83"/>
        <v>3</v>
      </c>
      <c r="C119" s="55" t="str" cm="1">
        <f t="array" ref="C119">INDEX(Processing!$C$11:$C$22,MONTH('ALL ORDERS'!A119))</f>
        <v>FEB</v>
      </c>
      <c r="D119" s="54">
        <f t="shared" si="84"/>
        <v>2024</v>
      </c>
      <c r="E119" s="56" t="s">
        <v>50</v>
      </c>
      <c r="F119" s="56" t="s">
        <v>123</v>
      </c>
      <c r="G119" s="100">
        <v>0</v>
      </c>
      <c r="H119" s="100">
        <v>1190</v>
      </c>
      <c r="I119" s="57"/>
      <c r="J119" s="99">
        <f t="shared" si="85"/>
        <v>1190</v>
      </c>
      <c r="K119" s="53">
        <v>45325</v>
      </c>
      <c r="L119" s="54">
        <f t="shared" si="3"/>
        <v>3</v>
      </c>
      <c r="M119" s="55" t="str" cm="1">
        <f t="array" ref="M119">INDEX(Processing!$W$6:$W$17,MONTH('ALL ORDERS'!K119))</f>
        <v>February</v>
      </c>
      <c r="N119" s="54">
        <f t="shared" si="91"/>
        <v>2024</v>
      </c>
      <c r="O119" s="58">
        <v>0.45833333333333331</v>
      </c>
      <c r="P119" s="59" t="s">
        <v>235</v>
      </c>
      <c r="Q119" s="60" t="s">
        <v>94</v>
      </c>
      <c r="R119" s="56" t="s">
        <v>336</v>
      </c>
      <c r="S119" s="61" t="s">
        <v>41</v>
      </c>
      <c r="T119" s="62" t="s">
        <v>484</v>
      </c>
      <c r="U119" s="63" t="s">
        <v>26</v>
      </c>
      <c r="V119" s="63" t="s">
        <v>147</v>
      </c>
      <c r="W119" s="64">
        <v>1968</v>
      </c>
      <c r="X119" s="64">
        <v>4</v>
      </c>
      <c r="Y119" s="47"/>
      <c r="Z119" s="47"/>
    </row>
    <row r="120" spans="1:26" x14ac:dyDescent="0.25">
      <c r="A120" s="53">
        <v>45326</v>
      </c>
      <c r="B120" s="54">
        <f t="shared" si="83"/>
        <v>4</v>
      </c>
      <c r="C120" s="55" t="str" cm="1">
        <f t="array" ref="C120">INDEX(Processing!$C$11:$C$22,MONTH('ALL ORDERS'!A120))</f>
        <v>FEB</v>
      </c>
      <c r="D120" s="54">
        <f t="shared" si="84"/>
        <v>2024</v>
      </c>
      <c r="E120" s="56" t="s">
        <v>48</v>
      </c>
      <c r="F120" s="56" t="s">
        <v>125</v>
      </c>
      <c r="G120" s="100">
        <v>0</v>
      </c>
      <c r="H120" s="100">
        <v>2190</v>
      </c>
      <c r="I120" s="57"/>
      <c r="J120" s="99">
        <f t="shared" si="85"/>
        <v>2190</v>
      </c>
      <c r="K120" s="53">
        <v>45326</v>
      </c>
      <c r="L120" s="54">
        <f t="shared" si="3"/>
        <v>4</v>
      </c>
      <c r="M120" s="55" t="str" cm="1">
        <f t="array" ref="M120">INDEX(Processing!$W$6:$W$17,MONTH('ALL ORDERS'!K120))</f>
        <v>February</v>
      </c>
      <c r="N120" s="54">
        <f t="shared" si="91"/>
        <v>2024</v>
      </c>
      <c r="O120" s="58">
        <v>0.625</v>
      </c>
      <c r="P120" s="59" t="s">
        <v>158</v>
      </c>
      <c r="Q120" s="60" t="s">
        <v>94</v>
      </c>
      <c r="R120" s="56" t="s">
        <v>240</v>
      </c>
      <c r="S120" s="61" t="s">
        <v>46</v>
      </c>
      <c r="T120" s="62" t="s">
        <v>485</v>
      </c>
      <c r="U120" s="63" t="s">
        <v>27</v>
      </c>
      <c r="V120" s="63" t="s">
        <v>147</v>
      </c>
      <c r="W120" s="64">
        <v>2520</v>
      </c>
      <c r="X120" s="64">
        <v>3</v>
      </c>
      <c r="Y120" s="47"/>
      <c r="Z120" s="47"/>
    </row>
    <row r="121" spans="1:26" x14ac:dyDescent="0.25">
      <c r="A121" s="53">
        <v>45327</v>
      </c>
      <c r="B121" s="54">
        <f t="shared" si="83"/>
        <v>5</v>
      </c>
      <c r="C121" s="55" t="str" cm="1">
        <f t="array" ref="C121">INDEX(Processing!$C$11:$C$22,MONTH('ALL ORDERS'!A121))</f>
        <v>FEB</v>
      </c>
      <c r="D121" s="54">
        <f t="shared" si="84"/>
        <v>2024</v>
      </c>
      <c r="E121" s="56" t="s">
        <v>47</v>
      </c>
      <c r="F121" s="56" t="s">
        <v>129</v>
      </c>
      <c r="G121" s="100">
        <v>0</v>
      </c>
      <c r="H121" s="100">
        <v>2990</v>
      </c>
      <c r="I121" s="57"/>
      <c r="J121" s="99">
        <f t="shared" si="85"/>
        <v>2990</v>
      </c>
      <c r="K121" s="53">
        <v>45327</v>
      </c>
      <c r="L121" s="54">
        <f t="shared" si="3"/>
        <v>5</v>
      </c>
      <c r="M121" s="55" t="str" cm="1">
        <f t="array" ref="M121">INDEX(Processing!$W$6:$W$17,MONTH('ALL ORDERS'!K121))</f>
        <v>February</v>
      </c>
      <c r="N121" s="54">
        <f t="shared" si="91"/>
        <v>2024</v>
      </c>
      <c r="O121" s="58">
        <v>0.45833333333333331</v>
      </c>
      <c r="P121" s="59" t="s">
        <v>348</v>
      </c>
      <c r="Q121" s="60" t="s">
        <v>90</v>
      </c>
      <c r="R121" s="56" t="s">
        <v>310</v>
      </c>
      <c r="S121" s="61" t="s">
        <v>41</v>
      </c>
      <c r="T121" s="62" t="s">
        <v>486</v>
      </c>
      <c r="U121" s="63" t="s">
        <v>23</v>
      </c>
      <c r="V121" s="63" t="s">
        <v>147</v>
      </c>
      <c r="W121" s="64">
        <v>1265</v>
      </c>
      <c r="X121" s="64">
        <v>4</v>
      </c>
      <c r="Y121" s="47"/>
      <c r="Z121" s="47"/>
    </row>
    <row r="122" spans="1:26" x14ac:dyDescent="0.25">
      <c r="A122" s="53">
        <v>45328</v>
      </c>
      <c r="B122" s="54">
        <f t="shared" si="83"/>
        <v>6</v>
      </c>
      <c r="C122" s="55" t="str" cm="1">
        <f t="array" ref="C122">INDEX(Processing!$C$11:$C$22,MONTH('ALL ORDERS'!A122))</f>
        <v>FEB</v>
      </c>
      <c r="D122" s="54">
        <f t="shared" si="84"/>
        <v>2024</v>
      </c>
      <c r="E122" s="56" t="s">
        <v>50</v>
      </c>
      <c r="F122" s="56" t="s">
        <v>22</v>
      </c>
      <c r="G122" s="100">
        <v>0</v>
      </c>
      <c r="H122" s="100">
        <v>1420</v>
      </c>
      <c r="I122" s="57"/>
      <c r="J122" s="99">
        <f t="shared" si="85"/>
        <v>1420</v>
      </c>
      <c r="K122" s="53">
        <v>45328</v>
      </c>
      <c r="L122" s="54">
        <f t="shared" si="3"/>
        <v>6</v>
      </c>
      <c r="M122" s="55" t="str" cm="1">
        <f t="array" ref="M122">INDEX(Processing!$W$6:$W$17,MONTH('ALL ORDERS'!K122))</f>
        <v>February</v>
      </c>
      <c r="N122" s="54">
        <f t="shared" si="91"/>
        <v>2024</v>
      </c>
      <c r="O122" s="58">
        <v>0.41666666666666669</v>
      </c>
      <c r="P122" s="59" t="s">
        <v>163</v>
      </c>
      <c r="Q122" s="60" t="s">
        <v>94</v>
      </c>
      <c r="R122" s="56" t="s">
        <v>246</v>
      </c>
      <c r="S122" s="61" t="s">
        <v>46</v>
      </c>
      <c r="T122" s="62" t="s">
        <v>487</v>
      </c>
      <c r="U122" s="63" t="s">
        <v>25</v>
      </c>
      <c r="V122" s="63" t="s">
        <v>147</v>
      </c>
      <c r="W122" s="64">
        <v>2258</v>
      </c>
      <c r="X122" s="64">
        <v>3</v>
      </c>
      <c r="Y122" s="47"/>
      <c r="Z122" s="47"/>
    </row>
    <row r="123" spans="1:26" x14ac:dyDescent="0.25">
      <c r="A123" s="53">
        <v>45323</v>
      </c>
      <c r="B123" s="54">
        <f t="shared" si="83"/>
        <v>1</v>
      </c>
      <c r="C123" s="55" t="str" cm="1">
        <f t="array" ref="C123">INDEX(Processing!$C$11:$C$22,MONTH('ALL ORDERS'!A123))</f>
        <v>FEB</v>
      </c>
      <c r="D123" s="54">
        <f t="shared" si="84"/>
        <v>2024</v>
      </c>
      <c r="E123" s="56" t="s">
        <v>47</v>
      </c>
      <c r="F123" s="56" t="s">
        <v>152</v>
      </c>
      <c r="G123" s="100">
        <v>0</v>
      </c>
      <c r="H123" s="100">
        <v>1610</v>
      </c>
      <c r="I123" s="57"/>
      <c r="J123" s="99">
        <f t="shared" si="85"/>
        <v>1610</v>
      </c>
      <c r="K123" s="53">
        <v>45323</v>
      </c>
      <c r="L123" s="54">
        <f t="shared" si="3"/>
        <v>1</v>
      </c>
      <c r="M123" s="55" t="str" cm="1">
        <f t="array" ref="M123">INDEX(Processing!$W$6:$W$17,MONTH('ALL ORDERS'!K123))</f>
        <v>February</v>
      </c>
      <c r="N123" s="54">
        <f t="shared" si="91"/>
        <v>2024</v>
      </c>
      <c r="O123" s="58">
        <v>0.5</v>
      </c>
      <c r="P123" s="59" t="s">
        <v>229</v>
      </c>
      <c r="Q123" s="60" t="s">
        <v>94</v>
      </c>
      <c r="R123" s="56" t="s">
        <v>329</v>
      </c>
      <c r="S123" s="61" t="s">
        <v>46</v>
      </c>
      <c r="T123" s="62" t="s">
        <v>488</v>
      </c>
      <c r="U123" s="63" t="s">
        <v>23</v>
      </c>
      <c r="V123" s="63" t="s">
        <v>147</v>
      </c>
      <c r="W123" s="64">
        <v>4072</v>
      </c>
      <c r="X123" s="64">
        <v>4</v>
      </c>
      <c r="Y123" s="47"/>
      <c r="Z123" s="47"/>
    </row>
    <row r="124" spans="1:26" x14ac:dyDescent="0.25">
      <c r="A124" s="53">
        <v>45323</v>
      </c>
      <c r="B124" s="54">
        <f t="shared" si="83"/>
        <v>1</v>
      </c>
      <c r="C124" s="55" t="str" cm="1">
        <f t="array" ref="C124">INDEX(Processing!$C$11:$C$22,MONTH('ALL ORDERS'!A124))</f>
        <v>FEB</v>
      </c>
      <c r="D124" s="54">
        <f t="shared" si="84"/>
        <v>2024</v>
      </c>
      <c r="E124" s="56" t="s">
        <v>51</v>
      </c>
      <c r="F124" s="56" t="s">
        <v>22</v>
      </c>
      <c r="G124" s="100">
        <v>0</v>
      </c>
      <c r="H124" s="100">
        <v>2040</v>
      </c>
      <c r="I124" s="57">
        <v>0.15</v>
      </c>
      <c r="J124" s="99">
        <f t="shared" si="85"/>
        <v>2040</v>
      </c>
      <c r="K124" s="53">
        <v>45323</v>
      </c>
      <c r="L124" s="54">
        <f t="shared" si="3"/>
        <v>1</v>
      </c>
      <c r="M124" s="55" t="str" cm="1">
        <f t="array" ref="M124">INDEX(Processing!$W$6:$W$17,MONTH('ALL ORDERS'!K124))</f>
        <v>February</v>
      </c>
      <c r="N124" s="54">
        <f t="shared" si="91"/>
        <v>2024</v>
      </c>
      <c r="O124" s="58">
        <v>0.66666666666666663</v>
      </c>
      <c r="P124" s="59" t="s">
        <v>348</v>
      </c>
      <c r="Q124" s="60" t="s">
        <v>90</v>
      </c>
      <c r="R124" s="56" t="s">
        <v>310</v>
      </c>
      <c r="S124" s="61" t="s">
        <v>41</v>
      </c>
      <c r="T124" s="62" t="s">
        <v>489</v>
      </c>
      <c r="U124" s="63" t="s">
        <v>26</v>
      </c>
      <c r="V124" s="63" t="s">
        <v>147</v>
      </c>
      <c r="W124" s="64">
        <v>2751</v>
      </c>
      <c r="X124" s="64">
        <v>5</v>
      </c>
      <c r="Y124" s="47"/>
      <c r="Z124" s="47"/>
    </row>
    <row r="125" spans="1:26" x14ac:dyDescent="0.25">
      <c r="A125" s="53">
        <v>45331</v>
      </c>
      <c r="B125" s="54">
        <f t="shared" si="83"/>
        <v>9</v>
      </c>
      <c r="C125" s="55" t="str" cm="1">
        <f t="array" ref="C125">INDEX(Processing!$C$11:$C$22,MONTH('ALL ORDERS'!A125))</f>
        <v>FEB</v>
      </c>
      <c r="D125" s="54">
        <f t="shared" si="84"/>
        <v>2024</v>
      </c>
      <c r="E125" s="56" t="s">
        <v>49</v>
      </c>
      <c r="F125" s="56" t="s">
        <v>124</v>
      </c>
      <c r="G125" s="100">
        <v>0</v>
      </c>
      <c r="H125" s="100">
        <v>2420</v>
      </c>
      <c r="I125" s="57"/>
      <c r="J125" s="99">
        <f t="shared" si="85"/>
        <v>2420</v>
      </c>
      <c r="K125" s="53">
        <v>45331</v>
      </c>
      <c r="L125" s="54">
        <f t="shared" si="3"/>
        <v>9</v>
      </c>
      <c r="M125" s="55" t="str" cm="1">
        <f t="array" ref="M125">INDEX(Processing!$W$6:$W$17,MONTH('ALL ORDERS'!K125))</f>
        <v>February</v>
      </c>
      <c r="N125" s="54">
        <f t="shared" si="91"/>
        <v>2024</v>
      </c>
      <c r="O125" s="58">
        <v>0.75</v>
      </c>
      <c r="P125" s="59" t="s">
        <v>164</v>
      </c>
      <c r="Q125" s="60" t="s">
        <v>94</v>
      </c>
      <c r="R125" s="56" t="s">
        <v>247</v>
      </c>
      <c r="S125" s="61" t="s">
        <v>43</v>
      </c>
      <c r="T125" s="62" t="s">
        <v>490</v>
      </c>
      <c r="U125" s="63" t="s">
        <v>24</v>
      </c>
      <c r="V125" s="63" t="s">
        <v>147</v>
      </c>
      <c r="W125" s="64">
        <v>3267</v>
      </c>
      <c r="X125" s="64">
        <v>5</v>
      </c>
      <c r="Y125" s="47"/>
      <c r="Z125" s="47"/>
    </row>
    <row r="126" spans="1:26" x14ac:dyDescent="0.25">
      <c r="A126" s="53">
        <v>45331</v>
      </c>
      <c r="B126" s="54">
        <f t="shared" si="83"/>
        <v>9</v>
      </c>
      <c r="C126" s="55" t="str" cm="1">
        <f t="array" ref="C126">INDEX(Processing!$C$11:$C$22,MONTH('ALL ORDERS'!A126))</f>
        <v>FEB</v>
      </c>
      <c r="D126" s="54">
        <f t="shared" si="84"/>
        <v>2024</v>
      </c>
      <c r="E126" s="56" t="s">
        <v>47</v>
      </c>
      <c r="F126" s="56" t="s">
        <v>153</v>
      </c>
      <c r="G126" s="100">
        <v>0</v>
      </c>
      <c r="H126" s="100">
        <v>1180</v>
      </c>
      <c r="I126" s="57"/>
      <c r="J126" s="99">
        <f t="shared" si="85"/>
        <v>1180</v>
      </c>
      <c r="K126" s="53">
        <v>45331</v>
      </c>
      <c r="L126" s="54">
        <f t="shared" si="3"/>
        <v>9</v>
      </c>
      <c r="M126" s="55" t="str" cm="1">
        <f t="array" ref="M126">INDEX(Processing!$W$6:$W$17,MONTH('ALL ORDERS'!K126))</f>
        <v>February</v>
      </c>
      <c r="N126" s="54">
        <f t="shared" si="91"/>
        <v>2024</v>
      </c>
      <c r="O126" s="58">
        <v>0.41666666666666669</v>
      </c>
      <c r="P126" s="59" t="s">
        <v>338</v>
      </c>
      <c r="Q126" s="60" t="s">
        <v>94</v>
      </c>
      <c r="R126" s="56" t="s">
        <v>253</v>
      </c>
      <c r="S126" s="61" t="s">
        <v>45</v>
      </c>
      <c r="T126" s="70">
        <v>52900888990</v>
      </c>
      <c r="U126" s="63" t="s">
        <v>24</v>
      </c>
      <c r="V126" s="63" t="s">
        <v>147</v>
      </c>
      <c r="W126" s="64">
        <v>2923</v>
      </c>
      <c r="X126" s="64">
        <v>4</v>
      </c>
      <c r="Y126" s="47"/>
      <c r="Z126" s="47"/>
    </row>
    <row r="127" spans="1:26" x14ac:dyDescent="0.25">
      <c r="A127" s="53">
        <v>45333</v>
      </c>
      <c r="B127" s="54">
        <f t="shared" si="83"/>
        <v>11</v>
      </c>
      <c r="C127" s="55" t="str" cm="1">
        <f t="array" ref="C127">INDEX(Processing!$C$11:$C$22,MONTH('ALL ORDERS'!A127))</f>
        <v>FEB</v>
      </c>
      <c r="D127" s="54">
        <f t="shared" si="84"/>
        <v>2024</v>
      </c>
      <c r="E127" s="56" t="s">
        <v>50</v>
      </c>
      <c r="F127" s="56" t="s">
        <v>19</v>
      </c>
      <c r="G127" s="100">
        <v>0</v>
      </c>
      <c r="H127" s="100">
        <v>1440</v>
      </c>
      <c r="I127" s="57"/>
      <c r="J127" s="99">
        <f t="shared" si="85"/>
        <v>1440</v>
      </c>
      <c r="K127" s="53">
        <v>45333</v>
      </c>
      <c r="L127" s="54">
        <f t="shared" si="3"/>
        <v>11</v>
      </c>
      <c r="M127" s="55" t="str" cm="1">
        <f t="array" ref="M127">INDEX(Processing!$W$6:$W$17,MONTH('ALL ORDERS'!K127))</f>
        <v>February</v>
      </c>
      <c r="N127" s="54">
        <f t="shared" si="91"/>
        <v>2024</v>
      </c>
      <c r="O127" s="58">
        <v>0.5</v>
      </c>
      <c r="P127" s="59" t="s">
        <v>354</v>
      </c>
      <c r="Q127" s="60" t="s">
        <v>94</v>
      </c>
      <c r="R127" s="56" t="s">
        <v>323</v>
      </c>
      <c r="S127" s="61" t="s">
        <v>44</v>
      </c>
      <c r="T127" s="62" t="s">
        <v>491</v>
      </c>
      <c r="U127" s="63" t="s">
        <v>26</v>
      </c>
      <c r="V127" s="63" t="s">
        <v>147</v>
      </c>
      <c r="W127" s="64">
        <v>1721</v>
      </c>
      <c r="X127" s="64">
        <v>5</v>
      </c>
      <c r="Y127" s="47"/>
      <c r="Z127" s="47"/>
    </row>
    <row r="128" spans="1:26" x14ac:dyDescent="0.25">
      <c r="A128" s="53">
        <v>45334</v>
      </c>
      <c r="B128" s="54">
        <f t="shared" si="83"/>
        <v>12</v>
      </c>
      <c r="C128" s="55" t="str" cm="1">
        <f t="array" ref="C128">INDEX(Processing!$C$11:$C$22,MONTH('ALL ORDERS'!A128))</f>
        <v>FEB</v>
      </c>
      <c r="D128" s="54">
        <f t="shared" si="84"/>
        <v>2024</v>
      </c>
      <c r="E128" s="56" t="s">
        <v>48</v>
      </c>
      <c r="F128" s="56" t="s">
        <v>137</v>
      </c>
      <c r="G128" s="100">
        <v>0</v>
      </c>
      <c r="H128" s="100">
        <v>2680</v>
      </c>
      <c r="I128" s="57"/>
      <c r="J128" s="99">
        <f t="shared" si="85"/>
        <v>2680</v>
      </c>
      <c r="K128" s="53">
        <v>45334</v>
      </c>
      <c r="L128" s="54">
        <f t="shared" si="3"/>
        <v>12</v>
      </c>
      <c r="M128" s="55" t="str" cm="1">
        <f t="array" ref="M128">INDEX(Processing!$W$6:$W$17,MONTH('ALL ORDERS'!K128))</f>
        <v>February</v>
      </c>
      <c r="N128" s="54">
        <f t="shared" si="91"/>
        <v>2024</v>
      </c>
      <c r="O128" s="58">
        <v>0.66666666666666663</v>
      </c>
      <c r="P128" s="59" t="s">
        <v>343</v>
      </c>
      <c r="Q128" s="60" t="s">
        <v>94</v>
      </c>
      <c r="R128" s="56" t="s">
        <v>303</v>
      </c>
      <c r="S128" s="61" t="s">
        <v>41</v>
      </c>
      <c r="T128" s="62" t="s">
        <v>492</v>
      </c>
      <c r="U128" s="63" t="s">
        <v>25</v>
      </c>
      <c r="V128" s="63" t="s">
        <v>147</v>
      </c>
      <c r="W128" s="64">
        <v>2806</v>
      </c>
      <c r="X128" s="64">
        <v>4</v>
      </c>
      <c r="Y128" s="47"/>
      <c r="Z128" s="47"/>
    </row>
    <row r="129" spans="1:26" x14ac:dyDescent="0.25">
      <c r="A129" s="53">
        <v>45335</v>
      </c>
      <c r="B129" s="54">
        <f t="shared" si="83"/>
        <v>13</v>
      </c>
      <c r="C129" s="55" t="str" cm="1">
        <f t="array" ref="C129">INDEX(Processing!$C$11:$C$22,MONTH('ALL ORDERS'!A129))</f>
        <v>FEB</v>
      </c>
      <c r="D129" s="54">
        <f t="shared" si="84"/>
        <v>2024</v>
      </c>
      <c r="E129" s="56" t="s">
        <v>51</v>
      </c>
      <c r="F129" s="56" t="s">
        <v>137</v>
      </c>
      <c r="G129" s="100">
        <v>0</v>
      </c>
      <c r="H129" s="100">
        <v>2930</v>
      </c>
      <c r="I129" s="57"/>
      <c r="J129" s="99">
        <f t="shared" si="85"/>
        <v>2930</v>
      </c>
      <c r="K129" s="53">
        <v>45335</v>
      </c>
      <c r="L129" s="54">
        <f t="shared" si="3"/>
        <v>13</v>
      </c>
      <c r="M129" s="55" t="str" cm="1">
        <f t="array" ref="M129">INDEX(Processing!$W$6:$W$17,MONTH('ALL ORDERS'!K129))</f>
        <v>February</v>
      </c>
      <c r="N129" s="54">
        <f t="shared" si="91"/>
        <v>2024</v>
      </c>
      <c r="O129" s="58">
        <v>0.75</v>
      </c>
      <c r="P129" s="59" t="s">
        <v>163</v>
      </c>
      <c r="Q129" s="60" t="s">
        <v>94</v>
      </c>
      <c r="R129" s="56" t="s">
        <v>246</v>
      </c>
      <c r="S129" s="61" t="s">
        <v>41</v>
      </c>
      <c r="T129" s="62" t="s">
        <v>493</v>
      </c>
      <c r="U129" s="63" t="s">
        <v>23</v>
      </c>
      <c r="V129" s="63" t="s">
        <v>147</v>
      </c>
      <c r="W129" s="64">
        <v>3563</v>
      </c>
      <c r="X129" s="64">
        <v>5</v>
      </c>
      <c r="Y129" s="47"/>
      <c r="Z129" s="47"/>
    </row>
    <row r="130" spans="1:26" x14ac:dyDescent="0.25">
      <c r="A130" s="53">
        <v>45336</v>
      </c>
      <c r="B130" s="54">
        <f t="shared" si="83"/>
        <v>14</v>
      </c>
      <c r="C130" s="55" t="str" cm="1">
        <f t="array" ref="C130">INDEX(Processing!$C$11:$C$22,MONTH('ALL ORDERS'!A130))</f>
        <v>FEB</v>
      </c>
      <c r="D130" s="54">
        <f t="shared" si="84"/>
        <v>2024</v>
      </c>
      <c r="E130" s="56" t="s">
        <v>49</v>
      </c>
      <c r="F130" s="56" t="s">
        <v>19</v>
      </c>
      <c r="G130" s="100">
        <v>0</v>
      </c>
      <c r="H130" s="100">
        <v>1350</v>
      </c>
      <c r="I130" s="57">
        <v>0.15</v>
      </c>
      <c r="J130" s="99">
        <f t="shared" si="85"/>
        <v>1350</v>
      </c>
      <c r="K130" s="53">
        <v>45336</v>
      </c>
      <c r="L130" s="54">
        <f t="shared" si="3"/>
        <v>14</v>
      </c>
      <c r="M130" s="55" t="str" cm="1">
        <f t="array" ref="M130">INDEX(Processing!$W$6:$W$17,MONTH('ALL ORDERS'!K130))</f>
        <v>February</v>
      </c>
      <c r="N130" s="54">
        <f t="shared" si="91"/>
        <v>2024</v>
      </c>
      <c r="O130" s="58">
        <v>0.41666666666666669</v>
      </c>
      <c r="P130" s="59" t="s">
        <v>229</v>
      </c>
      <c r="Q130" s="60" t="s">
        <v>94</v>
      </c>
      <c r="R130" s="56" t="s">
        <v>329</v>
      </c>
      <c r="S130" s="61" t="s">
        <v>46</v>
      </c>
      <c r="T130" s="62" t="s">
        <v>494</v>
      </c>
      <c r="U130" s="63" t="s">
        <v>27</v>
      </c>
      <c r="V130" s="63" t="s">
        <v>147</v>
      </c>
      <c r="W130" s="64">
        <v>2864</v>
      </c>
      <c r="X130" s="64">
        <v>4</v>
      </c>
      <c r="Y130" s="47"/>
      <c r="Z130" s="47"/>
    </row>
    <row r="131" spans="1:26" x14ac:dyDescent="0.25">
      <c r="A131" s="53">
        <v>45337</v>
      </c>
      <c r="B131" s="54">
        <f t="shared" si="83"/>
        <v>15</v>
      </c>
      <c r="C131" s="55" t="str" cm="1">
        <f t="array" ref="C131">INDEX(Processing!$C$11:$C$22,MONTH('ALL ORDERS'!A131))</f>
        <v>FEB</v>
      </c>
      <c r="D131" s="54">
        <f t="shared" si="84"/>
        <v>2024</v>
      </c>
      <c r="E131" s="56" t="s">
        <v>47</v>
      </c>
      <c r="F131" s="56" t="s">
        <v>152</v>
      </c>
      <c r="G131" s="100">
        <v>0</v>
      </c>
      <c r="H131" s="100">
        <v>1160</v>
      </c>
      <c r="I131" s="57">
        <v>0.15</v>
      </c>
      <c r="J131" s="99">
        <f t="shared" si="85"/>
        <v>1160</v>
      </c>
      <c r="K131" s="53">
        <v>45337</v>
      </c>
      <c r="L131" s="54">
        <f t="shared" si="3"/>
        <v>15</v>
      </c>
      <c r="M131" s="55" t="str" cm="1">
        <f t="array" ref="M131">INDEX(Processing!$W$6:$W$17,MONTH('ALL ORDERS'!K131))</f>
        <v>February</v>
      </c>
      <c r="N131" s="54">
        <f t="shared" si="91"/>
        <v>2024</v>
      </c>
      <c r="O131" s="58">
        <v>0.5</v>
      </c>
      <c r="P131" s="59" t="s">
        <v>166</v>
      </c>
      <c r="Q131" s="60" t="s">
        <v>94</v>
      </c>
      <c r="R131" s="56" t="s">
        <v>249</v>
      </c>
      <c r="S131" s="61" t="s">
        <v>43</v>
      </c>
      <c r="T131" s="62" t="s">
        <v>495</v>
      </c>
      <c r="U131" s="63" t="s">
        <v>24</v>
      </c>
      <c r="V131" s="63" t="s">
        <v>147</v>
      </c>
      <c r="W131" s="64">
        <v>2056</v>
      </c>
      <c r="X131" s="64">
        <v>5</v>
      </c>
      <c r="Y131" s="47"/>
      <c r="Z131" s="47"/>
    </row>
    <row r="132" spans="1:26" x14ac:dyDescent="0.25">
      <c r="A132" s="53">
        <v>45338</v>
      </c>
      <c r="B132" s="54">
        <f t="shared" si="83"/>
        <v>16</v>
      </c>
      <c r="C132" s="55" t="str" cm="1">
        <f t="array" ref="C132">INDEX(Processing!$C$11:$C$22,MONTH('ALL ORDERS'!A132))</f>
        <v>FEB</v>
      </c>
      <c r="D132" s="54">
        <f t="shared" si="84"/>
        <v>2024</v>
      </c>
      <c r="E132" s="56" t="s">
        <v>50</v>
      </c>
      <c r="F132" s="56" t="s">
        <v>135</v>
      </c>
      <c r="G132" s="100">
        <v>0</v>
      </c>
      <c r="H132" s="100">
        <v>1850</v>
      </c>
      <c r="I132" s="57"/>
      <c r="J132" s="99">
        <f t="shared" si="85"/>
        <v>1850</v>
      </c>
      <c r="K132" s="53">
        <v>45338</v>
      </c>
      <c r="L132" s="54">
        <f t="shared" si="3"/>
        <v>16</v>
      </c>
      <c r="M132" s="55" t="str" cm="1">
        <f t="array" ref="M132">INDEX(Processing!$W$6:$W$17,MONTH('ALL ORDERS'!K132))</f>
        <v>February</v>
      </c>
      <c r="N132" s="54">
        <f t="shared" si="91"/>
        <v>2024</v>
      </c>
      <c r="O132" s="58">
        <v>0.66666666666666663</v>
      </c>
      <c r="P132" s="59" t="s">
        <v>210</v>
      </c>
      <c r="Q132" s="60" t="s">
        <v>90</v>
      </c>
      <c r="R132" s="56" t="s">
        <v>298</v>
      </c>
      <c r="S132" s="61" t="s">
        <v>45</v>
      </c>
      <c r="T132" s="62" t="s">
        <v>496</v>
      </c>
      <c r="U132" s="63" t="s">
        <v>26</v>
      </c>
      <c r="V132" s="63" t="s">
        <v>147</v>
      </c>
      <c r="W132" s="64">
        <v>3481</v>
      </c>
      <c r="X132" s="64">
        <v>5</v>
      </c>
      <c r="Y132" s="47"/>
      <c r="Z132" s="47"/>
    </row>
    <row r="133" spans="1:26" x14ac:dyDescent="0.25">
      <c r="A133" s="53">
        <v>45333</v>
      </c>
      <c r="B133" s="54">
        <f t="shared" si="83"/>
        <v>11</v>
      </c>
      <c r="C133" s="55" t="str" cm="1">
        <f t="array" ref="C133">INDEX(Processing!$C$11:$C$22,MONTH('ALL ORDERS'!A133))</f>
        <v>FEB</v>
      </c>
      <c r="D133" s="54">
        <f t="shared" si="84"/>
        <v>2024</v>
      </c>
      <c r="E133" s="56" t="s">
        <v>47</v>
      </c>
      <c r="F133" s="56" t="s">
        <v>126</v>
      </c>
      <c r="G133" s="100">
        <v>0</v>
      </c>
      <c r="H133" s="100">
        <v>1860</v>
      </c>
      <c r="I133" s="57"/>
      <c r="J133" s="99">
        <f t="shared" si="85"/>
        <v>1860</v>
      </c>
      <c r="K133" s="53">
        <v>45333</v>
      </c>
      <c r="L133" s="54">
        <f t="shared" si="3"/>
        <v>11</v>
      </c>
      <c r="M133" s="55" t="str" cm="1">
        <f t="array" ref="M133">INDEX(Processing!$W$6:$W$17,MONTH('ALL ORDERS'!K133))</f>
        <v>February</v>
      </c>
      <c r="N133" s="54">
        <f t="shared" si="91"/>
        <v>2024</v>
      </c>
      <c r="O133" s="58">
        <v>0.75</v>
      </c>
      <c r="P133" s="59" t="s">
        <v>164</v>
      </c>
      <c r="Q133" s="60" t="s">
        <v>94</v>
      </c>
      <c r="R133" s="56" t="s">
        <v>247</v>
      </c>
      <c r="S133" s="61" t="s">
        <v>46</v>
      </c>
      <c r="T133" s="62" t="s">
        <v>497</v>
      </c>
      <c r="U133" s="63" t="s">
        <v>26</v>
      </c>
      <c r="V133" s="63" t="s">
        <v>147</v>
      </c>
      <c r="W133" s="64">
        <v>3844</v>
      </c>
      <c r="X133" s="64">
        <v>4</v>
      </c>
      <c r="Y133" s="47"/>
      <c r="Z133" s="47"/>
    </row>
    <row r="134" spans="1:26" x14ac:dyDescent="0.25">
      <c r="A134" s="53">
        <v>45340</v>
      </c>
      <c r="B134" s="54">
        <f t="shared" si="83"/>
        <v>18</v>
      </c>
      <c r="C134" s="55" t="str" cm="1">
        <f t="array" ref="C134">INDEX(Processing!$C$11:$C$22,MONTH('ALL ORDERS'!A134))</f>
        <v>FEB</v>
      </c>
      <c r="D134" s="54">
        <f t="shared" si="84"/>
        <v>2024</v>
      </c>
      <c r="E134" s="56" t="s">
        <v>48</v>
      </c>
      <c r="F134" s="56" t="s">
        <v>127</v>
      </c>
      <c r="G134" s="100">
        <v>0</v>
      </c>
      <c r="H134" s="100">
        <v>1910</v>
      </c>
      <c r="I134" s="57"/>
      <c r="J134" s="99">
        <f t="shared" si="85"/>
        <v>1910</v>
      </c>
      <c r="K134" s="53">
        <v>45340</v>
      </c>
      <c r="L134" s="54">
        <f t="shared" si="3"/>
        <v>18</v>
      </c>
      <c r="M134" s="55" t="str" cm="1">
        <f t="array" ref="M134">INDEX(Processing!$W$6:$W$17,MONTH('ALL ORDERS'!K134))</f>
        <v>February</v>
      </c>
      <c r="N134" s="54">
        <f t="shared" si="91"/>
        <v>2024</v>
      </c>
      <c r="O134" s="58">
        <v>0.41666666666666669</v>
      </c>
      <c r="P134" s="59" t="s">
        <v>178</v>
      </c>
      <c r="Q134" s="60" t="s">
        <v>90</v>
      </c>
      <c r="R134" s="56" t="s">
        <v>262</v>
      </c>
      <c r="S134" s="61" t="s">
        <v>41</v>
      </c>
      <c r="T134" s="62" t="s">
        <v>498</v>
      </c>
      <c r="U134" s="63" t="s">
        <v>24</v>
      </c>
      <c r="V134" s="63" t="s">
        <v>147</v>
      </c>
      <c r="W134" s="64">
        <v>1720</v>
      </c>
      <c r="X134" s="64">
        <v>5</v>
      </c>
      <c r="Y134" s="47"/>
      <c r="Z134" s="47"/>
    </row>
    <row r="135" spans="1:26" x14ac:dyDescent="0.25">
      <c r="A135" s="53">
        <v>45340</v>
      </c>
      <c r="B135" s="54">
        <f t="shared" si="83"/>
        <v>18</v>
      </c>
      <c r="C135" s="55" t="str" cm="1">
        <f t="array" ref="C135">INDEX(Processing!$C$11:$C$22,MONTH('ALL ORDERS'!A135))</f>
        <v>FEB</v>
      </c>
      <c r="D135" s="54">
        <f t="shared" si="84"/>
        <v>2024</v>
      </c>
      <c r="E135" s="56" t="s">
        <v>49</v>
      </c>
      <c r="F135" s="56" t="s">
        <v>121</v>
      </c>
      <c r="G135" s="100">
        <v>0</v>
      </c>
      <c r="H135" s="100">
        <v>1190</v>
      </c>
      <c r="I135" s="57"/>
      <c r="J135" s="99">
        <f t="shared" si="85"/>
        <v>1190</v>
      </c>
      <c r="K135" s="53">
        <v>45340</v>
      </c>
      <c r="L135" s="54">
        <f t="shared" si="3"/>
        <v>18</v>
      </c>
      <c r="M135" s="55" t="str" cm="1">
        <f t="array" ref="M135">INDEX(Processing!$W$6:$W$17,MONTH('ALL ORDERS'!K135))</f>
        <v>February</v>
      </c>
      <c r="N135" s="54">
        <f t="shared" si="91"/>
        <v>2024</v>
      </c>
      <c r="O135" s="58">
        <v>0.5</v>
      </c>
      <c r="P135" s="59" t="s">
        <v>231</v>
      </c>
      <c r="Q135" s="60" t="s">
        <v>94</v>
      </c>
      <c r="R135" s="56" t="s">
        <v>331</v>
      </c>
      <c r="S135" s="61" t="s">
        <v>46</v>
      </c>
      <c r="T135" s="62" t="s">
        <v>499</v>
      </c>
      <c r="U135" s="63" t="s">
        <v>24</v>
      </c>
      <c r="V135" s="63" t="s">
        <v>147</v>
      </c>
      <c r="W135" s="64">
        <v>1319</v>
      </c>
      <c r="X135" s="64">
        <v>5</v>
      </c>
      <c r="Y135" s="47"/>
      <c r="Z135" s="47"/>
    </row>
    <row r="136" spans="1:26" x14ac:dyDescent="0.25">
      <c r="A136" s="53">
        <v>45340</v>
      </c>
      <c r="B136" s="54">
        <f t="shared" si="83"/>
        <v>18</v>
      </c>
      <c r="C136" s="55" t="str" cm="1">
        <f t="array" ref="C136">INDEX(Processing!$C$11:$C$22,MONTH('ALL ORDERS'!A136))</f>
        <v>FEB</v>
      </c>
      <c r="D136" s="54">
        <f t="shared" si="84"/>
        <v>2024</v>
      </c>
      <c r="E136" s="56" t="s">
        <v>47</v>
      </c>
      <c r="F136" s="56" t="s">
        <v>123</v>
      </c>
      <c r="G136" s="100">
        <v>0</v>
      </c>
      <c r="H136" s="100">
        <v>1390</v>
      </c>
      <c r="I136" s="57"/>
      <c r="J136" s="99">
        <f t="shared" si="85"/>
        <v>1390</v>
      </c>
      <c r="K136" s="53">
        <v>45340</v>
      </c>
      <c r="L136" s="54">
        <f t="shared" si="3"/>
        <v>18</v>
      </c>
      <c r="M136" s="55" t="str" cm="1">
        <f t="array" ref="M136">INDEX(Processing!$W$6:$W$17,MONTH('ALL ORDERS'!K136))</f>
        <v>February</v>
      </c>
      <c r="N136" s="54">
        <f t="shared" si="91"/>
        <v>2024</v>
      </c>
      <c r="O136" s="58">
        <v>0.66666666666666663</v>
      </c>
      <c r="P136" s="59" t="s">
        <v>164</v>
      </c>
      <c r="Q136" s="60" t="s">
        <v>94</v>
      </c>
      <c r="R136" s="56" t="s">
        <v>247</v>
      </c>
      <c r="S136" s="61" t="s">
        <v>46</v>
      </c>
      <c r="T136" s="62" t="s">
        <v>500</v>
      </c>
      <c r="U136" s="63" t="s">
        <v>24</v>
      </c>
      <c r="V136" s="63" t="s">
        <v>147</v>
      </c>
      <c r="W136" s="64">
        <v>2487</v>
      </c>
      <c r="X136" s="64">
        <v>5</v>
      </c>
      <c r="Y136" s="47"/>
      <c r="Z136" s="47"/>
    </row>
    <row r="137" spans="1:26" x14ac:dyDescent="0.25">
      <c r="A137" s="53">
        <v>45340</v>
      </c>
      <c r="B137" s="54">
        <f t="shared" si="83"/>
        <v>18</v>
      </c>
      <c r="C137" s="55" t="str" cm="1">
        <f t="array" ref="C137">INDEX(Processing!$C$11:$C$22,MONTH('ALL ORDERS'!A137))</f>
        <v>FEB</v>
      </c>
      <c r="D137" s="54">
        <f t="shared" si="84"/>
        <v>2024</v>
      </c>
      <c r="E137" s="56" t="s">
        <v>50</v>
      </c>
      <c r="F137" s="56" t="s">
        <v>125</v>
      </c>
      <c r="G137" s="100">
        <v>2120</v>
      </c>
      <c r="H137" s="100">
        <v>0</v>
      </c>
      <c r="I137" s="57"/>
      <c r="J137" s="99">
        <f t="shared" si="85"/>
        <v>2120</v>
      </c>
      <c r="K137" s="53">
        <v>45340</v>
      </c>
      <c r="L137" s="54">
        <f t="shared" si="3"/>
        <v>18</v>
      </c>
      <c r="M137" s="55" t="str" cm="1">
        <f t="array" ref="M137">INDEX(Processing!$W$6:$W$17,MONTH('ALL ORDERS'!K137))</f>
        <v>February</v>
      </c>
      <c r="N137" s="54">
        <f t="shared" si="91"/>
        <v>2024</v>
      </c>
      <c r="O137" s="58">
        <v>0.75</v>
      </c>
      <c r="P137" s="59" t="s">
        <v>232</v>
      </c>
      <c r="Q137" s="60" t="s">
        <v>94</v>
      </c>
      <c r="R137" s="56" t="s">
        <v>332</v>
      </c>
      <c r="S137" s="61" t="s">
        <v>41</v>
      </c>
      <c r="T137" s="62" t="s">
        <v>501</v>
      </c>
      <c r="U137" s="63" t="s">
        <v>26</v>
      </c>
      <c r="V137" s="63" t="s">
        <v>148</v>
      </c>
      <c r="W137" s="64">
        <v>3675</v>
      </c>
      <c r="X137" s="64"/>
      <c r="Y137" s="47"/>
      <c r="Z137" s="47"/>
    </row>
    <row r="138" spans="1:26" x14ac:dyDescent="0.25">
      <c r="A138" s="53">
        <v>45344</v>
      </c>
      <c r="B138" s="54">
        <f t="shared" si="83"/>
        <v>22</v>
      </c>
      <c r="C138" s="55" t="str" cm="1">
        <f t="array" ref="C138">INDEX(Processing!$C$11:$C$22,MONTH('ALL ORDERS'!A138))</f>
        <v>FEB</v>
      </c>
      <c r="D138" s="54">
        <f t="shared" si="84"/>
        <v>2024</v>
      </c>
      <c r="E138" s="56" t="s">
        <v>51</v>
      </c>
      <c r="F138" s="56" t="s">
        <v>124</v>
      </c>
      <c r="G138" s="100">
        <v>1120</v>
      </c>
      <c r="H138" s="100">
        <v>0</v>
      </c>
      <c r="I138" s="57"/>
      <c r="J138" s="99">
        <f t="shared" si="85"/>
        <v>1120</v>
      </c>
      <c r="K138" s="53">
        <v>45344</v>
      </c>
      <c r="L138" s="54">
        <f t="shared" si="3"/>
        <v>22</v>
      </c>
      <c r="M138" s="55" t="str" cm="1">
        <f t="array" ref="M138">INDEX(Processing!$W$6:$W$17,MONTH('ALL ORDERS'!K138))</f>
        <v>February</v>
      </c>
      <c r="N138" s="54">
        <f t="shared" si="91"/>
        <v>2024</v>
      </c>
      <c r="O138" s="58">
        <v>0.41666666666666669</v>
      </c>
      <c r="P138" s="59" t="s">
        <v>232</v>
      </c>
      <c r="Q138" s="60" t="s">
        <v>94</v>
      </c>
      <c r="R138" s="56" t="s">
        <v>332</v>
      </c>
      <c r="S138" s="61" t="s">
        <v>43</v>
      </c>
      <c r="T138" s="70">
        <v>51900888990</v>
      </c>
      <c r="U138" s="63" t="s">
        <v>26</v>
      </c>
      <c r="V138" s="63" t="s">
        <v>147</v>
      </c>
      <c r="W138" s="64">
        <v>2105</v>
      </c>
      <c r="X138" s="64">
        <v>3</v>
      </c>
      <c r="Y138" s="47"/>
      <c r="Z138" s="47"/>
    </row>
    <row r="139" spans="1:26" x14ac:dyDescent="0.25">
      <c r="A139" s="53">
        <v>45344</v>
      </c>
      <c r="B139" s="54">
        <f t="shared" si="83"/>
        <v>22</v>
      </c>
      <c r="C139" s="55" t="str" cm="1">
        <f t="array" ref="C139">INDEX(Processing!$C$11:$C$22,MONTH('ALL ORDERS'!A139))</f>
        <v>FEB</v>
      </c>
      <c r="D139" s="54">
        <f t="shared" si="84"/>
        <v>2024</v>
      </c>
      <c r="E139" s="56" t="s">
        <v>48</v>
      </c>
      <c r="F139" s="56" t="s">
        <v>22</v>
      </c>
      <c r="G139" s="100">
        <v>1050</v>
      </c>
      <c r="H139" s="100">
        <v>0</v>
      </c>
      <c r="I139" s="57"/>
      <c r="J139" s="99">
        <f t="shared" si="85"/>
        <v>1050</v>
      </c>
      <c r="K139" s="53">
        <v>45344</v>
      </c>
      <c r="L139" s="54">
        <f t="shared" si="3"/>
        <v>22</v>
      </c>
      <c r="M139" s="55" t="str" cm="1">
        <f t="array" ref="M139">INDEX(Processing!$W$6:$W$17,MONTH('ALL ORDERS'!K139))</f>
        <v>February</v>
      </c>
      <c r="N139" s="54">
        <f t="shared" si="91"/>
        <v>2024</v>
      </c>
      <c r="O139" s="58">
        <v>0.5</v>
      </c>
      <c r="P139" s="59" t="s">
        <v>183</v>
      </c>
      <c r="Q139" s="60" t="s">
        <v>91</v>
      </c>
      <c r="R139" s="56" t="s">
        <v>268</v>
      </c>
      <c r="S139" s="61" t="s">
        <v>45</v>
      </c>
      <c r="T139" s="62" t="s">
        <v>502</v>
      </c>
      <c r="U139" s="63" t="s">
        <v>24</v>
      </c>
      <c r="V139" s="63" t="s">
        <v>147</v>
      </c>
      <c r="W139" s="64">
        <v>1512</v>
      </c>
      <c r="X139" s="64">
        <v>2</v>
      </c>
      <c r="Y139" s="47"/>
      <c r="Z139" s="47"/>
    </row>
    <row r="140" spans="1:26" x14ac:dyDescent="0.25">
      <c r="A140" s="53">
        <v>45346</v>
      </c>
      <c r="B140" s="54">
        <f t="shared" si="83"/>
        <v>24</v>
      </c>
      <c r="C140" s="55" t="str" cm="1">
        <f t="array" ref="C140">INDEX(Processing!$C$11:$C$22,MONTH('ALL ORDERS'!A140))</f>
        <v>FEB</v>
      </c>
      <c r="D140" s="54">
        <f t="shared" si="84"/>
        <v>2024</v>
      </c>
      <c r="E140" s="56" t="s">
        <v>49</v>
      </c>
      <c r="F140" s="56" t="s">
        <v>152</v>
      </c>
      <c r="G140" s="100">
        <v>1490</v>
      </c>
      <c r="H140" s="100">
        <v>0</v>
      </c>
      <c r="I140" s="57"/>
      <c r="J140" s="99">
        <f t="shared" si="85"/>
        <v>1490</v>
      </c>
      <c r="K140" s="53">
        <v>45346</v>
      </c>
      <c r="L140" s="54">
        <f t="shared" ref="L140" si="92">DAY(K140)</f>
        <v>24</v>
      </c>
      <c r="M140" s="55" t="str" cm="1">
        <f t="array" ref="M140">INDEX(Processing!$W$6:$W$17,MONTH('ALL ORDERS'!K140))</f>
        <v>February</v>
      </c>
      <c r="N140" s="54">
        <f t="shared" si="91"/>
        <v>2024</v>
      </c>
      <c r="O140" s="58">
        <v>0.66666666666666663</v>
      </c>
      <c r="P140" s="59" t="s">
        <v>163</v>
      </c>
      <c r="Q140" s="60" t="s">
        <v>94</v>
      </c>
      <c r="R140" s="56" t="s">
        <v>246</v>
      </c>
      <c r="S140" s="61" t="s">
        <v>44</v>
      </c>
      <c r="T140" s="62" t="s">
        <v>503</v>
      </c>
      <c r="U140" s="63" t="s">
        <v>26</v>
      </c>
      <c r="V140" s="63" t="s">
        <v>147</v>
      </c>
      <c r="W140" s="64">
        <v>1752</v>
      </c>
      <c r="X140" s="64">
        <v>4</v>
      </c>
      <c r="Y140" s="47"/>
      <c r="Z140" s="47"/>
    </row>
    <row r="141" spans="1:26" x14ac:dyDescent="0.25">
      <c r="A141" s="53">
        <v>45347</v>
      </c>
      <c r="B141" s="54">
        <f t="shared" si="83"/>
        <v>25</v>
      </c>
      <c r="C141" s="55" t="str" cm="1">
        <f t="array" ref="C141">INDEX(Processing!$C$11:$C$22,MONTH('ALL ORDERS'!A141))</f>
        <v>FEB</v>
      </c>
      <c r="D141" s="54">
        <f t="shared" si="84"/>
        <v>2024</v>
      </c>
      <c r="E141" s="56" t="s">
        <v>47</v>
      </c>
      <c r="F141" s="56" t="s">
        <v>22</v>
      </c>
      <c r="G141" s="100">
        <v>1180</v>
      </c>
      <c r="H141" s="100">
        <v>0</v>
      </c>
      <c r="I141" s="57"/>
      <c r="J141" s="99">
        <f t="shared" si="85"/>
        <v>1180</v>
      </c>
      <c r="K141" s="53">
        <v>45347</v>
      </c>
      <c r="L141" s="54">
        <f t="shared" si="3"/>
        <v>25</v>
      </c>
      <c r="M141" s="55" t="str" cm="1">
        <f t="array" ref="M141">INDEX(Processing!$W$6:$W$17,MONTH('ALL ORDERS'!K141))</f>
        <v>February</v>
      </c>
      <c r="N141" s="54">
        <f t="shared" si="91"/>
        <v>2024</v>
      </c>
      <c r="O141" s="58">
        <v>0.75</v>
      </c>
      <c r="P141" s="59" t="s">
        <v>345</v>
      </c>
      <c r="Q141" s="60" t="s">
        <v>94</v>
      </c>
      <c r="R141" s="56" t="s">
        <v>307</v>
      </c>
      <c r="S141" s="61" t="s">
        <v>46</v>
      </c>
      <c r="T141" s="62" t="s">
        <v>504</v>
      </c>
      <c r="U141" s="63" t="s">
        <v>27</v>
      </c>
      <c r="V141" s="63" t="s">
        <v>147</v>
      </c>
      <c r="W141" s="64">
        <v>2974</v>
      </c>
      <c r="X141" s="64">
        <v>3</v>
      </c>
      <c r="Y141" s="47"/>
      <c r="Z141" s="47"/>
    </row>
    <row r="142" spans="1:26" x14ac:dyDescent="0.25">
      <c r="A142" s="53">
        <v>45348</v>
      </c>
      <c r="B142" s="54">
        <f t="shared" si="83"/>
        <v>26</v>
      </c>
      <c r="C142" s="55" t="str" cm="1">
        <f t="array" ref="C142">INDEX(Processing!$C$11:$C$22,MONTH('ALL ORDERS'!A142))</f>
        <v>FEB</v>
      </c>
      <c r="D142" s="54">
        <f t="shared" si="84"/>
        <v>2024</v>
      </c>
      <c r="E142" s="56" t="s">
        <v>50</v>
      </c>
      <c r="F142" s="56" t="s">
        <v>124</v>
      </c>
      <c r="G142" s="100">
        <v>2590</v>
      </c>
      <c r="H142" s="100">
        <v>0</v>
      </c>
      <c r="I142" s="57"/>
      <c r="J142" s="99">
        <f t="shared" si="85"/>
        <v>2590</v>
      </c>
      <c r="K142" s="53">
        <v>45348</v>
      </c>
      <c r="L142" s="54">
        <f t="shared" si="3"/>
        <v>26</v>
      </c>
      <c r="M142" s="55" t="str" cm="1">
        <f t="array" ref="M142">INDEX(Processing!$W$6:$W$17,MONTH('ALL ORDERS'!K142))</f>
        <v>February</v>
      </c>
      <c r="N142" s="54">
        <f t="shared" si="91"/>
        <v>2024</v>
      </c>
      <c r="O142" s="58">
        <v>0.41666666666666669</v>
      </c>
      <c r="P142" s="59" t="s">
        <v>343</v>
      </c>
      <c r="Q142" s="60" t="s">
        <v>94</v>
      </c>
      <c r="R142" s="56" t="s">
        <v>303</v>
      </c>
      <c r="S142" s="61" t="s">
        <v>41</v>
      </c>
      <c r="T142" s="62" t="s">
        <v>505</v>
      </c>
      <c r="U142" s="63" t="s">
        <v>23</v>
      </c>
      <c r="V142" s="63" t="s">
        <v>147</v>
      </c>
      <c r="W142" s="64">
        <v>1639</v>
      </c>
      <c r="X142" s="64">
        <v>3</v>
      </c>
      <c r="Y142" s="47"/>
      <c r="Z142" s="47"/>
    </row>
    <row r="143" spans="1:26" x14ac:dyDescent="0.25">
      <c r="A143" s="53">
        <v>45350</v>
      </c>
      <c r="B143" s="54">
        <f t="shared" si="83"/>
        <v>28</v>
      </c>
      <c r="C143" s="55" t="str" cm="1">
        <f t="array" ref="C143">INDEX(Processing!$C$11:$C$22,MONTH('ALL ORDERS'!A143))</f>
        <v>FEB</v>
      </c>
      <c r="D143" s="54">
        <f t="shared" si="84"/>
        <v>2024</v>
      </c>
      <c r="E143" s="56" t="s">
        <v>47</v>
      </c>
      <c r="F143" s="56" t="s">
        <v>153</v>
      </c>
      <c r="G143" s="100">
        <v>0</v>
      </c>
      <c r="H143" s="100">
        <v>1000</v>
      </c>
      <c r="I143" s="57"/>
      <c r="J143" s="99">
        <f t="shared" si="85"/>
        <v>1000</v>
      </c>
      <c r="K143" s="53">
        <v>45350</v>
      </c>
      <c r="L143" s="54">
        <f t="shared" si="3"/>
        <v>28</v>
      </c>
      <c r="M143" s="55" t="str" cm="1">
        <f t="array" ref="M143">INDEX(Processing!$W$6:$W$17,MONTH('ALL ORDERS'!K143))</f>
        <v>February</v>
      </c>
      <c r="N143" s="54">
        <f t="shared" si="91"/>
        <v>2024</v>
      </c>
      <c r="O143" s="58">
        <v>0.5</v>
      </c>
      <c r="P143" s="59" t="s">
        <v>338</v>
      </c>
      <c r="Q143" s="60" t="s">
        <v>94</v>
      </c>
      <c r="R143" s="56" t="s">
        <v>253</v>
      </c>
      <c r="S143" s="61" t="s">
        <v>46</v>
      </c>
      <c r="T143" s="62" t="s">
        <v>506</v>
      </c>
      <c r="U143" s="63" t="s">
        <v>25</v>
      </c>
      <c r="V143" s="63" t="s">
        <v>147</v>
      </c>
      <c r="W143" s="64">
        <v>633</v>
      </c>
      <c r="X143" s="64">
        <v>4</v>
      </c>
      <c r="Y143" s="47"/>
      <c r="Z143" s="47"/>
    </row>
    <row r="144" spans="1:26" x14ac:dyDescent="0.25">
      <c r="A144" s="53">
        <v>45350</v>
      </c>
      <c r="B144" s="54">
        <f t="shared" si="83"/>
        <v>28</v>
      </c>
      <c r="C144" s="55" t="str" cm="1">
        <f t="array" ref="C144">INDEX(Processing!$C$11:$C$22,MONTH('ALL ORDERS'!A144))</f>
        <v>FEB</v>
      </c>
      <c r="D144" s="54">
        <f t="shared" si="84"/>
        <v>2024</v>
      </c>
      <c r="E144" s="56" t="s">
        <v>51</v>
      </c>
      <c r="F144" s="56" t="s">
        <v>19</v>
      </c>
      <c r="G144" s="100">
        <v>0</v>
      </c>
      <c r="H144" s="100">
        <v>1550</v>
      </c>
      <c r="I144" s="57"/>
      <c r="J144" s="99">
        <f t="shared" si="85"/>
        <v>1550</v>
      </c>
      <c r="K144" s="53">
        <v>45350</v>
      </c>
      <c r="L144" s="54">
        <f t="shared" si="3"/>
        <v>28</v>
      </c>
      <c r="M144" s="55" t="str" cm="1">
        <f t="array" ref="M144">INDEX(Processing!$W$6:$W$17,MONTH('ALL ORDERS'!K144))</f>
        <v>February</v>
      </c>
      <c r="N144" s="54">
        <f t="shared" si="91"/>
        <v>2024</v>
      </c>
      <c r="O144" s="58">
        <v>0.66666666666666663</v>
      </c>
      <c r="P144" s="59" t="s">
        <v>179</v>
      </c>
      <c r="Q144" s="60" t="s">
        <v>94</v>
      </c>
      <c r="R144" s="56" t="s">
        <v>264</v>
      </c>
      <c r="S144" s="61" t="s">
        <v>43</v>
      </c>
      <c r="T144" s="62" t="s">
        <v>507</v>
      </c>
      <c r="U144" s="63" t="s">
        <v>23</v>
      </c>
      <c r="V144" s="63" t="s">
        <v>147</v>
      </c>
      <c r="W144" s="64">
        <v>1765</v>
      </c>
      <c r="X144" s="64">
        <v>3</v>
      </c>
      <c r="Y144" s="47"/>
      <c r="Z144" s="47"/>
    </row>
    <row r="145" spans="1:26" x14ac:dyDescent="0.25">
      <c r="A145" s="53">
        <v>45352</v>
      </c>
      <c r="B145" s="54">
        <f t="shared" si="83"/>
        <v>1</v>
      </c>
      <c r="C145" s="55" t="str" cm="1">
        <f t="array" ref="C145">INDEX(Processing!$C$11:$C$22,MONTH('ALL ORDERS'!A145))</f>
        <v>MAR</v>
      </c>
      <c r="D145" s="54">
        <f t="shared" si="84"/>
        <v>2024</v>
      </c>
      <c r="E145" s="56" t="s">
        <v>49</v>
      </c>
      <c r="F145" s="56" t="s">
        <v>137</v>
      </c>
      <c r="G145" s="100">
        <v>0</v>
      </c>
      <c r="H145" s="100">
        <v>1240</v>
      </c>
      <c r="I145" s="57"/>
      <c r="J145" s="99">
        <f t="shared" si="85"/>
        <v>1240</v>
      </c>
      <c r="K145" s="53">
        <v>45352</v>
      </c>
      <c r="L145" s="54">
        <f t="shared" si="3"/>
        <v>1</v>
      </c>
      <c r="M145" s="55" t="str" cm="1">
        <f t="array" ref="M145">INDEX(Processing!$W$6:$W$17,MONTH('ALL ORDERS'!K145))</f>
        <v>March</v>
      </c>
      <c r="N145" s="54">
        <f t="shared" si="91"/>
        <v>2024</v>
      </c>
      <c r="O145" s="58">
        <v>0.75</v>
      </c>
      <c r="P145" s="59" t="s">
        <v>344</v>
      </c>
      <c r="Q145" s="60" t="s">
        <v>90</v>
      </c>
      <c r="R145" s="56" t="s">
        <v>306</v>
      </c>
      <c r="S145" s="61" t="s">
        <v>45</v>
      </c>
      <c r="T145" s="62" t="s">
        <v>508</v>
      </c>
      <c r="U145" s="63" t="s">
        <v>26</v>
      </c>
      <c r="V145" s="63" t="s">
        <v>147</v>
      </c>
      <c r="W145" s="64">
        <v>1977</v>
      </c>
      <c r="X145" s="64">
        <v>4</v>
      </c>
      <c r="Y145" s="47"/>
      <c r="Z145" s="47"/>
    </row>
    <row r="146" spans="1:26" x14ac:dyDescent="0.25">
      <c r="A146" s="53">
        <v>45353</v>
      </c>
      <c r="B146" s="54">
        <f t="shared" si="83"/>
        <v>2</v>
      </c>
      <c r="C146" s="55" t="str" cm="1">
        <f t="array" ref="C146">INDEX(Processing!$C$11:$C$22,MONTH('ALL ORDERS'!A146))</f>
        <v>MAR</v>
      </c>
      <c r="D146" s="54">
        <f t="shared" si="84"/>
        <v>2024</v>
      </c>
      <c r="E146" s="56" t="s">
        <v>47</v>
      </c>
      <c r="F146" s="56" t="s">
        <v>124</v>
      </c>
      <c r="G146" s="100">
        <v>0</v>
      </c>
      <c r="H146" s="100">
        <v>840</v>
      </c>
      <c r="I146" s="57"/>
      <c r="J146" s="99">
        <f t="shared" si="85"/>
        <v>840</v>
      </c>
      <c r="K146" s="53">
        <v>45353</v>
      </c>
      <c r="L146" s="54">
        <f t="shared" si="3"/>
        <v>2</v>
      </c>
      <c r="M146" s="55" t="str" cm="1">
        <f t="array" ref="M146">INDEX(Processing!$W$6:$W$17,MONTH('ALL ORDERS'!K146))</f>
        <v>March</v>
      </c>
      <c r="N146" s="54">
        <f t="shared" si="91"/>
        <v>2024</v>
      </c>
      <c r="O146" s="58">
        <v>0.41666666666666669</v>
      </c>
      <c r="P146" s="59" t="s">
        <v>172</v>
      </c>
      <c r="Q146" s="60" t="s">
        <v>94</v>
      </c>
      <c r="R146" s="56" t="s">
        <v>256</v>
      </c>
      <c r="S146" s="61" t="s">
        <v>41</v>
      </c>
      <c r="T146" s="62" t="s">
        <v>509</v>
      </c>
      <c r="U146" s="63" t="s">
        <v>24</v>
      </c>
      <c r="V146" s="63" t="s">
        <v>147</v>
      </c>
      <c r="W146" s="64">
        <v>1473</v>
      </c>
      <c r="X146" s="64">
        <v>5</v>
      </c>
      <c r="Y146" s="47"/>
      <c r="Z146" s="47"/>
    </row>
    <row r="147" spans="1:26" x14ac:dyDescent="0.25">
      <c r="A147" s="53">
        <v>45354</v>
      </c>
      <c r="B147" s="54">
        <f t="shared" si="83"/>
        <v>3</v>
      </c>
      <c r="C147" s="55" t="str" cm="1">
        <f t="array" ref="C147">INDEX(Processing!$C$11:$C$22,MONTH('ALL ORDERS'!A147))</f>
        <v>MAR</v>
      </c>
      <c r="D147" s="54">
        <f t="shared" si="84"/>
        <v>2024</v>
      </c>
      <c r="E147" s="56" t="s">
        <v>50</v>
      </c>
      <c r="F147" s="56" t="s">
        <v>19</v>
      </c>
      <c r="G147" s="100">
        <v>0</v>
      </c>
      <c r="H147" s="100">
        <v>1110</v>
      </c>
      <c r="I147" s="57">
        <v>0.15</v>
      </c>
      <c r="J147" s="99">
        <f t="shared" si="85"/>
        <v>1110</v>
      </c>
      <c r="K147" s="53">
        <v>45354</v>
      </c>
      <c r="L147" s="54">
        <f t="shared" si="3"/>
        <v>3</v>
      </c>
      <c r="M147" s="55" t="str" cm="1">
        <f t="array" ref="M147">INDEX(Processing!$W$6:$W$17,MONTH('ALL ORDERS'!K147))</f>
        <v>March</v>
      </c>
      <c r="N147" s="54">
        <f t="shared" si="91"/>
        <v>2024</v>
      </c>
      <c r="O147" s="58">
        <v>0.5</v>
      </c>
      <c r="P147" s="59" t="s">
        <v>234</v>
      </c>
      <c r="Q147" s="60" t="s">
        <v>94</v>
      </c>
      <c r="R147" s="56" t="s">
        <v>335</v>
      </c>
      <c r="S147" s="61" t="s">
        <v>46</v>
      </c>
      <c r="T147" s="62" t="s">
        <v>510</v>
      </c>
      <c r="U147" s="63" t="s">
        <v>24</v>
      </c>
      <c r="V147" s="63" t="s">
        <v>147</v>
      </c>
      <c r="W147" s="64">
        <v>2456</v>
      </c>
      <c r="X147" s="64">
        <v>4</v>
      </c>
      <c r="Y147" s="47"/>
      <c r="Z147" s="47"/>
    </row>
    <row r="148" spans="1:26" x14ac:dyDescent="0.25">
      <c r="A148" s="53">
        <v>45355</v>
      </c>
      <c r="B148" s="54">
        <f t="shared" si="83"/>
        <v>4</v>
      </c>
      <c r="C148" s="55" t="str" cm="1">
        <f t="array" ref="C148">INDEX(Processing!$C$11:$C$22,MONTH('ALL ORDERS'!A148))</f>
        <v>MAR</v>
      </c>
      <c r="D148" s="54">
        <f t="shared" si="84"/>
        <v>2024</v>
      </c>
      <c r="E148" s="56" t="s">
        <v>48</v>
      </c>
      <c r="F148" s="56" t="s">
        <v>123</v>
      </c>
      <c r="G148" s="100">
        <v>0</v>
      </c>
      <c r="H148" s="100">
        <v>1190</v>
      </c>
      <c r="I148" s="57"/>
      <c r="J148" s="99">
        <f t="shared" si="85"/>
        <v>1190</v>
      </c>
      <c r="K148" s="53">
        <v>45355</v>
      </c>
      <c r="L148" s="54">
        <f t="shared" si="3"/>
        <v>4</v>
      </c>
      <c r="M148" s="55" t="str" cm="1">
        <f t="array" ref="M148">INDEX(Processing!$W$6:$W$17,MONTH('ALL ORDERS'!K148))</f>
        <v>March</v>
      </c>
      <c r="N148" s="54">
        <f t="shared" si="91"/>
        <v>2024</v>
      </c>
      <c r="O148" s="58">
        <v>0.66666666666666663</v>
      </c>
      <c r="P148" s="59" t="s">
        <v>343</v>
      </c>
      <c r="Q148" s="60" t="s">
        <v>94</v>
      </c>
      <c r="R148" s="56" t="s">
        <v>303</v>
      </c>
      <c r="S148" s="61" t="s">
        <v>46</v>
      </c>
      <c r="T148" s="62" t="s">
        <v>511</v>
      </c>
      <c r="U148" s="63" t="s">
        <v>26</v>
      </c>
      <c r="V148" s="63" t="s">
        <v>147</v>
      </c>
      <c r="W148" s="64">
        <v>1855</v>
      </c>
      <c r="X148" s="64">
        <v>5</v>
      </c>
      <c r="Y148" s="47"/>
      <c r="Z148" s="47"/>
    </row>
    <row r="149" spans="1:26" x14ac:dyDescent="0.25">
      <c r="A149" s="53">
        <v>45356</v>
      </c>
      <c r="B149" s="54">
        <f t="shared" ref="B149:B213" si="93">DAY(A149)</f>
        <v>5</v>
      </c>
      <c r="C149" s="55" t="str" cm="1">
        <f t="array" ref="C149">INDEX(Processing!$C$11:$C$22,MONTH('ALL ORDERS'!A149))</f>
        <v>MAR</v>
      </c>
      <c r="D149" s="54">
        <f t="shared" ref="D149:D213" si="94">YEAR(A149)</f>
        <v>2024</v>
      </c>
      <c r="E149" s="56" t="s">
        <v>51</v>
      </c>
      <c r="F149" s="56" t="s">
        <v>121</v>
      </c>
      <c r="G149" s="100">
        <v>0</v>
      </c>
      <c r="H149" s="100">
        <v>1020</v>
      </c>
      <c r="I149" s="57"/>
      <c r="J149" s="99">
        <f t="shared" si="85"/>
        <v>1020</v>
      </c>
      <c r="K149" s="53">
        <v>45356</v>
      </c>
      <c r="L149" s="54">
        <f t="shared" si="3"/>
        <v>5</v>
      </c>
      <c r="M149" s="55" t="str" cm="1">
        <f t="array" ref="M149">INDEX(Processing!$W$6:$W$17,MONTH('ALL ORDERS'!K149))</f>
        <v>March</v>
      </c>
      <c r="N149" s="54">
        <f t="shared" si="91"/>
        <v>2024</v>
      </c>
      <c r="O149" s="58">
        <v>0.75</v>
      </c>
      <c r="P149" s="59" t="s">
        <v>160</v>
      </c>
      <c r="Q149" s="60" t="s">
        <v>94</v>
      </c>
      <c r="R149" s="56" t="s">
        <v>242</v>
      </c>
      <c r="S149" s="61" t="s">
        <v>41</v>
      </c>
      <c r="T149" s="62" t="s">
        <v>512</v>
      </c>
      <c r="U149" s="63" t="s">
        <v>25</v>
      </c>
      <c r="V149" s="63" t="s">
        <v>147</v>
      </c>
      <c r="W149" s="64">
        <v>2034</v>
      </c>
      <c r="X149" s="64">
        <v>5</v>
      </c>
      <c r="Y149" s="47"/>
      <c r="Z149" s="47"/>
    </row>
    <row r="150" spans="1:26" x14ac:dyDescent="0.25">
      <c r="A150" s="53">
        <v>45357</v>
      </c>
      <c r="B150" s="54">
        <f t="shared" si="93"/>
        <v>6</v>
      </c>
      <c r="C150" s="55" t="str" cm="1">
        <f t="array" ref="C150">INDEX(Processing!$C$11:$C$22,MONTH('ALL ORDERS'!A150))</f>
        <v>MAR</v>
      </c>
      <c r="D150" s="54">
        <f t="shared" si="94"/>
        <v>2024</v>
      </c>
      <c r="E150" s="56" t="s">
        <v>47</v>
      </c>
      <c r="F150" s="56" t="s">
        <v>18</v>
      </c>
      <c r="G150" s="100">
        <v>0</v>
      </c>
      <c r="H150" s="100">
        <v>1340</v>
      </c>
      <c r="I150" s="57"/>
      <c r="J150" s="99">
        <f t="shared" ref="J150:J213" si="95">G150+H150</f>
        <v>1340</v>
      </c>
      <c r="K150" s="53">
        <v>45357</v>
      </c>
      <c r="L150" s="54">
        <f t="shared" si="3"/>
        <v>6</v>
      </c>
      <c r="M150" s="55" t="str" cm="1">
        <f t="array" ref="M150">INDEX(Processing!$W$6:$W$17,MONTH('ALL ORDERS'!K150))</f>
        <v>March</v>
      </c>
      <c r="N150" s="54">
        <f t="shared" si="91"/>
        <v>2024</v>
      </c>
      <c r="O150" s="58">
        <v>0.41666666666666669</v>
      </c>
      <c r="P150" s="59" t="s">
        <v>341</v>
      </c>
      <c r="Q150" s="60" t="s">
        <v>94</v>
      </c>
      <c r="R150" s="56" t="s">
        <v>283</v>
      </c>
      <c r="S150" s="61" t="s">
        <v>43</v>
      </c>
      <c r="T150" s="70">
        <v>50900888990</v>
      </c>
      <c r="U150" s="63" t="s">
        <v>23</v>
      </c>
      <c r="V150" s="63" t="s">
        <v>147</v>
      </c>
      <c r="W150" s="64">
        <v>3150</v>
      </c>
      <c r="X150" s="64">
        <v>4</v>
      </c>
      <c r="Y150" s="47"/>
      <c r="Z150" s="47"/>
    </row>
    <row r="151" spans="1:26" x14ac:dyDescent="0.25">
      <c r="A151" s="53">
        <v>45357</v>
      </c>
      <c r="B151" s="54">
        <f t="shared" si="93"/>
        <v>6</v>
      </c>
      <c r="C151" s="55" t="str" cm="1">
        <f t="array" ref="C151">INDEX(Processing!$C$11:$C$22,MONTH('ALL ORDERS'!A151))</f>
        <v>MAR</v>
      </c>
      <c r="D151" s="54">
        <f t="shared" si="94"/>
        <v>2024</v>
      </c>
      <c r="E151" s="56" t="s">
        <v>50</v>
      </c>
      <c r="F151" s="56" t="s">
        <v>19</v>
      </c>
      <c r="G151" s="100">
        <v>0</v>
      </c>
      <c r="H151" s="100">
        <v>1410</v>
      </c>
      <c r="I151" s="57"/>
      <c r="J151" s="99">
        <f t="shared" si="95"/>
        <v>1410</v>
      </c>
      <c r="K151" s="53">
        <v>45357</v>
      </c>
      <c r="L151" s="54">
        <f t="shared" si="3"/>
        <v>6</v>
      </c>
      <c r="M151" s="55" t="str" cm="1">
        <f t="array" ref="M151">INDEX(Processing!$W$6:$W$17,MONTH('ALL ORDERS'!K151))</f>
        <v>March</v>
      </c>
      <c r="N151" s="54">
        <f t="shared" si="91"/>
        <v>2024</v>
      </c>
      <c r="O151" s="58">
        <v>0.5</v>
      </c>
      <c r="P151" s="59" t="s">
        <v>218</v>
      </c>
      <c r="Q151" s="60" t="e">
        <v>#N/A</v>
      </c>
      <c r="R151" s="56" t="s">
        <v>317</v>
      </c>
      <c r="S151" s="61" t="s">
        <v>45</v>
      </c>
      <c r="T151" s="62" t="s">
        <v>513</v>
      </c>
      <c r="U151" s="63" t="s">
        <v>27</v>
      </c>
      <c r="V151" s="63" t="s">
        <v>147</v>
      </c>
      <c r="W151" s="64">
        <v>914</v>
      </c>
      <c r="X151" s="64">
        <v>5</v>
      </c>
      <c r="Y151" s="47"/>
      <c r="Z151" s="47"/>
    </row>
    <row r="152" spans="1:26" x14ac:dyDescent="0.25">
      <c r="A152" s="53">
        <v>45359</v>
      </c>
      <c r="B152" s="54">
        <f t="shared" si="93"/>
        <v>8</v>
      </c>
      <c r="C152" s="55" t="str" cm="1">
        <f t="array" ref="C152">INDEX(Processing!$C$11:$C$22,MONTH('ALL ORDERS'!A152))</f>
        <v>MAR</v>
      </c>
      <c r="D152" s="54">
        <f t="shared" si="94"/>
        <v>2024</v>
      </c>
      <c r="E152" s="56" t="s">
        <v>47</v>
      </c>
      <c r="F152" s="56" t="s">
        <v>20</v>
      </c>
      <c r="G152" s="100">
        <v>0</v>
      </c>
      <c r="H152" s="100">
        <v>1150</v>
      </c>
      <c r="I152" s="57"/>
      <c r="J152" s="99">
        <f t="shared" si="95"/>
        <v>1150</v>
      </c>
      <c r="K152" s="53">
        <v>45359</v>
      </c>
      <c r="L152" s="54">
        <f t="shared" si="3"/>
        <v>8</v>
      </c>
      <c r="M152" s="55" t="str" cm="1">
        <f t="array" ref="M152">INDEX(Processing!$W$6:$W$17,MONTH('ALL ORDERS'!K152))</f>
        <v>March</v>
      </c>
      <c r="N152" s="54">
        <f t="shared" si="91"/>
        <v>2024</v>
      </c>
      <c r="O152" s="58">
        <v>0.66666666666666663</v>
      </c>
      <c r="P152" s="59" t="s">
        <v>196</v>
      </c>
      <c r="Q152" s="60" t="s">
        <v>90</v>
      </c>
      <c r="R152" s="56" t="s">
        <v>282</v>
      </c>
      <c r="S152" s="61" t="s">
        <v>44</v>
      </c>
      <c r="T152" s="62" t="s">
        <v>514</v>
      </c>
      <c r="U152" s="63" t="s">
        <v>24</v>
      </c>
      <c r="V152" s="63" t="s">
        <v>147</v>
      </c>
      <c r="W152" s="64">
        <v>1391</v>
      </c>
      <c r="X152" s="64">
        <v>4</v>
      </c>
      <c r="Y152" s="47"/>
      <c r="Z152" s="47"/>
    </row>
    <row r="153" spans="1:26" x14ac:dyDescent="0.25">
      <c r="A153" s="53">
        <v>45360</v>
      </c>
      <c r="B153" s="54">
        <f t="shared" si="93"/>
        <v>9</v>
      </c>
      <c r="C153" s="55" t="str" cm="1">
        <f t="array" ref="C153">INDEX(Processing!$C$11:$C$22,MONTH('ALL ORDERS'!A153))</f>
        <v>MAR</v>
      </c>
      <c r="D153" s="54">
        <f t="shared" si="94"/>
        <v>2024</v>
      </c>
      <c r="E153" s="56" t="s">
        <v>48</v>
      </c>
      <c r="F153" s="56" t="s">
        <v>21</v>
      </c>
      <c r="G153" s="100">
        <v>0</v>
      </c>
      <c r="H153" s="100">
        <v>1850</v>
      </c>
      <c r="I153" s="57">
        <v>0.15</v>
      </c>
      <c r="J153" s="99">
        <f t="shared" si="95"/>
        <v>1850</v>
      </c>
      <c r="K153" s="53">
        <v>45360</v>
      </c>
      <c r="L153" s="54">
        <f t="shared" si="3"/>
        <v>9</v>
      </c>
      <c r="M153" s="55" t="str" cm="1">
        <f t="array" ref="M153">INDEX(Processing!$W$6:$W$17,MONTH('ALL ORDERS'!K153))</f>
        <v>March</v>
      </c>
      <c r="N153" s="54">
        <f t="shared" si="91"/>
        <v>2024</v>
      </c>
      <c r="O153" s="58">
        <v>0.75</v>
      </c>
      <c r="P153" s="59" t="s">
        <v>206</v>
      </c>
      <c r="Q153" s="60" t="s">
        <v>94</v>
      </c>
      <c r="R153" s="56" t="s">
        <v>294</v>
      </c>
      <c r="S153" s="61" t="s">
        <v>41</v>
      </c>
      <c r="T153" s="62" t="s">
        <v>515</v>
      </c>
      <c r="U153" s="63" t="s">
        <v>26</v>
      </c>
      <c r="V153" s="63" t="s">
        <v>147</v>
      </c>
      <c r="W153" s="64">
        <v>1303</v>
      </c>
      <c r="X153" s="64">
        <v>5</v>
      </c>
      <c r="Y153" s="47"/>
      <c r="Z153" s="47"/>
    </row>
    <row r="154" spans="1:26" x14ac:dyDescent="0.25">
      <c r="A154" s="53">
        <v>45360</v>
      </c>
      <c r="B154" s="54">
        <f t="shared" si="93"/>
        <v>9</v>
      </c>
      <c r="C154" s="55" t="str" cm="1">
        <f t="array" ref="C154">INDEX(Processing!$C$11:$C$22,MONTH('ALL ORDERS'!A154))</f>
        <v>MAR</v>
      </c>
      <c r="D154" s="54">
        <f t="shared" si="94"/>
        <v>2024</v>
      </c>
      <c r="E154" s="56" t="s">
        <v>49</v>
      </c>
      <c r="F154" s="56" t="s">
        <v>22</v>
      </c>
      <c r="G154" s="100">
        <v>1860</v>
      </c>
      <c r="H154" s="100">
        <v>0</v>
      </c>
      <c r="I154" s="57"/>
      <c r="J154" s="99">
        <f t="shared" si="95"/>
        <v>1860</v>
      </c>
      <c r="K154" s="53">
        <v>45360</v>
      </c>
      <c r="L154" s="54">
        <f t="shared" si="3"/>
        <v>9</v>
      </c>
      <c r="M154" s="55" t="str" cm="1">
        <f t="array" ref="M154">INDEX(Processing!$W$6:$W$17,MONTH('ALL ORDERS'!K154))</f>
        <v>March</v>
      </c>
      <c r="N154" s="54">
        <f t="shared" si="91"/>
        <v>2024</v>
      </c>
      <c r="O154" s="58">
        <v>0.375</v>
      </c>
      <c r="P154" s="59" t="s">
        <v>167</v>
      </c>
      <c r="Q154" s="60" t="s">
        <v>91</v>
      </c>
      <c r="R154" s="56" t="s">
        <v>250</v>
      </c>
      <c r="S154" s="61" t="s">
        <v>41</v>
      </c>
      <c r="T154" s="62" t="s">
        <v>516</v>
      </c>
      <c r="U154" s="63" t="s">
        <v>24</v>
      </c>
      <c r="V154" s="63" t="s">
        <v>147</v>
      </c>
      <c r="W154" s="64">
        <v>1847</v>
      </c>
      <c r="X154" s="64">
        <v>4</v>
      </c>
      <c r="Y154" s="47"/>
      <c r="Z154" s="47"/>
    </row>
    <row r="155" spans="1:26" x14ac:dyDescent="0.25">
      <c r="A155" s="53">
        <v>45362</v>
      </c>
      <c r="B155" s="54">
        <f t="shared" si="93"/>
        <v>11</v>
      </c>
      <c r="C155" s="55" t="str" cm="1">
        <f t="array" ref="C155">INDEX(Processing!$C$11:$C$22,MONTH('ALL ORDERS'!A155))</f>
        <v>MAR</v>
      </c>
      <c r="D155" s="54">
        <f t="shared" si="94"/>
        <v>2024</v>
      </c>
      <c r="E155" s="56" t="s">
        <v>47</v>
      </c>
      <c r="F155" s="56" t="s">
        <v>135</v>
      </c>
      <c r="G155" s="100">
        <v>0</v>
      </c>
      <c r="H155" s="100">
        <v>810</v>
      </c>
      <c r="I155" s="57"/>
      <c r="J155" s="99">
        <f t="shared" si="95"/>
        <v>810</v>
      </c>
      <c r="K155" s="53">
        <v>45362</v>
      </c>
      <c r="L155" s="54">
        <f t="shared" si="3"/>
        <v>11</v>
      </c>
      <c r="M155" s="55" t="str" cm="1">
        <f t="array" ref="M155">INDEX(Processing!$W$6:$W$17,MONTH('ALL ORDERS'!K155))</f>
        <v>March</v>
      </c>
      <c r="N155" s="54">
        <f t="shared" si="91"/>
        <v>2024</v>
      </c>
      <c r="O155" s="58">
        <v>0.45833333333333331</v>
      </c>
      <c r="P155" s="59" t="s">
        <v>346</v>
      </c>
      <c r="Q155" s="60" t="s">
        <v>94</v>
      </c>
      <c r="R155" s="56" t="s">
        <v>308</v>
      </c>
      <c r="S155" s="61" t="s">
        <v>46</v>
      </c>
      <c r="T155" s="62" t="s">
        <v>517</v>
      </c>
      <c r="U155" s="63" t="s">
        <v>24</v>
      </c>
      <c r="V155" s="63" t="s">
        <v>147</v>
      </c>
      <c r="W155" s="64">
        <v>3190</v>
      </c>
      <c r="X155" s="64">
        <v>5</v>
      </c>
      <c r="Y155" s="47"/>
      <c r="Z155" s="47"/>
    </row>
    <row r="156" spans="1:26" x14ac:dyDescent="0.25">
      <c r="A156" s="53">
        <v>45363</v>
      </c>
      <c r="B156" s="54">
        <f t="shared" si="93"/>
        <v>12</v>
      </c>
      <c r="C156" s="55" t="str" cm="1">
        <f t="array" ref="C156">INDEX(Processing!$C$11:$C$22,MONTH('ALL ORDERS'!A156))</f>
        <v>MAR</v>
      </c>
      <c r="D156" s="54">
        <f t="shared" si="94"/>
        <v>2024</v>
      </c>
      <c r="E156" s="56" t="s">
        <v>50</v>
      </c>
      <c r="F156" s="56" t="s">
        <v>22</v>
      </c>
      <c r="G156" s="100">
        <v>1810</v>
      </c>
      <c r="H156" s="100">
        <v>0</v>
      </c>
      <c r="I156" s="57"/>
      <c r="J156" s="99">
        <f t="shared" si="95"/>
        <v>1810</v>
      </c>
      <c r="K156" s="53">
        <v>45363</v>
      </c>
      <c r="L156" s="54">
        <f t="shared" si="3"/>
        <v>12</v>
      </c>
      <c r="M156" s="55" t="str" cm="1">
        <f t="array" ref="M156">INDEX(Processing!$W$6:$W$17,MONTH('ALL ORDERS'!K156))</f>
        <v>March</v>
      </c>
      <c r="N156" s="54">
        <f t="shared" si="91"/>
        <v>2024</v>
      </c>
      <c r="O156" s="58">
        <v>0.625</v>
      </c>
      <c r="P156" s="59" t="s">
        <v>157</v>
      </c>
      <c r="Q156" s="60" t="s">
        <v>90</v>
      </c>
      <c r="R156" s="56" t="s">
        <v>239</v>
      </c>
      <c r="S156" s="61" t="s">
        <v>43</v>
      </c>
      <c r="T156" s="62" t="s">
        <v>518</v>
      </c>
      <c r="U156" s="63" t="s">
        <v>24</v>
      </c>
      <c r="V156" s="63" t="s">
        <v>147</v>
      </c>
      <c r="W156" s="64">
        <v>2207</v>
      </c>
      <c r="X156" s="64">
        <v>5</v>
      </c>
      <c r="Y156" s="47"/>
      <c r="Z156" s="47"/>
    </row>
    <row r="157" spans="1:26" x14ac:dyDescent="0.25">
      <c r="A157" s="53">
        <v>45364</v>
      </c>
      <c r="B157" s="54">
        <f t="shared" si="93"/>
        <v>13</v>
      </c>
      <c r="C157" s="55" t="str" cm="1">
        <f t="array" ref="C157">INDEX(Processing!$C$11:$C$22,MONTH('ALL ORDERS'!A157))</f>
        <v>MAR</v>
      </c>
      <c r="D157" s="54">
        <f t="shared" si="94"/>
        <v>2024</v>
      </c>
      <c r="E157" s="56" t="s">
        <v>51</v>
      </c>
      <c r="F157" s="56" t="s">
        <v>135</v>
      </c>
      <c r="G157" s="100">
        <v>3000</v>
      </c>
      <c r="H157" s="100">
        <v>180</v>
      </c>
      <c r="I157" s="57"/>
      <c r="J157" s="99">
        <f t="shared" si="95"/>
        <v>3180</v>
      </c>
      <c r="K157" s="53">
        <v>45364</v>
      </c>
      <c r="L157" s="54">
        <f t="shared" si="3"/>
        <v>13</v>
      </c>
      <c r="M157" s="55" t="str" cm="1">
        <f t="array" ref="M157">INDEX(Processing!$W$6:$W$17,MONTH('ALL ORDERS'!K157))</f>
        <v>March</v>
      </c>
      <c r="N157" s="54">
        <f t="shared" si="91"/>
        <v>2024</v>
      </c>
      <c r="O157" s="58">
        <v>0.45833333333333331</v>
      </c>
      <c r="P157" s="59" t="s">
        <v>186</v>
      </c>
      <c r="Q157" s="60" t="s">
        <v>91</v>
      </c>
      <c r="R157" s="56" t="s">
        <v>271</v>
      </c>
      <c r="S157" s="61" t="s">
        <v>45</v>
      </c>
      <c r="T157" s="62" t="s">
        <v>519</v>
      </c>
      <c r="U157" s="63" t="s">
        <v>26</v>
      </c>
      <c r="V157" s="63" t="s">
        <v>147</v>
      </c>
      <c r="W157" s="64">
        <v>1596</v>
      </c>
      <c r="X157" s="64">
        <v>4</v>
      </c>
      <c r="Y157" s="47"/>
      <c r="Z157" s="47"/>
    </row>
    <row r="158" spans="1:26" x14ac:dyDescent="0.25">
      <c r="A158" s="53">
        <v>45365</v>
      </c>
      <c r="B158" s="54">
        <f t="shared" si="93"/>
        <v>14</v>
      </c>
      <c r="C158" s="55" t="str" cm="1">
        <f t="array" ref="C158">INDEX(Processing!$C$11:$C$22,MONTH('ALL ORDERS'!A158))</f>
        <v>MAR</v>
      </c>
      <c r="D158" s="54">
        <f t="shared" si="94"/>
        <v>2024</v>
      </c>
      <c r="E158" s="56" t="s">
        <v>47</v>
      </c>
      <c r="F158" s="56" t="s">
        <v>137</v>
      </c>
      <c r="G158" s="100">
        <v>0</v>
      </c>
      <c r="H158" s="100">
        <v>1330</v>
      </c>
      <c r="I158" s="57"/>
      <c r="J158" s="99">
        <f t="shared" si="95"/>
        <v>1330</v>
      </c>
      <c r="K158" s="53">
        <v>45365</v>
      </c>
      <c r="L158" s="54">
        <f t="shared" si="3"/>
        <v>14</v>
      </c>
      <c r="M158" s="55" t="str" cm="1">
        <f t="array" ref="M158">INDEX(Processing!$W$6:$W$17,MONTH('ALL ORDERS'!K158))</f>
        <v>March</v>
      </c>
      <c r="N158" s="54">
        <f t="shared" si="91"/>
        <v>2024</v>
      </c>
      <c r="O158" s="58">
        <v>0.375</v>
      </c>
      <c r="P158" s="59" t="s">
        <v>196</v>
      </c>
      <c r="Q158" s="60" t="s">
        <v>90</v>
      </c>
      <c r="R158" s="56" t="s">
        <v>282</v>
      </c>
      <c r="S158" s="61" t="s">
        <v>46</v>
      </c>
      <c r="T158" s="62" t="s">
        <v>520</v>
      </c>
      <c r="U158" s="63" t="s">
        <v>26</v>
      </c>
      <c r="V158" s="63" t="s">
        <v>147</v>
      </c>
      <c r="W158" s="64">
        <v>1455</v>
      </c>
      <c r="X158" s="64">
        <v>5</v>
      </c>
      <c r="Y158" s="47"/>
      <c r="Z158" s="47"/>
    </row>
    <row r="159" spans="1:26" x14ac:dyDescent="0.25">
      <c r="A159" s="53">
        <v>45366</v>
      </c>
      <c r="B159" s="54">
        <f t="shared" si="93"/>
        <v>15</v>
      </c>
      <c r="C159" s="55" t="str" cm="1">
        <f t="array" ref="C159">INDEX(Processing!$C$11:$C$22,MONTH('ALL ORDERS'!A159))</f>
        <v>MAR</v>
      </c>
      <c r="D159" s="54">
        <f t="shared" si="94"/>
        <v>2024</v>
      </c>
      <c r="E159" s="56" t="s">
        <v>50</v>
      </c>
      <c r="F159" s="56" t="s">
        <v>21</v>
      </c>
      <c r="G159" s="100">
        <v>0</v>
      </c>
      <c r="H159" s="100">
        <v>1030</v>
      </c>
      <c r="I159" s="57"/>
      <c r="J159" s="99">
        <f t="shared" si="95"/>
        <v>1030</v>
      </c>
      <c r="K159" s="53">
        <v>45366</v>
      </c>
      <c r="L159" s="54">
        <f t="shared" si="3"/>
        <v>15</v>
      </c>
      <c r="M159" s="55" t="str" cm="1">
        <f t="array" ref="M159">INDEX(Processing!$W$6:$W$17,MONTH('ALL ORDERS'!K159))</f>
        <v>March</v>
      </c>
      <c r="N159" s="54">
        <f t="shared" si="91"/>
        <v>2024</v>
      </c>
      <c r="O159" s="58">
        <v>0.45833333333333331</v>
      </c>
      <c r="P159" s="59" t="s">
        <v>164</v>
      </c>
      <c r="Q159" s="60" t="s">
        <v>94</v>
      </c>
      <c r="R159" s="56" t="s">
        <v>247</v>
      </c>
      <c r="S159" s="61" t="s">
        <v>41</v>
      </c>
      <c r="T159" s="62" t="s">
        <v>521</v>
      </c>
      <c r="U159" s="63" t="s">
        <v>26</v>
      </c>
      <c r="V159" s="63" t="s">
        <v>148</v>
      </c>
      <c r="W159" s="64">
        <v>889</v>
      </c>
      <c r="X159" s="64"/>
      <c r="Y159" s="47"/>
      <c r="Z159" s="47"/>
    </row>
    <row r="160" spans="1:26" x14ac:dyDescent="0.25">
      <c r="A160" s="53">
        <v>45367</v>
      </c>
      <c r="B160" s="54">
        <f t="shared" si="93"/>
        <v>16</v>
      </c>
      <c r="C160" s="55" t="str" cm="1">
        <f t="array" ref="C160">INDEX(Processing!$C$11:$C$22,MONTH('ALL ORDERS'!A160))</f>
        <v>MAR</v>
      </c>
      <c r="D160" s="54">
        <f t="shared" si="94"/>
        <v>2024</v>
      </c>
      <c r="E160" s="56" t="s">
        <v>47</v>
      </c>
      <c r="F160" s="56" t="s">
        <v>18</v>
      </c>
      <c r="G160" s="100">
        <v>1960</v>
      </c>
      <c r="H160" s="100">
        <v>0</v>
      </c>
      <c r="I160" s="57">
        <v>0.15</v>
      </c>
      <c r="J160" s="99">
        <f t="shared" si="95"/>
        <v>1960</v>
      </c>
      <c r="K160" s="53">
        <v>45367</v>
      </c>
      <c r="L160" s="54">
        <f t="shared" si="3"/>
        <v>16</v>
      </c>
      <c r="M160" s="55" t="str" cm="1">
        <f t="array" ref="M160">INDEX(Processing!$W$6:$W$17,MONTH('ALL ORDERS'!K160))</f>
        <v>March</v>
      </c>
      <c r="N160" s="54">
        <f t="shared" si="91"/>
        <v>2024</v>
      </c>
      <c r="O160" s="58">
        <v>0.625</v>
      </c>
      <c r="P160" s="59" t="s">
        <v>171</v>
      </c>
      <c r="Q160" s="60" t="s">
        <v>94</v>
      </c>
      <c r="R160" s="56" t="s">
        <v>255</v>
      </c>
      <c r="S160" s="61" t="s">
        <v>46</v>
      </c>
      <c r="T160" s="62" t="s">
        <v>522</v>
      </c>
      <c r="U160" s="63" t="s">
        <v>26</v>
      </c>
      <c r="V160" s="63" t="s">
        <v>147</v>
      </c>
      <c r="W160" s="64">
        <v>3853</v>
      </c>
      <c r="X160" s="64">
        <v>5</v>
      </c>
      <c r="Y160" s="47"/>
      <c r="Z160" s="47"/>
    </row>
    <row r="161" spans="1:26" x14ac:dyDescent="0.25">
      <c r="A161" s="53">
        <v>45362</v>
      </c>
      <c r="B161" s="54">
        <f t="shared" si="93"/>
        <v>11</v>
      </c>
      <c r="C161" s="55" t="str" cm="1">
        <f t="array" ref="C161">INDEX(Processing!$C$11:$C$22,MONTH('ALL ORDERS'!A161))</f>
        <v>MAR</v>
      </c>
      <c r="D161" s="54">
        <f t="shared" si="94"/>
        <v>2024</v>
      </c>
      <c r="E161" s="56" t="s">
        <v>48</v>
      </c>
      <c r="F161" s="56" t="s">
        <v>19</v>
      </c>
      <c r="G161" s="100">
        <v>2690</v>
      </c>
      <c r="H161" s="100">
        <v>0</v>
      </c>
      <c r="I161" s="57"/>
      <c r="J161" s="99">
        <f t="shared" si="95"/>
        <v>2690</v>
      </c>
      <c r="K161" s="53">
        <v>45362</v>
      </c>
      <c r="L161" s="54">
        <f t="shared" si="3"/>
        <v>11</v>
      </c>
      <c r="M161" s="55" t="str" cm="1">
        <f t="array" ref="M161">INDEX(Processing!$W$6:$W$17,MONTH('ALL ORDERS'!K161))</f>
        <v>March</v>
      </c>
      <c r="N161" s="54">
        <f t="shared" si="91"/>
        <v>2024</v>
      </c>
      <c r="O161" s="58">
        <v>0.45833333333333331</v>
      </c>
      <c r="P161" s="59" t="s">
        <v>337</v>
      </c>
      <c r="Q161" s="60" t="s">
        <v>94</v>
      </c>
      <c r="R161" s="56" t="s">
        <v>243</v>
      </c>
      <c r="S161" s="61" t="s">
        <v>46</v>
      </c>
      <c r="T161" s="62" t="s">
        <v>523</v>
      </c>
      <c r="U161" s="63" t="s">
        <v>26</v>
      </c>
      <c r="V161" s="63" t="s">
        <v>147</v>
      </c>
      <c r="W161" s="64">
        <v>1835</v>
      </c>
      <c r="X161" s="64">
        <v>3</v>
      </c>
      <c r="Y161" s="47"/>
      <c r="Z161" s="47"/>
    </row>
    <row r="162" spans="1:26" x14ac:dyDescent="0.25">
      <c r="A162" s="53">
        <v>45369</v>
      </c>
      <c r="B162" s="54">
        <f t="shared" si="93"/>
        <v>18</v>
      </c>
      <c r="C162" s="55" t="str" cm="1">
        <f t="array" ref="C162">INDEX(Processing!$C$11:$C$22,MONTH('ALL ORDERS'!A162))</f>
        <v>MAR</v>
      </c>
      <c r="D162" s="54">
        <f t="shared" si="94"/>
        <v>2024</v>
      </c>
      <c r="E162" s="56" t="s">
        <v>49</v>
      </c>
      <c r="F162" s="56" t="s">
        <v>22</v>
      </c>
      <c r="G162" s="100">
        <v>1840</v>
      </c>
      <c r="H162" s="100">
        <v>0</v>
      </c>
      <c r="I162" s="57"/>
      <c r="J162" s="99">
        <f t="shared" si="95"/>
        <v>1840</v>
      </c>
      <c r="K162" s="53">
        <v>45369</v>
      </c>
      <c r="L162" s="54">
        <f t="shared" si="3"/>
        <v>18</v>
      </c>
      <c r="M162" s="55" t="str" cm="1">
        <f t="array" ref="M162">INDEX(Processing!$W$6:$W$17,MONTH('ALL ORDERS'!K162))</f>
        <v>March</v>
      </c>
      <c r="N162" s="54">
        <f t="shared" si="91"/>
        <v>2024</v>
      </c>
      <c r="O162" s="58">
        <v>0.375</v>
      </c>
      <c r="P162" s="59" t="s">
        <v>188</v>
      </c>
      <c r="Q162" s="60" t="s">
        <v>94</v>
      </c>
      <c r="R162" s="56" t="s">
        <v>274</v>
      </c>
      <c r="S162" s="61" t="s">
        <v>41</v>
      </c>
      <c r="T162" s="70">
        <v>49900888990</v>
      </c>
      <c r="U162" s="63" t="s">
        <v>26</v>
      </c>
      <c r="V162" s="63" t="s">
        <v>147</v>
      </c>
      <c r="W162" s="64">
        <v>1967</v>
      </c>
      <c r="X162" s="64">
        <v>3</v>
      </c>
      <c r="Y162" s="47"/>
      <c r="Z162" s="47"/>
    </row>
    <row r="163" spans="1:26" x14ac:dyDescent="0.25">
      <c r="A163" s="53">
        <v>45370</v>
      </c>
      <c r="B163" s="54">
        <f t="shared" si="93"/>
        <v>19</v>
      </c>
      <c r="C163" s="55" t="str" cm="1">
        <f t="array" ref="C163">INDEX(Processing!$C$11:$C$22,MONTH('ALL ORDERS'!A163))</f>
        <v>MAR</v>
      </c>
      <c r="D163" s="54">
        <f t="shared" si="94"/>
        <v>2024</v>
      </c>
      <c r="E163" s="56" t="s">
        <v>47</v>
      </c>
      <c r="F163" s="56" t="s">
        <v>132</v>
      </c>
      <c r="G163" s="100">
        <v>0</v>
      </c>
      <c r="H163" s="100">
        <v>3320</v>
      </c>
      <c r="I163" s="57"/>
      <c r="J163" s="99">
        <f t="shared" si="95"/>
        <v>3320</v>
      </c>
      <c r="K163" s="53">
        <v>45370</v>
      </c>
      <c r="L163" s="54">
        <f t="shared" si="3"/>
        <v>19</v>
      </c>
      <c r="M163" s="55" t="str" cm="1">
        <f t="array" ref="M163">INDEX(Processing!$W$6:$W$17,MONTH('ALL ORDERS'!K163))</f>
        <v>March</v>
      </c>
      <c r="N163" s="54">
        <f t="shared" si="91"/>
        <v>2024</v>
      </c>
      <c r="O163" s="58">
        <v>0.45833333333333331</v>
      </c>
      <c r="P163" s="59" t="s">
        <v>210</v>
      </c>
      <c r="Q163" s="60" t="s">
        <v>90</v>
      </c>
      <c r="R163" s="56" t="s">
        <v>298</v>
      </c>
      <c r="S163" s="61" t="s">
        <v>43</v>
      </c>
      <c r="T163" s="62" t="s">
        <v>524</v>
      </c>
      <c r="U163" s="63" t="s">
        <v>26</v>
      </c>
      <c r="V163" s="63" t="s">
        <v>147</v>
      </c>
      <c r="W163" s="64">
        <v>3286</v>
      </c>
      <c r="X163" s="64">
        <v>2</v>
      </c>
      <c r="Y163" s="47"/>
      <c r="Z163" s="47"/>
    </row>
    <row r="164" spans="1:26" x14ac:dyDescent="0.25">
      <c r="A164" s="53">
        <v>45371</v>
      </c>
      <c r="B164" s="54">
        <f t="shared" si="93"/>
        <v>20</v>
      </c>
      <c r="C164" s="55" t="str" cm="1">
        <f t="array" ref="C164">INDEX(Processing!$C$11:$C$22,MONTH('ALL ORDERS'!A164))</f>
        <v>MAR</v>
      </c>
      <c r="D164" s="54">
        <f t="shared" si="94"/>
        <v>2024</v>
      </c>
      <c r="E164" s="56" t="s">
        <v>50</v>
      </c>
      <c r="F164" s="56" t="s">
        <v>122</v>
      </c>
      <c r="G164" s="100">
        <v>0</v>
      </c>
      <c r="H164" s="100">
        <v>2350</v>
      </c>
      <c r="I164" s="57">
        <v>0.15</v>
      </c>
      <c r="J164" s="99">
        <f t="shared" si="95"/>
        <v>2350</v>
      </c>
      <c r="K164" s="53">
        <v>45371</v>
      </c>
      <c r="L164" s="54">
        <f t="shared" si="3"/>
        <v>20</v>
      </c>
      <c r="M164" s="55" t="str" cm="1">
        <f t="array" ref="M164">INDEX(Processing!$W$6:$W$17,MONTH('ALL ORDERS'!K164))</f>
        <v>March</v>
      </c>
      <c r="N164" s="54">
        <f t="shared" si="91"/>
        <v>2024</v>
      </c>
      <c r="O164" s="58">
        <v>0.625</v>
      </c>
      <c r="P164" s="59" t="s">
        <v>174</v>
      </c>
      <c r="Q164" s="60" t="s">
        <v>94</v>
      </c>
      <c r="R164" s="56" t="s">
        <v>258</v>
      </c>
      <c r="S164" s="61" t="s">
        <v>45</v>
      </c>
      <c r="T164" s="62" t="s">
        <v>525</v>
      </c>
      <c r="U164" s="63" t="s">
        <v>26</v>
      </c>
      <c r="V164" s="63" t="s">
        <v>147</v>
      </c>
      <c r="W164" s="64">
        <v>2001</v>
      </c>
      <c r="X164" s="64">
        <v>4</v>
      </c>
      <c r="Y164" s="47"/>
      <c r="Z164" s="47"/>
    </row>
    <row r="165" spans="1:26" x14ac:dyDescent="0.25">
      <c r="A165" s="53">
        <v>45372</v>
      </c>
      <c r="B165" s="54">
        <f t="shared" si="93"/>
        <v>21</v>
      </c>
      <c r="C165" s="55" t="str" cm="1">
        <f t="array" ref="C165">INDEX(Processing!$C$11:$C$22,MONTH('ALL ORDERS'!A165))</f>
        <v>MAR</v>
      </c>
      <c r="D165" s="54">
        <f t="shared" si="94"/>
        <v>2024</v>
      </c>
      <c r="E165" s="56" t="s">
        <v>51</v>
      </c>
      <c r="F165" s="56" t="s">
        <v>123</v>
      </c>
      <c r="G165" s="100">
        <v>1110</v>
      </c>
      <c r="H165" s="100">
        <v>0</v>
      </c>
      <c r="I165" s="57"/>
      <c r="J165" s="99">
        <f t="shared" si="95"/>
        <v>1110</v>
      </c>
      <c r="K165" s="53">
        <v>45372</v>
      </c>
      <c r="L165" s="54">
        <f t="shared" si="3"/>
        <v>21</v>
      </c>
      <c r="M165" s="55" t="str" cm="1">
        <f t="array" ref="M165">INDEX(Processing!$W$6:$W$17,MONTH('ALL ORDERS'!K165))</f>
        <v>March</v>
      </c>
      <c r="N165" s="54">
        <f t="shared" si="91"/>
        <v>2024</v>
      </c>
      <c r="O165" s="58">
        <v>0.45833333333333331</v>
      </c>
      <c r="P165" s="59" t="s">
        <v>203</v>
      </c>
      <c r="Q165" s="60" t="s">
        <v>94</v>
      </c>
      <c r="R165" s="56" t="s">
        <v>290</v>
      </c>
      <c r="S165" s="61" t="s">
        <v>44</v>
      </c>
      <c r="T165" s="62" t="s">
        <v>526</v>
      </c>
      <c r="U165" s="63" t="s">
        <v>26</v>
      </c>
      <c r="V165" s="63" t="s">
        <v>147</v>
      </c>
      <c r="W165" s="64">
        <v>3043</v>
      </c>
      <c r="X165" s="64">
        <v>5</v>
      </c>
      <c r="Y165" s="47"/>
      <c r="Z165" s="47"/>
    </row>
    <row r="166" spans="1:26" x14ac:dyDescent="0.25">
      <c r="A166" s="53">
        <v>45372</v>
      </c>
      <c r="B166" s="54">
        <f t="shared" si="93"/>
        <v>21</v>
      </c>
      <c r="C166" s="55" t="str" cm="1">
        <f t="array" ref="C166">INDEX(Processing!$C$11:$C$22,MONTH('ALL ORDERS'!A166))</f>
        <v>MAR</v>
      </c>
      <c r="D166" s="54">
        <f t="shared" si="94"/>
        <v>2024</v>
      </c>
      <c r="E166" s="56" t="s">
        <v>48</v>
      </c>
      <c r="F166" s="56" t="s">
        <v>123</v>
      </c>
      <c r="G166" s="100">
        <v>3930</v>
      </c>
      <c r="H166" s="100">
        <v>0</v>
      </c>
      <c r="I166" s="57"/>
      <c r="J166" s="99">
        <f t="shared" si="95"/>
        <v>3930</v>
      </c>
      <c r="K166" s="53">
        <v>45372</v>
      </c>
      <c r="L166" s="54">
        <f t="shared" si="3"/>
        <v>21</v>
      </c>
      <c r="M166" s="55" t="str" cm="1">
        <f t="array" ref="M166">INDEX(Processing!$W$6:$W$17,MONTH('ALL ORDERS'!K166))</f>
        <v>March</v>
      </c>
      <c r="N166" s="54">
        <f t="shared" si="91"/>
        <v>2024</v>
      </c>
      <c r="O166" s="58">
        <v>0.375</v>
      </c>
      <c r="P166" s="59" t="s">
        <v>174</v>
      </c>
      <c r="Q166" s="60" t="s">
        <v>94</v>
      </c>
      <c r="R166" s="56" t="s">
        <v>258</v>
      </c>
      <c r="S166" s="61" t="s">
        <v>42</v>
      </c>
      <c r="T166" s="62" t="s">
        <v>527</v>
      </c>
      <c r="U166" s="63" t="s">
        <v>26</v>
      </c>
      <c r="V166" s="63" t="s">
        <v>147</v>
      </c>
      <c r="W166" s="64">
        <v>2694</v>
      </c>
      <c r="X166" s="64">
        <v>3</v>
      </c>
      <c r="Y166" s="47"/>
      <c r="Z166" s="47"/>
    </row>
    <row r="167" spans="1:26" x14ac:dyDescent="0.25">
      <c r="A167" s="53">
        <v>45372</v>
      </c>
      <c r="B167" s="54">
        <f t="shared" si="93"/>
        <v>21</v>
      </c>
      <c r="C167" s="55" t="str" cm="1">
        <f t="array" ref="C167">INDEX(Processing!$C$11:$C$22,MONTH('ALL ORDERS'!A167))</f>
        <v>MAR</v>
      </c>
      <c r="D167" s="54">
        <f t="shared" si="94"/>
        <v>2024</v>
      </c>
      <c r="E167" s="56" t="s">
        <v>49</v>
      </c>
      <c r="F167" s="56" t="s">
        <v>124</v>
      </c>
      <c r="G167" s="100">
        <v>2260</v>
      </c>
      <c r="H167" s="100">
        <v>0</v>
      </c>
      <c r="I167" s="57"/>
      <c r="J167" s="99">
        <f t="shared" si="95"/>
        <v>2260</v>
      </c>
      <c r="K167" s="53">
        <v>45372</v>
      </c>
      <c r="L167" s="54">
        <f t="shared" si="3"/>
        <v>21</v>
      </c>
      <c r="M167" s="55" t="str" cm="1">
        <f t="array" ref="M167">INDEX(Processing!$W$6:$W$17,MONTH('ALL ORDERS'!K167))</f>
        <v>March</v>
      </c>
      <c r="N167" s="54">
        <f t="shared" si="91"/>
        <v>2024</v>
      </c>
      <c r="O167" s="58">
        <v>0.45833333333333331</v>
      </c>
      <c r="P167" s="59" t="s">
        <v>347</v>
      </c>
      <c r="Q167" s="60" t="s">
        <v>94</v>
      </c>
      <c r="R167" s="56" t="s">
        <v>309</v>
      </c>
      <c r="S167" s="61" t="s">
        <v>41</v>
      </c>
      <c r="T167" s="62" t="s">
        <v>528</v>
      </c>
      <c r="U167" s="63" t="s">
        <v>26</v>
      </c>
      <c r="V167" s="63" t="s">
        <v>147</v>
      </c>
      <c r="W167" s="64">
        <v>3797</v>
      </c>
      <c r="X167" s="64">
        <v>5</v>
      </c>
      <c r="Y167" s="47"/>
      <c r="Z167" s="47"/>
    </row>
    <row r="168" spans="1:26" x14ac:dyDescent="0.25">
      <c r="A168" s="53">
        <v>45375</v>
      </c>
      <c r="B168" s="54">
        <f t="shared" si="93"/>
        <v>24</v>
      </c>
      <c r="C168" s="55" t="str" cm="1">
        <f t="array" ref="C168">INDEX(Processing!$C$11:$C$22,MONTH('ALL ORDERS'!A168))</f>
        <v>MAR</v>
      </c>
      <c r="D168" s="54">
        <f t="shared" si="94"/>
        <v>2024</v>
      </c>
      <c r="E168" s="56" t="s">
        <v>47</v>
      </c>
      <c r="F168" s="56" t="s">
        <v>20</v>
      </c>
      <c r="G168" s="100">
        <v>1430</v>
      </c>
      <c r="H168" s="100">
        <v>0</v>
      </c>
      <c r="I168" s="57"/>
      <c r="J168" s="99">
        <f t="shared" si="95"/>
        <v>1430</v>
      </c>
      <c r="K168" s="53">
        <v>45375</v>
      </c>
      <c r="L168" s="54">
        <f t="shared" si="3"/>
        <v>24</v>
      </c>
      <c r="M168" s="55" t="str" cm="1">
        <f t="array" ref="M168">INDEX(Processing!$W$6:$W$17,MONTH('ALL ORDERS'!K168))</f>
        <v>March</v>
      </c>
      <c r="N168" s="54">
        <f t="shared" si="91"/>
        <v>2024</v>
      </c>
      <c r="O168" s="58">
        <v>0.625</v>
      </c>
      <c r="P168" s="59" t="s">
        <v>200</v>
      </c>
      <c r="Q168" s="60" t="s">
        <v>94</v>
      </c>
      <c r="R168" s="56" t="s">
        <v>287</v>
      </c>
      <c r="S168" s="61" t="s">
        <v>42</v>
      </c>
      <c r="T168" s="62" t="s">
        <v>529</v>
      </c>
      <c r="U168" s="63" t="s">
        <v>26</v>
      </c>
      <c r="V168" s="63" t="s">
        <v>147</v>
      </c>
      <c r="W168" s="64">
        <v>3014</v>
      </c>
      <c r="X168" s="64">
        <v>4</v>
      </c>
      <c r="Y168" s="47"/>
      <c r="Z168" s="47"/>
    </row>
    <row r="169" spans="1:26" x14ac:dyDescent="0.25">
      <c r="A169" s="53">
        <v>45376</v>
      </c>
      <c r="B169" s="54">
        <f t="shared" si="93"/>
        <v>25</v>
      </c>
      <c r="C169" s="55" t="str" cm="1">
        <f t="array" ref="C169">INDEX(Processing!$C$11:$C$22,MONTH('ALL ORDERS'!A169))</f>
        <v>MAR</v>
      </c>
      <c r="D169" s="54">
        <f t="shared" si="94"/>
        <v>2024</v>
      </c>
      <c r="E169" s="56" t="s">
        <v>50</v>
      </c>
      <c r="F169" s="56" t="s">
        <v>22</v>
      </c>
      <c r="G169" s="100">
        <v>0</v>
      </c>
      <c r="H169" s="100">
        <v>1390</v>
      </c>
      <c r="I169" s="57"/>
      <c r="J169" s="99">
        <f t="shared" si="95"/>
        <v>1390</v>
      </c>
      <c r="K169" s="53">
        <v>45376</v>
      </c>
      <c r="L169" s="54">
        <f t="shared" si="3"/>
        <v>25</v>
      </c>
      <c r="M169" s="55" t="str" cm="1">
        <f t="array" ref="M169">INDEX(Processing!$W$6:$W$17,MONTH('ALL ORDERS'!K169))</f>
        <v>March</v>
      </c>
      <c r="N169" s="54">
        <f t="shared" si="91"/>
        <v>2024</v>
      </c>
      <c r="O169" s="58">
        <v>0.45833333333333331</v>
      </c>
      <c r="P169" s="59" t="s">
        <v>156</v>
      </c>
      <c r="Q169" s="60" t="s">
        <v>94</v>
      </c>
      <c r="R169" s="56" t="s">
        <v>238</v>
      </c>
      <c r="S169" s="61" t="s">
        <v>43</v>
      </c>
      <c r="T169" s="62" t="s">
        <v>530</v>
      </c>
      <c r="U169" s="63" t="s">
        <v>25</v>
      </c>
      <c r="V169" s="63" t="s">
        <v>147</v>
      </c>
      <c r="W169" s="64">
        <v>2478</v>
      </c>
      <c r="X169" s="64">
        <v>3</v>
      </c>
      <c r="Y169" s="47"/>
      <c r="Z169" s="47"/>
    </row>
    <row r="170" spans="1:26" x14ac:dyDescent="0.25">
      <c r="A170" s="53">
        <v>45377</v>
      </c>
      <c r="B170" s="54">
        <f t="shared" si="93"/>
        <v>26</v>
      </c>
      <c r="C170" s="55" t="str" cm="1">
        <f t="array" ref="C170">INDEX(Processing!$C$11:$C$22,MONTH('ALL ORDERS'!A170))</f>
        <v>MAR</v>
      </c>
      <c r="D170" s="54">
        <f t="shared" si="94"/>
        <v>2024</v>
      </c>
      <c r="E170" s="56" t="s">
        <v>47</v>
      </c>
      <c r="F170" s="56" t="s">
        <v>135</v>
      </c>
      <c r="G170" s="100">
        <v>1280</v>
      </c>
      <c r="H170" s="100">
        <v>0</v>
      </c>
      <c r="I170" s="57">
        <v>0.15</v>
      </c>
      <c r="J170" s="99">
        <f t="shared" si="95"/>
        <v>1280</v>
      </c>
      <c r="K170" s="53">
        <v>45377</v>
      </c>
      <c r="L170" s="54">
        <f t="shared" ref="L170" si="96">DAY(K170)</f>
        <v>26</v>
      </c>
      <c r="M170" s="55" t="str" cm="1">
        <f t="array" ref="M170">INDEX(Processing!$W$6:$W$17,MONTH('ALL ORDERS'!K170))</f>
        <v>March</v>
      </c>
      <c r="N170" s="54">
        <f t="shared" si="91"/>
        <v>2024</v>
      </c>
      <c r="O170" s="58">
        <v>0.41666666666666669</v>
      </c>
      <c r="P170" s="59" t="s">
        <v>157</v>
      </c>
      <c r="Q170" s="60" t="s">
        <v>90</v>
      </c>
      <c r="R170" s="56" t="s">
        <v>239</v>
      </c>
      <c r="S170" s="61" t="s">
        <v>45</v>
      </c>
      <c r="T170" s="62" t="s">
        <v>531</v>
      </c>
      <c r="U170" s="63" t="s">
        <v>23</v>
      </c>
      <c r="V170" s="63" t="s">
        <v>147</v>
      </c>
      <c r="W170" s="64">
        <v>2894</v>
      </c>
      <c r="X170" s="64">
        <v>5</v>
      </c>
      <c r="Y170" s="47"/>
      <c r="Z170" s="47"/>
    </row>
    <row r="171" spans="1:26" x14ac:dyDescent="0.25">
      <c r="A171" s="53">
        <v>45372</v>
      </c>
      <c r="B171" s="54">
        <f t="shared" si="93"/>
        <v>21</v>
      </c>
      <c r="C171" s="55" t="str" cm="1">
        <f t="array" ref="C171">INDEX(Processing!$C$11:$C$22,MONTH('ALL ORDERS'!A171))</f>
        <v>MAR</v>
      </c>
      <c r="D171" s="54">
        <f t="shared" si="94"/>
        <v>2024</v>
      </c>
      <c r="E171" s="56" t="s">
        <v>48</v>
      </c>
      <c r="F171" s="56" t="s">
        <v>22</v>
      </c>
      <c r="G171" s="100">
        <v>0</v>
      </c>
      <c r="H171" s="100">
        <v>900</v>
      </c>
      <c r="I171" s="57">
        <v>0.15</v>
      </c>
      <c r="J171" s="99">
        <f t="shared" si="95"/>
        <v>900</v>
      </c>
      <c r="K171" s="53">
        <v>45372</v>
      </c>
      <c r="L171" s="54">
        <f t="shared" si="3"/>
        <v>21</v>
      </c>
      <c r="M171" s="55" t="str" cm="1">
        <f t="array" ref="M171">INDEX(Processing!$W$6:$W$17,MONTH('ALL ORDERS'!K171))</f>
        <v>March</v>
      </c>
      <c r="N171" s="54">
        <f t="shared" si="91"/>
        <v>2024</v>
      </c>
      <c r="O171" s="58">
        <v>0.5</v>
      </c>
      <c r="P171" s="59" t="s">
        <v>208</v>
      </c>
      <c r="Q171" s="60" t="s">
        <v>94</v>
      </c>
      <c r="R171" s="56" t="s">
        <v>296</v>
      </c>
      <c r="S171" s="61" t="s">
        <v>42</v>
      </c>
      <c r="T171" s="62" t="s">
        <v>532</v>
      </c>
      <c r="U171" s="63" t="s">
        <v>27</v>
      </c>
      <c r="V171" s="63" t="s">
        <v>147</v>
      </c>
      <c r="W171" s="64">
        <v>1826</v>
      </c>
      <c r="X171" s="64">
        <v>3</v>
      </c>
      <c r="Y171" s="47"/>
      <c r="Z171" s="47"/>
    </row>
    <row r="172" spans="1:26" x14ac:dyDescent="0.25">
      <c r="A172" s="53">
        <v>45379</v>
      </c>
      <c r="B172" s="54">
        <f t="shared" si="93"/>
        <v>28</v>
      </c>
      <c r="C172" s="55" t="str" cm="1">
        <f t="array" ref="C172">INDEX(Processing!$C$11:$C$22,MONTH('ALL ORDERS'!A172))</f>
        <v>MAR</v>
      </c>
      <c r="D172" s="54">
        <f t="shared" si="94"/>
        <v>2024</v>
      </c>
      <c r="E172" s="56" t="s">
        <v>49</v>
      </c>
      <c r="F172" s="56" t="s">
        <v>152</v>
      </c>
      <c r="G172" s="100">
        <v>0</v>
      </c>
      <c r="H172" s="100">
        <v>940</v>
      </c>
      <c r="I172" s="57"/>
      <c r="J172" s="99">
        <f t="shared" si="95"/>
        <v>940</v>
      </c>
      <c r="K172" s="53">
        <v>45379</v>
      </c>
      <c r="L172" s="54">
        <f t="shared" si="3"/>
        <v>28</v>
      </c>
      <c r="M172" s="55" t="str" cm="1">
        <f t="array" ref="M172">INDEX(Processing!$W$6:$W$17,MONTH('ALL ORDERS'!K172))</f>
        <v>March</v>
      </c>
      <c r="N172" s="54">
        <f t="shared" si="91"/>
        <v>2024</v>
      </c>
      <c r="O172" s="58">
        <v>0.66666666666666663</v>
      </c>
      <c r="P172" s="59" t="s">
        <v>204</v>
      </c>
      <c r="Q172" s="60" t="s">
        <v>94</v>
      </c>
      <c r="R172" s="56" t="s">
        <v>291</v>
      </c>
      <c r="S172" s="61" t="s">
        <v>41</v>
      </c>
      <c r="T172" s="62" t="s">
        <v>533</v>
      </c>
      <c r="U172" s="63" t="s">
        <v>24</v>
      </c>
      <c r="V172" s="63" t="s">
        <v>147</v>
      </c>
      <c r="W172" s="64">
        <v>1662</v>
      </c>
      <c r="X172" s="64">
        <v>4</v>
      </c>
      <c r="Y172" s="47"/>
      <c r="Z172" s="47"/>
    </row>
    <row r="173" spans="1:26" x14ac:dyDescent="0.25">
      <c r="A173" s="53">
        <v>45380</v>
      </c>
      <c r="B173" s="54">
        <f t="shared" si="93"/>
        <v>29</v>
      </c>
      <c r="C173" s="55" t="str" cm="1">
        <f t="array" ref="C173">INDEX(Processing!$C$11:$C$22,MONTH('ALL ORDERS'!A173))</f>
        <v>MAR</v>
      </c>
      <c r="D173" s="54">
        <f t="shared" si="94"/>
        <v>2024</v>
      </c>
      <c r="E173" s="56" t="s">
        <v>47</v>
      </c>
      <c r="F173" s="56" t="s">
        <v>124</v>
      </c>
      <c r="G173" s="100">
        <v>0</v>
      </c>
      <c r="H173" s="100">
        <v>3600</v>
      </c>
      <c r="I173" s="57"/>
      <c r="J173" s="99">
        <f t="shared" si="95"/>
        <v>3600</v>
      </c>
      <c r="K173" s="53">
        <v>45380</v>
      </c>
      <c r="L173" s="54">
        <f t="shared" si="3"/>
        <v>29</v>
      </c>
      <c r="M173" s="55" t="str" cm="1">
        <f t="array" ref="M173">INDEX(Processing!$W$6:$W$17,MONTH('ALL ORDERS'!K173))</f>
        <v>March</v>
      </c>
      <c r="N173" s="54">
        <f t="shared" si="91"/>
        <v>2024</v>
      </c>
      <c r="O173" s="58">
        <v>0.75</v>
      </c>
      <c r="P173" s="59" t="s">
        <v>171</v>
      </c>
      <c r="Q173" s="60" t="s">
        <v>94</v>
      </c>
      <c r="R173" s="56" t="s">
        <v>255</v>
      </c>
      <c r="S173" s="61" t="s">
        <v>42</v>
      </c>
      <c r="T173" s="62" t="s">
        <v>534</v>
      </c>
      <c r="U173" s="63" t="s">
        <v>26</v>
      </c>
      <c r="V173" s="63" t="s">
        <v>147</v>
      </c>
      <c r="W173" s="64">
        <v>3963</v>
      </c>
      <c r="X173" s="64">
        <v>3</v>
      </c>
      <c r="Y173" s="47"/>
      <c r="Z173" s="47"/>
    </row>
    <row r="174" spans="1:26" x14ac:dyDescent="0.25">
      <c r="A174" s="53">
        <v>45380</v>
      </c>
      <c r="B174" s="54">
        <f t="shared" si="93"/>
        <v>29</v>
      </c>
      <c r="C174" s="55" t="str" cm="1">
        <f t="array" ref="C174">INDEX(Processing!$C$11:$C$22,MONTH('ALL ORDERS'!A174))</f>
        <v>MAR</v>
      </c>
      <c r="D174" s="54">
        <f t="shared" si="94"/>
        <v>2024</v>
      </c>
      <c r="E174" s="56" t="s">
        <v>50</v>
      </c>
      <c r="F174" s="56" t="s">
        <v>19</v>
      </c>
      <c r="G174" s="100">
        <v>0</v>
      </c>
      <c r="H174" s="100">
        <v>1310</v>
      </c>
      <c r="I174" s="57"/>
      <c r="J174" s="99">
        <f t="shared" si="95"/>
        <v>1310</v>
      </c>
      <c r="K174" s="53">
        <v>45380</v>
      </c>
      <c r="L174" s="54">
        <f t="shared" si="3"/>
        <v>29</v>
      </c>
      <c r="M174" s="55" t="str" cm="1">
        <f t="array" ref="M174">INDEX(Processing!$W$6:$W$17,MONTH('ALL ORDERS'!K174))</f>
        <v>March</v>
      </c>
      <c r="N174" s="54">
        <f t="shared" si="91"/>
        <v>2024</v>
      </c>
      <c r="O174" s="58">
        <v>0.41666666666666669</v>
      </c>
      <c r="P174" s="59" t="s">
        <v>158</v>
      </c>
      <c r="Q174" s="60" t="s">
        <v>94</v>
      </c>
      <c r="R174" s="56" t="s">
        <v>240</v>
      </c>
      <c r="S174" s="61" t="s">
        <v>42</v>
      </c>
      <c r="T174" s="70">
        <v>48900888990</v>
      </c>
      <c r="U174" s="63" t="s">
        <v>24</v>
      </c>
      <c r="V174" s="63" t="s">
        <v>147</v>
      </c>
      <c r="W174" s="64">
        <v>1503</v>
      </c>
      <c r="X174" s="64">
        <v>4</v>
      </c>
      <c r="Y174" s="47"/>
      <c r="Z174" s="47"/>
    </row>
    <row r="175" spans="1:26" x14ac:dyDescent="0.25">
      <c r="A175" s="53">
        <v>45380</v>
      </c>
      <c r="B175" s="54">
        <f t="shared" si="93"/>
        <v>29</v>
      </c>
      <c r="C175" s="55" t="str" cm="1">
        <f t="array" ref="C175">INDEX(Processing!$C$11:$C$22,MONTH('ALL ORDERS'!A175))</f>
        <v>MAR</v>
      </c>
      <c r="D175" s="54">
        <f t="shared" si="94"/>
        <v>2024</v>
      </c>
      <c r="E175" s="56" t="s">
        <v>51</v>
      </c>
      <c r="F175" s="56" t="s">
        <v>137</v>
      </c>
      <c r="G175" s="100">
        <v>910</v>
      </c>
      <c r="H175" s="100">
        <v>0</v>
      </c>
      <c r="I175" s="57"/>
      <c r="J175" s="99">
        <f t="shared" si="95"/>
        <v>910</v>
      </c>
      <c r="K175" s="53">
        <v>45380</v>
      </c>
      <c r="L175" s="54">
        <f t="shared" si="3"/>
        <v>29</v>
      </c>
      <c r="M175" s="55" t="str" cm="1">
        <f t="array" ref="M175">INDEX(Processing!$W$6:$W$17,MONTH('ALL ORDERS'!K175))</f>
        <v>March</v>
      </c>
      <c r="N175" s="54">
        <f t="shared" si="91"/>
        <v>2024</v>
      </c>
      <c r="O175" s="58">
        <v>0.5</v>
      </c>
      <c r="P175" s="59" t="s">
        <v>341</v>
      </c>
      <c r="Q175" s="60" t="s">
        <v>94</v>
      </c>
      <c r="R175" s="56" t="s">
        <v>283</v>
      </c>
      <c r="S175" s="61" t="s">
        <v>41</v>
      </c>
      <c r="T175" s="62" t="s">
        <v>535</v>
      </c>
      <c r="U175" s="63" t="s">
        <v>24</v>
      </c>
      <c r="V175" s="63" t="s">
        <v>147</v>
      </c>
      <c r="W175" s="64">
        <v>2044</v>
      </c>
      <c r="X175" s="64">
        <v>5</v>
      </c>
      <c r="Y175" s="47"/>
      <c r="Z175" s="47"/>
    </row>
    <row r="176" spans="1:26" x14ac:dyDescent="0.25">
      <c r="A176" s="53">
        <v>45380</v>
      </c>
      <c r="B176" s="54">
        <f t="shared" si="93"/>
        <v>29</v>
      </c>
      <c r="C176" s="55" t="str" cm="1">
        <f t="array" ref="C176">INDEX(Processing!$C$11:$C$22,MONTH('ALL ORDERS'!A176))</f>
        <v>MAR</v>
      </c>
      <c r="D176" s="54">
        <f t="shared" si="94"/>
        <v>2024</v>
      </c>
      <c r="E176" s="56" t="s">
        <v>48</v>
      </c>
      <c r="F176" s="56" t="s">
        <v>124</v>
      </c>
      <c r="G176" s="100">
        <v>0</v>
      </c>
      <c r="H176" s="100">
        <v>3610</v>
      </c>
      <c r="I176" s="57"/>
      <c r="J176" s="99">
        <f t="shared" si="95"/>
        <v>3610</v>
      </c>
      <c r="K176" s="53">
        <v>45380</v>
      </c>
      <c r="L176" s="54">
        <f t="shared" si="3"/>
        <v>29</v>
      </c>
      <c r="M176" s="55" t="str" cm="1">
        <f t="array" ref="M176">INDEX(Processing!$W$6:$W$17,MONTH('ALL ORDERS'!K176))</f>
        <v>March</v>
      </c>
      <c r="N176" s="54">
        <f t="shared" si="91"/>
        <v>2024</v>
      </c>
      <c r="O176" s="58">
        <v>0.66666666666666663</v>
      </c>
      <c r="P176" s="59" t="s">
        <v>223</v>
      </c>
      <c r="Q176" s="60" t="s">
        <v>94</v>
      </c>
      <c r="R176" s="56" t="s">
        <v>322</v>
      </c>
      <c r="S176" s="61" t="s">
        <v>43</v>
      </c>
      <c r="T176" s="62" t="s">
        <v>536</v>
      </c>
      <c r="U176" s="63" t="s">
        <v>24</v>
      </c>
      <c r="V176" s="63" t="s">
        <v>147</v>
      </c>
      <c r="W176" s="64">
        <v>2254</v>
      </c>
      <c r="X176" s="64">
        <v>4</v>
      </c>
      <c r="Y176" s="47"/>
      <c r="Z176" s="47"/>
    </row>
    <row r="177" spans="1:26" x14ac:dyDescent="0.25">
      <c r="A177" s="53">
        <v>45384</v>
      </c>
      <c r="B177" s="54">
        <f t="shared" si="93"/>
        <v>2</v>
      </c>
      <c r="C177" s="55" t="str" cm="1">
        <f t="array" ref="C177">INDEX(Processing!$C$11:$C$22,MONTH('ALL ORDERS'!A177))</f>
        <v>APR</v>
      </c>
      <c r="D177" s="54">
        <f t="shared" si="94"/>
        <v>2024</v>
      </c>
      <c r="E177" s="56" t="s">
        <v>49</v>
      </c>
      <c r="F177" s="56" t="s">
        <v>124</v>
      </c>
      <c r="G177" s="100">
        <v>0</v>
      </c>
      <c r="H177" s="100">
        <v>2210</v>
      </c>
      <c r="I177" s="57"/>
      <c r="J177" s="99">
        <f t="shared" si="95"/>
        <v>2210</v>
      </c>
      <c r="K177" s="53">
        <v>45384</v>
      </c>
      <c r="L177" s="54">
        <f t="shared" si="3"/>
        <v>2</v>
      </c>
      <c r="M177" s="55" t="str" cm="1">
        <f t="array" ref="M177">INDEX(Processing!$W$6:$W$17,MONTH('ALL ORDERS'!K177))</f>
        <v>April</v>
      </c>
      <c r="N177" s="54">
        <f t="shared" si="91"/>
        <v>2024</v>
      </c>
      <c r="O177" s="58">
        <v>0.75</v>
      </c>
      <c r="P177" s="59" t="s">
        <v>210</v>
      </c>
      <c r="Q177" s="60" t="s">
        <v>90</v>
      </c>
      <c r="R177" s="56" t="s">
        <v>298</v>
      </c>
      <c r="S177" s="61" t="s">
        <v>45</v>
      </c>
      <c r="T177" s="62" t="s">
        <v>537</v>
      </c>
      <c r="U177" s="63" t="s">
        <v>26</v>
      </c>
      <c r="V177" s="63" t="s">
        <v>147</v>
      </c>
      <c r="W177" s="64">
        <v>3880</v>
      </c>
      <c r="X177" s="64">
        <v>5</v>
      </c>
      <c r="Y177" s="47"/>
      <c r="Z177" s="47"/>
    </row>
    <row r="178" spans="1:26" x14ac:dyDescent="0.25">
      <c r="A178" s="53">
        <v>45385</v>
      </c>
      <c r="B178" s="54">
        <f t="shared" si="93"/>
        <v>3</v>
      </c>
      <c r="C178" s="55" t="str" cm="1">
        <f t="array" ref="C178">INDEX(Processing!$C$11:$C$22,MONTH('ALL ORDERS'!A178))</f>
        <v>APR</v>
      </c>
      <c r="D178" s="54">
        <f t="shared" si="94"/>
        <v>2024</v>
      </c>
      <c r="E178" s="56" t="s">
        <v>47</v>
      </c>
      <c r="F178" s="56" t="s">
        <v>152</v>
      </c>
      <c r="G178" s="100">
        <v>0</v>
      </c>
      <c r="H178" s="100">
        <v>1400</v>
      </c>
      <c r="I178" s="57"/>
      <c r="J178" s="99">
        <f t="shared" si="95"/>
        <v>1400</v>
      </c>
      <c r="K178" s="53">
        <v>45385</v>
      </c>
      <c r="L178" s="54">
        <f t="shared" si="3"/>
        <v>3</v>
      </c>
      <c r="M178" s="55" t="str" cm="1">
        <f t="array" ref="M178">INDEX(Processing!$W$6:$W$17,MONTH('ALL ORDERS'!K178))</f>
        <v>April</v>
      </c>
      <c r="N178" s="54">
        <f t="shared" si="91"/>
        <v>2024</v>
      </c>
      <c r="O178" s="58">
        <v>0.41666666666666669</v>
      </c>
      <c r="P178" s="59" t="s">
        <v>204</v>
      </c>
      <c r="Q178" s="60" t="s">
        <v>94</v>
      </c>
      <c r="R178" s="56" t="s">
        <v>291</v>
      </c>
      <c r="S178" s="61" t="s">
        <v>44</v>
      </c>
      <c r="T178" s="62" t="s">
        <v>538</v>
      </c>
      <c r="U178" s="63" t="s">
        <v>26</v>
      </c>
      <c r="V178" s="63" t="s">
        <v>147</v>
      </c>
      <c r="W178" s="64">
        <v>3376</v>
      </c>
      <c r="X178" s="64">
        <v>5</v>
      </c>
      <c r="Y178" s="47"/>
      <c r="Z178" s="47"/>
    </row>
    <row r="179" spans="1:26" x14ac:dyDescent="0.25">
      <c r="A179" s="53">
        <v>45386</v>
      </c>
      <c r="B179" s="54">
        <f t="shared" si="93"/>
        <v>4</v>
      </c>
      <c r="C179" s="55" t="str" cm="1">
        <f t="array" ref="C179">INDEX(Processing!$C$11:$C$22,MONTH('ALL ORDERS'!A179))</f>
        <v>APR</v>
      </c>
      <c r="D179" s="54">
        <f t="shared" si="94"/>
        <v>2024</v>
      </c>
      <c r="E179" s="56" t="s">
        <v>50</v>
      </c>
      <c r="F179" s="56" t="s">
        <v>135</v>
      </c>
      <c r="G179" s="100">
        <v>0</v>
      </c>
      <c r="H179" s="100">
        <v>2130</v>
      </c>
      <c r="I179" s="57"/>
      <c r="J179" s="99">
        <f t="shared" si="95"/>
        <v>2130</v>
      </c>
      <c r="K179" s="53">
        <v>45386</v>
      </c>
      <c r="L179" s="54">
        <f t="shared" si="3"/>
        <v>4</v>
      </c>
      <c r="M179" s="55" t="str" cm="1">
        <f t="array" ref="M179">INDEX(Processing!$W$6:$W$17,MONTH('ALL ORDERS'!K179))</f>
        <v>April</v>
      </c>
      <c r="N179" s="54">
        <f t="shared" ref="N179:N244" si="97">YEAR(K179)</f>
        <v>2024</v>
      </c>
      <c r="O179" s="58">
        <v>0.5</v>
      </c>
      <c r="P179" s="59" t="s">
        <v>168</v>
      </c>
      <c r="Q179" s="60" t="s">
        <v>94</v>
      </c>
      <c r="R179" s="56" t="s">
        <v>251</v>
      </c>
      <c r="S179" s="61" t="s">
        <v>41</v>
      </c>
      <c r="T179" s="62" t="s">
        <v>539</v>
      </c>
      <c r="U179" s="63" t="s">
        <v>24</v>
      </c>
      <c r="V179" s="63" t="s">
        <v>147</v>
      </c>
      <c r="W179" s="64">
        <v>1445</v>
      </c>
      <c r="X179" s="64">
        <v>4</v>
      </c>
      <c r="Y179" s="47"/>
      <c r="Z179" s="47"/>
    </row>
    <row r="180" spans="1:26" x14ac:dyDescent="0.25">
      <c r="A180" s="53">
        <v>45387</v>
      </c>
      <c r="B180" s="54">
        <f t="shared" si="93"/>
        <v>5</v>
      </c>
      <c r="C180" s="55" t="str" cm="1">
        <f t="array" ref="C180">INDEX(Processing!$C$11:$C$22,MONTH('ALL ORDERS'!A180))</f>
        <v>APR</v>
      </c>
      <c r="D180" s="54">
        <f t="shared" si="94"/>
        <v>2024</v>
      </c>
      <c r="E180" s="56" t="s">
        <v>47</v>
      </c>
      <c r="F180" s="56" t="s">
        <v>126</v>
      </c>
      <c r="G180" s="100">
        <v>0</v>
      </c>
      <c r="H180" s="100">
        <v>2090</v>
      </c>
      <c r="I180" s="57">
        <v>0.15</v>
      </c>
      <c r="J180" s="99">
        <f t="shared" si="95"/>
        <v>2090</v>
      </c>
      <c r="K180" s="53">
        <v>45387</v>
      </c>
      <c r="L180" s="54">
        <f t="shared" si="3"/>
        <v>5</v>
      </c>
      <c r="M180" s="55" t="str" cm="1">
        <f t="array" ref="M180">INDEX(Processing!$W$6:$W$17,MONTH('ALL ORDERS'!K180))</f>
        <v>April</v>
      </c>
      <c r="N180" s="54">
        <f t="shared" si="97"/>
        <v>2024</v>
      </c>
      <c r="O180" s="58">
        <v>0.66666666666666663</v>
      </c>
      <c r="P180" s="59" t="s">
        <v>350</v>
      </c>
      <c r="Q180" s="60" t="s">
        <v>91</v>
      </c>
      <c r="R180" s="56" t="s">
        <v>312</v>
      </c>
      <c r="S180" s="61" t="s">
        <v>41</v>
      </c>
      <c r="T180" s="62" t="s">
        <v>540</v>
      </c>
      <c r="U180" s="63" t="s">
        <v>26</v>
      </c>
      <c r="V180" s="63" t="s">
        <v>147</v>
      </c>
      <c r="W180" s="64">
        <v>3501</v>
      </c>
      <c r="X180" s="64">
        <v>5</v>
      </c>
      <c r="Y180" s="47"/>
      <c r="Z180" s="47"/>
    </row>
    <row r="181" spans="1:26" x14ac:dyDescent="0.25">
      <c r="A181" s="53">
        <v>45388</v>
      </c>
      <c r="B181" s="54">
        <f t="shared" si="93"/>
        <v>6</v>
      </c>
      <c r="C181" s="55" t="str" cm="1">
        <f t="array" ref="C181">INDEX(Processing!$C$11:$C$22,MONTH('ALL ORDERS'!A181))</f>
        <v>APR</v>
      </c>
      <c r="D181" s="54">
        <f t="shared" si="94"/>
        <v>2024</v>
      </c>
      <c r="E181" s="56" t="s">
        <v>48</v>
      </c>
      <c r="F181" s="56" t="s">
        <v>20</v>
      </c>
      <c r="G181" s="100">
        <v>0</v>
      </c>
      <c r="H181" s="100">
        <v>1160</v>
      </c>
      <c r="I181" s="57"/>
      <c r="J181" s="99">
        <f t="shared" si="95"/>
        <v>1160</v>
      </c>
      <c r="K181" s="53">
        <v>45388</v>
      </c>
      <c r="L181" s="54">
        <f t="shared" si="3"/>
        <v>6</v>
      </c>
      <c r="M181" s="55" t="str" cm="1">
        <f t="array" ref="M181">INDEX(Processing!$W$6:$W$17,MONTH('ALL ORDERS'!K181))</f>
        <v>April</v>
      </c>
      <c r="N181" s="54">
        <f t="shared" si="97"/>
        <v>2024</v>
      </c>
      <c r="O181" s="58">
        <v>0.75</v>
      </c>
      <c r="P181" s="59" t="s">
        <v>354</v>
      </c>
      <c r="Q181" s="60" t="s">
        <v>94</v>
      </c>
      <c r="R181" s="56" t="s">
        <v>323</v>
      </c>
      <c r="S181" s="61" t="s">
        <v>42</v>
      </c>
      <c r="T181" s="62" t="s">
        <v>541</v>
      </c>
      <c r="U181" s="63" t="s">
        <v>27</v>
      </c>
      <c r="V181" s="63" t="s">
        <v>147</v>
      </c>
      <c r="W181" s="64">
        <v>664</v>
      </c>
      <c r="X181" s="64">
        <v>4</v>
      </c>
      <c r="Y181" s="47"/>
      <c r="Z181" s="47"/>
    </row>
    <row r="182" spans="1:26" x14ac:dyDescent="0.25">
      <c r="A182" s="53">
        <v>45383</v>
      </c>
      <c r="B182" s="54">
        <f t="shared" si="93"/>
        <v>1</v>
      </c>
      <c r="C182" s="55" t="str" cm="1">
        <f t="array" ref="C182">INDEX(Processing!$C$11:$C$22,MONTH('ALL ORDERS'!A182))</f>
        <v>APR</v>
      </c>
      <c r="D182" s="54">
        <f t="shared" si="94"/>
        <v>2024</v>
      </c>
      <c r="E182" s="56" t="s">
        <v>49</v>
      </c>
      <c r="F182" s="56" t="s">
        <v>123</v>
      </c>
      <c r="G182" s="100">
        <v>0</v>
      </c>
      <c r="H182" s="100">
        <v>100</v>
      </c>
      <c r="I182" s="57"/>
      <c r="J182" s="99">
        <f t="shared" si="95"/>
        <v>100</v>
      </c>
      <c r="K182" s="53">
        <v>45383</v>
      </c>
      <c r="L182" s="54">
        <f t="shared" si="3"/>
        <v>1</v>
      </c>
      <c r="M182" s="55" t="str" cm="1">
        <f t="array" ref="M182">INDEX(Processing!$W$6:$W$17,MONTH('ALL ORDERS'!K182))</f>
        <v>April</v>
      </c>
      <c r="N182" s="54">
        <f t="shared" si="97"/>
        <v>2024</v>
      </c>
      <c r="O182" s="58">
        <v>0.41666666666666669</v>
      </c>
      <c r="P182" s="59" t="s">
        <v>348</v>
      </c>
      <c r="Q182" s="60" t="s">
        <v>90</v>
      </c>
      <c r="R182" s="56" t="s">
        <v>310</v>
      </c>
      <c r="S182" s="61" t="s">
        <v>43</v>
      </c>
      <c r="T182" s="62" t="s">
        <v>542</v>
      </c>
      <c r="U182" s="63" t="s">
        <v>23</v>
      </c>
      <c r="V182" s="63" t="s">
        <v>148</v>
      </c>
      <c r="W182" s="64">
        <v>2118</v>
      </c>
      <c r="X182" s="64"/>
      <c r="Y182" s="47"/>
      <c r="Z182" s="47"/>
    </row>
    <row r="183" spans="1:26" x14ac:dyDescent="0.25">
      <c r="A183" s="53">
        <v>45390</v>
      </c>
      <c r="B183" s="54">
        <f t="shared" si="93"/>
        <v>8</v>
      </c>
      <c r="C183" s="55" t="str" cm="1">
        <f t="array" ref="C183">INDEX(Processing!$C$11:$C$22,MONTH('ALL ORDERS'!A183))</f>
        <v>APR</v>
      </c>
      <c r="D183" s="54">
        <f t="shared" si="94"/>
        <v>2024</v>
      </c>
      <c r="E183" s="56" t="s">
        <v>47</v>
      </c>
      <c r="F183" s="56" t="s">
        <v>121</v>
      </c>
      <c r="G183" s="100">
        <v>0</v>
      </c>
      <c r="H183" s="100">
        <v>2680</v>
      </c>
      <c r="I183" s="57"/>
      <c r="J183" s="99">
        <f t="shared" si="95"/>
        <v>2680</v>
      </c>
      <c r="K183" s="53">
        <v>45390</v>
      </c>
      <c r="L183" s="54">
        <f t="shared" si="3"/>
        <v>8</v>
      </c>
      <c r="M183" s="55" t="str" cm="1">
        <f t="array" ref="M183">INDEX(Processing!$W$6:$W$17,MONTH('ALL ORDERS'!K183))</f>
        <v>April</v>
      </c>
      <c r="N183" s="54">
        <f t="shared" si="97"/>
        <v>2024</v>
      </c>
      <c r="O183" s="58">
        <v>0.5</v>
      </c>
      <c r="P183" s="59" t="s">
        <v>189</v>
      </c>
      <c r="Q183" s="60" t="s">
        <v>90</v>
      </c>
      <c r="R183" s="56" t="s">
        <v>275</v>
      </c>
      <c r="S183" s="61" t="s">
        <v>45</v>
      </c>
      <c r="T183" s="62" t="s">
        <v>543</v>
      </c>
      <c r="U183" s="63" t="s">
        <v>25</v>
      </c>
      <c r="V183" s="63" t="s">
        <v>147</v>
      </c>
      <c r="W183" s="64">
        <v>1740</v>
      </c>
      <c r="X183" s="64">
        <v>4</v>
      </c>
      <c r="Y183" s="47"/>
      <c r="Z183" s="47"/>
    </row>
    <row r="184" spans="1:26" x14ac:dyDescent="0.25">
      <c r="A184" s="53">
        <v>45391</v>
      </c>
      <c r="B184" s="54">
        <f t="shared" si="93"/>
        <v>9</v>
      </c>
      <c r="C184" s="55" t="str" cm="1">
        <f t="array" ref="C184">INDEX(Processing!$C$11:$C$22,MONTH('ALL ORDERS'!A184))</f>
        <v>APR</v>
      </c>
      <c r="D184" s="54">
        <f t="shared" si="94"/>
        <v>2024</v>
      </c>
      <c r="E184" s="56" t="s">
        <v>50</v>
      </c>
      <c r="F184" s="56" t="s">
        <v>128</v>
      </c>
      <c r="G184" s="100">
        <v>0</v>
      </c>
      <c r="H184" s="100">
        <v>3650</v>
      </c>
      <c r="I184" s="57"/>
      <c r="J184" s="99">
        <f t="shared" si="95"/>
        <v>3650</v>
      </c>
      <c r="K184" s="53">
        <v>45391</v>
      </c>
      <c r="L184" s="54">
        <f t="shared" si="3"/>
        <v>9</v>
      </c>
      <c r="M184" s="55" t="str" cm="1">
        <f t="array" ref="M184">INDEX(Processing!$W$6:$W$17,MONTH('ALL ORDERS'!K184))</f>
        <v>April</v>
      </c>
      <c r="N184" s="54">
        <f t="shared" si="97"/>
        <v>2024</v>
      </c>
      <c r="O184" s="58">
        <v>0.66666666666666663</v>
      </c>
      <c r="P184" s="59" t="s">
        <v>215</v>
      </c>
      <c r="Q184" s="60" t="s">
        <v>94</v>
      </c>
      <c r="R184" s="56" t="s">
        <v>304</v>
      </c>
      <c r="S184" s="61" t="s">
        <v>42</v>
      </c>
      <c r="T184" s="62" t="s">
        <v>544</v>
      </c>
      <c r="U184" s="63" t="s">
        <v>23</v>
      </c>
      <c r="V184" s="63" t="s">
        <v>147</v>
      </c>
      <c r="W184" s="64">
        <v>987</v>
      </c>
      <c r="X184" s="64">
        <v>5</v>
      </c>
      <c r="Y184" s="47"/>
      <c r="Z184" s="47"/>
    </row>
    <row r="185" spans="1:26" x14ac:dyDescent="0.25">
      <c r="A185" s="53">
        <v>45392</v>
      </c>
      <c r="B185" s="54">
        <f t="shared" si="93"/>
        <v>10</v>
      </c>
      <c r="C185" s="55" t="str" cm="1">
        <f t="array" ref="C185">INDEX(Processing!$C$11:$C$22,MONTH('ALL ORDERS'!A185))</f>
        <v>APR</v>
      </c>
      <c r="D185" s="54">
        <f t="shared" si="94"/>
        <v>2024</v>
      </c>
      <c r="E185" s="56" t="s">
        <v>51</v>
      </c>
      <c r="F185" s="56" t="s">
        <v>19</v>
      </c>
      <c r="G185" s="100">
        <v>0</v>
      </c>
      <c r="H185" s="100">
        <v>3590</v>
      </c>
      <c r="I185" s="57">
        <v>0.15</v>
      </c>
      <c r="J185" s="99">
        <f t="shared" si="95"/>
        <v>3590</v>
      </c>
      <c r="K185" s="53">
        <v>45392</v>
      </c>
      <c r="L185" s="54">
        <f t="shared" si="3"/>
        <v>10</v>
      </c>
      <c r="M185" s="55" t="str" cm="1">
        <f t="array" ref="M185">INDEX(Processing!$W$6:$W$17,MONTH('ALL ORDERS'!K185))</f>
        <v>April</v>
      </c>
      <c r="N185" s="54">
        <f t="shared" si="97"/>
        <v>2024</v>
      </c>
      <c r="O185" s="58">
        <v>0.75</v>
      </c>
      <c r="P185" s="59" t="s">
        <v>226</v>
      </c>
      <c r="Q185" s="60" t="s">
        <v>94</v>
      </c>
      <c r="R185" s="56" t="s">
        <v>326</v>
      </c>
      <c r="S185" s="61" t="s">
        <v>41</v>
      </c>
      <c r="T185" s="62" t="s">
        <v>545</v>
      </c>
      <c r="U185" s="63" t="s">
        <v>26</v>
      </c>
      <c r="V185" s="63" t="s">
        <v>147</v>
      </c>
      <c r="W185" s="64">
        <v>656</v>
      </c>
      <c r="X185" s="64">
        <v>5</v>
      </c>
      <c r="Y185" s="47"/>
      <c r="Z185" s="47"/>
    </row>
    <row r="186" spans="1:26" x14ac:dyDescent="0.25">
      <c r="A186" s="53">
        <v>45393</v>
      </c>
      <c r="B186" s="54">
        <f t="shared" si="93"/>
        <v>11</v>
      </c>
      <c r="C186" s="55" t="str" cm="1">
        <f t="array" ref="C186">INDEX(Processing!$C$11:$C$22,MONTH('ALL ORDERS'!A186))</f>
        <v>APR</v>
      </c>
      <c r="D186" s="54">
        <f t="shared" si="94"/>
        <v>2024</v>
      </c>
      <c r="E186" s="56" t="s">
        <v>47</v>
      </c>
      <c r="F186" s="56" t="s">
        <v>20</v>
      </c>
      <c r="G186" s="100">
        <v>0</v>
      </c>
      <c r="H186" s="100">
        <v>3310</v>
      </c>
      <c r="I186" s="57"/>
      <c r="J186" s="99">
        <f t="shared" si="95"/>
        <v>3310</v>
      </c>
      <c r="K186" s="53">
        <v>45393</v>
      </c>
      <c r="L186" s="54">
        <f t="shared" si="3"/>
        <v>11</v>
      </c>
      <c r="M186" s="55" t="str" cm="1">
        <f t="array" ref="M186">INDEX(Processing!$W$6:$W$17,MONTH('ALL ORDERS'!K186))</f>
        <v>April</v>
      </c>
      <c r="N186" s="54">
        <f t="shared" si="97"/>
        <v>2024</v>
      </c>
      <c r="O186" s="58">
        <v>0.41666666666666669</v>
      </c>
      <c r="P186" s="59" t="s">
        <v>212</v>
      </c>
      <c r="Q186" s="60" t="s">
        <v>94</v>
      </c>
      <c r="R186" s="56" t="s">
        <v>300</v>
      </c>
      <c r="S186" s="61" t="s">
        <v>42</v>
      </c>
      <c r="T186" s="70">
        <v>47900888990</v>
      </c>
      <c r="U186" s="63" t="s">
        <v>24</v>
      </c>
      <c r="V186" s="63" t="s">
        <v>148</v>
      </c>
      <c r="W186" s="64">
        <v>3451</v>
      </c>
      <c r="X186" s="64"/>
      <c r="Y186" s="47"/>
      <c r="Z186" s="47"/>
    </row>
    <row r="187" spans="1:26" x14ac:dyDescent="0.25">
      <c r="A187" s="53">
        <v>45394</v>
      </c>
      <c r="B187" s="54">
        <f t="shared" si="93"/>
        <v>12</v>
      </c>
      <c r="C187" s="55" t="str" cm="1">
        <f t="array" ref="C187">INDEX(Processing!$C$11:$C$22,MONTH('ALL ORDERS'!A187))</f>
        <v>APR</v>
      </c>
      <c r="D187" s="54">
        <f t="shared" si="94"/>
        <v>2024</v>
      </c>
      <c r="E187" s="56" t="s">
        <v>50</v>
      </c>
      <c r="F187" s="56" t="s">
        <v>124</v>
      </c>
      <c r="G187" s="100">
        <v>0</v>
      </c>
      <c r="H187" s="100">
        <v>1940</v>
      </c>
      <c r="I187" s="57"/>
      <c r="J187" s="99">
        <f t="shared" si="95"/>
        <v>1940</v>
      </c>
      <c r="K187" s="53">
        <v>45394</v>
      </c>
      <c r="L187" s="54">
        <f t="shared" si="3"/>
        <v>12</v>
      </c>
      <c r="M187" s="55" t="str" cm="1">
        <f t="array" ref="M187">INDEX(Processing!$W$6:$W$17,MONTH('ALL ORDERS'!K187))</f>
        <v>April</v>
      </c>
      <c r="N187" s="54">
        <f t="shared" si="97"/>
        <v>2024</v>
      </c>
      <c r="O187" s="58">
        <v>0.5</v>
      </c>
      <c r="P187" s="59" t="s">
        <v>163</v>
      </c>
      <c r="Q187" s="60" t="s">
        <v>94</v>
      </c>
      <c r="R187" s="56" t="s">
        <v>246</v>
      </c>
      <c r="S187" s="61" t="s">
        <v>42</v>
      </c>
      <c r="T187" s="62" t="s">
        <v>546</v>
      </c>
      <c r="U187" s="63" t="s">
        <v>24</v>
      </c>
      <c r="V187" s="63" t="s">
        <v>147</v>
      </c>
      <c r="W187" s="64">
        <v>676</v>
      </c>
      <c r="X187" s="64">
        <v>5</v>
      </c>
      <c r="Y187" s="47"/>
      <c r="Z187" s="47"/>
    </row>
    <row r="188" spans="1:26" x14ac:dyDescent="0.25">
      <c r="A188" s="53">
        <v>45394</v>
      </c>
      <c r="B188" s="54">
        <f t="shared" si="93"/>
        <v>12</v>
      </c>
      <c r="C188" s="55" t="str" cm="1">
        <f t="array" ref="C188">INDEX(Processing!$C$11:$C$22,MONTH('ALL ORDERS'!A188))</f>
        <v>APR</v>
      </c>
      <c r="D188" s="54">
        <f t="shared" si="94"/>
        <v>2024</v>
      </c>
      <c r="E188" s="56" t="s">
        <v>47</v>
      </c>
      <c r="F188" s="56" t="s">
        <v>22</v>
      </c>
      <c r="G188" s="100">
        <v>0</v>
      </c>
      <c r="H188" s="100">
        <v>2150</v>
      </c>
      <c r="I188" s="57"/>
      <c r="J188" s="99">
        <f t="shared" si="95"/>
        <v>2150</v>
      </c>
      <c r="K188" s="53">
        <v>45394</v>
      </c>
      <c r="L188" s="54">
        <f t="shared" si="3"/>
        <v>12</v>
      </c>
      <c r="M188" s="55" t="str" cm="1">
        <f t="array" ref="M188">INDEX(Processing!$W$6:$W$17,MONTH('ALL ORDERS'!K188))</f>
        <v>April</v>
      </c>
      <c r="N188" s="54">
        <f t="shared" si="97"/>
        <v>2024</v>
      </c>
      <c r="O188" s="58">
        <v>0.66666666666666663</v>
      </c>
      <c r="P188" s="59" t="s">
        <v>179</v>
      </c>
      <c r="Q188" s="60" t="s">
        <v>94</v>
      </c>
      <c r="R188" s="56" t="s">
        <v>264</v>
      </c>
      <c r="S188" s="61" t="s">
        <v>41</v>
      </c>
      <c r="T188" s="62" t="s">
        <v>547</v>
      </c>
      <c r="U188" s="63" t="s">
        <v>26</v>
      </c>
      <c r="V188" s="63" t="s">
        <v>147</v>
      </c>
      <c r="W188" s="64">
        <v>2450</v>
      </c>
      <c r="X188" s="64">
        <v>5</v>
      </c>
      <c r="Y188" s="47"/>
      <c r="Z188" s="47"/>
    </row>
    <row r="189" spans="1:26" x14ac:dyDescent="0.25">
      <c r="A189" s="53">
        <v>45394</v>
      </c>
      <c r="B189" s="54">
        <f t="shared" si="93"/>
        <v>12</v>
      </c>
      <c r="C189" s="55" t="str" cm="1">
        <f t="array" ref="C189">INDEX(Processing!$C$11:$C$22,MONTH('ALL ORDERS'!A189))</f>
        <v>APR</v>
      </c>
      <c r="D189" s="54">
        <f t="shared" si="94"/>
        <v>2024</v>
      </c>
      <c r="E189" s="56" t="s">
        <v>48</v>
      </c>
      <c r="F189" s="56" t="s">
        <v>135</v>
      </c>
      <c r="G189" s="100">
        <v>0</v>
      </c>
      <c r="H189" s="100">
        <v>3230</v>
      </c>
      <c r="I189" s="57"/>
      <c r="J189" s="99">
        <f t="shared" si="95"/>
        <v>3230</v>
      </c>
      <c r="K189" s="53">
        <v>45394</v>
      </c>
      <c r="L189" s="54">
        <f t="shared" si="3"/>
        <v>12</v>
      </c>
      <c r="M189" s="55" t="str" cm="1">
        <f t="array" ref="M189">INDEX(Processing!$W$6:$W$17,MONTH('ALL ORDERS'!K189))</f>
        <v>April</v>
      </c>
      <c r="N189" s="54">
        <f t="shared" si="97"/>
        <v>2024</v>
      </c>
      <c r="O189" s="58">
        <v>0.75</v>
      </c>
      <c r="P189" s="59" t="s">
        <v>209</v>
      </c>
      <c r="Q189" s="60" t="s">
        <v>94</v>
      </c>
      <c r="R189" s="56" t="s">
        <v>297</v>
      </c>
      <c r="S189" s="61" t="s">
        <v>43</v>
      </c>
      <c r="T189" s="62" t="s">
        <v>548</v>
      </c>
      <c r="U189" s="63" t="s">
        <v>25</v>
      </c>
      <c r="V189" s="63" t="s">
        <v>147</v>
      </c>
      <c r="W189" s="64">
        <v>2854</v>
      </c>
      <c r="X189" s="64">
        <v>5</v>
      </c>
      <c r="Y189" s="47"/>
      <c r="Z189" s="47"/>
    </row>
    <row r="190" spans="1:26" x14ac:dyDescent="0.25">
      <c r="A190" s="53">
        <v>45394</v>
      </c>
      <c r="B190" s="54">
        <f t="shared" si="93"/>
        <v>12</v>
      </c>
      <c r="C190" s="55" t="str" cm="1">
        <f t="array" ref="C190">INDEX(Processing!$C$11:$C$22,MONTH('ALL ORDERS'!A190))</f>
        <v>APR</v>
      </c>
      <c r="D190" s="54">
        <f t="shared" si="94"/>
        <v>2024</v>
      </c>
      <c r="E190" s="56" t="s">
        <v>49</v>
      </c>
      <c r="F190" s="56" t="s">
        <v>124</v>
      </c>
      <c r="G190" s="100">
        <v>0</v>
      </c>
      <c r="H190" s="100">
        <v>2190</v>
      </c>
      <c r="I190" s="57"/>
      <c r="J190" s="99">
        <f t="shared" si="95"/>
        <v>2190</v>
      </c>
      <c r="K190" s="53">
        <v>45394</v>
      </c>
      <c r="L190" s="54">
        <f t="shared" si="3"/>
        <v>12</v>
      </c>
      <c r="M190" s="55" t="str" cm="1">
        <f t="array" ref="M190">INDEX(Processing!$W$6:$W$17,MONTH('ALL ORDERS'!K190))</f>
        <v>April</v>
      </c>
      <c r="N190" s="54">
        <f t="shared" si="97"/>
        <v>2024</v>
      </c>
      <c r="O190" s="58">
        <v>0.41666666666666669</v>
      </c>
      <c r="P190" s="59" t="s">
        <v>345</v>
      </c>
      <c r="Q190" s="60" t="s">
        <v>94</v>
      </c>
      <c r="R190" s="56" t="s">
        <v>307</v>
      </c>
      <c r="S190" s="61" t="s">
        <v>45</v>
      </c>
      <c r="T190" s="62" t="s">
        <v>549</v>
      </c>
      <c r="U190" s="63" t="s">
        <v>23</v>
      </c>
      <c r="V190" s="63" t="s">
        <v>147</v>
      </c>
      <c r="W190" s="64">
        <v>2597</v>
      </c>
      <c r="X190" s="64">
        <v>3</v>
      </c>
      <c r="Y190" s="47"/>
      <c r="Z190" s="47"/>
    </row>
    <row r="191" spans="1:26" x14ac:dyDescent="0.25">
      <c r="A191" s="53">
        <v>45398</v>
      </c>
      <c r="B191" s="54">
        <f t="shared" si="93"/>
        <v>16</v>
      </c>
      <c r="C191" s="55" t="str" cm="1">
        <f t="array" ref="C191">INDEX(Processing!$C$11:$C$22,MONTH('ALL ORDERS'!A191))</f>
        <v>APR</v>
      </c>
      <c r="D191" s="54">
        <f t="shared" si="94"/>
        <v>2024</v>
      </c>
      <c r="E191" s="56" t="s">
        <v>47</v>
      </c>
      <c r="F191" s="56" t="s">
        <v>135</v>
      </c>
      <c r="G191" s="100">
        <v>0</v>
      </c>
      <c r="H191" s="100">
        <v>1120</v>
      </c>
      <c r="I191" s="57"/>
      <c r="J191" s="99">
        <f t="shared" si="95"/>
        <v>1120</v>
      </c>
      <c r="K191" s="53">
        <v>45398</v>
      </c>
      <c r="L191" s="54">
        <f t="shared" si="3"/>
        <v>16</v>
      </c>
      <c r="M191" s="55" t="str" cm="1">
        <f t="array" ref="M191">INDEX(Processing!$W$6:$W$17,MONTH('ALL ORDERS'!K191))</f>
        <v>April</v>
      </c>
      <c r="N191" s="54">
        <f t="shared" si="97"/>
        <v>2024</v>
      </c>
      <c r="O191" s="58">
        <v>0.5</v>
      </c>
      <c r="P191" s="59" t="s">
        <v>202</v>
      </c>
      <c r="Q191" s="60" t="s">
        <v>94</v>
      </c>
      <c r="R191" s="56" t="s">
        <v>289</v>
      </c>
      <c r="S191" s="61" t="s">
        <v>44</v>
      </c>
      <c r="T191" s="62" t="s">
        <v>550</v>
      </c>
      <c r="U191" s="63" t="s">
        <v>27</v>
      </c>
      <c r="V191" s="63" t="s">
        <v>147</v>
      </c>
      <c r="W191" s="64">
        <v>1889</v>
      </c>
      <c r="X191" s="64">
        <v>3</v>
      </c>
      <c r="Y191" s="47"/>
      <c r="Z191" s="47"/>
    </row>
    <row r="192" spans="1:26" x14ac:dyDescent="0.25">
      <c r="A192" s="53">
        <v>45393</v>
      </c>
      <c r="B192" s="54">
        <f t="shared" si="93"/>
        <v>11</v>
      </c>
      <c r="C192" s="55" t="str" cm="1">
        <f t="array" ref="C192">INDEX(Processing!$C$11:$C$22,MONTH('ALL ORDERS'!A192))</f>
        <v>APR</v>
      </c>
      <c r="D192" s="54">
        <f t="shared" si="94"/>
        <v>2024</v>
      </c>
      <c r="E192" s="56" t="s">
        <v>50</v>
      </c>
      <c r="F192" s="56" t="s">
        <v>137</v>
      </c>
      <c r="G192" s="100">
        <v>0</v>
      </c>
      <c r="H192" s="100">
        <v>2330</v>
      </c>
      <c r="I192" s="57"/>
      <c r="J192" s="99">
        <f t="shared" si="95"/>
        <v>2330</v>
      </c>
      <c r="K192" s="53">
        <v>45393</v>
      </c>
      <c r="L192" s="54">
        <f t="shared" si="3"/>
        <v>11</v>
      </c>
      <c r="M192" s="55" t="str" cm="1">
        <f t="array" ref="M192">INDEX(Processing!$W$6:$W$17,MONTH('ALL ORDERS'!K192))</f>
        <v>April</v>
      </c>
      <c r="N192" s="54">
        <f t="shared" si="97"/>
        <v>2024</v>
      </c>
      <c r="O192" s="58">
        <v>0.66666666666666663</v>
      </c>
      <c r="P192" s="59" t="s">
        <v>222</v>
      </c>
      <c r="Q192" s="60" t="s">
        <v>94</v>
      </c>
      <c r="R192" s="56" t="s">
        <v>321</v>
      </c>
      <c r="S192" s="61" t="s">
        <v>42</v>
      </c>
      <c r="T192" s="62" t="s">
        <v>551</v>
      </c>
      <c r="U192" s="63" t="s">
        <v>26</v>
      </c>
      <c r="V192" s="63" t="s">
        <v>147</v>
      </c>
      <c r="W192" s="64">
        <v>1536</v>
      </c>
      <c r="X192" s="64">
        <v>2</v>
      </c>
      <c r="Y192" s="47"/>
      <c r="Z192" s="47"/>
    </row>
    <row r="193" spans="1:26" x14ac:dyDescent="0.25">
      <c r="A193" s="53">
        <v>45400</v>
      </c>
      <c r="B193" s="54">
        <f t="shared" si="93"/>
        <v>18</v>
      </c>
      <c r="C193" s="55" t="str" cm="1">
        <f t="array" ref="C193">INDEX(Processing!$C$11:$C$22,MONTH('ALL ORDERS'!A193))</f>
        <v>APR</v>
      </c>
      <c r="D193" s="54">
        <f t="shared" si="94"/>
        <v>2024</v>
      </c>
      <c r="E193" s="56" t="s">
        <v>48</v>
      </c>
      <c r="F193" s="56" t="s">
        <v>21</v>
      </c>
      <c r="G193" s="100">
        <v>0</v>
      </c>
      <c r="H193" s="100">
        <v>120</v>
      </c>
      <c r="I193" s="57"/>
      <c r="J193" s="99">
        <f t="shared" si="95"/>
        <v>120</v>
      </c>
      <c r="K193" s="53">
        <v>45400</v>
      </c>
      <c r="L193" s="54">
        <f t="shared" si="3"/>
        <v>18</v>
      </c>
      <c r="M193" s="55" t="str" cm="1">
        <f t="array" ref="M193">INDEX(Processing!$W$6:$W$17,MONTH('ALL ORDERS'!K193))</f>
        <v>April</v>
      </c>
      <c r="N193" s="54">
        <f t="shared" si="97"/>
        <v>2024</v>
      </c>
      <c r="O193" s="58">
        <v>0.75</v>
      </c>
      <c r="P193" s="59" t="s">
        <v>160</v>
      </c>
      <c r="Q193" s="60" t="s">
        <v>94</v>
      </c>
      <c r="R193" s="56" t="s">
        <v>242</v>
      </c>
      <c r="S193" s="61" t="s">
        <v>41</v>
      </c>
      <c r="T193" s="62" t="s">
        <v>552</v>
      </c>
      <c r="U193" s="63" t="s">
        <v>24</v>
      </c>
      <c r="V193" s="63" t="s">
        <v>148</v>
      </c>
      <c r="W193" s="64">
        <v>1691</v>
      </c>
      <c r="X193" s="64"/>
      <c r="Y193" s="47"/>
      <c r="Z193" s="47"/>
    </row>
    <row r="194" spans="1:26" x14ac:dyDescent="0.25">
      <c r="A194" s="53">
        <v>45401</v>
      </c>
      <c r="B194" s="54">
        <f t="shared" si="93"/>
        <v>19</v>
      </c>
      <c r="C194" s="55" t="str" cm="1">
        <f t="array" ref="C194">INDEX(Processing!$C$11:$C$22,MONTH('ALL ORDERS'!A194))</f>
        <v>APR</v>
      </c>
      <c r="D194" s="54">
        <f t="shared" si="94"/>
        <v>2024</v>
      </c>
      <c r="E194" s="56" t="s">
        <v>51</v>
      </c>
      <c r="F194" s="56" t="s">
        <v>18</v>
      </c>
      <c r="G194" s="100">
        <v>0</v>
      </c>
      <c r="H194" s="100">
        <v>3020</v>
      </c>
      <c r="I194" s="57"/>
      <c r="J194" s="99">
        <f t="shared" si="95"/>
        <v>3020</v>
      </c>
      <c r="K194" s="53">
        <v>45401</v>
      </c>
      <c r="L194" s="54">
        <f t="shared" si="3"/>
        <v>19</v>
      </c>
      <c r="M194" s="55" t="str" cm="1">
        <f t="array" ref="M194">INDEX(Processing!$W$6:$W$17,MONTH('ALL ORDERS'!K194))</f>
        <v>April</v>
      </c>
      <c r="N194" s="54">
        <f t="shared" si="97"/>
        <v>2024</v>
      </c>
      <c r="O194" s="58">
        <v>0.41666666666666669</v>
      </c>
      <c r="P194" s="59" t="s">
        <v>177</v>
      </c>
      <c r="Q194" s="60" t="s">
        <v>93</v>
      </c>
      <c r="R194" s="56" t="s">
        <v>261</v>
      </c>
      <c r="S194" s="61" t="s">
        <v>42</v>
      </c>
      <c r="T194" s="62" t="s">
        <v>553</v>
      </c>
      <c r="U194" s="63" t="s">
        <v>24</v>
      </c>
      <c r="V194" s="63" t="s">
        <v>147</v>
      </c>
      <c r="W194" s="64">
        <v>3498</v>
      </c>
      <c r="X194" s="64">
        <v>5</v>
      </c>
      <c r="Y194" s="47"/>
      <c r="Z194" s="47"/>
    </row>
    <row r="195" spans="1:26" x14ac:dyDescent="0.25">
      <c r="A195" s="53">
        <v>45402</v>
      </c>
      <c r="B195" s="54">
        <f t="shared" si="93"/>
        <v>20</v>
      </c>
      <c r="C195" s="55" t="str" cm="1">
        <f t="array" ref="C195">INDEX(Processing!$C$11:$C$22,MONTH('ALL ORDERS'!A195))</f>
        <v>APR</v>
      </c>
      <c r="D195" s="54">
        <f t="shared" si="94"/>
        <v>2024</v>
      </c>
      <c r="E195" s="56" t="s">
        <v>49</v>
      </c>
      <c r="F195" s="56" t="s">
        <v>19</v>
      </c>
      <c r="G195" s="100">
        <v>0</v>
      </c>
      <c r="H195" s="100">
        <v>3020</v>
      </c>
      <c r="I195" s="57"/>
      <c r="J195" s="99">
        <f t="shared" si="95"/>
        <v>3020</v>
      </c>
      <c r="K195" s="53">
        <v>45402</v>
      </c>
      <c r="L195" s="54">
        <f t="shared" si="3"/>
        <v>20</v>
      </c>
      <c r="M195" s="55" t="str" cm="1">
        <f t="array" ref="M195">INDEX(Processing!$W$6:$W$17,MONTH('ALL ORDERS'!K195))</f>
        <v>April</v>
      </c>
      <c r="N195" s="54">
        <f t="shared" si="97"/>
        <v>2024</v>
      </c>
      <c r="O195" s="58">
        <v>0.5</v>
      </c>
      <c r="P195" s="59" t="s">
        <v>176</v>
      </c>
      <c r="Q195" s="60" t="s">
        <v>94</v>
      </c>
      <c r="R195" s="56" t="s">
        <v>260</v>
      </c>
      <c r="S195" s="61" t="s">
        <v>43</v>
      </c>
      <c r="T195" s="62" t="s">
        <v>554</v>
      </c>
      <c r="U195" s="63" t="s">
        <v>24</v>
      </c>
      <c r="V195" s="63" t="s">
        <v>147</v>
      </c>
      <c r="W195" s="64">
        <v>2369</v>
      </c>
      <c r="X195" s="64">
        <v>5</v>
      </c>
      <c r="Y195" s="47"/>
      <c r="Z195" s="47"/>
    </row>
    <row r="196" spans="1:26" x14ac:dyDescent="0.25">
      <c r="A196" s="53">
        <v>45403</v>
      </c>
      <c r="B196" s="54">
        <f t="shared" si="93"/>
        <v>21</v>
      </c>
      <c r="C196" s="55" t="str" cm="1">
        <f t="array" ref="C196">INDEX(Processing!$C$11:$C$22,MONTH('ALL ORDERS'!A196))</f>
        <v>APR</v>
      </c>
      <c r="D196" s="54">
        <f t="shared" si="94"/>
        <v>2024</v>
      </c>
      <c r="E196" s="56" t="s">
        <v>47</v>
      </c>
      <c r="F196" s="56" t="s">
        <v>124</v>
      </c>
      <c r="G196" s="100">
        <v>0</v>
      </c>
      <c r="H196" s="100">
        <v>2340</v>
      </c>
      <c r="I196" s="57"/>
      <c r="J196" s="99">
        <f t="shared" si="95"/>
        <v>2340</v>
      </c>
      <c r="K196" s="53">
        <v>45403</v>
      </c>
      <c r="L196" s="54">
        <f t="shared" si="3"/>
        <v>21</v>
      </c>
      <c r="M196" s="55" t="str" cm="1">
        <f t="array" ref="M196">INDEX(Processing!$W$6:$W$17,MONTH('ALL ORDERS'!K196))</f>
        <v>April</v>
      </c>
      <c r="N196" s="54">
        <f t="shared" si="97"/>
        <v>2024</v>
      </c>
      <c r="O196" s="58">
        <v>0.66666666666666663</v>
      </c>
      <c r="P196" s="59" t="s">
        <v>203</v>
      </c>
      <c r="Q196" s="60" t="s">
        <v>94</v>
      </c>
      <c r="R196" s="56" t="s">
        <v>290</v>
      </c>
      <c r="S196" s="61" t="s">
        <v>41</v>
      </c>
      <c r="T196" s="62" t="s">
        <v>555</v>
      </c>
      <c r="U196" s="63" t="s">
        <v>26</v>
      </c>
      <c r="V196" s="63" t="s">
        <v>147</v>
      </c>
      <c r="W196" s="64">
        <v>2339</v>
      </c>
      <c r="X196" s="64">
        <v>5</v>
      </c>
      <c r="Y196" s="47"/>
      <c r="Z196" s="47"/>
    </row>
    <row r="197" spans="1:26" x14ac:dyDescent="0.25">
      <c r="A197" s="53">
        <v>45404</v>
      </c>
      <c r="B197" s="54">
        <f t="shared" si="93"/>
        <v>22</v>
      </c>
      <c r="C197" s="55" t="str" cm="1">
        <f t="array" ref="C197">INDEX(Processing!$C$11:$C$22,MONTH('ALL ORDERS'!A197))</f>
        <v>APR</v>
      </c>
      <c r="D197" s="54">
        <f t="shared" si="94"/>
        <v>2024</v>
      </c>
      <c r="E197" s="56" t="s">
        <v>50</v>
      </c>
      <c r="F197" s="56" t="s">
        <v>135</v>
      </c>
      <c r="G197" s="100">
        <v>0</v>
      </c>
      <c r="H197" s="100">
        <v>2390</v>
      </c>
      <c r="I197" s="57"/>
      <c r="J197" s="99">
        <f t="shared" si="95"/>
        <v>2390</v>
      </c>
      <c r="K197" s="53">
        <v>45404</v>
      </c>
      <c r="L197" s="54">
        <f t="shared" si="3"/>
        <v>22</v>
      </c>
      <c r="M197" s="55" t="str" cm="1">
        <f t="array" ref="M197">INDEX(Processing!$W$6:$W$17,MONTH('ALL ORDERS'!K197))</f>
        <v>April</v>
      </c>
      <c r="N197" s="54">
        <f t="shared" si="97"/>
        <v>2024</v>
      </c>
      <c r="O197" s="58">
        <v>0.75</v>
      </c>
      <c r="P197" s="59" t="s">
        <v>208</v>
      </c>
      <c r="Q197" s="60" t="s">
        <v>94</v>
      </c>
      <c r="R197" s="56" t="s">
        <v>296</v>
      </c>
      <c r="S197" s="61" t="s">
        <v>42</v>
      </c>
      <c r="T197" s="62" t="s">
        <v>556</v>
      </c>
      <c r="U197" s="63" t="s">
        <v>26</v>
      </c>
      <c r="V197" s="63" t="s">
        <v>147</v>
      </c>
      <c r="W197" s="64">
        <v>856</v>
      </c>
      <c r="X197" s="64">
        <v>4</v>
      </c>
      <c r="Y197" s="47"/>
      <c r="Z197" s="47"/>
    </row>
    <row r="198" spans="1:26" x14ac:dyDescent="0.25">
      <c r="A198" s="53">
        <v>45405</v>
      </c>
      <c r="B198" s="54">
        <f t="shared" si="93"/>
        <v>23</v>
      </c>
      <c r="C198" s="55" t="str" cm="1">
        <f t="array" ref="C198">INDEX(Processing!$C$11:$C$22,MONTH('ALL ORDERS'!A198))</f>
        <v>APR</v>
      </c>
      <c r="D198" s="54">
        <f t="shared" si="94"/>
        <v>2024</v>
      </c>
      <c r="E198" s="56" t="s">
        <v>47</v>
      </c>
      <c r="F198" s="56" t="s">
        <v>122</v>
      </c>
      <c r="G198" s="100">
        <v>0</v>
      </c>
      <c r="H198" s="100">
        <v>2610</v>
      </c>
      <c r="I198" s="57"/>
      <c r="J198" s="99">
        <f t="shared" si="95"/>
        <v>2610</v>
      </c>
      <c r="K198" s="53">
        <v>45405</v>
      </c>
      <c r="L198" s="54">
        <f t="shared" si="3"/>
        <v>23</v>
      </c>
      <c r="M198" s="55" t="str" cm="1">
        <f t="array" ref="M198">INDEX(Processing!$W$6:$W$17,MONTH('ALL ORDERS'!K198))</f>
        <v>April</v>
      </c>
      <c r="N198" s="54">
        <f t="shared" si="97"/>
        <v>2024</v>
      </c>
      <c r="O198" s="58">
        <v>0.41666666666666669</v>
      </c>
      <c r="P198" s="59" t="s">
        <v>165</v>
      </c>
      <c r="Q198" s="60" t="s">
        <v>90</v>
      </c>
      <c r="R198" s="56" t="s">
        <v>248</v>
      </c>
      <c r="S198" s="61" t="s">
        <v>42</v>
      </c>
      <c r="T198" s="70">
        <v>46900888990</v>
      </c>
      <c r="U198" s="63" t="s">
        <v>24</v>
      </c>
      <c r="V198" s="63" t="s">
        <v>147</v>
      </c>
      <c r="W198" s="64">
        <v>3171</v>
      </c>
      <c r="X198" s="64">
        <v>3</v>
      </c>
      <c r="Y198" s="47"/>
      <c r="Z198" s="47"/>
    </row>
    <row r="199" spans="1:26" x14ac:dyDescent="0.25">
      <c r="A199" s="53">
        <v>45406</v>
      </c>
      <c r="B199" s="54">
        <f t="shared" si="93"/>
        <v>24</v>
      </c>
      <c r="C199" s="55" t="str" cm="1">
        <f t="array" ref="C199">INDEX(Processing!$C$11:$C$22,MONTH('ALL ORDERS'!A199))</f>
        <v>APR</v>
      </c>
      <c r="D199" s="54">
        <f t="shared" si="94"/>
        <v>2024</v>
      </c>
      <c r="E199" s="56" t="s">
        <v>50</v>
      </c>
      <c r="F199" s="56" t="s">
        <v>124</v>
      </c>
      <c r="G199" s="100">
        <v>0</v>
      </c>
      <c r="H199" s="100">
        <v>1950</v>
      </c>
      <c r="I199" s="57"/>
      <c r="J199" s="99">
        <f t="shared" si="95"/>
        <v>1950</v>
      </c>
      <c r="K199" s="53">
        <v>45406</v>
      </c>
      <c r="L199" s="54">
        <f t="shared" si="3"/>
        <v>24</v>
      </c>
      <c r="M199" s="55" t="str" cm="1">
        <f t="array" ref="M199">INDEX(Processing!$W$6:$W$17,MONTH('ALL ORDERS'!K199))</f>
        <v>April</v>
      </c>
      <c r="N199" s="54">
        <f t="shared" si="97"/>
        <v>2024</v>
      </c>
      <c r="O199" s="58">
        <v>0.5</v>
      </c>
      <c r="P199" s="59" t="s">
        <v>174</v>
      </c>
      <c r="Q199" s="60" t="s">
        <v>94</v>
      </c>
      <c r="R199" s="56" t="s">
        <v>258</v>
      </c>
      <c r="S199" s="61" t="s">
        <v>41</v>
      </c>
      <c r="T199" s="62" t="s">
        <v>557</v>
      </c>
      <c r="U199" s="63" t="s">
        <v>26</v>
      </c>
      <c r="V199" s="63" t="s">
        <v>147</v>
      </c>
      <c r="W199" s="64">
        <v>2039</v>
      </c>
      <c r="X199" s="64">
        <v>5</v>
      </c>
      <c r="Y199" s="47"/>
      <c r="Z199" s="47"/>
    </row>
    <row r="200" spans="1:26" x14ac:dyDescent="0.25">
      <c r="A200" s="53">
        <v>45407</v>
      </c>
      <c r="B200" s="54">
        <f t="shared" si="93"/>
        <v>25</v>
      </c>
      <c r="C200" s="55" t="str" cm="1">
        <f t="array" ref="C200">INDEX(Processing!$C$11:$C$22,MONTH('ALL ORDERS'!A200))</f>
        <v>APR</v>
      </c>
      <c r="D200" s="54">
        <f t="shared" si="94"/>
        <v>2024</v>
      </c>
      <c r="E200" s="56" t="s">
        <v>47</v>
      </c>
      <c r="F200" s="56" t="s">
        <v>130</v>
      </c>
      <c r="G200" s="100">
        <v>0</v>
      </c>
      <c r="H200" s="100">
        <v>110</v>
      </c>
      <c r="I200" s="57"/>
      <c r="J200" s="99">
        <f t="shared" si="95"/>
        <v>110</v>
      </c>
      <c r="K200" s="53">
        <v>45407</v>
      </c>
      <c r="L200" s="54">
        <f t="shared" ref="L200" si="98">DAY(K200)</f>
        <v>25</v>
      </c>
      <c r="M200" s="55" t="str" cm="1">
        <f t="array" ref="M200">INDEX(Processing!$W$6:$W$17,MONTH('ALL ORDERS'!K200))</f>
        <v>April</v>
      </c>
      <c r="N200" s="54">
        <f t="shared" si="97"/>
        <v>2024</v>
      </c>
      <c r="O200" s="58">
        <v>0.66666666666666663</v>
      </c>
      <c r="P200" s="59" t="s">
        <v>180</v>
      </c>
      <c r="Q200" s="60" t="s">
        <v>94</v>
      </c>
      <c r="R200" s="56" t="s">
        <v>265</v>
      </c>
      <c r="S200" s="61" t="s">
        <v>43</v>
      </c>
      <c r="T200" s="62" t="s">
        <v>558</v>
      </c>
      <c r="U200" s="63" t="s">
        <v>27</v>
      </c>
      <c r="V200" s="63" t="s">
        <v>147</v>
      </c>
      <c r="W200" s="64">
        <v>667</v>
      </c>
      <c r="X200" s="64">
        <v>4</v>
      </c>
      <c r="Y200" s="47"/>
      <c r="Z200" s="47"/>
    </row>
    <row r="201" spans="1:26" x14ac:dyDescent="0.25">
      <c r="A201" s="53">
        <v>45408</v>
      </c>
      <c r="B201" s="54">
        <f t="shared" si="93"/>
        <v>26</v>
      </c>
      <c r="C201" s="55" t="str" cm="1">
        <f t="array" ref="C201">INDEX(Processing!$C$11:$C$22,MONTH('ALL ORDERS'!A201))</f>
        <v>APR</v>
      </c>
      <c r="D201" s="54">
        <f t="shared" si="94"/>
        <v>2024</v>
      </c>
      <c r="E201" s="56" t="s">
        <v>48</v>
      </c>
      <c r="F201" s="56" t="s">
        <v>125</v>
      </c>
      <c r="G201" s="100">
        <v>0</v>
      </c>
      <c r="H201" s="100">
        <v>2450</v>
      </c>
      <c r="I201" s="57"/>
      <c r="J201" s="99">
        <f t="shared" si="95"/>
        <v>2450</v>
      </c>
      <c r="K201" s="53">
        <v>45408</v>
      </c>
      <c r="L201" s="54">
        <f t="shared" si="3"/>
        <v>26</v>
      </c>
      <c r="M201" s="55" t="str" cm="1">
        <f t="array" ref="M201">INDEX(Processing!$W$6:$W$17,MONTH('ALL ORDERS'!K201))</f>
        <v>April</v>
      </c>
      <c r="N201" s="54">
        <f t="shared" si="97"/>
        <v>2024</v>
      </c>
      <c r="O201" s="58">
        <v>0.75</v>
      </c>
      <c r="P201" s="59" t="s">
        <v>165</v>
      </c>
      <c r="Q201" s="60" t="s">
        <v>90</v>
      </c>
      <c r="R201" s="56" t="s">
        <v>248</v>
      </c>
      <c r="S201" s="61" t="s">
        <v>45</v>
      </c>
      <c r="T201" s="62" t="s">
        <v>559</v>
      </c>
      <c r="U201" s="63" t="s">
        <v>23</v>
      </c>
      <c r="V201" s="63" t="s">
        <v>147</v>
      </c>
      <c r="W201" s="64">
        <v>2142</v>
      </c>
      <c r="X201" s="64">
        <v>4</v>
      </c>
      <c r="Y201" s="47"/>
      <c r="Z201" s="47"/>
    </row>
    <row r="202" spans="1:26" x14ac:dyDescent="0.25">
      <c r="A202" s="53">
        <v>45403</v>
      </c>
      <c r="B202" s="54">
        <f t="shared" si="93"/>
        <v>21</v>
      </c>
      <c r="C202" s="55" t="str" cm="1">
        <f t="array" ref="C202">INDEX(Processing!$C$11:$C$22,MONTH('ALL ORDERS'!A202))</f>
        <v>APR</v>
      </c>
      <c r="D202" s="54">
        <f t="shared" si="94"/>
        <v>2024</v>
      </c>
      <c r="E202" s="56" t="s">
        <v>49</v>
      </c>
      <c r="F202" s="56" t="s">
        <v>129</v>
      </c>
      <c r="G202" s="100">
        <v>0</v>
      </c>
      <c r="H202" s="100">
        <v>1960</v>
      </c>
      <c r="I202" s="57"/>
      <c r="J202" s="99">
        <f t="shared" si="95"/>
        <v>1960</v>
      </c>
      <c r="K202" s="53">
        <v>45403</v>
      </c>
      <c r="L202" s="54">
        <f t="shared" si="3"/>
        <v>21</v>
      </c>
      <c r="M202" s="55" t="str" cm="1">
        <f t="array" ref="M202">INDEX(Processing!$W$6:$W$17,MONTH('ALL ORDERS'!K202))</f>
        <v>April</v>
      </c>
      <c r="N202" s="54">
        <f t="shared" si="97"/>
        <v>2024</v>
      </c>
      <c r="O202" s="58">
        <v>0.375</v>
      </c>
      <c r="P202" s="59" t="s">
        <v>353</v>
      </c>
      <c r="Q202" s="60" t="s">
        <v>91</v>
      </c>
      <c r="R202" s="56" t="s">
        <v>315</v>
      </c>
      <c r="S202" s="61" t="s">
        <v>44</v>
      </c>
      <c r="T202" s="62" t="s">
        <v>560</v>
      </c>
      <c r="U202" s="63" t="s">
        <v>25</v>
      </c>
      <c r="V202" s="63" t="s">
        <v>147</v>
      </c>
      <c r="W202" s="64">
        <v>3783</v>
      </c>
      <c r="X202" s="64">
        <v>5</v>
      </c>
      <c r="Y202" s="47"/>
      <c r="Z202" s="47"/>
    </row>
    <row r="203" spans="1:26" x14ac:dyDescent="0.25">
      <c r="A203" s="53">
        <v>45404</v>
      </c>
      <c r="B203" s="54">
        <f t="shared" ref="B203" si="99">DAY(A203)</f>
        <v>22</v>
      </c>
      <c r="C203" s="55" t="str" cm="1">
        <f t="array" ref="C203">INDEX(Processing!$C$11:$C$22,MONTH('ALL ORDERS'!A203))</f>
        <v>APR</v>
      </c>
      <c r="D203" s="54">
        <f t="shared" ref="D203" si="100">YEAR(A203)</f>
        <v>2024</v>
      </c>
      <c r="E203" s="56" t="s">
        <v>49</v>
      </c>
      <c r="F203" s="56" t="s">
        <v>129</v>
      </c>
      <c r="G203" s="100">
        <v>7030</v>
      </c>
      <c r="H203" s="100">
        <v>0</v>
      </c>
      <c r="I203" s="57"/>
      <c r="J203" s="99">
        <f t="shared" si="95"/>
        <v>7030</v>
      </c>
      <c r="K203" s="53">
        <v>45404</v>
      </c>
      <c r="L203" s="54">
        <f t="shared" ref="L203" si="101">DAY(K203)</f>
        <v>22</v>
      </c>
      <c r="M203" s="55" t="str" cm="1">
        <f t="array" ref="M203">INDEX(Processing!$W$6:$W$17,MONTH('ALL ORDERS'!K203))</f>
        <v>April</v>
      </c>
      <c r="N203" s="54">
        <f t="shared" ref="N203" si="102">YEAR(K203)</f>
        <v>2024</v>
      </c>
      <c r="O203" s="58">
        <v>0.41666666666666702</v>
      </c>
      <c r="P203" s="59" t="s">
        <v>217</v>
      </c>
      <c r="Q203" s="60" t="s">
        <v>91</v>
      </c>
      <c r="R203" s="56" t="s">
        <v>1090</v>
      </c>
      <c r="S203" s="61" t="s">
        <v>44</v>
      </c>
      <c r="T203" s="62" t="s">
        <v>571</v>
      </c>
      <c r="U203" s="63" t="s">
        <v>25</v>
      </c>
      <c r="V203" s="63" t="s">
        <v>147</v>
      </c>
      <c r="W203" s="64">
        <v>860</v>
      </c>
      <c r="X203" s="64">
        <v>5</v>
      </c>
      <c r="Y203" s="47"/>
      <c r="Z203" s="47"/>
    </row>
    <row r="204" spans="1:26" x14ac:dyDescent="0.25">
      <c r="A204" s="53">
        <v>45410</v>
      </c>
      <c r="B204" s="54">
        <f t="shared" si="93"/>
        <v>28</v>
      </c>
      <c r="C204" s="55" t="str" cm="1">
        <f t="array" ref="C204">INDEX(Processing!$C$11:$C$22,MONTH('ALL ORDERS'!A204))</f>
        <v>APR</v>
      </c>
      <c r="D204" s="54">
        <f t="shared" si="94"/>
        <v>2024</v>
      </c>
      <c r="E204" s="56" t="s">
        <v>47</v>
      </c>
      <c r="F204" s="56" t="s">
        <v>22</v>
      </c>
      <c r="G204" s="100">
        <v>0</v>
      </c>
      <c r="H204" s="100">
        <v>2900</v>
      </c>
      <c r="I204" s="57"/>
      <c r="J204" s="99">
        <f t="shared" si="95"/>
        <v>2900</v>
      </c>
      <c r="K204" s="53">
        <v>45410</v>
      </c>
      <c r="L204" s="54">
        <f t="shared" si="3"/>
        <v>28</v>
      </c>
      <c r="M204" s="55" t="str" cm="1">
        <f t="array" ref="M204">INDEX(Processing!$W$6:$W$17,MONTH('ALL ORDERS'!K204))</f>
        <v>April</v>
      </c>
      <c r="N204" s="54">
        <f t="shared" si="97"/>
        <v>2024</v>
      </c>
      <c r="O204" s="58">
        <v>0.45833333333333331</v>
      </c>
      <c r="P204" s="59" t="s">
        <v>190</v>
      </c>
      <c r="Q204" s="60" t="s">
        <v>94</v>
      </c>
      <c r="R204" s="56" t="s">
        <v>276</v>
      </c>
      <c r="S204" s="61" t="s">
        <v>41</v>
      </c>
      <c r="T204" s="62" t="s">
        <v>561</v>
      </c>
      <c r="U204" s="63" t="s">
        <v>23</v>
      </c>
      <c r="V204" s="63" t="s">
        <v>147</v>
      </c>
      <c r="W204" s="64">
        <v>1980</v>
      </c>
      <c r="X204" s="64">
        <v>5</v>
      </c>
      <c r="Y204" s="47"/>
      <c r="Z204" s="47"/>
    </row>
    <row r="205" spans="1:26" x14ac:dyDescent="0.25">
      <c r="A205" s="53">
        <v>45411</v>
      </c>
      <c r="B205" s="54">
        <f t="shared" si="93"/>
        <v>29</v>
      </c>
      <c r="C205" s="55" t="str" cm="1">
        <f t="array" ref="C205">INDEX(Processing!$C$11:$C$22,MONTH('ALL ORDERS'!A205))</f>
        <v>APR</v>
      </c>
      <c r="D205" s="54">
        <f t="shared" si="94"/>
        <v>2024</v>
      </c>
      <c r="E205" s="56" t="s">
        <v>50</v>
      </c>
      <c r="F205" s="56" t="s">
        <v>152</v>
      </c>
      <c r="G205" s="100">
        <v>0</v>
      </c>
      <c r="H205" s="100">
        <v>2850</v>
      </c>
      <c r="I205" s="57"/>
      <c r="J205" s="99">
        <f t="shared" si="95"/>
        <v>2850</v>
      </c>
      <c r="K205" s="53">
        <v>45411</v>
      </c>
      <c r="L205" s="54">
        <f t="shared" si="3"/>
        <v>29</v>
      </c>
      <c r="M205" s="55" t="str" cm="1">
        <f t="array" ref="M205">INDEX(Processing!$W$6:$W$17,MONTH('ALL ORDERS'!K205))</f>
        <v>April</v>
      </c>
      <c r="N205" s="54">
        <f t="shared" si="97"/>
        <v>2024</v>
      </c>
      <c r="O205" s="58">
        <v>0.625</v>
      </c>
      <c r="P205" s="59" t="s">
        <v>214</v>
      </c>
      <c r="Q205" s="60" t="s">
        <v>94</v>
      </c>
      <c r="R205" s="56" t="s">
        <v>302</v>
      </c>
      <c r="S205" s="61" t="s">
        <v>41</v>
      </c>
      <c r="T205" s="62" t="s">
        <v>562</v>
      </c>
      <c r="U205" s="63" t="s">
        <v>26</v>
      </c>
      <c r="V205" s="63" t="s">
        <v>147</v>
      </c>
      <c r="W205" s="64">
        <v>958</v>
      </c>
      <c r="X205" s="64">
        <v>5</v>
      </c>
      <c r="Y205" s="47"/>
      <c r="Z205" s="47"/>
    </row>
    <row r="206" spans="1:26" x14ac:dyDescent="0.25">
      <c r="A206" s="53">
        <v>45412</v>
      </c>
      <c r="B206" s="54">
        <f t="shared" si="93"/>
        <v>30</v>
      </c>
      <c r="C206" s="55" t="str" cm="1">
        <f t="array" ref="C206">INDEX(Processing!$C$11:$C$22,MONTH('ALL ORDERS'!A206))</f>
        <v>APR</v>
      </c>
      <c r="D206" s="54">
        <f t="shared" si="94"/>
        <v>2024</v>
      </c>
      <c r="E206" s="56" t="s">
        <v>48</v>
      </c>
      <c r="F206" s="56" t="s">
        <v>22</v>
      </c>
      <c r="G206" s="100">
        <v>0</v>
      </c>
      <c r="H206" s="100">
        <v>2810</v>
      </c>
      <c r="I206" s="57"/>
      <c r="J206" s="99">
        <f t="shared" si="95"/>
        <v>2810</v>
      </c>
      <c r="K206" s="53">
        <v>45412</v>
      </c>
      <c r="L206" s="54">
        <f t="shared" si="3"/>
        <v>30</v>
      </c>
      <c r="M206" s="55" t="str" cm="1">
        <f t="array" ref="M206">INDEX(Processing!$W$6:$W$17,MONTH('ALL ORDERS'!K206))</f>
        <v>April</v>
      </c>
      <c r="N206" s="54">
        <f t="shared" si="97"/>
        <v>2024</v>
      </c>
      <c r="O206" s="58">
        <v>0.45833333333333331</v>
      </c>
      <c r="P206" s="59" t="s">
        <v>180</v>
      </c>
      <c r="Q206" s="60" t="s">
        <v>94</v>
      </c>
      <c r="R206" s="56" t="s">
        <v>265</v>
      </c>
      <c r="S206" s="61" t="s">
        <v>42</v>
      </c>
      <c r="T206" s="62" t="s">
        <v>563</v>
      </c>
      <c r="U206" s="63" t="s">
        <v>24</v>
      </c>
      <c r="V206" s="63" t="s">
        <v>147</v>
      </c>
      <c r="W206" s="64">
        <v>2678</v>
      </c>
      <c r="X206" s="64">
        <v>4</v>
      </c>
      <c r="Y206" s="47"/>
      <c r="Z206" s="47"/>
    </row>
    <row r="207" spans="1:26" x14ac:dyDescent="0.25">
      <c r="A207" s="53">
        <v>45412</v>
      </c>
      <c r="B207" s="54">
        <f t="shared" si="93"/>
        <v>30</v>
      </c>
      <c r="C207" s="55" t="str" cm="1">
        <f t="array" ref="C207">INDEX(Processing!$C$11:$C$22,MONTH('ALL ORDERS'!A207))</f>
        <v>APR</v>
      </c>
      <c r="D207" s="54">
        <f t="shared" si="94"/>
        <v>2024</v>
      </c>
      <c r="E207" s="56" t="s">
        <v>51</v>
      </c>
      <c r="F207" s="56" t="s">
        <v>152</v>
      </c>
      <c r="G207" s="100">
        <v>0</v>
      </c>
      <c r="H207" s="100">
        <v>1260</v>
      </c>
      <c r="I207" s="57"/>
      <c r="J207" s="99">
        <f t="shared" si="95"/>
        <v>1260</v>
      </c>
      <c r="K207" s="53">
        <v>45412</v>
      </c>
      <c r="L207" s="54">
        <f t="shared" si="3"/>
        <v>30</v>
      </c>
      <c r="M207" s="55" t="str" cm="1">
        <f t="array" ref="M207">INDEX(Processing!$W$6:$W$17,MONTH('ALL ORDERS'!K207))</f>
        <v>April</v>
      </c>
      <c r="N207" s="54">
        <f t="shared" si="97"/>
        <v>2024</v>
      </c>
      <c r="O207" s="58">
        <v>0.375</v>
      </c>
      <c r="P207" s="59" t="s">
        <v>189</v>
      </c>
      <c r="Q207" s="60" t="s">
        <v>90</v>
      </c>
      <c r="R207" s="56" t="s">
        <v>275</v>
      </c>
      <c r="S207" s="61" t="s">
        <v>43</v>
      </c>
      <c r="T207" s="62" t="s">
        <v>564</v>
      </c>
      <c r="U207" s="63" t="s">
        <v>24</v>
      </c>
      <c r="V207" s="63" t="s">
        <v>147</v>
      </c>
      <c r="W207" s="64">
        <v>2652</v>
      </c>
      <c r="X207" s="64">
        <v>5</v>
      </c>
      <c r="Y207" s="47"/>
      <c r="Z207" s="47"/>
    </row>
    <row r="208" spans="1:26" x14ac:dyDescent="0.25">
      <c r="A208" s="53">
        <v>45414</v>
      </c>
      <c r="B208" s="54">
        <f t="shared" si="93"/>
        <v>2</v>
      </c>
      <c r="C208" s="55" t="str" cm="1">
        <f t="array" ref="C208">INDEX(Processing!$C$11:$C$22,MONTH('ALL ORDERS'!A208))</f>
        <v>MAY</v>
      </c>
      <c r="D208" s="54">
        <f t="shared" si="94"/>
        <v>2024</v>
      </c>
      <c r="E208" s="56" t="s">
        <v>47</v>
      </c>
      <c r="F208" s="56" t="s">
        <v>124</v>
      </c>
      <c r="G208" s="100">
        <v>0</v>
      </c>
      <c r="H208" s="100">
        <v>2400</v>
      </c>
      <c r="I208" s="57"/>
      <c r="J208" s="99">
        <f t="shared" si="95"/>
        <v>2400</v>
      </c>
      <c r="K208" s="53">
        <v>45414</v>
      </c>
      <c r="L208" s="54">
        <f t="shared" si="3"/>
        <v>2</v>
      </c>
      <c r="M208" s="55" t="str" cm="1">
        <f t="array" ref="M208">INDEX(Processing!$W$6:$W$17,MONTH('ALL ORDERS'!K208))</f>
        <v>May</v>
      </c>
      <c r="N208" s="54">
        <f t="shared" si="97"/>
        <v>2024</v>
      </c>
      <c r="O208" s="58">
        <v>0.45833333333333331</v>
      </c>
      <c r="P208" s="59" t="s">
        <v>187</v>
      </c>
      <c r="Q208" s="60" t="s">
        <v>94</v>
      </c>
      <c r="R208" s="56" t="s">
        <v>272</v>
      </c>
      <c r="S208" s="61" t="s">
        <v>45</v>
      </c>
      <c r="T208" s="62" t="s">
        <v>565</v>
      </c>
      <c r="U208" s="63" t="s">
        <v>26</v>
      </c>
      <c r="V208" s="63" t="s">
        <v>147</v>
      </c>
      <c r="W208" s="64">
        <v>3470</v>
      </c>
      <c r="X208" s="64">
        <v>5</v>
      </c>
      <c r="Y208" s="47"/>
      <c r="Z208" s="47"/>
    </row>
    <row r="209" spans="1:26" x14ac:dyDescent="0.25">
      <c r="A209" s="53">
        <v>45414</v>
      </c>
      <c r="B209" s="54">
        <f t="shared" si="93"/>
        <v>2</v>
      </c>
      <c r="C209" s="55" t="str" cm="1">
        <f t="array" ref="C209">INDEX(Processing!$C$11:$C$22,MONTH('ALL ORDERS'!A209))</f>
        <v>MAY</v>
      </c>
      <c r="D209" s="54">
        <f t="shared" si="94"/>
        <v>2024</v>
      </c>
      <c r="E209" s="56" t="s">
        <v>50</v>
      </c>
      <c r="F209" s="56" t="s">
        <v>19</v>
      </c>
      <c r="G209" s="100">
        <v>0</v>
      </c>
      <c r="H209" s="100">
        <v>3860</v>
      </c>
      <c r="I209" s="57"/>
      <c r="J209" s="99">
        <f t="shared" si="95"/>
        <v>3860</v>
      </c>
      <c r="K209" s="53">
        <v>45414</v>
      </c>
      <c r="L209" s="54">
        <f t="shared" si="3"/>
        <v>2</v>
      </c>
      <c r="M209" s="55" t="str" cm="1">
        <f t="array" ref="M209">INDEX(Processing!$W$6:$W$17,MONTH('ALL ORDERS'!K209))</f>
        <v>May</v>
      </c>
      <c r="N209" s="54">
        <f t="shared" si="97"/>
        <v>2024</v>
      </c>
      <c r="O209" s="58">
        <v>0.625</v>
      </c>
      <c r="P209" s="59" t="s">
        <v>182</v>
      </c>
      <c r="Q209" s="60" t="s">
        <v>94</v>
      </c>
      <c r="R209" s="56" t="s">
        <v>267</v>
      </c>
      <c r="S209" s="61" t="s">
        <v>42</v>
      </c>
      <c r="T209" s="62" t="s">
        <v>566</v>
      </c>
      <c r="U209" s="63" t="s">
        <v>25</v>
      </c>
      <c r="V209" s="63" t="s">
        <v>147</v>
      </c>
      <c r="W209" s="64">
        <v>2335</v>
      </c>
      <c r="X209" s="64">
        <v>5</v>
      </c>
      <c r="Y209" s="47"/>
      <c r="Z209" s="47"/>
    </row>
    <row r="210" spans="1:26" x14ac:dyDescent="0.25">
      <c r="A210" s="53">
        <v>45416</v>
      </c>
      <c r="B210" s="54">
        <f t="shared" si="93"/>
        <v>4</v>
      </c>
      <c r="C210" s="55" t="str" cm="1">
        <f t="array" ref="C210">INDEX(Processing!$C$11:$C$22,MONTH('ALL ORDERS'!A210))</f>
        <v>MAY</v>
      </c>
      <c r="D210" s="54">
        <f t="shared" si="94"/>
        <v>2024</v>
      </c>
      <c r="E210" s="56" t="s">
        <v>47</v>
      </c>
      <c r="F210" s="56" t="s">
        <v>137</v>
      </c>
      <c r="G210" s="100">
        <v>0</v>
      </c>
      <c r="H210" s="100">
        <v>130</v>
      </c>
      <c r="I210" s="57">
        <v>0.15</v>
      </c>
      <c r="J210" s="99">
        <f t="shared" si="95"/>
        <v>130</v>
      </c>
      <c r="K210" s="53">
        <v>45416</v>
      </c>
      <c r="L210" s="54">
        <f t="shared" si="3"/>
        <v>4</v>
      </c>
      <c r="M210" s="55" t="str" cm="1">
        <f t="array" ref="M210">INDEX(Processing!$W$6:$W$17,MONTH('ALL ORDERS'!K210))</f>
        <v>May</v>
      </c>
      <c r="N210" s="54">
        <f t="shared" si="97"/>
        <v>2024</v>
      </c>
      <c r="O210" s="58">
        <v>0.45833333333333331</v>
      </c>
      <c r="P210" s="59" t="s">
        <v>211</v>
      </c>
      <c r="Q210" s="60" t="s">
        <v>94</v>
      </c>
      <c r="R210" s="56" t="s">
        <v>299</v>
      </c>
      <c r="S210" s="61" t="s">
        <v>41</v>
      </c>
      <c r="T210" s="62" t="s">
        <v>567</v>
      </c>
      <c r="U210" s="63" t="s">
        <v>23</v>
      </c>
      <c r="V210" s="63" t="s">
        <v>147</v>
      </c>
      <c r="W210" s="64">
        <v>4153</v>
      </c>
      <c r="X210" s="64">
        <v>5</v>
      </c>
      <c r="Y210" s="47"/>
      <c r="Z210" s="47"/>
    </row>
    <row r="211" spans="1:26" x14ac:dyDescent="0.25">
      <c r="A211" s="53">
        <v>45417</v>
      </c>
      <c r="B211" s="54">
        <f t="shared" si="93"/>
        <v>5</v>
      </c>
      <c r="C211" s="55" t="str" cm="1">
        <f t="array" ref="C211">INDEX(Processing!$C$11:$C$22,MONTH('ALL ORDERS'!A211))</f>
        <v>MAY</v>
      </c>
      <c r="D211" s="54">
        <f t="shared" si="94"/>
        <v>2024</v>
      </c>
      <c r="E211" s="56" t="s">
        <v>48</v>
      </c>
      <c r="F211" s="56" t="s">
        <v>137</v>
      </c>
      <c r="G211" s="100">
        <v>0</v>
      </c>
      <c r="H211" s="100">
        <v>3440</v>
      </c>
      <c r="I211" s="57"/>
      <c r="J211" s="99">
        <f t="shared" si="95"/>
        <v>3440</v>
      </c>
      <c r="K211" s="53">
        <v>45417</v>
      </c>
      <c r="L211" s="54">
        <f t="shared" si="3"/>
        <v>5</v>
      </c>
      <c r="M211" s="55" t="str" cm="1">
        <f t="array" ref="M211">INDEX(Processing!$W$6:$W$17,MONTH('ALL ORDERS'!K211))</f>
        <v>May</v>
      </c>
      <c r="N211" s="54">
        <f t="shared" si="97"/>
        <v>2024</v>
      </c>
      <c r="O211" s="58">
        <v>0.375</v>
      </c>
      <c r="P211" s="59" t="s">
        <v>354</v>
      </c>
      <c r="Q211" s="60" t="s">
        <v>94</v>
      </c>
      <c r="R211" s="56" t="s">
        <v>323</v>
      </c>
      <c r="S211" s="61" t="s">
        <v>42</v>
      </c>
      <c r="T211" s="70">
        <v>45900888990</v>
      </c>
      <c r="U211" s="63" t="s">
        <v>27</v>
      </c>
      <c r="V211" s="63" t="s">
        <v>147</v>
      </c>
      <c r="W211" s="64">
        <v>4132</v>
      </c>
      <c r="X211" s="64">
        <v>4</v>
      </c>
      <c r="Y211" s="47"/>
      <c r="Z211" s="47"/>
    </row>
    <row r="212" spans="1:26" x14ac:dyDescent="0.25">
      <c r="A212" s="53">
        <v>45418</v>
      </c>
      <c r="B212" s="54">
        <f t="shared" si="93"/>
        <v>6</v>
      </c>
      <c r="C212" s="55" t="str" cm="1">
        <f t="array" ref="C212">INDEX(Processing!$C$11:$C$22,MONTH('ALL ORDERS'!A212))</f>
        <v>MAY</v>
      </c>
      <c r="D212" s="54">
        <f t="shared" si="94"/>
        <v>2024</v>
      </c>
      <c r="E212" s="56" t="s">
        <v>49</v>
      </c>
      <c r="F212" s="56" t="s">
        <v>19</v>
      </c>
      <c r="G212" s="100">
        <v>0</v>
      </c>
      <c r="H212" s="100">
        <v>2110</v>
      </c>
      <c r="I212" s="57">
        <v>0.15</v>
      </c>
      <c r="J212" s="99">
        <f t="shared" si="95"/>
        <v>2110</v>
      </c>
      <c r="K212" s="53">
        <v>45418</v>
      </c>
      <c r="L212" s="54">
        <f t="shared" si="3"/>
        <v>6</v>
      </c>
      <c r="M212" s="55" t="str" cm="1">
        <f t="array" ref="M212">INDEX(Processing!$W$6:$W$17,MONTH('ALL ORDERS'!K212))</f>
        <v>May</v>
      </c>
      <c r="N212" s="54">
        <f t="shared" si="97"/>
        <v>2024</v>
      </c>
      <c r="O212" s="58">
        <v>0.45833333333333331</v>
      </c>
      <c r="P212" s="59" t="s">
        <v>199</v>
      </c>
      <c r="Q212" s="60" t="s">
        <v>90</v>
      </c>
      <c r="R212" s="56" t="s">
        <v>286</v>
      </c>
      <c r="S212" s="61" t="s">
        <v>41</v>
      </c>
      <c r="T212" s="62" t="s">
        <v>568</v>
      </c>
      <c r="U212" s="63" t="s">
        <v>26</v>
      </c>
      <c r="V212" s="63" t="s">
        <v>147</v>
      </c>
      <c r="W212" s="64">
        <v>1704</v>
      </c>
      <c r="X212" s="64">
        <v>5</v>
      </c>
      <c r="Y212" s="47"/>
      <c r="Z212" s="47"/>
    </row>
    <row r="213" spans="1:26" x14ac:dyDescent="0.25">
      <c r="A213" s="53">
        <v>45413</v>
      </c>
      <c r="B213" s="54">
        <f t="shared" si="93"/>
        <v>1</v>
      </c>
      <c r="C213" s="55" t="str" cm="1">
        <f t="array" ref="C213">INDEX(Processing!$C$11:$C$22,MONTH('ALL ORDERS'!A213))</f>
        <v>MAY</v>
      </c>
      <c r="D213" s="54">
        <f t="shared" si="94"/>
        <v>2024</v>
      </c>
      <c r="E213" s="56" t="s">
        <v>47</v>
      </c>
      <c r="F213" s="56" t="s">
        <v>152</v>
      </c>
      <c r="G213" s="100">
        <v>0</v>
      </c>
      <c r="H213" s="100">
        <v>1130</v>
      </c>
      <c r="I213" s="57"/>
      <c r="J213" s="99">
        <f t="shared" si="95"/>
        <v>1130</v>
      </c>
      <c r="K213" s="53">
        <v>45413</v>
      </c>
      <c r="L213" s="54">
        <f t="shared" si="3"/>
        <v>1</v>
      </c>
      <c r="M213" s="55" t="str" cm="1">
        <f t="array" ref="M213">INDEX(Processing!$W$6:$W$17,MONTH('ALL ORDERS'!K213))</f>
        <v>May</v>
      </c>
      <c r="N213" s="54">
        <f t="shared" si="97"/>
        <v>2024</v>
      </c>
      <c r="O213" s="58">
        <v>0.625</v>
      </c>
      <c r="P213" s="59" t="s">
        <v>212</v>
      </c>
      <c r="Q213" s="60" t="s">
        <v>94</v>
      </c>
      <c r="R213" s="56" t="s">
        <v>300</v>
      </c>
      <c r="S213" s="61" t="s">
        <v>45</v>
      </c>
      <c r="T213" s="62" t="s">
        <v>569</v>
      </c>
      <c r="U213" s="63" t="s">
        <v>26</v>
      </c>
      <c r="V213" s="63" t="s">
        <v>147</v>
      </c>
      <c r="W213" s="64">
        <v>2279</v>
      </c>
      <c r="X213" s="64">
        <v>5</v>
      </c>
      <c r="Y213" s="47"/>
      <c r="Z213" s="47"/>
    </row>
    <row r="214" spans="1:26" x14ac:dyDescent="0.25">
      <c r="A214" s="53">
        <v>45420</v>
      </c>
      <c r="B214" s="54">
        <f t="shared" ref="B214:B279" si="103">DAY(A214)</f>
        <v>8</v>
      </c>
      <c r="C214" s="55" t="str" cm="1">
        <f t="array" ref="C214">INDEX(Processing!$C$11:$C$22,MONTH('ALL ORDERS'!A214))</f>
        <v>MAY</v>
      </c>
      <c r="D214" s="54">
        <f t="shared" ref="D214:D279" si="104">YEAR(A214)</f>
        <v>2024</v>
      </c>
      <c r="E214" s="56" t="s">
        <v>50</v>
      </c>
      <c r="F214" s="56" t="s">
        <v>135</v>
      </c>
      <c r="G214" s="100">
        <v>0</v>
      </c>
      <c r="H214" s="100">
        <v>890</v>
      </c>
      <c r="I214" s="57"/>
      <c r="J214" s="99">
        <f t="shared" ref="J214:J277" si="105">G214+H214</f>
        <v>890</v>
      </c>
      <c r="K214" s="53">
        <v>45420</v>
      </c>
      <c r="L214" s="54">
        <f t="shared" si="3"/>
        <v>8</v>
      </c>
      <c r="M214" s="55" t="str" cm="1">
        <f t="array" ref="M214">INDEX(Processing!$W$6:$W$17,MONTH('ALL ORDERS'!K214))</f>
        <v>May</v>
      </c>
      <c r="N214" s="54">
        <f t="shared" si="97"/>
        <v>2024</v>
      </c>
      <c r="O214" s="58">
        <v>0.45833333333333331</v>
      </c>
      <c r="P214" s="59" t="s">
        <v>228</v>
      </c>
      <c r="Q214" s="60" t="s">
        <v>90</v>
      </c>
      <c r="R214" s="56" t="s">
        <v>328</v>
      </c>
      <c r="S214" s="61" t="s">
        <v>41</v>
      </c>
      <c r="T214" s="62" t="s">
        <v>570</v>
      </c>
      <c r="U214" s="63" t="s">
        <v>26</v>
      </c>
      <c r="V214" s="63" t="s">
        <v>147</v>
      </c>
      <c r="W214" s="64">
        <v>4022</v>
      </c>
      <c r="X214" s="64">
        <v>5</v>
      </c>
      <c r="Y214" s="47"/>
      <c r="Z214" s="47"/>
    </row>
    <row r="215" spans="1:26" x14ac:dyDescent="0.25">
      <c r="A215" s="53">
        <v>45421</v>
      </c>
      <c r="B215" s="54">
        <f t="shared" si="103"/>
        <v>9</v>
      </c>
      <c r="C215" s="55" t="str" cm="1">
        <f t="array" ref="C215">INDEX(Processing!$C$11:$C$22,MONTH('ALL ORDERS'!A215))</f>
        <v>MAY</v>
      </c>
      <c r="D215" s="54">
        <f t="shared" si="104"/>
        <v>2024</v>
      </c>
      <c r="E215" s="56" t="s">
        <v>48</v>
      </c>
      <c r="F215" s="56" t="s">
        <v>126</v>
      </c>
      <c r="G215" s="100">
        <v>0</v>
      </c>
      <c r="H215" s="100">
        <v>3820</v>
      </c>
      <c r="I215" s="57"/>
      <c r="J215" s="99">
        <f t="shared" si="105"/>
        <v>3820</v>
      </c>
      <c r="K215" s="53">
        <v>45421</v>
      </c>
      <c r="L215" s="54">
        <f t="shared" si="3"/>
        <v>9</v>
      </c>
      <c r="M215" s="55" t="str" cm="1">
        <f t="array" ref="M215">INDEX(Processing!$W$6:$W$17,MONTH('ALL ORDERS'!K215))</f>
        <v>May</v>
      </c>
      <c r="N215" s="54">
        <f t="shared" si="97"/>
        <v>2024</v>
      </c>
      <c r="O215" s="58">
        <v>0.375</v>
      </c>
      <c r="P215" s="59" t="s">
        <v>354</v>
      </c>
      <c r="Q215" s="60" t="s">
        <v>94</v>
      </c>
      <c r="R215" s="56" t="s">
        <v>323</v>
      </c>
      <c r="S215" s="61" t="s">
        <v>42</v>
      </c>
      <c r="T215" s="62" t="s">
        <v>571</v>
      </c>
      <c r="U215" s="63" t="s">
        <v>26</v>
      </c>
      <c r="V215" s="63" t="s">
        <v>148</v>
      </c>
      <c r="W215" s="64">
        <v>1752</v>
      </c>
      <c r="X215" s="64"/>
      <c r="Y215" s="47"/>
      <c r="Z215" s="47"/>
    </row>
    <row r="216" spans="1:26" x14ac:dyDescent="0.25">
      <c r="A216" s="53">
        <v>45422</v>
      </c>
      <c r="B216" s="54">
        <f t="shared" si="103"/>
        <v>10</v>
      </c>
      <c r="C216" s="55" t="str" cm="1">
        <f t="array" ref="C216">INDEX(Processing!$C$11:$C$22,MONTH('ALL ORDERS'!A216))</f>
        <v>MAY</v>
      </c>
      <c r="D216" s="54">
        <f t="shared" si="104"/>
        <v>2024</v>
      </c>
      <c r="E216" s="56" t="s">
        <v>47</v>
      </c>
      <c r="F216" s="56" t="s">
        <v>127</v>
      </c>
      <c r="G216" s="100">
        <v>0</v>
      </c>
      <c r="H216" s="100">
        <v>1250</v>
      </c>
      <c r="I216" s="57">
        <v>0.15</v>
      </c>
      <c r="J216" s="99">
        <f t="shared" si="105"/>
        <v>1250</v>
      </c>
      <c r="K216" s="53">
        <v>45422</v>
      </c>
      <c r="L216" s="54">
        <f t="shared" si="3"/>
        <v>10</v>
      </c>
      <c r="M216" s="55" t="str" cm="1">
        <f t="array" ref="M216">INDEX(Processing!$W$6:$W$17,MONTH('ALL ORDERS'!K216))</f>
        <v>May</v>
      </c>
      <c r="N216" s="54">
        <f t="shared" si="97"/>
        <v>2024</v>
      </c>
      <c r="O216" s="58">
        <v>0.45833333333333331</v>
      </c>
      <c r="P216" s="59" t="s">
        <v>225</v>
      </c>
      <c r="Q216" s="60" t="s">
        <v>94</v>
      </c>
      <c r="R216" s="56" t="s">
        <v>325</v>
      </c>
      <c r="S216" s="61" t="s">
        <v>42</v>
      </c>
      <c r="T216" s="62" t="s">
        <v>572</v>
      </c>
      <c r="U216" s="63" t="s">
        <v>26</v>
      </c>
      <c r="V216" s="63" t="s">
        <v>147</v>
      </c>
      <c r="W216" s="64">
        <v>1048</v>
      </c>
      <c r="X216" s="64">
        <v>3</v>
      </c>
      <c r="Y216" s="47"/>
      <c r="Z216" s="47"/>
    </row>
    <row r="217" spans="1:26" x14ac:dyDescent="0.25">
      <c r="A217" s="53">
        <v>45423</v>
      </c>
      <c r="B217" s="54">
        <f t="shared" si="103"/>
        <v>11</v>
      </c>
      <c r="C217" s="55" t="str" cm="1">
        <f t="array" ref="C217">INDEX(Processing!$C$11:$C$22,MONTH('ALL ORDERS'!A217))</f>
        <v>MAY</v>
      </c>
      <c r="D217" s="54">
        <f t="shared" si="104"/>
        <v>2024</v>
      </c>
      <c r="E217" s="56" t="s">
        <v>50</v>
      </c>
      <c r="F217" s="56" t="s">
        <v>19</v>
      </c>
      <c r="G217" s="100">
        <v>0</v>
      </c>
      <c r="H217" s="100">
        <v>1810</v>
      </c>
      <c r="I217" s="57"/>
      <c r="J217" s="99">
        <f t="shared" si="105"/>
        <v>1810</v>
      </c>
      <c r="K217" s="53">
        <v>45423</v>
      </c>
      <c r="L217" s="54">
        <f t="shared" si="3"/>
        <v>11</v>
      </c>
      <c r="M217" s="55" t="str" cm="1">
        <f t="array" ref="M217">INDEX(Processing!$W$6:$W$17,MONTH('ALL ORDERS'!K217))</f>
        <v>May</v>
      </c>
      <c r="N217" s="54">
        <f t="shared" si="97"/>
        <v>2024</v>
      </c>
      <c r="O217" s="58">
        <v>0.625</v>
      </c>
      <c r="P217" s="59" t="s">
        <v>215</v>
      </c>
      <c r="Q217" s="60" t="s">
        <v>94</v>
      </c>
      <c r="R217" s="56" t="s">
        <v>304</v>
      </c>
      <c r="S217" s="61" t="s">
        <v>41</v>
      </c>
      <c r="T217" s="62" t="s">
        <v>573</v>
      </c>
      <c r="U217" s="63" t="s">
        <v>26</v>
      </c>
      <c r="V217" s="63" t="s">
        <v>147</v>
      </c>
      <c r="W217" s="64">
        <v>2013</v>
      </c>
      <c r="X217" s="64">
        <v>4</v>
      </c>
      <c r="Y217" s="47"/>
      <c r="Z217" s="47"/>
    </row>
    <row r="218" spans="1:26" x14ac:dyDescent="0.25">
      <c r="A218" s="53">
        <v>45424</v>
      </c>
      <c r="B218" s="54">
        <f t="shared" si="103"/>
        <v>12</v>
      </c>
      <c r="C218" s="55" t="str" cm="1">
        <f t="array" ref="C218">INDEX(Processing!$C$11:$C$22,MONTH('ALL ORDERS'!A218))</f>
        <v>MAY</v>
      </c>
      <c r="D218" s="54">
        <f t="shared" si="104"/>
        <v>2024</v>
      </c>
      <c r="E218" s="56" t="s">
        <v>47</v>
      </c>
      <c r="F218" s="56" t="s">
        <v>152</v>
      </c>
      <c r="G218" s="100">
        <v>0</v>
      </c>
      <c r="H218" s="100">
        <v>3910</v>
      </c>
      <c r="I218" s="57"/>
      <c r="J218" s="99">
        <f t="shared" si="105"/>
        <v>3910</v>
      </c>
      <c r="K218" s="53">
        <v>45424</v>
      </c>
      <c r="L218" s="54">
        <f t="shared" si="3"/>
        <v>12</v>
      </c>
      <c r="M218" s="55" t="str" cm="1">
        <f t="array" ref="M218">INDEX(Processing!$W$6:$W$17,MONTH('ALL ORDERS'!K218))</f>
        <v>May</v>
      </c>
      <c r="N218" s="54">
        <f t="shared" si="97"/>
        <v>2024</v>
      </c>
      <c r="O218" s="58">
        <v>0.45833333333333331</v>
      </c>
      <c r="P218" s="59" t="s">
        <v>229</v>
      </c>
      <c r="Q218" s="60" t="s">
        <v>94</v>
      </c>
      <c r="R218" s="56" t="s">
        <v>329</v>
      </c>
      <c r="S218" s="61" t="s">
        <v>43</v>
      </c>
      <c r="T218" s="62" t="s">
        <v>574</v>
      </c>
      <c r="U218" s="63" t="s">
        <v>26</v>
      </c>
      <c r="V218" s="63" t="s">
        <v>147</v>
      </c>
      <c r="W218" s="64">
        <v>2891</v>
      </c>
      <c r="X218" s="64">
        <v>5</v>
      </c>
      <c r="Y218" s="47"/>
      <c r="Z218" s="47"/>
    </row>
    <row r="219" spans="1:26" x14ac:dyDescent="0.25">
      <c r="A219" s="53">
        <v>45425</v>
      </c>
      <c r="B219" s="54">
        <f t="shared" si="103"/>
        <v>13</v>
      </c>
      <c r="C219" s="55" t="str" cm="1">
        <f t="array" ref="C219">INDEX(Processing!$C$11:$C$22,MONTH('ALL ORDERS'!A219))</f>
        <v>MAY</v>
      </c>
      <c r="D219" s="54">
        <f t="shared" si="104"/>
        <v>2024</v>
      </c>
      <c r="E219" s="56" t="s">
        <v>51</v>
      </c>
      <c r="F219" s="56" t="s">
        <v>135</v>
      </c>
      <c r="G219" s="100">
        <v>19000</v>
      </c>
      <c r="H219" s="100">
        <v>980</v>
      </c>
      <c r="I219" s="57"/>
      <c r="J219" s="99">
        <f t="shared" si="105"/>
        <v>19980</v>
      </c>
      <c r="K219" s="53">
        <v>45425</v>
      </c>
      <c r="L219" s="54">
        <f t="shared" si="3"/>
        <v>13</v>
      </c>
      <c r="M219" s="55" t="str" cm="1">
        <f t="array" ref="M219">INDEX(Processing!$W$6:$W$17,MONTH('ALL ORDERS'!K219))</f>
        <v>May</v>
      </c>
      <c r="N219" s="54">
        <f t="shared" si="97"/>
        <v>2024</v>
      </c>
      <c r="O219" s="58">
        <v>0.41666666666666669</v>
      </c>
      <c r="P219" s="59" t="s">
        <v>193</v>
      </c>
      <c r="Q219" s="60" t="s">
        <v>94</v>
      </c>
      <c r="R219" s="56" t="s">
        <v>279</v>
      </c>
      <c r="S219" s="61" t="s">
        <v>45</v>
      </c>
      <c r="T219" s="62" t="s">
        <v>575</v>
      </c>
      <c r="U219" s="63" t="s">
        <v>26</v>
      </c>
      <c r="V219" s="63" t="s">
        <v>147</v>
      </c>
      <c r="W219" s="64">
        <v>3471</v>
      </c>
      <c r="X219" s="64">
        <v>5</v>
      </c>
      <c r="Y219" s="47"/>
      <c r="Z219" s="47"/>
    </row>
    <row r="220" spans="1:26" x14ac:dyDescent="0.25">
      <c r="A220" s="53">
        <v>45426</v>
      </c>
      <c r="B220" s="54">
        <f t="shared" si="103"/>
        <v>14</v>
      </c>
      <c r="C220" s="55" t="str" cm="1">
        <f t="array" ref="C220">INDEX(Processing!$C$11:$C$22,MONTH('ALL ORDERS'!A220))</f>
        <v>MAY</v>
      </c>
      <c r="D220" s="54">
        <f t="shared" si="104"/>
        <v>2024</v>
      </c>
      <c r="E220" s="56" t="s">
        <v>49</v>
      </c>
      <c r="F220" s="56" t="s">
        <v>126</v>
      </c>
      <c r="G220" s="100">
        <v>0</v>
      </c>
      <c r="H220" s="100">
        <v>130</v>
      </c>
      <c r="I220" s="57"/>
      <c r="J220" s="99">
        <f t="shared" si="105"/>
        <v>130</v>
      </c>
      <c r="K220" s="53">
        <v>45426</v>
      </c>
      <c r="L220" s="54">
        <f t="shared" si="3"/>
        <v>14</v>
      </c>
      <c r="M220" s="55" t="str" cm="1">
        <f t="array" ref="M220">INDEX(Processing!$W$6:$W$17,MONTH('ALL ORDERS'!K220))</f>
        <v>May</v>
      </c>
      <c r="N220" s="54">
        <f t="shared" si="97"/>
        <v>2024</v>
      </c>
      <c r="O220" s="58">
        <v>0.5</v>
      </c>
      <c r="P220" s="59" t="s">
        <v>208</v>
      </c>
      <c r="Q220" s="60" t="s">
        <v>94</v>
      </c>
      <c r="R220" s="56" t="s">
        <v>296</v>
      </c>
      <c r="S220" s="61" t="s">
        <v>43</v>
      </c>
      <c r="T220" s="62" t="s">
        <v>576</v>
      </c>
      <c r="U220" s="63" t="s">
        <v>26</v>
      </c>
      <c r="V220" s="63" t="s">
        <v>147</v>
      </c>
      <c r="W220" s="64">
        <v>2340</v>
      </c>
      <c r="X220" s="64">
        <v>5</v>
      </c>
      <c r="Y220" s="47"/>
      <c r="Z220" s="47"/>
    </row>
    <row r="221" spans="1:26" x14ac:dyDescent="0.25">
      <c r="A221" s="53">
        <v>45427</v>
      </c>
      <c r="B221" s="54">
        <f t="shared" si="103"/>
        <v>15</v>
      </c>
      <c r="C221" s="55" t="str" cm="1">
        <f t="array" ref="C221">INDEX(Processing!$C$11:$C$22,MONTH('ALL ORDERS'!A221))</f>
        <v>MAY</v>
      </c>
      <c r="D221" s="54">
        <f t="shared" si="104"/>
        <v>2024</v>
      </c>
      <c r="E221" s="56" t="s">
        <v>47</v>
      </c>
      <c r="F221" s="56" t="s">
        <v>20</v>
      </c>
      <c r="G221" s="100">
        <v>0</v>
      </c>
      <c r="H221" s="100">
        <v>3280</v>
      </c>
      <c r="I221" s="57"/>
      <c r="J221" s="99">
        <f t="shared" si="105"/>
        <v>3280</v>
      </c>
      <c r="K221" s="53">
        <v>45427</v>
      </c>
      <c r="L221" s="54">
        <f t="shared" si="3"/>
        <v>15</v>
      </c>
      <c r="M221" s="55" t="str" cm="1">
        <f t="array" ref="M221">INDEX(Processing!$W$6:$W$17,MONTH('ALL ORDERS'!K221))</f>
        <v>May</v>
      </c>
      <c r="N221" s="54">
        <f t="shared" si="97"/>
        <v>2024</v>
      </c>
      <c r="O221" s="58">
        <v>0.66666666666666663</v>
      </c>
      <c r="P221" s="59" t="s">
        <v>176</v>
      </c>
      <c r="Q221" s="60" t="s">
        <v>94</v>
      </c>
      <c r="R221" s="56" t="s">
        <v>260</v>
      </c>
      <c r="S221" s="61" t="s">
        <v>44</v>
      </c>
      <c r="T221" s="62" t="s">
        <v>577</v>
      </c>
      <c r="U221" s="63" t="s">
        <v>26</v>
      </c>
      <c r="V221" s="63" t="s">
        <v>147</v>
      </c>
      <c r="W221" s="64">
        <v>2826</v>
      </c>
      <c r="X221" s="64">
        <v>4</v>
      </c>
      <c r="Y221" s="47"/>
      <c r="Z221" s="47"/>
    </row>
    <row r="222" spans="1:26" x14ac:dyDescent="0.25">
      <c r="A222" s="53">
        <v>45428</v>
      </c>
      <c r="B222" s="54">
        <f t="shared" si="103"/>
        <v>16</v>
      </c>
      <c r="C222" s="55" t="str" cm="1">
        <f t="array" ref="C222">INDEX(Processing!$C$11:$C$22,MONTH('ALL ORDERS'!A222))</f>
        <v>MAY</v>
      </c>
      <c r="D222" s="54">
        <f t="shared" si="104"/>
        <v>2024</v>
      </c>
      <c r="E222" s="56" t="s">
        <v>50</v>
      </c>
      <c r="F222" s="56" t="s">
        <v>123</v>
      </c>
      <c r="G222" s="100">
        <v>0</v>
      </c>
      <c r="H222" s="100">
        <v>2260</v>
      </c>
      <c r="I222" s="57"/>
      <c r="J222" s="99">
        <f t="shared" si="105"/>
        <v>2260</v>
      </c>
      <c r="K222" s="53">
        <v>45428</v>
      </c>
      <c r="L222" s="54">
        <f t="shared" si="3"/>
        <v>16</v>
      </c>
      <c r="M222" s="55" t="str" cm="1">
        <f t="array" ref="M222">INDEX(Processing!$W$6:$W$17,MONTH('ALL ORDERS'!K222))</f>
        <v>May</v>
      </c>
      <c r="N222" s="54">
        <f t="shared" si="97"/>
        <v>2024</v>
      </c>
      <c r="O222" s="58">
        <v>0.75</v>
      </c>
      <c r="P222" s="59" t="s">
        <v>185</v>
      </c>
      <c r="Q222" s="60" t="s">
        <v>94</v>
      </c>
      <c r="R222" s="56" t="s">
        <v>270</v>
      </c>
      <c r="S222" s="61" t="s">
        <v>41</v>
      </c>
      <c r="T222" s="62" t="s">
        <v>578</v>
      </c>
      <c r="U222" s="63" t="s">
        <v>26</v>
      </c>
      <c r="V222" s="63" t="s">
        <v>147</v>
      </c>
      <c r="W222" s="64">
        <v>790</v>
      </c>
      <c r="X222" s="64">
        <v>5</v>
      </c>
      <c r="Y222" s="47"/>
      <c r="Z222" s="47"/>
    </row>
    <row r="223" spans="1:26" x14ac:dyDescent="0.25">
      <c r="A223" s="53">
        <v>45423</v>
      </c>
      <c r="B223" s="54">
        <f t="shared" si="103"/>
        <v>11</v>
      </c>
      <c r="C223" s="55" t="str" cm="1">
        <f t="array" ref="C223">INDEX(Processing!$C$11:$C$22,MONTH('ALL ORDERS'!A223))</f>
        <v>MAY</v>
      </c>
      <c r="D223" s="54">
        <f t="shared" si="104"/>
        <v>2024</v>
      </c>
      <c r="E223" s="56" t="s">
        <v>48</v>
      </c>
      <c r="F223" s="56" t="s">
        <v>121</v>
      </c>
      <c r="G223" s="100">
        <v>0</v>
      </c>
      <c r="H223" s="100">
        <v>2220</v>
      </c>
      <c r="I223" s="57"/>
      <c r="J223" s="99">
        <f t="shared" si="105"/>
        <v>2220</v>
      </c>
      <c r="K223" s="53">
        <v>45423</v>
      </c>
      <c r="L223" s="54">
        <f t="shared" si="3"/>
        <v>11</v>
      </c>
      <c r="M223" s="55" t="str" cm="1">
        <f t="array" ref="M223">INDEX(Processing!$W$6:$W$17,MONTH('ALL ORDERS'!K223))</f>
        <v>May</v>
      </c>
      <c r="N223" s="54">
        <f t="shared" si="97"/>
        <v>2024</v>
      </c>
      <c r="O223" s="58">
        <v>0.41666666666666669</v>
      </c>
      <c r="P223" s="59" t="s">
        <v>170</v>
      </c>
      <c r="Q223" s="60" t="s">
        <v>94</v>
      </c>
      <c r="R223" s="56" t="s">
        <v>254</v>
      </c>
      <c r="S223" s="61" t="s">
        <v>42</v>
      </c>
      <c r="T223" s="70">
        <v>44900888990</v>
      </c>
      <c r="U223" s="63" t="s">
        <v>26</v>
      </c>
      <c r="V223" s="63" t="s">
        <v>147</v>
      </c>
      <c r="W223" s="64">
        <v>3171</v>
      </c>
      <c r="X223" s="64">
        <v>5</v>
      </c>
      <c r="Y223" s="47"/>
      <c r="Z223" s="47"/>
    </row>
    <row r="224" spans="1:26" x14ac:dyDescent="0.25">
      <c r="A224" s="53">
        <v>45430</v>
      </c>
      <c r="B224" s="54">
        <f t="shared" si="103"/>
        <v>18</v>
      </c>
      <c r="C224" s="55" t="str" cm="1">
        <f t="array" ref="C224">INDEX(Processing!$C$11:$C$22,MONTH('ALL ORDERS'!A224))</f>
        <v>MAY</v>
      </c>
      <c r="D224" s="54">
        <f t="shared" si="104"/>
        <v>2024</v>
      </c>
      <c r="E224" s="56" t="s">
        <v>48</v>
      </c>
      <c r="F224" s="56" t="s">
        <v>124</v>
      </c>
      <c r="G224" s="100">
        <v>0</v>
      </c>
      <c r="H224" s="100">
        <v>2800</v>
      </c>
      <c r="I224" s="57"/>
      <c r="J224" s="99">
        <f t="shared" si="105"/>
        <v>2800</v>
      </c>
      <c r="K224" s="53">
        <v>45430</v>
      </c>
      <c r="L224" s="54">
        <f t="shared" si="3"/>
        <v>18</v>
      </c>
      <c r="M224" s="55" t="str" cm="1">
        <f t="array" ref="M224">INDEX(Processing!$W$6:$W$17,MONTH('ALL ORDERS'!K224))</f>
        <v>May</v>
      </c>
      <c r="N224" s="54">
        <f t="shared" si="97"/>
        <v>2024</v>
      </c>
      <c r="O224" s="58">
        <v>0.5</v>
      </c>
      <c r="P224" s="59" t="s">
        <v>208</v>
      </c>
      <c r="Q224" s="60" t="s">
        <v>94</v>
      </c>
      <c r="R224" s="56" t="s">
        <v>296</v>
      </c>
      <c r="S224" s="61" t="s">
        <v>42</v>
      </c>
      <c r="T224" s="62" t="s">
        <v>579</v>
      </c>
      <c r="U224" s="63" t="s">
        <v>25</v>
      </c>
      <c r="V224" s="63" t="s">
        <v>147</v>
      </c>
      <c r="W224" s="64">
        <v>2248</v>
      </c>
      <c r="X224" s="64">
        <v>5</v>
      </c>
      <c r="Y224" s="47"/>
      <c r="Z224" s="47"/>
    </row>
    <row r="225" spans="1:26" x14ac:dyDescent="0.25">
      <c r="A225" s="53">
        <v>45431</v>
      </c>
      <c r="B225" s="54">
        <f t="shared" si="103"/>
        <v>19</v>
      </c>
      <c r="C225" s="55" t="str" cm="1">
        <f t="array" ref="C225">INDEX(Processing!$C$11:$C$22,MONTH('ALL ORDERS'!A225))</f>
        <v>MAY</v>
      </c>
      <c r="D225" s="54">
        <f t="shared" si="104"/>
        <v>2024</v>
      </c>
      <c r="E225" s="56" t="s">
        <v>49</v>
      </c>
      <c r="F225" s="56" t="s">
        <v>19</v>
      </c>
      <c r="G225" s="100">
        <v>0</v>
      </c>
      <c r="H225" s="100">
        <v>880</v>
      </c>
      <c r="I225" s="57"/>
      <c r="J225" s="99">
        <f t="shared" si="105"/>
        <v>880</v>
      </c>
      <c r="K225" s="53">
        <v>45431</v>
      </c>
      <c r="L225" s="54">
        <f t="shared" si="3"/>
        <v>19</v>
      </c>
      <c r="M225" s="55" t="str" cm="1">
        <f t="array" ref="M225">INDEX(Processing!$W$6:$W$17,MONTH('ALL ORDERS'!K225))</f>
        <v>May</v>
      </c>
      <c r="N225" s="54">
        <f t="shared" si="97"/>
        <v>2024</v>
      </c>
      <c r="O225" s="58">
        <v>0.66666666666666663</v>
      </c>
      <c r="P225" s="59" t="s">
        <v>346</v>
      </c>
      <c r="Q225" s="60" t="s">
        <v>94</v>
      </c>
      <c r="R225" s="56" t="s">
        <v>308</v>
      </c>
      <c r="S225" s="61" t="s">
        <v>41</v>
      </c>
      <c r="T225" s="62" t="s">
        <v>580</v>
      </c>
      <c r="U225" s="63" t="s">
        <v>23</v>
      </c>
      <c r="V225" s="63" t="s">
        <v>147</v>
      </c>
      <c r="W225" s="64">
        <v>2773</v>
      </c>
      <c r="X225" s="64">
        <v>5</v>
      </c>
      <c r="Y225" s="47"/>
      <c r="Z225" s="47"/>
    </row>
    <row r="226" spans="1:26" x14ac:dyDescent="0.25">
      <c r="A226" s="53">
        <v>45432</v>
      </c>
      <c r="B226" s="54">
        <f t="shared" si="103"/>
        <v>20</v>
      </c>
      <c r="C226" s="55" t="str" cm="1">
        <f t="array" ref="C226">INDEX(Processing!$C$11:$C$22,MONTH('ALL ORDERS'!A226))</f>
        <v>MAY</v>
      </c>
      <c r="D226" s="54">
        <f t="shared" si="104"/>
        <v>2024</v>
      </c>
      <c r="E226" s="56" t="s">
        <v>47</v>
      </c>
      <c r="F226" s="56" t="s">
        <v>20</v>
      </c>
      <c r="G226" s="100">
        <v>0</v>
      </c>
      <c r="H226" s="100">
        <v>190</v>
      </c>
      <c r="I226" s="57"/>
      <c r="J226" s="99">
        <f t="shared" si="105"/>
        <v>190</v>
      </c>
      <c r="K226" s="53">
        <v>45432</v>
      </c>
      <c r="L226" s="54">
        <f t="shared" si="3"/>
        <v>20</v>
      </c>
      <c r="M226" s="55" t="str" cm="1">
        <f t="array" ref="M226">INDEX(Processing!$W$6:$W$17,MONTH('ALL ORDERS'!K226))</f>
        <v>May</v>
      </c>
      <c r="N226" s="54">
        <f t="shared" si="97"/>
        <v>2024</v>
      </c>
      <c r="O226" s="58">
        <v>0.75</v>
      </c>
      <c r="P226" s="59" t="s">
        <v>200</v>
      </c>
      <c r="Q226" s="60" t="s">
        <v>94</v>
      </c>
      <c r="R226" s="56" t="s">
        <v>287</v>
      </c>
      <c r="S226" s="61" t="s">
        <v>43</v>
      </c>
      <c r="T226" s="62" t="s">
        <v>581</v>
      </c>
      <c r="U226" s="63" t="s">
        <v>26</v>
      </c>
      <c r="V226" s="63" t="s">
        <v>147</v>
      </c>
      <c r="W226" s="64">
        <v>2162</v>
      </c>
      <c r="X226" s="64">
        <v>5</v>
      </c>
      <c r="Y226" s="47"/>
      <c r="Z226" s="47"/>
    </row>
    <row r="227" spans="1:26" x14ac:dyDescent="0.25">
      <c r="A227" s="53">
        <v>45433</v>
      </c>
      <c r="B227" s="54">
        <f t="shared" si="103"/>
        <v>21</v>
      </c>
      <c r="C227" s="55" t="str" cm="1">
        <f t="array" ref="C227">INDEX(Processing!$C$11:$C$22,MONTH('ALL ORDERS'!A227))</f>
        <v>MAY</v>
      </c>
      <c r="D227" s="54">
        <f t="shared" si="104"/>
        <v>2024</v>
      </c>
      <c r="E227" s="56" t="s">
        <v>50</v>
      </c>
      <c r="F227" s="56" t="s">
        <v>21</v>
      </c>
      <c r="G227" s="100">
        <v>0</v>
      </c>
      <c r="H227" s="100">
        <v>950</v>
      </c>
      <c r="I227" s="57"/>
      <c r="J227" s="99">
        <f t="shared" si="105"/>
        <v>950</v>
      </c>
      <c r="K227" s="53">
        <v>45433</v>
      </c>
      <c r="L227" s="54">
        <f t="shared" si="3"/>
        <v>21</v>
      </c>
      <c r="M227" s="55" t="str" cm="1">
        <f t="array" ref="M227">INDEX(Processing!$W$6:$W$17,MONTH('ALL ORDERS'!K227))</f>
        <v>May</v>
      </c>
      <c r="N227" s="54">
        <f t="shared" si="97"/>
        <v>2024</v>
      </c>
      <c r="O227" s="58">
        <v>0.41666666666666669</v>
      </c>
      <c r="P227" s="59" t="s">
        <v>185</v>
      </c>
      <c r="Q227" s="60" t="s">
        <v>94</v>
      </c>
      <c r="R227" s="56" t="s">
        <v>270</v>
      </c>
      <c r="S227" s="61" t="s">
        <v>45</v>
      </c>
      <c r="T227" s="62" t="s">
        <v>582</v>
      </c>
      <c r="U227" s="63" t="s">
        <v>24</v>
      </c>
      <c r="V227" s="63" t="s">
        <v>147</v>
      </c>
      <c r="W227" s="64">
        <v>1873</v>
      </c>
      <c r="X227" s="64">
        <v>4</v>
      </c>
      <c r="Y227" s="47"/>
      <c r="Z227" s="47"/>
    </row>
    <row r="228" spans="1:26" x14ac:dyDescent="0.25">
      <c r="A228" s="53">
        <v>45434</v>
      </c>
      <c r="B228" s="54">
        <f t="shared" si="103"/>
        <v>22</v>
      </c>
      <c r="C228" s="55" t="str" cm="1">
        <f t="array" ref="C228">INDEX(Processing!$C$11:$C$22,MONTH('ALL ORDERS'!A228))</f>
        <v>MAY</v>
      </c>
      <c r="D228" s="54">
        <f t="shared" si="104"/>
        <v>2024</v>
      </c>
      <c r="E228" s="56" t="s">
        <v>47</v>
      </c>
      <c r="F228" s="56" t="s">
        <v>124</v>
      </c>
      <c r="G228" s="100">
        <v>2630</v>
      </c>
      <c r="H228" s="100">
        <v>0</v>
      </c>
      <c r="I228" s="57"/>
      <c r="J228" s="99">
        <f t="shared" si="105"/>
        <v>2630</v>
      </c>
      <c r="K228" s="53">
        <v>45434</v>
      </c>
      <c r="L228" s="54">
        <f t="shared" si="3"/>
        <v>22</v>
      </c>
      <c r="M228" s="55" t="str" cm="1">
        <f t="array" ref="M228">INDEX(Processing!$W$6:$W$17,MONTH('ALL ORDERS'!K228))</f>
        <v>May</v>
      </c>
      <c r="N228" s="54">
        <f t="shared" si="97"/>
        <v>2024</v>
      </c>
      <c r="O228" s="58">
        <v>0.5</v>
      </c>
      <c r="P228" s="59" t="s">
        <v>160</v>
      </c>
      <c r="Q228" s="60" t="s">
        <v>94</v>
      </c>
      <c r="R228" s="56" t="s">
        <v>242</v>
      </c>
      <c r="S228" s="61" t="s">
        <v>43</v>
      </c>
      <c r="T228" s="62" t="s">
        <v>583</v>
      </c>
      <c r="U228" s="63" t="s">
        <v>24</v>
      </c>
      <c r="V228" s="63" t="s">
        <v>147</v>
      </c>
      <c r="W228" s="64">
        <v>3857</v>
      </c>
      <c r="X228" s="64">
        <v>5</v>
      </c>
      <c r="Y228" s="47"/>
      <c r="Z228" s="47"/>
    </row>
    <row r="229" spans="1:26" x14ac:dyDescent="0.25">
      <c r="A229" s="53">
        <v>45435</v>
      </c>
      <c r="B229" s="54">
        <f t="shared" si="103"/>
        <v>23</v>
      </c>
      <c r="C229" s="55" t="str" cm="1">
        <f t="array" ref="C229">INDEX(Processing!$C$11:$C$22,MONTH('ALL ORDERS'!A229))</f>
        <v>MAY</v>
      </c>
      <c r="D229" s="54">
        <f t="shared" si="104"/>
        <v>2024</v>
      </c>
      <c r="E229" s="56" t="s">
        <v>51</v>
      </c>
      <c r="F229" s="56" t="s">
        <v>135</v>
      </c>
      <c r="G229" s="100">
        <v>2640</v>
      </c>
      <c r="H229" s="100">
        <v>0</v>
      </c>
      <c r="I229" s="57"/>
      <c r="J229" s="99">
        <f t="shared" si="105"/>
        <v>2640</v>
      </c>
      <c r="K229" s="53">
        <v>45435</v>
      </c>
      <c r="L229" s="54">
        <f t="shared" si="3"/>
        <v>23</v>
      </c>
      <c r="M229" s="55" t="str" cm="1">
        <f t="array" ref="M229">INDEX(Processing!$W$6:$W$17,MONTH('ALL ORDERS'!K229))</f>
        <v>May</v>
      </c>
      <c r="N229" s="54">
        <f t="shared" si="97"/>
        <v>2024</v>
      </c>
      <c r="O229" s="58">
        <v>0.66666666666666663</v>
      </c>
      <c r="P229" s="59" t="s">
        <v>337</v>
      </c>
      <c r="Q229" s="60" t="s">
        <v>94</v>
      </c>
      <c r="R229" s="56" t="s">
        <v>243</v>
      </c>
      <c r="S229" s="61" t="s">
        <v>44</v>
      </c>
      <c r="T229" s="62" t="s">
        <v>584</v>
      </c>
      <c r="U229" s="63" t="s">
        <v>26</v>
      </c>
      <c r="V229" s="63" t="s">
        <v>147</v>
      </c>
      <c r="W229" s="64">
        <v>3169</v>
      </c>
      <c r="X229" s="64">
        <v>3</v>
      </c>
      <c r="Y229" s="47"/>
      <c r="Z229" s="47"/>
    </row>
    <row r="230" spans="1:26" x14ac:dyDescent="0.25">
      <c r="A230" s="53">
        <v>45436</v>
      </c>
      <c r="B230" s="54">
        <f t="shared" si="103"/>
        <v>24</v>
      </c>
      <c r="C230" s="55" t="str" cm="1">
        <f t="array" ref="C230">INDEX(Processing!$C$11:$C$22,MONTH('ALL ORDERS'!A230))</f>
        <v>MAY</v>
      </c>
      <c r="D230" s="54">
        <f t="shared" si="104"/>
        <v>2024</v>
      </c>
      <c r="E230" s="56" t="s">
        <v>49</v>
      </c>
      <c r="F230" s="56" t="s">
        <v>22</v>
      </c>
      <c r="G230" s="100">
        <v>1380</v>
      </c>
      <c r="H230" s="100">
        <v>0</v>
      </c>
      <c r="I230" s="57"/>
      <c r="J230" s="99">
        <f t="shared" si="105"/>
        <v>1380</v>
      </c>
      <c r="K230" s="53">
        <v>45436</v>
      </c>
      <c r="L230" s="54">
        <f t="shared" si="3"/>
        <v>24</v>
      </c>
      <c r="M230" s="55" t="str" cm="1">
        <f t="array" ref="M230">INDEX(Processing!$W$6:$W$17,MONTH('ALL ORDERS'!K230))</f>
        <v>May</v>
      </c>
      <c r="N230" s="54">
        <f t="shared" si="97"/>
        <v>2024</v>
      </c>
      <c r="O230" s="58">
        <v>0.75</v>
      </c>
      <c r="P230" s="59" t="s">
        <v>213</v>
      </c>
      <c r="Q230" s="60" t="s">
        <v>90</v>
      </c>
      <c r="R230" s="56" t="s">
        <v>301</v>
      </c>
      <c r="S230" s="61" t="s">
        <v>41</v>
      </c>
      <c r="T230" s="62" t="s">
        <v>585</v>
      </c>
      <c r="U230" s="63" t="s">
        <v>25</v>
      </c>
      <c r="V230" s="63" t="s">
        <v>147</v>
      </c>
      <c r="W230" s="64">
        <v>1491</v>
      </c>
      <c r="X230" s="64">
        <v>4</v>
      </c>
      <c r="Y230" s="47"/>
      <c r="Z230" s="47"/>
    </row>
    <row r="231" spans="1:26" x14ac:dyDescent="0.25">
      <c r="A231" s="53">
        <v>45437</v>
      </c>
      <c r="B231" s="54">
        <f t="shared" si="103"/>
        <v>25</v>
      </c>
      <c r="C231" s="55" t="str" cm="1">
        <f t="array" ref="C231">INDEX(Processing!$C$11:$C$22,MONTH('ALL ORDERS'!A231))</f>
        <v>MAY</v>
      </c>
      <c r="D231" s="54">
        <f t="shared" si="104"/>
        <v>2024</v>
      </c>
      <c r="E231" s="56" t="s">
        <v>47</v>
      </c>
      <c r="F231" s="56" t="s">
        <v>135</v>
      </c>
      <c r="G231" s="100">
        <v>3180</v>
      </c>
      <c r="H231" s="100">
        <v>0</v>
      </c>
      <c r="I231" s="57"/>
      <c r="J231" s="99">
        <f t="shared" si="105"/>
        <v>3180</v>
      </c>
      <c r="K231" s="53">
        <v>45437</v>
      </c>
      <c r="L231" s="54">
        <f t="shared" ref="L231" si="106">DAY(K231)</f>
        <v>25</v>
      </c>
      <c r="M231" s="55" t="str" cm="1">
        <f t="array" ref="M231">INDEX(Processing!$W$6:$W$17,MONTH('ALL ORDERS'!K231))</f>
        <v>May</v>
      </c>
      <c r="N231" s="54">
        <f t="shared" si="97"/>
        <v>2024</v>
      </c>
      <c r="O231" s="58">
        <v>0.41666666666666669</v>
      </c>
      <c r="P231" s="59" t="s">
        <v>201</v>
      </c>
      <c r="Q231" s="60" t="s">
        <v>94</v>
      </c>
      <c r="R231" s="56" t="s">
        <v>288</v>
      </c>
      <c r="S231" s="61" t="s">
        <v>43</v>
      </c>
      <c r="T231" s="62" t="s">
        <v>586</v>
      </c>
      <c r="U231" s="63" t="s">
        <v>23</v>
      </c>
      <c r="V231" s="63" t="s">
        <v>147</v>
      </c>
      <c r="W231" s="64">
        <v>2614</v>
      </c>
      <c r="X231" s="64">
        <v>4</v>
      </c>
      <c r="Y231" s="47"/>
      <c r="Z231" s="47"/>
    </row>
    <row r="232" spans="1:26" x14ac:dyDescent="0.25">
      <c r="A232" s="53">
        <v>45438</v>
      </c>
      <c r="B232" s="54">
        <f t="shared" si="103"/>
        <v>26</v>
      </c>
      <c r="C232" s="55" t="str" cm="1">
        <f t="array" ref="C232">INDEX(Processing!$C$11:$C$22,MONTH('ALL ORDERS'!A232))</f>
        <v>MAY</v>
      </c>
      <c r="D232" s="54">
        <f t="shared" si="104"/>
        <v>2024</v>
      </c>
      <c r="E232" s="56" t="s">
        <v>50</v>
      </c>
      <c r="F232" s="56" t="s">
        <v>137</v>
      </c>
      <c r="G232" s="100">
        <v>1110</v>
      </c>
      <c r="H232" s="100">
        <v>0</v>
      </c>
      <c r="I232" s="57"/>
      <c r="J232" s="99">
        <f t="shared" si="105"/>
        <v>1110</v>
      </c>
      <c r="K232" s="53">
        <v>45438</v>
      </c>
      <c r="L232" s="54">
        <f t="shared" si="3"/>
        <v>26</v>
      </c>
      <c r="M232" s="55" t="str" cm="1">
        <f t="array" ref="M232">INDEX(Processing!$W$6:$W$17,MONTH('ALL ORDERS'!K232))</f>
        <v>May</v>
      </c>
      <c r="N232" s="54">
        <f t="shared" si="97"/>
        <v>2024</v>
      </c>
      <c r="O232" s="58">
        <v>0.5</v>
      </c>
      <c r="P232" s="59" t="s">
        <v>182</v>
      </c>
      <c r="Q232" s="60" t="s">
        <v>94</v>
      </c>
      <c r="R232" s="56" t="s">
        <v>267</v>
      </c>
      <c r="S232" s="61" t="s">
        <v>45</v>
      </c>
      <c r="T232" s="62" t="s">
        <v>587</v>
      </c>
      <c r="U232" s="63" t="s">
        <v>27</v>
      </c>
      <c r="V232" s="63" t="s">
        <v>147</v>
      </c>
      <c r="W232" s="64">
        <v>1575</v>
      </c>
      <c r="X232" s="64">
        <v>5</v>
      </c>
      <c r="Y232" s="47"/>
      <c r="Z232" s="47"/>
    </row>
    <row r="233" spans="1:26" x14ac:dyDescent="0.25">
      <c r="A233" s="53">
        <v>45433</v>
      </c>
      <c r="B233" s="54">
        <f t="shared" si="103"/>
        <v>21</v>
      </c>
      <c r="C233" s="55" t="str" cm="1">
        <f t="array" ref="C233">INDEX(Processing!$C$11:$C$22,MONTH('ALL ORDERS'!A233))</f>
        <v>MAY</v>
      </c>
      <c r="D233" s="54">
        <f t="shared" si="104"/>
        <v>2024</v>
      </c>
      <c r="E233" s="56" t="s">
        <v>48</v>
      </c>
      <c r="F233" s="56" t="s">
        <v>21</v>
      </c>
      <c r="G233" s="100">
        <v>0</v>
      </c>
      <c r="H233" s="100">
        <v>1660</v>
      </c>
      <c r="I233" s="57">
        <v>0.15</v>
      </c>
      <c r="J233" s="99">
        <f t="shared" si="105"/>
        <v>1660</v>
      </c>
      <c r="K233" s="53">
        <v>45433</v>
      </c>
      <c r="L233" s="54">
        <f t="shared" si="3"/>
        <v>21</v>
      </c>
      <c r="M233" s="55" t="str" cm="1">
        <f t="array" ref="M233">INDEX(Processing!$W$6:$W$17,MONTH('ALL ORDERS'!K233))</f>
        <v>May</v>
      </c>
      <c r="N233" s="54">
        <f t="shared" si="97"/>
        <v>2024</v>
      </c>
      <c r="O233" s="58">
        <v>0.66666666666666663</v>
      </c>
      <c r="P233" s="59" t="s">
        <v>185</v>
      </c>
      <c r="Q233" s="60" t="s">
        <v>94</v>
      </c>
      <c r="R233" s="56" t="s">
        <v>270</v>
      </c>
      <c r="S233" s="61" t="s">
        <v>42</v>
      </c>
      <c r="T233" s="62" t="s">
        <v>588</v>
      </c>
      <c r="U233" s="63" t="s">
        <v>26</v>
      </c>
      <c r="V233" s="63" t="s">
        <v>147</v>
      </c>
      <c r="W233" s="64">
        <v>1654</v>
      </c>
      <c r="X233" s="64">
        <v>3</v>
      </c>
      <c r="Y233" s="47"/>
      <c r="Z233" s="47"/>
    </row>
    <row r="234" spans="1:26" x14ac:dyDescent="0.25">
      <c r="A234" s="53">
        <v>45434</v>
      </c>
      <c r="B234" s="54">
        <f t="shared" ref="B234" si="107">DAY(A234)</f>
        <v>22</v>
      </c>
      <c r="C234" s="55" t="str" cm="1">
        <f t="array" ref="C234">INDEX(Processing!$C$11:$C$22,MONTH('ALL ORDERS'!A234))</f>
        <v>MAY</v>
      </c>
      <c r="D234" s="54">
        <f t="shared" ref="D234" si="108">YEAR(A234)</f>
        <v>2024</v>
      </c>
      <c r="E234" s="56" t="s">
        <v>48</v>
      </c>
      <c r="F234" s="56" t="s">
        <v>21</v>
      </c>
      <c r="G234" s="100">
        <v>10500</v>
      </c>
      <c r="H234" s="100">
        <v>0</v>
      </c>
      <c r="I234" s="57">
        <v>0.15</v>
      </c>
      <c r="J234" s="99">
        <f t="shared" si="105"/>
        <v>10500</v>
      </c>
      <c r="K234" s="53">
        <v>45434</v>
      </c>
      <c r="L234" s="54">
        <f t="shared" ref="L234" si="109">DAY(K234)</f>
        <v>22</v>
      </c>
      <c r="M234" s="55" t="str" cm="1">
        <f t="array" ref="M234">INDEX(Processing!$W$6:$W$17,MONTH('ALL ORDERS'!K234))</f>
        <v>May</v>
      </c>
      <c r="N234" s="54">
        <f t="shared" ref="N234" si="110">YEAR(K234)</f>
        <v>2024</v>
      </c>
      <c r="O234" s="58">
        <v>0.70833333333333304</v>
      </c>
      <c r="P234" s="59" t="s">
        <v>186</v>
      </c>
      <c r="Q234" s="60" t="s">
        <v>94</v>
      </c>
      <c r="R234" s="56" t="s">
        <v>1091</v>
      </c>
      <c r="S234" s="61" t="s">
        <v>46</v>
      </c>
      <c r="T234" s="62" t="s">
        <v>599</v>
      </c>
      <c r="U234" s="63" t="s">
        <v>26</v>
      </c>
      <c r="V234" s="63" t="s">
        <v>147</v>
      </c>
      <c r="W234" s="64">
        <v>1801</v>
      </c>
      <c r="X234" s="64">
        <v>4</v>
      </c>
      <c r="Y234" s="47"/>
      <c r="Z234" s="47"/>
    </row>
    <row r="235" spans="1:26" x14ac:dyDescent="0.25">
      <c r="A235" s="53">
        <v>45440</v>
      </c>
      <c r="B235" s="54">
        <f t="shared" si="103"/>
        <v>28</v>
      </c>
      <c r="C235" s="55" t="str" cm="1">
        <f t="array" ref="C235">INDEX(Processing!$C$11:$C$22,MONTH('ALL ORDERS'!A235))</f>
        <v>MAY</v>
      </c>
      <c r="D235" s="54">
        <f t="shared" si="104"/>
        <v>2024</v>
      </c>
      <c r="E235" s="56" t="s">
        <v>48</v>
      </c>
      <c r="F235" s="56" t="s">
        <v>18</v>
      </c>
      <c r="G235" s="100">
        <v>0</v>
      </c>
      <c r="H235" s="100">
        <v>1130</v>
      </c>
      <c r="I235" s="57">
        <v>0.15</v>
      </c>
      <c r="J235" s="99">
        <f t="shared" si="105"/>
        <v>1130</v>
      </c>
      <c r="K235" s="53">
        <v>45440</v>
      </c>
      <c r="L235" s="54">
        <f t="shared" si="3"/>
        <v>28</v>
      </c>
      <c r="M235" s="55" t="str" cm="1">
        <f t="array" ref="M235">INDEX(Processing!$W$6:$W$17,MONTH('ALL ORDERS'!K235))</f>
        <v>May</v>
      </c>
      <c r="N235" s="54">
        <f t="shared" si="97"/>
        <v>2024</v>
      </c>
      <c r="O235" s="58">
        <v>0.75</v>
      </c>
      <c r="P235" s="59" t="s">
        <v>355</v>
      </c>
      <c r="Q235" s="60" t="s">
        <v>92</v>
      </c>
      <c r="R235" s="56" t="s">
        <v>333</v>
      </c>
      <c r="S235" s="61" t="s">
        <v>41</v>
      </c>
      <c r="T235" s="62" t="s">
        <v>589</v>
      </c>
      <c r="U235" s="63" t="s">
        <v>24</v>
      </c>
      <c r="V235" s="63" t="s">
        <v>147</v>
      </c>
      <c r="W235" s="64">
        <v>2120</v>
      </c>
      <c r="X235" s="64">
        <v>2</v>
      </c>
      <c r="Y235" s="47"/>
      <c r="Z235" s="47"/>
    </row>
    <row r="236" spans="1:26" x14ac:dyDescent="0.25">
      <c r="A236" s="53">
        <v>45441</v>
      </c>
      <c r="B236" s="54">
        <f t="shared" si="103"/>
        <v>29</v>
      </c>
      <c r="C236" s="55" t="str" cm="1">
        <f t="array" ref="C236">INDEX(Processing!$C$11:$C$22,MONTH('ALL ORDERS'!A236))</f>
        <v>MAY</v>
      </c>
      <c r="D236" s="54">
        <f t="shared" si="104"/>
        <v>2024</v>
      </c>
      <c r="E236" s="56" t="s">
        <v>49</v>
      </c>
      <c r="F236" s="56" t="s">
        <v>19</v>
      </c>
      <c r="G236" s="100">
        <v>0</v>
      </c>
      <c r="H236" s="100">
        <v>2910</v>
      </c>
      <c r="I236" s="57">
        <v>0.15</v>
      </c>
      <c r="J236" s="99">
        <f t="shared" si="105"/>
        <v>2910</v>
      </c>
      <c r="K236" s="53">
        <v>45441</v>
      </c>
      <c r="L236" s="54">
        <f t="shared" si="3"/>
        <v>29</v>
      </c>
      <c r="M236" s="55" t="str" cm="1">
        <f t="array" ref="M236">INDEX(Processing!$W$6:$W$17,MONTH('ALL ORDERS'!K236))</f>
        <v>May</v>
      </c>
      <c r="N236" s="54">
        <f t="shared" si="97"/>
        <v>2024</v>
      </c>
      <c r="O236" s="58">
        <v>0.41666666666666669</v>
      </c>
      <c r="P236" s="59" t="s">
        <v>167</v>
      </c>
      <c r="Q236" s="60" t="s">
        <v>91</v>
      </c>
      <c r="R236" s="56" t="s">
        <v>250</v>
      </c>
      <c r="S236" s="61" t="s">
        <v>46</v>
      </c>
      <c r="T236" s="70">
        <v>43900888990</v>
      </c>
      <c r="U236" s="63" t="s">
        <v>24</v>
      </c>
      <c r="V236" s="63" t="s">
        <v>147</v>
      </c>
      <c r="W236" s="64">
        <v>3032</v>
      </c>
      <c r="X236" s="64">
        <v>4</v>
      </c>
      <c r="Y236" s="47"/>
      <c r="Z236" s="47"/>
    </row>
    <row r="237" spans="1:26" x14ac:dyDescent="0.25">
      <c r="A237" s="53">
        <v>45442</v>
      </c>
      <c r="B237" s="54">
        <f t="shared" si="103"/>
        <v>30</v>
      </c>
      <c r="C237" s="55" t="str" cm="1">
        <f t="array" ref="C237">INDEX(Processing!$C$11:$C$22,MONTH('ALL ORDERS'!A237))</f>
        <v>MAY</v>
      </c>
      <c r="D237" s="54">
        <f t="shared" si="104"/>
        <v>2024</v>
      </c>
      <c r="E237" s="56" t="s">
        <v>47</v>
      </c>
      <c r="F237" s="56" t="s">
        <v>22</v>
      </c>
      <c r="G237" s="100">
        <v>0</v>
      </c>
      <c r="H237" s="100">
        <v>2390</v>
      </c>
      <c r="I237" s="57">
        <v>0.15</v>
      </c>
      <c r="J237" s="99">
        <f t="shared" si="105"/>
        <v>2390</v>
      </c>
      <c r="K237" s="53">
        <v>45442</v>
      </c>
      <c r="L237" s="54">
        <f t="shared" si="3"/>
        <v>30</v>
      </c>
      <c r="M237" s="55" t="str" cm="1">
        <f t="array" ref="M237">INDEX(Processing!$W$6:$W$17,MONTH('ALL ORDERS'!K237))</f>
        <v>May</v>
      </c>
      <c r="N237" s="54">
        <f t="shared" si="97"/>
        <v>2024</v>
      </c>
      <c r="O237" s="58">
        <v>0.5</v>
      </c>
      <c r="P237" s="59" t="s">
        <v>223</v>
      </c>
      <c r="Q237" s="60" t="s">
        <v>94</v>
      </c>
      <c r="R237" s="56" t="s">
        <v>322</v>
      </c>
      <c r="S237" s="61" t="s">
        <v>41</v>
      </c>
      <c r="T237" s="62" t="s">
        <v>590</v>
      </c>
      <c r="U237" s="63" t="s">
        <v>24</v>
      </c>
      <c r="V237" s="63" t="s">
        <v>147</v>
      </c>
      <c r="W237" s="64">
        <v>2786</v>
      </c>
      <c r="X237" s="64">
        <v>5</v>
      </c>
      <c r="Y237" s="47"/>
      <c r="Z237" s="47"/>
    </row>
    <row r="238" spans="1:26" x14ac:dyDescent="0.25">
      <c r="A238" s="53">
        <v>45443</v>
      </c>
      <c r="B238" s="54">
        <f t="shared" si="103"/>
        <v>31</v>
      </c>
      <c r="C238" s="55" t="str" cm="1">
        <f t="array" ref="C238">INDEX(Processing!$C$11:$C$22,MONTH('ALL ORDERS'!A238))</f>
        <v>MAY</v>
      </c>
      <c r="D238" s="54">
        <f t="shared" si="104"/>
        <v>2024</v>
      </c>
      <c r="E238" s="56" t="s">
        <v>50</v>
      </c>
      <c r="F238" s="56" t="s">
        <v>135</v>
      </c>
      <c r="G238" s="100">
        <v>0</v>
      </c>
      <c r="H238" s="100">
        <v>1410</v>
      </c>
      <c r="I238" s="57">
        <v>0.15</v>
      </c>
      <c r="J238" s="99">
        <f t="shared" si="105"/>
        <v>1410</v>
      </c>
      <c r="K238" s="53">
        <v>45443</v>
      </c>
      <c r="L238" s="54">
        <f t="shared" si="3"/>
        <v>31</v>
      </c>
      <c r="M238" s="55" t="str" cm="1">
        <f t="array" ref="M238">INDEX(Processing!$W$6:$W$17,MONTH('ALL ORDERS'!K238))</f>
        <v>May</v>
      </c>
      <c r="N238" s="54">
        <f t="shared" si="97"/>
        <v>2024</v>
      </c>
      <c r="O238" s="58">
        <v>0.66666666666666663</v>
      </c>
      <c r="P238" s="59" t="s">
        <v>186</v>
      </c>
      <c r="Q238" s="60" t="s">
        <v>91</v>
      </c>
      <c r="R238" s="56" t="s">
        <v>271</v>
      </c>
      <c r="S238" s="61" t="s">
        <v>45</v>
      </c>
      <c r="T238" s="62" t="s">
        <v>591</v>
      </c>
      <c r="U238" s="63" t="s">
        <v>26</v>
      </c>
      <c r="V238" s="63" t="s">
        <v>147</v>
      </c>
      <c r="W238" s="64">
        <v>2814</v>
      </c>
      <c r="X238" s="64">
        <v>5</v>
      </c>
      <c r="Y238" s="47"/>
      <c r="Z238" s="47"/>
    </row>
    <row r="239" spans="1:26" x14ac:dyDescent="0.25">
      <c r="A239" s="53">
        <v>45443</v>
      </c>
      <c r="B239" s="54">
        <f t="shared" si="103"/>
        <v>31</v>
      </c>
      <c r="C239" s="55" t="str" cm="1">
        <f t="array" ref="C239">INDEX(Processing!$C$11:$C$22,MONTH('ALL ORDERS'!A239))</f>
        <v>MAY</v>
      </c>
      <c r="D239" s="54">
        <f t="shared" si="104"/>
        <v>2024</v>
      </c>
      <c r="E239" s="56" t="s">
        <v>47</v>
      </c>
      <c r="F239" s="56" t="s">
        <v>122</v>
      </c>
      <c r="G239" s="100">
        <v>3120</v>
      </c>
      <c r="H239" s="100">
        <v>0</v>
      </c>
      <c r="I239" s="57">
        <v>0.15</v>
      </c>
      <c r="J239" s="99">
        <f t="shared" si="105"/>
        <v>3120</v>
      </c>
      <c r="K239" s="53">
        <v>45443</v>
      </c>
      <c r="L239" s="54">
        <f t="shared" si="3"/>
        <v>31</v>
      </c>
      <c r="M239" s="55" t="str" cm="1">
        <f t="array" ref="M239">INDEX(Processing!$W$6:$W$17,MONTH('ALL ORDERS'!K239))</f>
        <v>May</v>
      </c>
      <c r="N239" s="54">
        <f t="shared" si="97"/>
        <v>2024</v>
      </c>
      <c r="O239" s="58">
        <v>0.75</v>
      </c>
      <c r="P239" s="59" t="s">
        <v>219</v>
      </c>
      <c r="Q239" s="60" t="s">
        <v>94</v>
      </c>
      <c r="R239" s="56" t="s">
        <v>318</v>
      </c>
      <c r="S239" s="61" t="s">
        <v>41</v>
      </c>
      <c r="T239" s="62" t="s">
        <v>592</v>
      </c>
      <c r="U239" s="63" t="s">
        <v>26</v>
      </c>
      <c r="V239" s="63" t="s">
        <v>147</v>
      </c>
      <c r="W239" s="64">
        <v>3929</v>
      </c>
      <c r="X239" s="64">
        <v>5</v>
      </c>
      <c r="Y239" s="47"/>
      <c r="Z239" s="47"/>
    </row>
    <row r="240" spans="1:26" x14ac:dyDescent="0.25">
      <c r="A240" s="53">
        <v>45445</v>
      </c>
      <c r="B240" s="54">
        <f t="shared" si="103"/>
        <v>2</v>
      </c>
      <c r="C240" s="55" t="str" cm="1">
        <f t="array" ref="C240">INDEX(Processing!$C$11:$C$22,MONTH('ALL ORDERS'!A240))</f>
        <v>JUN</v>
      </c>
      <c r="D240" s="54">
        <f t="shared" si="104"/>
        <v>2024</v>
      </c>
      <c r="E240" s="56" t="s">
        <v>51</v>
      </c>
      <c r="F240" s="56" t="s">
        <v>121</v>
      </c>
      <c r="G240" s="100">
        <v>0</v>
      </c>
      <c r="H240" s="100">
        <v>1380</v>
      </c>
      <c r="I240" s="57">
        <v>0.15</v>
      </c>
      <c r="J240" s="99">
        <f t="shared" si="105"/>
        <v>1380</v>
      </c>
      <c r="K240" s="53">
        <v>45445</v>
      </c>
      <c r="L240" s="54">
        <f t="shared" si="3"/>
        <v>2</v>
      </c>
      <c r="M240" s="55" t="str" cm="1">
        <f t="array" ref="M240">INDEX(Processing!$W$6:$W$17,MONTH('ALL ORDERS'!K240))</f>
        <v>June</v>
      </c>
      <c r="N240" s="54">
        <f t="shared" si="97"/>
        <v>2024</v>
      </c>
      <c r="O240" s="58">
        <v>0.41666666666666669</v>
      </c>
      <c r="P240" s="59" t="s">
        <v>172</v>
      </c>
      <c r="Q240" s="60" t="s">
        <v>94</v>
      </c>
      <c r="R240" s="56" t="s">
        <v>256</v>
      </c>
      <c r="S240" s="61" t="s">
        <v>46</v>
      </c>
      <c r="T240" s="62" t="s">
        <v>593</v>
      </c>
      <c r="U240" s="63" t="s">
        <v>24</v>
      </c>
      <c r="V240" s="63" t="s">
        <v>147</v>
      </c>
      <c r="W240" s="64">
        <v>2847</v>
      </c>
      <c r="X240" s="64">
        <v>5</v>
      </c>
      <c r="Y240" s="47"/>
      <c r="Z240" s="47"/>
    </row>
    <row r="241" spans="1:26" x14ac:dyDescent="0.25">
      <c r="A241" s="53">
        <v>45446</v>
      </c>
      <c r="B241" s="54">
        <f t="shared" si="103"/>
        <v>3</v>
      </c>
      <c r="C241" s="55" t="str" cm="1">
        <f t="array" ref="C241">INDEX(Processing!$C$11:$C$22,MONTH('ALL ORDERS'!A241))</f>
        <v>JUN</v>
      </c>
      <c r="D241" s="54">
        <f t="shared" si="104"/>
        <v>2024</v>
      </c>
      <c r="E241" s="56" t="s">
        <v>49</v>
      </c>
      <c r="F241" s="56" t="s">
        <v>130</v>
      </c>
      <c r="G241" s="100">
        <v>0</v>
      </c>
      <c r="H241" s="100">
        <v>2110</v>
      </c>
      <c r="I241" s="57"/>
      <c r="J241" s="99">
        <f t="shared" si="105"/>
        <v>2110</v>
      </c>
      <c r="K241" s="53">
        <v>45446</v>
      </c>
      <c r="L241" s="54">
        <f t="shared" si="3"/>
        <v>3</v>
      </c>
      <c r="M241" s="55" t="str" cm="1">
        <f t="array" ref="M241">INDEX(Processing!$W$6:$W$17,MONTH('ALL ORDERS'!K241))</f>
        <v>June</v>
      </c>
      <c r="N241" s="54">
        <f t="shared" si="97"/>
        <v>2024</v>
      </c>
      <c r="O241" s="58">
        <v>0.5</v>
      </c>
      <c r="P241" s="59" t="s">
        <v>209</v>
      </c>
      <c r="Q241" s="60" t="s">
        <v>94</v>
      </c>
      <c r="R241" s="56" t="s">
        <v>297</v>
      </c>
      <c r="S241" s="61" t="s">
        <v>46</v>
      </c>
      <c r="T241" s="62" t="s">
        <v>594</v>
      </c>
      <c r="U241" s="63" t="s">
        <v>26</v>
      </c>
      <c r="V241" s="63" t="s">
        <v>147</v>
      </c>
      <c r="W241" s="64">
        <v>2497</v>
      </c>
      <c r="X241" s="64">
        <v>5</v>
      </c>
      <c r="Y241" s="47"/>
      <c r="Z241" s="47"/>
    </row>
    <row r="242" spans="1:26" x14ac:dyDescent="0.25">
      <c r="A242" s="53">
        <v>45447</v>
      </c>
      <c r="B242" s="54">
        <f t="shared" si="103"/>
        <v>4</v>
      </c>
      <c r="C242" s="55" t="str" cm="1">
        <f t="array" ref="C242">INDEX(Processing!$C$11:$C$22,MONTH('ALL ORDERS'!A242))</f>
        <v>JUN</v>
      </c>
      <c r="D242" s="54">
        <f t="shared" si="104"/>
        <v>2024</v>
      </c>
      <c r="E242" s="56" t="s">
        <v>47</v>
      </c>
      <c r="F242" s="56" t="s">
        <v>124</v>
      </c>
      <c r="G242" s="100">
        <v>0</v>
      </c>
      <c r="H242" s="100">
        <v>2110</v>
      </c>
      <c r="I242" s="57"/>
      <c r="J242" s="99">
        <f t="shared" si="105"/>
        <v>2110</v>
      </c>
      <c r="K242" s="53">
        <v>45447</v>
      </c>
      <c r="L242" s="54">
        <f t="shared" si="3"/>
        <v>4</v>
      </c>
      <c r="M242" s="55" t="str" cm="1">
        <f t="array" ref="M242">INDEX(Processing!$W$6:$W$17,MONTH('ALL ORDERS'!K242))</f>
        <v>June</v>
      </c>
      <c r="N242" s="54">
        <f t="shared" si="97"/>
        <v>2024</v>
      </c>
      <c r="O242" s="58">
        <v>0.66666666666666663</v>
      </c>
      <c r="P242" s="59" t="s">
        <v>201</v>
      </c>
      <c r="Q242" s="60" t="s">
        <v>94</v>
      </c>
      <c r="R242" s="56" t="s">
        <v>288</v>
      </c>
      <c r="S242" s="61" t="s">
        <v>41</v>
      </c>
      <c r="T242" s="62" t="s">
        <v>595</v>
      </c>
      <c r="U242" s="63" t="s">
        <v>27</v>
      </c>
      <c r="V242" s="63" t="s">
        <v>147</v>
      </c>
      <c r="W242" s="64">
        <v>1268</v>
      </c>
      <c r="X242" s="64">
        <v>5</v>
      </c>
      <c r="Y242" s="47"/>
      <c r="Z242" s="47"/>
    </row>
    <row r="243" spans="1:26" x14ac:dyDescent="0.25">
      <c r="A243" s="53">
        <v>45448</v>
      </c>
      <c r="B243" s="54">
        <f t="shared" si="103"/>
        <v>5</v>
      </c>
      <c r="C243" s="55" t="str" cm="1">
        <f t="array" ref="C243">INDEX(Processing!$C$11:$C$22,MONTH('ALL ORDERS'!A243))</f>
        <v>JUN</v>
      </c>
      <c r="D243" s="54">
        <f t="shared" si="104"/>
        <v>2024</v>
      </c>
      <c r="E243" s="56" t="s">
        <v>50</v>
      </c>
      <c r="F243" s="56" t="s">
        <v>129</v>
      </c>
      <c r="G243" s="100">
        <v>0</v>
      </c>
      <c r="H243" s="100">
        <v>1610</v>
      </c>
      <c r="I243" s="57"/>
      <c r="J243" s="99">
        <f t="shared" si="105"/>
        <v>1610</v>
      </c>
      <c r="K243" s="53">
        <v>45448</v>
      </c>
      <c r="L243" s="54">
        <f t="shared" si="3"/>
        <v>5</v>
      </c>
      <c r="M243" s="55" t="str" cm="1">
        <f t="array" ref="M243">INDEX(Processing!$W$6:$W$17,MONTH('ALL ORDERS'!K243))</f>
        <v>June</v>
      </c>
      <c r="N243" s="54">
        <f t="shared" si="97"/>
        <v>2024</v>
      </c>
      <c r="O243" s="58">
        <v>0.75</v>
      </c>
      <c r="P243" s="59" t="s">
        <v>164</v>
      </c>
      <c r="Q243" s="60" t="s">
        <v>94</v>
      </c>
      <c r="R243" s="56" t="s">
        <v>247</v>
      </c>
      <c r="S243" s="61" t="s">
        <v>43</v>
      </c>
      <c r="T243" s="62" t="s">
        <v>596</v>
      </c>
      <c r="U243" s="63" t="s">
        <v>23</v>
      </c>
      <c r="V243" s="63" t="s">
        <v>147</v>
      </c>
      <c r="W243" s="64">
        <v>1594</v>
      </c>
      <c r="X243" s="64">
        <v>4</v>
      </c>
      <c r="Y243" s="47"/>
      <c r="Z243" s="47"/>
    </row>
    <row r="244" spans="1:26" x14ac:dyDescent="0.25">
      <c r="A244" s="53">
        <v>45449</v>
      </c>
      <c r="B244" s="54">
        <f t="shared" si="103"/>
        <v>6</v>
      </c>
      <c r="C244" s="55" t="str" cm="1">
        <f t="array" ref="C244">INDEX(Processing!$C$11:$C$22,MONTH('ALL ORDERS'!A244))</f>
        <v>JUN</v>
      </c>
      <c r="D244" s="54">
        <f t="shared" si="104"/>
        <v>2024</v>
      </c>
      <c r="E244" s="56" t="s">
        <v>48</v>
      </c>
      <c r="F244" s="56" t="s">
        <v>22</v>
      </c>
      <c r="G244" s="100">
        <v>0</v>
      </c>
      <c r="H244" s="100">
        <v>3340</v>
      </c>
      <c r="I244" s="57"/>
      <c r="J244" s="99">
        <f t="shared" si="105"/>
        <v>3340</v>
      </c>
      <c r="K244" s="53">
        <v>45449</v>
      </c>
      <c r="L244" s="54">
        <f t="shared" si="3"/>
        <v>6</v>
      </c>
      <c r="M244" s="55" t="str" cm="1">
        <f t="array" ref="M244">INDEX(Processing!$W$6:$W$17,MONTH('ALL ORDERS'!K244))</f>
        <v>June</v>
      </c>
      <c r="N244" s="54">
        <f t="shared" si="97"/>
        <v>2024</v>
      </c>
      <c r="O244" s="58">
        <v>0.41666666666666669</v>
      </c>
      <c r="P244" s="59" t="s">
        <v>229</v>
      </c>
      <c r="Q244" s="60" t="s">
        <v>94</v>
      </c>
      <c r="R244" s="56" t="s">
        <v>329</v>
      </c>
      <c r="S244" s="61" t="s">
        <v>45</v>
      </c>
      <c r="T244" s="62" t="s">
        <v>597</v>
      </c>
      <c r="U244" s="63" t="s">
        <v>25</v>
      </c>
      <c r="V244" s="63" t="s">
        <v>147</v>
      </c>
      <c r="W244" s="64">
        <v>3451</v>
      </c>
      <c r="X244" s="64">
        <v>4</v>
      </c>
      <c r="Y244" s="47"/>
      <c r="Z244" s="47"/>
    </row>
    <row r="245" spans="1:26" x14ac:dyDescent="0.25">
      <c r="A245" s="53">
        <v>45449</v>
      </c>
      <c r="B245" s="54">
        <f t="shared" si="103"/>
        <v>6</v>
      </c>
      <c r="C245" s="55" t="str" cm="1">
        <f t="array" ref="C245">INDEX(Processing!$C$11:$C$22,MONTH('ALL ORDERS'!A245))</f>
        <v>JUN</v>
      </c>
      <c r="D245" s="54">
        <f t="shared" si="104"/>
        <v>2024</v>
      </c>
      <c r="E245" s="56" t="s">
        <v>47</v>
      </c>
      <c r="F245" s="56" t="s">
        <v>152</v>
      </c>
      <c r="G245" s="100">
        <v>0</v>
      </c>
      <c r="H245" s="100">
        <v>3930</v>
      </c>
      <c r="I245" s="57"/>
      <c r="J245" s="99">
        <f t="shared" si="105"/>
        <v>3930</v>
      </c>
      <c r="K245" s="53">
        <v>45449</v>
      </c>
      <c r="L245" s="54">
        <f t="shared" si="3"/>
        <v>6</v>
      </c>
      <c r="M245" s="55" t="str" cm="1">
        <f t="array" ref="M245">INDEX(Processing!$W$6:$W$17,MONTH('ALL ORDERS'!K245))</f>
        <v>June</v>
      </c>
      <c r="N245" s="54">
        <f t="shared" ref="N245:N310" si="111">YEAR(K245)</f>
        <v>2024</v>
      </c>
      <c r="O245" s="58">
        <v>0.5</v>
      </c>
      <c r="P245" s="59" t="s">
        <v>192</v>
      </c>
      <c r="Q245" s="60" t="s">
        <v>94</v>
      </c>
      <c r="R245" s="56" t="s">
        <v>278</v>
      </c>
      <c r="S245" s="61" t="s">
        <v>43</v>
      </c>
      <c r="T245" s="62" t="s">
        <v>598</v>
      </c>
      <c r="U245" s="63" t="s">
        <v>23</v>
      </c>
      <c r="V245" s="63" t="s">
        <v>147</v>
      </c>
      <c r="W245" s="64">
        <v>3103</v>
      </c>
      <c r="X245" s="64">
        <v>4</v>
      </c>
      <c r="Y245" s="47"/>
      <c r="Z245" s="47"/>
    </row>
    <row r="246" spans="1:26" x14ac:dyDescent="0.25">
      <c r="A246" s="53">
        <v>45451</v>
      </c>
      <c r="B246" s="54">
        <f t="shared" si="103"/>
        <v>8</v>
      </c>
      <c r="C246" s="55" t="str" cm="1">
        <f t="array" ref="C246">INDEX(Processing!$C$11:$C$22,MONTH('ALL ORDERS'!A246))</f>
        <v>JUN</v>
      </c>
      <c r="D246" s="54">
        <f t="shared" si="104"/>
        <v>2024</v>
      </c>
      <c r="E246" s="56" t="s">
        <v>50</v>
      </c>
      <c r="F246" s="56" t="s">
        <v>22</v>
      </c>
      <c r="G246" s="100">
        <v>0</v>
      </c>
      <c r="H246" s="100">
        <v>3880</v>
      </c>
      <c r="I246" s="57"/>
      <c r="J246" s="99">
        <f t="shared" si="105"/>
        <v>3880</v>
      </c>
      <c r="K246" s="53">
        <v>45451</v>
      </c>
      <c r="L246" s="54">
        <f t="shared" si="3"/>
        <v>8</v>
      </c>
      <c r="M246" s="55" t="str" cm="1">
        <f t="array" ref="M246">INDEX(Processing!$W$6:$W$17,MONTH('ALL ORDERS'!K246))</f>
        <v>June</v>
      </c>
      <c r="N246" s="54">
        <f t="shared" si="111"/>
        <v>2024</v>
      </c>
      <c r="O246" s="58">
        <v>0.66666666666666663</v>
      </c>
      <c r="P246" s="59" t="s">
        <v>171</v>
      </c>
      <c r="Q246" s="60" t="s">
        <v>94</v>
      </c>
      <c r="R246" s="56" t="s">
        <v>255</v>
      </c>
      <c r="S246" s="61" t="s">
        <v>44</v>
      </c>
      <c r="T246" s="62" t="s">
        <v>599</v>
      </c>
      <c r="U246" s="63" t="s">
        <v>26</v>
      </c>
      <c r="V246" s="63" t="s">
        <v>148</v>
      </c>
      <c r="W246" s="64">
        <v>2621</v>
      </c>
      <c r="X246" s="64"/>
      <c r="Y246" s="47"/>
      <c r="Z246" s="47"/>
    </row>
    <row r="247" spans="1:26" x14ac:dyDescent="0.25">
      <c r="A247" s="53">
        <v>45452</v>
      </c>
      <c r="B247" s="54">
        <f t="shared" si="103"/>
        <v>9</v>
      </c>
      <c r="C247" s="55" t="str" cm="1">
        <f t="array" ref="C247">INDEX(Processing!$C$11:$C$22,MONTH('ALL ORDERS'!A247))</f>
        <v>JUN</v>
      </c>
      <c r="D247" s="54">
        <f t="shared" si="104"/>
        <v>2024</v>
      </c>
      <c r="E247" s="56" t="s">
        <v>47</v>
      </c>
      <c r="F247" s="56" t="s">
        <v>152</v>
      </c>
      <c r="G247" s="100">
        <v>0</v>
      </c>
      <c r="H247" s="100">
        <v>1010</v>
      </c>
      <c r="I247" s="57"/>
      <c r="J247" s="99">
        <f t="shared" si="105"/>
        <v>1010</v>
      </c>
      <c r="K247" s="53">
        <v>45452</v>
      </c>
      <c r="L247" s="54">
        <f t="shared" si="3"/>
        <v>9</v>
      </c>
      <c r="M247" s="55" t="str" cm="1">
        <f t="array" ref="M247">INDEX(Processing!$W$6:$W$17,MONTH('ALL ORDERS'!K247))</f>
        <v>June</v>
      </c>
      <c r="N247" s="54">
        <f t="shared" si="111"/>
        <v>2024</v>
      </c>
      <c r="O247" s="58">
        <v>0.75</v>
      </c>
      <c r="P247" s="59" t="s">
        <v>190</v>
      </c>
      <c r="Q247" s="60" t="s">
        <v>94</v>
      </c>
      <c r="R247" s="56" t="s">
        <v>276</v>
      </c>
      <c r="S247" s="61" t="s">
        <v>41</v>
      </c>
      <c r="T247" s="62" t="s">
        <v>600</v>
      </c>
      <c r="U247" s="63" t="s">
        <v>24</v>
      </c>
      <c r="V247" s="63" t="s">
        <v>147</v>
      </c>
      <c r="W247" s="64">
        <v>1349</v>
      </c>
      <c r="X247" s="64">
        <v>4</v>
      </c>
      <c r="Y247" s="47"/>
      <c r="Z247" s="47"/>
    </row>
    <row r="248" spans="1:26" x14ac:dyDescent="0.25">
      <c r="A248" s="53">
        <v>45453</v>
      </c>
      <c r="B248" s="54">
        <f t="shared" si="103"/>
        <v>10</v>
      </c>
      <c r="C248" s="55" t="str" cm="1">
        <f t="array" ref="C248">INDEX(Processing!$C$11:$C$22,MONTH('ALL ORDERS'!A248))</f>
        <v>JUN</v>
      </c>
      <c r="D248" s="54">
        <f t="shared" si="104"/>
        <v>2024</v>
      </c>
      <c r="E248" s="56" t="s">
        <v>48</v>
      </c>
      <c r="F248" s="56" t="s">
        <v>124</v>
      </c>
      <c r="G248" s="100">
        <v>0</v>
      </c>
      <c r="H248" s="100">
        <v>1620</v>
      </c>
      <c r="I248" s="57"/>
      <c r="J248" s="99">
        <f t="shared" si="105"/>
        <v>1620</v>
      </c>
      <c r="K248" s="53">
        <v>45453</v>
      </c>
      <c r="L248" s="54">
        <f t="shared" si="3"/>
        <v>10</v>
      </c>
      <c r="M248" s="55" t="str" cm="1">
        <f t="array" ref="M248">INDEX(Processing!$W$6:$W$17,MONTH('ALL ORDERS'!K248))</f>
        <v>June</v>
      </c>
      <c r="N248" s="54">
        <f t="shared" si="111"/>
        <v>2024</v>
      </c>
      <c r="O248" s="58">
        <v>0.41666666666666669</v>
      </c>
      <c r="P248" s="59" t="s">
        <v>222</v>
      </c>
      <c r="Q248" s="60" t="s">
        <v>94</v>
      </c>
      <c r="R248" s="56" t="s">
        <v>321</v>
      </c>
      <c r="S248" s="61" t="s">
        <v>46</v>
      </c>
      <c r="T248" s="70">
        <v>42900888990</v>
      </c>
      <c r="U248" s="63" t="s">
        <v>24</v>
      </c>
      <c r="V248" s="63" t="s">
        <v>147</v>
      </c>
      <c r="W248" s="64">
        <v>3127</v>
      </c>
      <c r="X248" s="64">
        <v>4</v>
      </c>
      <c r="Y248" s="47"/>
      <c r="Z248" s="47"/>
    </row>
    <row r="249" spans="1:26" x14ac:dyDescent="0.25">
      <c r="A249" s="53">
        <v>45454</v>
      </c>
      <c r="B249" s="54">
        <f t="shared" si="103"/>
        <v>11</v>
      </c>
      <c r="C249" s="55" t="str" cm="1">
        <f t="array" ref="C249">INDEX(Processing!$C$11:$C$22,MONTH('ALL ORDERS'!A249))</f>
        <v>JUN</v>
      </c>
      <c r="D249" s="54">
        <f t="shared" si="104"/>
        <v>2024</v>
      </c>
      <c r="E249" s="56" t="s">
        <v>49</v>
      </c>
      <c r="F249" s="56" t="s">
        <v>19</v>
      </c>
      <c r="G249" s="100">
        <v>0</v>
      </c>
      <c r="H249" s="100">
        <v>2450</v>
      </c>
      <c r="I249" s="57"/>
      <c r="J249" s="99">
        <f t="shared" si="105"/>
        <v>2450</v>
      </c>
      <c r="K249" s="53">
        <v>45454</v>
      </c>
      <c r="L249" s="54">
        <f t="shared" si="3"/>
        <v>11</v>
      </c>
      <c r="M249" s="55" t="str" cm="1">
        <f t="array" ref="M249">INDEX(Processing!$W$6:$W$17,MONTH('ALL ORDERS'!K249))</f>
        <v>June</v>
      </c>
      <c r="N249" s="54">
        <f t="shared" si="111"/>
        <v>2024</v>
      </c>
      <c r="O249" s="58">
        <v>0.5</v>
      </c>
      <c r="P249" s="59" t="s">
        <v>205</v>
      </c>
      <c r="Q249" s="60" t="s">
        <v>94</v>
      </c>
      <c r="R249" s="56" t="s">
        <v>292</v>
      </c>
      <c r="S249" s="61" t="s">
        <v>46</v>
      </c>
      <c r="T249" s="62" t="s">
        <v>601</v>
      </c>
      <c r="U249" s="63" t="s">
        <v>26</v>
      </c>
      <c r="V249" s="63" t="s">
        <v>147</v>
      </c>
      <c r="W249" s="64">
        <v>1531</v>
      </c>
      <c r="X249" s="64">
        <v>4</v>
      </c>
      <c r="Y249" s="47"/>
      <c r="Z249" s="47"/>
    </row>
    <row r="250" spans="1:26" x14ac:dyDescent="0.25">
      <c r="A250" s="53">
        <v>45455</v>
      </c>
      <c r="B250" s="54">
        <f t="shared" si="103"/>
        <v>12</v>
      </c>
      <c r="C250" s="55" t="str" cm="1">
        <f t="array" ref="C250">INDEX(Processing!$C$11:$C$22,MONTH('ALL ORDERS'!A250))</f>
        <v>JUN</v>
      </c>
      <c r="D250" s="54">
        <f t="shared" si="104"/>
        <v>2024</v>
      </c>
      <c r="E250" s="56" t="s">
        <v>47</v>
      </c>
      <c r="F250" s="56" t="s">
        <v>137</v>
      </c>
      <c r="G250" s="100">
        <v>0</v>
      </c>
      <c r="H250" s="100">
        <v>1500</v>
      </c>
      <c r="I250" s="57"/>
      <c r="J250" s="99">
        <f t="shared" si="105"/>
        <v>1500</v>
      </c>
      <c r="K250" s="53">
        <v>45455</v>
      </c>
      <c r="L250" s="54">
        <f t="shared" si="3"/>
        <v>12</v>
      </c>
      <c r="M250" s="55" t="str" cm="1">
        <f t="array" ref="M250">INDEX(Processing!$W$6:$W$17,MONTH('ALL ORDERS'!K250))</f>
        <v>June</v>
      </c>
      <c r="N250" s="54">
        <f t="shared" si="111"/>
        <v>2024</v>
      </c>
      <c r="O250" s="58">
        <v>0.66666666666666663</v>
      </c>
      <c r="P250" s="59" t="s">
        <v>224</v>
      </c>
      <c r="Q250" s="60" t="s">
        <v>90</v>
      </c>
      <c r="R250" s="56" t="s">
        <v>324</v>
      </c>
      <c r="S250" s="61" t="s">
        <v>41</v>
      </c>
      <c r="T250" s="62" t="s">
        <v>602</v>
      </c>
      <c r="U250" s="63" t="s">
        <v>25</v>
      </c>
      <c r="V250" s="63" t="s">
        <v>147</v>
      </c>
      <c r="W250" s="64">
        <v>2355</v>
      </c>
      <c r="X250" s="64">
        <v>4</v>
      </c>
      <c r="Y250" s="47"/>
      <c r="Z250" s="47"/>
    </row>
    <row r="251" spans="1:26" x14ac:dyDescent="0.25">
      <c r="A251" s="53">
        <v>45456</v>
      </c>
      <c r="B251" s="54">
        <f t="shared" si="103"/>
        <v>13</v>
      </c>
      <c r="C251" s="55" t="str" cm="1">
        <f t="array" ref="C251">INDEX(Processing!$C$11:$C$22,MONTH('ALL ORDERS'!A251))</f>
        <v>JUN</v>
      </c>
      <c r="D251" s="54">
        <f t="shared" si="104"/>
        <v>2024</v>
      </c>
      <c r="E251" s="56" t="s">
        <v>50</v>
      </c>
      <c r="F251" s="56" t="s">
        <v>137</v>
      </c>
      <c r="G251" s="100">
        <v>0</v>
      </c>
      <c r="H251" s="100">
        <v>1220</v>
      </c>
      <c r="I251" s="57">
        <v>0.15</v>
      </c>
      <c r="J251" s="99">
        <f t="shared" si="105"/>
        <v>1220</v>
      </c>
      <c r="K251" s="53">
        <v>45456</v>
      </c>
      <c r="L251" s="54">
        <f t="shared" si="3"/>
        <v>13</v>
      </c>
      <c r="M251" s="55" t="str" cm="1">
        <f t="array" ref="M251">INDEX(Processing!$W$6:$W$17,MONTH('ALL ORDERS'!K251))</f>
        <v>June</v>
      </c>
      <c r="N251" s="54">
        <f t="shared" si="111"/>
        <v>2024</v>
      </c>
      <c r="O251" s="58">
        <v>0.75</v>
      </c>
      <c r="P251" s="59" t="s">
        <v>339</v>
      </c>
      <c r="Q251" s="60" t="s">
        <v>94</v>
      </c>
      <c r="R251" s="56" t="s">
        <v>263</v>
      </c>
      <c r="S251" s="61" t="s">
        <v>43</v>
      </c>
      <c r="T251" s="62" t="s">
        <v>603</v>
      </c>
      <c r="U251" s="63" t="s">
        <v>23</v>
      </c>
      <c r="V251" s="63" t="s">
        <v>147</v>
      </c>
      <c r="W251" s="64">
        <v>2350</v>
      </c>
      <c r="X251" s="64">
        <v>4</v>
      </c>
      <c r="Y251" s="47"/>
      <c r="Z251" s="47"/>
    </row>
    <row r="252" spans="1:26" x14ac:dyDescent="0.25">
      <c r="A252" s="53">
        <v>45457</v>
      </c>
      <c r="B252" s="54">
        <f t="shared" si="103"/>
        <v>14</v>
      </c>
      <c r="C252" s="55" t="str" cm="1">
        <f t="array" ref="C252">INDEX(Processing!$C$11:$C$22,MONTH('ALL ORDERS'!A252))</f>
        <v>JUN</v>
      </c>
      <c r="D252" s="54">
        <f t="shared" si="104"/>
        <v>2024</v>
      </c>
      <c r="E252" s="56" t="s">
        <v>51</v>
      </c>
      <c r="F252" s="56" t="s">
        <v>19</v>
      </c>
      <c r="G252" s="100">
        <v>0</v>
      </c>
      <c r="H252" s="100">
        <v>1120</v>
      </c>
      <c r="I252" s="57"/>
      <c r="J252" s="99">
        <f t="shared" si="105"/>
        <v>1120</v>
      </c>
      <c r="K252" s="53">
        <v>45457</v>
      </c>
      <c r="L252" s="54">
        <f t="shared" si="3"/>
        <v>14</v>
      </c>
      <c r="M252" s="55" t="str" cm="1">
        <f t="array" ref="M252">INDEX(Processing!$W$6:$W$17,MONTH('ALL ORDERS'!K252))</f>
        <v>June</v>
      </c>
      <c r="N252" s="54">
        <f t="shared" si="111"/>
        <v>2024</v>
      </c>
      <c r="O252" s="58">
        <v>0.375</v>
      </c>
      <c r="P252" s="59" t="s">
        <v>219</v>
      </c>
      <c r="Q252" s="60" t="s">
        <v>94</v>
      </c>
      <c r="R252" s="56" t="s">
        <v>318</v>
      </c>
      <c r="S252" s="61" t="s">
        <v>45</v>
      </c>
      <c r="T252" s="62" t="s">
        <v>604</v>
      </c>
      <c r="U252" s="63" t="s">
        <v>27</v>
      </c>
      <c r="V252" s="63" t="s">
        <v>147</v>
      </c>
      <c r="W252" s="64">
        <v>2604</v>
      </c>
      <c r="X252" s="64">
        <v>4</v>
      </c>
      <c r="Y252" s="47"/>
      <c r="Z252" s="47"/>
    </row>
    <row r="253" spans="1:26" x14ac:dyDescent="0.25">
      <c r="A253" s="53">
        <v>45458</v>
      </c>
      <c r="B253" s="54">
        <f t="shared" si="103"/>
        <v>15</v>
      </c>
      <c r="C253" s="55" t="str" cm="1">
        <f t="array" ref="C253">INDEX(Processing!$C$11:$C$22,MONTH('ALL ORDERS'!A253))</f>
        <v>JUN</v>
      </c>
      <c r="D253" s="54">
        <f t="shared" si="104"/>
        <v>2024</v>
      </c>
      <c r="E253" s="56" t="s">
        <v>48</v>
      </c>
      <c r="F253" s="56" t="s">
        <v>152</v>
      </c>
      <c r="G253" s="100">
        <v>0</v>
      </c>
      <c r="H253" s="100">
        <v>2890</v>
      </c>
      <c r="I253" s="57"/>
      <c r="J253" s="99">
        <f t="shared" si="105"/>
        <v>2890</v>
      </c>
      <c r="K253" s="53">
        <v>45458</v>
      </c>
      <c r="L253" s="54">
        <f t="shared" si="3"/>
        <v>15</v>
      </c>
      <c r="M253" s="55" t="str" cm="1">
        <f t="array" ref="M253">INDEX(Processing!$W$6:$W$17,MONTH('ALL ORDERS'!K253))</f>
        <v>June</v>
      </c>
      <c r="N253" s="54">
        <f t="shared" si="111"/>
        <v>2024</v>
      </c>
      <c r="O253" s="58">
        <v>0.45833333333333331</v>
      </c>
      <c r="P253" s="59" t="s">
        <v>158</v>
      </c>
      <c r="Q253" s="60" t="s">
        <v>94</v>
      </c>
      <c r="R253" s="56" t="s">
        <v>240</v>
      </c>
      <c r="S253" s="61" t="s">
        <v>43</v>
      </c>
      <c r="T253" s="62" t="s">
        <v>605</v>
      </c>
      <c r="U253" s="63" t="s">
        <v>24</v>
      </c>
      <c r="V253" s="63" t="s">
        <v>147</v>
      </c>
      <c r="W253" s="64">
        <v>2807</v>
      </c>
      <c r="X253" s="64">
        <v>4</v>
      </c>
      <c r="Y253" s="47"/>
      <c r="Z253" s="47"/>
    </row>
    <row r="254" spans="1:26" x14ac:dyDescent="0.25">
      <c r="A254" s="53">
        <v>45458</v>
      </c>
      <c r="B254" s="54">
        <f t="shared" si="103"/>
        <v>15</v>
      </c>
      <c r="C254" s="55" t="str" cm="1">
        <f t="array" ref="C254">INDEX(Processing!$C$11:$C$22,MONTH('ALL ORDERS'!A254))</f>
        <v>JUN</v>
      </c>
      <c r="D254" s="54">
        <f t="shared" si="104"/>
        <v>2024</v>
      </c>
      <c r="E254" s="56" t="s">
        <v>49</v>
      </c>
      <c r="F254" s="56" t="s">
        <v>135</v>
      </c>
      <c r="G254" s="100">
        <v>1240</v>
      </c>
      <c r="H254" s="100">
        <v>0</v>
      </c>
      <c r="I254" s="57"/>
      <c r="J254" s="99">
        <f t="shared" si="105"/>
        <v>1240</v>
      </c>
      <c r="K254" s="53">
        <v>45458</v>
      </c>
      <c r="L254" s="54">
        <f t="shared" si="3"/>
        <v>15</v>
      </c>
      <c r="M254" s="55" t="str" cm="1">
        <f t="array" ref="M254">INDEX(Processing!$W$6:$W$17,MONTH('ALL ORDERS'!K254))</f>
        <v>June</v>
      </c>
      <c r="N254" s="54">
        <f t="shared" si="111"/>
        <v>2024</v>
      </c>
      <c r="O254" s="58">
        <v>0.625</v>
      </c>
      <c r="P254" s="59" t="s">
        <v>186</v>
      </c>
      <c r="Q254" s="60" t="s">
        <v>91</v>
      </c>
      <c r="R254" s="56" t="s">
        <v>271</v>
      </c>
      <c r="S254" s="61" t="s">
        <v>44</v>
      </c>
      <c r="T254" s="62" t="s">
        <v>606</v>
      </c>
      <c r="U254" s="63" t="s">
        <v>26</v>
      </c>
      <c r="V254" s="63" t="s">
        <v>147</v>
      </c>
      <c r="W254" s="64">
        <v>1051</v>
      </c>
      <c r="X254" s="64">
        <v>3</v>
      </c>
      <c r="Y254" s="47"/>
      <c r="Z254" s="47"/>
    </row>
    <row r="255" spans="1:26" x14ac:dyDescent="0.25">
      <c r="A255" s="53">
        <v>45458</v>
      </c>
      <c r="B255" s="54">
        <f t="shared" si="103"/>
        <v>15</v>
      </c>
      <c r="C255" s="55" t="str" cm="1">
        <f t="array" ref="C255">INDEX(Processing!$C$11:$C$22,MONTH('ALL ORDERS'!A255))</f>
        <v>JUN</v>
      </c>
      <c r="D255" s="54">
        <f t="shared" si="104"/>
        <v>2024</v>
      </c>
      <c r="E255" s="56" t="s">
        <v>47</v>
      </c>
      <c r="F255" s="56" t="s">
        <v>126</v>
      </c>
      <c r="G255" s="100">
        <v>2180</v>
      </c>
      <c r="H255" s="100">
        <v>0</v>
      </c>
      <c r="I255" s="57"/>
      <c r="J255" s="99">
        <f t="shared" si="105"/>
        <v>2180</v>
      </c>
      <c r="K255" s="53">
        <v>45458</v>
      </c>
      <c r="L255" s="54">
        <f t="shared" si="3"/>
        <v>15</v>
      </c>
      <c r="M255" s="55" t="str" cm="1">
        <f t="array" ref="M255">INDEX(Processing!$W$6:$W$17,MONTH('ALL ORDERS'!K255))</f>
        <v>June</v>
      </c>
      <c r="N255" s="54">
        <f t="shared" si="111"/>
        <v>2024</v>
      </c>
      <c r="O255" s="58">
        <v>0.45833333333333331</v>
      </c>
      <c r="P255" s="59" t="s">
        <v>216</v>
      </c>
      <c r="Q255" s="60" t="s">
        <v>94</v>
      </c>
      <c r="R255" s="56" t="s">
        <v>305</v>
      </c>
      <c r="S255" s="61" t="s">
        <v>41</v>
      </c>
      <c r="T255" s="62" t="s">
        <v>607</v>
      </c>
      <c r="U255" s="63" t="s">
        <v>26</v>
      </c>
      <c r="V255" s="63" t="s">
        <v>147</v>
      </c>
      <c r="W255" s="64">
        <v>2548</v>
      </c>
      <c r="X255" s="64">
        <v>4</v>
      </c>
      <c r="Y255" s="47"/>
      <c r="Z255" s="47"/>
    </row>
    <row r="256" spans="1:26" x14ac:dyDescent="0.25">
      <c r="A256" s="53">
        <v>45461</v>
      </c>
      <c r="B256" s="54">
        <f t="shared" si="103"/>
        <v>18</v>
      </c>
      <c r="C256" s="55" t="str" cm="1">
        <f t="array" ref="C256">INDEX(Processing!$C$11:$C$22,MONTH('ALL ORDERS'!A256))</f>
        <v>JUN</v>
      </c>
      <c r="D256" s="54">
        <f t="shared" si="104"/>
        <v>2024</v>
      </c>
      <c r="E256" s="56" t="s">
        <v>47</v>
      </c>
      <c r="F256" s="56" t="s">
        <v>127</v>
      </c>
      <c r="G256" s="100">
        <v>3010</v>
      </c>
      <c r="H256" s="100">
        <v>0</v>
      </c>
      <c r="I256" s="57"/>
      <c r="J256" s="99">
        <f t="shared" si="105"/>
        <v>3010</v>
      </c>
      <c r="K256" s="53">
        <v>45461</v>
      </c>
      <c r="L256" s="54">
        <f t="shared" si="3"/>
        <v>18</v>
      </c>
      <c r="M256" s="55" t="str" cm="1">
        <f t="array" ref="M256">INDEX(Processing!$W$6:$W$17,MONTH('ALL ORDERS'!K256))</f>
        <v>June</v>
      </c>
      <c r="N256" s="54">
        <f t="shared" si="111"/>
        <v>2024</v>
      </c>
      <c r="O256" s="58">
        <v>0.375</v>
      </c>
      <c r="P256" s="59" t="s">
        <v>344</v>
      </c>
      <c r="Q256" s="60" t="s">
        <v>90</v>
      </c>
      <c r="R256" s="56" t="s">
        <v>306</v>
      </c>
      <c r="S256" s="61" t="s">
        <v>43</v>
      </c>
      <c r="T256" s="62" t="s">
        <v>608</v>
      </c>
      <c r="U256" s="63" t="s">
        <v>24</v>
      </c>
      <c r="V256" s="63" t="s">
        <v>147</v>
      </c>
      <c r="W256" s="64">
        <v>608</v>
      </c>
      <c r="X256" s="64">
        <v>4</v>
      </c>
      <c r="Y256" s="47"/>
      <c r="Z256" s="47"/>
    </row>
    <row r="257" spans="1:26" x14ac:dyDescent="0.25">
      <c r="A257" s="53">
        <v>45462</v>
      </c>
      <c r="B257" s="54">
        <f t="shared" si="103"/>
        <v>19</v>
      </c>
      <c r="C257" s="55" t="str" cm="1">
        <f t="array" ref="C257">INDEX(Processing!$C$11:$C$22,MONTH('ALL ORDERS'!A257))</f>
        <v>JUN</v>
      </c>
      <c r="D257" s="54">
        <f t="shared" si="104"/>
        <v>2024</v>
      </c>
      <c r="E257" s="56" t="s">
        <v>50</v>
      </c>
      <c r="F257" s="56" t="s">
        <v>19</v>
      </c>
      <c r="G257" s="100">
        <v>3060</v>
      </c>
      <c r="H257" s="100">
        <v>0</v>
      </c>
      <c r="I257" s="57"/>
      <c r="J257" s="99">
        <f t="shared" si="105"/>
        <v>3060</v>
      </c>
      <c r="K257" s="53">
        <v>45462</v>
      </c>
      <c r="L257" s="54">
        <f t="shared" si="3"/>
        <v>19</v>
      </c>
      <c r="M257" s="55" t="str" cm="1">
        <f t="array" ref="M257">INDEX(Processing!$W$6:$W$17,MONTH('ALL ORDERS'!K257))</f>
        <v>June</v>
      </c>
      <c r="N257" s="54">
        <f t="shared" si="111"/>
        <v>2024</v>
      </c>
      <c r="O257" s="58">
        <v>0.45833333333333331</v>
      </c>
      <c r="P257" s="59" t="s">
        <v>187</v>
      </c>
      <c r="Q257" s="60" t="s">
        <v>94</v>
      </c>
      <c r="R257" s="56" t="s">
        <v>272</v>
      </c>
      <c r="S257" s="61" t="s">
        <v>45</v>
      </c>
      <c r="T257" s="62" t="s">
        <v>609</v>
      </c>
      <c r="U257" s="63" t="s">
        <v>24</v>
      </c>
      <c r="V257" s="63" t="s">
        <v>147</v>
      </c>
      <c r="W257" s="64">
        <v>2381</v>
      </c>
      <c r="X257" s="64">
        <v>5</v>
      </c>
      <c r="Y257" s="47"/>
      <c r="Z257" s="47"/>
    </row>
    <row r="258" spans="1:26" x14ac:dyDescent="0.25">
      <c r="A258" s="53">
        <v>45463</v>
      </c>
      <c r="B258" s="54">
        <f t="shared" si="103"/>
        <v>20</v>
      </c>
      <c r="C258" s="55" t="str" cm="1">
        <f t="array" ref="C258">INDEX(Processing!$C$11:$C$22,MONTH('ALL ORDERS'!A258))</f>
        <v>JUN</v>
      </c>
      <c r="D258" s="54">
        <f t="shared" si="104"/>
        <v>2024</v>
      </c>
      <c r="E258" s="56" t="s">
        <v>47</v>
      </c>
      <c r="F258" s="56" t="s">
        <v>124</v>
      </c>
      <c r="G258" s="100">
        <v>3610</v>
      </c>
      <c r="H258" s="100">
        <v>0</v>
      </c>
      <c r="I258" s="57"/>
      <c r="J258" s="99">
        <f t="shared" si="105"/>
        <v>3610</v>
      </c>
      <c r="K258" s="53">
        <v>45463</v>
      </c>
      <c r="L258" s="54">
        <f t="shared" si="3"/>
        <v>20</v>
      </c>
      <c r="M258" s="55" t="str" cm="1">
        <f t="array" ref="M258">INDEX(Processing!$W$6:$W$17,MONTH('ALL ORDERS'!K258))</f>
        <v>June</v>
      </c>
      <c r="N258" s="54">
        <f t="shared" si="111"/>
        <v>2024</v>
      </c>
      <c r="O258" s="58">
        <v>0.625</v>
      </c>
      <c r="P258" s="59" t="s">
        <v>179</v>
      </c>
      <c r="Q258" s="60" t="s">
        <v>94</v>
      </c>
      <c r="R258" s="56" t="s">
        <v>264</v>
      </c>
      <c r="S258" s="61" t="s">
        <v>46</v>
      </c>
      <c r="T258" s="62" t="s">
        <v>610</v>
      </c>
      <c r="U258" s="63" t="s">
        <v>24</v>
      </c>
      <c r="V258" s="63" t="s">
        <v>147</v>
      </c>
      <c r="W258" s="64">
        <v>2619</v>
      </c>
      <c r="X258" s="64">
        <v>3</v>
      </c>
      <c r="Y258" s="47"/>
      <c r="Z258" s="47"/>
    </row>
    <row r="259" spans="1:26" x14ac:dyDescent="0.25">
      <c r="A259" s="53">
        <v>45464</v>
      </c>
      <c r="B259" s="54">
        <f t="shared" si="103"/>
        <v>21</v>
      </c>
      <c r="C259" s="55" t="str" cm="1">
        <f t="array" ref="C259">INDEX(Processing!$C$11:$C$22,MONTH('ALL ORDERS'!A259))</f>
        <v>JUN</v>
      </c>
      <c r="D259" s="54">
        <f t="shared" si="104"/>
        <v>2024</v>
      </c>
      <c r="E259" s="56" t="s">
        <v>48</v>
      </c>
      <c r="F259" s="56" t="s">
        <v>135</v>
      </c>
      <c r="G259" s="100">
        <v>1620</v>
      </c>
      <c r="H259" s="100">
        <v>0</v>
      </c>
      <c r="I259" s="57">
        <v>0.15</v>
      </c>
      <c r="J259" s="99">
        <f t="shared" si="105"/>
        <v>1620</v>
      </c>
      <c r="K259" s="53">
        <v>45464</v>
      </c>
      <c r="L259" s="54">
        <f t="shared" si="3"/>
        <v>21</v>
      </c>
      <c r="M259" s="55" t="str" cm="1">
        <f t="array" ref="M259">INDEX(Processing!$W$6:$W$17,MONTH('ALL ORDERS'!K259))</f>
        <v>June</v>
      </c>
      <c r="N259" s="54">
        <f t="shared" si="111"/>
        <v>2024</v>
      </c>
      <c r="O259" s="58">
        <v>0.45833333333333331</v>
      </c>
      <c r="P259" s="59" t="s">
        <v>178</v>
      </c>
      <c r="Q259" s="60" t="s">
        <v>90</v>
      </c>
      <c r="R259" s="56" t="s">
        <v>262</v>
      </c>
      <c r="S259" s="61" t="s">
        <v>41</v>
      </c>
      <c r="T259" s="62" t="s">
        <v>611</v>
      </c>
      <c r="U259" s="63" t="s">
        <v>26</v>
      </c>
      <c r="V259" s="63" t="s">
        <v>147</v>
      </c>
      <c r="W259" s="64">
        <v>2640</v>
      </c>
      <c r="X259" s="64">
        <v>2</v>
      </c>
      <c r="Y259" s="47"/>
      <c r="Z259" s="47"/>
    </row>
    <row r="260" spans="1:26" x14ac:dyDescent="0.25">
      <c r="A260" s="53">
        <v>45465</v>
      </c>
      <c r="B260" s="54">
        <f t="shared" si="103"/>
        <v>22</v>
      </c>
      <c r="C260" s="55" t="str" cm="1">
        <f t="array" ref="C260">INDEX(Processing!$C$11:$C$22,MONTH('ALL ORDERS'!A260))</f>
        <v>JUN</v>
      </c>
      <c r="D260" s="54">
        <f t="shared" si="104"/>
        <v>2024</v>
      </c>
      <c r="E260" s="56" t="s">
        <v>49</v>
      </c>
      <c r="F260" s="56" t="s">
        <v>126</v>
      </c>
      <c r="G260" s="100">
        <v>3180</v>
      </c>
      <c r="H260" s="100">
        <v>0</v>
      </c>
      <c r="I260" s="57">
        <v>0.15</v>
      </c>
      <c r="J260" s="99">
        <f t="shared" si="105"/>
        <v>3180</v>
      </c>
      <c r="K260" s="53">
        <v>45465</v>
      </c>
      <c r="L260" s="54">
        <f t="shared" si="3"/>
        <v>22</v>
      </c>
      <c r="M260" s="55" t="str" cm="1">
        <f t="array" ref="M260">INDEX(Processing!$W$6:$W$17,MONTH('ALL ORDERS'!K260))</f>
        <v>June</v>
      </c>
      <c r="N260" s="54">
        <f t="shared" si="111"/>
        <v>2024</v>
      </c>
      <c r="O260" s="58">
        <v>0.375</v>
      </c>
      <c r="P260" s="59" t="s">
        <v>347</v>
      </c>
      <c r="Q260" s="60" t="s">
        <v>94</v>
      </c>
      <c r="R260" s="56" t="s">
        <v>309</v>
      </c>
      <c r="S260" s="61" t="s">
        <v>46</v>
      </c>
      <c r="T260" s="70">
        <v>41900888990</v>
      </c>
      <c r="U260" s="63" t="s">
        <v>26</v>
      </c>
      <c r="V260" s="63" t="s">
        <v>147</v>
      </c>
      <c r="W260" s="64">
        <v>2383</v>
      </c>
      <c r="X260" s="64">
        <v>4</v>
      </c>
      <c r="Y260" s="47"/>
      <c r="Z260" s="47"/>
    </row>
    <row r="261" spans="1:26" x14ac:dyDescent="0.25">
      <c r="A261" s="53">
        <v>45466</v>
      </c>
      <c r="B261" s="54">
        <f t="shared" si="103"/>
        <v>23</v>
      </c>
      <c r="C261" s="55" t="str" cm="1">
        <f t="array" ref="C261">INDEX(Processing!$C$11:$C$22,MONTH('ALL ORDERS'!A261))</f>
        <v>JUN</v>
      </c>
      <c r="D261" s="54">
        <f t="shared" si="104"/>
        <v>2024</v>
      </c>
      <c r="E261" s="56" t="s">
        <v>47</v>
      </c>
      <c r="F261" s="56" t="s">
        <v>20</v>
      </c>
      <c r="G261" s="100">
        <v>0</v>
      </c>
      <c r="H261" s="100">
        <v>1250</v>
      </c>
      <c r="I261" s="57">
        <v>0.15</v>
      </c>
      <c r="J261" s="99">
        <f t="shared" si="105"/>
        <v>1250</v>
      </c>
      <c r="K261" s="53">
        <v>45466</v>
      </c>
      <c r="L261" s="54">
        <f t="shared" si="3"/>
        <v>23</v>
      </c>
      <c r="M261" s="55" t="str" cm="1">
        <f t="array" ref="M261">INDEX(Processing!$W$6:$W$17,MONTH('ALL ORDERS'!K261))</f>
        <v>June</v>
      </c>
      <c r="N261" s="54">
        <f t="shared" si="111"/>
        <v>2024</v>
      </c>
      <c r="O261" s="58">
        <v>0.45833333333333331</v>
      </c>
      <c r="P261" s="59" t="s">
        <v>201</v>
      </c>
      <c r="Q261" s="60" t="s">
        <v>94</v>
      </c>
      <c r="R261" s="56" t="s">
        <v>288</v>
      </c>
      <c r="S261" s="61" t="s">
        <v>41</v>
      </c>
      <c r="T261" s="62" t="s">
        <v>612</v>
      </c>
      <c r="U261" s="63" t="s">
        <v>24</v>
      </c>
      <c r="V261" s="63" t="s">
        <v>147</v>
      </c>
      <c r="W261" s="64">
        <v>1288</v>
      </c>
      <c r="X261" s="64">
        <v>5</v>
      </c>
      <c r="Y261" s="47"/>
      <c r="Z261" s="47"/>
    </row>
    <row r="262" spans="1:26" x14ac:dyDescent="0.25">
      <c r="A262" s="53">
        <v>45467</v>
      </c>
      <c r="B262" s="54">
        <f t="shared" si="103"/>
        <v>24</v>
      </c>
      <c r="C262" s="55" t="str" cm="1">
        <f t="array" ref="C262">INDEX(Processing!$C$11:$C$22,MONTH('ALL ORDERS'!A262))</f>
        <v>JUN</v>
      </c>
      <c r="D262" s="54">
        <f t="shared" si="104"/>
        <v>2024</v>
      </c>
      <c r="E262" s="56" t="s">
        <v>50</v>
      </c>
      <c r="F262" s="56" t="s">
        <v>123</v>
      </c>
      <c r="G262" s="100">
        <v>0</v>
      </c>
      <c r="H262" s="100">
        <v>1150</v>
      </c>
      <c r="I262" s="57">
        <v>0.15</v>
      </c>
      <c r="J262" s="99">
        <f t="shared" si="105"/>
        <v>1150</v>
      </c>
      <c r="K262" s="53">
        <v>45467</v>
      </c>
      <c r="L262" s="54">
        <f t="shared" ref="L262" si="112">DAY(K262)</f>
        <v>24</v>
      </c>
      <c r="M262" s="55" t="str" cm="1">
        <f t="array" ref="M262">INDEX(Processing!$W$6:$W$17,MONTH('ALL ORDERS'!K262))</f>
        <v>June</v>
      </c>
      <c r="N262" s="54">
        <f t="shared" si="111"/>
        <v>2024</v>
      </c>
      <c r="O262" s="58">
        <v>0.625</v>
      </c>
      <c r="P262" s="59" t="s">
        <v>233</v>
      </c>
      <c r="Q262" s="60" t="s">
        <v>94</v>
      </c>
      <c r="R262" s="56" t="s">
        <v>334</v>
      </c>
      <c r="S262" s="61" t="s">
        <v>45</v>
      </c>
      <c r="T262" s="62" t="s">
        <v>613</v>
      </c>
      <c r="U262" s="63" t="s">
        <v>26</v>
      </c>
      <c r="V262" s="63" t="s">
        <v>147</v>
      </c>
      <c r="W262" s="64">
        <v>2011</v>
      </c>
      <c r="X262" s="64">
        <v>5</v>
      </c>
      <c r="Y262" s="47"/>
      <c r="Z262" s="47"/>
    </row>
    <row r="263" spans="1:26" x14ac:dyDescent="0.25">
      <c r="A263" s="53">
        <v>45468</v>
      </c>
      <c r="B263" s="54">
        <f t="shared" si="103"/>
        <v>25</v>
      </c>
      <c r="C263" s="55" t="str" cm="1">
        <f t="array" ref="C263">INDEX(Processing!$C$11:$C$22,MONTH('ALL ORDERS'!A263))</f>
        <v>JUN</v>
      </c>
      <c r="D263" s="54">
        <f t="shared" si="104"/>
        <v>2024</v>
      </c>
      <c r="E263" s="56" t="s">
        <v>51</v>
      </c>
      <c r="F263" s="56" t="s">
        <v>124</v>
      </c>
      <c r="G263" s="100">
        <v>20000</v>
      </c>
      <c r="H263" s="100">
        <v>1550</v>
      </c>
      <c r="I263" s="57"/>
      <c r="J263" s="99">
        <f t="shared" si="105"/>
        <v>21550</v>
      </c>
      <c r="K263" s="53">
        <v>45468</v>
      </c>
      <c r="L263" s="54">
        <f t="shared" si="3"/>
        <v>25</v>
      </c>
      <c r="M263" s="55" t="str" cm="1">
        <f t="array" ref="M263">INDEX(Processing!$W$6:$W$17,MONTH('ALL ORDERS'!K263))</f>
        <v>June</v>
      </c>
      <c r="N263" s="54">
        <f t="shared" si="111"/>
        <v>2024</v>
      </c>
      <c r="O263" s="58">
        <v>0.45833333333333331</v>
      </c>
      <c r="P263" s="59" t="s">
        <v>183</v>
      </c>
      <c r="Q263" s="60" t="s">
        <v>91</v>
      </c>
      <c r="R263" s="56" t="s">
        <v>268</v>
      </c>
      <c r="S263" s="61" t="s">
        <v>41</v>
      </c>
      <c r="T263" s="62" t="s">
        <v>614</v>
      </c>
      <c r="U263" s="63" t="s">
        <v>27</v>
      </c>
      <c r="V263" s="63" t="s">
        <v>147</v>
      </c>
      <c r="W263" s="64">
        <v>2150</v>
      </c>
      <c r="X263" s="64">
        <v>5</v>
      </c>
      <c r="Y263" s="47"/>
      <c r="Z263" s="47"/>
    </row>
    <row r="264" spans="1:26" x14ac:dyDescent="0.25">
      <c r="A264" s="53">
        <v>45469</v>
      </c>
      <c r="B264" s="54">
        <f t="shared" si="103"/>
        <v>26</v>
      </c>
      <c r="C264" s="55" t="str" cm="1">
        <f t="array" ref="C264">INDEX(Processing!$C$11:$C$22,MONTH('ALL ORDERS'!A264))</f>
        <v>JUN</v>
      </c>
      <c r="D264" s="54">
        <f t="shared" si="104"/>
        <v>2024</v>
      </c>
      <c r="E264" s="56" t="s">
        <v>48</v>
      </c>
      <c r="F264" s="56" t="s">
        <v>128</v>
      </c>
      <c r="G264" s="100">
        <v>0</v>
      </c>
      <c r="H264" s="100">
        <v>2610</v>
      </c>
      <c r="I264" s="57"/>
      <c r="J264" s="99">
        <f t="shared" si="105"/>
        <v>2610</v>
      </c>
      <c r="K264" s="53">
        <v>45469</v>
      </c>
      <c r="L264" s="54">
        <f t="shared" si="3"/>
        <v>26</v>
      </c>
      <c r="M264" s="55" t="str" cm="1">
        <f t="array" ref="M264">INDEX(Processing!$W$6:$W$17,MONTH('ALL ORDERS'!K264))</f>
        <v>June</v>
      </c>
      <c r="N264" s="54">
        <f t="shared" si="111"/>
        <v>2024</v>
      </c>
      <c r="O264" s="58">
        <v>0.375</v>
      </c>
      <c r="P264" s="59" t="s">
        <v>229</v>
      </c>
      <c r="Q264" s="60" t="s">
        <v>94</v>
      </c>
      <c r="R264" s="56" t="s">
        <v>329</v>
      </c>
      <c r="S264" s="61" t="s">
        <v>46</v>
      </c>
      <c r="T264" s="62" t="s">
        <v>615</v>
      </c>
      <c r="U264" s="63" t="s">
        <v>23</v>
      </c>
      <c r="V264" s="63" t="s">
        <v>147</v>
      </c>
      <c r="W264" s="64">
        <v>1101</v>
      </c>
      <c r="X264" s="64">
        <v>5</v>
      </c>
      <c r="Y264" s="47"/>
      <c r="Z264" s="47"/>
    </row>
    <row r="265" spans="1:26" x14ac:dyDescent="0.25">
      <c r="A265" s="53">
        <v>45464</v>
      </c>
      <c r="B265" s="54">
        <f t="shared" si="103"/>
        <v>21</v>
      </c>
      <c r="C265" s="55" t="str" cm="1">
        <f t="array" ref="C265">INDEX(Processing!$C$11:$C$22,MONTH('ALL ORDERS'!A265))</f>
        <v>JUN</v>
      </c>
      <c r="D265" s="54">
        <f t="shared" si="104"/>
        <v>2024</v>
      </c>
      <c r="E265" s="56" t="s">
        <v>47</v>
      </c>
      <c r="F265" s="56" t="s">
        <v>19</v>
      </c>
      <c r="G265" s="100">
        <v>0</v>
      </c>
      <c r="H265" s="100">
        <v>2040</v>
      </c>
      <c r="I265" s="57"/>
      <c r="J265" s="99">
        <f t="shared" si="105"/>
        <v>2040</v>
      </c>
      <c r="K265" s="53">
        <v>45464</v>
      </c>
      <c r="L265" s="54">
        <f t="shared" si="3"/>
        <v>21</v>
      </c>
      <c r="M265" s="55" t="str" cm="1">
        <f t="array" ref="M265">INDEX(Processing!$W$6:$W$17,MONTH('ALL ORDERS'!K265))</f>
        <v>June</v>
      </c>
      <c r="N265" s="54">
        <f t="shared" si="111"/>
        <v>2024</v>
      </c>
      <c r="O265" s="58">
        <v>0.45833333333333331</v>
      </c>
      <c r="P265" s="59" t="s">
        <v>200</v>
      </c>
      <c r="Q265" s="60" t="s">
        <v>94</v>
      </c>
      <c r="R265" s="56" t="s">
        <v>287</v>
      </c>
      <c r="S265" s="61" t="s">
        <v>44</v>
      </c>
      <c r="T265" s="62" t="s">
        <v>616</v>
      </c>
      <c r="U265" s="63" t="s">
        <v>25</v>
      </c>
      <c r="V265" s="63" t="s">
        <v>147</v>
      </c>
      <c r="W265" s="64">
        <v>602</v>
      </c>
      <c r="X265" s="64">
        <v>5</v>
      </c>
      <c r="Y265" s="47"/>
      <c r="Z265" s="47"/>
    </row>
    <row r="266" spans="1:26" x14ac:dyDescent="0.25">
      <c r="A266" s="53">
        <v>45471</v>
      </c>
      <c r="B266" s="54">
        <f t="shared" si="103"/>
        <v>28</v>
      </c>
      <c r="C266" s="55" t="str" cm="1">
        <f t="array" ref="C266">INDEX(Processing!$C$11:$C$22,MONTH('ALL ORDERS'!A266))</f>
        <v>JUN</v>
      </c>
      <c r="D266" s="54">
        <f t="shared" si="104"/>
        <v>2024</v>
      </c>
      <c r="E266" s="56" t="s">
        <v>50</v>
      </c>
      <c r="F266" s="56" t="s">
        <v>20</v>
      </c>
      <c r="G266" s="100">
        <v>0</v>
      </c>
      <c r="H266" s="100">
        <v>2120</v>
      </c>
      <c r="I266" s="57"/>
      <c r="J266" s="99">
        <f t="shared" si="105"/>
        <v>2120</v>
      </c>
      <c r="K266" s="53">
        <v>45471</v>
      </c>
      <c r="L266" s="54">
        <f t="shared" si="3"/>
        <v>28</v>
      </c>
      <c r="M266" s="55" t="str" cm="1">
        <f t="array" ref="M266">INDEX(Processing!$W$6:$W$17,MONTH('ALL ORDERS'!K266))</f>
        <v>June</v>
      </c>
      <c r="N266" s="54">
        <f t="shared" si="111"/>
        <v>2024</v>
      </c>
      <c r="O266" s="58">
        <v>0.625</v>
      </c>
      <c r="P266" s="59" t="s">
        <v>211</v>
      </c>
      <c r="Q266" s="60" t="s">
        <v>94</v>
      </c>
      <c r="R266" s="56" t="s">
        <v>299</v>
      </c>
      <c r="S266" s="61" t="s">
        <v>41</v>
      </c>
      <c r="T266" s="62" t="s">
        <v>617</v>
      </c>
      <c r="U266" s="63" t="s">
        <v>23</v>
      </c>
      <c r="V266" s="63" t="s">
        <v>147</v>
      </c>
      <c r="W266" s="64">
        <v>2210</v>
      </c>
      <c r="X266" s="64">
        <v>5</v>
      </c>
      <c r="Y266" s="47"/>
      <c r="Z266" s="47"/>
    </row>
    <row r="267" spans="1:26" x14ac:dyDescent="0.25">
      <c r="A267" s="53">
        <v>45472</v>
      </c>
      <c r="B267" s="54">
        <f t="shared" si="103"/>
        <v>29</v>
      </c>
      <c r="C267" s="55" t="str" cm="1">
        <f t="array" ref="C267">INDEX(Processing!$C$11:$C$22,MONTH('ALL ORDERS'!A267))</f>
        <v>JUN</v>
      </c>
      <c r="D267" s="54">
        <f t="shared" si="104"/>
        <v>2024</v>
      </c>
      <c r="E267" s="56" t="s">
        <v>47</v>
      </c>
      <c r="F267" s="56" t="s">
        <v>124</v>
      </c>
      <c r="G267" s="100">
        <v>0</v>
      </c>
      <c r="H267" s="100">
        <v>2060</v>
      </c>
      <c r="I267" s="57"/>
      <c r="J267" s="99">
        <f t="shared" si="105"/>
        <v>2060</v>
      </c>
      <c r="K267" s="53">
        <v>45472</v>
      </c>
      <c r="L267" s="54">
        <f t="shared" si="3"/>
        <v>29</v>
      </c>
      <c r="M267" s="55" t="str" cm="1">
        <f t="array" ref="M267">INDEX(Processing!$W$6:$W$17,MONTH('ALL ORDERS'!K267))</f>
        <v>June</v>
      </c>
      <c r="N267" s="54">
        <f t="shared" si="111"/>
        <v>2024</v>
      </c>
      <c r="O267" s="58">
        <v>0.45833333333333331</v>
      </c>
      <c r="P267" s="59" t="s">
        <v>350</v>
      </c>
      <c r="Q267" s="60" t="s">
        <v>91</v>
      </c>
      <c r="R267" s="56" t="s">
        <v>312</v>
      </c>
      <c r="S267" s="61" t="s">
        <v>43</v>
      </c>
      <c r="T267" s="62" t="s">
        <v>618</v>
      </c>
      <c r="U267" s="63" t="s">
        <v>26</v>
      </c>
      <c r="V267" s="63" t="s">
        <v>147</v>
      </c>
      <c r="W267" s="64">
        <v>2747</v>
      </c>
      <c r="X267" s="64">
        <v>4</v>
      </c>
      <c r="Y267" s="47"/>
      <c r="Z267" s="47"/>
    </row>
    <row r="268" spans="1:26" x14ac:dyDescent="0.25">
      <c r="A268" s="53">
        <v>45472</v>
      </c>
      <c r="B268" s="54">
        <f t="shared" si="103"/>
        <v>29</v>
      </c>
      <c r="C268" s="55" t="str" cm="1">
        <f t="array" ref="C268">INDEX(Processing!$C$11:$C$22,MONTH('ALL ORDERS'!A268))</f>
        <v>JUN</v>
      </c>
      <c r="D268" s="54">
        <f t="shared" si="104"/>
        <v>2024</v>
      </c>
      <c r="E268" s="56" t="s">
        <v>48</v>
      </c>
      <c r="F268" s="56" t="s">
        <v>22</v>
      </c>
      <c r="G268" s="100">
        <v>0</v>
      </c>
      <c r="H268" s="100">
        <v>3940</v>
      </c>
      <c r="I268" s="57"/>
      <c r="J268" s="99">
        <f t="shared" si="105"/>
        <v>3940</v>
      </c>
      <c r="K268" s="53">
        <v>45472</v>
      </c>
      <c r="L268" s="54">
        <f t="shared" si="3"/>
        <v>29</v>
      </c>
      <c r="M268" s="55" t="str" cm="1">
        <f t="array" ref="M268">INDEX(Processing!$W$6:$W$17,MONTH('ALL ORDERS'!K268))</f>
        <v>June</v>
      </c>
      <c r="N268" s="54">
        <f t="shared" si="111"/>
        <v>2024</v>
      </c>
      <c r="O268" s="58">
        <v>0.41666666666666669</v>
      </c>
      <c r="P268" s="59" t="s">
        <v>160</v>
      </c>
      <c r="Q268" s="60" t="s">
        <v>94</v>
      </c>
      <c r="R268" s="56" t="s">
        <v>242</v>
      </c>
      <c r="S268" s="61" t="s">
        <v>45</v>
      </c>
      <c r="T268" s="62" t="s">
        <v>619</v>
      </c>
      <c r="U268" s="63" t="s">
        <v>24</v>
      </c>
      <c r="V268" s="63" t="s">
        <v>147</v>
      </c>
      <c r="W268" s="64">
        <v>1228</v>
      </c>
      <c r="X268" s="64">
        <v>4</v>
      </c>
      <c r="Y268" s="47"/>
      <c r="Z268" s="47"/>
    </row>
    <row r="269" spans="1:26" x14ac:dyDescent="0.25">
      <c r="A269" s="53">
        <v>45473</v>
      </c>
      <c r="B269" s="54">
        <f t="shared" ref="B269" si="113">DAY(A269)</f>
        <v>30</v>
      </c>
      <c r="C269" s="55" t="str" cm="1">
        <f t="array" ref="C269">INDEX(Processing!$C$11:$C$22,MONTH('ALL ORDERS'!A269))</f>
        <v>JUN</v>
      </c>
      <c r="D269" s="54">
        <f t="shared" ref="D269" si="114">YEAR(A269)</f>
        <v>2024</v>
      </c>
      <c r="E269" s="56" t="s">
        <v>48</v>
      </c>
      <c r="F269" s="56" t="s">
        <v>22</v>
      </c>
      <c r="G269" s="100">
        <v>0</v>
      </c>
      <c r="H269" s="100">
        <v>23910</v>
      </c>
      <c r="I269" s="57">
        <v>0.15</v>
      </c>
      <c r="J269" s="99">
        <f t="shared" si="105"/>
        <v>23910</v>
      </c>
      <c r="K269" s="53">
        <v>45473</v>
      </c>
      <c r="L269" s="54">
        <f t="shared" ref="L269" si="115">DAY(K269)</f>
        <v>30</v>
      </c>
      <c r="M269" s="55" t="str" cm="1">
        <f t="array" ref="M269">INDEX(Processing!$W$6:$W$17,MONTH('ALL ORDERS'!K269))</f>
        <v>June</v>
      </c>
      <c r="N269" s="54">
        <f t="shared" ref="N269" si="116">YEAR(K269)</f>
        <v>2024</v>
      </c>
      <c r="O269" s="58">
        <v>0.45833333333333298</v>
      </c>
      <c r="P269" s="59" t="s">
        <v>337</v>
      </c>
      <c r="Q269" s="60" t="s">
        <v>94</v>
      </c>
      <c r="R269" s="56" t="s">
        <v>1092</v>
      </c>
      <c r="S269" s="61" t="s">
        <v>45</v>
      </c>
      <c r="T269" s="62" t="s">
        <v>630</v>
      </c>
      <c r="U269" s="63" t="s">
        <v>24</v>
      </c>
      <c r="V269" s="63" t="s">
        <v>147</v>
      </c>
      <c r="W269" s="64">
        <v>1002</v>
      </c>
      <c r="X269" s="64">
        <v>5</v>
      </c>
      <c r="Y269" s="47"/>
      <c r="Z269" s="47"/>
    </row>
    <row r="270" spans="1:26" x14ac:dyDescent="0.25">
      <c r="A270" s="53">
        <v>45474</v>
      </c>
      <c r="B270" s="54">
        <f t="shared" si="103"/>
        <v>1</v>
      </c>
      <c r="C270" s="55" t="str" cm="1">
        <f t="array" ref="C270">INDEX(Processing!$C$11:$C$22,MONTH('ALL ORDERS'!A270))</f>
        <v>JUL</v>
      </c>
      <c r="D270" s="54">
        <f t="shared" si="104"/>
        <v>2024</v>
      </c>
      <c r="E270" s="56" t="s">
        <v>49</v>
      </c>
      <c r="F270" s="56" t="s">
        <v>135</v>
      </c>
      <c r="G270" s="100">
        <v>0</v>
      </c>
      <c r="H270" s="100">
        <v>1160</v>
      </c>
      <c r="I270" s="57"/>
      <c r="J270" s="99">
        <f t="shared" si="105"/>
        <v>1160</v>
      </c>
      <c r="K270" s="53">
        <v>45474</v>
      </c>
      <c r="L270" s="54">
        <f t="shared" si="3"/>
        <v>1</v>
      </c>
      <c r="M270" s="55" t="str" cm="1">
        <f t="array" ref="M270">INDEX(Processing!$W$6:$W$17,MONTH('ALL ORDERS'!K270))</f>
        <v>July</v>
      </c>
      <c r="N270" s="54">
        <f t="shared" si="111"/>
        <v>2024</v>
      </c>
      <c r="O270" s="58">
        <v>0.5</v>
      </c>
      <c r="P270" s="59" t="s">
        <v>232</v>
      </c>
      <c r="Q270" s="60" t="s">
        <v>94</v>
      </c>
      <c r="R270" s="56" t="s">
        <v>332</v>
      </c>
      <c r="S270" s="61" t="s">
        <v>44</v>
      </c>
      <c r="T270" s="62" t="s">
        <v>620</v>
      </c>
      <c r="U270" s="63" t="s">
        <v>26</v>
      </c>
      <c r="V270" s="63" t="s">
        <v>147</v>
      </c>
      <c r="W270" s="64">
        <v>1030</v>
      </c>
      <c r="X270" s="64">
        <v>4</v>
      </c>
      <c r="Y270" s="47"/>
      <c r="Z270" s="47"/>
    </row>
    <row r="271" spans="1:26" x14ac:dyDescent="0.25">
      <c r="A271" s="53">
        <v>45475</v>
      </c>
      <c r="B271" s="54">
        <f t="shared" si="103"/>
        <v>2</v>
      </c>
      <c r="C271" s="55" t="str" cm="1">
        <f t="array" ref="C271">INDEX(Processing!$C$11:$C$22,MONTH('ALL ORDERS'!A271))</f>
        <v>JUL</v>
      </c>
      <c r="D271" s="54">
        <f t="shared" si="104"/>
        <v>2024</v>
      </c>
      <c r="E271" s="56" t="s">
        <v>47</v>
      </c>
      <c r="F271" s="56" t="s">
        <v>22</v>
      </c>
      <c r="G271" s="100">
        <v>3110</v>
      </c>
      <c r="H271" s="100">
        <v>0</v>
      </c>
      <c r="I271" s="57"/>
      <c r="J271" s="99">
        <f t="shared" si="105"/>
        <v>3110</v>
      </c>
      <c r="K271" s="53">
        <v>45475</v>
      </c>
      <c r="L271" s="54">
        <f t="shared" si="3"/>
        <v>2</v>
      </c>
      <c r="M271" s="55" t="str" cm="1">
        <f t="array" ref="M271">INDEX(Processing!$W$6:$W$17,MONTH('ALL ORDERS'!K271))</f>
        <v>July</v>
      </c>
      <c r="N271" s="54">
        <f t="shared" si="111"/>
        <v>2024</v>
      </c>
      <c r="O271" s="58">
        <v>0.66666666666666663</v>
      </c>
      <c r="P271" s="59" t="s">
        <v>182</v>
      </c>
      <c r="Q271" s="60" t="s">
        <v>94</v>
      </c>
      <c r="R271" s="56" t="s">
        <v>267</v>
      </c>
      <c r="S271" s="61" t="s">
        <v>44</v>
      </c>
      <c r="T271" s="62" t="s">
        <v>621</v>
      </c>
      <c r="U271" s="63" t="s">
        <v>26</v>
      </c>
      <c r="V271" s="63" t="s">
        <v>147</v>
      </c>
      <c r="W271" s="64">
        <v>629</v>
      </c>
      <c r="X271" s="64">
        <v>4</v>
      </c>
      <c r="Y271" s="47"/>
      <c r="Z271" s="47"/>
    </row>
    <row r="272" spans="1:26" x14ac:dyDescent="0.25">
      <c r="A272" s="53">
        <v>45476</v>
      </c>
      <c r="B272" s="54">
        <f t="shared" si="103"/>
        <v>3</v>
      </c>
      <c r="C272" s="55" t="str" cm="1">
        <f t="array" ref="C272">INDEX(Processing!$C$11:$C$22,MONTH('ALL ORDERS'!A272))</f>
        <v>JUL</v>
      </c>
      <c r="D272" s="54">
        <f t="shared" si="104"/>
        <v>2024</v>
      </c>
      <c r="E272" s="56" t="s">
        <v>50</v>
      </c>
      <c r="F272" s="56" t="s">
        <v>135</v>
      </c>
      <c r="G272" s="100">
        <v>2110</v>
      </c>
      <c r="H272" s="100">
        <v>0</v>
      </c>
      <c r="I272" s="57"/>
      <c r="J272" s="99">
        <f t="shared" si="105"/>
        <v>2110</v>
      </c>
      <c r="K272" s="53">
        <v>45476</v>
      </c>
      <c r="L272" s="54">
        <f t="shared" si="3"/>
        <v>3</v>
      </c>
      <c r="M272" s="55" t="str" cm="1">
        <f t="array" ref="M272">INDEX(Processing!$W$6:$W$17,MONTH('ALL ORDERS'!K272))</f>
        <v>July</v>
      </c>
      <c r="N272" s="54">
        <f t="shared" si="111"/>
        <v>2024</v>
      </c>
      <c r="O272" s="58">
        <v>0.75</v>
      </c>
      <c r="P272" s="59" t="s">
        <v>211</v>
      </c>
      <c r="Q272" s="60" t="s">
        <v>94</v>
      </c>
      <c r="R272" s="56" t="s">
        <v>299</v>
      </c>
      <c r="S272" s="61" t="s">
        <v>41</v>
      </c>
      <c r="T272" s="62" t="s">
        <v>622</v>
      </c>
      <c r="U272" s="63" t="s">
        <v>26</v>
      </c>
      <c r="V272" s="63" t="s">
        <v>147</v>
      </c>
      <c r="W272" s="64">
        <v>1154</v>
      </c>
      <c r="X272" s="64">
        <v>4</v>
      </c>
      <c r="Y272" s="47"/>
      <c r="Z272" s="47"/>
    </row>
    <row r="273" spans="1:26" x14ac:dyDescent="0.25">
      <c r="A273" s="53">
        <v>45477</v>
      </c>
      <c r="B273" s="54">
        <f t="shared" si="103"/>
        <v>4</v>
      </c>
      <c r="C273" s="55" t="str" cm="1">
        <f t="array" ref="C273">INDEX(Processing!$C$11:$C$22,MONTH('ALL ORDERS'!A273))</f>
        <v>JUL</v>
      </c>
      <c r="D273" s="54">
        <f t="shared" si="104"/>
        <v>2024</v>
      </c>
      <c r="E273" s="56" t="s">
        <v>51</v>
      </c>
      <c r="F273" s="56" t="s">
        <v>137</v>
      </c>
      <c r="G273" s="100">
        <v>1030</v>
      </c>
      <c r="H273" s="100">
        <v>0</v>
      </c>
      <c r="I273" s="57"/>
      <c r="J273" s="99">
        <f t="shared" si="105"/>
        <v>1030</v>
      </c>
      <c r="K273" s="53">
        <v>45477</v>
      </c>
      <c r="L273" s="54">
        <f t="shared" si="3"/>
        <v>4</v>
      </c>
      <c r="M273" s="55" t="str" cm="1">
        <f t="array" ref="M273">INDEX(Processing!$W$6:$W$17,MONTH('ALL ORDERS'!K273))</f>
        <v>July</v>
      </c>
      <c r="N273" s="54">
        <f t="shared" si="111"/>
        <v>2024</v>
      </c>
      <c r="O273" s="58">
        <v>0.41666666666666669</v>
      </c>
      <c r="P273" s="59" t="s">
        <v>199</v>
      </c>
      <c r="Q273" s="60" t="s">
        <v>90</v>
      </c>
      <c r="R273" s="56" t="s">
        <v>286</v>
      </c>
      <c r="S273" s="61" t="s">
        <v>46</v>
      </c>
      <c r="T273" s="70">
        <v>40900888990</v>
      </c>
      <c r="U273" s="63" t="s">
        <v>26</v>
      </c>
      <c r="V273" s="63" t="s">
        <v>147</v>
      </c>
      <c r="W273" s="64">
        <v>1338</v>
      </c>
      <c r="X273" s="64">
        <v>4</v>
      </c>
      <c r="Y273" s="47"/>
      <c r="Z273" s="47"/>
    </row>
    <row r="274" spans="1:26" x14ac:dyDescent="0.25">
      <c r="A274" s="53">
        <v>45478</v>
      </c>
      <c r="B274" s="54">
        <f t="shared" si="103"/>
        <v>5</v>
      </c>
      <c r="C274" s="55" t="str" cm="1">
        <f t="array" ref="C274">INDEX(Processing!$C$11:$C$22,MONTH('ALL ORDERS'!A274))</f>
        <v>JUL</v>
      </c>
      <c r="D274" s="54">
        <f t="shared" si="104"/>
        <v>2024</v>
      </c>
      <c r="E274" s="56" t="s">
        <v>47</v>
      </c>
      <c r="F274" s="56" t="s">
        <v>124</v>
      </c>
      <c r="G274" s="100">
        <v>1530</v>
      </c>
      <c r="H274" s="100">
        <v>0</v>
      </c>
      <c r="I274" s="57"/>
      <c r="J274" s="99">
        <f t="shared" si="105"/>
        <v>1530</v>
      </c>
      <c r="K274" s="53">
        <v>45478</v>
      </c>
      <c r="L274" s="54">
        <f t="shared" si="3"/>
        <v>5</v>
      </c>
      <c r="M274" s="55" t="str" cm="1">
        <f t="array" ref="M274">INDEX(Processing!$W$6:$W$17,MONTH('ALL ORDERS'!K274))</f>
        <v>July</v>
      </c>
      <c r="N274" s="54">
        <f t="shared" si="111"/>
        <v>2024</v>
      </c>
      <c r="O274" s="58">
        <v>0.5</v>
      </c>
      <c r="P274" s="59" t="s">
        <v>167</v>
      </c>
      <c r="Q274" s="60" t="s">
        <v>91</v>
      </c>
      <c r="R274" s="56" t="s">
        <v>250</v>
      </c>
      <c r="S274" s="61" t="s">
        <v>46</v>
      </c>
      <c r="T274" s="62" t="s">
        <v>623</v>
      </c>
      <c r="U274" s="63" t="s">
        <v>26</v>
      </c>
      <c r="V274" s="63" t="s">
        <v>147</v>
      </c>
      <c r="W274" s="64">
        <v>3199</v>
      </c>
      <c r="X274" s="64">
        <v>4</v>
      </c>
      <c r="Y274" s="47"/>
      <c r="Z274" s="47"/>
    </row>
    <row r="275" spans="1:26" x14ac:dyDescent="0.25">
      <c r="A275" s="53">
        <v>45479</v>
      </c>
      <c r="B275" s="54">
        <f t="shared" si="103"/>
        <v>6</v>
      </c>
      <c r="C275" s="55" t="str" cm="1">
        <f t="array" ref="C275">INDEX(Processing!$C$11:$C$22,MONTH('ALL ORDERS'!A275))</f>
        <v>JUL</v>
      </c>
      <c r="D275" s="54">
        <f t="shared" si="104"/>
        <v>2024</v>
      </c>
      <c r="E275" s="56" t="s">
        <v>50</v>
      </c>
      <c r="F275" s="56" t="s">
        <v>124</v>
      </c>
      <c r="G275" s="100">
        <v>3150</v>
      </c>
      <c r="H275" s="100">
        <v>0</v>
      </c>
      <c r="I275" s="57"/>
      <c r="J275" s="99">
        <f t="shared" si="105"/>
        <v>3150</v>
      </c>
      <c r="K275" s="53">
        <v>45479</v>
      </c>
      <c r="L275" s="54">
        <f t="shared" si="3"/>
        <v>6</v>
      </c>
      <c r="M275" s="55" t="str" cm="1">
        <f t="array" ref="M275">INDEX(Processing!$W$6:$W$17,MONTH('ALL ORDERS'!K275))</f>
        <v>July</v>
      </c>
      <c r="N275" s="54">
        <f t="shared" si="111"/>
        <v>2024</v>
      </c>
      <c r="O275" s="58">
        <v>0.66666666666666663</v>
      </c>
      <c r="P275" s="59" t="s">
        <v>219</v>
      </c>
      <c r="Q275" s="60" t="s">
        <v>94</v>
      </c>
      <c r="R275" s="56" t="s">
        <v>318</v>
      </c>
      <c r="S275" s="61" t="s">
        <v>41</v>
      </c>
      <c r="T275" s="62" t="s">
        <v>624</v>
      </c>
      <c r="U275" s="63" t="s">
        <v>26</v>
      </c>
      <c r="V275" s="63" t="s">
        <v>147</v>
      </c>
      <c r="W275" s="64">
        <v>1245</v>
      </c>
      <c r="X275" s="64">
        <v>4</v>
      </c>
      <c r="Y275" s="47"/>
      <c r="Z275" s="47"/>
    </row>
    <row r="276" spans="1:26" x14ac:dyDescent="0.25">
      <c r="A276" s="53">
        <v>45474</v>
      </c>
      <c r="B276" s="54">
        <f t="shared" si="103"/>
        <v>1</v>
      </c>
      <c r="C276" s="55" t="str" cm="1">
        <f t="array" ref="C276">INDEX(Processing!$C$11:$C$22,MONTH('ALL ORDERS'!A276))</f>
        <v>JUL</v>
      </c>
      <c r="D276" s="54">
        <f t="shared" si="104"/>
        <v>2024</v>
      </c>
      <c r="E276" s="56" t="s">
        <v>47</v>
      </c>
      <c r="F276" s="56" t="s">
        <v>19</v>
      </c>
      <c r="G276" s="100">
        <v>0</v>
      </c>
      <c r="H276" s="100">
        <v>3140</v>
      </c>
      <c r="I276" s="57">
        <v>0.15</v>
      </c>
      <c r="J276" s="99">
        <f t="shared" si="105"/>
        <v>3140</v>
      </c>
      <c r="K276" s="53">
        <v>45474</v>
      </c>
      <c r="L276" s="54">
        <f t="shared" si="3"/>
        <v>1</v>
      </c>
      <c r="M276" s="55" t="str" cm="1">
        <f t="array" ref="M276">INDEX(Processing!$W$6:$W$17,MONTH('ALL ORDERS'!K276))</f>
        <v>July</v>
      </c>
      <c r="N276" s="54">
        <f t="shared" si="111"/>
        <v>2024</v>
      </c>
      <c r="O276" s="58">
        <v>0.75</v>
      </c>
      <c r="P276" s="59" t="s">
        <v>188</v>
      </c>
      <c r="Q276" s="60" t="s">
        <v>94</v>
      </c>
      <c r="R276" s="56" t="s">
        <v>274</v>
      </c>
      <c r="S276" s="61" t="s">
        <v>43</v>
      </c>
      <c r="T276" s="62" t="s">
        <v>625</v>
      </c>
      <c r="U276" s="63" t="s">
        <v>26</v>
      </c>
      <c r="V276" s="63" t="s">
        <v>147</v>
      </c>
      <c r="W276" s="64">
        <v>3106</v>
      </c>
      <c r="X276" s="64">
        <v>4</v>
      </c>
      <c r="Y276" s="47"/>
      <c r="Z276" s="47"/>
    </row>
    <row r="277" spans="1:26" x14ac:dyDescent="0.25">
      <c r="A277" s="53">
        <v>45481</v>
      </c>
      <c r="B277" s="54">
        <f t="shared" si="103"/>
        <v>8</v>
      </c>
      <c r="C277" s="55" t="str" cm="1">
        <f t="array" ref="C277">INDEX(Processing!$C$11:$C$22,MONTH('ALL ORDERS'!A277))</f>
        <v>JUL</v>
      </c>
      <c r="D277" s="54">
        <f t="shared" si="104"/>
        <v>2024</v>
      </c>
      <c r="E277" s="56" t="s">
        <v>48</v>
      </c>
      <c r="F277" s="56" t="s">
        <v>22</v>
      </c>
      <c r="G277" s="100">
        <v>0</v>
      </c>
      <c r="H277" s="100">
        <v>2910</v>
      </c>
      <c r="I277" s="57"/>
      <c r="J277" s="99">
        <f t="shared" si="105"/>
        <v>2910</v>
      </c>
      <c r="K277" s="53">
        <v>45481</v>
      </c>
      <c r="L277" s="54">
        <f t="shared" si="3"/>
        <v>8</v>
      </c>
      <c r="M277" s="55" t="str" cm="1">
        <f t="array" ref="M277">INDEX(Processing!$W$6:$W$17,MONTH('ALL ORDERS'!K277))</f>
        <v>July</v>
      </c>
      <c r="N277" s="54">
        <f t="shared" si="111"/>
        <v>2024</v>
      </c>
      <c r="O277" s="58">
        <v>0.41666666666666669</v>
      </c>
      <c r="P277" s="59" t="s">
        <v>342</v>
      </c>
      <c r="Q277" s="60" t="s">
        <v>90</v>
      </c>
      <c r="R277" s="56" t="s">
        <v>293</v>
      </c>
      <c r="S277" s="61" t="s">
        <v>45</v>
      </c>
      <c r="T277" s="62" t="s">
        <v>626</v>
      </c>
      <c r="U277" s="63" t="s">
        <v>26</v>
      </c>
      <c r="V277" s="63" t="s">
        <v>147</v>
      </c>
      <c r="W277" s="64">
        <v>3289</v>
      </c>
      <c r="X277" s="64">
        <v>4</v>
      </c>
      <c r="Y277" s="47"/>
      <c r="Z277" s="47"/>
    </row>
    <row r="278" spans="1:26" x14ac:dyDescent="0.25">
      <c r="A278" s="53">
        <v>45482</v>
      </c>
      <c r="B278" s="54">
        <f t="shared" si="103"/>
        <v>9</v>
      </c>
      <c r="C278" s="55" t="str" cm="1">
        <f t="array" ref="C278">INDEX(Processing!$C$11:$C$22,MONTH('ALL ORDERS'!A278))</f>
        <v>JUL</v>
      </c>
      <c r="D278" s="54">
        <f t="shared" si="104"/>
        <v>2024</v>
      </c>
      <c r="E278" s="56" t="s">
        <v>49</v>
      </c>
      <c r="F278" s="56" t="s">
        <v>135</v>
      </c>
      <c r="G278" s="100">
        <v>0</v>
      </c>
      <c r="H278" s="100">
        <v>2910</v>
      </c>
      <c r="I278" s="57"/>
      <c r="J278" s="99">
        <f t="shared" ref="J278:J341" si="117">G278+H278</f>
        <v>2910</v>
      </c>
      <c r="K278" s="53">
        <v>45482</v>
      </c>
      <c r="L278" s="54">
        <f t="shared" si="3"/>
        <v>9</v>
      </c>
      <c r="M278" s="55" t="str" cm="1">
        <f t="array" ref="M278">INDEX(Processing!$W$6:$W$17,MONTH('ALL ORDERS'!K278))</f>
        <v>July</v>
      </c>
      <c r="N278" s="54">
        <f t="shared" si="111"/>
        <v>2024</v>
      </c>
      <c r="O278" s="58">
        <v>0.5</v>
      </c>
      <c r="P278" s="59" t="s">
        <v>213</v>
      </c>
      <c r="Q278" s="60" t="s">
        <v>90</v>
      </c>
      <c r="R278" s="56" t="s">
        <v>301</v>
      </c>
      <c r="S278" s="61" t="s">
        <v>43</v>
      </c>
      <c r="T278" s="62" t="s">
        <v>627</v>
      </c>
      <c r="U278" s="63" t="s">
        <v>26</v>
      </c>
      <c r="V278" s="63" t="s">
        <v>147</v>
      </c>
      <c r="W278" s="64">
        <v>3814</v>
      </c>
      <c r="X278" s="64">
        <v>4</v>
      </c>
      <c r="Y278" s="47"/>
      <c r="Z278" s="47"/>
    </row>
    <row r="279" spans="1:26" x14ac:dyDescent="0.25">
      <c r="A279" s="53">
        <v>45483</v>
      </c>
      <c r="B279" s="54">
        <f t="shared" si="103"/>
        <v>10</v>
      </c>
      <c r="C279" s="55" t="str" cm="1">
        <f t="array" ref="C279">INDEX(Processing!$C$11:$C$22,MONTH('ALL ORDERS'!A279))</f>
        <v>JUL</v>
      </c>
      <c r="D279" s="54">
        <f t="shared" si="104"/>
        <v>2024</v>
      </c>
      <c r="E279" s="56" t="s">
        <v>47</v>
      </c>
      <c r="F279" s="56" t="s">
        <v>122</v>
      </c>
      <c r="G279" s="100">
        <v>0</v>
      </c>
      <c r="H279" s="100">
        <v>2440</v>
      </c>
      <c r="I279" s="57"/>
      <c r="J279" s="99">
        <f t="shared" si="117"/>
        <v>2440</v>
      </c>
      <c r="K279" s="53">
        <v>45483</v>
      </c>
      <c r="L279" s="54">
        <f t="shared" si="3"/>
        <v>10</v>
      </c>
      <c r="M279" s="55" t="str" cm="1">
        <f t="array" ref="M279">INDEX(Processing!$W$6:$W$17,MONTH('ALL ORDERS'!K279))</f>
        <v>July</v>
      </c>
      <c r="N279" s="54">
        <f t="shared" si="111"/>
        <v>2024</v>
      </c>
      <c r="O279" s="58">
        <v>0.66666666666666663</v>
      </c>
      <c r="P279" s="59" t="s">
        <v>179</v>
      </c>
      <c r="Q279" s="60" t="s">
        <v>94</v>
      </c>
      <c r="R279" s="56" t="s">
        <v>264</v>
      </c>
      <c r="S279" s="61" t="s">
        <v>44</v>
      </c>
      <c r="T279" s="62" t="s">
        <v>628</v>
      </c>
      <c r="U279" s="63" t="s">
        <v>26</v>
      </c>
      <c r="V279" s="63" t="s">
        <v>147</v>
      </c>
      <c r="W279" s="64">
        <v>3413</v>
      </c>
      <c r="X279" s="64">
        <v>4</v>
      </c>
      <c r="Y279" s="47"/>
      <c r="Z279" s="47"/>
    </row>
    <row r="280" spans="1:26" x14ac:dyDescent="0.25">
      <c r="A280" s="53">
        <v>45484</v>
      </c>
      <c r="B280" s="54">
        <f t="shared" ref="B280:B345" si="118">DAY(A280)</f>
        <v>11</v>
      </c>
      <c r="C280" s="55" t="str" cm="1">
        <f t="array" ref="C280">INDEX(Processing!$C$11:$C$22,MONTH('ALL ORDERS'!A280))</f>
        <v>JUL</v>
      </c>
      <c r="D280" s="54">
        <f t="shared" ref="D280:D345" si="119">YEAR(A280)</f>
        <v>2024</v>
      </c>
      <c r="E280" s="56" t="s">
        <v>50</v>
      </c>
      <c r="F280" s="56" t="s">
        <v>124</v>
      </c>
      <c r="G280" s="100">
        <v>1520</v>
      </c>
      <c r="H280" s="100">
        <v>0</v>
      </c>
      <c r="I280" s="57"/>
      <c r="J280" s="99">
        <f t="shared" si="117"/>
        <v>1520</v>
      </c>
      <c r="K280" s="53">
        <v>45484</v>
      </c>
      <c r="L280" s="54">
        <f t="shared" si="3"/>
        <v>11</v>
      </c>
      <c r="M280" s="55" t="str" cm="1">
        <f t="array" ref="M280">INDEX(Processing!$W$6:$W$17,MONTH('ALL ORDERS'!K280))</f>
        <v>July</v>
      </c>
      <c r="N280" s="54">
        <f t="shared" si="111"/>
        <v>2024</v>
      </c>
      <c r="O280" s="58">
        <v>0.75</v>
      </c>
      <c r="P280" s="59" t="s">
        <v>175</v>
      </c>
      <c r="Q280" s="60" t="s">
        <v>94</v>
      </c>
      <c r="R280" s="56" t="s">
        <v>259</v>
      </c>
      <c r="S280" s="61" t="s">
        <v>43</v>
      </c>
      <c r="T280" s="62" t="s">
        <v>629</v>
      </c>
      <c r="U280" s="63" t="s">
        <v>24</v>
      </c>
      <c r="V280" s="63" t="s">
        <v>147</v>
      </c>
      <c r="W280" s="64">
        <v>3442</v>
      </c>
      <c r="X280" s="64">
        <v>4</v>
      </c>
      <c r="Y280" s="47"/>
      <c r="Z280" s="47"/>
    </row>
    <row r="281" spans="1:26" x14ac:dyDescent="0.25">
      <c r="A281" s="53">
        <v>45485</v>
      </c>
      <c r="B281" s="54">
        <f t="shared" si="118"/>
        <v>12</v>
      </c>
      <c r="C281" s="55" t="str" cm="1">
        <f t="array" ref="C281">INDEX(Processing!$C$11:$C$22,MONTH('ALL ORDERS'!A281))</f>
        <v>JUL</v>
      </c>
      <c r="D281" s="54">
        <f t="shared" si="119"/>
        <v>2024</v>
      </c>
      <c r="E281" s="56" t="s">
        <v>48</v>
      </c>
      <c r="F281" s="56" t="s">
        <v>130</v>
      </c>
      <c r="G281" s="100">
        <v>3180</v>
      </c>
      <c r="H281" s="100">
        <v>0</v>
      </c>
      <c r="I281" s="57"/>
      <c r="J281" s="99">
        <f t="shared" si="117"/>
        <v>3180</v>
      </c>
      <c r="K281" s="53">
        <v>45485</v>
      </c>
      <c r="L281" s="54">
        <f t="shared" si="3"/>
        <v>12</v>
      </c>
      <c r="M281" s="55" t="str" cm="1">
        <f t="array" ref="M281">INDEX(Processing!$W$6:$W$17,MONTH('ALL ORDERS'!K281))</f>
        <v>July</v>
      </c>
      <c r="N281" s="54">
        <f t="shared" si="111"/>
        <v>2024</v>
      </c>
      <c r="O281" s="58">
        <v>0.41666666666666669</v>
      </c>
      <c r="P281" s="59" t="s">
        <v>206</v>
      </c>
      <c r="Q281" s="60" t="s">
        <v>94</v>
      </c>
      <c r="R281" s="56" t="s">
        <v>294</v>
      </c>
      <c r="S281" s="61" t="s">
        <v>45</v>
      </c>
      <c r="T281" s="62" t="s">
        <v>630</v>
      </c>
      <c r="U281" s="63" t="s">
        <v>26</v>
      </c>
      <c r="V281" s="63" t="s">
        <v>147</v>
      </c>
      <c r="W281" s="64">
        <v>3215</v>
      </c>
      <c r="X281" s="64">
        <v>4</v>
      </c>
      <c r="Y281" s="47"/>
      <c r="Z281" s="47"/>
    </row>
    <row r="282" spans="1:26" x14ac:dyDescent="0.25">
      <c r="A282" s="53">
        <v>45486</v>
      </c>
      <c r="B282" s="54">
        <f t="shared" si="118"/>
        <v>13</v>
      </c>
      <c r="C282" s="55" t="str" cm="1">
        <f t="array" ref="C282">INDEX(Processing!$C$11:$C$22,MONTH('ALL ORDERS'!A282))</f>
        <v>JUL</v>
      </c>
      <c r="D282" s="54">
        <f t="shared" si="119"/>
        <v>2024</v>
      </c>
      <c r="E282" s="56" t="s">
        <v>51</v>
      </c>
      <c r="F282" s="56" t="s">
        <v>125</v>
      </c>
      <c r="G282" s="100">
        <v>3290</v>
      </c>
      <c r="H282" s="100">
        <v>0</v>
      </c>
      <c r="I282" s="57"/>
      <c r="J282" s="99">
        <f t="shared" si="117"/>
        <v>3290</v>
      </c>
      <c r="K282" s="53">
        <v>45486</v>
      </c>
      <c r="L282" s="54">
        <f t="shared" si="3"/>
        <v>13</v>
      </c>
      <c r="M282" s="55" t="str" cm="1">
        <f t="array" ref="M282">INDEX(Processing!$W$6:$W$17,MONTH('ALL ORDERS'!K282))</f>
        <v>July</v>
      </c>
      <c r="N282" s="54">
        <f t="shared" si="111"/>
        <v>2024</v>
      </c>
      <c r="O282" s="58">
        <v>0.5</v>
      </c>
      <c r="P282" s="59" t="s">
        <v>224</v>
      </c>
      <c r="Q282" s="60" t="s">
        <v>90</v>
      </c>
      <c r="R282" s="56" t="s">
        <v>324</v>
      </c>
      <c r="S282" s="61" t="s">
        <v>46</v>
      </c>
      <c r="T282" s="62" t="s">
        <v>631</v>
      </c>
      <c r="U282" s="63" t="s">
        <v>26</v>
      </c>
      <c r="V282" s="63" t="s">
        <v>147</v>
      </c>
      <c r="W282" s="64">
        <v>1697</v>
      </c>
      <c r="X282" s="64">
        <v>3</v>
      </c>
      <c r="Y282" s="47"/>
      <c r="Z282" s="47"/>
    </row>
    <row r="283" spans="1:26" x14ac:dyDescent="0.25">
      <c r="A283" s="53">
        <v>45487</v>
      </c>
      <c r="B283" s="54">
        <f t="shared" si="118"/>
        <v>14</v>
      </c>
      <c r="C283" s="55" t="str" cm="1">
        <f t="array" ref="C283">INDEX(Processing!$C$11:$C$22,MONTH('ALL ORDERS'!A283))</f>
        <v>JUL</v>
      </c>
      <c r="D283" s="54">
        <f t="shared" si="119"/>
        <v>2024</v>
      </c>
      <c r="E283" s="56" t="s">
        <v>49</v>
      </c>
      <c r="F283" s="56" t="s">
        <v>129</v>
      </c>
      <c r="G283" s="100">
        <v>1190</v>
      </c>
      <c r="H283" s="100">
        <v>0</v>
      </c>
      <c r="I283" s="57">
        <v>0.15</v>
      </c>
      <c r="J283" s="99">
        <f t="shared" si="117"/>
        <v>1190</v>
      </c>
      <c r="K283" s="53">
        <v>45487</v>
      </c>
      <c r="L283" s="54">
        <f t="shared" si="3"/>
        <v>14</v>
      </c>
      <c r="M283" s="55" t="str" cm="1">
        <f t="array" ref="M283">INDEX(Processing!$W$6:$W$17,MONTH('ALL ORDERS'!K283))</f>
        <v>July</v>
      </c>
      <c r="N283" s="54">
        <f t="shared" si="111"/>
        <v>2024</v>
      </c>
      <c r="O283" s="58">
        <v>0.66666666666666663</v>
      </c>
      <c r="P283" s="59" t="s">
        <v>217</v>
      </c>
      <c r="Q283" s="60" t="s">
        <v>94</v>
      </c>
      <c r="R283" s="56" t="s">
        <v>316</v>
      </c>
      <c r="S283" s="61" t="s">
        <v>41</v>
      </c>
      <c r="T283" s="62" t="s">
        <v>632</v>
      </c>
      <c r="U283" s="63" t="s">
        <v>24</v>
      </c>
      <c r="V283" s="63" t="s">
        <v>147</v>
      </c>
      <c r="W283" s="64">
        <v>2234</v>
      </c>
      <c r="X283" s="64">
        <v>4</v>
      </c>
      <c r="Y283" s="47"/>
      <c r="Z283" s="47"/>
    </row>
    <row r="284" spans="1:26" x14ac:dyDescent="0.25">
      <c r="A284" s="53">
        <v>45488</v>
      </c>
      <c r="B284" s="54">
        <f t="shared" si="118"/>
        <v>15</v>
      </c>
      <c r="C284" s="55" t="str" cm="1">
        <f t="array" ref="C284">INDEX(Processing!$C$11:$C$22,MONTH('ALL ORDERS'!A284))</f>
        <v>JUL</v>
      </c>
      <c r="D284" s="54">
        <f t="shared" si="119"/>
        <v>2024</v>
      </c>
      <c r="E284" s="56" t="s">
        <v>47</v>
      </c>
      <c r="F284" s="56" t="s">
        <v>22</v>
      </c>
      <c r="G284" s="100">
        <v>2480</v>
      </c>
      <c r="H284" s="100">
        <v>0</v>
      </c>
      <c r="I284" s="57"/>
      <c r="J284" s="99">
        <f t="shared" si="117"/>
        <v>2480</v>
      </c>
      <c r="K284" s="53">
        <v>45488</v>
      </c>
      <c r="L284" s="54">
        <f t="shared" si="3"/>
        <v>15</v>
      </c>
      <c r="M284" s="55" t="str" cm="1">
        <f t="array" ref="M284">INDEX(Processing!$W$6:$W$17,MONTH('ALL ORDERS'!K284))</f>
        <v>July</v>
      </c>
      <c r="N284" s="54">
        <f t="shared" si="111"/>
        <v>2024</v>
      </c>
      <c r="O284" s="58">
        <v>0.75</v>
      </c>
      <c r="P284" s="59" t="s">
        <v>340</v>
      </c>
      <c r="Q284" s="60" t="e">
        <v>#N/A</v>
      </c>
      <c r="R284" s="56" t="s">
        <v>273</v>
      </c>
      <c r="S284" s="61" t="s">
        <v>46</v>
      </c>
      <c r="T284" s="62" t="s">
        <v>633</v>
      </c>
      <c r="U284" s="63" t="s">
        <v>26</v>
      </c>
      <c r="V284" s="63" t="s">
        <v>147</v>
      </c>
      <c r="W284" s="64">
        <v>3841</v>
      </c>
      <c r="X284" s="64">
        <v>2</v>
      </c>
      <c r="Y284" s="47"/>
      <c r="Z284" s="47"/>
    </row>
    <row r="285" spans="1:26" x14ac:dyDescent="0.25">
      <c r="A285" s="53">
        <v>45489</v>
      </c>
      <c r="B285" s="54">
        <f t="shared" si="118"/>
        <v>16</v>
      </c>
      <c r="C285" s="55" t="str" cm="1">
        <f t="array" ref="C285">INDEX(Processing!$C$11:$C$22,MONTH('ALL ORDERS'!A285))</f>
        <v>JUL</v>
      </c>
      <c r="D285" s="54">
        <f t="shared" si="119"/>
        <v>2024</v>
      </c>
      <c r="E285" s="56" t="s">
        <v>50</v>
      </c>
      <c r="F285" s="56" t="s">
        <v>124</v>
      </c>
      <c r="G285" s="100">
        <v>3210</v>
      </c>
      <c r="H285" s="100">
        <v>0</v>
      </c>
      <c r="I285" s="57"/>
      <c r="J285" s="99">
        <f t="shared" si="117"/>
        <v>3210</v>
      </c>
      <c r="K285" s="53">
        <v>45489</v>
      </c>
      <c r="L285" s="54">
        <f t="shared" ref="L285:L350" si="120">DAY(K285)</f>
        <v>16</v>
      </c>
      <c r="M285" s="55" t="str" cm="1">
        <f t="array" ref="M285">INDEX(Processing!$W$6:$W$17,MONTH('ALL ORDERS'!K285))</f>
        <v>July</v>
      </c>
      <c r="N285" s="54">
        <f t="shared" si="111"/>
        <v>2024</v>
      </c>
      <c r="O285" s="58">
        <v>0.41666666666666669</v>
      </c>
      <c r="P285" s="59" t="s">
        <v>173</v>
      </c>
      <c r="Q285" s="60" t="s">
        <v>90</v>
      </c>
      <c r="R285" s="56" t="s">
        <v>257</v>
      </c>
      <c r="S285" s="61" t="s">
        <v>41</v>
      </c>
      <c r="T285" s="70">
        <v>39900888990</v>
      </c>
      <c r="U285" s="63" t="s">
        <v>27</v>
      </c>
      <c r="V285" s="63" t="s">
        <v>147</v>
      </c>
      <c r="W285" s="64">
        <v>3342</v>
      </c>
      <c r="X285" s="64">
        <v>5</v>
      </c>
      <c r="Y285" s="47"/>
      <c r="Z285" s="47"/>
    </row>
    <row r="286" spans="1:26" x14ac:dyDescent="0.25">
      <c r="A286" s="53">
        <v>45484</v>
      </c>
      <c r="B286" s="54">
        <f t="shared" si="118"/>
        <v>11</v>
      </c>
      <c r="C286" s="55" t="str" cm="1">
        <f t="array" ref="C286">INDEX(Processing!$C$11:$C$22,MONTH('ALL ORDERS'!A286))</f>
        <v>JUL</v>
      </c>
      <c r="D286" s="54">
        <f t="shared" si="119"/>
        <v>2024</v>
      </c>
      <c r="E286" s="56" t="s">
        <v>47</v>
      </c>
      <c r="F286" s="56" t="s">
        <v>22</v>
      </c>
      <c r="G286" s="100">
        <v>3010</v>
      </c>
      <c r="H286" s="100">
        <v>0</v>
      </c>
      <c r="I286" s="57"/>
      <c r="J286" s="99">
        <f t="shared" si="117"/>
        <v>3010</v>
      </c>
      <c r="K286" s="53">
        <v>45484</v>
      </c>
      <c r="L286" s="54">
        <f t="shared" si="120"/>
        <v>11</v>
      </c>
      <c r="M286" s="55" t="str" cm="1">
        <f t="array" ref="M286">INDEX(Processing!$W$6:$W$17,MONTH('ALL ORDERS'!K286))</f>
        <v>July</v>
      </c>
      <c r="N286" s="54">
        <f t="shared" si="111"/>
        <v>2024</v>
      </c>
      <c r="O286" s="58">
        <v>0.5</v>
      </c>
      <c r="P286" s="59" t="s">
        <v>231</v>
      </c>
      <c r="Q286" s="60" t="s">
        <v>94</v>
      </c>
      <c r="R286" s="56" t="s">
        <v>331</v>
      </c>
      <c r="S286" s="61" t="s">
        <v>45</v>
      </c>
      <c r="T286" s="62" t="s">
        <v>634</v>
      </c>
      <c r="U286" s="63" t="s">
        <v>23</v>
      </c>
      <c r="V286" s="63" t="s">
        <v>147</v>
      </c>
      <c r="W286" s="64">
        <v>2294</v>
      </c>
      <c r="X286" s="64">
        <v>3</v>
      </c>
      <c r="Y286" s="47"/>
      <c r="Z286" s="47"/>
    </row>
    <row r="287" spans="1:26" x14ac:dyDescent="0.25">
      <c r="A287" s="53">
        <v>45491</v>
      </c>
      <c r="B287" s="54">
        <f t="shared" si="118"/>
        <v>18</v>
      </c>
      <c r="C287" s="55" t="str" cm="1">
        <f t="array" ref="C287">INDEX(Processing!$C$11:$C$22,MONTH('ALL ORDERS'!A287))</f>
        <v>JUL</v>
      </c>
      <c r="D287" s="54">
        <f t="shared" si="119"/>
        <v>2024</v>
      </c>
      <c r="E287" s="56" t="s">
        <v>48</v>
      </c>
      <c r="F287" s="56" t="s">
        <v>152</v>
      </c>
      <c r="G287" s="100">
        <v>1560</v>
      </c>
      <c r="H287" s="100">
        <v>0</v>
      </c>
      <c r="I287" s="57"/>
      <c r="J287" s="99">
        <f t="shared" si="117"/>
        <v>1560</v>
      </c>
      <c r="K287" s="53">
        <v>45491</v>
      </c>
      <c r="L287" s="54">
        <f t="shared" si="120"/>
        <v>18</v>
      </c>
      <c r="M287" s="55" t="str" cm="1">
        <f t="array" ref="M287">INDEX(Processing!$W$6:$W$17,MONTH('ALL ORDERS'!K287))</f>
        <v>July</v>
      </c>
      <c r="N287" s="54">
        <f t="shared" si="111"/>
        <v>2024</v>
      </c>
      <c r="O287" s="58">
        <v>0.66666666666666663</v>
      </c>
      <c r="P287" s="59" t="s">
        <v>220</v>
      </c>
      <c r="Q287" s="60" t="s">
        <v>90</v>
      </c>
      <c r="R287" s="56" t="s">
        <v>319</v>
      </c>
      <c r="S287" s="61" t="s">
        <v>41</v>
      </c>
      <c r="T287" s="62" t="s">
        <v>635</v>
      </c>
      <c r="U287" s="63" t="s">
        <v>25</v>
      </c>
      <c r="V287" s="63" t="s">
        <v>147</v>
      </c>
      <c r="W287" s="64">
        <v>2432</v>
      </c>
      <c r="X287" s="64">
        <v>2</v>
      </c>
      <c r="Y287" s="47"/>
      <c r="Z287" s="47"/>
    </row>
    <row r="288" spans="1:26" x14ac:dyDescent="0.25">
      <c r="A288" s="53">
        <v>45492</v>
      </c>
      <c r="B288" s="54">
        <f t="shared" si="118"/>
        <v>19</v>
      </c>
      <c r="C288" s="55" t="str" cm="1">
        <f t="array" ref="C288">INDEX(Processing!$C$11:$C$22,MONTH('ALL ORDERS'!A288))</f>
        <v>JUL</v>
      </c>
      <c r="D288" s="54">
        <f t="shared" si="119"/>
        <v>2024</v>
      </c>
      <c r="E288" s="56" t="s">
        <v>49</v>
      </c>
      <c r="F288" s="56" t="s">
        <v>153</v>
      </c>
      <c r="G288" s="100">
        <v>1690</v>
      </c>
      <c r="H288" s="100">
        <v>0</v>
      </c>
      <c r="I288" s="57"/>
      <c r="J288" s="99">
        <f t="shared" si="117"/>
        <v>1690</v>
      </c>
      <c r="K288" s="53">
        <v>45492</v>
      </c>
      <c r="L288" s="54">
        <f t="shared" si="120"/>
        <v>19</v>
      </c>
      <c r="M288" s="55" t="str" cm="1">
        <f t="array" ref="M288">INDEX(Processing!$W$6:$W$17,MONTH('ALL ORDERS'!K288))</f>
        <v>July</v>
      </c>
      <c r="N288" s="54">
        <f t="shared" si="111"/>
        <v>2024</v>
      </c>
      <c r="O288" s="58">
        <v>0.75</v>
      </c>
      <c r="P288" s="59" t="s">
        <v>337</v>
      </c>
      <c r="Q288" s="60" t="s">
        <v>94</v>
      </c>
      <c r="R288" s="56" t="s">
        <v>243</v>
      </c>
      <c r="S288" s="61" t="s">
        <v>46</v>
      </c>
      <c r="T288" s="62" t="s">
        <v>636</v>
      </c>
      <c r="U288" s="63" t="s">
        <v>23</v>
      </c>
      <c r="V288" s="63" t="s">
        <v>147</v>
      </c>
      <c r="W288" s="64">
        <v>3156</v>
      </c>
      <c r="X288" s="64">
        <v>4</v>
      </c>
      <c r="Y288" s="47"/>
      <c r="Z288" s="47"/>
    </row>
    <row r="289" spans="1:26" x14ac:dyDescent="0.25">
      <c r="A289" s="53">
        <v>45493</v>
      </c>
      <c r="B289" s="54">
        <f t="shared" si="118"/>
        <v>20</v>
      </c>
      <c r="C289" s="55" t="str" cm="1">
        <f t="array" ref="C289">INDEX(Processing!$C$11:$C$22,MONTH('ALL ORDERS'!A289))</f>
        <v>JUL</v>
      </c>
      <c r="D289" s="54">
        <f t="shared" si="119"/>
        <v>2024</v>
      </c>
      <c r="E289" s="56" t="s">
        <v>47</v>
      </c>
      <c r="F289" s="56" t="s">
        <v>124</v>
      </c>
      <c r="G289" s="100">
        <v>3240</v>
      </c>
      <c r="H289" s="100">
        <v>0</v>
      </c>
      <c r="I289" s="57"/>
      <c r="J289" s="99">
        <f t="shared" si="117"/>
        <v>3240</v>
      </c>
      <c r="K289" s="53">
        <v>45493</v>
      </c>
      <c r="L289" s="54">
        <f t="shared" si="120"/>
        <v>20</v>
      </c>
      <c r="M289" s="55" t="str" cm="1">
        <f t="array" ref="M289">INDEX(Processing!$W$6:$W$17,MONTH('ALL ORDERS'!K289))</f>
        <v>July</v>
      </c>
      <c r="N289" s="54">
        <f t="shared" si="111"/>
        <v>2024</v>
      </c>
      <c r="O289" s="58">
        <v>0.41666666666666669</v>
      </c>
      <c r="P289" s="59" t="s">
        <v>222</v>
      </c>
      <c r="Q289" s="60" t="s">
        <v>94</v>
      </c>
      <c r="R289" s="56" t="s">
        <v>321</v>
      </c>
      <c r="S289" s="61" t="s">
        <v>46</v>
      </c>
      <c r="T289" s="62" t="s">
        <v>637</v>
      </c>
      <c r="U289" s="63" t="s">
        <v>26</v>
      </c>
      <c r="V289" s="63" t="s">
        <v>147</v>
      </c>
      <c r="W289" s="64">
        <v>2061</v>
      </c>
      <c r="X289" s="64">
        <v>5</v>
      </c>
      <c r="Y289" s="47"/>
      <c r="Z289" s="47"/>
    </row>
    <row r="290" spans="1:26" x14ac:dyDescent="0.25">
      <c r="A290" s="53">
        <v>45494</v>
      </c>
      <c r="B290" s="54">
        <f t="shared" si="118"/>
        <v>21</v>
      </c>
      <c r="C290" s="55" t="str" cm="1">
        <f t="array" ref="C290">INDEX(Processing!$C$11:$C$22,MONTH('ALL ORDERS'!A290))</f>
        <v>JUL</v>
      </c>
      <c r="D290" s="54">
        <f t="shared" si="119"/>
        <v>2024</v>
      </c>
      <c r="E290" s="56" t="s">
        <v>50</v>
      </c>
      <c r="F290" s="56" t="s">
        <v>137</v>
      </c>
      <c r="G290" s="100">
        <v>3120</v>
      </c>
      <c r="H290" s="100">
        <v>0</v>
      </c>
      <c r="I290" s="57"/>
      <c r="J290" s="99">
        <f t="shared" si="117"/>
        <v>3120</v>
      </c>
      <c r="K290" s="53">
        <v>45494</v>
      </c>
      <c r="L290" s="54">
        <f t="shared" si="120"/>
        <v>21</v>
      </c>
      <c r="M290" s="55" t="str" cm="1">
        <f t="array" ref="M290">INDEX(Processing!$W$6:$W$17,MONTH('ALL ORDERS'!K290))</f>
        <v>July</v>
      </c>
      <c r="N290" s="54">
        <f t="shared" si="111"/>
        <v>2024</v>
      </c>
      <c r="O290" s="58">
        <v>0.5</v>
      </c>
      <c r="P290" s="59" t="s">
        <v>175</v>
      </c>
      <c r="Q290" s="60" t="s">
        <v>94</v>
      </c>
      <c r="R290" s="56" t="s">
        <v>259</v>
      </c>
      <c r="S290" s="61" t="s">
        <v>41</v>
      </c>
      <c r="T290" s="62" t="s">
        <v>638</v>
      </c>
      <c r="U290" s="63" t="s">
        <v>24</v>
      </c>
      <c r="V290" s="63" t="s">
        <v>147</v>
      </c>
      <c r="W290" s="64">
        <v>1804</v>
      </c>
      <c r="X290" s="64">
        <v>5</v>
      </c>
      <c r="Y290" s="47"/>
      <c r="Z290" s="47"/>
    </row>
    <row r="291" spans="1:26" x14ac:dyDescent="0.25">
      <c r="A291" s="53">
        <v>45495</v>
      </c>
      <c r="B291" s="54">
        <f t="shared" si="118"/>
        <v>22</v>
      </c>
      <c r="C291" s="55" t="str" cm="1">
        <f t="array" ref="C291">INDEX(Processing!$C$11:$C$22,MONTH('ALL ORDERS'!A291))</f>
        <v>JUL</v>
      </c>
      <c r="D291" s="54">
        <f t="shared" si="119"/>
        <v>2024</v>
      </c>
      <c r="E291" s="56" t="s">
        <v>48</v>
      </c>
      <c r="F291" s="56" t="s">
        <v>137</v>
      </c>
      <c r="G291" s="100">
        <v>3210</v>
      </c>
      <c r="H291" s="100">
        <v>0</v>
      </c>
      <c r="I291" s="57"/>
      <c r="J291" s="99">
        <f t="shared" si="117"/>
        <v>3210</v>
      </c>
      <c r="K291" s="53">
        <v>45495</v>
      </c>
      <c r="L291" s="54">
        <f t="shared" si="120"/>
        <v>22</v>
      </c>
      <c r="M291" s="55" t="str" cm="1">
        <f t="array" ref="M291">INDEX(Processing!$W$6:$W$17,MONTH('ALL ORDERS'!K291))</f>
        <v>July</v>
      </c>
      <c r="N291" s="54">
        <f t="shared" si="111"/>
        <v>2024</v>
      </c>
      <c r="O291" s="58">
        <v>0.66666666666666663</v>
      </c>
      <c r="P291" s="59" t="s">
        <v>230</v>
      </c>
      <c r="Q291" s="60" t="s">
        <v>90</v>
      </c>
      <c r="R291" s="56" t="s">
        <v>330</v>
      </c>
      <c r="S291" s="61" t="s">
        <v>43</v>
      </c>
      <c r="T291" s="62" t="s">
        <v>639</v>
      </c>
      <c r="U291" s="63" t="s">
        <v>26</v>
      </c>
      <c r="V291" s="63" t="s">
        <v>147</v>
      </c>
      <c r="W291" s="64">
        <v>1825</v>
      </c>
      <c r="X291" s="64">
        <v>5</v>
      </c>
      <c r="Y291" s="47"/>
      <c r="Z291" s="47"/>
    </row>
    <row r="292" spans="1:26" x14ac:dyDescent="0.25">
      <c r="A292" s="53">
        <v>45496</v>
      </c>
      <c r="B292" s="54">
        <f t="shared" si="118"/>
        <v>23</v>
      </c>
      <c r="C292" s="55" t="str" cm="1">
        <f t="array" ref="C292">INDEX(Processing!$C$11:$C$22,MONTH('ALL ORDERS'!A292))</f>
        <v>JUL</v>
      </c>
      <c r="D292" s="54">
        <f t="shared" si="119"/>
        <v>2024</v>
      </c>
      <c r="E292" s="56" t="s">
        <v>51</v>
      </c>
      <c r="F292" s="56" t="s">
        <v>19</v>
      </c>
      <c r="G292" s="100">
        <v>1940</v>
      </c>
      <c r="H292" s="100">
        <v>30000</v>
      </c>
      <c r="I292" s="57"/>
      <c r="J292" s="99">
        <f t="shared" si="117"/>
        <v>31940</v>
      </c>
      <c r="K292" s="53">
        <v>45496</v>
      </c>
      <c r="L292" s="54">
        <f t="shared" si="120"/>
        <v>23</v>
      </c>
      <c r="M292" s="55" t="str" cm="1">
        <f t="array" ref="M292">INDEX(Processing!$W$6:$W$17,MONTH('ALL ORDERS'!K292))</f>
        <v>July</v>
      </c>
      <c r="N292" s="54">
        <f t="shared" si="111"/>
        <v>2024</v>
      </c>
      <c r="O292" s="58">
        <v>0.75</v>
      </c>
      <c r="P292" s="59" t="s">
        <v>169</v>
      </c>
      <c r="Q292" s="60" t="s">
        <v>94</v>
      </c>
      <c r="R292" s="56" t="s">
        <v>252</v>
      </c>
      <c r="S292" s="61" t="s">
        <v>45</v>
      </c>
      <c r="T292" s="62" t="s">
        <v>640</v>
      </c>
      <c r="U292" s="63" t="s">
        <v>24</v>
      </c>
      <c r="V292" s="63" t="s">
        <v>147</v>
      </c>
      <c r="W292" s="64">
        <v>2062</v>
      </c>
      <c r="X292" s="64">
        <v>5</v>
      </c>
      <c r="Y292" s="47"/>
      <c r="Z292" s="47"/>
    </row>
    <row r="293" spans="1:26" x14ac:dyDescent="0.25">
      <c r="A293" s="53">
        <v>45497</v>
      </c>
      <c r="B293" s="54">
        <f t="shared" si="118"/>
        <v>24</v>
      </c>
      <c r="C293" s="55" t="str" cm="1">
        <f t="array" ref="C293">INDEX(Processing!$C$11:$C$22,MONTH('ALL ORDERS'!A293))</f>
        <v>JUL</v>
      </c>
      <c r="D293" s="54">
        <f t="shared" si="119"/>
        <v>2024</v>
      </c>
      <c r="E293" s="56" t="s">
        <v>49</v>
      </c>
      <c r="F293" s="56" t="s">
        <v>152</v>
      </c>
      <c r="G293" s="100">
        <v>3410</v>
      </c>
      <c r="H293" s="100">
        <v>0</v>
      </c>
      <c r="I293" s="57"/>
      <c r="J293" s="99">
        <f t="shared" si="117"/>
        <v>3410</v>
      </c>
      <c r="K293" s="53">
        <v>45497</v>
      </c>
      <c r="L293" s="54">
        <f t="shared" si="120"/>
        <v>24</v>
      </c>
      <c r="M293" s="55" t="str" cm="1">
        <f t="array" ref="M293">INDEX(Processing!$W$6:$W$17,MONTH('ALL ORDERS'!K293))</f>
        <v>July</v>
      </c>
      <c r="N293" s="54">
        <f t="shared" si="111"/>
        <v>2024</v>
      </c>
      <c r="O293" s="58">
        <v>0.41666666666666669</v>
      </c>
      <c r="P293" s="59" t="s">
        <v>203</v>
      </c>
      <c r="Q293" s="60" t="s">
        <v>94</v>
      </c>
      <c r="R293" s="56" t="s">
        <v>290</v>
      </c>
      <c r="S293" s="61" t="s">
        <v>43</v>
      </c>
      <c r="T293" s="62" t="s">
        <v>641</v>
      </c>
      <c r="U293" s="63" t="s">
        <v>24</v>
      </c>
      <c r="V293" s="63" t="s">
        <v>147</v>
      </c>
      <c r="W293" s="64">
        <v>3836</v>
      </c>
      <c r="X293" s="64">
        <v>5</v>
      </c>
      <c r="Y293" s="47"/>
      <c r="Z293" s="47"/>
    </row>
    <row r="294" spans="1:26" x14ac:dyDescent="0.25">
      <c r="A294" s="53">
        <v>45498</v>
      </c>
      <c r="B294" s="54">
        <f t="shared" si="118"/>
        <v>25</v>
      </c>
      <c r="C294" s="55" t="str" cm="1">
        <f t="array" ref="C294">INDEX(Processing!$C$11:$C$22,MONTH('ALL ORDERS'!A294))</f>
        <v>JUL</v>
      </c>
      <c r="D294" s="54">
        <f t="shared" si="119"/>
        <v>2024</v>
      </c>
      <c r="E294" s="56" t="s">
        <v>47</v>
      </c>
      <c r="F294" s="56" t="s">
        <v>124</v>
      </c>
      <c r="G294" s="100">
        <v>0</v>
      </c>
      <c r="H294" s="100">
        <v>1440</v>
      </c>
      <c r="I294" s="57"/>
      <c r="J294" s="99">
        <f t="shared" si="117"/>
        <v>1440</v>
      </c>
      <c r="K294" s="53">
        <v>45498</v>
      </c>
      <c r="L294" s="54">
        <f t="shared" si="120"/>
        <v>25</v>
      </c>
      <c r="M294" s="55" t="str" cm="1">
        <f t="array" ref="M294">INDEX(Processing!$W$6:$W$17,MONTH('ALL ORDERS'!K294))</f>
        <v>July</v>
      </c>
      <c r="N294" s="54">
        <f t="shared" si="111"/>
        <v>2024</v>
      </c>
      <c r="O294" s="58">
        <v>0.5</v>
      </c>
      <c r="P294" s="59" t="s">
        <v>171</v>
      </c>
      <c r="Q294" s="60" t="s">
        <v>94</v>
      </c>
      <c r="R294" s="56" t="s">
        <v>255</v>
      </c>
      <c r="S294" s="61" t="s">
        <v>44</v>
      </c>
      <c r="T294" s="62" t="s">
        <v>642</v>
      </c>
      <c r="U294" s="63" t="s">
        <v>24</v>
      </c>
      <c r="V294" s="63" t="s">
        <v>147</v>
      </c>
      <c r="W294" s="64">
        <v>1895</v>
      </c>
      <c r="X294" s="64">
        <v>5</v>
      </c>
      <c r="Y294" s="47"/>
      <c r="Z294" s="47"/>
    </row>
    <row r="295" spans="1:26" x14ac:dyDescent="0.25">
      <c r="A295" s="53">
        <v>45499</v>
      </c>
      <c r="B295" s="54">
        <f t="shared" si="118"/>
        <v>26</v>
      </c>
      <c r="C295" s="55" t="str" cm="1">
        <f t="array" ref="C295">INDEX(Processing!$C$11:$C$22,MONTH('ALL ORDERS'!A295))</f>
        <v>JUL</v>
      </c>
      <c r="D295" s="54">
        <f t="shared" si="119"/>
        <v>2024</v>
      </c>
      <c r="E295" s="56" t="s">
        <v>50</v>
      </c>
      <c r="F295" s="56" t="s">
        <v>126</v>
      </c>
      <c r="G295" s="100">
        <v>0</v>
      </c>
      <c r="H295" s="100">
        <v>1260</v>
      </c>
      <c r="I295" s="57"/>
      <c r="J295" s="99">
        <f t="shared" si="117"/>
        <v>1260</v>
      </c>
      <c r="K295" s="53">
        <v>45499</v>
      </c>
      <c r="L295" s="54">
        <f t="shared" si="120"/>
        <v>26</v>
      </c>
      <c r="M295" s="55" t="str" cm="1">
        <f t="array" ref="M295">INDEX(Processing!$W$6:$W$17,MONTH('ALL ORDERS'!K295))</f>
        <v>July</v>
      </c>
      <c r="N295" s="54">
        <f t="shared" si="111"/>
        <v>2024</v>
      </c>
      <c r="O295" s="58">
        <v>0.66666666666666663</v>
      </c>
      <c r="P295" s="59" t="s">
        <v>207</v>
      </c>
      <c r="Q295" s="60" t="s">
        <v>94</v>
      </c>
      <c r="R295" s="56" t="s">
        <v>295</v>
      </c>
      <c r="S295" s="61" t="s">
        <v>41</v>
      </c>
      <c r="T295" s="62" t="s">
        <v>643</v>
      </c>
      <c r="U295" s="63" t="s">
        <v>26</v>
      </c>
      <c r="V295" s="63" t="s">
        <v>147</v>
      </c>
      <c r="W295" s="64">
        <v>3393</v>
      </c>
      <c r="X295" s="64">
        <v>4</v>
      </c>
      <c r="Y295" s="47"/>
      <c r="Z295" s="47"/>
    </row>
    <row r="296" spans="1:26" x14ac:dyDescent="0.25">
      <c r="A296" s="53">
        <v>45494</v>
      </c>
      <c r="B296" s="54">
        <f t="shared" si="118"/>
        <v>21</v>
      </c>
      <c r="C296" s="55" t="str" cm="1">
        <f t="array" ref="C296">INDEX(Processing!$C$11:$C$22,MONTH('ALL ORDERS'!A296))</f>
        <v>JUL</v>
      </c>
      <c r="D296" s="54">
        <f t="shared" si="119"/>
        <v>2024</v>
      </c>
      <c r="E296" s="56" t="s">
        <v>47</v>
      </c>
      <c r="F296" s="56" t="s">
        <v>127</v>
      </c>
      <c r="G296" s="100">
        <v>0</v>
      </c>
      <c r="H296" s="100">
        <v>2150</v>
      </c>
      <c r="I296" s="57"/>
      <c r="J296" s="99">
        <f t="shared" si="117"/>
        <v>2150</v>
      </c>
      <c r="K296" s="53">
        <v>45494</v>
      </c>
      <c r="L296" s="54">
        <f t="shared" si="120"/>
        <v>21</v>
      </c>
      <c r="M296" s="55" t="str" cm="1">
        <f t="array" ref="M296">INDEX(Processing!$W$6:$W$17,MONTH('ALL ORDERS'!K296))</f>
        <v>July</v>
      </c>
      <c r="N296" s="54">
        <f t="shared" si="111"/>
        <v>2024</v>
      </c>
      <c r="O296" s="58">
        <v>0.75</v>
      </c>
      <c r="P296" s="59" t="s">
        <v>230</v>
      </c>
      <c r="Q296" s="60" t="s">
        <v>90</v>
      </c>
      <c r="R296" s="56" t="s">
        <v>330</v>
      </c>
      <c r="S296" s="61" t="s">
        <v>46</v>
      </c>
      <c r="T296" s="62" t="s">
        <v>644</v>
      </c>
      <c r="U296" s="63" t="s">
        <v>26</v>
      </c>
      <c r="V296" s="63" t="s">
        <v>147</v>
      </c>
      <c r="W296" s="64">
        <v>1637</v>
      </c>
      <c r="X296" s="64">
        <v>4</v>
      </c>
      <c r="Y296" s="47"/>
      <c r="Z296" s="47"/>
    </row>
    <row r="297" spans="1:26" x14ac:dyDescent="0.25">
      <c r="A297" s="53">
        <v>45494</v>
      </c>
      <c r="B297" s="54">
        <f t="shared" si="118"/>
        <v>21</v>
      </c>
      <c r="C297" s="55" t="str" cm="1">
        <f t="array" ref="C297">INDEX(Processing!$C$11:$C$22,MONTH('ALL ORDERS'!A297))</f>
        <v>JUL</v>
      </c>
      <c r="D297" s="54">
        <f t="shared" si="119"/>
        <v>2024</v>
      </c>
      <c r="E297" s="56" t="s">
        <v>48</v>
      </c>
      <c r="F297" s="56" t="s">
        <v>124</v>
      </c>
      <c r="G297" s="100">
        <v>0</v>
      </c>
      <c r="H297" s="100">
        <v>1120</v>
      </c>
      <c r="I297" s="57"/>
      <c r="J297" s="99">
        <f t="shared" si="117"/>
        <v>1120</v>
      </c>
      <c r="K297" s="53">
        <v>45494</v>
      </c>
      <c r="L297" s="54">
        <f t="shared" si="120"/>
        <v>21</v>
      </c>
      <c r="M297" s="55" t="str" cm="1">
        <f t="array" ref="M297">INDEX(Processing!$W$6:$W$17,MONTH('ALL ORDERS'!K297))</f>
        <v>July</v>
      </c>
      <c r="N297" s="54">
        <f t="shared" si="111"/>
        <v>2024</v>
      </c>
      <c r="O297" s="58">
        <v>0.41666666666666669</v>
      </c>
      <c r="P297" s="59" t="s">
        <v>337</v>
      </c>
      <c r="Q297" s="60" t="s">
        <v>94</v>
      </c>
      <c r="R297" s="56" t="s">
        <v>243</v>
      </c>
      <c r="S297" s="61" t="s">
        <v>46</v>
      </c>
      <c r="T297" s="70">
        <v>38900888990</v>
      </c>
      <c r="U297" s="63" t="s">
        <v>24</v>
      </c>
      <c r="V297" s="63" t="s">
        <v>147</v>
      </c>
      <c r="W297" s="64">
        <v>1839</v>
      </c>
      <c r="X297" s="64">
        <v>4</v>
      </c>
      <c r="Y297" s="47"/>
      <c r="Z297" s="47"/>
    </row>
    <row r="298" spans="1:26" x14ac:dyDescent="0.25">
      <c r="A298" s="53">
        <v>45494</v>
      </c>
      <c r="B298" s="54">
        <f t="shared" si="118"/>
        <v>21</v>
      </c>
      <c r="C298" s="55" t="str" cm="1">
        <f t="array" ref="C298">INDEX(Processing!$C$11:$C$22,MONTH('ALL ORDERS'!A298))</f>
        <v>JUL</v>
      </c>
      <c r="D298" s="54">
        <f t="shared" si="119"/>
        <v>2024</v>
      </c>
      <c r="E298" s="56" t="s">
        <v>49</v>
      </c>
      <c r="F298" s="56" t="s">
        <v>152</v>
      </c>
      <c r="G298" s="100">
        <v>0</v>
      </c>
      <c r="H298" s="100">
        <v>3850</v>
      </c>
      <c r="I298" s="57">
        <v>0.15</v>
      </c>
      <c r="J298" s="99">
        <f t="shared" si="117"/>
        <v>3850</v>
      </c>
      <c r="K298" s="53">
        <v>45494</v>
      </c>
      <c r="L298" s="54">
        <f t="shared" si="120"/>
        <v>21</v>
      </c>
      <c r="M298" s="55" t="str" cm="1">
        <f t="array" ref="M298">INDEX(Processing!$W$6:$W$17,MONTH('ALL ORDERS'!K298))</f>
        <v>July</v>
      </c>
      <c r="N298" s="54">
        <f t="shared" si="111"/>
        <v>2024</v>
      </c>
      <c r="O298" s="58">
        <v>0.5</v>
      </c>
      <c r="P298" s="59" t="s">
        <v>206</v>
      </c>
      <c r="Q298" s="60" t="s">
        <v>94</v>
      </c>
      <c r="R298" s="56" t="s">
        <v>294</v>
      </c>
      <c r="S298" s="61" t="s">
        <v>41</v>
      </c>
      <c r="T298" s="62" t="s">
        <v>645</v>
      </c>
      <c r="U298" s="63" t="s">
        <v>26</v>
      </c>
      <c r="V298" s="63" t="s">
        <v>147</v>
      </c>
      <c r="W298" s="64">
        <v>2093</v>
      </c>
      <c r="X298" s="64">
        <v>4</v>
      </c>
      <c r="Y298" s="47"/>
      <c r="Z298" s="47"/>
    </row>
    <row r="299" spans="1:26" x14ac:dyDescent="0.25">
      <c r="A299" s="53">
        <v>45495</v>
      </c>
      <c r="B299" s="54">
        <f t="shared" ref="B299" si="121">DAY(A299)</f>
        <v>22</v>
      </c>
      <c r="C299" s="55" t="str" cm="1">
        <f t="array" ref="C299">INDEX(Processing!$C$11:$C$22,MONTH('ALL ORDERS'!A299))</f>
        <v>JUL</v>
      </c>
      <c r="D299" s="54">
        <f t="shared" ref="D299" si="122">YEAR(A299)</f>
        <v>2024</v>
      </c>
      <c r="E299" s="56" t="s">
        <v>49</v>
      </c>
      <c r="F299" s="56" t="s">
        <v>152</v>
      </c>
      <c r="G299" s="100">
        <v>14800</v>
      </c>
      <c r="H299" s="100">
        <v>0</v>
      </c>
      <c r="I299" s="57">
        <v>0.15</v>
      </c>
      <c r="J299" s="99">
        <f t="shared" si="117"/>
        <v>14800</v>
      </c>
      <c r="K299" s="53">
        <v>45495</v>
      </c>
      <c r="L299" s="54">
        <f t="shared" si="120"/>
        <v>22</v>
      </c>
      <c r="M299" s="55" t="str" cm="1">
        <f t="array" ref="M299">INDEX(Processing!$W$6:$W$17,MONTH('ALL ORDERS'!K299))</f>
        <v>July</v>
      </c>
      <c r="N299" s="54">
        <f t="shared" ref="N299" si="123">YEAR(K299)</f>
        <v>2024</v>
      </c>
      <c r="O299" s="58">
        <v>0.54166666666666696</v>
      </c>
      <c r="P299" s="59" t="s">
        <v>207</v>
      </c>
      <c r="Q299" s="60" t="s">
        <v>94</v>
      </c>
      <c r="R299" s="56" t="s">
        <v>1093</v>
      </c>
      <c r="S299" s="61" t="s">
        <v>41</v>
      </c>
      <c r="T299" s="62" t="s">
        <v>656</v>
      </c>
      <c r="U299" s="63" t="s">
        <v>26</v>
      </c>
      <c r="V299" s="63" t="s">
        <v>147</v>
      </c>
      <c r="W299" s="64">
        <v>2089</v>
      </c>
      <c r="X299" s="64">
        <v>5</v>
      </c>
      <c r="Y299" s="47"/>
      <c r="Z299" s="47"/>
    </row>
    <row r="300" spans="1:26" x14ac:dyDescent="0.25">
      <c r="A300" s="53">
        <v>45503</v>
      </c>
      <c r="B300" s="54">
        <f t="shared" si="118"/>
        <v>30</v>
      </c>
      <c r="C300" s="55" t="str" cm="1">
        <f t="array" ref="C300">INDEX(Processing!$C$11:$C$22,MONTH('ALL ORDERS'!A300))</f>
        <v>JUL</v>
      </c>
      <c r="D300" s="54">
        <f t="shared" si="119"/>
        <v>2024</v>
      </c>
      <c r="E300" s="56" t="s">
        <v>47</v>
      </c>
      <c r="F300" s="56" t="s">
        <v>135</v>
      </c>
      <c r="G300" s="100">
        <v>0</v>
      </c>
      <c r="H300" s="100">
        <v>1150</v>
      </c>
      <c r="I300" s="57"/>
      <c r="J300" s="99">
        <f t="shared" si="117"/>
        <v>1150</v>
      </c>
      <c r="K300" s="53">
        <v>45503</v>
      </c>
      <c r="L300" s="54">
        <f t="shared" si="120"/>
        <v>30</v>
      </c>
      <c r="M300" s="55" t="str" cm="1">
        <f t="array" ref="M300">INDEX(Processing!$W$6:$W$17,MONTH('ALL ORDERS'!K300))</f>
        <v>July</v>
      </c>
      <c r="N300" s="54">
        <f t="shared" si="111"/>
        <v>2024</v>
      </c>
      <c r="O300" s="58">
        <v>0.66666666666666663</v>
      </c>
      <c r="P300" s="59" t="s">
        <v>344</v>
      </c>
      <c r="Q300" s="60" t="s">
        <v>90</v>
      </c>
      <c r="R300" s="56" t="s">
        <v>306</v>
      </c>
      <c r="S300" s="61" t="s">
        <v>43</v>
      </c>
      <c r="T300" s="62" t="s">
        <v>646</v>
      </c>
      <c r="U300" s="63" t="s">
        <v>27</v>
      </c>
      <c r="V300" s="63" t="s">
        <v>147</v>
      </c>
      <c r="W300" s="64">
        <v>2913</v>
      </c>
      <c r="X300" s="64">
        <v>4</v>
      </c>
      <c r="Y300" s="47"/>
      <c r="Z300" s="47"/>
    </row>
    <row r="301" spans="1:26" x14ac:dyDescent="0.25">
      <c r="A301" s="53">
        <v>45504</v>
      </c>
      <c r="B301" s="54">
        <f t="shared" si="118"/>
        <v>31</v>
      </c>
      <c r="C301" s="55" t="str" cm="1">
        <f t="array" ref="C301">INDEX(Processing!$C$11:$C$22,MONTH('ALL ORDERS'!A301))</f>
        <v>JUL</v>
      </c>
      <c r="D301" s="54">
        <f t="shared" si="119"/>
        <v>2024</v>
      </c>
      <c r="E301" s="56" t="s">
        <v>50</v>
      </c>
      <c r="F301" s="56" t="s">
        <v>126</v>
      </c>
      <c r="G301" s="100">
        <v>0</v>
      </c>
      <c r="H301" s="100">
        <v>3190</v>
      </c>
      <c r="I301" s="57"/>
      <c r="J301" s="99">
        <f t="shared" si="117"/>
        <v>3190</v>
      </c>
      <c r="K301" s="53">
        <v>45504</v>
      </c>
      <c r="L301" s="54">
        <f t="shared" si="120"/>
        <v>31</v>
      </c>
      <c r="M301" s="55" t="str" cm="1">
        <f t="array" ref="M301">INDEX(Processing!$W$6:$W$17,MONTH('ALL ORDERS'!K301))</f>
        <v>July</v>
      </c>
      <c r="N301" s="54">
        <f t="shared" si="111"/>
        <v>2024</v>
      </c>
      <c r="O301" s="58">
        <v>0.75</v>
      </c>
      <c r="P301" s="59" t="s">
        <v>197</v>
      </c>
      <c r="Q301" s="60" t="s">
        <v>94</v>
      </c>
      <c r="R301" s="56" t="s">
        <v>284</v>
      </c>
      <c r="S301" s="61" t="s">
        <v>45</v>
      </c>
      <c r="T301" s="62" t="s">
        <v>647</v>
      </c>
      <c r="U301" s="63" t="s">
        <v>23</v>
      </c>
      <c r="V301" s="63" t="s">
        <v>147</v>
      </c>
      <c r="W301" s="64">
        <v>1316</v>
      </c>
      <c r="X301" s="64">
        <v>4</v>
      </c>
      <c r="Y301" s="47"/>
      <c r="Z301" s="47"/>
    </row>
    <row r="302" spans="1:26" x14ac:dyDescent="0.25">
      <c r="A302" s="53">
        <v>45505</v>
      </c>
      <c r="B302" s="54">
        <f t="shared" si="118"/>
        <v>1</v>
      </c>
      <c r="C302" s="55" t="str" cm="1">
        <f t="array" ref="C302">INDEX(Processing!$C$11:$C$22,MONTH('ALL ORDERS'!A302))</f>
        <v>AUG</v>
      </c>
      <c r="D302" s="54">
        <f t="shared" si="119"/>
        <v>2024</v>
      </c>
      <c r="E302" s="56" t="s">
        <v>48</v>
      </c>
      <c r="F302" s="56" t="s">
        <v>124</v>
      </c>
      <c r="G302" s="100">
        <v>0</v>
      </c>
      <c r="H302" s="100">
        <v>1800</v>
      </c>
      <c r="I302" s="57"/>
      <c r="J302" s="99">
        <f t="shared" si="117"/>
        <v>1800</v>
      </c>
      <c r="K302" s="53">
        <v>45505</v>
      </c>
      <c r="L302" s="54">
        <f t="shared" si="120"/>
        <v>1</v>
      </c>
      <c r="M302" s="55" t="str" cm="1">
        <f t="array" ref="M302">INDEX(Processing!$W$6:$W$17,MONTH('ALL ORDERS'!K302))</f>
        <v>August</v>
      </c>
      <c r="N302" s="54">
        <f t="shared" si="111"/>
        <v>2024</v>
      </c>
      <c r="O302" s="58">
        <v>0.375</v>
      </c>
      <c r="P302" s="59" t="s">
        <v>343</v>
      </c>
      <c r="Q302" s="60" t="s">
        <v>94</v>
      </c>
      <c r="R302" s="56" t="s">
        <v>303</v>
      </c>
      <c r="S302" s="61" t="s">
        <v>43</v>
      </c>
      <c r="T302" s="62" t="s">
        <v>648</v>
      </c>
      <c r="U302" s="63" t="s">
        <v>25</v>
      </c>
      <c r="V302" s="63" t="s">
        <v>147</v>
      </c>
      <c r="W302" s="64">
        <v>3095</v>
      </c>
      <c r="X302" s="64">
        <v>4</v>
      </c>
      <c r="Y302" s="47"/>
      <c r="Z302" s="47"/>
    </row>
    <row r="303" spans="1:26" x14ac:dyDescent="0.25">
      <c r="A303" s="53">
        <v>45506</v>
      </c>
      <c r="B303" s="54">
        <f t="shared" si="118"/>
        <v>2</v>
      </c>
      <c r="C303" s="55" t="str" cm="1">
        <f t="array" ref="C303">INDEX(Processing!$C$11:$C$22,MONTH('ALL ORDERS'!A303))</f>
        <v>AUG</v>
      </c>
      <c r="D303" s="54">
        <f t="shared" si="119"/>
        <v>2024</v>
      </c>
      <c r="E303" s="56" t="s">
        <v>47</v>
      </c>
      <c r="F303" s="56" t="s">
        <v>123</v>
      </c>
      <c r="G303" s="100">
        <v>0</v>
      </c>
      <c r="H303" s="100">
        <v>1800</v>
      </c>
      <c r="I303" s="57"/>
      <c r="J303" s="99">
        <f t="shared" si="117"/>
        <v>1800</v>
      </c>
      <c r="K303" s="53">
        <v>45506</v>
      </c>
      <c r="L303" s="54">
        <f t="shared" si="120"/>
        <v>2</v>
      </c>
      <c r="M303" s="55" t="str" cm="1">
        <f t="array" ref="M303">INDEX(Processing!$W$6:$W$17,MONTH('ALL ORDERS'!K303))</f>
        <v>August</v>
      </c>
      <c r="N303" s="54">
        <f t="shared" si="111"/>
        <v>2024</v>
      </c>
      <c r="O303" s="58">
        <v>0.45833333333333331</v>
      </c>
      <c r="P303" s="59" t="s">
        <v>187</v>
      </c>
      <c r="Q303" s="60" t="s">
        <v>94</v>
      </c>
      <c r="R303" s="56" t="s">
        <v>272</v>
      </c>
      <c r="S303" s="61" t="s">
        <v>43</v>
      </c>
      <c r="T303" s="62" t="s">
        <v>649</v>
      </c>
      <c r="U303" s="63" t="s">
        <v>23</v>
      </c>
      <c r="V303" s="63" t="s">
        <v>147</v>
      </c>
      <c r="W303" s="64">
        <v>1823</v>
      </c>
      <c r="X303" s="64">
        <v>4</v>
      </c>
      <c r="Y303" s="47"/>
      <c r="Z303" s="47"/>
    </row>
    <row r="304" spans="1:26" x14ac:dyDescent="0.25">
      <c r="A304" s="53">
        <v>45507</v>
      </c>
      <c r="B304" s="54">
        <f t="shared" si="118"/>
        <v>3</v>
      </c>
      <c r="C304" s="55" t="str" cm="1">
        <f t="array" ref="C304">INDEX(Processing!$C$11:$C$22,MONTH('ALL ORDERS'!A304))</f>
        <v>AUG</v>
      </c>
      <c r="D304" s="54">
        <f t="shared" si="119"/>
        <v>2024</v>
      </c>
      <c r="E304" s="56" t="s">
        <v>50</v>
      </c>
      <c r="F304" s="56" t="s">
        <v>121</v>
      </c>
      <c r="G304" s="100">
        <v>1830</v>
      </c>
      <c r="H304" s="100">
        <v>0</v>
      </c>
      <c r="I304" s="57"/>
      <c r="J304" s="99">
        <f t="shared" si="117"/>
        <v>1830</v>
      </c>
      <c r="K304" s="53">
        <v>45507</v>
      </c>
      <c r="L304" s="54">
        <f t="shared" si="120"/>
        <v>3</v>
      </c>
      <c r="M304" s="55" t="str" cm="1">
        <f t="array" ref="M304">INDEX(Processing!$W$6:$W$17,MONTH('ALL ORDERS'!K304))</f>
        <v>August</v>
      </c>
      <c r="N304" s="54">
        <f t="shared" si="111"/>
        <v>2024</v>
      </c>
      <c r="O304" s="58">
        <v>0.625</v>
      </c>
      <c r="P304" s="59" t="s">
        <v>211</v>
      </c>
      <c r="Q304" s="60" t="s">
        <v>94</v>
      </c>
      <c r="R304" s="56" t="s">
        <v>299</v>
      </c>
      <c r="S304" s="61" t="s">
        <v>45</v>
      </c>
      <c r="T304" s="62" t="s">
        <v>650</v>
      </c>
      <c r="U304" s="63" t="s">
        <v>26</v>
      </c>
      <c r="V304" s="63" t="s">
        <v>147</v>
      </c>
      <c r="W304" s="64">
        <v>1340</v>
      </c>
      <c r="X304" s="64">
        <v>4</v>
      </c>
      <c r="Y304" s="47"/>
      <c r="Z304" s="47"/>
    </row>
    <row r="305" spans="1:26" x14ac:dyDescent="0.25">
      <c r="A305" s="53">
        <v>45508</v>
      </c>
      <c r="B305" s="54">
        <f t="shared" si="118"/>
        <v>4</v>
      </c>
      <c r="C305" s="55" t="str" cm="1">
        <f t="array" ref="C305">INDEX(Processing!$C$11:$C$22,MONTH('ALL ORDERS'!A305))</f>
        <v>AUG</v>
      </c>
      <c r="D305" s="54">
        <f t="shared" si="119"/>
        <v>2024</v>
      </c>
      <c r="E305" s="56" t="s">
        <v>47</v>
      </c>
      <c r="F305" s="56" t="s">
        <v>128</v>
      </c>
      <c r="G305" s="100">
        <v>2050</v>
      </c>
      <c r="H305" s="100">
        <v>0</v>
      </c>
      <c r="I305" s="57"/>
      <c r="J305" s="99">
        <f t="shared" si="117"/>
        <v>2050</v>
      </c>
      <c r="K305" s="53">
        <v>45508</v>
      </c>
      <c r="L305" s="54">
        <f t="shared" si="120"/>
        <v>4</v>
      </c>
      <c r="M305" s="55" t="str" cm="1">
        <f t="array" ref="M305">INDEX(Processing!$W$6:$W$17,MONTH('ALL ORDERS'!K305))</f>
        <v>August</v>
      </c>
      <c r="N305" s="54">
        <f t="shared" si="111"/>
        <v>2024</v>
      </c>
      <c r="O305" s="58">
        <v>0.45833333333333331</v>
      </c>
      <c r="P305" s="59" t="s">
        <v>340</v>
      </c>
      <c r="Q305" s="60" t="e">
        <v>#N/A</v>
      </c>
      <c r="R305" s="56" t="s">
        <v>273</v>
      </c>
      <c r="S305" s="61" t="s">
        <v>46</v>
      </c>
      <c r="T305" s="62" t="s">
        <v>651</v>
      </c>
      <c r="U305" s="63" t="s">
        <v>24</v>
      </c>
      <c r="V305" s="63" t="s">
        <v>147</v>
      </c>
      <c r="W305" s="64">
        <v>992</v>
      </c>
      <c r="X305" s="64">
        <v>4</v>
      </c>
      <c r="Y305" s="47"/>
      <c r="Z305" s="47"/>
    </row>
    <row r="306" spans="1:26" x14ac:dyDescent="0.25">
      <c r="A306" s="53">
        <v>45508</v>
      </c>
      <c r="B306" s="54">
        <f t="shared" si="118"/>
        <v>4</v>
      </c>
      <c r="C306" s="55" t="str" cm="1">
        <f t="array" ref="C306">INDEX(Processing!$C$11:$C$22,MONTH('ALL ORDERS'!A306))</f>
        <v>AUG</v>
      </c>
      <c r="D306" s="54">
        <f t="shared" si="119"/>
        <v>2024</v>
      </c>
      <c r="E306" s="56" t="s">
        <v>51</v>
      </c>
      <c r="F306" s="56" t="s">
        <v>19</v>
      </c>
      <c r="G306" s="100">
        <v>1810</v>
      </c>
      <c r="H306" s="100">
        <v>0</v>
      </c>
      <c r="I306" s="57">
        <v>0.15</v>
      </c>
      <c r="J306" s="99">
        <f t="shared" si="117"/>
        <v>1810</v>
      </c>
      <c r="K306" s="53">
        <v>45508</v>
      </c>
      <c r="L306" s="54">
        <f t="shared" si="120"/>
        <v>4</v>
      </c>
      <c r="M306" s="55" t="str" cm="1">
        <f t="array" ref="M306">INDEX(Processing!$W$6:$W$17,MONTH('ALL ORDERS'!K306))</f>
        <v>August</v>
      </c>
      <c r="N306" s="54">
        <f t="shared" si="111"/>
        <v>2024</v>
      </c>
      <c r="O306" s="58">
        <v>0.375</v>
      </c>
      <c r="P306" s="59" t="s">
        <v>185</v>
      </c>
      <c r="Q306" s="60" t="s">
        <v>94</v>
      </c>
      <c r="R306" s="56" t="s">
        <v>270</v>
      </c>
      <c r="S306" s="61" t="s">
        <v>41</v>
      </c>
      <c r="T306" s="62" t="s">
        <v>652</v>
      </c>
      <c r="U306" s="63" t="s">
        <v>24</v>
      </c>
      <c r="V306" s="63" t="s">
        <v>147</v>
      </c>
      <c r="W306" s="64">
        <v>2850</v>
      </c>
      <c r="X306" s="64">
        <v>4</v>
      </c>
      <c r="Y306" s="47"/>
      <c r="Z306" s="47"/>
    </row>
    <row r="307" spans="1:26" x14ac:dyDescent="0.25">
      <c r="A307" s="53">
        <v>45508</v>
      </c>
      <c r="B307" s="54">
        <f t="shared" si="118"/>
        <v>4</v>
      </c>
      <c r="C307" s="55" t="str" cm="1">
        <f t="array" ref="C307">INDEX(Processing!$C$11:$C$22,MONTH('ALL ORDERS'!A307))</f>
        <v>AUG</v>
      </c>
      <c r="D307" s="54">
        <f t="shared" si="119"/>
        <v>2024</v>
      </c>
      <c r="E307" s="56" t="s">
        <v>49</v>
      </c>
      <c r="F307" s="56" t="s">
        <v>20</v>
      </c>
      <c r="G307" s="100">
        <v>1110</v>
      </c>
      <c r="H307" s="100">
        <v>0</v>
      </c>
      <c r="I307" s="57"/>
      <c r="J307" s="99">
        <f t="shared" si="117"/>
        <v>1110</v>
      </c>
      <c r="K307" s="53">
        <v>45508</v>
      </c>
      <c r="L307" s="54">
        <f t="shared" si="120"/>
        <v>4</v>
      </c>
      <c r="M307" s="55" t="str" cm="1">
        <f t="array" ref="M307">INDEX(Processing!$W$6:$W$17,MONTH('ALL ORDERS'!K307))</f>
        <v>August</v>
      </c>
      <c r="N307" s="54">
        <f t="shared" si="111"/>
        <v>2024</v>
      </c>
      <c r="O307" s="58">
        <v>0.45833333333333331</v>
      </c>
      <c r="P307" s="59" t="s">
        <v>215</v>
      </c>
      <c r="Q307" s="60" t="s">
        <v>94</v>
      </c>
      <c r="R307" s="56" t="s">
        <v>304</v>
      </c>
      <c r="S307" s="61" t="s">
        <v>42</v>
      </c>
      <c r="T307" s="62" t="s">
        <v>653</v>
      </c>
      <c r="U307" s="63" t="s">
        <v>26</v>
      </c>
      <c r="V307" s="63" t="s">
        <v>147</v>
      </c>
      <c r="W307" s="64">
        <v>3176</v>
      </c>
      <c r="X307" s="64">
        <v>4</v>
      </c>
      <c r="Y307" s="47"/>
      <c r="Z307" s="47"/>
    </row>
    <row r="308" spans="1:26" x14ac:dyDescent="0.25">
      <c r="A308" s="53">
        <v>45505</v>
      </c>
      <c r="B308" s="54">
        <f t="shared" si="118"/>
        <v>1</v>
      </c>
      <c r="C308" s="55" t="str" cm="1">
        <f t="array" ref="C308">INDEX(Processing!$C$11:$C$22,MONTH('ALL ORDERS'!A308))</f>
        <v>AUG</v>
      </c>
      <c r="D308" s="54">
        <f t="shared" si="119"/>
        <v>2024</v>
      </c>
      <c r="E308" s="56" t="s">
        <v>47</v>
      </c>
      <c r="F308" s="56" t="s">
        <v>21</v>
      </c>
      <c r="G308" s="100">
        <v>1210</v>
      </c>
      <c r="H308" s="100">
        <v>0</v>
      </c>
      <c r="I308" s="57"/>
      <c r="J308" s="99">
        <f t="shared" si="117"/>
        <v>1210</v>
      </c>
      <c r="K308" s="53">
        <v>45505</v>
      </c>
      <c r="L308" s="54">
        <f t="shared" si="120"/>
        <v>1</v>
      </c>
      <c r="M308" s="55" t="str" cm="1">
        <f t="array" ref="M308">INDEX(Processing!$W$6:$W$17,MONTH('ALL ORDERS'!K308))</f>
        <v>August</v>
      </c>
      <c r="N308" s="54">
        <f t="shared" si="111"/>
        <v>2024</v>
      </c>
      <c r="O308" s="58">
        <v>0.625</v>
      </c>
      <c r="P308" s="59" t="s">
        <v>233</v>
      </c>
      <c r="Q308" s="60" t="s">
        <v>94</v>
      </c>
      <c r="R308" s="56" t="s">
        <v>334</v>
      </c>
      <c r="S308" s="61" t="s">
        <v>41</v>
      </c>
      <c r="T308" s="62" t="s">
        <v>654</v>
      </c>
      <c r="U308" s="63" t="s">
        <v>25</v>
      </c>
      <c r="V308" s="63" t="s">
        <v>148</v>
      </c>
      <c r="W308" s="64">
        <v>1946</v>
      </c>
      <c r="X308" s="64"/>
      <c r="Y308" s="47"/>
      <c r="Z308" s="47"/>
    </row>
    <row r="309" spans="1:26" x14ac:dyDescent="0.25">
      <c r="A309" s="53">
        <v>45512</v>
      </c>
      <c r="B309" s="54">
        <f t="shared" si="118"/>
        <v>8</v>
      </c>
      <c r="C309" s="55" t="str" cm="1">
        <f t="array" ref="C309">INDEX(Processing!$C$11:$C$22,MONTH('ALL ORDERS'!A309))</f>
        <v>AUG</v>
      </c>
      <c r="D309" s="54">
        <f t="shared" si="119"/>
        <v>2024</v>
      </c>
      <c r="E309" s="56" t="s">
        <v>50</v>
      </c>
      <c r="F309" s="56" t="s">
        <v>22</v>
      </c>
      <c r="G309" s="100">
        <v>0</v>
      </c>
      <c r="H309" s="100">
        <v>2550</v>
      </c>
      <c r="I309" s="57"/>
      <c r="J309" s="99">
        <f t="shared" si="117"/>
        <v>2550</v>
      </c>
      <c r="K309" s="53">
        <v>45512</v>
      </c>
      <c r="L309" s="54">
        <f t="shared" si="120"/>
        <v>8</v>
      </c>
      <c r="M309" s="55" t="str" cm="1">
        <f t="array" ref="M309">INDEX(Processing!$W$6:$W$17,MONTH('ALL ORDERS'!K309))</f>
        <v>August</v>
      </c>
      <c r="N309" s="54">
        <f t="shared" si="111"/>
        <v>2024</v>
      </c>
      <c r="O309" s="58">
        <v>0.45833333333333331</v>
      </c>
      <c r="P309" s="59" t="s">
        <v>157</v>
      </c>
      <c r="Q309" s="60" t="s">
        <v>90</v>
      </c>
      <c r="R309" s="56" t="s">
        <v>239</v>
      </c>
      <c r="S309" s="61" t="s">
        <v>45</v>
      </c>
      <c r="T309" s="62" t="s">
        <v>655</v>
      </c>
      <c r="U309" s="63" t="s">
        <v>23</v>
      </c>
      <c r="V309" s="63" t="s">
        <v>147</v>
      </c>
      <c r="W309" s="64">
        <v>1596</v>
      </c>
      <c r="X309" s="64">
        <v>3</v>
      </c>
      <c r="Y309" s="47"/>
      <c r="Z309" s="47"/>
    </row>
    <row r="310" spans="1:26" x14ac:dyDescent="0.25">
      <c r="A310" s="53">
        <v>45513</v>
      </c>
      <c r="B310" s="54">
        <f t="shared" si="118"/>
        <v>9</v>
      </c>
      <c r="C310" s="55" t="str" cm="1">
        <f t="array" ref="C310">INDEX(Processing!$C$11:$C$22,MONTH('ALL ORDERS'!A310))</f>
        <v>AUG</v>
      </c>
      <c r="D310" s="54">
        <f t="shared" si="119"/>
        <v>2024</v>
      </c>
      <c r="E310" s="56" t="s">
        <v>48</v>
      </c>
      <c r="F310" s="56" t="s">
        <v>135</v>
      </c>
      <c r="G310" s="100">
        <v>2110</v>
      </c>
      <c r="H310" s="100">
        <v>0</v>
      </c>
      <c r="I310" s="57"/>
      <c r="J310" s="99">
        <f t="shared" si="117"/>
        <v>2110</v>
      </c>
      <c r="K310" s="53">
        <v>45513</v>
      </c>
      <c r="L310" s="54">
        <f t="shared" si="120"/>
        <v>9</v>
      </c>
      <c r="M310" s="55" t="str" cm="1">
        <f t="array" ref="M310">INDEX(Processing!$W$6:$W$17,MONTH('ALL ORDERS'!K310))</f>
        <v>August</v>
      </c>
      <c r="N310" s="54">
        <f t="shared" si="111"/>
        <v>2024</v>
      </c>
      <c r="O310" s="58">
        <v>0.375</v>
      </c>
      <c r="P310" s="59" t="s">
        <v>188</v>
      </c>
      <c r="Q310" s="60" t="s">
        <v>94</v>
      </c>
      <c r="R310" s="56" t="s">
        <v>274</v>
      </c>
      <c r="S310" s="61" t="s">
        <v>41</v>
      </c>
      <c r="T310" s="70">
        <v>37900888990</v>
      </c>
      <c r="U310" s="63" t="s">
        <v>27</v>
      </c>
      <c r="V310" s="63" t="s">
        <v>147</v>
      </c>
      <c r="W310" s="64">
        <v>514</v>
      </c>
      <c r="X310" s="64">
        <v>4</v>
      </c>
      <c r="Y310" s="47"/>
      <c r="Z310" s="47"/>
    </row>
    <row r="311" spans="1:26" x14ac:dyDescent="0.25">
      <c r="A311" s="53">
        <v>45514</v>
      </c>
      <c r="B311" s="54">
        <f t="shared" si="118"/>
        <v>10</v>
      </c>
      <c r="C311" s="55" t="str" cm="1">
        <f t="array" ref="C311">INDEX(Processing!$C$11:$C$22,MONTH('ALL ORDERS'!A311))</f>
        <v>AUG</v>
      </c>
      <c r="D311" s="54">
        <f t="shared" si="119"/>
        <v>2024</v>
      </c>
      <c r="E311" s="56" t="s">
        <v>48</v>
      </c>
      <c r="F311" s="56" t="s">
        <v>22</v>
      </c>
      <c r="G311" s="100">
        <v>2160</v>
      </c>
      <c r="H311" s="100">
        <v>0</v>
      </c>
      <c r="I311" s="57"/>
      <c r="J311" s="99">
        <f t="shared" si="117"/>
        <v>2160</v>
      </c>
      <c r="K311" s="53">
        <v>45514</v>
      </c>
      <c r="L311" s="54">
        <f t="shared" si="120"/>
        <v>10</v>
      </c>
      <c r="M311" s="55" t="str" cm="1">
        <f t="array" ref="M311">INDEX(Processing!$W$6:$W$17,MONTH('ALL ORDERS'!K311))</f>
        <v>August</v>
      </c>
      <c r="N311" s="54">
        <f t="shared" ref="N311:N376" si="124">YEAR(K311)</f>
        <v>2024</v>
      </c>
      <c r="O311" s="58">
        <v>0.45833333333333331</v>
      </c>
      <c r="P311" s="59" t="s">
        <v>182</v>
      </c>
      <c r="Q311" s="60" t="s">
        <v>94</v>
      </c>
      <c r="R311" s="56" t="s">
        <v>267</v>
      </c>
      <c r="S311" s="61" t="s">
        <v>42</v>
      </c>
      <c r="T311" s="62" t="s">
        <v>656</v>
      </c>
      <c r="U311" s="63" t="s">
        <v>24</v>
      </c>
      <c r="V311" s="63" t="s">
        <v>147</v>
      </c>
      <c r="W311" s="64">
        <v>1630</v>
      </c>
      <c r="X311" s="64">
        <v>4</v>
      </c>
      <c r="Y311" s="47"/>
      <c r="Z311" s="47"/>
    </row>
    <row r="312" spans="1:26" x14ac:dyDescent="0.25">
      <c r="A312" s="53">
        <v>45514</v>
      </c>
      <c r="B312" s="54">
        <f t="shared" si="118"/>
        <v>10</v>
      </c>
      <c r="C312" s="55" t="str" cm="1">
        <f t="array" ref="C312">INDEX(Processing!$C$11:$C$22,MONTH('ALL ORDERS'!A312))</f>
        <v>AUG</v>
      </c>
      <c r="D312" s="54">
        <f t="shared" si="119"/>
        <v>2024</v>
      </c>
      <c r="E312" s="56" t="s">
        <v>49</v>
      </c>
      <c r="F312" s="56" t="s">
        <v>135</v>
      </c>
      <c r="G312" s="100">
        <v>2890</v>
      </c>
      <c r="H312" s="100">
        <v>0</v>
      </c>
      <c r="I312" s="57"/>
      <c r="J312" s="99">
        <f t="shared" si="117"/>
        <v>2890</v>
      </c>
      <c r="K312" s="53">
        <v>45514</v>
      </c>
      <c r="L312" s="54">
        <f t="shared" si="120"/>
        <v>10</v>
      </c>
      <c r="M312" s="55" t="str" cm="1">
        <f t="array" ref="M312">INDEX(Processing!$W$6:$W$17,MONTH('ALL ORDERS'!K312))</f>
        <v>August</v>
      </c>
      <c r="N312" s="54">
        <f t="shared" si="124"/>
        <v>2024</v>
      </c>
      <c r="O312" s="58">
        <v>0.625</v>
      </c>
      <c r="P312" s="59" t="s">
        <v>189</v>
      </c>
      <c r="Q312" s="60" t="s">
        <v>90</v>
      </c>
      <c r="R312" s="56" t="s">
        <v>275</v>
      </c>
      <c r="S312" s="61" t="s">
        <v>42</v>
      </c>
      <c r="T312" s="62" t="s">
        <v>657</v>
      </c>
      <c r="U312" s="63" t="s">
        <v>26</v>
      </c>
      <c r="V312" s="63" t="s">
        <v>147</v>
      </c>
      <c r="W312" s="64">
        <v>1658</v>
      </c>
      <c r="X312" s="64">
        <v>5</v>
      </c>
      <c r="Y312" s="47"/>
      <c r="Z312" s="47"/>
    </row>
    <row r="313" spans="1:26" x14ac:dyDescent="0.25">
      <c r="A313" s="53">
        <v>45514</v>
      </c>
      <c r="B313" s="54">
        <f t="shared" si="118"/>
        <v>10</v>
      </c>
      <c r="C313" s="55" t="str" cm="1">
        <f t="array" ref="C313">INDEX(Processing!$C$11:$C$22,MONTH('ALL ORDERS'!A313))</f>
        <v>AUG</v>
      </c>
      <c r="D313" s="54">
        <f t="shared" si="119"/>
        <v>2024</v>
      </c>
      <c r="E313" s="56" t="s">
        <v>47</v>
      </c>
      <c r="F313" s="56" t="s">
        <v>137</v>
      </c>
      <c r="G313" s="100">
        <v>3410</v>
      </c>
      <c r="H313" s="100">
        <v>0</v>
      </c>
      <c r="I313" s="57">
        <v>0.15</v>
      </c>
      <c r="J313" s="99">
        <f t="shared" si="117"/>
        <v>3410</v>
      </c>
      <c r="K313" s="53">
        <v>45514</v>
      </c>
      <c r="L313" s="54">
        <f t="shared" si="120"/>
        <v>10</v>
      </c>
      <c r="M313" s="55" t="str" cm="1">
        <f t="array" ref="M313">INDEX(Processing!$W$6:$W$17,MONTH('ALL ORDERS'!K313))</f>
        <v>August</v>
      </c>
      <c r="N313" s="54">
        <f t="shared" si="124"/>
        <v>2024</v>
      </c>
      <c r="O313" s="58">
        <v>0.45833333333333331</v>
      </c>
      <c r="P313" s="59" t="s">
        <v>206</v>
      </c>
      <c r="Q313" s="60" t="s">
        <v>94</v>
      </c>
      <c r="R313" s="56" t="s">
        <v>294</v>
      </c>
      <c r="S313" s="61" t="s">
        <v>41</v>
      </c>
      <c r="T313" s="62" t="s">
        <v>658</v>
      </c>
      <c r="U313" s="63" t="s">
        <v>24</v>
      </c>
      <c r="V313" s="63" t="s">
        <v>147</v>
      </c>
      <c r="W313" s="64">
        <v>1412</v>
      </c>
      <c r="X313" s="64">
        <v>3</v>
      </c>
      <c r="Y313" s="47"/>
      <c r="Z313" s="47"/>
    </row>
    <row r="314" spans="1:26" x14ac:dyDescent="0.25">
      <c r="A314" s="53">
        <v>45517</v>
      </c>
      <c r="B314" s="54">
        <f t="shared" si="118"/>
        <v>13</v>
      </c>
      <c r="C314" s="55" t="str" cm="1">
        <f t="array" ref="C314">INDEX(Processing!$C$11:$C$22,MONTH('ALL ORDERS'!A314))</f>
        <v>AUG</v>
      </c>
      <c r="D314" s="54">
        <f t="shared" si="119"/>
        <v>2024</v>
      </c>
      <c r="E314" s="56" t="s">
        <v>50</v>
      </c>
      <c r="F314" s="56" t="s">
        <v>21</v>
      </c>
      <c r="G314" s="100">
        <v>3160</v>
      </c>
      <c r="H314" s="100">
        <v>0</v>
      </c>
      <c r="I314" s="57"/>
      <c r="J314" s="99">
        <f t="shared" si="117"/>
        <v>3160</v>
      </c>
      <c r="K314" s="53">
        <v>45517</v>
      </c>
      <c r="L314" s="54">
        <f t="shared" si="120"/>
        <v>13</v>
      </c>
      <c r="M314" s="55" t="str" cm="1">
        <f t="array" ref="M314">INDEX(Processing!$W$6:$W$17,MONTH('ALL ORDERS'!K314))</f>
        <v>August</v>
      </c>
      <c r="N314" s="54">
        <f t="shared" si="124"/>
        <v>2024</v>
      </c>
      <c r="O314" s="58">
        <v>0.375</v>
      </c>
      <c r="P314" s="59" t="s">
        <v>355</v>
      </c>
      <c r="Q314" s="60" t="s">
        <v>92</v>
      </c>
      <c r="R314" s="56" t="s">
        <v>333</v>
      </c>
      <c r="S314" s="61" t="s">
        <v>43</v>
      </c>
      <c r="T314" s="62" t="s">
        <v>659</v>
      </c>
      <c r="U314" s="63" t="s">
        <v>24</v>
      </c>
      <c r="V314" s="63" t="s">
        <v>147</v>
      </c>
      <c r="W314" s="64">
        <v>2323</v>
      </c>
      <c r="X314" s="64">
        <v>2</v>
      </c>
      <c r="Y314" s="47"/>
      <c r="Z314" s="47"/>
    </row>
    <row r="315" spans="1:26" x14ac:dyDescent="0.25">
      <c r="A315" s="53">
        <v>45518</v>
      </c>
      <c r="B315" s="54">
        <f t="shared" si="118"/>
        <v>14</v>
      </c>
      <c r="C315" s="55" t="str" cm="1">
        <f t="array" ref="C315">INDEX(Processing!$C$11:$C$22,MONTH('ALL ORDERS'!A315))</f>
        <v>AUG</v>
      </c>
      <c r="D315" s="54">
        <f t="shared" si="119"/>
        <v>2024</v>
      </c>
      <c r="E315" s="56" t="s">
        <v>47</v>
      </c>
      <c r="F315" s="56" t="s">
        <v>18</v>
      </c>
      <c r="G315" s="100">
        <v>1450</v>
      </c>
      <c r="H315" s="100">
        <v>0</v>
      </c>
      <c r="I315" s="57"/>
      <c r="J315" s="99">
        <f t="shared" si="117"/>
        <v>1450</v>
      </c>
      <c r="K315" s="53">
        <v>45518</v>
      </c>
      <c r="L315" s="54">
        <f t="shared" si="120"/>
        <v>14</v>
      </c>
      <c r="M315" s="55" t="str" cm="1">
        <f t="array" ref="M315">INDEX(Processing!$W$6:$W$17,MONTH('ALL ORDERS'!K315))</f>
        <v>August</v>
      </c>
      <c r="N315" s="54">
        <f t="shared" si="124"/>
        <v>2024</v>
      </c>
      <c r="O315" s="58">
        <v>0.45833333333333331</v>
      </c>
      <c r="P315" s="59" t="s">
        <v>173</v>
      </c>
      <c r="Q315" s="60" t="s">
        <v>90</v>
      </c>
      <c r="R315" s="56" t="s">
        <v>257</v>
      </c>
      <c r="S315" s="61" t="s">
        <v>45</v>
      </c>
      <c r="T315" s="62" t="s">
        <v>660</v>
      </c>
      <c r="U315" s="63" t="s">
        <v>24</v>
      </c>
      <c r="V315" s="63" t="s">
        <v>147</v>
      </c>
      <c r="W315" s="64">
        <v>2642</v>
      </c>
      <c r="X315" s="64">
        <v>4</v>
      </c>
      <c r="Y315" s="47"/>
      <c r="Z315" s="47"/>
    </row>
    <row r="316" spans="1:26" x14ac:dyDescent="0.25">
      <c r="A316" s="53">
        <v>45519</v>
      </c>
      <c r="B316" s="54">
        <f t="shared" si="118"/>
        <v>15</v>
      </c>
      <c r="C316" s="55" t="str" cm="1">
        <f t="array" ref="C316">INDEX(Processing!$C$11:$C$22,MONTH('ALL ORDERS'!A316))</f>
        <v>AUG</v>
      </c>
      <c r="D316" s="54">
        <f t="shared" si="119"/>
        <v>2024</v>
      </c>
      <c r="E316" s="56" t="s">
        <v>47</v>
      </c>
      <c r="F316" s="56" t="s">
        <v>124</v>
      </c>
      <c r="G316" s="100">
        <v>2040</v>
      </c>
      <c r="H316" s="100">
        <v>0</v>
      </c>
      <c r="I316" s="57"/>
      <c r="J316" s="99">
        <f t="shared" si="117"/>
        <v>2040</v>
      </c>
      <c r="K316" s="53">
        <v>45519</v>
      </c>
      <c r="L316" s="54">
        <f t="shared" si="120"/>
        <v>15</v>
      </c>
      <c r="M316" s="55" t="str" cm="1">
        <f t="array" ref="M316">INDEX(Processing!$W$6:$W$17,MONTH('ALL ORDERS'!K316))</f>
        <v>August</v>
      </c>
      <c r="N316" s="54">
        <f t="shared" si="124"/>
        <v>2024</v>
      </c>
      <c r="O316" s="58">
        <v>0.625</v>
      </c>
      <c r="P316" s="59" t="s">
        <v>206</v>
      </c>
      <c r="Q316" s="60" t="s">
        <v>94</v>
      </c>
      <c r="R316" s="56" t="s">
        <v>294</v>
      </c>
      <c r="S316" s="61" t="s">
        <v>43</v>
      </c>
      <c r="T316" s="62" t="s">
        <v>661</v>
      </c>
      <c r="U316" s="63" t="s">
        <v>26</v>
      </c>
      <c r="V316" s="63" t="s">
        <v>147</v>
      </c>
      <c r="W316" s="64">
        <v>2790</v>
      </c>
      <c r="X316" s="64">
        <v>5</v>
      </c>
      <c r="Y316" s="47"/>
      <c r="Z316" s="47"/>
    </row>
    <row r="317" spans="1:26" x14ac:dyDescent="0.25">
      <c r="A317" s="53">
        <v>45520</v>
      </c>
      <c r="B317" s="54">
        <f t="shared" si="118"/>
        <v>16</v>
      </c>
      <c r="C317" s="55" t="str" cm="1">
        <f t="array" ref="C317">INDEX(Processing!$C$11:$C$22,MONTH('ALL ORDERS'!A317))</f>
        <v>AUG</v>
      </c>
      <c r="D317" s="54">
        <f t="shared" si="119"/>
        <v>2024</v>
      </c>
      <c r="E317" s="56" t="s">
        <v>50</v>
      </c>
      <c r="F317" s="56" t="s">
        <v>124</v>
      </c>
      <c r="G317" s="100">
        <v>2610</v>
      </c>
      <c r="H317" s="100">
        <v>0</v>
      </c>
      <c r="I317" s="57"/>
      <c r="J317" s="99">
        <f t="shared" si="117"/>
        <v>2610</v>
      </c>
      <c r="K317" s="53">
        <v>45520</v>
      </c>
      <c r="L317" s="54">
        <f t="shared" si="120"/>
        <v>16</v>
      </c>
      <c r="M317" s="55" t="str" cm="1">
        <f t="array" ref="M317">INDEX(Processing!$W$6:$W$17,MONTH('ALL ORDERS'!K317))</f>
        <v>August</v>
      </c>
      <c r="N317" s="54">
        <f t="shared" si="124"/>
        <v>2024</v>
      </c>
      <c r="O317" s="58">
        <v>0.45833333333333331</v>
      </c>
      <c r="P317" s="59" t="s">
        <v>185</v>
      </c>
      <c r="Q317" s="60" t="s">
        <v>94</v>
      </c>
      <c r="R317" s="56" t="s">
        <v>270</v>
      </c>
      <c r="S317" s="61" t="s">
        <v>44</v>
      </c>
      <c r="T317" s="62" t="s">
        <v>662</v>
      </c>
      <c r="U317" s="63" t="s">
        <v>26</v>
      </c>
      <c r="V317" s="63" t="s">
        <v>147</v>
      </c>
      <c r="W317" s="64">
        <v>2869</v>
      </c>
      <c r="X317" s="64">
        <v>5</v>
      </c>
      <c r="Y317" s="47"/>
      <c r="Z317" s="47"/>
    </row>
    <row r="318" spans="1:26" x14ac:dyDescent="0.25">
      <c r="A318" s="53">
        <v>45515</v>
      </c>
      <c r="B318" s="54">
        <f t="shared" si="118"/>
        <v>11</v>
      </c>
      <c r="C318" s="55" t="str" cm="1">
        <f t="array" ref="C318">INDEX(Processing!$C$11:$C$22,MONTH('ALL ORDERS'!A318))</f>
        <v>AUG</v>
      </c>
      <c r="D318" s="54">
        <f t="shared" si="119"/>
        <v>2024</v>
      </c>
      <c r="E318" s="56" t="s">
        <v>47</v>
      </c>
      <c r="F318" s="56" t="s">
        <v>135</v>
      </c>
      <c r="G318" s="100">
        <v>140</v>
      </c>
      <c r="H318" s="100">
        <v>0</v>
      </c>
      <c r="I318" s="57"/>
      <c r="J318" s="99">
        <f t="shared" si="117"/>
        <v>140</v>
      </c>
      <c r="K318" s="53">
        <v>45515</v>
      </c>
      <c r="L318" s="54">
        <f t="shared" si="120"/>
        <v>11</v>
      </c>
      <c r="M318" s="55" t="str" cm="1">
        <f t="array" ref="M318">INDEX(Processing!$W$6:$W$17,MONTH('ALL ORDERS'!K318))</f>
        <v>August</v>
      </c>
      <c r="N318" s="54">
        <f t="shared" si="124"/>
        <v>2024</v>
      </c>
      <c r="O318" s="58">
        <v>0.41666666666666669</v>
      </c>
      <c r="P318" s="59" t="s">
        <v>207</v>
      </c>
      <c r="Q318" s="60" t="s">
        <v>94</v>
      </c>
      <c r="R318" s="56" t="s">
        <v>295</v>
      </c>
      <c r="S318" s="61" t="s">
        <v>41</v>
      </c>
      <c r="T318" s="62" t="s">
        <v>663</v>
      </c>
      <c r="U318" s="63" t="s">
        <v>24</v>
      </c>
      <c r="V318" s="63" t="s">
        <v>148</v>
      </c>
      <c r="W318" s="64">
        <v>1830</v>
      </c>
      <c r="X318" s="64"/>
      <c r="Y318" s="47"/>
      <c r="Z318" s="47"/>
    </row>
    <row r="319" spans="1:26" x14ac:dyDescent="0.25">
      <c r="A319" s="53">
        <v>45522</v>
      </c>
      <c r="B319" s="54">
        <f t="shared" si="118"/>
        <v>18</v>
      </c>
      <c r="C319" s="55" t="str" cm="1">
        <f t="array" ref="C319">INDEX(Processing!$C$11:$C$22,MONTH('ALL ORDERS'!A319))</f>
        <v>AUG</v>
      </c>
      <c r="D319" s="54">
        <f t="shared" si="119"/>
        <v>2024</v>
      </c>
      <c r="E319" s="56" t="s">
        <v>51</v>
      </c>
      <c r="F319" s="56" t="s">
        <v>124</v>
      </c>
      <c r="G319" s="100">
        <v>1450</v>
      </c>
      <c r="H319" s="100">
        <v>0</v>
      </c>
      <c r="I319" s="57"/>
      <c r="J319" s="99">
        <f t="shared" si="117"/>
        <v>1450</v>
      </c>
      <c r="K319" s="53">
        <v>45522</v>
      </c>
      <c r="L319" s="54">
        <f t="shared" si="120"/>
        <v>18</v>
      </c>
      <c r="M319" s="55" t="str" cm="1">
        <f t="array" ref="M319">INDEX(Processing!$W$6:$W$17,MONTH('ALL ORDERS'!K319))</f>
        <v>August</v>
      </c>
      <c r="N319" s="54">
        <f t="shared" si="124"/>
        <v>2024</v>
      </c>
      <c r="O319" s="58">
        <v>0.5</v>
      </c>
      <c r="P319" s="59" t="s">
        <v>204</v>
      </c>
      <c r="Q319" s="60" t="s">
        <v>94</v>
      </c>
      <c r="R319" s="56" t="s">
        <v>291</v>
      </c>
      <c r="S319" s="61" t="s">
        <v>42</v>
      </c>
      <c r="T319" s="62" t="s">
        <v>664</v>
      </c>
      <c r="U319" s="63" t="s">
        <v>26</v>
      </c>
      <c r="V319" s="63" t="s">
        <v>147</v>
      </c>
      <c r="W319" s="64">
        <v>2953</v>
      </c>
      <c r="X319" s="64">
        <v>5</v>
      </c>
      <c r="Y319" s="47"/>
      <c r="Z319" s="47"/>
    </row>
    <row r="320" spans="1:26" x14ac:dyDescent="0.25">
      <c r="A320" s="53">
        <v>45523</v>
      </c>
      <c r="B320" s="54">
        <f t="shared" si="118"/>
        <v>19</v>
      </c>
      <c r="C320" s="55" t="str" cm="1">
        <f t="array" ref="C320">INDEX(Processing!$C$11:$C$22,MONTH('ALL ORDERS'!A320))</f>
        <v>AUG</v>
      </c>
      <c r="D320" s="54">
        <f t="shared" si="119"/>
        <v>2024</v>
      </c>
      <c r="E320" s="56" t="s">
        <v>49</v>
      </c>
      <c r="F320" s="56" t="s">
        <v>121</v>
      </c>
      <c r="G320" s="100">
        <v>1620</v>
      </c>
      <c r="H320" s="100">
        <v>0</v>
      </c>
      <c r="I320" s="57"/>
      <c r="J320" s="99">
        <f t="shared" si="117"/>
        <v>1620</v>
      </c>
      <c r="K320" s="53">
        <v>45523</v>
      </c>
      <c r="L320" s="54">
        <f t="shared" si="120"/>
        <v>19</v>
      </c>
      <c r="M320" s="55" t="str" cm="1">
        <f t="array" ref="M320">INDEX(Processing!$W$6:$W$17,MONTH('ALL ORDERS'!K320))</f>
        <v>August</v>
      </c>
      <c r="N320" s="54">
        <f t="shared" si="124"/>
        <v>2024</v>
      </c>
      <c r="O320" s="58">
        <v>0.66666666666666663</v>
      </c>
      <c r="P320" s="59" t="s">
        <v>234</v>
      </c>
      <c r="Q320" s="60" t="s">
        <v>94</v>
      </c>
      <c r="R320" s="56" t="s">
        <v>335</v>
      </c>
      <c r="S320" s="61" t="s">
        <v>42</v>
      </c>
      <c r="T320" s="62" t="s">
        <v>665</v>
      </c>
      <c r="U320" s="63" t="s">
        <v>27</v>
      </c>
      <c r="V320" s="63" t="s">
        <v>147</v>
      </c>
      <c r="W320" s="64">
        <v>1275</v>
      </c>
      <c r="X320" s="64">
        <v>5</v>
      </c>
      <c r="Y320" s="47"/>
      <c r="Z320" s="47"/>
    </row>
    <row r="321" spans="1:26" x14ac:dyDescent="0.25">
      <c r="A321" s="53">
        <v>45524</v>
      </c>
      <c r="B321" s="54">
        <f t="shared" si="118"/>
        <v>20</v>
      </c>
      <c r="C321" s="55" t="str" cm="1">
        <f t="array" ref="C321">INDEX(Processing!$C$11:$C$22,MONTH('ALL ORDERS'!A321))</f>
        <v>AUG</v>
      </c>
      <c r="D321" s="54">
        <f t="shared" si="119"/>
        <v>2024</v>
      </c>
      <c r="E321" s="56" t="s">
        <v>47</v>
      </c>
      <c r="F321" s="56" t="s">
        <v>124</v>
      </c>
      <c r="G321" s="100">
        <v>2610</v>
      </c>
      <c r="H321" s="100">
        <v>0</v>
      </c>
      <c r="I321" s="57">
        <v>0.15</v>
      </c>
      <c r="J321" s="99">
        <f t="shared" si="117"/>
        <v>2610</v>
      </c>
      <c r="K321" s="53">
        <v>45524</v>
      </c>
      <c r="L321" s="54">
        <f t="shared" si="120"/>
        <v>20</v>
      </c>
      <c r="M321" s="55" t="str" cm="1">
        <f t="array" ref="M321">INDEX(Processing!$W$6:$W$17,MONTH('ALL ORDERS'!K321))</f>
        <v>August</v>
      </c>
      <c r="N321" s="54">
        <f t="shared" si="124"/>
        <v>2024</v>
      </c>
      <c r="O321" s="58">
        <v>0.75</v>
      </c>
      <c r="P321" s="59" t="s">
        <v>231</v>
      </c>
      <c r="Q321" s="60" t="s">
        <v>94</v>
      </c>
      <c r="R321" s="56" t="s">
        <v>331</v>
      </c>
      <c r="S321" s="61" t="s">
        <v>41</v>
      </c>
      <c r="T321" s="62" t="s">
        <v>666</v>
      </c>
      <c r="U321" s="63" t="s">
        <v>23</v>
      </c>
      <c r="V321" s="63" t="s">
        <v>147</v>
      </c>
      <c r="W321" s="64">
        <v>586</v>
      </c>
      <c r="X321" s="64">
        <v>5</v>
      </c>
      <c r="Y321" s="47"/>
      <c r="Z321" s="47"/>
    </row>
    <row r="322" spans="1:26" x14ac:dyDescent="0.25">
      <c r="A322" s="53">
        <v>45525</v>
      </c>
      <c r="B322" s="54">
        <f t="shared" si="118"/>
        <v>21</v>
      </c>
      <c r="C322" s="55" t="str" cm="1">
        <f t="array" ref="C322">INDEX(Processing!$C$11:$C$22,MONTH('ALL ORDERS'!A322))</f>
        <v>AUG</v>
      </c>
      <c r="D322" s="54">
        <f t="shared" si="119"/>
        <v>2024</v>
      </c>
      <c r="E322" s="56" t="s">
        <v>50</v>
      </c>
      <c r="F322" s="56" t="s">
        <v>124</v>
      </c>
      <c r="G322" s="100">
        <v>0</v>
      </c>
      <c r="H322" s="100">
        <v>2900</v>
      </c>
      <c r="I322" s="57"/>
      <c r="J322" s="99">
        <f t="shared" si="117"/>
        <v>2900</v>
      </c>
      <c r="K322" s="53">
        <v>45525</v>
      </c>
      <c r="L322" s="54">
        <f t="shared" si="120"/>
        <v>21</v>
      </c>
      <c r="M322" s="55" t="str" cm="1">
        <f t="array" ref="M322">INDEX(Processing!$W$6:$W$17,MONTH('ALL ORDERS'!K322))</f>
        <v>August</v>
      </c>
      <c r="N322" s="54">
        <f t="shared" si="124"/>
        <v>2024</v>
      </c>
      <c r="O322" s="58">
        <v>0.41666666666666669</v>
      </c>
      <c r="P322" s="59" t="s">
        <v>344</v>
      </c>
      <c r="Q322" s="60" t="s">
        <v>90</v>
      </c>
      <c r="R322" s="56" t="s">
        <v>306</v>
      </c>
      <c r="S322" s="61" t="s">
        <v>43</v>
      </c>
      <c r="T322" s="70">
        <v>36900888990</v>
      </c>
      <c r="U322" s="63" t="s">
        <v>25</v>
      </c>
      <c r="V322" s="63" t="s">
        <v>147</v>
      </c>
      <c r="W322" s="64">
        <v>2571</v>
      </c>
      <c r="X322" s="64">
        <v>4</v>
      </c>
      <c r="Y322" s="47"/>
      <c r="Z322" s="47"/>
    </row>
    <row r="323" spans="1:26" x14ac:dyDescent="0.25">
      <c r="A323" s="53">
        <v>45526</v>
      </c>
      <c r="B323" s="54">
        <f t="shared" si="118"/>
        <v>22</v>
      </c>
      <c r="C323" s="55" t="str" cm="1">
        <f t="array" ref="C323">INDEX(Processing!$C$11:$C$22,MONTH('ALL ORDERS'!A323))</f>
        <v>AUG</v>
      </c>
      <c r="D323" s="54">
        <f t="shared" si="119"/>
        <v>2024</v>
      </c>
      <c r="E323" s="56" t="s">
        <v>48</v>
      </c>
      <c r="F323" s="56" t="s">
        <v>129</v>
      </c>
      <c r="G323" s="100">
        <v>0</v>
      </c>
      <c r="H323" s="100">
        <v>3480</v>
      </c>
      <c r="I323" s="57"/>
      <c r="J323" s="99">
        <f t="shared" si="117"/>
        <v>3480</v>
      </c>
      <c r="K323" s="53">
        <v>45526</v>
      </c>
      <c r="L323" s="54">
        <f t="shared" si="120"/>
        <v>22</v>
      </c>
      <c r="M323" s="55" t="str" cm="1">
        <f t="array" ref="M323">INDEX(Processing!$W$6:$W$17,MONTH('ALL ORDERS'!K323))</f>
        <v>August</v>
      </c>
      <c r="N323" s="54">
        <f t="shared" si="124"/>
        <v>2024</v>
      </c>
      <c r="O323" s="58">
        <v>0.5</v>
      </c>
      <c r="P323" s="59" t="s">
        <v>171</v>
      </c>
      <c r="Q323" s="60" t="s">
        <v>94</v>
      </c>
      <c r="R323" s="56" t="s">
        <v>255</v>
      </c>
      <c r="S323" s="61" t="s">
        <v>45</v>
      </c>
      <c r="T323" s="62" t="s">
        <v>667</v>
      </c>
      <c r="U323" s="63" t="s">
        <v>23</v>
      </c>
      <c r="V323" s="63" t="s">
        <v>147</v>
      </c>
      <c r="W323" s="64">
        <v>2282</v>
      </c>
      <c r="X323" s="64">
        <v>4</v>
      </c>
      <c r="Y323" s="47"/>
      <c r="Z323" s="47"/>
    </row>
    <row r="324" spans="1:26" x14ac:dyDescent="0.25">
      <c r="A324" s="53">
        <v>45527</v>
      </c>
      <c r="B324" s="54">
        <f t="shared" si="118"/>
        <v>23</v>
      </c>
      <c r="C324" s="55" t="str" cm="1">
        <f t="array" ref="C324">INDEX(Processing!$C$11:$C$22,MONTH('ALL ORDERS'!A324))</f>
        <v>AUG</v>
      </c>
      <c r="D324" s="54">
        <f t="shared" si="119"/>
        <v>2024</v>
      </c>
      <c r="E324" s="56" t="s">
        <v>48</v>
      </c>
      <c r="F324" s="56" t="s">
        <v>22</v>
      </c>
      <c r="G324" s="100">
        <v>0</v>
      </c>
      <c r="H324" s="100">
        <v>1610</v>
      </c>
      <c r="I324" s="57"/>
      <c r="J324" s="99">
        <f t="shared" si="117"/>
        <v>1610</v>
      </c>
      <c r="K324" s="53">
        <v>45527</v>
      </c>
      <c r="L324" s="54">
        <f t="shared" si="120"/>
        <v>23</v>
      </c>
      <c r="M324" s="55" t="str" cm="1">
        <f t="array" ref="M324">INDEX(Processing!$W$6:$W$17,MONTH('ALL ORDERS'!K324))</f>
        <v>August</v>
      </c>
      <c r="N324" s="54">
        <f t="shared" si="124"/>
        <v>2024</v>
      </c>
      <c r="O324" s="58">
        <v>0.66666666666666663</v>
      </c>
      <c r="P324" s="59" t="s">
        <v>168</v>
      </c>
      <c r="Q324" s="60" t="s">
        <v>94</v>
      </c>
      <c r="R324" s="56" t="s">
        <v>251</v>
      </c>
      <c r="S324" s="61" t="s">
        <v>43</v>
      </c>
      <c r="T324" s="62" t="s">
        <v>668</v>
      </c>
      <c r="U324" s="63" t="s">
        <v>26</v>
      </c>
      <c r="V324" s="63" t="s">
        <v>147</v>
      </c>
      <c r="W324" s="64">
        <v>1671</v>
      </c>
      <c r="X324" s="64">
        <v>4</v>
      </c>
      <c r="Y324" s="47"/>
      <c r="Z324" s="47"/>
    </row>
    <row r="325" spans="1:26" x14ac:dyDescent="0.25">
      <c r="A325" s="53">
        <v>45528</v>
      </c>
      <c r="B325" s="54">
        <f t="shared" si="118"/>
        <v>24</v>
      </c>
      <c r="C325" s="55" t="str" cm="1">
        <f t="array" ref="C325">INDEX(Processing!$C$11:$C$22,MONTH('ALL ORDERS'!A325))</f>
        <v>AUG</v>
      </c>
      <c r="D325" s="54">
        <f t="shared" si="119"/>
        <v>2024</v>
      </c>
      <c r="E325" s="56" t="s">
        <v>47</v>
      </c>
      <c r="F325" s="56" t="s">
        <v>124</v>
      </c>
      <c r="G325" s="100">
        <v>1060</v>
      </c>
      <c r="H325" s="100">
        <v>0</v>
      </c>
      <c r="I325" s="57"/>
      <c r="J325" s="99">
        <f t="shared" si="117"/>
        <v>1060</v>
      </c>
      <c r="K325" s="53">
        <v>45528</v>
      </c>
      <c r="L325" s="54">
        <f t="shared" si="120"/>
        <v>24</v>
      </c>
      <c r="M325" s="55" t="str" cm="1">
        <f t="array" ref="M325">INDEX(Processing!$W$6:$W$17,MONTH('ALL ORDERS'!K325))</f>
        <v>August</v>
      </c>
      <c r="N325" s="54">
        <f t="shared" si="124"/>
        <v>2024</v>
      </c>
      <c r="O325" s="58">
        <v>0.75</v>
      </c>
      <c r="P325" s="59" t="s">
        <v>186</v>
      </c>
      <c r="Q325" s="60" t="s">
        <v>91</v>
      </c>
      <c r="R325" s="56" t="s">
        <v>271</v>
      </c>
      <c r="S325" s="61" t="s">
        <v>43</v>
      </c>
      <c r="T325" s="62" t="s">
        <v>669</v>
      </c>
      <c r="U325" s="63" t="s">
        <v>24</v>
      </c>
      <c r="V325" s="63" t="s">
        <v>147</v>
      </c>
      <c r="W325" s="64">
        <v>2196</v>
      </c>
      <c r="X325" s="64">
        <v>4</v>
      </c>
      <c r="Y325" s="47"/>
      <c r="Z325" s="47"/>
    </row>
    <row r="326" spans="1:26" x14ac:dyDescent="0.25">
      <c r="A326" s="53">
        <v>45529</v>
      </c>
      <c r="B326" s="54">
        <f t="shared" si="118"/>
        <v>25</v>
      </c>
      <c r="C326" s="55" t="str" cm="1">
        <f t="array" ref="C326">INDEX(Processing!$C$11:$C$22,MONTH('ALL ORDERS'!A326))</f>
        <v>AUG</v>
      </c>
      <c r="D326" s="54">
        <f t="shared" si="119"/>
        <v>2024</v>
      </c>
      <c r="E326" s="56" t="s">
        <v>50</v>
      </c>
      <c r="F326" s="56" t="s">
        <v>22</v>
      </c>
      <c r="G326" s="100">
        <v>2280</v>
      </c>
      <c r="H326" s="100">
        <v>0</v>
      </c>
      <c r="I326" s="57"/>
      <c r="J326" s="99">
        <f t="shared" si="117"/>
        <v>2280</v>
      </c>
      <c r="K326" s="53">
        <v>45529</v>
      </c>
      <c r="L326" s="54">
        <f t="shared" si="120"/>
        <v>25</v>
      </c>
      <c r="M326" s="55" t="str" cm="1">
        <f t="array" ref="M326">INDEX(Processing!$W$6:$W$17,MONTH('ALL ORDERS'!K326))</f>
        <v>August</v>
      </c>
      <c r="N326" s="54">
        <f t="shared" si="124"/>
        <v>2024</v>
      </c>
      <c r="O326" s="58">
        <v>0.41666666666666669</v>
      </c>
      <c r="P326" s="59" t="s">
        <v>348</v>
      </c>
      <c r="Q326" s="60" t="s">
        <v>90</v>
      </c>
      <c r="R326" s="56" t="s">
        <v>310</v>
      </c>
      <c r="S326" s="61" t="s">
        <v>45</v>
      </c>
      <c r="T326" s="62" t="s">
        <v>670</v>
      </c>
      <c r="U326" s="63" t="s">
        <v>24</v>
      </c>
      <c r="V326" s="63" t="s">
        <v>147</v>
      </c>
      <c r="W326" s="64">
        <v>1272</v>
      </c>
      <c r="X326" s="64">
        <v>4</v>
      </c>
      <c r="Y326" s="47"/>
      <c r="Z326" s="47"/>
    </row>
    <row r="327" spans="1:26" x14ac:dyDescent="0.25">
      <c r="A327" s="53">
        <v>45530</v>
      </c>
      <c r="B327" s="54">
        <f t="shared" si="118"/>
        <v>26</v>
      </c>
      <c r="C327" s="55" t="str" cm="1">
        <f t="array" ref="C327">INDEX(Processing!$C$11:$C$22,MONTH('ALL ORDERS'!A327))</f>
        <v>AUG</v>
      </c>
      <c r="D327" s="54">
        <f t="shared" si="119"/>
        <v>2024</v>
      </c>
      <c r="E327" s="56" t="s">
        <v>47</v>
      </c>
      <c r="F327" s="56" t="s">
        <v>152</v>
      </c>
      <c r="G327" s="100">
        <v>0</v>
      </c>
      <c r="H327" s="100">
        <v>2890</v>
      </c>
      <c r="I327" s="57"/>
      <c r="J327" s="99">
        <f t="shared" si="117"/>
        <v>2890</v>
      </c>
      <c r="K327" s="53">
        <v>45530</v>
      </c>
      <c r="L327" s="54">
        <f t="shared" si="120"/>
        <v>26</v>
      </c>
      <c r="M327" s="55" t="str" cm="1">
        <f t="array" ref="M327">INDEX(Processing!$W$6:$W$17,MONTH('ALL ORDERS'!K327))</f>
        <v>August</v>
      </c>
      <c r="N327" s="54">
        <f t="shared" si="124"/>
        <v>2024</v>
      </c>
      <c r="O327" s="58">
        <v>0.5</v>
      </c>
      <c r="P327" s="59" t="s">
        <v>187</v>
      </c>
      <c r="Q327" s="60" t="s">
        <v>94</v>
      </c>
      <c r="R327" s="56" t="s">
        <v>272</v>
      </c>
      <c r="S327" s="61" t="s">
        <v>44</v>
      </c>
      <c r="T327" s="62" t="s">
        <v>671</v>
      </c>
      <c r="U327" s="63" t="s">
        <v>26</v>
      </c>
      <c r="V327" s="63" t="s">
        <v>147</v>
      </c>
      <c r="W327" s="64">
        <v>3654</v>
      </c>
      <c r="X327" s="64">
        <v>4</v>
      </c>
      <c r="Y327" s="47"/>
      <c r="Z327" s="47"/>
    </row>
    <row r="328" spans="1:26" x14ac:dyDescent="0.25">
      <c r="A328" s="53">
        <v>45525</v>
      </c>
      <c r="B328" s="54">
        <f t="shared" si="118"/>
        <v>21</v>
      </c>
      <c r="C328" s="55" t="str" cm="1">
        <f t="array" ref="C328">INDEX(Processing!$C$11:$C$22,MONTH('ALL ORDERS'!A328))</f>
        <v>AUG</v>
      </c>
      <c r="D328" s="54">
        <f t="shared" si="119"/>
        <v>2024</v>
      </c>
      <c r="E328" s="56" t="s">
        <v>51</v>
      </c>
      <c r="F328" s="56" t="s">
        <v>153</v>
      </c>
      <c r="G328" s="100">
        <v>3400</v>
      </c>
      <c r="H328" s="100">
        <v>0</v>
      </c>
      <c r="I328" s="57"/>
      <c r="J328" s="99">
        <f t="shared" si="117"/>
        <v>3400</v>
      </c>
      <c r="K328" s="53">
        <v>45525</v>
      </c>
      <c r="L328" s="54">
        <f t="shared" si="120"/>
        <v>21</v>
      </c>
      <c r="M328" s="55" t="str" cm="1">
        <f t="array" ref="M328">INDEX(Processing!$W$6:$W$17,MONTH('ALL ORDERS'!K328))</f>
        <v>August</v>
      </c>
      <c r="N328" s="54">
        <f t="shared" si="124"/>
        <v>2024</v>
      </c>
      <c r="O328" s="58">
        <v>0.66666666666666663</v>
      </c>
      <c r="P328" s="59" t="s">
        <v>230</v>
      </c>
      <c r="Q328" s="60" t="s">
        <v>90</v>
      </c>
      <c r="R328" s="56" t="s">
        <v>330</v>
      </c>
      <c r="S328" s="61" t="s">
        <v>41</v>
      </c>
      <c r="T328" s="62" t="s">
        <v>672</v>
      </c>
      <c r="U328" s="63" t="s">
        <v>25</v>
      </c>
      <c r="V328" s="63" t="s">
        <v>147</v>
      </c>
      <c r="W328" s="64">
        <v>1618</v>
      </c>
      <c r="X328" s="64">
        <v>4</v>
      </c>
      <c r="Y328" s="47"/>
      <c r="Z328" s="47"/>
    </row>
    <row r="329" spans="1:26" x14ac:dyDescent="0.25">
      <c r="A329" s="53">
        <v>45526</v>
      </c>
      <c r="B329" s="54">
        <f t="shared" ref="B329" si="125">DAY(A329)</f>
        <v>22</v>
      </c>
      <c r="C329" s="55" t="str" cm="1">
        <f t="array" ref="C329">INDEX(Processing!$C$11:$C$22,MONTH('ALL ORDERS'!A329))</f>
        <v>AUG</v>
      </c>
      <c r="D329" s="54">
        <f t="shared" ref="D329" si="126">YEAR(A329)</f>
        <v>2024</v>
      </c>
      <c r="E329" s="56" t="s">
        <v>51</v>
      </c>
      <c r="F329" s="56" t="s">
        <v>153</v>
      </c>
      <c r="G329" s="100">
        <v>0</v>
      </c>
      <c r="H329" s="100">
        <v>24280</v>
      </c>
      <c r="I329" s="57">
        <v>0.15</v>
      </c>
      <c r="J329" s="99">
        <f t="shared" si="117"/>
        <v>24280</v>
      </c>
      <c r="K329" s="53">
        <v>45526</v>
      </c>
      <c r="L329" s="54">
        <f t="shared" si="120"/>
        <v>22</v>
      </c>
      <c r="M329" s="55" t="str" cm="1">
        <f t="array" ref="M329">INDEX(Processing!$W$6:$W$17,MONTH('ALL ORDERS'!K329))</f>
        <v>August</v>
      </c>
      <c r="N329" s="54">
        <f t="shared" ref="N329" si="127">YEAR(K329)</f>
        <v>2024</v>
      </c>
      <c r="O329" s="58">
        <v>0.70833333333333304</v>
      </c>
      <c r="P329" s="59" t="s">
        <v>231</v>
      </c>
      <c r="Q329" s="60" t="s">
        <v>90</v>
      </c>
      <c r="R329" s="56" t="s">
        <v>1094</v>
      </c>
      <c r="S329" s="61" t="s">
        <v>41</v>
      </c>
      <c r="T329" s="62" t="s">
        <v>683</v>
      </c>
      <c r="U329" s="63" t="s">
        <v>25</v>
      </c>
      <c r="V329" s="63" t="s">
        <v>147</v>
      </c>
      <c r="W329" s="64">
        <v>2103</v>
      </c>
      <c r="X329" s="64">
        <v>5</v>
      </c>
      <c r="Y329" s="47"/>
      <c r="Z329" s="47"/>
    </row>
    <row r="330" spans="1:26" x14ac:dyDescent="0.25">
      <c r="A330" s="53">
        <v>45532</v>
      </c>
      <c r="B330" s="54">
        <f t="shared" si="118"/>
        <v>28</v>
      </c>
      <c r="C330" s="55" t="str" cm="1">
        <f t="array" ref="C330">INDEX(Processing!$C$11:$C$22,MONTH('ALL ORDERS'!A330))</f>
        <v>AUG</v>
      </c>
      <c r="D330" s="54">
        <f t="shared" si="119"/>
        <v>2024</v>
      </c>
      <c r="E330" s="56" t="s">
        <v>49</v>
      </c>
      <c r="F330" s="56" t="s">
        <v>19</v>
      </c>
      <c r="G330" s="100">
        <v>30000</v>
      </c>
      <c r="H330" s="100">
        <v>2510</v>
      </c>
      <c r="I330" s="57"/>
      <c r="J330" s="99">
        <f t="shared" si="117"/>
        <v>32510</v>
      </c>
      <c r="K330" s="53">
        <v>45532</v>
      </c>
      <c r="L330" s="54">
        <f t="shared" si="120"/>
        <v>28</v>
      </c>
      <c r="M330" s="55" t="str" cm="1">
        <f t="array" ref="M330">INDEX(Processing!$W$6:$W$17,MONTH('ALL ORDERS'!K330))</f>
        <v>August</v>
      </c>
      <c r="N330" s="54">
        <f t="shared" si="124"/>
        <v>2024</v>
      </c>
      <c r="O330" s="58">
        <v>0.75</v>
      </c>
      <c r="P330" s="59" t="s">
        <v>345</v>
      </c>
      <c r="Q330" s="60" t="s">
        <v>94</v>
      </c>
      <c r="R330" s="56" t="s">
        <v>307</v>
      </c>
      <c r="S330" s="61" t="s">
        <v>42</v>
      </c>
      <c r="T330" s="62" t="s">
        <v>673</v>
      </c>
      <c r="U330" s="63" t="s">
        <v>23</v>
      </c>
      <c r="V330" s="63" t="s">
        <v>147</v>
      </c>
      <c r="W330" s="64">
        <v>973</v>
      </c>
      <c r="X330" s="64">
        <v>4</v>
      </c>
      <c r="Y330" s="47"/>
      <c r="Z330" s="47"/>
    </row>
    <row r="331" spans="1:26" x14ac:dyDescent="0.25">
      <c r="A331" s="53">
        <v>45532</v>
      </c>
      <c r="B331" s="54">
        <f t="shared" si="118"/>
        <v>28</v>
      </c>
      <c r="C331" s="55" t="str" cm="1">
        <f t="array" ref="C331">INDEX(Processing!$C$11:$C$22,MONTH('ALL ORDERS'!A331))</f>
        <v>AUG</v>
      </c>
      <c r="D331" s="54">
        <f t="shared" si="119"/>
        <v>2024</v>
      </c>
      <c r="E331" s="56" t="s">
        <v>47</v>
      </c>
      <c r="F331" s="56" t="s">
        <v>124</v>
      </c>
      <c r="G331" s="100">
        <v>0</v>
      </c>
      <c r="H331" s="100">
        <v>2480</v>
      </c>
      <c r="I331" s="57"/>
      <c r="J331" s="99">
        <f t="shared" si="117"/>
        <v>2480</v>
      </c>
      <c r="K331" s="53">
        <v>45532</v>
      </c>
      <c r="L331" s="54">
        <f t="shared" si="120"/>
        <v>28</v>
      </c>
      <c r="M331" s="55" t="str" cm="1">
        <f t="array" ref="M331">INDEX(Processing!$W$6:$W$17,MONTH('ALL ORDERS'!K331))</f>
        <v>August</v>
      </c>
      <c r="N331" s="54">
        <f t="shared" si="124"/>
        <v>2024</v>
      </c>
      <c r="O331" s="58">
        <v>0.41666666666666669</v>
      </c>
      <c r="P331" s="59" t="s">
        <v>345</v>
      </c>
      <c r="Q331" s="60" t="s">
        <v>94</v>
      </c>
      <c r="R331" s="56" t="s">
        <v>307</v>
      </c>
      <c r="S331" s="61" t="s">
        <v>41</v>
      </c>
      <c r="T331" s="62" t="s">
        <v>674</v>
      </c>
      <c r="U331" s="63" t="s">
        <v>27</v>
      </c>
      <c r="V331" s="63" t="s">
        <v>147</v>
      </c>
      <c r="W331" s="64">
        <v>1553</v>
      </c>
      <c r="X331" s="64">
        <v>4</v>
      </c>
      <c r="Y331" s="47"/>
      <c r="Z331" s="47"/>
    </row>
    <row r="332" spans="1:26" x14ac:dyDescent="0.25">
      <c r="A332" s="53">
        <v>45532</v>
      </c>
      <c r="B332" s="54">
        <f t="shared" si="118"/>
        <v>28</v>
      </c>
      <c r="C332" s="55" t="str" cm="1">
        <f t="array" ref="C332">INDEX(Processing!$C$11:$C$22,MONTH('ALL ORDERS'!A332))</f>
        <v>AUG</v>
      </c>
      <c r="D332" s="54">
        <f t="shared" si="119"/>
        <v>2024</v>
      </c>
      <c r="E332" s="56" t="s">
        <v>50</v>
      </c>
      <c r="F332" s="56" t="s">
        <v>137</v>
      </c>
      <c r="G332" s="100">
        <v>0</v>
      </c>
      <c r="H332" s="100">
        <v>2200</v>
      </c>
      <c r="I332" s="57">
        <v>0.15</v>
      </c>
      <c r="J332" s="99">
        <f t="shared" si="117"/>
        <v>2200</v>
      </c>
      <c r="K332" s="53">
        <v>45532</v>
      </c>
      <c r="L332" s="54">
        <f t="shared" si="120"/>
        <v>28</v>
      </c>
      <c r="M332" s="55" t="str" cm="1">
        <f t="array" ref="M332">INDEX(Processing!$W$6:$W$17,MONTH('ALL ORDERS'!K332))</f>
        <v>August</v>
      </c>
      <c r="N332" s="54">
        <f t="shared" si="124"/>
        <v>2024</v>
      </c>
      <c r="O332" s="58">
        <v>0.5</v>
      </c>
      <c r="P332" s="59" t="s">
        <v>173</v>
      </c>
      <c r="Q332" s="60" t="s">
        <v>90</v>
      </c>
      <c r="R332" s="56" t="s">
        <v>257</v>
      </c>
      <c r="S332" s="61" t="s">
        <v>45</v>
      </c>
      <c r="T332" s="62" t="s">
        <v>675</v>
      </c>
      <c r="U332" s="63" t="s">
        <v>26</v>
      </c>
      <c r="V332" s="63" t="s">
        <v>147</v>
      </c>
      <c r="W332" s="64">
        <v>2431</v>
      </c>
      <c r="X332" s="64">
        <v>4</v>
      </c>
      <c r="Y332" s="47"/>
      <c r="Z332" s="47"/>
    </row>
    <row r="333" spans="1:26" x14ac:dyDescent="0.25">
      <c r="A333" s="53">
        <v>45535</v>
      </c>
      <c r="B333" s="54">
        <f t="shared" si="118"/>
        <v>31</v>
      </c>
      <c r="C333" s="55" t="str" cm="1">
        <f t="array" ref="C333">INDEX(Processing!$C$11:$C$22,MONTH('ALL ORDERS'!A333))</f>
        <v>AUG</v>
      </c>
      <c r="D333" s="54">
        <f t="shared" si="119"/>
        <v>2024</v>
      </c>
      <c r="E333" s="56" t="s">
        <v>48</v>
      </c>
      <c r="F333" s="56" t="s">
        <v>19</v>
      </c>
      <c r="G333" s="100">
        <v>0</v>
      </c>
      <c r="H333" s="100">
        <v>2100</v>
      </c>
      <c r="I333" s="57"/>
      <c r="J333" s="99">
        <f t="shared" si="117"/>
        <v>2100</v>
      </c>
      <c r="K333" s="53">
        <v>45535</v>
      </c>
      <c r="L333" s="54">
        <f t="shared" si="120"/>
        <v>31</v>
      </c>
      <c r="M333" s="55" t="str" cm="1">
        <f t="array" ref="M333">INDEX(Processing!$W$6:$W$17,MONTH('ALL ORDERS'!K333))</f>
        <v>August</v>
      </c>
      <c r="N333" s="54">
        <f t="shared" si="124"/>
        <v>2024</v>
      </c>
      <c r="O333" s="58">
        <v>0.66666666666666663</v>
      </c>
      <c r="P333" s="59" t="s">
        <v>195</v>
      </c>
      <c r="Q333" s="60" t="s">
        <v>94</v>
      </c>
      <c r="R333" s="56" t="s">
        <v>281</v>
      </c>
      <c r="S333" s="61" t="s">
        <v>41</v>
      </c>
      <c r="T333" s="62" t="s">
        <v>676</v>
      </c>
      <c r="U333" s="63" t="s">
        <v>26</v>
      </c>
      <c r="V333" s="63" t="s">
        <v>147</v>
      </c>
      <c r="W333" s="64">
        <v>3396</v>
      </c>
      <c r="X333" s="64">
        <v>4</v>
      </c>
      <c r="Y333" s="47"/>
      <c r="Z333" s="47"/>
    </row>
    <row r="334" spans="1:26" ht="24" x14ac:dyDescent="0.25">
      <c r="A334" s="53">
        <v>45536</v>
      </c>
      <c r="B334" s="54">
        <f t="shared" si="118"/>
        <v>1</v>
      </c>
      <c r="C334" s="55" t="str" cm="1">
        <f t="array" ref="C334">INDEX(Processing!$C$11:$C$22,MONTH('ALL ORDERS'!A334))</f>
        <v>SEP</v>
      </c>
      <c r="D334" s="54">
        <f t="shared" si="119"/>
        <v>2024</v>
      </c>
      <c r="E334" s="56" t="s">
        <v>47</v>
      </c>
      <c r="F334" s="56" t="s">
        <v>152</v>
      </c>
      <c r="G334" s="100">
        <v>0</v>
      </c>
      <c r="H334" s="100">
        <v>2150</v>
      </c>
      <c r="I334" s="57"/>
      <c r="J334" s="99">
        <f t="shared" si="117"/>
        <v>2150</v>
      </c>
      <c r="K334" s="53">
        <v>45536</v>
      </c>
      <c r="L334" s="54">
        <f t="shared" si="120"/>
        <v>1</v>
      </c>
      <c r="M334" s="55" t="str" cm="1">
        <f t="array" ref="M334">INDEX(Processing!$W$6:$W$17,MONTH('ALL ORDERS'!K334))</f>
        <v>September</v>
      </c>
      <c r="N334" s="54">
        <f t="shared" si="124"/>
        <v>2024</v>
      </c>
      <c r="O334" s="58">
        <v>0.75</v>
      </c>
      <c r="P334" s="59" t="s">
        <v>186</v>
      </c>
      <c r="Q334" s="60" t="s">
        <v>91</v>
      </c>
      <c r="R334" s="56" t="s">
        <v>271</v>
      </c>
      <c r="S334" s="61" t="s">
        <v>44</v>
      </c>
      <c r="T334" s="62" t="s">
        <v>677</v>
      </c>
      <c r="U334" s="63" t="s">
        <v>26</v>
      </c>
      <c r="V334" s="63" t="s">
        <v>147</v>
      </c>
      <c r="W334" s="64">
        <v>2692</v>
      </c>
      <c r="X334" s="64">
        <v>4</v>
      </c>
      <c r="Y334" s="47"/>
      <c r="Z334" s="47"/>
    </row>
    <row r="335" spans="1:26" ht="24" x14ac:dyDescent="0.25">
      <c r="A335" s="53">
        <v>45537</v>
      </c>
      <c r="B335" s="54">
        <f t="shared" si="118"/>
        <v>2</v>
      </c>
      <c r="C335" s="55" t="str" cm="1">
        <f t="array" ref="C335">INDEX(Processing!$C$11:$C$22,MONTH('ALL ORDERS'!A335))</f>
        <v>SEP</v>
      </c>
      <c r="D335" s="54">
        <f t="shared" si="119"/>
        <v>2024</v>
      </c>
      <c r="E335" s="56" t="s">
        <v>50</v>
      </c>
      <c r="F335" s="56" t="s">
        <v>124</v>
      </c>
      <c r="G335" s="100">
        <v>0</v>
      </c>
      <c r="H335" s="100">
        <v>1420</v>
      </c>
      <c r="I335" s="57"/>
      <c r="J335" s="99">
        <f t="shared" si="117"/>
        <v>1420</v>
      </c>
      <c r="K335" s="53">
        <v>45537</v>
      </c>
      <c r="L335" s="54">
        <f t="shared" si="120"/>
        <v>2</v>
      </c>
      <c r="M335" s="55" t="str" cm="1">
        <f t="array" ref="M335">INDEX(Processing!$W$6:$W$17,MONTH('ALL ORDERS'!K335))</f>
        <v>September</v>
      </c>
      <c r="N335" s="54">
        <f t="shared" si="124"/>
        <v>2024</v>
      </c>
      <c r="O335" s="58">
        <v>0.41666666666666669</v>
      </c>
      <c r="P335" s="59" t="s">
        <v>351</v>
      </c>
      <c r="Q335" s="60" t="s">
        <v>94</v>
      </c>
      <c r="R335" s="56" t="s">
        <v>313</v>
      </c>
      <c r="S335" s="61" t="s">
        <v>42</v>
      </c>
      <c r="T335" s="70">
        <v>35900888990</v>
      </c>
      <c r="U335" s="63" t="s">
        <v>26</v>
      </c>
      <c r="V335" s="63" t="s">
        <v>147</v>
      </c>
      <c r="W335" s="64">
        <v>421</v>
      </c>
      <c r="X335" s="64">
        <v>5</v>
      </c>
      <c r="Y335" s="47"/>
      <c r="Z335" s="47"/>
    </row>
    <row r="336" spans="1:26" ht="24" x14ac:dyDescent="0.25">
      <c r="A336" s="53">
        <v>45538</v>
      </c>
      <c r="B336" s="54">
        <f t="shared" si="118"/>
        <v>3</v>
      </c>
      <c r="C336" s="55" t="str" cm="1">
        <f t="array" ref="C336">INDEX(Processing!$C$11:$C$22,MONTH('ALL ORDERS'!A336))</f>
        <v>SEP</v>
      </c>
      <c r="D336" s="54">
        <f t="shared" si="119"/>
        <v>2024</v>
      </c>
      <c r="E336" s="56" t="s">
        <v>47</v>
      </c>
      <c r="F336" s="56" t="s">
        <v>126</v>
      </c>
      <c r="G336" s="100">
        <v>0</v>
      </c>
      <c r="H336" s="100">
        <v>2940</v>
      </c>
      <c r="I336" s="57"/>
      <c r="J336" s="99">
        <f t="shared" si="117"/>
        <v>2940</v>
      </c>
      <c r="K336" s="53">
        <v>45538</v>
      </c>
      <c r="L336" s="54">
        <f t="shared" si="120"/>
        <v>3</v>
      </c>
      <c r="M336" s="55" t="str" cm="1">
        <f t="array" ref="M336">INDEX(Processing!$W$6:$W$17,MONTH('ALL ORDERS'!K336))</f>
        <v>September</v>
      </c>
      <c r="N336" s="54">
        <f t="shared" si="124"/>
        <v>2024</v>
      </c>
      <c r="O336" s="58">
        <v>0.5</v>
      </c>
      <c r="P336" s="59" t="s">
        <v>168</v>
      </c>
      <c r="Q336" s="60" t="s">
        <v>94</v>
      </c>
      <c r="R336" s="56" t="s">
        <v>251</v>
      </c>
      <c r="S336" s="61" t="s">
        <v>41</v>
      </c>
      <c r="T336" s="62" t="s">
        <v>678</v>
      </c>
      <c r="U336" s="63" t="s">
        <v>26</v>
      </c>
      <c r="V336" s="63" t="s">
        <v>147</v>
      </c>
      <c r="W336" s="64">
        <v>2165</v>
      </c>
      <c r="X336" s="64">
        <v>5</v>
      </c>
      <c r="Y336" s="47"/>
      <c r="Z336" s="47"/>
    </row>
    <row r="337" spans="1:26" ht="24" x14ac:dyDescent="0.25">
      <c r="A337" s="53">
        <v>45539</v>
      </c>
      <c r="B337" s="54">
        <f t="shared" si="118"/>
        <v>4</v>
      </c>
      <c r="C337" s="55" t="str" cm="1">
        <f t="array" ref="C337">INDEX(Processing!$C$11:$C$22,MONTH('ALL ORDERS'!A337))</f>
        <v>SEP</v>
      </c>
      <c r="D337" s="54">
        <f t="shared" si="119"/>
        <v>2024</v>
      </c>
      <c r="E337" s="56" t="s">
        <v>48</v>
      </c>
      <c r="F337" s="56" t="s">
        <v>127</v>
      </c>
      <c r="G337" s="100">
        <v>0</v>
      </c>
      <c r="H337" s="100">
        <v>2330</v>
      </c>
      <c r="I337" s="57"/>
      <c r="J337" s="99">
        <f t="shared" si="117"/>
        <v>2330</v>
      </c>
      <c r="K337" s="53">
        <v>45539</v>
      </c>
      <c r="L337" s="54">
        <f t="shared" si="120"/>
        <v>4</v>
      </c>
      <c r="M337" s="55" t="str" cm="1">
        <f t="array" ref="M337">INDEX(Processing!$W$6:$W$17,MONTH('ALL ORDERS'!K337))</f>
        <v>September</v>
      </c>
      <c r="N337" s="54">
        <f t="shared" si="124"/>
        <v>2024</v>
      </c>
      <c r="O337" s="58">
        <v>0.66666666666666663</v>
      </c>
      <c r="P337" s="59" t="s">
        <v>338</v>
      </c>
      <c r="Q337" s="60" t="s">
        <v>94</v>
      </c>
      <c r="R337" s="56" t="s">
        <v>253</v>
      </c>
      <c r="S337" s="61" t="s">
        <v>43</v>
      </c>
      <c r="T337" s="62" t="s">
        <v>679</v>
      </c>
      <c r="U337" s="63" t="s">
        <v>26</v>
      </c>
      <c r="V337" s="63" t="s">
        <v>147</v>
      </c>
      <c r="W337" s="64">
        <v>2740</v>
      </c>
      <c r="X337" s="64">
        <v>5</v>
      </c>
      <c r="Y337" s="47"/>
      <c r="Z337" s="47"/>
    </row>
    <row r="338" spans="1:26" ht="24" x14ac:dyDescent="0.25">
      <c r="A338" s="53">
        <v>45540</v>
      </c>
      <c r="B338" s="54">
        <f t="shared" si="118"/>
        <v>5</v>
      </c>
      <c r="C338" s="55" t="str" cm="1">
        <f t="array" ref="C338">INDEX(Processing!$C$11:$C$22,MONTH('ALL ORDERS'!A338))</f>
        <v>SEP</v>
      </c>
      <c r="D338" s="54">
        <f t="shared" si="119"/>
        <v>2024</v>
      </c>
      <c r="E338" s="56" t="s">
        <v>49</v>
      </c>
      <c r="F338" s="56" t="s">
        <v>19</v>
      </c>
      <c r="G338" s="100">
        <v>0</v>
      </c>
      <c r="H338" s="100">
        <v>2140</v>
      </c>
      <c r="I338" s="57"/>
      <c r="J338" s="99">
        <f t="shared" si="117"/>
        <v>2140</v>
      </c>
      <c r="K338" s="53">
        <v>45540</v>
      </c>
      <c r="L338" s="54">
        <f t="shared" si="120"/>
        <v>5</v>
      </c>
      <c r="M338" s="55" t="str" cm="1">
        <f t="array" ref="M338">INDEX(Processing!$W$6:$W$17,MONTH('ALL ORDERS'!K338))</f>
        <v>September</v>
      </c>
      <c r="N338" s="54">
        <f t="shared" si="124"/>
        <v>2024</v>
      </c>
      <c r="O338" s="58">
        <v>0.75</v>
      </c>
      <c r="P338" s="59" t="s">
        <v>342</v>
      </c>
      <c r="Q338" s="60" t="s">
        <v>90</v>
      </c>
      <c r="R338" s="56" t="s">
        <v>293</v>
      </c>
      <c r="S338" s="61" t="s">
        <v>45</v>
      </c>
      <c r="T338" s="62" t="s">
        <v>680</v>
      </c>
      <c r="U338" s="63" t="s">
        <v>26</v>
      </c>
      <c r="V338" s="63" t="s">
        <v>147</v>
      </c>
      <c r="W338" s="64">
        <v>311</v>
      </c>
      <c r="X338" s="64">
        <v>5</v>
      </c>
      <c r="Y338" s="47"/>
      <c r="Z338" s="47"/>
    </row>
    <row r="339" spans="1:26" ht="24" x14ac:dyDescent="0.25">
      <c r="A339" s="53">
        <v>45541</v>
      </c>
      <c r="B339" s="54">
        <f t="shared" si="118"/>
        <v>6</v>
      </c>
      <c r="C339" s="55" t="str" cm="1">
        <f t="array" ref="C339">INDEX(Processing!$C$11:$C$22,MONTH('ALL ORDERS'!A339))</f>
        <v>SEP</v>
      </c>
      <c r="D339" s="54">
        <f t="shared" si="119"/>
        <v>2024</v>
      </c>
      <c r="E339" s="56" t="s">
        <v>47</v>
      </c>
      <c r="F339" s="56" t="s">
        <v>152</v>
      </c>
      <c r="G339" s="100">
        <v>0</v>
      </c>
      <c r="H339" s="100">
        <v>3090</v>
      </c>
      <c r="I339" s="57"/>
      <c r="J339" s="99">
        <f t="shared" si="117"/>
        <v>3090</v>
      </c>
      <c r="K339" s="53">
        <v>45541</v>
      </c>
      <c r="L339" s="54">
        <f t="shared" si="120"/>
        <v>6</v>
      </c>
      <c r="M339" s="55" t="str" cm="1">
        <f t="array" ref="M339">INDEX(Processing!$W$6:$W$17,MONTH('ALL ORDERS'!K339))</f>
        <v>September</v>
      </c>
      <c r="N339" s="54">
        <f t="shared" si="124"/>
        <v>2024</v>
      </c>
      <c r="O339" s="58">
        <v>0.41666666666666669</v>
      </c>
      <c r="P339" s="59" t="s">
        <v>200</v>
      </c>
      <c r="Q339" s="60" t="s">
        <v>94</v>
      </c>
      <c r="R339" s="56" t="s">
        <v>287</v>
      </c>
      <c r="S339" s="61" t="s">
        <v>43</v>
      </c>
      <c r="T339" s="62" t="s">
        <v>681</v>
      </c>
      <c r="U339" s="63" t="s">
        <v>26</v>
      </c>
      <c r="V339" s="63" t="s">
        <v>147</v>
      </c>
      <c r="W339" s="64">
        <v>291</v>
      </c>
      <c r="X339" s="64">
        <v>5</v>
      </c>
      <c r="Y339" s="47"/>
      <c r="Z339" s="47"/>
    </row>
    <row r="340" spans="1:26" ht="24" x14ac:dyDescent="0.25">
      <c r="A340" s="53">
        <v>45536</v>
      </c>
      <c r="B340" s="54">
        <f t="shared" si="118"/>
        <v>1</v>
      </c>
      <c r="C340" s="55" t="str" cm="1">
        <f t="array" ref="C340">INDEX(Processing!$C$11:$C$22,MONTH('ALL ORDERS'!A340))</f>
        <v>SEP</v>
      </c>
      <c r="D340" s="54">
        <f t="shared" si="119"/>
        <v>2024</v>
      </c>
      <c r="E340" s="56" t="s">
        <v>50</v>
      </c>
      <c r="F340" s="56" t="s">
        <v>135</v>
      </c>
      <c r="G340" s="100">
        <v>0</v>
      </c>
      <c r="H340" s="100">
        <v>1840</v>
      </c>
      <c r="I340" s="57"/>
      <c r="J340" s="99">
        <f t="shared" si="117"/>
        <v>1840</v>
      </c>
      <c r="K340" s="53">
        <v>45536</v>
      </c>
      <c r="L340" s="54">
        <f t="shared" si="120"/>
        <v>1</v>
      </c>
      <c r="M340" s="55" t="str" cm="1">
        <f t="array" ref="M340">INDEX(Processing!$W$6:$W$17,MONTH('ALL ORDERS'!K340))</f>
        <v>September</v>
      </c>
      <c r="N340" s="54">
        <f t="shared" si="124"/>
        <v>2024</v>
      </c>
      <c r="O340" s="58">
        <v>0.5</v>
      </c>
      <c r="P340" s="59" t="s">
        <v>197</v>
      </c>
      <c r="Q340" s="60" t="s">
        <v>94</v>
      </c>
      <c r="R340" s="56" t="s">
        <v>284</v>
      </c>
      <c r="S340" s="61" t="s">
        <v>44</v>
      </c>
      <c r="T340" s="62" t="s">
        <v>682</v>
      </c>
      <c r="U340" s="63" t="s">
        <v>26</v>
      </c>
      <c r="V340" s="63" t="s">
        <v>147</v>
      </c>
      <c r="W340" s="64">
        <v>2108</v>
      </c>
      <c r="X340" s="64">
        <v>5</v>
      </c>
      <c r="Y340" s="47"/>
      <c r="Z340" s="47"/>
    </row>
    <row r="341" spans="1:26" ht="24" x14ac:dyDescent="0.25">
      <c r="A341" s="53">
        <v>45543</v>
      </c>
      <c r="B341" s="54">
        <f t="shared" si="118"/>
        <v>8</v>
      </c>
      <c r="C341" s="55" t="str" cm="1">
        <f t="array" ref="C341">INDEX(Processing!$C$11:$C$22,MONTH('ALL ORDERS'!A341))</f>
        <v>SEP</v>
      </c>
      <c r="D341" s="54">
        <f t="shared" si="119"/>
        <v>2024</v>
      </c>
      <c r="E341" s="56" t="s">
        <v>51</v>
      </c>
      <c r="F341" s="56" t="s">
        <v>124</v>
      </c>
      <c r="G341" s="100">
        <v>0</v>
      </c>
      <c r="H341" s="100">
        <v>3810</v>
      </c>
      <c r="I341" s="57"/>
      <c r="J341" s="99">
        <f t="shared" si="117"/>
        <v>3810</v>
      </c>
      <c r="K341" s="53">
        <v>45543</v>
      </c>
      <c r="L341" s="54">
        <f t="shared" si="120"/>
        <v>8</v>
      </c>
      <c r="M341" s="55" t="str" cm="1">
        <f t="array" ref="M341">INDEX(Processing!$W$6:$W$17,MONTH('ALL ORDERS'!K341))</f>
        <v>September</v>
      </c>
      <c r="N341" s="54">
        <f t="shared" si="124"/>
        <v>2024</v>
      </c>
      <c r="O341" s="58">
        <v>0.66666666666666663</v>
      </c>
      <c r="P341" s="59" t="s">
        <v>226</v>
      </c>
      <c r="Q341" s="60" t="s">
        <v>94</v>
      </c>
      <c r="R341" s="56" t="s">
        <v>326</v>
      </c>
      <c r="S341" s="61" t="s">
        <v>41</v>
      </c>
      <c r="T341" s="62" t="s">
        <v>683</v>
      </c>
      <c r="U341" s="63" t="s">
        <v>26</v>
      </c>
      <c r="V341" s="63" t="s">
        <v>147</v>
      </c>
      <c r="W341" s="64">
        <v>974</v>
      </c>
      <c r="X341" s="64">
        <v>3</v>
      </c>
      <c r="Y341" s="47"/>
      <c r="Z341" s="47"/>
    </row>
    <row r="342" spans="1:26" ht="24" x14ac:dyDescent="0.25">
      <c r="A342" s="53">
        <v>45544</v>
      </c>
      <c r="B342" s="54">
        <f t="shared" si="118"/>
        <v>9</v>
      </c>
      <c r="C342" s="55" t="str" cm="1">
        <f t="array" ref="C342">INDEX(Processing!$C$11:$C$22,MONTH('ALL ORDERS'!A342))</f>
        <v>SEP</v>
      </c>
      <c r="D342" s="54">
        <f t="shared" si="119"/>
        <v>2024</v>
      </c>
      <c r="E342" s="56" t="s">
        <v>48</v>
      </c>
      <c r="F342" s="56" t="s">
        <v>20</v>
      </c>
      <c r="G342" s="100">
        <v>0</v>
      </c>
      <c r="H342" s="100">
        <v>1190</v>
      </c>
      <c r="I342" s="57">
        <v>0.15</v>
      </c>
      <c r="J342" s="99">
        <f t="shared" ref="J342:J405" si="128">G342+H342</f>
        <v>1190</v>
      </c>
      <c r="K342" s="53">
        <v>45544</v>
      </c>
      <c r="L342" s="54">
        <f t="shared" si="120"/>
        <v>9</v>
      </c>
      <c r="M342" s="55" t="str" cm="1">
        <f t="array" ref="M342">INDEX(Processing!$W$6:$W$17,MONTH('ALL ORDERS'!K342))</f>
        <v>September</v>
      </c>
      <c r="N342" s="54">
        <f t="shared" si="124"/>
        <v>2024</v>
      </c>
      <c r="O342" s="58">
        <v>0.75</v>
      </c>
      <c r="P342" s="59" t="s">
        <v>351</v>
      </c>
      <c r="Q342" s="60" t="s">
        <v>94</v>
      </c>
      <c r="R342" s="56" t="s">
        <v>313</v>
      </c>
      <c r="S342" s="61" t="s">
        <v>42</v>
      </c>
      <c r="T342" s="62" t="s">
        <v>684</v>
      </c>
      <c r="U342" s="63" t="s">
        <v>26</v>
      </c>
      <c r="V342" s="63" t="s">
        <v>147</v>
      </c>
      <c r="W342" s="64">
        <v>1792</v>
      </c>
      <c r="X342" s="64">
        <v>4</v>
      </c>
      <c r="Y342" s="47"/>
      <c r="Z342" s="47"/>
    </row>
    <row r="343" spans="1:26" ht="24" x14ac:dyDescent="0.25">
      <c r="A343" s="53">
        <v>45545</v>
      </c>
      <c r="B343" s="54">
        <f t="shared" si="118"/>
        <v>10</v>
      </c>
      <c r="C343" s="55" t="str" cm="1">
        <f t="array" ref="C343">INDEX(Processing!$C$11:$C$22,MONTH('ALL ORDERS'!A343))</f>
        <v>SEP</v>
      </c>
      <c r="D343" s="54">
        <f t="shared" si="119"/>
        <v>2024</v>
      </c>
      <c r="E343" s="56" t="s">
        <v>49</v>
      </c>
      <c r="F343" s="56" t="s">
        <v>123</v>
      </c>
      <c r="G343" s="100">
        <v>0</v>
      </c>
      <c r="H343" s="100">
        <v>160</v>
      </c>
      <c r="I343" s="57"/>
      <c r="J343" s="99">
        <f t="shared" si="128"/>
        <v>160</v>
      </c>
      <c r="K343" s="53">
        <v>45545</v>
      </c>
      <c r="L343" s="54">
        <f t="shared" si="120"/>
        <v>10</v>
      </c>
      <c r="M343" s="55" t="str" cm="1">
        <f t="array" ref="M343">INDEX(Processing!$W$6:$W$17,MONTH('ALL ORDERS'!K343))</f>
        <v>September</v>
      </c>
      <c r="N343" s="54">
        <f t="shared" si="124"/>
        <v>2024</v>
      </c>
      <c r="O343" s="58">
        <v>0.41666666666666669</v>
      </c>
      <c r="P343" s="59" t="s">
        <v>158</v>
      </c>
      <c r="Q343" s="60" t="s">
        <v>94</v>
      </c>
      <c r="R343" s="56" t="s">
        <v>240</v>
      </c>
      <c r="S343" s="61" t="s">
        <v>42</v>
      </c>
      <c r="T343" s="62" t="s">
        <v>685</v>
      </c>
      <c r="U343" s="63" t="s">
        <v>26</v>
      </c>
      <c r="V343" s="63" t="s">
        <v>147</v>
      </c>
      <c r="W343" s="64">
        <v>1765</v>
      </c>
      <c r="X343" s="64">
        <v>4</v>
      </c>
      <c r="Y343" s="47"/>
      <c r="Z343" s="47"/>
    </row>
    <row r="344" spans="1:26" ht="24" x14ac:dyDescent="0.25">
      <c r="A344" s="53">
        <v>45546</v>
      </c>
      <c r="B344" s="54">
        <f t="shared" si="118"/>
        <v>11</v>
      </c>
      <c r="C344" s="55" t="str" cm="1">
        <f t="array" ref="C344">INDEX(Processing!$C$11:$C$22,MONTH('ALL ORDERS'!A344))</f>
        <v>SEP</v>
      </c>
      <c r="D344" s="54">
        <f t="shared" si="119"/>
        <v>2024</v>
      </c>
      <c r="E344" s="56" t="s">
        <v>47</v>
      </c>
      <c r="F344" s="56" t="s">
        <v>121</v>
      </c>
      <c r="G344" s="100">
        <v>0</v>
      </c>
      <c r="H344" s="100">
        <v>2390</v>
      </c>
      <c r="I344" s="57"/>
      <c r="J344" s="99">
        <f t="shared" si="128"/>
        <v>2390</v>
      </c>
      <c r="K344" s="53">
        <v>45546</v>
      </c>
      <c r="L344" s="54">
        <f t="shared" si="120"/>
        <v>11</v>
      </c>
      <c r="M344" s="55" t="str" cm="1">
        <f t="array" ref="M344">INDEX(Processing!$W$6:$W$17,MONTH('ALL ORDERS'!K344))</f>
        <v>September</v>
      </c>
      <c r="N344" s="54">
        <f t="shared" si="124"/>
        <v>2024</v>
      </c>
      <c r="O344" s="58">
        <v>0.5</v>
      </c>
      <c r="P344" s="59" t="s">
        <v>155</v>
      </c>
      <c r="Q344" s="60" t="s">
        <v>94</v>
      </c>
      <c r="R344" s="56" t="s">
        <v>237</v>
      </c>
      <c r="S344" s="61" t="s">
        <v>41</v>
      </c>
      <c r="T344" s="62" t="s">
        <v>686</v>
      </c>
      <c r="U344" s="63" t="s">
        <v>26</v>
      </c>
      <c r="V344" s="63" t="s">
        <v>147</v>
      </c>
      <c r="W344" s="64">
        <v>3486</v>
      </c>
      <c r="X344" s="64">
        <v>5</v>
      </c>
      <c r="Y344" s="47"/>
      <c r="Z344" s="47"/>
    </row>
    <row r="345" spans="1:26" ht="24" x14ac:dyDescent="0.25">
      <c r="A345" s="53">
        <v>45547</v>
      </c>
      <c r="B345" s="54">
        <f t="shared" si="118"/>
        <v>12</v>
      </c>
      <c r="C345" s="55" t="str" cm="1">
        <f t="array" ref="C345">INDEX(Processing!$C$11:$C$22,MONTH('ALL ORDERS'!A345))</f>
        <v>SEP</v>
      </c>
      <c r="D345" s="54">
        <f t="shared" si="119"/>
        <v>2024</v>
      </c>
      <c r="E345" s="56" t="s">
        <v>50</v>
      </c>
      <c r="F345" s="56" t="s">
        <v>128</v>
      </c>
      <c r="G345" s="100">
        <v>3860</v>
      </c>
      <c r="H345" s="100">
        <v>0</v>
      </c>
      <c r="I345" s="57"/>
      <c r="J345" s="99">
        <f t="shared" si="128"/>
        <v>3860</v>
      </c>
      <c r="K345" s="53">
        <v>45547</v>
      </c>
      <c r="L345" s="54">
        <f t="shared" si="120"/>
        <v>12</v>
      </c>
      <c r="M345" s="55" t="str" cm="1">
        <f t="array" ref="M345">INDEX(Processing!$W$6:$W$17,MONTH('ALL ORDERS'!K345))</f>
        <v>September</v>
      </c>
      <c r="N345" s="54">
        <f t="shared" si="124"/>
        <v>2024</v>
      </c>
      <c r="O345" s="58">
        <v>0.66666666666666663</v>
      </c>
      <c r="P345" s="59" t="s">
        <v>168</v>
      </c>
      <c r="Q345" s="60" t="s">
        <v>94</v>
      </c>
      <c r="R345" s="56" t="s">
        <v>251</v>
      </c>
      <c r="S345" s="61" t="s">
        <v>43</v>
      </c>
      <c r="T345" s="62" t="s">
        <v>687</v>
      </c>
      <c r="U345" s="63" t="s">
        <v>26</v>
      </c>
      <c r="V345" s="63" t="s">
        <v>147</v>
      </c>
      <c r="W345" s="64">
        <v>2464</v>
      </c>
      <c r="X345" s="64">
        <v>3</v>
      </c>
      <c r="Y345" s="47"/>
      <c r="Z345" s="47"/>
    </row>
    <row r="346" spans="1:26" ht="24" x14ac:dyDescent="0.25">
      <c r="A346" s="53">
        <v>45548</v>
      </c>
      <c r="B346" s="54">
        <f t="shared" ref="B346:B411" si="129">DAY(A346)</f>
        <v>13</v>
      </c>
      <c r="C346" s="55" t="str" cm="1">
        <f t="array" ref="C346">INDEX(Processing!$C$11:$C$22,MONTH('ALL ORDERS'!A346))</f>
        <v>SEP</v>
      </c>
      <c r="D346" s="54">
        <f t="shared" ref="D346:D411" si="130">YEAR(A346)</f>
        <v>2024</v>
      </c>
      <c r="E346" s="56" t="s">
        <v>47</v>
      </c>
      <c r="F346" s="56" t="s">
        <v>19</v>
      </c>
      <c r="G346" s="100">
        <v>0</v>
      </c>
      <c r="H346" s="100">
        <v>1950</v>
      </c>
      <c r="I346" s="57"/>
      <c r="J346" s="99">
        <f t="shared" si="128"/>
        <v>1950</v>
      </c>
      <c r="K346" s="53">
        <v>45548</v>
      </c>
      <c r="L346" s="54">
        <f t="shared" si="120"/>
        <v>13</v>
      </c>
      <c r="M346" s="55" t="str" cm="1">
        <f t="array" ref="M346">INDEX(Processing!$W$6:$W$17,MONTH('ALL ORDERS'!K346))</f>
        <v>September</v>
      </c>
      <c r="N346" s="54">
        <f t="shared" si="124"/>
        <v>2024</v>
      </c>
      <c r="O346" s="58">
        <v>0.75</v>
      </c>
      <c r="P346" s="59" t="s">
        <v>176</v>
      </c>
      <c r="Q346" s="60" t="s">
        <v>94</v>
      </c>
      <c r="R346" s="56" t="s">
        <v>260</v>
      </c>
      <c r="S346" s="61" t="s">
        <v>45</v>
      </c>
      <c r="T346" s="62" t="s">
        <v>688</v>
      </c>
      <c r="U346" s="63" t="s">
        <v>26</v>
      </c>
      <c r="V346" s="63" t="s">
        <v>147</v>
      </c>
      <c r="W346" s="64">
        <v>3584</v>
      </c>
      <c r="X346" s="64">
        <v>2</v>
      </c>
      <c r="Y346" s="47"/>
      <c r="Z346" s="47"/>
    </row>
    <row r="347" spans="1:26" ht="24" x14ac:dyDescent="0.25">
      <c r="A347" s="53">
        <v>45549</v>
      </c>
      <c r="B347" s="54">
        <f t="shared" si="129"/>
        <v>14</v>
      </c>
      <c r="C347" s="55" t="str" cm="1">
        <f t="array" ref="C347">INDEX(Processing!$C$11:$C$22,MONTH('ALL ORDERS'!A347))</f>
        <v>SEP</v>
      </c>
      <c r="D347" s="54">
        <f t="shared" si="130"/>
        <v>2024</v>
      </c>
      <c r="E347" s="56" t="s">
        <v>48</v>
      </c>
      <c r="F347" s="56" t="s">
        <v>20</v>
      </c>
      <c r="G347" s="100">
        <v>0</v>
      </c>
      <c r="H347" s="100">
        <v>3050</v>
      </c>
      <c r="I347" s="57"/>
      <c r="J347" s="99">
        <f t="shared" si="128"/>
        <v>3050</v>
      </c>
      <c r="K347" s="53">
        <v>45549</v>
      </c>
      <c r="L347" s="54">
        <f t="shared" si="120"/>
        <v>14</v>
      </c>
      <c r="M347" s="55" t="str" cm="1">
        <f t="array" ref="M347">INDEX(Processing!$W$6:$W$17,MONTH('ALL ORDERS'!K347))</f>
        <v>September</v>
      </c>
      <c r="N347" s="54">
        <f t="shared" si="124"/>
        <v>2024</v>
      </c>
      <c r="O347" s="58">
        <v>0.41666666666666669</v>
      </c>
      <c r="P347" s="59" t="s">
        <v>202</v>
      </c>
      <c r="Q347" s="60" t="s">
        <v>94</v>
      </c>
      <c r="R347" s="56" t="s">
        <v>289</v>
      </c>
      <c r="S347" s="61" t="s">
        <v>43</v>
      </c>
      <c r="T347" s="70">
        <v>34900888990</v>
      </c>
      <c r="U347" s="63" t="s">
        <v>26</v>
      </c>
      <c r="V347" s="63" t="s">
        <v>147</v>
      </c>
      <c r="W347" s="64">
        <v>661</v>
      </c>
      <c r="X347" s="64">
        <v>4</v>
      </c>
      <c r="Y347" s="47"/>
      <c r="Z347" s="47"/>
    </row>
    <row r="348" spans="1:26" ht="24" x14ac:dyDescent="0.25">
      <c r="A348" s="53">
        <v>45550</v>
      </c>
      <c r="B348" s="54">
        <f t="shared" si="129"/>
        <v>15</v>
      </c>
      <c r="C348" s="55" t="str" cm="1">
        <f t="array" ref="C348">INDEX(Processing!$C$11:$C$22,MONTH('ALL ORDERS'!A348))</f>
        <v>SEP</v>
      </c>
      <c r="D348" s="54">
        <f t="shared" si="130"/>
        <v>2024</v>
      </c>
      <c r="E348" s="56" t="s">
        <v>49</v>
      </c>
      <c r="F348" s="56" t="s">
        <v>21</v>
      </c>
      <c r="G348" s="100">
        <v>0</v>
      </c>
      <c r="H348" s="100">
        <v>3010</v>
      </c>
      <c r="I348" s="57"/>
      <c r="J348" s="99">
        <f t="shared" si="128"/>
        <v>3010</v>
      </c>
      <c r="K348" s="53">
        <v>45550</v>
      </c>
      <c r="L348" s="54">
        <f t="shared" si="120"/>
        <v>15</v>
      </c>
      <c r="M348" s="55" t="str" cm="1">
        <f t="array" ref="M348">INDEX(Processing!$W$6:$W$17,MONTH('ALL ORDERS'!K348))</f>
        <v>September</v>
      </c>
      <c r="N348" s="54">
        <f t="shared" si="124"/>
        <v>2024</v>
      </c>
      <c r="O348" s="58">
        <v>0.5</v>
      </c>
      <c r="P348" s="59" t="s">
        <v>353</v>
      </c>
      <c r="Q348" s="60" t="s">
        <v>91</v>
      </c>
      <c r="R348" s="56" t="s">
        <v>315</v>
      </c>
      <c r="S348" s="61" t="s">
        <v>44</v>
      </c>
      <c r="T348" s="62" t="s">
        <v>689</v>
      </c>
      <c r="U348" s="63" t="s">
        <v>25</v>
      </c>
      <c r="V348" s="63" t="s">
        <v>147</v>
      </c>
      <c r="W348" s="64">
        <v>2302</v>
      </c>
      <c r="X348" s="64">
        <v>5</v>
      </c>
      <c r="Y348" s="47"/>
      <c r="Z348" s="47"/>
    </row>
    <row r="349" spans="1:26" ht="24" x14ac:dyDescent="0.25">
      <c r="A349" s="53">
        <v>45551</v>
      </c>
      <c r="B349" s="54">
        <f t="shared" si="129"/>
        <v>16</v>
      </c>
      <c r="C349" s="55" t="str" cm="1">
        <f t="array" ref="C349">INDEX(Processing!$C$11:$C$22,MONTH('ALL ORDERS'!A349))</f>
        <v>SEP</v>
      </c>
      <c r="D349" s="54">
        <f t="shared" si="130"/>
        <v>2024</v>
      </c>
      <c r="E349" s="56" t="s">
        <v>47</v>
      </c>
      <c r="F349" s="56" t="s">
        <v>22</v>
      </c>
      <c r="G349" s="100">
        <v>0</v>
      </c>
      <c r="H349" s="100">
        <v>1480</v>
      </c>
      <c r="I349" s="57"/>
      <c r="J349" s="99">
        <f t="shared" si="128"/>
        <v>1480</v>
      </c>
      <c r="K349" s="53">
        <v>45551</v>
      </c>
      <c r="L349" s="54">
        <f t="shared" si="120"/>
        <v>16</v>
      </c>
      <c r="M349" s="55" t="str" cm="1">
        <f t="array" ref="M349">INDEX(Processing!$W$6:$W$17,MONTH('ALL ORDERS'!K349))</f>
        <v>September</v>
      </c>
      <c r="N349" s="54">
        <f t="shared" si="124"/>
        <v>2024</v>
      </c>
      <c r="O349" s="58">
        <v>0.66666666666666663</v>
      </c>
      <c r="P349" s="59" t="s">
        <v>160</v>
      </c>
      <c r="Q349" s="60" t="s">
        <v>94</v>
      </c>
      <c r="R349" s="56" t="s">
        <v>242</v>
      </c>
      <c r="S349" s="61" t="s">
        <v>43</v>
      </c>
      <c r="T349" s="62" t="s">
        <v>690</v>
      </c>
      <c r="U349" s="63" t="s">
        <v>23</v>
      </c>
      <c r="V349" s="63" t="s">
        <v>147</v>
      </c>
      <c r="W349" s="64">
        <v>3777</v>
      </c>
      <c r="X349" s="64">
        <v>5</v>
      </c>
      <c r="Y349" s="47"/>
      <c r="Z349" s="47"/>
    </row>
    <row r="350" spans="1:26" ht="24" x14ac:dyDescent="0.25">
      <c r="A350" s="53">
        <v>45546</v>
      </c>
      <c r="B350" s="54">
        <f t="shared" si="129"/>
        <v>11</v>
      </c>
      <c r="C350" s="55" t="str" cm="1">
        <f t="array" ref="C350">INDEX(Processing!$C$11:$C$22,MONTH('ALL ORDERS'!A350))</f>
        <v>SEP</v>
      </c>
      <c r="D350" s="54">
        <f t="shared" si="130"/>
        <v>2024</v>
      </c>
      <c r="E350" s="56" t="s">
        <v>50</v>
      </c>
      <c r="F350" s="56" t="s">
        <v>135</v>
      </c>
      <c r="G350" s="100">
        <v>0</v>
      </c>
      <c r="H350" s="100">
        <v>1120</v>
      </c>
      <c r="I350" s="57"/>
      <c r="J350" s="99">
        <f t="shared" si="128"/>
        <v>1120</v>
      </c>
      <c r="K350" s="53">
        <v>45546</v>
      </c>
      <c r="L350" s="54">
        <f t="shared" si="120"/>
        <v>11</v>
      </c>
      <c r="M350" s="55" t="str" cm="1">
        <f t="array" ref="M350">INDEX(Processing!$W$6:$W$17,MONTH('ALL ORDERS'!K350))</f>
        <v>September</v>
      </c>
      <c r="N350" s="54">
        <f t="shared" si="124"/>
        <v>2024</v>
      </c>
      <c r="O350" s="58">
        <v>0.75</v>
      </c>
      <c r="P350" s="59" t="s">
        <v>180</v>
      </c>
      <c r="Q350" s="60" t="s">
        <v>94</v>
      </c>
      <c r="R350" s="56" t="s">
        <v>265</v>
      </c>
      <c r="S350" s="61" t="s">
        <v>45</v>
      </c>
      <c r="T350" s="62" t="s">
        <v>691</v>
      </c>
      <c r="U350" s="63" t="s">
        <v>27</v>
      </c>
      <c r="V350" s="63" t="s">
        <v>147</v>
      </c>
      <c r="W350" s="64">
        <v>2405</v>
      </c>
      <c r="X350" s="64">
        <v>5</v>
      </c>
      <c r="Y350" s="47"/>
      <c r="Z350" s="47"/>
    </row>
    <row r="351" spans="1:26" ht="24" x14ac:dyDescent="0.25">
      <c r="A351" s="53">
        <v>45553</v>
      </c>
      <c r="B351" s="54">
        <f t="shared" si="129"/>
        <v>18</v>
      </c>
      <c r="C351" s="55" t="str" cm="1">
        <f t="array" ref="C351">INDEX(Processing!$C$11:$C$22,MONTH('ALL ORDERS'!A351))</f>
        <v>SEP</v>
      </c>
      <c r="D351" s="54">
        <f t="shared" si="130"/>
        <v>2024</v>
      </c>
      <c r="E351" s="56" t="s">
        <v>51</v>
      </c>
      <c r="F351" s="56" t="s">
        <v>22</v>
      </c>
      <c r="G351" s="100">
        <v>30000</v>
      </c>
      <c r="H351" s="100">
        <v>1830</v>
      </c>
      <c r="I351" s="57">
        <v>0.15</v>
      </c>
      <c r="J351" s="99">
        <f t="shared" si="128"/>
        <v>31830</v>
      </c>
      <c r="K351" s="53">
        <v>45553</v>
      </c>
      <c r="L351" s="54">
        <f t="shared" ref="L351:L417" si="131">DAY(K351)</f>
        <v>18</v>
      </c>
      <c r="M351" s="55" t="str" cm="1">
        <f t="array" ref="M351">INDEX(Processing!$W$6:$W$17,MONTH('ALL ORDERS'!K351))</f>
        <v>September</v>
      </c>
      <c r="N351" s="54">
        <f t="shared" si="124"/>
        <v>2024</v>
      </c>
      <c r="O351" s="58">
        <v>0.375</v>
      </c>
      <c r="P351" s="59" t="s">
        <v>340</v>
      </c>
      <c r="Q351" s="60" t="e">
        <v>#N/A</v>
      </c>
      <c r="R351" s="56" t="s">
        <v>273</v>
      </c>
      <c r="S351" s="61" t="s">
        <v>42</v>
      </c>
      <c r="T351" s="62" t="s">
        <v>692</v>
      </c>
      <c r="U351" s="63" t="s">
        <v>24</v>
      </c>
      <c r="V351" s="63" t="s">
        <v>147</v>
      </c>
      <c r="W351" s="64">
        <v>1273</v>
      </c>
      <c r="X351" s="64">
        <v>5</v>
      </c>
      <c r="Y351" s="47"/>
      <c r="Z351" s="47"/>
    </row>
    <row r="352" spans="1:26" ht="24" x14ac:dyDescent="0.25">
      <c r="A352" s="53">
        <v>45554</v>
      </c>
      <c r="B352" s="54">
        <f t="shared" si="129"/>
        <v>19</v>
      </c>
      <c r="C352" s="55" t="str" cm="1">
        <f t="array" ref="C352">INDEX(Processing!$C$11:$C$22,MONTH('ALL ORDERS'!A352))</f>
        <v>SEP</v>
      </c>
      <c r="D352" s="54">
        <f t="shared" si="130"/>
        <v>2024</v>
      </c>
      <c r="E352" s="56" t="s">
        <v>48</v>
      </c>
      <c r="F352" s="56" t="s">
        <v>135</v>
      </c>
      <c r="G352" s="100">
        <v>0</v>
      </c>
      <c r="H352" s="100">
        <v>1400</v>
      </c>
      <c r="I352" s="57"/>
      <c r="J352" s="99">
        <f t="shared" si="128"/>
        <v>1400</v>
      </c>
      <c r="K352" s="53">
        <v>45554</v>
      </c>
      <c r="L352" s="54">
        <f t="shared" si="131"/>
        <v>19</v>
      </c>
      <c r="M352" s="55" t="str" cm="1">
        <f t="array" ref="M352">INDEX(Processing!$W$6:$W$17,MONTH('ALL ORDERS'!K352))</f>
        <v>September</v>
      </c>
      <c r="N352" s="54">
        <f t="shared" si="124"/>
        <v>2024</v>
      </c>
      <c r="O352" s="58">
        <v>0.45833333333333331</v>
      </c>
      <c r="P352" s="59" t="s">
        <v>206</v>
      </c>
      <c r="Q352" s="60" t="s">
        <v>94</v>
      </c>
      <c r="R352" s="56" t="s">
        <v>294</v>
      </c>
      <c r="S352" s="61" t="s">
        <v>41</v>
      </c>
      <c r="T352" s="62" t="s">
        <v>693</v>
      </c>
      <c r="U352" s="63" t="s">
        <v>26</v>
      </c>
      <c r="V352" s="63" t="s">
        <v>147</v>
      </c>
      <c r="W352" s="64">
        <v>3588</v>
      </c>
      <c r="X352" s="64">
        <v>5</v>
      </c>
      <c r="Y352" s="47"/>
      <c r="Z352" s="47"/>
    </row>
    <row r="353" spans="1:26" ht="24" x14ac:dyDescent="0.25">
      <c r="A353" s="53">
        <v>45555</v>
      </c>
      <c r="B353" s="54">
        <f t="shared" si="129"/>
        <v>20</v>
      </c>
      <c r="C353" s="55" t="str" cm="1">
        <f t="array" ref="C353">INDEX(Processing!$C$11:$C$22,MONTH('ALL ORDERS'!A353))</f>
        <v>SEP</v>
      </c>
      <c r="D353" s="54">
        <f t="shared" si="130"/>
        <v>2024</v>
      </c>
      <c r="E353" s="56" t="s">
        <v>49</v>
      </c>
      <c r="F353" s="56" t="s">
        <v>137</v>
      </c>
      <c r="G353" s="100">
        <v>0</v>
      </c>
      <c r="H353" s="100">
        <v>3310</v>
      </c>
      <c r="I353" s="57"/>
      <c r="J353" s="99">
        <f t="shared" si="128"/>
        <v>3310</v>
      </c>
      <c r="K353" s="53">
        <v>45555</v>
      </c>
      <c r="L353" s="54">
        <f t="shared" si="131"/>
        <v>20</v>
      </c>
      <c r="M353" s="55" t="str" cm="1">
        <f t="array" ref="M353">INDEX(Processing!$W$6:$W$17,MONTH('ALL ORDERS'!K353))</f>
        <v>September</v>
      </c>
      <c r="N353" s="54">
        <f t="shared" si="124"/>
        <v>2024</v>
      </c>
      <c r="O353" s="58">
        <v>0.625</v>
      </c>
      <c r="P353" s="59" t="s">
        <v>340</v>
      </c>
      <c r="Q353" s="60" t="e">
        <v>#N/A</v>
      </c>
      <c r="R353" s="56" t="s">
        <v>273</v>
      </c>
      <c r="S353" s="61" t="s">
        <v>42</v>
      </c>
      <c r="T353" s="62" t="s">
        <v>694</v>
      </c>
      <c r="U353" s="63" t="s">
        <v>25</v>
      </c>
      <c r="V353" s="63" t="s">
        <v>147</v>
      </c>
      <c r="W353" s="64">
        <v>2104</v>
      </c>
      <c r="X353" s="64">
        <v>2</v>
      </c>
      <c r="Y353" s="47"/>
      <c r="Z353" s="47"/>
    </row>
    <row r="354" spans="1:26" ht="24" x14ac:dyDescent="0.25">
      <c r="A354" s="53">
        <v>45556</v>
      </c>
      <c r="B354" s="54">
        <f t="shared" si="129"/>
        <v>21</v>
      </c>
      <c r="C354" s="55" t="str" cm="1">
        <f t="array" ref="C354">INDEX(Processing!$C$11:$C$22,MONTH('ALL ORDERS'!A354))</f>
        <v>SEP</v>
      </c>
      <c r="D354" s="54">
        <f t="shared" si="130"/>
        <v>2024</v>
      </c>
      <c r="E354" s="56" t="s">
        <v>47</v>
      </c>
      <c r="F354" s="56" t="s">
        <v>21</v>
      </c>
      <c r="G354" s="100">
        <v>0</v>
      </c>
      <c r="H354" s="100">
        <v>1560</v>
      </c>
      <c r="I354" s="57"/>
      <c r="J354" s="99">
        <f t="shared" si="128"/>
        <v>1560</v>
      </c>
      <c r="K354" s="53">
        <v>45556</v>
      </c>
      <c r="L354" s="54">
        <f t="shared" si="131"/>
        <v>21</v>
      </c>
      <c r="M354" s="55" t="str" cm="1">
        <f t="array" ref="M354">INDEX(Processing!$W$6:$W$17,MONTH('ALL ORDERS'!K354))</f>
        <v>September</v>
      </c>
      <c r="N354" s="54">
        <f t="shared" si="124"/>
        <v>2024</v>
      </c>
      <c r="O354" s="58">
        <v>0.45833333333333331</v>
      </c>
      <c r="P354" s="59" t="s">
        <v>164</v>
      </c>
      <c r="Q354" s="60" t="s">
        <v>94</v>
      </c>
      <c r="R354" s="56" t="s">
        <v>247</v>
      </c>
      <c r="S354" s="61" t="s">
        <v>41</v>
      </c>
      <c r="T354" s="62" t="s">
        <v>695</v>
      </c>
      <c r="U354" s="63" t="s">
        <v>25</v>
      </c>
      <c r="V354" s="63" t="s">
        <v>147</v>
      </c>
      <c r="W354" s="64">
        <v>2075</v>
      </c>
      <c r="X354" s="64">
        <v>4</v>
      </c>
      <c r="Y354" s="47"/>
      <c r="Z354" s="47"/>
    </row>
    <row r="355" spans="1:26" ht="24" x14ac:dyDescent="0.25">
      <c r="A355" s="53">
        <v>45556</v>
      </c>
      <c r="B355" s="54">
        <f t="shared" si="129"/>
        <v>21</v>
      </c>
      <c r="C355" s="55" t="str" cm="1">
        <f t="array" ref="C355">INDEX(Processing!$C$11:$C$22,MONTH('ALL ORDERS'!A355))</f>
        <v>SEP</v>
      </c>
      <c r="D355" s="54">
        <f t="shared" si="130"/>
        <v>2024</v>
      </c>
      <c r="E355" s="56" t="s">
        <v>50</v>
      </c>
      <c r="F355" s="56" t="s">
        <v>18</v>
      </c>
      <c r="G355" s="100">
        <v>0</v>
      </c>
      <c r="H355" s="100">
        <v>1340</v>
      </c>
      <c r="I355" s="57"/>
      <c r="J355" s="99">
        <f t="shared" si="128"/>
        <v>1340</v>
      </c>
      <c r="K355" s="53">
        <v>45556</v>
      </c>
      <c r="L355" s="54">
        <f t="shared" si="131"/>
        <v>21</v>
      </c>
      <c r="M355" s="55" t="str" cm="1">
        <f t="array" ref="M355">INDEX(Processing!$W$6:$W$17,MONTH('ALL ORDERS'!K355))</f>
        <v>September</v>
      </c>
      <c r="N355" s="54">
        <f t="shared" si="124"/>
        <v>2024</v>
      </c>
      <c r="O355" s="58">
        <v>0.375</v>
      </c>
      <c r="P355" s="59" t="s">
        <v>213</v>
      </c>
      <c r="Q355" s="60" t="s">
        <v>90</v>
      </c>
      <c r="R355" s="56" t="s">
        <v>301</v>
      </c>
      <c r="S355" s="61" t="s">
        <v>45</v>
      </c>
      <c r="T355" s="62" t="s">
        <v>696</v>
      </c>
      <c r="U355" s="63" t="s">
        <v>25</v>
      </c>
      <c r="V355" s="63" t="s">
        <v>147</v>
      </c>
      <c r="W355" s="64">
        <v>945</v>
      </c>
      <c r="X355" s="64">
        <v>4</v>
      </c>
      <c r="Y355" s="47"/>
      <c r="Z355" s="47"/>
    </row>
    <row r="356" spans="1:26" ht="24" x14ac:dyDescent="0.25">
      <c r="A356" s="53">
        <v>45557</v>
      </c>
      <c r="B356" s="54">
        <f t="shared" ref="B356" si="132">DAY(A356)</f>
        <v>22</v>
      </c>
      <c r="C356" s="55" t="str" cm="1">
        <f t="array" ref="C356">INDEX(Processing!$C$11:$C$22,MONTH('ALL ORDERS'!A356))</f>
        <v>SEP</v>
      </c>
      <c r="D356" s="54">
        <f t="shared" ref="D356" si="133">YEAR(A356)</f>
        <v>2024</v>
      </c>
      <c r="E356" s="56" t="s">
        <v>50</v>
      </c>
      <c r="F356" s="56" t="s">
        <v>18</v>
      </c>
      <c r="G356" s="100">
        <v>19940</v>
      </c>
      <c r="H356" s="100">
        <v>0</v>
      </c>
      <c r="I356" s="57">
        <v>0.15</v>
      </c>
      <c r="J356" s="99">
        <f t="shared" si="128"/>
        <v>19940</v>
      </c>
      <c r="K356" s="53">
        <v>45557</v>
      </c>
      <c r="L356" s="54">
        <f t="shared" si="131"/>
        <v>22</v>
      </c>
      <c r="M356" s="55" t="str" cm="1">
        <f t="array" ref="M356">INDEX(Processing!$W$6:$W$17,MONTH('ALL ORDERS'!K356))</f>
        <v>September</v>
      </c>
      <c r="N356" s="54">
        <f t="shared" ref="N356" si="134">YEAR(K356)</f>
        <v>2024</v>
      </c>
      <c r="O356" s="58">
        <v>0.41666666666666702</v>
      </c>
      <c r="P356" s="59" t="s">
        <v>214</v>
      </c>
      <c r="Q356" s="60" t="s">
        <v>90</v>
      </c>
      <c r="R356" s="56" t="s">
        <v>1095</v>
      </c>
      <c r="S356" s="61" t="s">
        <v>45</v>
      </c>
      <c r="T356" s="62" t="s">
        <v>707</v>
      </c>
      <c r="U356" s="63" t="s">
        <v>25</v>
      </c>
      <c r="V356" s="63" t="s">
        <v>147</v>
      </c>
      <c r="W356" s="64">
        <v>2753</v>
      </c>
      <c r="X356" s="64">
        <v>5</v>
      </c>
      <c r="Y356" s="47"/>
      <c r="Z356" s="47"/>
    </row>
    <row r="357" spans="1:26" ht="24" x14ac:dyDescent="0.25">
      <c r="A357" s="53">
        <v>45558</v>
      </c>
      <c r="B357" s="54">
        <f t="shared" si="129"/>
        <v>23</v>
      </c>
      <c r="C357" s="55" t="str" cm="1">
        <f t="array" ref="C357">INDEX(Processing!$C$11:$C$22,MONTH('ALL ORDERS'!A357))</f>
        <v>SEP</v>
      </c>
      <c r="D357" s="54">
        <f t="shared" si="130"/>
        <v>2024</v>
      </c>
      <c r="E357" s="56" t="s">
        <v>47</v>
      </c>
      <c r="F357" s="56" t="s">
        <v>124</v>
      </c>
      <c r="G357" s="100">
        <v>0</v>
      </c>
      <c r="H357" s="100">
        <v>1920</v>
      </c>
      <c r="I357" s="57"/>
      <c r="J357" s="99">
        <f t="shared" si="128"/>
        <v>1920</v>
      </c>
      <c r="K357" s="53">
        <v>45558</v>
      </c>
      <c r="L357" s="54">
        <f t="shared" si="131"/>
        <v>23</v>
      </c>
      <c r="M357" s="55" t="str" cm="1">
        <f t="array" ref="M357">INDEX(Processing!$W$6:$W$17,MONTH('ALL ORDERS'!K357))</f>
        <v>September</v>
      </c>
      <c r="N357" s="54">
        <f t="shared" si="124"/>
        <v>2024</v>
      </c>
      <c r="O357" s="58">
        <v>0.45833333333333331</v>
      </c>
      <c r="P357" s="59" t="s">
        <v>192</v>
      </c>
      <c r="Q357" s="60" t="s">
        <v>94</v>
      </c>
      <c r="R357" s="56" t="s">
        <v>278</v>
      </c>
      <c r="S357" s="61" t="s">
        <v>41</v>
      </c>
      <c r="T357" s="62" t="s">
        <v>697</v>
      </c>
      <c r="U357" s="63" t="s">
        <v>26</v>
      </c>
      <c r="V357" s="63" t="s">
        <v>147</v>
      </c>
      <c r="W357" s="64">
        <v>2908</v>
      </c>
      <c r="X357" s="64">
        <v>4</v>
      </c>
      <c r="Y357" s="47"/>
      <c r="Z357" s="47"/>
    </row>
    <row r="358" spans="1:26" ht="24" x14ac:dyDescent="0.25">
      <c r="A358" s="53">
        <v>45559</v>
      </c>
      <c r="B358" s="54">
        <f t="shared" si="129"/>
        <v>24</v>
      </c>
      <c r="C358" s="55" t="str" cm="1">
        <f t="array" ref="C358">INDEX(Processing!$C$11:$C$22,MONTH('ALL ORDERS'!A358))</f>
        <v>SEP</v>
      </c>
      <c r="D358" s="54">
        <f t="shared" si="130"/>
        <v>2024</v>
      </c>
      <c r="E358" s="56" t="s">
        <v>48</v>
      </c>
      <c r="F358" s="56" t="s">
        <v>22</v>
      </c>
      <c r="G358" s="100">
        <v>0</v>
      </c>
      <c r="H358" s="100">
        <v>3830</v>
      </c>
      <c r="I358" s="57"/>
      <c r="J358" s="99">
        <f t="shared" si="128"/>
        <v>3830</v>
      </c>
      <c r="K358" s="53">
        <v>45559</v>
      </c>
      <c r="L358" s="54">
        <f t="shared" si="131"/>
        <v>24</v>
      </c>
      <c r="M358" s="55" t="str" cm="1">
        <f t="array" ref="M358">INDEX(Processing!$W$6:$W$17,MONTH('ALL ORDERS'!K358))</f>
        <v>September</v>
      </c>
      <c r="N358" s="54">
        <f t="shared" si="124"/>
        <v>2024</v>
      </c>
      <c r="O358" s="58">
        <v>0.625</v>
      </c>
      <c r="P358" s="59" t="s">
        <v>338</v>
      </c>
      <c r="Q358" s="60" t="s">
        <v>94</v>
      </c>
      <c r="R358" s="56" t="s">
        <v>253</v>
      </c>
      <c r="S358" s="61" t="s">
        <v>42</v>
      </c>
      <c r="T358" s="62" t="s">
        <v>698</v>
      </c>
      <c r="U358" s="63" t="s">
        <v>26</v>
      </c>
      <c r="V358" s="63" t="s">
        <v>147</v>
      </c>
      <c r="W358" s="64">
        <v>2555</v>
      </c>
      <c r="X358" s="64">
        <v>4</v>
      </c>
      <c r="Y358" s="47"/>
      <c r="Z358" s="47"/>
    </row>
    <row r="359" spans="1:26" ht="24" x14ac:dyDescent="0.25">
      <c r="A359" s="53">
        <v>45560</v>
      </c>
      <c r="B359" s="54">
        <f t="shared" si="129"/>
        <v>25</v>
      </c>
      <c r="C359" s="55" t="str" cm="1">
        <f t="array" ref="C359">INDEX(Processing!$C$11:$C$22,MONTH('ALL ORDERS'!A359))</f>
        <v>SEP</v>
      </c>
      <c r="D359" s="54">
        <f t="shared" si="130"/>
        <v>2024</v>
      </c>
      <c r="E359" s="56" t="s">
        <v>49</v>
      </c>
      <c r="F359" s="56" t="s">
        <v>135</v>
      </c>
      <c r="G359" s="100">
        <v>0</v>
      </c>
      <c r="H359" s="100">
        <v>1550</v>
      </c>
      <c r="I359" s="57"/>
      <c r="J359" s="99">
        <f t="shared" si="128"/>
        <v>1550</v>
      </c>
      <c r="K359" s="53">
        <v>45560</v>
      </c>
      <c r="L359" s="54">
        <f t="shared" si="131"/>
        <v>25</v>
      </c>
      <c r="M359" s="55" t="str" cm="1">
        <f t="array" ref="M359">INDEX(Processing!$W$6:$W$17,MONTH('ALL ORDERS'!K359))</f>
        <v>September</v>
      </c>
      <c r="N359" s="54">
        <f t="shared" si="124"/>
        <v>2024</v>
      </c>
      <c r="O359" s="58">
        <v>0.45833333333333331</v>
      </c>
      <c r="P359" s="59" t="s">
        <v>233</v>
      </c>
      <c r="Q359" s="60" t="s">
        <v>94</v>
      </c>
      <c r="R359" s="56" t="s">
        <v>334</v>
      </c>
      <c r="S359" s="61" t="s">
        <v>42</v>
      </c>
      <c r="T359" s="62" t="s">
        <v>699</v>
      </c>
      <c r="U359" s="63" t="s">
        <v>24</v>
      </c>
      <c r="V359" s="63" t="s">
        <v>147</v>
      </c>
      <c r="W359" s="64">
        <v>1847</v>
      </c>
      <c r="X359" s="64">
        <v>4</v>
      </c>
      <c r="Y359" s="47"/>
      <c r="Z359" s="47"/>
    </row>
    <row r="360" spans="1:26" ht="24" x14ac:dyDescent="0.25">
      <c r="A360" s="53">
        <v>45561</v>
      </c>
      <c r="B360" s="54">
        <f t="shared" si="129"/>
        <v>26</v>
      </c>
      <c r="C360" s="55" t="str" cm="1">
        <f t="array" ref="C360">INDEX(Processing!$C$11:$C$22,MONTH('ALL ORDERS'!A360))</f>
        <v>SEP</v>
      </c>
      <c r="D360" s="54">
        <f t="shared" si="130"/>
        <v>2024</v>
      </c>
      <c r="E360" s="56" t="s">
        <v>47</v>
      </c>
      <c r="F360" s="56" t="s">
        <v>122</v>
      </c>
      <c r="G360" s="100">
        <v>1950</v>
      </c>
      <c r="H360" s="100">
        <v>0</v>
      </c>
      <c r="I360" s="57"/>
      <c r="J360" s="99">
        <f t="shared" si="128"/>
        <v>1950</v>
      </c>
      <c r="K360" s="53">
        <v>45561</v>
      </c>
      <c r="L360" s="54">
        <f t="shared" si="131"/>
        <v>26</v>
      </c>
      <c r="M360" s="55" t="str" cm="1">
        <f t="array" ref="M360">INDEX(Processing!$W$6:$W$17,MONTH('ALL ORDERS'!K360))</f>
        <v>September</v>
      </c>
      <c r="N360" s="54">
        <f t="shared" si="124"/>
        <v>2024</v>
      </c>
      <c r="O360" s="58">
        <v>0.375</v>
      </c>
      <c r="P360" s="59" t="s">
        <v>218</v>
      </c>
      <c r="Q360" s="60" t="e">
        <v>#N/A</v>
      </c>
      <c r="R360" s="56" t="s">
        <v>317</v>
      </c>
      <c r="S360" s="61" t="s">
        <v>41</v>
      </c>
      <c r="T360" s="70">
        <v>33900888990</v>
      </c>
      <c r="U360" s="63" t="s">
        <v>26</v>
      </c>
      <c r="V360" s="63" t="s">
        <v>147</v>
      </c>
      <c r="W360" s="64">
        <v>1590</v>
      </c>
      <c r="X360" s="64">
        <v>4</v>
      </c>
      <c r="Y360" s="47"/>
      <c r="Z360" s="47"/>
    </row>
    <row r="361" spans="1:26" ht="24" x14ac:dyDescent="0.25">
      <c r="A361" s="53">
        <v>45556</v>
      </c>
      <c r="B361" s="54">
        <f t="shared" si="129"/>
        <v>21</v>
      </c>
      <c r="C361" s="55" t="str" cm="1">
        <f t="array" ref="C361">INDEX(Processing!$C$11:$C$22,MONTH('ALL ORDERS'!A361))</f>
        <v>SEP</v>
      </c>
      <c r="D361" s="54">
        <f t="shared" si="130"/>
        <v>2024</v>
      </c>
      <c r="E361" s="56" t="s">
        <v>50</v>
      </c>
      <c r="F361" s="56" t="s">
        <v>121</v>
      </c>
      <c r="G361" s="100">
        <v>0</v>
      </c>
      <c r="H361" s="100">
        <v>1610</v>
      </c>
      <c r="I361" s="57"/>
      <c r="J361" s="99">
        <f t="shared" si="128"/>
        <v>1610</v>
      </c>
      <c r="K361" s="53">
        <v>45556</v>
      </c>
      <c r="L361" s="54">
        <f t="shared" si="131"/>
        <v>21</v>
      </c>
      <c r="M361" s="55" t="str" cm="1">
        <f t="array" ref="M361">INDEX(Processing!$W$6:$W$17,MONTH('ALL ORDERS'!K361))</f>
        <v>September</v>
      </c>
      <c r="N361" s="54">
        <f t="shared" si="124"/>
        <v>2024</v>
      </c>
      <c r="O361" s="58">
        <v>0.45833333333333331</v>
      </c>
      <c r="P361" s="59" t="s">
        <v>203</v>
      </c>
      <c r="Q361" s="60" t="s">
        <v>94</v>
      </c>
      <c r="R361" s="56" t="s">
        <v>290</v>
      </c>
      <c r="S361" s="61" t="s">
        <v>43</v>
      </c>
      <c r="T361" s="62" t="s">
        <v>700</v>
      </c>
      <c r="U361" s="63" t="s">
        <v>27</v>
      </c>
      <c r="V361" s="63" t="s">
        <v>147</v>
      </c>
      <c r="W361" s="64">
        <v>1993</v>
      </c>
      <c r="X361" s="64">
        <v>4</v>
      </c>
      <c r="Y361" s="47"/>
      <c r="Z361" s="47"/>
    </row>
    <row r="362" spans="1:26" ht="24" x14ac:dyDescent="0.25">
      <c r="A362" s="53">
        <v>45563</v>
      </c>
      <c r="B362" s="54">
        <f t="shared" si="129"/>
        <v>28</v>
      </c>
      <c r="C362" s="55" t="str" cm="1">
        <f t="array" ref="C362">INDEX(Processing!$C$11:$C$22,MONTH('ALL ORDERS'!A362))</f>
        <v>SEP</v>
      </c>
      <c r="D362" s="54">
        <f t="shared" si="130"/>
        <v>2024</v>
      </c>
      <c r="E362" s="56" t="s">
        <v>51</v>
      </c>
      <c r="F362" s="56" t="s">
        <v>124</v>
      </c>
      <c r="G362" s="100">
        <v>0</v>
      </c>
      <c r="H362" s="100">
        <v>1110</v>
      </c>
      <c r="I362" s="57"/>
      <c r="J362" s="99">
        <f t="shared" si="128"/>
        <v>1110</v>
      </c>
      <c r="K362" s="53">
        <v>45563</v>
      </c>
      <c r="L362" s="54">
        <f t="shared" si="131"/>
        <v>28</v>
      </c>
      <c r="M362" s="55" t="str" cm="1">
        <f t="array" ref="M362">INDEX(Processing!$W$6:$W$17,MONTH('ALL ORDERS'!K362))</f>
        <v>September</v>
      </c>
      <c r="N362" s="54">
        <f t="shared" si="124"/>
        <v>2024</v>
      </c>
      <c r="O362" s="58">
        <v>0.625</v>
      </c>
      <c r="P362" s="59" t="s">
        <v>208</v>
      </c>
      <c r="Q362" s="60" t="s">
        <v>94</v>
      </c>
      <c r="R362" s="56" t="s">
        <v>296</v>
      </c>
      <c r="S362" s="61" t="s">
        <v>45</v>
      </c>
      <c r="T362" s="62" t="s">
        <v>701</v>
      </c>
      <c r="U362" s="63" t="s">
        <v>23</v>
      </c>
      <c r="V362" s="63" t="s">
        <v>147</v>
      </c>
      <c r="W362" s="64">
        <v>3767</v>
      </c>
      <c r="X362" s="64">
        <v>4</v>
      </c>
      <c r="Y362" s="47"/>
      <c r="Z362" s="47"/>
    </row>
    <row r="363" spans="1:26" ht="24" x14ac:dyDescent="0.25">
      <c r="A363" s="53">
        <v>45564</v>
      </c>
      <c r="B363" s="54">
        <f t="shared" si="129"/>
        <v>29</v>
      </c>
      <c r="C363" s="55" t="str" cm="1">
        <f t="array" ref="C363">INDEX(Processing!$C$11:$C$22,MONTH('ALL ORDERS'!A363))</f>
        <v>SEP</v>
      </c>
      <c r="D363" s="54">
        <f t="shared" si="130"/>
        <v>2024</v>
      </c>
      <c r="E363" s="56" t="s">
        <v>47</v>
      </c>
      <c r="F363" s="56" t="s">
        <v>125</v>
      </c>
      <c r="G363" s="100">
        <v>0</v>
      </c>
      <c r="H363" s="100">
        <v>3160</v>
      </c>
      <c r="I363" s="57">
        <v>0.15</v>
      </c>
      <c r="J363" s="99">
        <f t="shared" si="128"/>
        <v>3160</v>
      </c>
      <c r="K363" s="53">
        <v>45564</v>
      </c>
      <c r="L363" s="54">
        <f t="shared" si="131"/>
        <v>29</v>
      </c>
      <c r="M363" s="55" t="str" cm="1">
        <f t="array" ref="M363">INDEX(Processing!$W$6:$W$17,MONTH('ALL ORDERS'!K363))</f>
        <v>September</v>
      </c>
      <c r="N363" s="54">
        <f t="shared" si="124"/>
        <v>2024</v>
      </c>
      <c r="O363" s="58">
        <v>0.45833333333333331</v>
      </c>
      <c r="P363" s="59" t="s">
        <v>189</v>
      </c>
      <c r="Q363" s="60" t="s">
        <v>90</v>
      </c>
      <c r="R363" s="56" t="s">
        <v>275</v>
      </c>
      <c r="S363" s="61" t="s">
        <v>43</v>
      </c>
      <c r="T363" s="62" t="s">
        <v>702</v>
      </c>
      <c r="U363" s="63" t="s">
        <v>25</v>
      </c>
      <c r="V363" s="63" t="s">
        <v>148</v>
      </c>
      <c r="W363" s="64">
        <v>992</v>
      </c>
      <c r="X363" s="64"/>
      <c r="Y363" s="47"/>
      <c r="Z363" s="47"/>
    </row>
    <row r="364" spans="1:26" ht="24" x14ac:dyDescent="0.25">
      <c r="A364" s="53">
        <v>45565</v>
      </c>
      <c r="B364" s="54">
        <f t="shared" si="129"/>
        <v>30</v>
      </c>
      <c r="C364" s="55" t="str" cm="1">
        <f t="array" ref="C364">INDEX(Processing!$C$11:$C$22,MONTH('ALL ORDERS'!A364))</f>
        <v>SEP</v>
      </c>
      <c r="D364" s="54">
        <f t="shared" si="130"/>
        <v>2024</v>
      </c>
      <c r="E364" s="56" t="s">
        <v>50</v>
      </c>
      <c r="F364" s="56" t="s">
        <v>129</v>
      </c>
      <c r="G364" s="100">
        <v>0</v>
      </c>
      <c r="H364" s="100">
        <v>3660</v>
      </c>
      <c r="I364" s="57">
        <v>0.15</v>
      </c>
      <c r="J364" s="99">
        <f t="shared" si="128"/>
        <v>3660</v>
      </c>
      <c r="K364" s="53">
        <v>45565</v>
      </c>
      <c r="L364" s="54">
        <f t="shared" si="131"/>
        <v>30</v>
      </c>
      <c r="M364" s="55" t="str" cm="1">
        <f t="array" ref="M364">INDEX(Processing!$W$6:$W$17,MONTH('ALL ORDERS'!K364))</f>
        <v>September</v>
      </c>
      <c r="N364" s="54">
        <f t="shared" si="124"/>
        <v>2024</v>
      </c>
      <c r="O364" s="58">
        <v>0.375</v>
      </c>
      <c r="P364" s="59" t="s">
        <v>223</v>
      </c>
      <c r="Q364" s="60" t="s">
        <v>94</v>
      </c>
      <c r="R364" s="56" t="s">
        <v>322</v>
      </c>
      <c r="S364" s="61" t="s">
        <v>44</v>
      </c>
      <c r="T364" s="62" t="s">
        <v>703</v>
      </c>
      <c r="U364" s="63" t="s">
        <v>23</v>
      </c>
      <c r="V364" s="63" t="s">
        <v>147</v>
      </c>
      <c r="W364" s="64">
        <v>3788</v>
      </c>
      <c r="X364" s="64">
        <v>4</v>
      </c>
      <c r="Y364" s="47"/>
      <c r="Z364" s="47"/>
    </row>
    <row r="365" spans="1:26" x14ac:dyDescent="0.25">
      <c r="A365" s="53">
        <v>45566</v>
      </c>
      <c r="B365" s="54">
        <f t="shared" si="129"/>
        <v>1</v>
      </c>
      <c r="C365" s="55" t="str" cm="1">
        <f t="array" ref="C365">INDEX(Processing!$C$11:$C$22,MONTH('ALL ORDERS'!A365))</f>
        <v>OCT</v>
      </c>
      <c r="D365" s="54">
        <f t="shared" si="130"/>
        <v>2024</v>
      </c>
      <c r="E365" s="56" t="s">
        <v>47</v>
      </c>
      <c r="F365" s="56" t="s">
        <v>22</v>
      </c>
      <c r="G365" s="100">
        <v>0</v>
      </c>
      <c r="H365" s="100">
        <v>1910</v>
      </c>
      <c r="I365" s="57">
        <v>0.15</v>
      </c>
      <c r="J365" s="99">
        <f t="shared" si="128"/>
        <v>1910</v>
      </c>
      <c r="K365" s="53">
        <v>45566</v>
      </c>
      <c r="L365" s="54">
        <f t="shared" si="131"/>
        <v>1</v>
      </c>
      <c r="M365" s="55" t="str" cm="1">
        <f t="array" ref="M365">INDEX(Processing!$W$6:$W$17,MONTH('ALL ORDERS'!K365))</f>
        <v>October</v>
      </c>
      <c r="N365" s="54">
        <f t="shared" si="124"/>
        <v>2024</v>
      </c>
      <c r="O365" s="58">
        <v>0.45833333333333331</v>
      </c>
      <c r="P365" s="59" t="s">
        <v>196</v>
      </c>
      <c r="Q365" s="60" t="s">
        <v>90</v>
      </c>
      <c r="R365" s="56" t="s">
        <v>282</v>
      </c>
      <c r="S365" s="61" t="s">
        <v>41</v>
      </c>
      <c r="T365" s="62" t="s">
        <v>704</v>
      </c>
      <c r="U365" s="63" t="s">
        <v>26</v>
      </c>
      <c r="V365" s="63" t="s">
        <v>147</v>
      </c>
      <c r="W365" s="64">
        <v>3456</v>
      </c>
      <c r="X365" s="64">
        <v>4</v>
      </c>
      <c r="Y365" s="47"/>
      <c r="Z365" s="47"/>
    </row>
    <row r="366" spans="1:26" x14ac:dyDescent="0.25">
      <c r="A366" s="53">
        <v>45567</v>
      </c>
      <c r="B366" s="54">
        <f t="shared" si="129"/>
        <v>2</v>
      </c>
      <c r="C366" s="55" t="str" cm="1">
        <f t="array" ref="C366">INDEX(Processing!$C$11:$C$22,MONTH('ALL ORDERS'!A366))</f>
        <v>OCT</v>
      </c>
      <c r="D366" s="54">
        <f t="shared" si="130"/>
        <v>2024</v>
      </c>
      <c r="E366" s="56" t="s">
        <v>48</v>
      </c>
      <c r="F366" s="56" t="s">
        <v>152</v>
      </c>
      <c r="G366" s="100">
        <v>0</v>
      </c>
      <c r="H366" s="100">
        <v>1800</v>
      </c>
      <c r="I366" s="57">
        <v>0.15</v>
      </c>
      <c r="J366" s="99">
        <f t="shared" si="128"/>
        <v>1800</v>
      </c>
      <c r="K366" s="53">
        <v>45567</v>
      </c>
      <c r="L366" s="54">
        <f t="shared" si="131"/>
        <v>2</v>
      </c>
      <c r="M366" s="55" t="str" cm="1">
        <f t="array" ref="M366">INDEX(Processing!$W$6:$W$17,MONTH('ALL ORDERS'!K366))</f>
        <v>October</v>
      </c>
      <c r="N366" s="54">
        <f t="shared" si="124"/>
        <v>2024</v>
      </c>
      <c r="O366" s="58">
        <v>0.625</v>
      </c>
      <c r="P366" s="59" t="s">
        <v>349</v>
      </c>
      <c r="Q366" s="60" t="s">
        <v>94</v>
      </c>
      <c r="R366" s="56" t="s">
        <v>311</v>
      </c>
      <c r="S366" s="61" t="s">
        <v>42</v>
      </c>
      <c r="T366" s="62" t="s">
        <v>705</v>
      </c>
      <c r="U366" s="63" t="s">
        <v>25</v>
      </c>
      <c r="V366" s="63" t="s">
        <v>147</v>
      </c>
      <c r="W366" s="64">
        <v>2704</v>
      </c>
      <c r="X366" s="64">
        <v>4</v>
      </c>
      <c r="Y366" s="47"/>
      <c r="Z366" s="47"/>
    </row>
    <row r="367" spans="1:26" x14ac:dyDescent="0.25">
      <c r="A367" s="53">
        <v>45568</v>
      </c>
      <c r="B367" s="54">
        <f t="shared" si="129"/>
        <v>3</v>
      </c>
      <c r="C367" s="55" t="str" cm="1">
        <f t="array" ref="C367">INDEX(Processing!$C$11:$C$22,MONTH('ALL ORDERS'!A367))</f>
        <v>OCT</v>
      </c>
      <c r="D367" s="54">
        <f t="shared" si="130"/>
        <v>2024</v>
      </c>
      <c r="E367" s="56" t="s">
        <v>49</v>
      </c>
      <c r="F367" s="56" t="s">
        <v>22</v>
      </c>
      <c r="G367" s="100">
        <v>0</v>
      </c>
      <c r="H367" s="100">
        <v>2680</v>
      </c>
      <c r="I367" s="57"/>
      <c r="J367" s="99">
        <f t="shared" si="128"/>
        <v>2680</v>
      </c>
      <c r="K367" s="53">
        <v>45568</v>
      </c>
      <c r="L367" s="54">
        <f t="shared" si="131"/>
        <v>3</v>
      </c>
      <c r="M367" s="55" t="str" cm="1">
        <f t="array" ref="M367">INDEX(Processing!$W$6:$W$17,MONTH('ALL ORDERS'!K367))</f>
        <v>October</v>
      </c>
      <c r="N367" s="54">
        <f t="shared" si="124"/>
        <v>2024</v>
      </c>
      <c r="O367" s="58">
        <v>0.45833333333333331</v>
      </c>
      <c r="P367" s="59" t="s">
        <v>232</v>
      </c>
      <c r="Q367" s="60" t="s">
        <v>94</v>
      </c>
      <c r="R367" s="56" t="s">
        <v>332</v>
      </c>
      <c r="S367" s="61" t="s">
        <v>42</v>
      </c>
      <c r="T367" s="62" t="s">
        <v>706</v>
      </c>
      <c r="U367" s="63" t="s">
        <v>25</v>
      </c>
      <c r="V367" s="63" t="s">
        <v>147</v>
      </c>
      <c r="W367" s="64">
        <v>2325</v>
      </c>
      <c r="X367" s="64">
        <v>5</v>
      </c>
      <c r="Y367" s="47"/>
      <c r="Z367" s="47"/>
    </row>
    <row r="368" spans="1:26" x14ac:dyDescent="0.25">
      <c r="A368" s="53">
        <v>45569</v>
      </c>
      <c r="B368" s="54">
        <f t="shared" si="129"/>
        <v>4</v>
      </c>
      <c r="C368" s="55" t="str" cm="1">
        <f t="array" ref="C368">INDEX(Processing!$C$11:$C$22,MONTH('ALL ORDERS'!A368))</f>
        <v>OCT</v>
      </c>
      <c r="D368" s="54">
        <f t="shared" si="130"/>
        <v>2024</v>
      </c>
      <c r="E368" s="56" t="s">
        <v>47</v>
      </c>
      <c r="F368" s="56" t="s">
        <v>124</v>
      </c>
      <c r="G368" s="100">
        <v>0</v>
      </c>
      <c r="H368" s="100">
        <v>2320</v>
      </c>
      <c r="I368" s="57"/>
      <c r="J368" s="99">
        <f t="shared" si="128"/>
        <v>2320</v>
      </c>
      <c r="K368" s="53">
        <v>45569</v>
      </c>
      <c r="L368" s="54">
        <f t="shared" si="131"/>
        <v>4</v>
      </c>
      <c r="M368" s="55" t="str" cm="1">
        <f t="array" ref="M368">INDEX(Processing!$W$6:$W$17,MONTH('ALL ORDERS'!K368))</f>
        <v>October</v>
      </c>
      <c r="N368" s="54">
        <f t="shared" si="124"/>
        <v>2024</v>
      </c>
      <c r="O368" s="58">
        <v>0.41666666666666669</v>
      </c>
      <c r="P368" s="59" t="s">
        <v>207</v>
      </c>
      <c r="Q368" s="60" t="s">
        <v>94</v>
      </c>
      <c r="R368" s="56" t="s">
        <v>295</v>
      </c>
      <c r="S368" s="61" t="s">
        <v>41</v>
      </c>
      <c r="T368" s="62" t="s">
        <v>707</v>
      </c>
      <c r="U368" s="63" t="s">
        <v>26</v>
      </c>
      <c r="V368" s="63" t="s">
        <v>147</v>
      </c>
      <c r="W368" s="64">
        <v>3780</v>
      </c>
      <c r="X368" s="64">
        <v>5</v>
      </c>
      <c r="Y368" s="47"/>
      <c r="Z368" s="47"/>
    </row>
    <row r="369" spans="1:26" x14ac:dyDescent="0.25">
      <c r="A369" s="53">
        <v>45569</v>
      </c>
      <c r="B369" s="54">
        <f t="shared" si="129"/>
        <v>4</v>
      </c>
      <c r="C369" s="55" t="str" cm="1">
        <f t="array" ref="C369">INDEX(Processing!$C$11:$C$22,MONTH('ALL ORDERS'!A369))</f>
        <v>OCT</v>
      </c>
      <c r="D369" s="54">
        <f t="shared" si="130"/>
        <v>2024</v>
      </c>
      <c r="E369" s="56" t="s">
        <v>50</v>
      </c>
      <c r="F369" s="56" t="s">
        <v>153</v>
      </c>
      <c r="G369" s="100">
        <v>0</v>
      </c>
      <c r="H369" s="100">
        <v>1090</v>
      </c>
      <c r="I369" s="57"/>
      <c r="J369" s="99">
        <f t="shared" si="128"/>
        <v>1090</v>
      </c>
      <c r="K369" s="53">
        <v>45569</v>
      </c>
      <c r="L369" s="54">
        <f t="shared" si="131"/>
        <v>4</v>
      </c>
      <c r="M369" s="55" t="str" cm="1">
        <f t="array" ref="M369">INDEX(Processing!$W$6:$W$17,MONTH('ALL ORDERS'!K369))</f>
        <v>October</v>
      </c>
      <c r="N369" s="54">
        <f t="shared" si="124"/>
        <v>2024</v>
      </c>
      <c r="O369" s="58">
        <v>0.5</v>
      </c>
      <c r="P369" s="59" t="s">
        <v>230</v>
      </c>
      <c r="Q369" s="60" t="s">
        <v>90</v>
      </c>
      <c r="R369" s="56" t="s">
        <v>330</v>
      </c>
      <c r="S369" s="61" t="s">
        <v>43</v>
      </c>
      <c r="T369" s="62" t="s">
        <v>708</v>
      </c>
      <c r="U369" s="63" t="s">
        <v>25</v>
      </c>
      <c r="V369" s="63" t="s">
        <v>147</v>
      </c>
      <c r="W369" s="64">
        <v>943</v>
      </c>
      <c r="X369" s="64">
        <v>3</v>
      </c>
      <c r="Y369" s="47"/>
      <c r="Z369" s="47"/>
    </row>
    <row r="370" spans="1:26" x14ac:dyDescent="0.25">
      <c r="A370" s="53">
        <v>45571</v>
      </c>
      <c r="B370" s="54">
        <f t="shared" si="129"/>
        <v>6</v>
      </c>
      <c r="C370" s="55" t="str" cm="1">
        <f t="array" ref="C370">INDEX(Processing!$C$11:$C$22,MONTH('ALL ORDERS'!A370))</f>
        <v>OCT</v>
      </c>
      <c r="D370" s="54">
        <f t="shared" si="130"/>
        <v>2024</v>
      </c>
      <c r="E370" s="56" t="s">
        <v>48</v>
      </c>
      <c r="F370" s="56" t="s">
        <v>19</v>
      </c>
      <c r="G370" s="100">
        <v>0</v>
      </c>
      <c r="H370" s="100">
        <v>1100</v>
      </c>
      <c r="I370" s="57"/>
      <c r="J370" s="99">
        <f t="shared" si="128"/>
        <v>1100</v>
      </c>
      <c r="K370" s="53">
        <v>45571</v>
      </c>
      <c r="L370" s="54">
        <f t="shared" si="131"/>
        <v>6</v>
      </c>
      <c r="M370" s="55" t="str" cm="1">
        <f t="array" ref="M370">INDEX(Processing!$W$6:$W$17,MONTH('ALL ORDERS'!K370))</f>
        <v>October</v>
      </c>
      <c r="N370" s="54">
        <f t="shared" si="124"/>
        <v>2024</v>
      </c>
      <c r="O370" s="58">
        <v>0.66666666666666663</v>
      </c>
      <c r="P370" s="59" t="s">
        <v>354</v>
      </c>
      <c r="Q370" s="60" t="s">
        <v>94</v>
      </c>
      <c r="R370" s="56" t="s">
        <v>323</v>
      </c>
      <c r="S370" s="61" t="s">
        <v>45</v>
      </c>
      <c r="T370" s="62" t="s">
        <v>709</v>
      </c>
      <c r="U370" s="63" t="s">
        <v>23</v>
      </c>
      <c r="V370" s="63" t="s">
        <v>147</v>
      </c>
      <c r="W370" s="64">
        <v>2998</v>
      </c>
      <c r="X370" s="64">
        <v>4</v>
      </c>
      <c r="Y370" s="47"/>
      <c r="Z370" s="47"/>
    </row>
    <row r="371" spans="1:26" x14ac:dyDescent="0.25">
      <c r="A371" s="53">
        <v>45566</v>
      </c>
      <c r="B371" s="54">
        <f t="shared" si="129"/>
        <v>1</v>
      </c>
      <c r="C371" s="55" t="str" cm="1">
        <f t="array" ref="C371">INDEX(Processing!$C$11:$C$22,MONTH('ALL ORDERS'!A371))</f>
        <v>OCT</v>
      </c>
      <c r="D371" s="54">
        <f t="shared" si="130"/>
        <v>2024</v>
      </c>
      <c r="E371" s="56" t="s">
        <v>51</v>
      </c>
      <c r="F371" s="56" t="s">
        <v>137</v>
      </c>
      <c r="G371" s="100">
        <v>0</v>
      </c>
      <c r="H371" s="100">
        <v>1980</v>
      </c>
      <c r="I371" s="57"/>
      <c r="J371" s="99">
        <f t="shared" si="128"/>
        <v>1980</v>
      </c>
      <c r="K371" s="53">
        <v>45566</v>
      </c>
      <c r="L371" s="54">
        <f t="shared" si="131"/>
        <v>1</v>
      </c>
      <c r="M371" s="55" t="str" cm="1">
        <f t="array" ref="M371">INDEX(Processing!$W$6:$W$17,MONTH('ALL ORDERS'!K371))</f>
        <v>October</v>
      </c>
      <c r="N371" s="54">
        <f t="shared" si="124"/>
        <v>2024</v>
      </c>
      <c r="O371" s="58">
        <v>0.75</v>
      </c>
      <c r="P371" s="59" t="s">
        <v>337</v>
      </c>
      <c r="Q371" s="60" t="s">
        <v>94</v>
      </c>
      <c r="R371" s="56" t="s">
        <v>243</v>
      </c>
      <c r="S371" s="61" t="s">
        <v>43</v>
      </c>
      <c r="T371" s="62" t="s">
        <v>710</v>
      </c>
      <c r="U371" s="63" t="s">
        <v>27</v>
      </c>
      <c r="V371" s="63" t="s">
        <v>147</v>
      </c>
      <c r="W371" s="64">
        <v>1068</v>
      </c>
      <c r="X371" s="64">
        <v>4</v>
      </c>
      <c r="Y371" s="47"/>
      <c r="Z371" s="47"/>
    </row>
    <row r="372" spans="1:26" x14ac:dyDescent="0.25">
      <c r="A372" s="53">
        <v>45573</v>
      </c>
      <c r="B372" s="54">
        <f t="shared" si="129"/>
        <v>8</v>
      </c>
      <c r="C372" s="55" t="str" cm="1">
        <f t="array" ref="C372">INDEX(Processing!$C$11:$C$22,MONTH('ALL ORDERS'!A372))</f>
        <v>OCT</v>
      </c>
      <c r="D372" s="54">
        <f t="shared" si="130"/>
        <v>2024</v>
      </c>
      <c r="E372" s="56" t="s">
        <v>49</v>
      </c>
      <c r="F372" s="56" t="s">
        <v>137</v>
      </c>
      <c r="G372" s="100">
        <v>0</v>
      </c>
      <c r="H372" s="100">
        <v>1930</v>
      </c>
      <c r="I372" s="57"/>
      <c r="J372" s="99">
        <f t="shared" si="128"/>
        <v>1930</v>
      </c>
      <c r="K372" s="53">
        <v>45573</v>
      </c>
      <c r="L372" s="54">
        <f t="shared" si="131"/>
        <v>8</v>
      </c>
      <c r="M372" s="55" t="str" cm="1">
        <f t="array" ref="M372">INDEX(Processing!$W$6:$W$17,MONTH('ALL ORDERS'!K372))</f>
        <v>October</v>
      </c>
      <c r="N372" s="54">
        <f t="shared" si="124"/>
        <v>2024</v>
      </c>
      <c r="O372" s="58">
        <v>0.41666666666666669</v>
      </c>
      <c r="P372" s="59" t="s">
        <v>348</v>
      </c>
      <c r="Q372" s="60" t="s">
        <v>90</v>
      </c>
      <c r="R372" s="56" t="s">
        <v>310</v>
      </c>
      <c r="S372" s="61" t="s">
        <v>44</v>
      </c>
      <c r="T372" s="70">
        <v>32900888990</v>
      </c>
      <c r="U372" s="63" t="s">
        <v>24</v>
      </c>
      <c r="V372" s="63" t="s">
        <v>147</v>
      </c>
      <c r="W372" s="64">
        <v>564</v>
      </c>
      <c r="X372" s="64">
        <v>5</v>
      </c>
      <c r="Y372" s="47"/>
      <c r="Z372" s="47"/>
    </row>
    <row r="373" spans="1:26" x14ac:dyDescent="0.25">
      <c r="A373" s="53">
        <v>45574</v>
      </c>
      <c r="B373" s="54">
        <f t="shared" si="129"/>
        <v>9</v>
      </c>
      <c r="C373" s="55" t="str" cm="1">
        <f t="array" ref="C373">INDEX(Processing!$C$11:$C$22,MONTH('ALL ORDERS'!A373))</f>
        <v>OCT</v>
      </c>
      <c r="D373" s="54">
        <f t="shared" si="130"/>
        <v>2024</v>
      </c>
      <c r="E373" s="56" t="s">
        <v>47</v>
      </c>
      <c r="F373" s="56" t="s">
        <v>19</v>
      </c>
      <c r="G373" s="100">
        <v>0</v>
      </c>
      <c r="H373" s="100">
        <v>1800</v>
      </c>
      <c r="I373" s="57"/>
      <c r="J373" s="99">
        <f t="shared" si="128"/>
        <v>1800</v>
      </c>
      <c r="K373" s="53">
        <v>45574</v>
      </c>
      <c r="L373" s="54">
        <f t="shared" si="131"/>
        <v>9</v>
      </c>
      <c r="M373" s="55" t="str" cm="1">
        <f t="array" ref="M373">INDEX(Processing!$W$6:$W$17,MONTH('ALL ORDERS'!K373))</f>
        <v>October</v>
      </c>
      <c r="N373" s="54">
        <f t="shared" si="124"/>
        <v>2024</v>
      </c>
      <c r="O373" s="58">
        <v>0.5</v>
      </c>
      <c r="P373" s="59" t="s">
        <v>223</v>
      </c>
      <c r="Q373" s="60" t="s">
        <v>94</v>
      </c>
      <c r="R373" s="56" t="s">
        <v>322</v>
      </c>
      <c r="S373" s="61" t="s">
        <v>41</v>
      </c>
      <c r="T373" s="62" t="s">
        <v>711</v>
      </c>
      <c r="U373" s="63" t="s">
        <v>26</v>
      </c>
      <c r="V373" s="63" t="s">
        <v>147</v>
      </c>
      <c r="W373" s="64">
        <v>2190</v>
      </c>
      <c r="X373" s="64">
        <v>3</v>
      </c>
      <c r="Y373" s="47"/>
      <c r="Z373" s="47"/>
    </row>
    <row r="374" spans="1:26" x14ac:dyDescent="0.25">
      <c r="A374" s="53">
        <v>45575</v>
      </c>
      <c r="B374" s="54">
        <f t="shared" si="129"/>
        <v>10</v>
      </c>
      <c r="C374" s="55" t="str" cm="1">
        <f t="array" ref="C374">INDEX(Processing!$C$11:$C$22,MONTH('ALL ORDERS'!A374))</f>
        <v>OCT</v>
      </c>
      <c r="D374" s="54">
        <f t="shared" si="130"/>
        <v>2024</v>
      </c>
      <c r="E374" s="56" t="s">
        <v>50</v>
      </c>
      <c r="F374" s="56" t="s">
        <v>152</v>
      </c>
      <c r="G374" s="100">
        <v>0</v>
      </c>
      <c r="H374" s="100">
        <v>2380</v>
      </c>
      <c r="I374" s="57"/>
      <c r="J374" s="99">
        <f t="shared" si="128"/>
        <v>2380</v>
      </c>
      <c r="K374" s="53">
        <v>45575</v>
      </c>
      <c r="L374" s="54">
        <f t="shared" si="131"/>
        <v>10</v>
      </c>
      <c r="M374" s="55" t="str" cm="1">
        <f t="array" ref="M374">INDEX(Processing!$W$6:$W$17,MONTH('ALL ORDERS'!K374))</f>
        <v>October</v>
      </c>
      <c r="N374" s="54">
        <f t="shared" si="124"/>
        <v>2024</v>
      </c>
      <c r="O374" s="58">
        <v>0.66666666666666663</v>
      </c>
      <c r="P374" s="59" t="s">
        <v>171</v>
      </c>
      <c r="Q374" s="60" t="s">
        <v>94</v>
      </c>
      <c r="R374" s="56" t="s">
        <v>255</v>
      </c>
      <c r="S374" s="61" t="s">
        <v>43</v>
      </c>
      <c r="T374" s="62" t="s">
        <v>712</v>
      </c>
      <c r="U374" s="63" t="s">
        <v>25</v>
      </c>
      <c r="V374" s="63" t="s">
        <v>147</v>
      </c>
      <c r="W374" s="64">
        <v>2400</v>
      </c>
      <c r="X374" s="64">
        <v>2</v>
      </c>
      <c r="Y374" s="47"/>
      <c r="Z374" s="47"/>
    </row>
    <row r="375" spans="1:26" x14ac:dyDescent="0.25">
      <c r="A375" s="53">
        <v>45576</v>
      </c>
      <c r="B375" s="54">
        <f t="shared" si="129"/>
        <v>11</v>
      </c>
      <c r="C375" s="55" t="str" cm="1">
        <f t="array" ref="C375">INDEX(Processing!$C$11:$C$22,MONTH('ALL ORDERS'!A375))</f>
        <v>OCT</v>
      </c>
      <c r="D375" s="54">
        <f t="shared" si="130"/>
        <v>2024</v>
      </c>
      <c r="E375" s="56" t="s">
        <v>47</v>
      </c>
      <c r="F375" s="56" t="s">
        <v>135</v>
      </c>
      <c r="G375" s="100">
        <v>3240</v>
      </c>
      <c r="H375" s="100">
        <v>0</v>
      </c>
      <c r="I375" s="57"/>
      <c r="J375" s="99">
        <f t="shared" si="128"/>
        <v>3240</v>
      </c>
      <c r="K375" s="53">
        <v>45576</v>
      </c>
      <c r="L375" s="54">
        <f t="shared" si="131"/>
        <v>11</v>
      </c>
      <c r="M375" s="55" t="str" cm="1">
        <f t="array" ref="M375">INDEX(Processing!$W$6:$W$17,MONTH('ALL ORDERS'!K375))</f>
        <v>October</v>
      </c>
      <c r="N375" s="54">
        <f t="shared" si="124"/>
        <v>2024</v>
      </c>
      <c r="O375" s="58">
        <v>0.75</v>
      </c>
      <c r="P375" s="59" t="s">
        <v>168</v>
      </c>
      <c r="Q375" s="60" t="s">
        <v>94</v>
      </c>
      <c r="R375" s="56" t="s">
        <v>251</v>
      </c>
      <c r="S375" s="61" t="s">
        <v>45</v>
      </c>
      <c r="T375" s="62" t="s">
        <v>713</v>
      </c>
      <c r="U375" s="63" t="s">
        <v>25</v>
      </c>
      <c r="V375" s="63" t="s">
        <v>147</v>
      </c>
      <c r="W375" s="64">
        <v>2941</v>
      </c>
      <c r="X375" s="64">
        <v>4</v>
      </c>
      <c r="Y375" s="47"/>
      <c r="Z375" s="47"/>
    </row>
    <row r="376" spans="1:26" x14ac:dyDescent="0.25">
      <c r="A376" s="53">
        <v>45577</v>
      </c>
      <c r="B376" s="54">
        <f t="shared" si="129"/>
        <v>12</v>
      </c>
      <c r="C376" s="55" t="str" cm="1">
        <f t="array" ref="C376">INDEX(Processing!$C$11:$C$22,MONTH('ALL ORDERS'!A376))</f>
        <v>OCT</v>
      </c>
      <c r="D376" s="54">
        <f t="shared" si="130"/>
        <v>2024</v>
      </c>
      <c r="E376" s="56" t="s">
        <v>48</v>
      </c>
      <c r="F376" s="56" t="s">
        <v>126</v>
      </c>
      <c r="G376" s="100">
        <v>2900</v>
      </c>
      <c r="H376" s="100">
        <v>0</v>
      </c>
      <c r="I376" s="57"/>
      <c r="J376" s="99">
        <f t="shared" si="128"/>
        <v>2900</v>
      </c>
      <c r="K376" s="53">
        <v>45577</v>
      </c>
      <c r="L376" s="54">
        <f t="shared" si="131"/>
        <v>12</v>
      </c>
      <c r="M376" s="55" t="str" cm="1">
        <f t="array" ref="M376">INDEX(Processing!$W$6:$W$17,MONTH('ALL ORDERS'!K376))</f>
        <v>October</v>
      </c>
      <c r="N376" s="54">
        <f t="shared" si="124"/>
        <v>2024</v>
      </c>
      <c r="O376" s="58">
        <v>0.41666666666666669</v>
      </c>
      <c r="P376" s="59" t="s">
        <v>215</v>
      </c>
      <c r="Q376" s="60" t="s">
        <v>94</v>
      </c>
      <c r="R376" s="56" t="s">
        <v>304</v>
      </c>
      <c r="S376" s="61" t="s">
        <v>42</v>
      </c>
      <c r="T376" s="62" t="s">
        <v>714</v>
      </c>
      <c r="U376" s="63" t="s">
        <v>25</v>
      </c>
      <c r="V376" s="63" t="s">
        <v>147</v>
      </c>
      <c r="W376" s="64">
        <v>481</v>
      </c>
      <c r="X376" s="64">
        <v>5</v>
      </c>
      <c r="Y376" s="47"/>
      <c r="Z376" s="47"/>
    </row>
    <row r="377" spans="1:26" x14ac:dyDescent="0.25">
      <c r="A377" s="53">
        <v>45578</v>
      </c>
      <c r="B377" s="54">
        <f t="shared" si="129"/>
        <v>13</v>
      </c>
      <c r="C377" s="55" t="str" cm="1">
        <f t="array" ref="C377">INDEX(Processing!$C$11:$C$22,MONTH('ALL ORDERS'!A377))</f>
        <v>OCT</v>
      </c>
      <c r="D377" s="54">
        <f t="shared" si="130"/>
        <v>2024</v>
      </c>
      <c r="E377" s="56" t="s">
        <v>49</v>
      </c>
      <c r="F377" s="56" t="s">
        <v>19</v>
      </c>
      <c r="G377" s="100">
        <v>2660</v>
      </c>
      <c r="H377" s="100">
        <v>0</v>
      </c>
      <c r="I377" s="57"/>
      <c r="J377" s="99">
        <f t="shared" si="128"/>
        <v>2660</v>
      </c>
      <c r="K377" s="53">
        <v>45578</v>
      </c>
      <c r="L377" s="54">
        <f t="shared" si="131"/>
        <v>13</v>
      </c>
      <c r="M377" s="55" t="str" cm="1">
        <f t="array" ref="M377">INDEX(Processing!$W$6:$W$17,MONTH('ALL ORDERS'!K377))</f>
        <v>October</v>
      </c>
      <c r="N377" s="54">
        <f t="shared" ref="N377:N442" si="135">YEAR(K377)</f>
        <v>2024</v>
      </c>
      <c r="O377" s="58">
        <v>0.5</v>
      </c>
      <c r="P377" s="59" t="s">
        <v>230</v>
      </c>
      <c r="Q377" s="60" t="s">
        <v>90</v>
      </c>
      <c r="R377" s="56" t="s">
        <v>330</v>
      </c>
      <c r="S377" s="61" t="s">
        <v>41</v>
      </c>
      <c r="T377" s="62" t="s">
        <v>715</v>
      </c>
      <c r="U377" s="63" t="s">
        <v>26</v>
      </c>
      <c r="V377" s="63" t="s">
        <v>147</v>
      </c>
      <c r="W377" s="64">
        <v>2782</v>
      </c>
      <c r="X377" s="64">
        <v>5</v>
      </c>
      <c r="Y377" s="47"/>
      <c r="Z377" s="47"/>
    </row>
    <row r="378" spans="1:26" x14ac:dyDescent="0.25">
      <c r="A378" s="53">
        <v>45579</v>
      </c>
      <c r="B378" s="54">
        <f t="shared" si="129"/>
        <v>14</v>
      </c>
      <c r="C378" s="55" t="str" cm="1">
        <f t="array" ref="C378">INDEX(Processing!$C$11:$C$22,MONTH('ALL ORDERS'!A378))</f>
        <v>OCT</v>
      </c>
      <c r="D378" s="54">
        <f t="shared" si="130"/>
        <v>2024</v>
      </c>
      <c r="E378" s="56" t="s">
        <v>47</v>
      </c>
      <c r="F378" s="56" t="s">
        <v>152</v>
      </c>
      <c r="G378" s="100">
        <v>0</v>
      </c>
      <c r="H378" s="100">
        <v>2130</v>
      </c>
      <c r="I378" s="57"/>
      <c r="J378" s="99">
        <f t="shared" si="128"/>
        <v>2130</v>
      </c>
      <c r="K378" s="53">
        <v>45579</v>
      </c>
      <c r="L378" s="54">
        <f t="shared" si="131"/>
        <v>14</v>
      </c>
      <c r="M378" s="55" t="str" cm="1">
        <f t="array" ref="M378">INDEX(Processing!$W$6:$W$17,MONTH('ALL ORDERS'!K378))</f>
        <v>October</v>
      </c>
      <c r="N378" s="54">
        <f t="shared" si="135"/>
        <v>2024</v>
      </c>
      <c r="O378" s="58">
        <v>0.66666666666666663</v>
      </c>
      <c r="P378" s="59" t="s">
        <v>222</v>
      </c>
      <c r="Q378" s="60" t="s">
        <v>94</v>
      </c>
      <c r="R378" s="56" t="s">
        <v>321</v>
      </c>
      <c r="S378" s="61" t="s">
        <v>46</v>
      </c>
      <c r="T378" s="62" t="s">
        <v>716</v>
      </c>
      <c r="U378" s="63" t="s">
        <v>26</v>
      </c>
      <c r="V378" s="63" t="s">
        <v>147</v>
      </c>
      <c r="W378" s="64">
        <v>2618</v>
      </c>
      <c r="X378" s="64">
        <v>5</v>
      </c>
      <c r="Y378" s="47"/>
      <c r="Z378" s="47"/>
    </row>
    <row r="379" spans="1:26" x14ac:dyDescent="0.25">
      <c r="A379" s="53">
        <v>45580</v>
      </c>
      <c r="B379" s="54">
        <f t="shared" si="129"/>
        <v>15</v>
      </c>
      <c r="C379" s="55" t="str" cm="1">
        <f t="array" ref="C379">INDEX(Processing!$C$11:$C$22,MONTH('ALL ORDERS'!A379))</f>
        <v>OCT</v>
      </c>
      <c r="D379" s="54">
        <f t="shared" si="130"/>
        <v>2024</v>
      </c>
      <c r="E379" s="56" t="s">
        <v>47</v>
      </c>
      <c r="F379" s="56" t="s">
        <v>135</v>
      </c>
      <c r="G379" s="100">
        <v>0</v>
      </c>
      <c r="H379" s="100">
        <v>2940</v>
      </c>
      <c r="I379" s="57"/>
      <c r="J379" s="99">
        <f t="shared" si="128"/>
        <v>2940</v>
      </c>
      <c r="K379" s="53">
        <v>45580</v>
      </c>
      <c r="L379" s="54">
        <f t="shared" si="131"/>
        <v>15</v>
      </c>
      <c r="M379" s="55" t="str" cm="1">
        <f t="array" ref="M379">INDEX(Processing!$W$6:$W$17,MONTH('ALL ORDERS'!K379))</f>
        <v>October</v>
      </c>
      <c r="N379" s="54">
        <f t="shared" si="135"/>
        <v>2024</v>
      </c>
      <c r="O379" s="58">
        <v>0.75</v>
      </c>
      <c r="P379" s="59" t="s">
        <v>350</v>
      </c>
      <c r="Q379" s="60" t="s">
        <v>91</v>
      </c>
      <c r="R379" s="56" t="s">
        <v>312</v>
      </c>
      <c r="S379" s="61" t="s">
        <v>41</v>
      </c>
      <c r="T379" s="62" t="s">
        <v>717</v>
      </c>
      <c r="U379" s="63" t="s">
        <v>24</v>
      </c>
      <c r="V379" s="63" t="s">
        <v>147</v>
      </c>
      <c r="W379" s="64">
        <v>1550</v>
      </c>
      <c r="X379" s="64">
        <v>5</v>
      </c>
      <c r="Y379" s="47"/>
      <c r="Z379" s="47"/>
    </row>
    <row r="380" spans="1:26" x14ac:dyDescent="0.25">
      <c r="A380" s="53">
        <v>45581</v>
      </c>
      <c r="B380" s="54">
        <f t="shared" si="129"/>
        <v>16</v>
      </c>
      <c r="C380" s="55" t="str" cm="1">
        <f t="array" ref="C380">INDEX(Processing!$C$11:$C$22,MONTH('ALL ORDERS'!A380))</f>
        <v>OCT</v>
      </c>
      <c r="D380" s="54">
        <f t="shared" si="130"/>
        <v>2024</v>
      </c>
      <c r="E380" s="56" t="s">
        <v>50</v>
      </c>
      <c r="F380" s="56" t="s">
        <v>126</v>
      </c>
      <c r="G380" s="100">
        <v>0</v>
      </c>
      <c r="H380" s="100">
        <v>3120</v>
      </c>
      <c r="I380" s="57"/>
      <c r="J380" s="99">
        <f t="shared" si="128"/>
        <v>3120</v>
      </c>
      <c r="K380" s="53">
        <v>45581</v>
      </c>
      <c r="L380" s="54">
        <f t="shared" si="131"/>
        <v>16</v>
      </c>
      <c r="M380" s="55" t="str" cm="1">
        <f t="array" ref="M380">INDEX(Processing!$W$6:$W$17,MONTH('ALL ORDERS'!K380))</f>
        <v>October</v>
      </c>
      <c r="N380" s="54">
        <f t="shared" si="135"/>
        <v>2024</v>
      </c>
      <c r="O380" s="58">
        <v>0.41666666666666669</v>
      </c>
      <c r="P380" s="59" t="s">
        <v>214</v>
      </c>
      <c r="Q380" s="60" t="s">
        <v>94</v>
      </c>
      <c r="R380" s="56" t="s">
        <v>302</v>
      </c>
      <c r="S380" s="61" t="s">
        <v>45</v>
      </c>
      <c r="T380" s="62" t="s">
        <v>718</v>
      </c>
      <c r="U380" s="63" t="s">
        <v>26</v>
      </c>
      <c r="V380" s="63" t="s">
        <v>147</v>
      </c>
      <c r="W380" s="64">
        <v>1966</v>
      </c>
      <c r="X380" s="64">
        <v>5</v>
      </c>
      <c r="Y380" s="47"/>
      <c r="Z380" s="47"/>
    </row>
    <row r="381" spans="1:26" x14ac:dyDescent="0.25">
      <c r="A381" s="53">
        <v>45576</v>
      </c>
      <c r="B381" s="54">
        <f t="shared" si="129"/>
        <v>11</v>
      </c>
      <c r="C381" s="55" t="str" cm="1">
        <f t="array" ref="C381">INDEX(Processing!$C$11:$C$22,MONTH('ALL ORDERS'!A381))</f>
        <v>OCT</v>
      </c>
      <c r="D381" s="54">
        <f t="shared" si="130"/>
        <v>2024</v>
      </c>
      <c r="E381" s="56" t="s">
        <v>47</v>
      </c>
      <c r="F381" s="56" t="s">
        <v>20</v>
      </c>
      <c r="G381" s="100">
        <v>0</v>
      </c>
      <c r="H381" s="100">
        <v>1110</v>
      </c>
      <c r="I381" s="57"/>
      <c r="J381" s="99">
        <f t="shared" si="128"/>
        <v>1110</v>
      </c>
      <c r="K381" s="53">
        <v>45576</v>
      </c>
      <c r="L381" s="54">
        <f t="shared" si="131"/>
        <v>11</v>
      </c>
      <c r="M381" s="55" t="str" cm="1">
        <f t="array" ref="M381">INDEX(Processing!$W$6:$W$17,MONTH('ALL ORDERS'!K381))</f>
        <v>October</v>
      </c>
      <c r="N381" s="54">
        <f t="shared" si="135"/>
        <v>2024</v>
      </c>
      <c r="O381" s="58">
        <v>0.5</v>
      </c>
      <c r="P381" s="59" t="s">
        <v>232</v>
      </c>
      <c r="Q381" s="60" t="s">
        <v>94</v>
      </c>
      <c r="R381" s="56" t="s">
        <v>332</v>
      </c>
      <c r="S381" s="61" t="s">
        <v>41</v>
      </c>
      <c r="T381" s="62" t="s">
        <v>719</v>
      </c>
      <c r="U381" s="63" t="s">
        <v>27</v>
      </c>
      <c r="V381" s="63" t="s">
        <v>147</v>
      </c>
      <c r="W381" s="64">
        <v>1429</v>
      </c>
      <c r="X381" s="64">
        <v>5</v>
      </c>
      <c r="Y381" s="47"/>
      <c r="Z381" s="47"/>
    </row>
    <row r="382" spans="1:26" x14ac:dyDescent="0.25">
      <c r="A382" s="53">
        <v>45583</v>
      </c>
      <c r="B382" s="54">
        <f t="shared" si="129"/>
        <v>18</v>
      </c>
      <c r="C382" s="55" t="str" cm="1">
        <f t="array" ref="C382">INDEX(Processing!$C$11:$C$22,MONTH('ALL ORDERS'!A382))</f>
        <v>OCT</v>
      </c>
      <c r="D382" s="54">
        <f t="shared" si="130"/>
        <v>2024</v>
      </c>
      <c r="E382" s="56" t="s">
        <v>48</v>
      </c>
      <c r="F382" s="56" t="s">
        <v>123</v>
      </c>
      <c r="G382" s="100">
        <v>0</v>
      </c>
      <c r="H382" s="100">
        <v>1010</v>
      </c>
      <c r="I382" s="57"/>
      <c r="J382" s="99">
        <f t="shared" si="128"/>
        <v>1010</v>
      </c>
      <c r="K382" s="53">
        <v>45583</v>
      </c>
      <c r="L382" s="54">
        <f t="shared" si="131"/>
        <v>18</v>
      </c>
      <c r="M382" s="55" t="str" cm="1">
        <f t="array" ref="M382">INDEX(Processing!$W$6:$W$17,MONTH('ALL ORDERS'!K382))</f>
        <v>October</v>
      </c>
      <c r="N382" s="54">
        <f t="shared" si="135"/>
        <v>2024</v>
      </c>
      <c r="O382" s="58">
        <v>0.66666666666666663</v>
      </c>
      <c r="P382" s="59" t="s">
        <v>341</v>
      </c>
      <c r="Q382" s="60" t="s">
        <v>94</v>
      </c>
      <c r="R382" s="56" t="s">
        <v>283</v>
      </c>
      <c r="S382" s="61" t="s">
        <v>46</v>
      </c>
      <c r="T382" s="62" t="s">
        <v>720</v>
      </c>
      <c r="U382" s="63" t="s">
        <v>23</v>
      </c>
      <c r="V382" s="63" t="s">
        <v>147</v>
      </c>
      <c r="W382" s="64">
        <v>647</v>
      </c>
      <c r="X382" s="64">
        <v>4</v>
      </c>
      <c r="Y382" s="47"/>
      <c r="Z382" s="47"/>
    </row>
    <row r="383" spans="1:26" x14ac:dyDescent="0.25">
      <c r="A383" s="53">
        <v>45584</v>
      </c>
      <c r="B383" s="54">
        <f t="shared" si="129"/>
        <v>19</v>
      </c>
      <c r="C383" s="55" t="str" cm="1">
        <f t="array" ref="C383">INDEX(Processing!$C$11:$C$22,MONTH('ALL ORDERS'!A383))</f>
        <v>OCT</v>
      </c>
      <c r="D383" s="54">
        <f t="shared" si="130"/>
        <v>2024</v>
      </c>
      <c r="E383" s="56" t="s">
        <v>49</v>
      </c>
      <c r="F383" s="56" t="s">
        <v>124</v>
      </c>
      <c r="G383" s="100">
        <v>0</v>
      </c>
      <c r="H383" s="100">
        <v>610</v>
      </c>
      <c r="I383" s="57"/>
      <c r="J383" s="99">
        <f t="shared" si="128"/>
        <v>610</v>
      </c>
      <c r="K383" s="53">
        <v>45584</v>
      </c>
      <c r="L383" s="54">
        <f t="shared" si="131"/>
        <v>19</v>
      </c>
      <c r="M383" s="55" t="str" cm="1">
        <f t="array" ref="M383">INDEX(Processing!$W$6:$W$17,MONTH('ALL ORDERS'!K383))</f>
        <v>October</v>
      </c>
      <c r="N383" s="54">
        <f t="shared" si="135"/>
        <v>2024</v>
      </c>
      <c r="O383" s="58">
        <v>0.75</v>
      </c>
      <c r="P383" s="59" t="s">
        <v>233</v>
      </c>
      <c r="Q383" s="60" t="s">
        <v>94</v>
      </c>
      <c r="R383" s="56" t="s">
        <v>334</v>
      </c>
      <c r="S383" s="61" t="s">
        <v>46</v>
      </c>
      <c r="T383" s="62" t="s">
        <v>721</v>
      </c>
      <c r="U383" s="63" t="s">
        <v>25</v>
      </c>
      <c r="V383" s="63" t="s">
        <v>147</v>
      </c>
      <c r="W383" s="64">
        <v>1750</v>
      </c>
      <c r="X383" s="64">
        <v>4</v>
      </c>
      <c r="Y383" s="47"/>
      <c r="Z383" s="47"/>
    </row>
    <row r="384" spans="1:26" x14ac:dyDescent="0.25">
      <c r="A384" s="53">
        <v>45585</v>
      </c>
      <c r="B384" s="54">
        <f t="shared" si="129"/>
        <v>20</v>
      </c>
      <c r="C384" s="55" t="str" cm="1">
        <f t="array" ref="C384">INDEX(Processing!$C$11:$C$22,MONTH('ALL ORDERS'!A384))</f>
        <v>OCT</v>
      </c>
      <c r="D384" s="54">
        <f t="shared" si="130"/>
        <v>2024</v>
      </c>
      <c r="E384" s="56" t="s">
        <v>47</v>
      </c>
      <c r="F384" s="56" t="s">
        <v>128</v>
      </c>
      <c r="G384" s="100">
        <v>0</v>
      </c>
      <c r="H384" s="100">
        <v>1860</v>
      </c>
      <c r="I384" s="57">
        <v>0.15</v>
      </c>
      <c r="J384" s="99">
        <f t="shared" si="128"/>
        <v>1860</v>
      </c>
      <c r="K384" s="53">
        <v>45585</v>
      </c>
      <c r="L384" s="54">
        <f t="shared" si="131"/>
        <v>20</v>
      </c>
      <c r="M384" s="55" t="str" cm="1">
        <f t="array" ref="M384">INDEX(Processing!$W$6:$W$17,MONTH('ALL ORDERS'!K384))</f>
        <v>October</v>
      </c>
      <c r="N384" s="54">
        <f t="shared" si="135"/>
        <v>2024</v>
      </c>
      <c r="O384" s="58">
        <v>0.41666666666666669</v>
      </c>
      <c r="P384" s="59" t="s">
        <v>340</v>
      </c>
      <c r="Q384" s="60" t="e">
        <v>#N/A</v>
      </c>
      <c r="R384" s="56" t="s">
        <v>273</v>
      </c>
      <c r="S384" s="61" t="s">
        <v>41</v>
      </c>
      <c r="T384" s="70">
        <v>31900888990</v>
      </c>
      <c r="U384" s="63" t="s">
        <v>23</v>
      </c>
      <c r="V384" s="63" t="s">
        <v>147</v>
      </c>
      <c r="W384" s="64">
        <v>1401</v>
      </c>
      <c r="X384" s="64">
        <v>4</v>
      </c>
      <c r="Y384" s="47"/>
      <c r="Z384" s="47"/>
    </row>
    <row r="385" spans="1:26" x14ac:dyDescent="0.25">
      <c r="A385" s="53">
        <v>45586</v>
      </c>
      <c r="B385" s="54">
        <f t="shared" si="129"/>
        <v>21</v>
      </c>
      <c r="C385" s="55" t="str" cm="1">
        <f t="array" ref="C385">INDEX(Processing!$C$11:$C$22,MONTH('ALL ORDERS'!A385))</f>
        <v>OCT</v>
      </c>
      <c r="D385" s="54">
        <f t="shared" si="130"/>
        <v>2024</v>
      </c>
      <c r="E385" s="56" t="s">
        <v>50</v>
      </c>
      <c r="F385" s="56" t="s">
        <v>19</v>
      </c>
      <c r="G385" s="100">
        <v>0</v>
      </c>
      <c r="H385" s="100">
        <v>3830</v>
      </c>
      <c r="I385" s="57">
        <v>0.15</v>
      </c>
      <c r="J385" s="99">
        <f t="shared" si="128"/>
        <v>3830</v>
      </c>
      <c r="K385" s="53">
        <v>45586</v>
      </c>
      <c r="L385" s="54">
        <f t="shared" si="131"/>
        <v>21</v>
      </c>
      <c r="M385" s="55" t="str" cm="1">
        <f t="array" ref="M385">INDEX(Processing!$W$6:$W$17,MONTH('ALL ORDERS'!K385))</f>
        <v>October</v>
      </c>
      <c r="N385" s="54">
        <f t="shared" si="135"/>
        <v>2024</v>
      </c>
      <c r="O385" s="58">
        <v>0.5</v>
      </c>
      <c r="P385" s="59" t="s">
        <v>351</v>
      </c>
      <c r="Q385" s="60" t="s">
        <v>94</v>
      </c>
      <c r="R385" s="56" t="s">
        <v>313</v>
      </c>
      <c r="S385" s="61" t="s">
        <v>43</v>
      </c>
      <c r="T385" s="62" t="s">
        <v>722</v>
      </c>
      <c r="U385" s="63" t="s">
        <v>26</v>
      </c>
      <c r="V385" s="63" t="s">
        <v>147</v>
      </c>
      <c r="W385" s="64">
        <v>2443</v>
      </c>
      <c r="X385" s="64">
        <v>4</v>
      </c>
      <c r="Y385" s="47"/>
      <c r="Z385" s="47"/>
    </row>
    <row r="386" spans="1:26" x14ac:dyDescent="0.25">
      <c r="A386" s="53">
        <v>45587</v>
      </c>
      <c r="B386" s="54">
        <f t="shared" ref="B386" si="136">DAY(A386)</f>
        <v>22</v>
      </c>
      <c r="C386" s="55" t="str" cm="1">
        <f t="array" ref="C386">INDEX(Processing!$C$11:$C$22,MONTH('ALL ORDERS'!A386))</f>
        <v>OCT</v>
      </c>
      <c r="D386" s="54">
        <f t="shared" ref="D386" si="137">YEAR(A386)</f>
        <v>2024</v>
      </c>
      <c r="E386" s="56" t="s">
        <v>50</v>
      </c>
      <c r="F386" s="56" t="s">
        <v>19</v>
      </c>
      <c r="G386" s="100">
        <v>16730</v>
      </c>
      <c r="H386" s="100">
        <v>0</v>
      </c>
      <c r="I386" s="57">
        <v>0.15</v>
      </c>
      <c r="J386" s="99">
        <f t="shared" si="128"/>
        <v>16730</v>
      </c>
      <c r="K386" s="53">
        <v>45587</v>
      </c>
      <c r="L386" s="54">
        <f t="shared" si="131"/>
        <v>22</v>
      </c>
      <c r="M386" s="55" t="str" cm="1">
        <f t="array" ref="M386">INDEX(Processing!$W$6:$W$17,MONTH('ALL ORDERS'!K386))</f>
        <v>October</v>
      </c>
      <c r="N386" s="54">
        <f t="shared" ref="N386" si="138">YEAR(K386)</f>
        <v>2024</v>
      </c>
      <c r="O386" s="58">
        <v>0.54166666666666696</v>
      </c>
      <c r="P386" s="59" t="s">
        <v>352</v>
      </c>
      <c r="Q386" s="60" t="s">
        <v>94</v>
      </c>
      <c r="R386" s="56" t="s">
        <v>1096</v>
      </c>
      <c r="S386" s="61" t="s">
        <v>43</v>
      </c>
      <c r="T386" s="62" t="s">
        <v>733</v>
      </c>
      <c r="U386" s="63" t="s">
        <v>26</v>
      </c>
      <c r="V386" s="63" t="s">
        <v>147</v>
      </c>
      <c r="W386" s="64">
        <v>1158</v>
      </c>
      <c r="X386" s="64">
        <v>5</v>
      </c>
      <c r="Y386" s="47"/>
      <c r="Z386" s="47"/>
    </row>
    <row r="387" spans="1:26" x14ac:dyDescent="0.25">
      <c r="A387" s="53">
        <v>45587</v>
      </c>
      <c r="B387" s="54">
        <f t="shared" si="129"/>
        <v>22</v>
      </c>
      <c r="C387" s="55" t="str" cm="1">
        <f t="array" ref="C387">INDEX(Processing!$C$11:$C$22,MONTH('ALL ORDERS'!A387))</f>
        <v>OCT</v>
      </c>
      <c r="D387" s="54">
        <f t="shared" si="130"/>
        <v>2024</v>
      </c>
      <c r="E387" s="56" t="s">
        <v>51</v>
      </c>
      <c r="F387" s="56" t="s">
        <v>20</v>
      </c>
      <c r="G387" s="100">
        <v>20000</v>
      </c>
      <c r="H387" s="100">
        <v>160</v>
      </c>
      <c r="I387" s="57">
        <v>0.15</v>
      </c>
      <c r="J387" s="99">
        <f t="shared" si="128"/>
        <v>20160</v>
      </c>
      <c r="K387" s="53">
        <v>45587</v>
      </c>
      <c r="L387" s="54">
        <f t="shared" si="131"/>
        <v>22</v>
      </c>
      <c r="M387" s="55" t="str" cm="1">
        <f t="array" ref="M387">INDEX(Processing!$W$6:$W$17,MONTH('ALL ORDERS'!K387))</f>
        <v>October</v>
      </c>
      <c r="N387" s="54">
        <f t="shared" si="135"/>
        <v>2024</v>
      </c>
      <c r="O387" s="58">
        <v>0.66666666666666663</v>
      </c>
      <c r="P387" s="59" t="s">
        <v>203</v>
      </c>
      <c r="Q387" s="60" t="s">
        <v>94</v>
      </c>
      <c r="R387" s="56" t="s">
        <v>290</v>
      </c>
      <c r="S387" s="61" t="s">
        <v>45</v>
      </c>
      <c r="T387" s="62" t="s">
        <v>723</v>
      </c>
      <c r="U387" s="63" t="s">
        <v>25</v>
      </c>
      <c r="V387" s="63" t="s">
        <v>147</v>
      </c>
      <c r="W387" s="64">
        <v>2477</v>
      </c>
      <c r="X387" s="64">
        <v>4</v>
      </c>
      <c r="Y387" s="47"/>
      <c r="Z387" s="47"/>
    </row>
    <row r="388" spans="1:26" x14ac:dyDescent="0.25">
      <c r="A388" s="53">
        <v>45588</v>
      </c>
      <c r="B388" s="54">
        <f t="shared" si="129"/>
        <v>23</v>
      </c>
      <c r="C388" s="55" t="str" cm="1">
        <f t="array" ref="C388">INDEX(Processing!$C$11:$C$22,MONTH('ALL ORDERS'!A388))</f>
        <v>OCT</v>
      </c>
      <c r="D388" s="54">
        <f t="shared" si="130"/>
        <v>2024</v>
      </c>
      <c r="E388" s="56" t="s">
        <v>48</v>
      </c>
      <c r="F388" s="56" t="s">
        <v>21</v>
      </c>
      <c r="G388" s="100">
        <v>0</v>
      </c>
      <c r="H388" s="100">
        <v>2620</v>
      </c>
      <c r="I388" s="57">
        <v>0.15</v>
      </c>
      <c r="J388" s="99">
        <f t="shared" si="128"/>
        <v>2620</v>
      </c>
      <c r="K388" s="53">
        <v>45588</v>
      </c>
      <c r="L388" s="54">
        <f t="shared" si="131"/>
        <v>23</v>
      </c>
      <c r="M388" s="55" t="str" cm="1">
        <f t="array" ref="M388">INDEX(Processing!$W$6:$W$17,MONTH('ALL ORDERS'!K388))</f>
        <v>October</v>
      </c>
      <c r="N388" s="54">
        <f t="shared" si="135"/>
        <v>2024</v>
      </c>
      <c r="O388" s="58">
        <v>0.75</v>
      </c>
      <c r="P388" s="59" t="s">
        <v>214</v>
      </c>
      <c r="Q388" s="60" t="s">
        <v>94</v>
      </c>
      <c r="R388" s="56" t="s">
        <v>302</v>
      </c>
      <c r="S388" s="61" t="s">
        <v>43</v>
      </c>
      <c r="T388" s="62" t="s">
        <v>724</v>
      </c>
      <c r="U388" s="63" t="s">
        <v>25</v>
      </c>
      <c r="V388" s="63" t="s">
        <v>147</v>
      </c>
      <c r="W388" s="64">
        <v>2608</v>
      </c>
      <c r="X388" s="64">
        <v>4</v>
      </c>
      <c r="Y388" s="47"/>
      <c r="Z388" s="47"/>
    </row>
    <row r="389" spans="1:26" x14ac:dyDescent="0.25">
      <c r="A389" s="53">
        <v>45589</v>
      </c>
      <c r="B389" s="54">
        <f t="shared" si="129"/>
        <v>24</v>
      </c>
      <c r="C389" s="55" t="str" cm="1">
        <f t="array" ref="C389">INDEX(Processing!$C$11:$C$22,MONTH('ALL ORDERS'!A389))</f>
        <v>OCT</v>
      </c>
      <c r="D389" s="54">
        <f t="shared" si="130"/>
        <v>2024</v>
      </c>
      <c r="E389" s="56" t="s">
        <v>47</v>
      </c>
      <c r="F389" s="56" t="s">
        <v>22</v>
      </c>
      <c r="G389" s="100">
        <v>0</v>
      </c>
      <c r="H389" s="100">
        <v>3100</v>
      </c>
      <c r="I389" s="57"/>
      <c r="J389" s="99">
        <f t="shared" si="128"/>
        <v>3100</v>
      </c>
      <c r="K389" s="53">
        <v>45589</v>
      </c>
      <c r="L389" s="54">
        <f t="shared" si="131"/>
        <v>24</v>
      </c>
      <c r="M389" s="55" t="str" cm="1">
        <f t="array" ref="M389">INDEX(Processing!$W$6:$W$17,MONTH('ALL ORDERS'!K389))</f>
        <v>October</v>
      </c>
      <c r="N389" s="54">
        <f t="shared" si="135"/>
        <v>2024</v>
      </c>
      <c r="O389" s="58">
        <v>0.41666666666666669</v>
      </c>
      <c r="P389" s="59" t="s">
        <v>214</v>
      </c>
      <c r="Q389" s="60" t="s">
        <v>94</v>
      </c>
      <c r="R389" s="56" t="s">
        <v>302</v>
      </c>
      <c r="S389" s="61" t="s">
        <v>44</v>
      </c>
      <c r="T389" s="62" t="s">
        <v>725</v>
      </c>
      <c r="U389" s="63" t="s">
        <v>26</v>
      </c>
      <c r="V389" s="63" t="s">
        <v>147</v>
      </c>
      <c r="W389" s="64">
        <v>591</v>
      </c>
      <c r="X389" s="64">
        <v>4</v>
      </c>
      <c r="Y389" s="47"/>
      <c r="Z389" s="47"/>
    </row>
    <row r="390" spans="1:26" x14ac:dyDescent="0.25">
      <c r="A390" s="53">
        <v>45589</v>
      </c>
      <c r="B390" s="54">
        <f t="shared" si="129"/>
        <v>24</v>
      </c>
      <c r="C390" s="55" t="str" cm="1">
        <f t="array" ref="C390">INDEX(Processing!$C$11:$C$22,MONTH('ALL ORDERS'!A390))</f>
        <v>OCT</v>
      </c>
      <c r="D390" s="54">
        <f t="shared" si="130"/>
        <v>2024</v>
      </c>
      <c r="E390" s="56" t="s">
        <v>50</v>
      </c>
      <c r="F390" s="56" t="s">
        <v>135</v>
      </c>
      <c r="G390" s="100">
        <v>0</v>
      </c>
      <c r="H390" s="100">
        <v>1510</v>
      </c>
      <c r="I390" s="57"/>
      <c r="J390" s="99">
        <f t="shared" si="128"/>
        <v>1510</v>
      </c>
      <c r="K390" s="53">
        <v>45589</v>
      </c>
      <c r="L390" s="54">
        <f t="shared" si="131"/>
        <v>24</v>
      </c>
      <c r="M390" s="55" t="str" cm="1">
        <f t="array" ref="M390">INDEX(Processing!$W$6:$W$17,MONTH('ALL ORDERS'!K390))</f>
        <v>October</v>
      </c>
      <c r="N390" s="54">
        <f t="shared" si="135"/>
        <v>2024</v>
      </c>
      <c r="O390" s="58">
        <v>0.5</v>
      </c>
      <c r="P390" s="59" t="s">
        <v>156</v>
      </c>
      <c r="Q390" s="60" t="s">
        <v>94</v>
      </c>
      <c r="R390" s="56" t="s">
        <v>238</v>
      </c>
      <c r="S390" s="61" t="s">
        <v>41</v>
      </c>
      <c r="T390" s="62" t="s">
        <v>726</v>
      </c>
      <c r="U390" s="63" t="s">
        <v>26</v>
      </c>
      <c r="V390" s="63" t="s">
        <v>147</v>
      </c>
      <c r="W390" s="64">
        <v>3554</v>
      </c>
      <c r="X390" s="64">
        <v>4</v>
      </c>
      <c r="Y390" s="47"/>
      <c r="Z390" s="47"/>
    </row>
    <row r="391" spans="1:26" x14ac:dyDescent="0.25">
      <c r="A391" s="53">
        <v>45591</v>
      </c>
      <c r="B391" s="54">
        <f t="shared" si="129"/>
        <v>26</v>
      </c>
      <c r="C391" s="55" t="str" cm="1">
        <f t="array" ref="C391">INDEX(Processing!$C$11:$C$22,MONTH('ALL ORDERS'!A391))</f>
        <v>OCT</v>
      </c>
      <c r="D391" s="54">
        <f t="shared" si="130"/>
        <v>2024</v>
      </c>
      <c r="E391" s="56" t="s">
        <v>47</v>
      </c>
      <c r="F391" s="56" t="s">
        <v>22</v>
      </c>
      <c r="G391" s="100">
        <v>0</v>
      </c>
      <c r="H391" s="100">
        <v>1200</v>
      </c>
      <c r="I391" s="57"/>
      <c r="J391" s="99">
        <f t="shared" si="128"/>
        <v>1200</v>
      </c>
      <c r="K391" s="53">
        <v>45591</v>
      </c>
      <c r="L391" s="54">
        <f t="shared" si="131"/>
        <v>26</v>
      </c>
      <c r="M391" s="55" t="str" cm="1">
        <f t="array" ref="M391">INDEX(Processing!$W$6:$W$17,MONTH('ALL ORDERS'!K391))</f>
        <v>October</v>
      </c>
      <c r="N391" s="54">
        <f t="shared" si="135"/>
        <v>2024</v>
      </c>
      <c r="O391" s="58">
        <v>0.66666666666666663</v>
      </c>
      <c r="P391" s="59" t="s">
        <v>207</v>
      </c>
      <c r="Q391" s="60" t="s">
        <v>94</v>
      </c>
      <c r="R391" s="56" t="s">
        <v>295</v>
      </c>
      <c r="S391" s="61" t="s">
        <v>46</v>
      </c>
      <c r="T391" s="62" t="s">
        <v>727</v>
      </c>
      <c r="U391" s="63" t="s">
        <v>25</v>
      </c>
      <c r="V391" s="63" t="s">
        <v>147</v>
      </c>
      <c r="W391" s="64">
        <v>2989</v>
      </c>
      <c r="X391" s="64">
        <v>4</v>
      </c>
      <c r="Y391" s="47"/>
      <c r="Z391" s="47"/>
    </row>
    <row r="392" spans="1:26" x14ac:dyDescent="0.25">
      <c r="A392" s="53">
        <v>45586</v>
      </c>
      <c r="B392" s="54">
        <f t="shared" si="129"/>
        <v>21</v>
      </c>
      <c r="C392" s="55" t="str" cm="1">
        <f t="array" ref="C392">INDEX(Processing!$C$11:$C$22,MONTH('ALL ORDERS'!A392))</f>
        <v>OCT</v>
      </c>
      <c r="D392" s="54">
        <f t="shared" si="130"/>
        <v>2024</v>
      </c>
      <c r="E392" s="56" t="s">
        <v>48</v>
      </c>
      <c r="F392" s="56" t="s">
        <v>135</v>
      </c>
      <c r="G392" s="100">
        <v>0</v>
      </c>
      <c r="H392" s="100">
        <v>3150</v>
      </c>
      <c r="I392" s="57"/>
      <c r="J392" s="99">
        <f t="shared" si="128"/>
        <v>3150</v>
      </c>
      <c r="K392" s="53">
        <v>45586</v>
      </c>
      <c r="L392" s="54">
        <f t="shared" si="131"/>
        <v>21</v>
      </c>
      <c r="M392" s="55" t="str" cm="1">
        <f t="array" ref="M392">INDEX(Processing!$W$6:$W$17,MONTH('ALL ORDERS'!K392))</f>
        <v>October</v>
      </c>
      <c r="N392" s="54">
        <f t="shared" si="135"/>
        <v>2024</v>
      </c>
      <c r="O392" s="58">
        <v>0.75</v>
      </c>
      <c r="P392" s="59" t="s">
        <v>221</v>
      </c>
      <c r="Q392" s="60" t="s">
        <v>94</v>
      </c>
      <c r="R392" s="56" t="s">
        <v>320</v>
      </c>
      <c r="S392" s="61" t="s">
        <v>46</v>
      </c>
      <c r="T392" s="62" t="s">
        <v>728</v>
      </c>
      <c r="U392" s="63" t="s">
        <v>25</v>
      </c>
      <c r="V392" s="63" t="s">
        <v>147</v>
      </c>
      <c r="W392" s="64">
        <v>2848</v>
      </c>
      <c r="X392" s="64">
        <v>4</v>
      </c>
      <c r="Y392" s="47"/>
      <c r="Z392" s="47"/>
    </row>
    <row r="393" spans="1:26" x14ac:dyDescent="0.25">
      <c r="A393" s="53">
        <v>45593</v>
      </c>
      <c r="B393" s="54">
        <f t="shared" si="129"/>
        <v>28</v>
      </c>
      <c r="C393" s="55" t="str" cm="1">
        <f t="array" ref="C393">INDEX(Processing!$C$11:$C$22,MONTH('ALL ORDERS'!A393))</f>
        <v>OCT</v>
      </c>
      <c r="D393" s="54">
        <f t="shared" si="130"/>
        <v>2024</v>
      </c>
      <c r="E393" s="56" t="s">
        <v>49</v>
      </c>
      <c r="F393" s="56" t="s">
        <v>137</v>
      </c>
      <c r="G393" s="100">
        <v>1880</v>
      </c>
      <c r="H393" s="100">
        <v>0</v>
      </c>
      <c r="I393" s="57"/>
      <c r="J393" s="99">
        <f t="shared" si="128"/>
        <v>1880</v>
      </c>
      <c r="K393" s="53">
        <v>45593</v>
      </c>
      <c r="L393" s="54">
        <f t="shared" si="131"/>
        <v>28</v>
      </c>
      <c r="M393" s="55" t="str" cm="1">
        <f t="array" ref="M393">INDEX(Processing!$W$6:$W$17,MONTH('ALL ORDERS'!K393))</f>
        <v>October</v>
      </c>
      <c r="N393" s="54">
        <f t="shared" si="135"/>
        <v>2024</v>
      </c>
      <c r="O393" s="58">
        <v>0.41666666666666669</v>
      </c>
      <c r="P393" s="59" t="s">
        <v>224</v>
      </c>
      <c r="Q393" s="60" t="s">
        <v>90</v>
      </c>
      <c r="R393" s="56" t="s">
        <v>324</v>
      </c>
      <c r="S393" s="61" t="s">
        <v>41</v>
      </c>
      <c r="T393" s="62" t="s">
        <v>729</v>
      </c>
      <c r="U393" s="63" t="s">
        <v>25</v>
      </c>
      <c r="V393" s="63" t="s">
        <v>147</v>
      </c>
      <c r="W393" s="64">
        <v>2236</v>
      </c>
      <c r="X393" s="64">
        <v>4</v>
      </c>
      <c r="Y393" s="47"/>
      <c r="Z393" s="47"/>
    </row>
    <row r="394" spans="1:26" x14ac:dyDescent="0.25">
      <c r="A394" s="53">
        <v>45594</v>
      </c>
      <c r="B394" s="54">
        <f t="shared" si="129"/>
        <v>29</v>
      </c>
      <c r="C394" s="55" t="str" cm="1">
        <f t="array" ref="C394">INDEX(Processing!$C$11:$C$22,MONTH('ALL ORDERS'!A394))</f>
        <v>OCT</v>
      </c>
      <c r="D394" s="54">
        <f t="shared" si="130"/>
        <v>2024</v>
      </c>
      <c r="E394" s="56" t="s">
        <v>47</v>
      </c>
      <c r="F394" s="56" t="s">
        <v>21</v>
      </c>
      <c r="G394" s="100">
        <v>2940</v>
      </c>
      <c r="H394" s="100">
        <v>0</v>
      </c>
      <c r="I394" s="57"/>
      <c r="J394" s="99">
        <f t="shared" si="128"/>
        <v>2940</v>
      </c>
      <c r="K394" s="53">
        <v>45594</v>
      </c>
      <c r="L394" s="54">
        <f t="shared" si="131"/>
        <v>29</v>
      </c>
      <c r="M394" s="55" t="str" cm="1">
        <f t="array" ref="M394">INDEX(Processing!$W$6:$W$17,MONTH('ALL ORDERS'!K394))</f>
        <v>October</v>
      </c>
      <c r="N394" s="54">
        <f t="shared" si="135"/>
        <v>2024</v>
      </c>
      <c r="O394" s="58">
        <v>0.5</v>
      </c>
      <c r="P394" s="59" t="s">
        <v>339</v>
      </c>
      <c r="Q394" s="60" t="s">
        <v>94</v>
      </c>
      <c r="R394" s="56" t="s">
        <v>263</v>
      </c>
      <c r="S394" s="61" t="s">
        <v>43</v>
      </c>
      <c r="T394" s="62" t="s">
        <v>730</v>
      </c>
      <c r="U394" s="63" t="s">
        <v>26</v>
      </c>
      <c r="V394" s="63" t="s">
        <v>147</v>
      </c>
      <c r="W394" s="64">
        <v>1253</v>
      </c>
      <c r="X394" s="64">
        <v>4</v>
      </c>
      <c r="Y394" s="47"/>
      <c r="Z394" s="47"/>
    </row>
    <row r="395" spans="1:26" x14ac:dyDescent="0.25">
      <c r="A395" s="53">
        <v>45595</v>
      </c>
      <c r="B395" s="54">
        <f t="shared" si="129"/>
        <v>30</v>
      </c>
      <c r="C395" s="55" t="str" cm="1">
        <f t="array" ref="C395">INDEX(Processing!$C$11:$C$22,MONTH('ALL ORDERS'!A395))</f>
        <v>OCT</v>
      </c>
      <c r="D395" s="54">
        <f t="shared" si="130"/>
        <v>2024</v>
      </c>
      <c r="E395" s="56" t="s">
        <v>50</v>
      </c>
      <c r="F395" s="56" t="s">
        <v>18</v>
      </c>
      <c r="G395" s="100">
        <v>0</v>
      </c>
      <c r="H395" s="100">
        <v>110</v>
      </c>
      <c r="I395" s="57"/>
      <c r="J395" s="99">
        <f t="shared" si="128"/>
        <v>110</v>
      </c>
      <c r="K395" s="53">
        <v>45595</v>
      </c>
      <c r="L395" s="54">
        <f t="shared" si="131"/>
        <v>30</v>
      </c>
      <c r="M395" s="55" t="str" cm="1">
        <f t="array" ref="M395">INDEX(Processing!$W$6:$W$17,MONTH('ALL ORDERS'!K395))</f>
        <v>October</v>
      </c>
      <c r="N395" s="54">
        <f t="shared" si="135"/>
        <v>2024</v>
      </c>
      <c r="O395" s="58">
        <v>0.66666666666666663</v>
      </c>
      <c r="P395" s="59" t="s">
        <v>227</v>
      </c>
      <c r="Q395" s="60" t="s">
        <v>94</v>
      </c>
      <c r="R395" s="56" t="s">
        <v>327</v>
      </c>
      <c r="S395" s="61" t="s">
        <v>45</v>
      </c>
      <c r="T395" s="62" t="s">
        <v>731</v>
      </c>
      <c r="U395" s="63" t="s">
        <v>26</v>
      </c>
      <c r="V395" s="63" t="s">
        <v>147</v>
      </c>
      <c r="W395" s="64">
        <v>2596</v>
      </c>
      <c r="X395" s="64">
        <v>5</v>
      </c>
      <c r="Y395" s="47"/>
      <c r="Z395" s="47"/>
    </row>
    <row r="396" spans="1:26" x14ac:dyDescent="0.25">
      <c r="A396" s="53">
        <v>45596</v>
      </c>
      <c r="B396" s="54">
        <f t="shared" si="129"/>
        <v>31</v>
      </c>
      <c r="C396" s="55" t="str" cm="1">
        <f t="array" ref="C396">INDEX(Processing!$C$11:$C$22,MONTH('ALL ORDERS'!A396))</f>
        <v>OCT</v>
      </c>
      <c r="D396" s="54">
        <f t="shared" si="130"/>
        <v>2024</v>
      </c>
      <c r="E396" s="56" t="s">
        <v>51</v>
      </c>
      <c r="F396" s="56" t="s">
        <v>19</v>
      </c>
      <c r="G396" s="100">
        <v>0</v>
      </c>
      <c r="H396" s="100">
        <v>2800</v>
      </c>
      <c r="I396" s="57"/>
      <c r="J396" s="99">
        <f t="shared" si="128"/>
        <v>2800</v>
      </c>
      <c r="K396" s="53">
        <v>45596</v>
      </c>
      <c r="L396" s="54">
        <f t="shared" si="131"/>
        <v>31</v>
      </c>
      <c r="M396" s="55" t="str" cm="1">
        <f t="array" ref="M396">INDEX(Processing!$W$6:$W$17,MONTH('ALL ORDERS'!K396))</f>
        <v>October</v>
      </c>
      <c r="N396" s="54">
        <f t="shared" si="135"/>
        <v>2024</v>
      </c>
      <c r="O396" s="58">
        <v>0.75</v>
      </c>
      <c r="P396" s="59" t="s">
        <v>194</v>
      </c>
      <c r="Q396" s="60" t="s">
        <v>90</v>
      </c>
      <c r="R396" s="56" t="s">
        <v>280</v>
      </c>
      <c r="S396" s="61" t="s">
        <v>43</v>
      </c>
      <c r="T396" s="62" t="s">
        <v>732</v>
      </c>
      <c r="U396" s="63" t="s">
        <v>24</v>
      </c>
      <c r="V396" s="63" t="s">
        <v>147</v>
      </c>
      <c r="W396" s="64">
        <v>3141</v>
      </c>
      <c r="X396" s="64">
        <v>4</v>
      </c>
      <c r="Y396" s="47"/>
      <c r="Z396" s="47"/>
    </row>
    <row r="397" spans="1:26" ht="24" x14ac:dyDescent="0.25">
      <c r="A397" s="53">
        <v>45597</v>
      </c>
      <c r="B397" s="54">
        <f t="shared" si="129"/>
        <v>1</v>
      </c>
      <c r="C397" s="55" t="str" cm="1">
        <f t="array" ref="C397">INDEX(Processing!$C$11:$C$22,MONTH('ALL ORDERS'!A397))</f>
        <v>NOV</v>
      </c>
      <c r="D397" s="54">
        <f t="shared" si="130"/>
        <v>2024</v>
      </c>
      <c r="E397" s="56" t="s">
        <v>47</v>
      </c>
      <c r="F397" s="56" t="s">
        <v>22</v>
      </c>
      <c r="G397" s="100">
        <v>0</v>
      </c>
      <c r="H397" s="100">
        <v>1010</v>
      </c>
      <c r="I397" s="57"/>
      <c r="J397" s="99">
        <f t="shared" si="128"/>
        <v>1010</v>
      </c>
      <c r="K397" s="53">
        <v>45597</v>
      </c>
      <c r="L397" s="54">
        <f t="shared" si="131"/>
        <v>1</v>
      </c>
      <c r="M397" s="55" t="str" cm="1">
        <f t="array" ref="M397">INDEX(Processing!$W$6:$W$17,MONTH('ALL ORDERS'!K397))</f>
        <v>November</v>
      </c>
      <c r="N397" s="54">
        <f t="shared" si="135"/>
        <v>2024</v>
      </c>
      <c r="O397" s="58">
        <v>0.41666666666666669</v>
      </c>
      <c r="P397" s="59" t="s">
        <v>343</v>
      </c>
      <c r="Q397" s="60" t="s">
        <v>94</v>
      </c>
      <c r="R397" s="56" t="s">
        <v>303</v>
      </c>
      <c r="S397" s="61" t="s">
        <v>44</v>
      </c>
      <c r="T397" s="70">
        <v>30900888990</v>
      </c>
      <c r="U397" s="63" t="s">
        <v>26</v>
      </c>
      <c r="V397" s="63" t="s">
        <v>147</v>
      </c>
      <c r="W397" s="64">
        <v>3053</v>
      </c>
      <c r="X397" s="64">
        <v>4</v>
      </c>
      <c r="Y397" s="47"/>
      <c r="Z397" s="47"/>
    </row>
    <row r="398" spans="1:26" ht="24" x14ac:dyDescent="0.25">
      <c r="A398" s="53">
        <v>45598</v>
      </c>
      <c r="B398" s="54">
        <f t="shared" si="129"/>
        <v>2</v>
      </c>
      <c r="C398" s="55" t="str" cm="1">
        <f t="array" ref="C398">INDEX(Processing!$C$11:$C$22,MONTH('ALL ORDERS'!A398))</f>
        <v>NOV</v>
      </c>
      <c r="D398" s="54">
        <f t="shared" si="130"/>
        <v>2024</v>
      </c>
      <c r="E398" s="56" t="s">
        <v>50</v>
      </c>
      <c r="F398" s="56" t="s">
        <v>135</v>
      </c>
      <c r="G398" s="100">
        <v>0</v>
      </c>
      <c r="H398" s="100">
        <v>3300</v>
      </c>
      <c r="I398" s="57"/>
      <c r="J398" s="99">
        <f t="shared" si="128"/>
        <v>3300</v>
      </c>
      <c r="K398" s="53">
        <v>45598</v>
      </c>
      <c r="L398" s="54">
        <f t="shared" si="131"/>
        <v>2</v>
      </c>
      <c r="M398" s="55" t="str" cm="1">
        <f t="array" ref="M398">INDEX(Processing!$W$6:$W$17,MONTH('ALL ORDERS'!K398))</f>
        <v>November</v>
      </c>
      <c r="N398" s="54">
        <f t="shared" si="135"/>
        <v>2024</v>
      </c>
      <c r="O398" s="58">
        <v>0.5</v>
      </c>
      <c r="P398" s="59" t="s">
        <v>220</v>
      </c>
      <c r="Q398" s="60" t="s">
        <v>90</v>
      </c>
      <c r="R398" s="56" t="s">
        <v>319</v>
      </c>
      <c r="S398" s="61" t="s">
        <v>41</v>
      </c>
      <c r="T398" s="62" t="s">
        <v>733</v>
      </c>
      <c r="U398" s="63" t="s">
        <v>27</v>
      </c>
      <c r="V398" s="63" t="s">
        <v>147</v>
      </c>
      <c r="W398" s="64">
        <v>3529</v>
      </c>
      <c r="X398" s="64">
        <v>4</v>
      </c>
      <c r="Y398" s="47"/>
      <c r="Z398" s="47"/>
    </row>
    <row r="399" spans="1:26" ht="24" x14ac:dyDescent="0.25">
      <c r="A399" s="53">
        <v>45599</v>
      </c>
      <c r="B399" s="54">
        <f t="shared" si="129"/>
        <v>3</v>
      </c>
      <c r="C399" s="55" t="str" cm="1">
        <f t="array" ref="C399">INDEX(Processing!$C$11:$C$22,MONTH('ALL ORDERS'!A399))</f>
        <v>NOV</v>
      </c>
      <c r="D399" s="54">
        <f t="shared" si="130"/>
        <v>2024</v>
      </c>
      <c r="E399" s="56" t="s">
        <v>47</v>
      </c>
      <c r="F399" s="56" t="s">
        <v>122</v>
      </c>
      <c r="G399" s="100">
        <v>0</v>
      </c>
      <c r="H399" s="100">
        <v>4000</v>
      </c>
      <c r="I399" s="57"/>
      <c r="J399" s="99">
        <f t="shared" si="128"/>
        <v>4000</v>
      </c>
      <c r="K399" s="53">
        <v>45599</v>
      </c>
      <c r="L399" s="54">
        <f t="shared" si="131"/>
        <v>3</v>
      </c>
      <c r="M399" s="55" t="str" cm="1">
        <f t="array" ref="M399">INDEX(Processing!$W$6:$W$17,MONTH('ALL ORDERS'!K399))</f>
        <v>November</v>
      </c>
      <c r="N399" s="54">
        <f t="shared" si="135"/>
        <v>2024</v>
      </c>
      <c r="O399" s="58">
        <v>0.66666666666666663</v>
      </c>
      <c r="P399" s="59" t="s">
        <v>198</v>
      </c>
      <c r="Q399" s="60" t="s">
        <v>94</v>
      </c>
      <c r="R399" s="56" t="s">
        <v>285</v>
      </c>
      <c r="S399" s="61" t="s">
        <v>46</v>
      </c>
      <c r="T399" s="62" t="s">
        <v>734</v>
      </c>
      <c r="U399" s="63" t="s">
        <v>23</v>
      </c>
      <c r="V399" s="63" t="s">
        <v>147</v>
      </c>
      <c r="W399" s="64">
        <v>1294</v>
      </c>
      <c r="X399" s="64">
        <v>4</v>
      </c>
      <c r="Y399" s="47"/>
      <c r="Z399" s="47"/>
    </row>
    <row r="400" spans="1:26" ht="24" x14ac:dyDescent="0.25">
      <c r="A400" s="53">
        <v>45600</v>
      </c>
      <c r="B400" s="54">
        <f t="shared" si="129"/>
        <v>4</v>
      </c>
      <c r="C400" s="55" t="str" cm="1">
        <f t="array" ref="C400">INDEX(Processing!$C$11:$C$22,MONTH('ALL ORDERS'!A400))</f>
        <v>NOV</v>
      </c>
      <c r="D400" s="54">
        <f t="shared" si="130"/>
        <v>2024</v>
      </c>
      <c r="E400" s="56" t="s">
        <v>48</v>
      </c>
      <c r="F400" s="56" t="s">
        <v>121</v>
      </c>
      <c r="G400" s="100">
        <v>0</v>
      </c>
      <c r="H400" s="100">
        <v>3480</v>
      </c>
      <c r="I400" s="57">
        <v>0.15</v>
      </c>
      <c r="J400" s="99">
        <f t="shared" si="128"/>
        <v>3480</v>
      </c>
      <c r="K400" s="53">
        <v>45600</v>
      </c>
      <c r="L400" s="54">
        <f t="shared" si="131"/>
        <v>4</v>
      </c>
      <c r="M400" s="55" t="str" cm="1">
        <f t="array" ref="M400">INDEX(Processing!$W$6:$W$17,MONTH('ALL ORDERS'!K400))</f>
        <v>November</v>
      </c>
      <c r="N400" s="54">
        <f t="shared" si="135"/>
        <v>2024</v>
      </c>
      <c r="O400" s="58">
        <v>0.75</v>
      </c>
      <c r="P400" s="59" t="s">
        <v>176</v>
      </c>
      <c r="Q400" s="60" t="s">
        <v>94</v>
      </c>
      <c r="R400" s="56" t="s">
        <v>260</v>
      </c>
      <c r="S400" s="61" t="s">
        <v>41</v>
      </c>
      <c r="T400" s="62" t="s">
        <v>735</v>
      </c>
      <c r="U400" s="63" t="s">
        <v>25</v>
      </c>
      <c r="V400" s="63" t="s">
        <v>147</v>
      </c>
      <c r="W400" s="64">
        <v>2410</v>
      </c>
      <c r="X400" s="64">
        <v>5</v>
      </c>
      <c r="Y400" s="47"/>
      <c r="Z400" s="47"/>
    </row>
    <row r="401" spans="1:26" ht="24" x14ac:dyDescent="0.25">
      <c r="A401" s="53">
        <v>45601</v>
      </c>
      <c r="B401" s="54">
        <f t="shared" si="129"/>
        <v>5</v>
      </c>
      <c r="C401" s="55" t="str" cm="1">
        <f t="array" ref="C401">INDEX(Processing!$C$11:$C$22,MONTH('ALL ORDERS'!A401))</f>
        <v>NOV</v>
      </c>
      <c r="D401" s="54">
        <f t="shared" si="130"/>
        <v>2024</v>
      </c>
      <c r="E401" s="56" t="s">
        <v>49</v>
      </c>
      <c r="F401" s="56" t="s">
        <v>130</v>
      </c>
      <c r="G401" s="100">
        <v>0</v>
      </c>
      <c r="H401" s="100">
        <v>2530</v>
      </c>
      <c r="I401" s="57"/>
      <c r="J401" s="99">
        <f t="shared" si="128"/>
        <v>2530</v>
      </c>
      <c r="K401" s="53">
        <v>45601</v>
      </c>
      <c r="L401" s="54">
        <f t="shared" si="131"/>
        <v>5</v>
      </c>
      <c r="M401" s="55" t="str" cm="1">
        <f t="array" ref="M401">INDEX(Processing!$W$6:$W$17,MONTH('ALL ORDERS'!K401))</f>
        <v>November</v>
      </c>
      <c r="N401" s="54">
        <f t="shared" si="135"/>
        <v>2024</v>
      </c>
      <c r="O401" s="58">
        <v>0.375</v>
      </c>
      <c r="P401" s="59" t="s">
        <v>186</v>
      </c>
      <c r="Q401" s="60" t="s">
        <v>91</v>
      </c>
      <c r="R401" s="56" t="s">
        <v>271</v>
      </c>
      <c r="S401" s="61" t="s">
        <v>43</v>
      </c>
      <c r="T401" s="62" t="s">
        <v>736</v>
      </c>
      <c r="U401" s="63" t="s">
        <v>23</v>
      </c>
      <c r="V401" s="63" t="s">
        <v>147</v>
      </c>
      <c r="W401" s="64">
        <v>2589</v>
      </c>
      <c r="X401" s="64">
        <v>5</v>
      </c>
      <c r="Y401" s="47"/>
      <c r="Z401" s="47"/>
    </row>
    <row r="402" spans="1:26" ht="24" x14ac:dyDescent="0.25">
      <c r="A402" s="53">
        <v>45602</v>
      </c>
      <c r="B402" s="54">
        <f t="shared" si="129"/>
        <v>6</v>
      </c>
      <c r="C402" s="55" t="str" cm="1">
        <f t="array" ref="C402">INDEX(Processing!$C$11:$C$22,MONTH('ALL ORDERS'!A402))</f>
        <v>NOV</v>
      </c>
      <c r="D402" s="54">
        <f t="shared" si="130"/>
        <v>2024</v>
      </c>
      <c r="E402" s="56" t="s">
        <v>47</v>
      </c>
      <c r="F402" s="56" t="s">
        <v>125</v>
      </c>
      <c r="G402" s="100">
        <v>850</v>
      </c>
      <c r="H402" s="100">
        <v>0</v>
      </c>
      <c r="I402" s="57"/>
      <c r="J402" s="99">
        <f t="shared" si="128"/>
        <v>850</v>
      </c>
      <c r="K402" s="53">
        <v>45602</v>
      </c>
      <c r="L402" s="54">
        <f t="shared" si="131"/>
        <v>6</v>
      </c>
      <c r="M402" s="55" t="str" cm="1">
        <f t="array" ref="M402">INDEX(Processing!$W$6:$W$17,MONTH('ALL ORDERS'!K402))</f>
        <v>November</v>
      </c>
      <c r="N402" s="54">
        <f t="shared" si="135"/>
        <v>2024</v>
      </c>
      <c r="O402" s="58">
        <v>0.45833333333333331</v>
      </c>
      <c r="P402" s="59" t="s">
        <v>193</v>
      </c>
      <c r="Q402" s="60" t="s">
        <v>94</v>
      </c>
      <c r="R402" s="56" t="s">
        <v>279</v>
      </c>
      <c r="S402" s="61" t="s">
        <v>45</v>
      </c>
      <c r="T402" s="62" t="s">
        <v>737</v>
      </c>
      <c r="U402" s="63" t="s">
        <v>26</v>
      </c>
      <c r="V402" s="63" t="s">
        <v>147</v>
      </c>
      <c r="W402" s="64">
        <v>1988</v>
      </c>
      <c r="X402" s="64">
        <v>3</v>
      </c>
      <c r="Y402" s="47"/>
      <c r="Z402" s="47"/>
    </row>
    <row r="403" spans="1:26" ht="24" x14ac:dyDescent="0.25">
      <c r="A403" s="53">
        <v>45597</v>
      </c>
      <c r="B403" s="54">
        <f t="shared" si="129"/>
        <v>1</v>
      </c>
      <c r="C403" s="55" t="str" cm="1">
        <f t="array" ref="C403">INDEX(Processing!$C$11:$C$22,MONTH('ALL ORDERS'!A403))</f>
        <v>NOV</v>
      </c>
      <c r="D403" s="54">
        <f t="shared" si="130"/>
        <v>2024</v>
      </c>
      <c r="E403" s="56" t="s">
        <v>50</v>
      </c>
      <c r="F403" s="56" t="s">
        <v>129</v>
      </c>
      <c r="G403" s="100">
        <v>3900</v>
      </c>
      <c r="H403" s="100">
        <v>0</v>
      </c>
      <c r="I403" s="57"/>
      <c r="J403" s="99">
        <f t="shared" si="128"/>
        <v>3900</v>
      </c>
      <c r="K403" s="53">
        <v>45597</v>
      </c>
      <c r="L403" s="54">
        <f t="shared" si="131"/>
        <v>1</v>
      </c>
      <c r="M403" s="55" t="str" cm="1">
        <f t="array" ref="M403">INDEX(Processing!$W$6:$W$17,MONTH('ALL ORDERS'!K403))</f>
        <v>November</v>
      </c>
      <c r="N403" s="54">
        <f t="shared" si="135"/>
        <v>2024</v>
      </c>
      <c r="O403" s="58">
        <v>0.625</v>
      </c>
      <c r="P403" s="59" t="s">
        <v>343</v>
      </c>
      <c r="Q403" s="60" t="s">
        <v>94</v>
      </c>
      <c r="R403" s="56" t="s">
        <v>303</v>
      </c>
      <c r="S403" s="61" t="s">
        <v>43</v>
      </c>
      <c r="T403" s="62" t="s">
        <v>738</v>
      </c>
      <c r="U403" s="63" t="s">
        <v>25</v>
      </c>
      <c r="V403" s="63" t="s">
        <v>147</v>
      </c>
      <c r="W403" s="64">
        <v>2970</v>
      </c>
      <c r="X403" s="64">
        <v>4</v>
      </c>
      <c r="Y403" s="47"/>
      <c r="Z403" s="47"/>
    </row>
    <row r="404" spans="1:26" ht="24" x14ac:dyDescent="0.25">
      <c r="A404" s="53">
        <v>45604</v>
      </c>
      <c r="B404" s="54">
        <f t="shared" si="129"/>
        <v>8</v>
      </c>
      <c r="C404" s="55" t="str" cm="1">
        <f t="array" ref="C404">INDEX(Processing!$C$11:$C$22,MONTH('ALL ORDERS'!A404))</f>
        <v>NOV</v>
      </c>
      <c r="D404" s="54">
        <f t="shared" si="130"/>
        <v>2024</v>
      </c>
      <c r="E404" s="56" t="s">
        <v>48</v>
      </c>
      <c r="F404" s="56" t="s">
        <v>124</v>
      </c>
      <c r="G404" s="100">
        <v>0</v>
      </c>
      <c r="H404" s="100">
        <v>640</v>
      </c>
      <c r="I404" s="57"/>
      <c r="J404" s="99">
        <f t="shared" si="128"/>
        <v>640</v>
      </c>
      <c r="K404" s="53">
        <v>45604</v>
      </c>
      <c r="L404" s="54">
        <f t="shared" si="131"/>
        <v>8</v>
      </c>
      <c r="M404" s="55" t="str" cm="1">
        <f t="array" ref="M404">INDEX(Processing!$W$6:$W$17,MONTH('ALL ORDERS'!K404))</f>
        <v>November</v>
      </c>
      <c r="N404" s="54">
        <f t="shared" si="135"/>
        <v>2024</v>
      </c>
      <c r="O404" s="58">
        <v>0.45833333333333331</v>
      </c>
      <c r="P404" s="59" t="s">
        <v>193</v>
      </c>
      <c r="Q404" s="60" t="s">
        <v>94</v>
      </c>
      <c r="R404" s="56" t="s">
        <v>279</v>
      </c>
      <c r="S404" s="61" t="s">
        <v>44</v>
      </c>
      <c r="T404" s="62" t="s">
        <v>739</v>
      </c>
      <c r="U404" s="63" t="s">
        <v>25</v>
      </c>
      <c r="V404" s="63" t="s">
        <v>147</v>
      </c>
      <c r="W404" s="64">
        <v>2467</v>
      </c>
      <c r="X404" s="64">
        <v>4</v>
      </c>
      <c r="Y404" s="47"/>
      <c r="Z404" s="47"/>
    </row>
    <row r="405" spans="1:26" ht="24" x14ac:dyDescent="0.25">
      <c r="A405" s="53">
        <v>45605</v>
      </c>
      <c r="B405" s="54">
        <f t="shared" si="129"/>
        <v>9</v>
      </c>
      <c r="C405" s="55" t="str" cm="1">
        <f t="array" ref="C405">INDEX(Processing!$C$11:$C$22,MONTH('ALL ORDERS'!A405))</f>
        <v>NOV</v>
      </c>
      <c r="D405" s="54">
        <f t="shared" si="130"/>
        <v>2024</v>
      </c>
      <c r="E405" s="56" t="s">
        <v>51</v>
      </c>
      <c r="F405" s="56" t="s">
        <v>152</v>
      </c>
      <c r="G405" s="100">
        <v>0</v>
      </c>
      <c r="H405" s="100">
        <v>1390</v>
      </c>
      <c r="I405" s="57"/>
      <c r="J405" s="99">
        <f t="shared" si="128"/>
        <v>1390</v>
      </c>
      <c r="K405" s="53">
        <v>45605</v>
      </c>
      <c r="L405" s="54">
        <f t="shared" si="131"/>
        <v>9</v>
      </c>
      <c r="M405" s="55" t="str" cm="1">
        <f t="array" ref="M405">INDEX(Processing!$W$6:$W$17,MONTH('ALL ORDERS'!K405))</f>
        <v>November</v>
      </c>
      <c r="N405" s="54">
        <f t="shared" si="135"/>
        <v>2024</v>
      </c>
      <c r="O405" s="58">
        <v>0.375</v>
      </c>
      <c r="P405" s="59" t="s">
        <v>168</v>
      </c>
      <c r="Q405" s="60" t="s">
        <v>94</v>
      </c>
      <c r="R405" s="56" t="s">
        <v>251</v>
      </c>
      <c r="S405" s="61" t="s">
        <v>43</v>
      </c>
      <c r="T405" s="62" t="s">
        <v>740</v>
      </c>
      <c r="U405" s="63" t="s">
        <v>26</v>
      </c>
      <c r="V405" s="63" t="s">
        <v>147</v>
      </c>
      <c r="W405" s="64">
        <v>2678</v>
      </c>
      <c r="X405" s="64">
        <v>5</v>
      </c>
      <c r="Y405" s="47"/>
      <c r="Z405" s="47"/>
    </row>
    <row r="406" spans="1:26" ht="24" x14ac:dyDescent="0.25">
      <c r="A406" s="53">
        <v>45606</v>
      </c>
      <c r="B406" s="54">
        <f t="shared" si="129"/>
        <v>10</v>
      </c>
      <c r="C406" s="55" t="str" cm="1">
        <f t="array" ref="C406">INDEX(Processing!$C$11:$C$22,MONTH('ALL ORDERS'!A406))</f>
        <v>NOV</v>
      </c>
      <c r="D406" s="54">
        <f t="shared" si="130"/>
        <v>2024</v>
      </c>
      <c r="E406" s="56" t="s">
        <v>49</v>
      </c>
      <c r="F406" s="56" t="s">
        <v>22</v>
      </c>
      <c r="G406" s="100">
        <v>0</v>
      </c>
      <c r="H406" s="100">
        <v>3260</v>
      </c>
      <c r="I406" s="57"/>
      <c r="J406" s="99">
        <f t="shared" ref="J406:J469" si="139">G406+H406</f>
        <v>3260</v>
      </c>
      <c r="K406" s="53">
        <v>45606</v>
      </c>
      <c r="L406" s="54">
        <f t="shared" si="131"/>
        <v>10</v>
      </c>
      <c r="M406" s="55" t="str" cm="1">
        <f t="array" ref="M406">INDEX(Processing!$W$6:$W$17,MONTH('ALL ORDERS'!K406))</f>
        <v>November</v>
      </c>
      <c r="N406" s="54">
        <f t="shared" si="135"/>
        <v>2024</v>
      </c>
      <c r="O406" s="58">
        <v>0.45833333333333331</v>
      </c>
      <c r="P406" s="59" t="s">
        <v>217</v>
      </c>
      <c r="Q406" s="60" t="s">
        <v>94</v>
      </c>
      <c r="R406" s="56" t="s">
        <v>316</v>
      </c>
      <c r="S406" s="61" t="s">
        <v>45</v>
      </c>
      <c r="T406" s="62" t="s">
        <v>741</v>
      </c>
      <c r="U406" s="63" t="s">
        <v>25</v>
      </c>
      <c r="V406" s="63" t="s">
        <v>147</v>
      </c>
      <c r="W406" s="64">
        <v>3811</v>
      </c>
      <c r="X406" s="64">
        <v>3</v>
      </c>
      <c r="Y406" s="47"/>
      <c r="Z406" s="47"/>
    </row>
    <row r="407" spans="1:26" ht="24" x14ac:dyDescent="0.25">
      <c r="A407" s="53">
        <v>45607</v>
      </c>
      <c r="B407" s="54">
        <f t="shared" si="129"/>
        <v>11</v>
      </c>
      <c r="C407" s="55" t="str" cm="1">
        <f t="array" ref="C407">INDEX(Processing!$C$11:$C$22,MONTH('ALL ORDERS'!A407))</f>
        <v>NOV</v>
      </c>
      <c r="D407" s="54">
        <f t="shared" si="130"/>
        <v>2024</v>
      </c>
      <c r="E407" s="56" t="s">
        <v>47</v>
      </c>
      <c r="F407" s="56" t="s">
        <v>152</v>
      </c>
      <c r="G407" s="100">
        <v>0</v>
      </c>
      <c r="H407" s="100">
        <v>1010</v>
      </c>
      <c r="I407" s="57"/>
      <c r="J407" s="99">
        <f t="shared" si="139"/>
        <v>1010</v>
      </c>
      <c r="K407" s="53">
        <v>45607</v>
      </c>
      <c r="L407" s="54">
        <f t="shared" si="131"/>
        <v>11</v>
      </c>
      <c r="M407" s="55" t="str" cm="1">
        <f t="array" ref="M407">INDEX(Processing!$W$6:$W$17,MONTH('ALL ORDERS'!K407))</f>
        <v>November</v>
      </c>
      <c r="N407" s="54">
        <f t="shared" si="135"/>
        <v>2024</v>
      </c>
      <c r="O407" s="58">
        <v>0.625</v>
      </c>
      <c r="P407" s="59" t="s">
        <v>228</v>
      </c>
      <c r="Q407" s="60" t="s">
        <v>90</v>
      </c>
      <c r="R407" s="56" t="s">
        <v>328</v>
      </c>
      <c r="S407" s="61" t="s">
        <v>46</v>
      </c>
      <c r="T407" s="62" t="s">
        <v>742</v>
      </c>
      <c r="U407" s="63" t="s">
        <v>23</v>
      </c>
      <c r="V407" s="63" t="s">
        <v>147</v>
      </c>
      <c r="W407" s="64">
        <v>2805</v>
      </c>
      <c r="X407" s="64">
        <v>2</v>
      </c>
      <c r="Y407" s="47"/>
      <c r="Z407" s="47"/>
    </row>
    <row r="408" spans="1:26" ht="24" x14ac:dyDescent="0.25">
      <c r="A408" s="53">
        <v>45608</v>
      </c>
      <c r="B408" s="54">
        <f t="shared" si="129"/>
        <v>12</v>
      </c>
      <c r="C408" s="55" t="str" cm="1">
        <f t="array" ref="C408">INDEX(Processing!$C$11:$C$22,MONTH('ALL ORDERS'!A408))</f>
        <v>NOV</v>
      </c>
      <c r="D408" s="54">
        <f t="shared" si="130"/>
        <v>2024</v>
      </c>
      <c r="E408" s="56" t="s">
        <v>50</v>
      </c>
      <c r="F408" s="56" t="s">
        <v>153</v>
      </c>
      <c r="G408" s="100">
        <v>0</v>
      </c>
      <c r="H408" s="100">
        <v>1500</v>
      </c>
      <c r="I408" s="57">
        <v>0.15</v>
      </c>
      <c r="J408" s="99">
        <f t="shared" si="139"/>
        <v>1500</v>
      </c>
      <c r="K408" s="53">
        <v>45608</v>
      </c>
      <c r="L408" s="54">
        <f t="shared" si="131"/>
        <v>12</v>
      </c>
      <c r="M408" s="55" t="str" cm="1">
        <f t="array" ref="M408">INDEX(Processing!$W$6:$W$17,MONTH('ALL ORDERS'!K408))</f>
        <v>November</v>
      </c>
      <c r="N408" s="54">
        <f t="shared" si="135"/>
        <v>2024</v>
      </c>
      <c r="O408" s="58">
        <v>0.45833333333333331</v>
      </c>
      <c r="P408" s="59" t="s">
        <v>345</v>
      </c>
      <c r="Q408" s="60" t="s">
        <v>94</v>
      </c>
      <c r="R408" s="56" t="s">
        <v>307</v>
      </c>
      <c r="S408" s="61" t="s">
        <v>41</v>
      </c>
      <c r="T408" s="62" t="s">
        <v>743</v>
      </c>
      <c r="U408" s="63" t="s">
        <v>27</v>
      </c>
      <c r="V408" s="63" t="s">
        <v>148</v>
      </c>
      <c r="W408" s="64">
        <v>1470</v>
      </c>
      <c r="X408" s="64"/>
      <c r="Y408" s="47"/>
      <c r="Z408" s="47"/>
    </row>
    <row r="409" spans="1:26" ht="24" x14ac:dyDescent="0.25">
      <c r="A409" s="53">
        <v>45609</v>
      </c>
      <c r="B409" s="54">
        <f t="shared" si="129"/>
        <v>13</v>
      </c>
      <c r="C409" s="55" t="str" cm="1">
        <f t="array" ref="C409">INDEX(Processing!$C$11:$C$22,MONTH('ALL ORDERS'!A409))</f>
        <v>NOV</v>
      </c>
      <c r="D409" s="54">
        <f t="shared" si="130"/>
        <v>2024</v>
      </c>
      <c r="E409" s="56" t="s">
        <v>47</v>
      </c>
      <c r="F409" s="56" t="s">
        <v>19</v>
      </c>
      <c r="G409" s="100">
        <v>0</v>
      </c>
      <c r="H409" s="100">
        <v>3490</v>
      </c>
      <c r="I409" s="57"/>
      <c r="J409" s="99">
        <f t="shared" si="139"/>
        <v>3490</v>
      </c>
      <c r="K409" s="53">
        <v>45609</v>
      </c>
      <c r="L409" s="54">
        <f t="shared" si="131"/>
        <v>13</v>
      </c>
      <c r="M409" s="55" t="str" cm="1">
        <f t="array" ref="M409">INDEX(Processing!$W$6:$W$17,MONTH('ALL ORDERS'!K409))</f>
        <v>November</v>
      </c>
      <c r="N409" s="54">
        <f t="shared" si="135"/>
        <v>2024</v>
      </c>
      <c r="O409" s="58">
        <v>0.375</v>
      </c>
      <c r="P409" s="59" t="s">
        <v>221</v>
      </c>
      <c r="Q409" s="60" t="s">
        <v>94</v>
      </c>
      <c r="R409" s="56" t="s">
        <v>320</v>
      </c>
      <c r="S409" s="61" t="s">
        <v>46</v>
      </c>
      <c r="T409" s="70">
        <v>29900888990</v>
      </c>
      <c r="U409" s="63" t="s">
        <v>24</v>
      </c>
      <c r="V409" s="63" t="s">
        <v>147</v>
      </c>
      <c r="W409" s="64">
        <v>2692</v>
      </c>
      <c r="X409" s="64">
        <v>5</v>
      </c>
      <c r="Y409" s="47"/>
      <c r="Z409" s="47"/>
    </row>
    <row r="410" spans="1:26" ht="24" x14ac:dyDescent="0.25">
      <c r="A410" s="53">
        <v>45610</v>
      </c>
      <c r="B410" s="54">
        <f t="shared" si="129"/>
        <v>14</v>
      </c>
      <c r="C410" s="55" t="str" cm="1">
        <f t="array" ref="C410">INDEX(Processing!$C$11:$C$22,MONTH('ALL ORDERS'!A410))</f>
        <v>NOV</v>
      </c>
      <c r="D410" s="54">
        <f t="shared" si="130"/>
        <v>2024</v>
      </c>
      <c r="E410" s="56" t="s">
        <v>48</v>
      </c>
      <c r="F410" s="56" t="s">
        <v>137</v>
      </c>
      <c r="G410" s="100">
        <v>0</v>
      </c>
      <c r="H410" s="100">
        <v>2360</v>
      </c>
      <c r="I410" s="57"/>
      <c r="J410" s="99">
        <f t="shared" si="139"/>
        <v>2360</v>
      </c>
      <c r="K410" s="53">
        <v>45610</v>
      </c>
      <c r="L410" s="54">
        <f t="shared" si="131"/>
        <v>14</v>
      </c>
      <c r="M410" s="55" t="str" cm="1">
        <f t="array" ref="M410">INDEX(Processing!$W$6:$W$17,MONTH('ALL ORDERS'!K410))</f>
        <v>November</v>
      </c>
      <c r="N410" s="54">
        <f t="shared" si="135"/>
        <v>2024</v>
      </c>
      <c r="O410" s="58">
        <v>0.45833333333333331</v>
      </c>
      <c r="P410" s="59" t="s">
        <v>343</v>
      </c>
      <c r="Q410" s="60" t="s">
        <v>94</v>
      </c>
      <c r="R410" s="56" t="s">
        <v>303</v>
      </c>
      <c r="S410" s="61" t="s">
        <v>41</v>
      </c>
      <c r="T410" s="62" t="s">
        <v>744</v>
      </c>
      <c r="U410" s="63" t="s">
        <v>26</v>
      </c>
      <c r="V410" s="63" t="s">
        <v>147</v>
      </c>
      <c r="W410" s="64">
        <v>2931</v>
      </c>
      <c r="X410" s="64">
        <v>5</v>
      </c>
      <c r="Y410" s="47"/>
      <c r="Z410" s="47"/>
    </row>
    <row r="411" spans="1:26" ht="24" x14ac:dyDescent="0.25">
      <c r="A411" s="53">
        <v>45611</v>
      </c>
      <c r="B411" s="54">
        <f t="shared" si="129"/>
        <v>15</v>
      </c>
      <c r="C411" s="55" t="str" cm="1">
        <f t="array" ref="C411">INDEX(Processing!$C$11:$C$22,MONTH('ALL ORDERS'!A411))</f>
        <v>NOV</v>
      </c>
      <c r="D411" s="54">
        <f t="shared" si="130"/>
        <v>2024</v>
      </c>
      <c r="E411" s="56" t="s">
        <v>49</v>
      </c>
      <c r="F411" s="56" t="s">
        <v>124</v>
      </c>
      <c r="G411" s="100">
        <v>0</v>
      </c>
      <c r="H411" s="100">
        <v>610</v>
      </c>
      <c r="I411" s="57"/>
      <c r="J411" s="99">
        <f t="shared" si="139"/>
        <v>610</v>
      </c>
      <c r="K411" s="53">
        <v>45611</v>
      </c>
      <c r="L411" s="54">
        <f t="shared" si="131"/>
        <v>15</v>
      </c>
      <c r="M411" s="55" t="str" cm="1">
        <f t="array" ref="M411">INDEX(Processing!$W$6:$W$17,MONTH('ALL ORDERS'!K411))</f>
        <v>November</v>
      </c>
      <c r="N411" s="54">
        <f t="shared" si="135"/>
        <v>2024</v>
      </c>
      <c r="O411" s="58">
        <v>0.625</v>
      </c>
      <c r="P411" s="59" t="s">
        <v>198</v>
      </c>
      <c r="Q411" s="60" t="s">
        <v>94</v>
      </c>
      <c r="R411" s="56" t="s">
        <v>285</v>
      </c>
      <c r="S411" s="61" t="s">
        <v>45</v>
      </c>
      <c r="T411" s="62" t="s">
        <v>745</v>
      </c>
      <c r="U411" s="63" t="s">
        <v>26</v>
      </c>
      <c r="V411" s="63" t="s">
        <v>147</v>
      </c>
      <c r="W411" s="64">
        <v>2338</v>
      </c>
      <c r="X411" s="64">
        <v>5</v>
      </c>
      <c r="Y411" s="47"/>
      <c r="Z411" s="47"/>
    </row>
    <row r="412" spans="1:26" ht="24" x14ac:dyDescent="0.25">
      <c r="A412" s="53">
        <v>45612</v>
      </c>
      <c r="B412" s="54">
        <f t="shared" ref="B412:B478" si="140">DAY(A412)</f>
        <v>16</v>
      </c>
      <c r="C412" s="55" t="str" cm="1">
        <f t="array" ref="C412">INDEX(Processing!$C$11:$C$22,MONTH('ALL ORDERS'!A412))</f>
        <v>NOV</v>
      </c>
      <c r="D412" s="54">
        <f t="shared" ref="D412:D478" si="141">YEAR(A412)</f>
        <v>2024</v>
      </c>
      <c r="E412" s="56" t="s">
        <v>47</v>
      </c>
      <c r="F412" s="56" t="s">
        <v>19</v>
      </c>
      <c r="G412" s="100">
        <v>0</v>
      </c>
      <c r="H412" s="100">
        <v>1040</v>
      </c>
      <c r="I412" s="57"/>
      <c r="J412" s="99">
        <f t="shared" si="139"/>
        <v>1040</v>
      </c>
      <c r="K412" s="53">
        <v>45612</v>
      </c>
      <c r="L412" s="54">
        <f t="shared" si="131"/>
        <v>16</v>
      </c>
      <c r="M412" s="55" t="str" cm="1">
        <f t="array" ref="M412">INDEX(Processing!$W$6:$W$17,MONTH('ALL ORDERS'!K412))</f>
        <v>November</v>
      </c>
      <c r="N412" s="54">
        <f t="shared" si="135"/>
        <v>2024</v>
      </c>
      <c r="O412" s="58">
        <v>0.45833333333333331</v>
      </c>
      <c r="P412" s="59" t="s">
        <v>232</v>
      </c>
      <c r="Q412" s="60" t="s">
        <v>94</v>
      </c>
      <c r="R412" s="56" t="s">
        <v>332</v>
      </c>
      <c r="S412" s="61" t="s">
        <v>41</v>
      </c>
      <c r="T412" s="62" t="s">
        <v>746</v>
      </c>
      <c r="U412" s="63" t="s">
        <v>26</v>
      </c>
      <c r="V412" s="63" t="s">
        <v>147</v>
      </c>
      <c r="W412" s="64">
        <v>768</v>
      </c>
      <c r="X412" s="64">
        <v>5</v>
      </c>
      <c r="Y412" s="47"/>
      <c r="Z412" s="47"/>
    </row>
    <row r="413" spans="1:26" ht="24" x14ac:dyDescent="0.25">
      <c r="A413" s="53">
        <v>45612</v>
      </c>
      <c r="B413" s="54">
        <f t="shared" si="140"/>
        <v>16</v>
      </c>
      <c r="C413" s="55" t="str" cm="1">
        <f t="array" ref="C413">INDEX(Processing!$C$11:$C$22,MONTH('ALL ORDERS'!A413))</f>
        <v>NOV</v>
      </c>
      <c r="D413" s="54">
        <f t="shared" si="141"/>
        <v>2024</v>
      </c>
      <c r="E413" s="56" t="s">
        <v>50</v>
      </c>
      <c r="F413" s="56" t="s">
        <v>152</v>
      </c>
      <c r="G413" s="100">
        <v>0</v>
      </c>
      <c r="H413" s="100">
        <v>1500</v>
      </c>
      <c r="I413" s="57">
        <v>0.15</v>
      </c>
      <c r="J413" s="99">
        <f t="shared" si="139"/>
        <v>1500</v>
      </c>
      <c r="K413" s="53">
        <v>45612</v>
      </c>
      <c r="L413" s="54">
        <f t="shared" si="131"/>
        <v>16</v>
      </c>
      <c r="M413" s="55" t="str" cm="1">
        <f t="array" ref="M413">INDEX(Processing!$W$6:$W$17,MONTH('ALL ORDERS'!K413))</f>
        <v>November</v>
      </c>
      <c r="N413" s="54">
        <f t="shared" si="135"/>
        <v>2024</v>
      </c>
      <c r="O413" s="58">
        <v>0.375</v>
      </c>
      <c r="P413" s="59" t="s">
        <v>348</v>
      </c>
      <c r="Q413" s="60" t="s">
        <v>90</v>
      </c>
      <c r="R413" s="56" t="s">
        <v>310</v>
      </c>
      <c r="S413" s="61" t="s">
        <v>46</v>
      </c>
      <c r="T413" s="62" t="s">
        <v>747</v>
      </c>
      <c r="U413" s="63" t="s">
        <v>26</v>
      </c>
      <c r="V413" s="63" t="s">
        <v>147</v>
      </c>
      <c r="W413" s="64">
        <v>1957</v>
      </c>
      <c r="X413" s="64">
        <v>5</v>
      </c>
      <c r="Y413" s="47"/>
      <c r="Z413" s="47"/>
    </row>
    <row r="414" spans="1:26" ht="24" x14ac:dyDescent="0.25">
      <c r="A414" s="53">
        <v>45614</v>
      </c>
      <c r="B414" s="54">
        <f t="shared" si="140"/>
        <v>18</v>
      </c>
      <c r="C414" s="55" t="str" cm="1">
        <f t="array" ref="C414">INDEX(Processing!$C$11:$C$22,MONTH('ALL ORDERS'!A414))</f>
        <v>NOV</v>
      </c>
      <c r="D414" s="54">
        <f t="shared" si="141"/>
        <v>2024</v>
      </c>
      <c r="E414" s="56" t="s">
        <v>48</v>
      </c>
      <c r="F414" s="56" t="s">
        <v>135</v>
      </c>
      <c r="G414" s="100">
        <v>0</v>
      </c>
      <c r="H414" s="100">
        <v>2480</v>
      </c>
      <c r="I414" s="57"/>
      <c r="J414" s="99">
        <f t="shared" si="139"/>
        <v>2480</v>
      </c>
      <c r="K414" s="53">
        <v>45614</v>
      </c>
      <c r="L414" s="54">
        <f t="shared" si="131"/>
        <v>18</v>
      </c>
      <c r="M414" s="55" t="str" cm="1">
        <f t="array" ref="M414">INDEX(Processing!$W$6:$W$17,MONTH('ALL ORDERS'!K414))</f>
        <v>November</v>
      </c>
      <c r="N414" s="54">
        <f t="shared" si="135"/>
        <v>2024</v>
      </c>
      <c r="O414" s="58">
        <v>0.45833333333333331</v>
      </c>
      <c r="P414" s="59" t="s">
        <v>229</v>
      </c>
      <c r="Q414" s="60" t="s">
        <v>94</v>
      </c>
      <c r="R414" s="56" t="s">
        <v>329</v>
      </c>
      <c r="S414" s="61" t="s">
        <v>46</v>
      </c>
      <c r="T414" s="62" t="s">
        <v>748</v>
      </c>
      <c r="U414" s="63" t="s">
        <v>26</v>
      </c>
      <c r="V414" s="63" t="s">
        <v>147</v>
      </c>
      <c r="W414" s="64">
        <v>3125</v>
      </c>
      <c r="X414" s="64">
        <v>5</v>
      </c>
      <c r="Y414" s="47"/>
      <c r="Z414" s="47"/>
    </row>
    <row r="415" spans="1:26" ht="24" x14ac:dyDescent="0.25">
      <c r="A415" s="53">
        <v>45615</v>
      </c>
      <c r="B415" s="54">
        <f t="shared" si="140"/>
        <v>19</v>
      </c>
      <c r="C415" s="55" t="str" cm="1">
        <f t="array" ref="C415">INDEX(Processing!$C$11:$C$22,MONTH('ALL ORDERS'!A415))</f>
        <v>NOV</v>
      </c>
      <c r="D415" s="54">
        <f t="shared" si="141"/>
        <v>2024</v>
      </c>
      <c r="E415" s="56" t="s">
        <v>51</v>
      </c>
      <c r="F415" s="56" t="s">
        <v>126</v>
      </c>
      <c r="G415" s="100">
        <v>10000</v>
      </c>
      <c r="H415" s="100">
        <v>1090</v>
      </c>
      <c r="I415" s="57"/>
      <c r="J415" s="99">
        <f t="shared" si="139"/>
        <v>11090</v>
      </c>
      <c r="K415" s="53">
        <v>45615</v>
      </c>
      <c r="L415" s="54">
        <f t="shared" si="131"/>
        <v>19</v>
      </c>
      <c r="M415" s="55" t="str" cm="1">
        <f t="array" ref="M415">INDEX(Processing!$W$6:$W$17,MONTH('ALL ORDERS'!K415))</f>
        <v>November</v>
      </c>
      <c r="N415" s="54">
        <f t="shared" si="135"/>
        <v>2024</v>
      </c>
      <c r="O415" s="58">
        <v>0.625</v>
      </c>
      <c r="P415" s="59" t="s">
        <v>199</v>
      </c>
      <c r="Q415" s="60" t="s">
        <v>90</v>
      </c>
      <c r="R415" s="56" t="s">
        <v>286</v>
      </c>
      <c r="S415" s="61" t="s">
        <v>41</v>
      </c>
      <c r="T415" s="62" t="s">
        <v>749</v>
      </c>
      <c r="U415" s="63" t="s">
        <v>26</v>
      </c>
      <c r="V415" s="63" t="s">
        <v>147</v>
      </c>
      <c r="W415" s="64">
        <v>2723</v>
      </c>
      <c r="X415" s="64">
        <v>4</v>
      </c>
      <c r="Y415" s="47"/>
      <c r="Z415" s="47"/>
    </row>
    <row r="416" spans="1:26" ht="24" x14ac:dyDescent="0.25">
      <c r="A416" s="53">
        <v>45616</v>
      </c>
      <c r="B416" s="54">
        <f t="shared" si="140"/>
        <v>20</v>
      </c>
      <c r="C416" s="55" t="str" cm="1">
        <f t="array" ref="C416">INDEX(Processing!$C$11:$C$22,MONTH('ALL ORDERS'!A416))</f>
        <v>NOV</v>
      </c>
      <c r="D416" s="54">
        <f t="shared" si="141"/>
        <v>2024</v>
      </c>
      <c r="E416" s="56" t="s">
        <v>49</v>
      </c>
      <c r="F416" s="56" t="s">
        <v>127</v>
      </c>
      <c r="G416" s="100">
        <v>2200</v>
      </c>
      <c r="H416" s="100">
        <v>0</v>
      </c>
      <c r="I416" s="57"/>
      <c r="J416" s="99">
        <f t="shared" si="139"/>
        <v>2200</v>
      </c>
      <c r="K416" s="53">
        <v>45616</v>
      </c>
      <c r="L416" s="54">
        <f t="shared" si="131"/>
        <v>20</v>
      </c>
      <c r="M416" s="55" t="str" cm="1">
        <f t="array" ref="M416">INDEX(Processing!$W$6:$W$17,MONTH('ALL ORDERS'!K416))</f>
        <v>November</v>
      </c>
      <c r="N416" s="54">
        <f t="shared" si="135"/>
        <v>2024</v>
      </c>
      <c r="O416" s="58">
        <v>0.45833333333333331</v>
      </c>
      <c r="P416" s="59" t="s">
        <v>339</v>
      </c>
      <c r="Q416" s="60" t="s">
        <v>94</v>
      </c>
      <c r="R416" s="56" t="s">
        <v>263</v>
      </c>
      <c r="S416" s="61" t="s">
        <v>43</v>
      </c>
      <c r="T416" s="62" t="s">
        <v>750</v>
      </c>
      <c r="U416" s="63" t="s">
        <v>25</v>
      </c>
      <c r="V416" s="63" t="s">
        <v>147</v>
      </c>
      <c r="W416" s="64">
        <v>599</v>
      </c>
      <c r="X416" s="64">
        <v>4</v>
      </c>
      <c r="Y416" s="47"/>
      <c r="Z416" s="47"/>
    </row>
    <row r="417" spans="1:26" ht="24" x14ac:dyDescent="0.25">
      <c r="A417" s="53">
        <v>45617</v>
      </c>
      <c r="B417" s="54">
        <f t="shared" ref="B417" si="142">DAY(A417)</f>
        <v>21</v>
      </c>
      <c r="C417" s="55" t="str" cm="1">
        <f t="array" ref="C417">INDEX(Processing!$C$11:$C$22,MONTH('ALL ORDERS'!A417))</f>
        <v>NOV</v>
      </c>
      <c r="D417" s="54">
        <f t="shared" ref="D417" si="143">YEAR(A417)</f>
        <v>2024</v>
      </c>
      <c r="E417" s="56" t="s">
        <v>49</v>
      </c>
      <c r="F417" s="56" t="s">
        <v>127</v>
      </c>
      <c r="G417" s="100">
        <v>0</v>
      </c>
      <c r="H417" s="100">
        <v>6060</v>
      </c>
      <c r="I417" s="57">
        <v>0.15</v>
      </c>
      <c r="J417" s="99">
        <f t="shared" si="139"/>
        <v>6060</v>
      </c>
      <c r="K417" s="53">
        <v>45617</v>
      </c>
      <c r="L417" s="54">
        <f t="shared" si="131"/>
        <v>21</v>
      </c>
      <c r="M417" s="55" t="str" cm="1">
        <f t="array" ref="M417">INDEX(Processing!$W$6:$W$17,MONTH('ALL ORDERS'!K417))</f>
        <v>November</v>
      </c>
      <c r="N417" s="54">
        <f t="shared" ref="N417" si="144">YEAR(K417)</f>
        <v>2024</v>
      </c>
      <c r="O417" s="58">
        <v>0.5</v>
      </c>
      <c r="P417" s="59" t="s">
        <v>179</v>
      </c>
      <c r="Q417" s="60" t="s">
        <v>94</v>
      </c>
      <c r="R417" s="56" t="s">
        <v>1097</v>
      </c>
      <c r="S417" s="61" t="s">
        <v>43</v>
      </c>
      <c r="T417" s="62" t="s">
        <v>761</v>
      </c>
      <c r="U417" s="63" t="s">
        <v>25</v>
      </c>
      <c r="V417" s="63" t="s">
        <v>147</v>
      </c>
      <c r="W417" s="64">
        <v>963</v>
      </c>
      <c r="X417" s="64">
        <v>5</v>
      </c>
      <c r="Y417" s="47"/>
      <c r="Z417" s="47"/>
    </row>
    <row r="418" spans="1:26" ht="24" x14ac:dyDescent="0.25">
      <c r="A418" s="53">
        <v>45617</v>
      </c>
      <c r="B418" s="54">
        <f t="shared" si="140"/>
        <v>21</v>
      </c>
      <c r="C418" s="55" t="str" cm="1">
        <f t="array" ref="C418">INDEX(Processing!$C$11:$C$22,MONTH('ALL ORDERS'!A418))</f>
        <v>NOV</v>
      </c>
      <c r="D418" s="54">
        <f t="shared" si="141"/>
        <v>2024</v>
      </c>
      <c r="E418" s="56" t="s">
        <v>47</v>
      </c>
      <c r="F418" s="56" t="s">
        <v>121</v>
      </c>
      <c r="G418" s="100">
        <v>620</v>
      </c>
      <c r="H418" s="100">
        <v>0</v>
      </c>
      <c r="I418" s="57"/>
      <c r="J418" s="99">
        <f t="shared" si="139"/>
        <v>620</v>
      </c>
      <c r="K418" s="53">
        <v>45617</v>
      </c>
      <c r="L418" s="54">
        <f t="shared" ref="L418:L483" si="145">DAY(K418)</f>
        <v>21</v>
      </c>
      <c r="M418" s="55" t="str" cm="1">
        <f t="array" ref="M418">INDEX(Processing!$W$6:$W$17,MONTH('ALL ORDERS'!K418))</f>
        <v>November</v>
      </c>
      <c r="N418" s="54">
        <f t="shared" si="135"/>
        <v>2024</v>
      </c>
      <c r="O418" s="58">
        <v>0.41666666666666669</v>
      </c>
      <c r="P418" s="59" t="s">
        <v>177</v>
      </c>
      <c r="Q418" s="60" t="s">
        <v>93</v>
      </c>
      <c r="R418" s="56" t="s">
        <v>261</v>
      </c>
      <c r="S418" s="61" t="s">
        <v>45</v>
      </c>
      <c r="T418" s="62" t="s">
        <v>751</v>
      </c>
      <c r="U418" s="63" t="s">
        <v>26</v>
      </c>
      <c r="V418" s="63" t="s">
        <v>147</v>
      </c>
      <c r="W418" s="64">
        <v>2388</v>
      </c>
      <c r="X418" s="64">
        <v>4</v>
      </c>
      <c r="Y418" s="47"/>
      <c r="Z418" s="47"/>
    </row>
    <row r="419" spans="1:26" ht="24" x14ac:dyDescent="0.25">
      <c r="A419" s="53">
        <v>45618</v>
      </c>
      <c r="B419" s="54">
        <f t="shared" si="140"/>
        <v>22</v>
      </c>
      <c r="C419" s="55" t="str" cm="1">
        <f t="array" ref="C419">INDEX(Processing!$C$11:$C$22,MONTH('ALL ORDERS'!A419))</f>
        <v>NOV</v>
      </c>
      <c r="D419" s="54">
        <f t="shared" si="141"/>
        <v>2024</v>
      </c>
      <c r="E419" s="56" t="s">
        <v>50</v>
      </c>
      <c r="F419" s="56" t="s">
        <v>124</v>
      </c>
      <c r="G419" s="100">
        <v>0</v>
      </c>
      <c r="H419" s="100">
        <v>1590</v>
      </c>
      <c r="I419" s="57"/>
      <c r="J419" s="99">
        <f t="shared" si="139"/>
        <v>1590</v>
      </c>
      <c r="K419" s="53">
        <v>45618</v>
      </c>
      <c r="L419" s="54">
        <f t="shared" si="145"/>
        <v>22</v>
      </c>
      <c r="M419" s="55" t="str" cm="1">
        <f t="array" ref="M419">INDEX(Processing!$W$6:$W$17,MONTH('ALL ORDERS'!K419))</f>
        <v>November</v>
      </c>
      <c r="N419" s="54">
        <f t="shared" si="135"/>
        <v>2024</v>
      </c>
      <c r="O419" s="58">
        <v>0.5</v>
      </c>
      <c r="P419" s="59" t="s">
        <v>231</v>
      </c>
      <c r="Q419" s="60" t="s">
        <v>94</v>
      </c>
      <c r="R419" s="56" t="s">
        <v>331</v>
      </c>
      <c r="S419" s="61" t="s">
        <v>43</v>
      </c>
      <c r="T419" s="62" t="s">
        <v>752</v>
      </c>
      <c r="U419" s="63" t="s">
        <v>27</v>
      </c>
      <c r="V419" s="63" t="s">
        <v>147</v>
      </c>
      <c r="W419" s="64">
        <v>1580</v>
      </c>
      <c r="X419" s="64">
        <v>4</v>
      </c>
      <c r="Y419" s="47"/>
      <c r="Z419" s="47"/>
    </row>
    <row r="420" spans="1:26" ht="24" x14ac:dyDescent="0.25">
      <c r="A420" s="53">
        <v>45619</v>
      </c>
      <c r="B420" s="54">
        <f t="shared" si="140"/>
        <v>23</v>
      </c>
      <c r="C420" s="55" t="str" cm="1">
        <f t="array" ref="C420">INDEX(Processing!$C$11:$C$22,MONTH('ALL ORDERS'!A420))</f>
        <v>NOV</v>
      </c>
      <c r="D420" s="54">
        <f t="shared" si="141"/>
        <v>2024</v>
      </c>
      <c r="E420" s="56" t="s">
        <v>47</v>
      </c>
      <c r="F420" s="56" t="s">
        <v>125</v>
      </c>
      <c r="G420" s="100">
        <v>0</v>
      </c>
      <c r="H420" s="100">
        <v>3680</v>
      </c>
      <c r="I420" s="57"/>
      <c r="J420" s="99">
        <f t="shared" si="139"/>
        <v>3680</v>
      </c>
      <c r="K420" s="53">
        <v>45619</v>
      </c>
      <c r="L420" s="54">
        <f t="shared" si="145"/>
        <v>23</v>
      </c>
      <c r="M420" s="55" t="str" cm="1">
        <f t="array" ref="M420">INDEX(Processing!$W$6:$W$17,MONTH('ALL ORDERS'!K420))</f>
        <v>November</v>
      </c>
      <c r="N420" s="54">
        <f t="shared" si="135"/>
        <v>2024</v>
      </c>
      <c r="O420" s="58">
        <v>0.66666666666666663</v>
      </c>
      <c r="P420" s="59" t="s">
        <v>338</v>
      </c>
      <c r="Q420" s="60" t="s">
        <v>94</v>
      </c>
      <c r="R420" s="56" t="s">
        <v>253</v>
      </c>
      <c r="S420" s="61" t="s">
        <v>44</v>
      </c>
      <c r="T420" s="62" t="s">
        <v>753</v>
      </c>
      <c r="U420" s="63" t="s">
        <v>23</v>
      </c>
      <c r="V420" s="63" t="s">
        <v>147</v>
      </c>
      <c r="W420" s="64">
        <v>881</v>
      </c>
      <c r="X420" s="64">
        <v>4</v>
      </c>
      <c r="Y420" s="47"/>
      <c r="Z420" s="47"/>
    </row>
    <row r="421" spans="1:26" ht="24" x14ac:dyDescent="0.25">
      <c r="A421" s="53">
        <v>45620</v>
      </c>
      <c r="B421" s="54">
        <f t="shared" si="140"/>
        <v>24</v>
      </c>
      <c r="C421" s="55" t="str" cm="1">
        <f t="array" ref="C421">INDEX(Processing!$C$11:$C$22,MONTH('ALL ORDERS'!A421))</f>
        <v>NOV</v>
      </c>
      <c r="D421" s="54">
        <f t="shared" si="141"/>
        <v>2024</v>
      </c>
      <c r="E421" s="56" t="s">
        <v>48</v>
      </c>
      <c r="F421" s="56" t="s">
        <v>136</v>
      </c>
      <c r="G421" s="100">
        <v>0</v>
      </c>
      <c r="H421" s="100">
        <v>2180</v>
      </c>
      <c r="I421" s="57"/>
      <c r="J421" s="99">
        <f t="shared" si="139"/>
        <v>2180</v>
      </c>
      <c r="K421" s="53">
        <v>45620</v>
      </c>
      <c r="L421" s="54">
        <f t="shared" si="145"/>
        <v>24</v>
      </c>
      <c r="M421" s="55" t="str" cm="1">
        <f t="array" ref="M421">INDEX(Processing!$W$6:$W$17,MONTH('ALL ORDERS'!K421))</f>
        <v>November</v>
      </c>
      <c r="N421" s="54">
        <f t="shared" si="135"/>
        <v>2024</v>
      </c>
      <c r="O421" s="58">
        <v>0.75</v>
      </c>
      <c r="P421" s="59" t="s">
        <v>354</v>
      </c>
      <c r="Q421" s="60" t="s">
        <v>94</v>
      </c>
      <c r="R421" s="56" t="s">
        <v>323</v>
      </c>
      <c r="S421" s="61" t="s">
        <v>41</v>
      </c>
      <c r="T421" s="62" t="s">
        <v>754</v>
      </c>
      <c r="U421" s="63" t="s">
        <v>25</v>
      </c>
      <c r="V421" s="63" t="s">
        <v>147</v>
      </c>
      <c r="W421" s="64">
        <v>1638</v>
      </c>
      <c r="X421" s="64">
        <v>4</v>
      </c>
      <c r="Y421" s="47"/>
      <c r="Z421" s="47"/>
    </row>
    <row r="422" spans="1:26" ht="24" x14ac:dyDescent="0.25">
      <c r="A422" s="53">
        <v>45621</v>
      </c>
      <c r="B422" s="54">
        <f t="shared" si="140"/>
        <v>25</v>
      </c>
      <c r="C422" s="55" t="str" cm="1">
        <f t="array" ref="C422">INDEX(Processing!$C$11:$C$22,MONTH('ALL ORDERS'!A422))</f>
        <v>NOV</v>
      </c>
      <c r="D422" s="54">
        <f t="shared" si="141"/>
        <v>2024</v>
      </c>
      <c r="E422" s="56" t="s">
        <v>49</v>
      </c>
      <c r="F422" s="56" t="s">
        <v>21</v>
      </c>
      <c r="G422" s="100">
        <v>0</v>
      </c>
      <c r="H422" s="100">
        <v>2650</v>
      </c>
      <c r="I422" s="57"/>
      <c r="J422" s="99">
        <f t="shared" si="139"/>
        <v>2650</v>
      </c>
      <c r="K422" s="53">
        <v>45621</v>
      </c>
      <c r="L422" s="54">
        <f t="shared" si="145"/>
        <v>25</v>
      </c>
      <c r="M422" s="55" t="str" cm="1">
        <f t="array" ref="M422">INDEX(Processing!$W$6:$W$17,MONTH('ALL ORDERS'!K422))</f>
        <v>November</v>
      </c>
      <c r="N422" s="54">
        <f t="shared" si="135"/>
        <v>2024</v>
      </c>
      <c r="O422" s="58">
        <v>0.41666666666666669</v>
      </c>
      <c r="P422" s="59" t="s">
        <v>342</v>
      </c>
      <c r="Q422" s="60" t="s">
        <v>90</v>
      </c>
      <c r="R422" s="56" t="s">
        <v>293</v>
      </c>
      <c r="S422" s="61" t="s">
        <v>46</v>
      </c>
      <c r="T422" s="70">
        <v>28900888990</v>
      </c>
      <c r="U422" s="63" t="s">
        <v>23</v>
      </c>
      <c r="V422" s="63" t="s">
        <v>147</v>
      </c>
      <c r="W422" s="64">
        <v>2723</v>
      </c>
      <c r="X422" s="64">
        <v>4</v>
      </c>
      <c r="Y422" s="47"/>
      <c r="Z422" s="47"/>
    </row>
    <row r="423" spans="1:26" ht="24" x14ac:dyDescent="0.25">
      <c r="A423" s="53">
        <v>45622</v>
      </c>
      <c r="B423" s="54">
        <f t="shared" si="140"/>
        <v>26</v>
      </c>
      <c r="C423" s="55" t="str" cm="1">
        <f t="array" ref="C423">INDEX(Processing!$C$11:$C$22,MONTH('ALL ORDERS'!A423))</f>
        <v>NOV</v>
      </c>
      <c r="D423" s="54">
        <f t="shared" si="141"/>
        <v>2024</v>
      </c>
      <c r="E423" s="56" t="s">
        <v>47</v>
      </c>
      <c r="F423" s="56" t="s">
        <v>21</v>
      </c>
      <c r="G423" s="100">
        <v>0</v>
      </c>
      <c r="H423" s="100">
        <v>3210</v>
      </c>
      <c r="I423" s="57"/>
      <c r="J423" s="99">
        <f t="shared" si="139"/>
        <v>3210</v>
      </c>
      <c r="K423" s="53">
        <v>45622</v>
      </c>
      <c r="L423" s="54">
        <f t="shared" si="145"/>
        <v>26</v>
      </c>
      <c r="M423" s="55" t="str" cm="1">
        <f t="array" ref="M423">INDEX(Processing!$W$6:$W$17,MONTH('ALL ORDERS'!K423))</f>
        <v>November</v>
      </c>
      <c r="N423" s="54">
        <f t="shared" si="135"/>
        <v>2024</v>
      </c>
      <c r="O423" s="58">
        <v>0.5</v>
      </c>
      <c r="P423" s="59" t="s">
        <v>211</v>
      </c>
      <c r="Q423" s="60" t="s">
        <v>94</v>
      </c>
      <c r="R423" s="56" t="s">
        <v>299</v>
      </c>
      <c r="S423" s="61" t="s">
        <v>46</v>
      </c>
      <c r="T423" s="62" t="s">
        <v>755</v>
      </c>
      <c r="U423" s="63" t="s">
        <v>26</v>
      </c>
      <c r="V423" s="63" t="s">
        <v>147</v>
      </c>
      <c r="W423" s="64">
        <v>1521</v>
      </c>
      <c r="X423" s="64">
        <v>4</v>
      </c>
      <c r="Y423" s="47"/>
      <c r="Z423" s="47"/>
    </row>
    <row r="424" spans="1:26" ht="24" x14ac:dyDescent="0.25">
      <c r="A424" s="53">
        <v>45617</v>
      </c>
      <c r="B424" s="54">
        <f t="shared" si="140"/>
        <v>21</v>
      </c>
      <c r="C424" s="55" t="str" cm="1">
        <f t="array" ref="C424">INDEX(Processing!$C$11:$C$22,MONTH('ALL ORDERS'!A424))</f>
        <v>NOV</v>
      </c>
      <c r="D424" s="54">
        <f t="shared" si="141"/>
        <v>2024</v>
      </c>
      <c r="E424" s="56" t="s">
        <v>50</v>
      </c>
      <c r="F424" s="56" t="s">
        <v>22</v>
      </c>
      <c r="G424" s="100">
        <v>0</v>
      </c>
      <c r="H424" s="100">
        <v>3150</v>
      </c>
      <c r="I424" s="57"/>
      <c r="J424" s="99">
        <f t="shared" si="139"/>
        <v>3150</v>
      </c>
      <c r="K424" s="53">
        <v>45617</v>
      </c>
      <c r="L424" s="54">
        <f t="shared" si="145"/>
        <v>21</v>
      </c>
      <c r="M424" s="55" t="str" cm="1">
        <f t="array" ref="M424">INDEX(Processing!$W$6:$W$17,MONTH('ALL ORDERS'!K424))</f>
        <v>November</v>
      </c>
      <c r="N424" s="54">
        <f t="shared" si="135"/>
        <v>2024</v>
      </c>
      <c r="O424" s="58">
        <v>0.66666666666666663</v>
      </c>
      <c r="P424" s="59" t="s">
        <v>201</v>
      </c>
      <c r="Q424" s="60" t="s">
        <v>94</v>
      </c>
      <c r="R424" s="56" t="s">
        <v>288</v>
      </c>
      <c r="S424" s="61" t="s">
        <v>41</v>
      </c>
      <c r="T424" s="62" t="s">
        <v>756</v>
      </c>
      <c r="U424" s="63" t="s">
        <v>25</v>
      </c>
      <c r="V424" s="63" t="s">
        <v>147</v>
      </c>
      <c r="W424" s="64">
        <v>1176</v>
      </c>
      <c r="X424" s="64">
        <v>4</v>
      </c>
      <c r="Y424" s="47"/>
      <c r="Z424" s="47"/>
    </row>
    <row r="425" spans="1:26" ht="24" x14ac:dyDescent="0.25">
      <c r="A425" s="53">
        <v>45624</v>
      </c>
      <c r="B425" s="54">
        <f t="shared" si="140"/>
        <v>28</v>
      </c>
      <c r="C425" s="55" t="str" cm="1">
        <f t="array" ref="C425">INDEX(Processing!$C$11:$C$22,MONTH('ALL ORDERS'!A425))</f>
        <v>NOV</v>
      </c>
      <c r="D425" s="54">
        <f t="shared" si="141"/>
        <v>2024</v>
      </c>
      <c r="E425" s="56" t="s">
        <v>48</v>
      </c>
      <c r="F425" s="56" t="s">
        <v>152</v>
      </c>
      <c r="G425" s="100">
        <v>0</v>
      </c>
      <c r="H425" s="100">
        <v>1990</v>
      </c>
      <c r="I425" s="57"/>
      <c r="J425" s="99">
        <f t="shared" si="139"/>
        <v>1990</v>
      </c>
      <c r="K425" s="53">
        <v>45624</v>
      </c>
      <c r="L425" s="54">
        <f t="shared" si="145"/>
        <v>28</v>
      </c>
      <c r="M425" s="55" t="str" cm="1">
        <f t="array" ref="M425">INDEX(Processing!$W$6:$W$17,MONTH('ALL ORDERS'!K425))</f>
        <v>November</v>
      </c>
      <c r="N425" s="54">
        <f t="shared" si="135"/>
        <v>2024</v>
      </c>
      <c r="O425" s="58">
        <v>0.75</v>
      </c>
      <c r="P425" s="59" t="s">
        <v>235</v>
      </c>
      <c r="Q425" s="60" t="s">
        <v>94</v>
      </c>
      <c r="R425" s="56" t="s">
        <v>336</v>
      </c>
      <c r="S425" s="61" t="s">
        <v>43</v>
      </c>
      <c r="T425" s="62" t="s">
        <v>757</v>
      </c>
      <c r="U425" s="63" t="s">
        <v>24</v>
      </c>
      <c r="V425" s="63" t="s">
        <v>147</v>
      </c>
      <c r="W425" s="64">
        <v>1692</v>
      </c>
      <c r="X425" s="64">
        <v>4</v>
      </c>
      <c r="Y425" s="47"/>
      <c r="Z425" s="47"/>
    </row>
    <row r="426" spans="1:26" ht="24" x14ac:dyDescent="0.25">
      <c r="A426" s="53">
        <v>45625</v>
      </c>
      <c r="B426" s="54">
        <f t="shared" si="140"/>
        <v>29</v>
      </c>
      <c r="C426" s="55" t="str" cm="1">
        <f t="array" ref="C426">INDEX(Processing!$C$11:$C$22,MONTH('ALL ORDERS'!A426))</f>
        <v>NOV</v>
      </c>
      <c r="D426" s="54">
        <f t="shared" si="141"/>
        <v>2024</v>
      </c>
      <c r="E426" s="56" t="s">
        <v>47</v>
      </c>
      <c r="F426" s="56" t="s">
        <v>153</v>
      </c>
      <c r="G426" s="100">
        <v>0</v>
      </c>
      <c r="H426" s="100">
        <v>2690</v>
      </c>
      <c r="I426" s="57"/>
      <c r="J426" s="99">
        <f t="shared" si="139"/>
        <v>2690</v>
      </c>
      <c r="K426" s="53">
        <v>45625</v>
      </c>
      <c r="L426" s="54">
        <f t="shared" si="145"/>
        <v>29</v>
      </c>
      <c r="M426" s="55" t="str" cm="1">
        <f t="array" ref="M426">INDEX(Processing!$W$6:$W$17,MONTH('ALL ORDERS'!K426))</f>
        <v>November</v>
      </c>
      <c r="N426" s="54">
        <f t="shared" si="135"/>
        <v>2024</v>
      </c>
      <c r="O426" s="58">
        <v>0.41666666666666669</v>
      </c>
      <c r="P426" s="59" t="s">
        <v>186</v>
      </c>
      <c r="Q426" s="60" t="s">
        <v>91</v>
      </c>
      <c r="R426" s="56" t="s">
        <v>271</v>
      </c>
      <c r="S426" s="61" t="s">
        <v>45</v>
      </c>
      <c r="T426" s="62" t="s">
        <v>758</v>
      </c>
      <c r="U426" s="63" t="s">
        <v>26</v>
      </c>
      <c r="V426" s="63" t="s">
        <v>147</v>
      </c>
      <c r="W426" s="64">
        <v>372</v>
      </c>
      <c r="X426" s="64">
        <v>4</v>
      </c>
      <c r="Y426" s="47"/>
      <c r="Z426" s="47"/>
    </row>
    <row r="427" spans="1:26" ht="24" x14ac:dyDescent="0.25">
      <c r="A427" s="53">
        <v>45626</v>
      </c>
      <c r="B427" s="54">
        <f t="shared" si="140"/>
        <v>30</v>
      </c>
      <c r="C427" s="55" t="str" cm="1">
        <f t="array" ref="C427">INDEX(Processing!$C$11:$C$22,MONTH('ALL ORDERS'!A427))</f>
        <v>NOV</v>
      </c>
      <c r="D427" s="54">
        <f t="shared" si="141"/>
        <v>2024</v>
      </c>
      <c r="E427" s="56" t="s">
        <v>50</v>
      </c>
      <c r="F427" s="56" t="s">
        <v>19</v>
      </c>
      <c r="G427" s="100">
        <v>0</v>
      </c>
      <c r="H427" s="100">
        <v>1040</v>
      </c>
      <c r="I427" s="57"/>
      <c r="J427" s="99">
        <f t="shared" si="139"/>
        <v>1040</v>
      </c>
      <c r="K427" s="53">
        <v>45626</v>
      </c>
      <c r="L427" s="54">
        <f t="shared" si="145"/>
        <v>30</v>
      </c>
      <c r="M427" s="55" t="str" cm="1">
        <f t="array" ref="M427">INDEX(Processing!$W$6:$W$17,MONTH('ALL ORDERS'!K427))</f>
        <v>November</v>
      </c>
      <c r="N427" s="54">
        <f t="shared" si="135"/>
        <v>2024</v>
      </c>
      <c r="O427" s="58">
        <v>0.5</v>
      </c>
      <c r="P427" s="59" t="s">
        <v>180</v>
      </c>
      <c r="Q427" s="60" t="s">
        <v>94</v>
      </c>
      <c r="R427" s="56" t="s">
        <v>265</v>
      </c>
      <c r="S427" s="61" t="s">
        <v>43</v>
      </c>
      <c r="T427" s="62" t="s">
        <v>759</v>
      </c>
      <c r="U427" s="63" t="s">
        <v>25</v>
      </c>
      <c r="V427" s="63" t="s">
        <v>147</v>
      </c>
      <c r="W427" s="64">
        <v>2186</v>
      </c>
      <c r="X427" s="64">
        <v>4</v>
      </c>
      <c r="Y427" s="47"/>
      <c r="Z427" s="47"/>
    </row>
    <row r="428" spans="1:26" ht="24" x14ac:dyDescent="0.25">
      <c r="A428" s="53">
        <v>45627</v>
      </c>
      <c r="B428" s="54">
        <f t="shared" si="140"/>
        <v>1</v>
      </c>
      <c r="C428" s="55" t="str" cm="1">
        <f t="array" ref="C428">INDEX(Processing!$C$11:$C$22,MONTH('ALL ORDERS'!A428))</f>
        <v>DEC</v>
      </c>
      <c r="D428" s="54">
        <f t="shared" si="141"/>
        <v>2024</v>
      </c>
      <c r="E428" s="56" t="s">
        <v>47</v>
      </c>
      <c r="F428" s="56" t="s">
        <v>137</v>
      </c>
      <c r="G428" s="100">
        <v>0</v>
      </c>
      <c r="H428" s="100">
        <v>1990</v>
      </c>
      <c r="I428" s="57"/>
      <c r="J428" s="99">
        <f t="shared" si="139"/>
        <v>1990</v>
      </c>
      <c r="K428" s="53">
        <v>45627</v>
      </c>
      <c r="L428" s="54">
        <f t="shared" si="145"/>
        <v>1</v>
      </c>
      <c r="M428" s="55" t="str" cm="1">
        <f t="array" ref="M428">INDEX(Processing!$W$6:$W$17,MONTH('ALL ORDERS'!K428))</f>
        <v>December</v>
      </c>
      <c r="N428" s="54">
        <f t="shared" si="135"/>
        <v>2024</v>
      </c>
      <c r="O428" s="58">
        <v>0.66666666666666663</v>
      </c>
      <c r="P428" s="59" t="s">
        <v>192</v>
      </c>
      <c r="Q428" s="60" t="s">
        <v>94</v>
      </c>
      <c r="R428" s="56" t="s">
        <v>278</v>
      </c>
      <c r="S428" s="61" t="s">
        <v>44</v>
      </c>
      <c r="T428" s="62" t="s">
        <v>760</v>
      </c>
      <c r="U428" s="63" t="s">
        <v>23</v>
      </c>
      <c r="V428" s="63" t="s">
        <v>147</v>
      </c>
      <c r="W428" s="64">
        <v>3179</v>
      </c>
      <c r="X428" s="64">
        <v>5</v>
      </c>
      <c r="Y428" s="47"/>
      <c r="Z428" s="47"/>
    </row>
    <row r="429" spans="1:26" ht="24" x14ac:dyDescent="0.25">
      <c r="A429" s="53">
        <v>45628</v>
      </c>
      <c r="B429" s="54">
        <f t="shared" si="140"/>
        <v>2</v>
      </c>
      <c r="C429" s="55" t="str" cm="1">
        <f t="array" ref="C429">INDEX(Processing!$C$11:$C$22,MONTH('ALL ORDERS'!A429))</f>
        <v>DEC</v>
      </c>
      <c r="D429" s="54">
        <f t="shared" si="141"/>
        <v>2024</v>
      </c>
      <c r="E429" s="56" t="s">
        <v>51</v>
      </c>
      <c r="F429" s="56" t="s">
        <v>137</v>
      </c>
      <c r="G429" s="100">
        <v>0</v>
      </c>
      <c r="H429" s="100">
        <v>1980</v>
      </c>
      <c r="I429" s="57"/>
      <c r="J429" s="99">
        <f t="shared" si="139"/>
        <v>1980</v>
      </c>
      <c r="K429" s="53">
        <v>45628</v>
      </c>
      <c r="L429" s="54">
        <f t="shared" si="145"/>
        <v>2</v>
      </c>
      <c r="M429" s="55" t="str" cm="1">
        <f t="array" ref="M429">INDEX(Processing!$W$6:$W$17,MONTH('ALL ORDERS'!K429))</f>
        <v>December</v>
      </c>
      <c r="N429" s="54">
        <f t="shared" si="135"/>
        <v>2024</v>
      </c>
      <c r="O429" s="58">
        <v>0.75</v>
      </c>
      <c r="P429" s="59" t="s">
        <v>338</v>
      </c>
      <c r="Q429" s="60" t="s">
        <v>94</v>
      </c>
      <c r="R429" s="56" t="s">
        <v>253</v>
      </c>
      <c r="S429" s="61" t="s">
        <v>41</v>
      </c>
      <c r="T429" s="62" t="s">
        <v>761</v>
      </c>
      <c r="U429" s="63" t="s">
        <v>27</v>
      </c>
      <c r="V429" s="63" t="s">
        <v>147</v>
      </c>
      <c r="W429" s="64">
        <v>1923</v>
      </c>
      <c r="X429" s="64">
        <v>5</v>
      </c>
      <c r="Y429" s="47"/>
      <c r="Z429" s="47"/>
    </row>
    <row r="430" spans="1:26" ht="24" x14ac:dyDescent="0.25">
      <c r="A430" s="53">
        <v>45629</v>
      </c>
      <c r="B430" s="54">
        <f t="shared" si="140"/>
        <v>3</v>
      </c>
      <c r="C430" s="55" t="str" cm="1">
        <f t="array" ref="C430">INDEX(Processing!$C$11:$C$22,MONTH('ALL ORDERS'!A430))</f>
        <v>DEC</v>
      </c>
      <c r="D430" s="54">
        <f t="shared" si="141"/>
        <v>2024</v>
      </c>
      <c r="E430" s="56" t="s">
        <v>49</v>
      </c>
      <c r="F430" s="56" t="s">
        <v>19</v>
      </c>
      <c r="G430" s="100">
        <v>0</v>
      </c>
      <c r="H430" s="100">
        <v>3510</v>
      </c>
      <c r="I430" s="57"/>
      <c r="J430" s="99">
        <f t="shared" si="139"/>
        <v>3510</v>
      </c>
      <c r="K430" s="53">
        <v>45629</v>
      </c>
      <c r="L430" s="54">
        <f t="shared" si="145"/>
        <v>3</v>
      </c>
      <c r="M430" s="55" t="str" cm="1">
        <f t="array" ref="M430">INDEX(Processing!$W$6:$W$17,MONTH('ALL ORDERS'!K430))</f>
        <v>December</v>
      </c>
      <c r="N430" s="54">
        <f t="shared" si="135"/>
        <v>2024</v>
      </c>
      <c r="O430" s="58">
        <v>0.375</v>
      </c>
      <c r="P430" s="59" t="s">
        <v>195</v>
      </c>
      <c r="Q430" s="60" t="s">
        <v>94</v>
      </c>
      <c r="R430" s="56" t="s">
        <v>281</v>
      </c>
      <c r="S430" s="61" t="s">
        <v>43</v>
      </c>
      <c r="T430" s="62" t="s">
        <v>762</v>
      </c>
      <c r="U430" s="63" t="s">
        <v>25</v>
      </c>
      <c r="V430" s="63" t="s">
        <v>147</v>
      </c>
      <c r="W430" s="64">
        <v>2476</v>
      </c>
      <c r="X430" s="64">
        <v>5</v>
      </c>
      <c r="Y430" s="47"/>
      <c r="Z430" s="47"/>
    </row>
    <row r="431" spans="1:26" ht="24" x14ac:dyDescent="0.25">
      <c r="A431" s="53">
        <v>45630</v>
      </c>
      <c r="B431" s="54">
        <f t="shared" si="140"/>
        <v>4</v>
      </c>
      <c r="C431" s="55" t="str" cm="1">
        <f t="array" ref="C431">INDEX(Processing!$C$11:$C$22,MONTH('ALL ORDERS'!A431))</f>
        <v>DEC</v>
      </c>
      <c r="D431" s="54">
        <f t="shared" si="141"/>
        <v>2024</v>
      </c>
      <c r="E431" s="56" t="s">
        <v>47</v>
      </c>
      <c r="F431" s="56" t="s">
        <v>152</v>
      </c>
      <c r="G431" s="100">
        <v>0</v>
      </c>
      <c r="H431" s="100">
        <v>810</v>
      </c>
      <c r="I431" s="57">
        <v>0.15</v>
      </c>
      <c r="J431" s="99">
        <f t="shared" si="139"/>
        <v>810</v>
      </c>
      <c r="K431" s="53">
        <v>45630</v>
      </c>
      <c r="L431" s="54">
        <f t="shared" si="145"/>
        <v>4</v>
      </c>
      <c r="M431" s="55" t="str" cm="1">
        <f t="array" ref="M431">INDEX(Processing!$W$6:$W$17,MONTH('ALL ORDERS'!K431))</f>
        <v>December</v>
      </c>
      <c r="N431" s="54">
        <f t="shared" si="135"/>
        <v>2024</v>
      </c>
      <c r="O431" s="58">
        <v>0.45833333333333331</v>
      </c>
      <c r="P431" s="59" t="s">
        <v>179</v>
      </c>
      <c r="Q431" s="60" t="s">
        <v>94</v>
      </c>
      <c r="R431" s="56" t="s">
        <v>264</v>
      </c>
      <c r="S431" s="61" t="s">
        <v>45</v>
      </c>
      <c r="T431" s="62" t="s">
        <v>763</v>
      </c>
      <c r="U431" s="63" t="s">
        <v>26</v>
      </c>
      <c r="V431" s="63" t="s">
        <v>147</v>
      </c>
      <c r="W431" s="64">
        <v>2169</v>
      </c>
      <c r="X431" s="64">
        <v>5</v>
      </c>
      <c r="Y431" s="47"/>
      <c r="Z431" s="47"/>
    </row>
    <row r="432" spans="1:26" ht="24" x14ac:dyDescent="0.25">
      <c r="A432" s="53">
        <v>45631</v>
      </c>
      <c r="B432" s="54">
        <f t="shared" si="140"/>
        <v>5</v>
      </c>
      <c r="C432" s="55" t="str" cm="1">
        <f t="array" ref="C432">INDEX(Processing!$C$11:$C$22,MONTH('ALL ORDERS'!A432))</f>
        <v>DEC</v>
      </c>
      <c r="D432" s="54">
        <f t="shared" si="141"/>
        <v>2024</v>
      </c>
      <c r="E432" s="56" t="s">
        <v>50</v>
      </c>
      <c r="F432" s="56" t="s">
        <v>135</v>
      </c>
      <c r="G432" s="100">
        <v>0</v>
      </c>
      <c r="H432" s="100">
        <v>2680</v>
      </c>
      <c r="I432" s="57">
        <v>0.15</v>
      </c>
      <c r="J432" s="99">
        <f t="shared" si="139"/>
        <v>2680</v>
      </c>
      <c r="K432" s="53">
        <v>45631</v>
      </c>
      <c r="L432" s="54">
        <f t="shared" si="145"/>
        <v>5</v>
      </c>
      <c r="M432" s="55" t="str" cm="1">
        <f t="array" ref="M432">INDEX(Processing!$W$6:$W$17,MONTH('ALL ORDERS'!K432))</f>
        <v>December</v>
      </c>
      <c r="N432" s="54">
        <f t="shared" si="135"/>
        <v>2024</v>
      </c>
      <c r="O432" s="58">
        <v>0.625</v>
      </c>
      <c r="P432" s="59" t="s">
        <v>234</v>
      </c>
      <c r="Q432" s="60" t="s">
        <v>94</v>
      </c>
      <c r="R432" s="56" t="s">
        <v>335</v>
      </c>
      <c r="S432" s="61" t="s">
        <v>42</v>
      </c>
      <c r="T432" s="62" t="s">
        <v>764</v>
      </c>
      <c r="U432" s="63" t="s">
        <v>26</v>
      </c>
      <c r="V432" s="63" t="s">
        <v>147</v>
      </c>
      <c r="W432" s="64">
        <v>3835</v>
      </c>
      <c r="X432" s="64">
        <v>5</v>
      </c>
      <c r="Y432" s="47"/>
      <c r="Z432" s="47"/>
    </row>
    <row r="433" spans="1:26" ht="24" x14ac:dyDescent="0.25">
      <c r="A433" s="53">
        <v>45631</v>
      </c>
      <c r="B433" s="54">
        <f t="shared" si="140"/>
        <v>5</v>
      </c>
      <c r="C433" s="55" t="str" cm="1">
        <f t="array" ref="C433">INDEX(Processing!$C$11:$C$22,MONTH('ALL ORDERS'!A433))</f>
        <v>DEC</v>
      </c>
      <c r="D433" s="54">
        <f t="shared" si="141"/>
        <v>2024</v>
      </c>
      <c r="E433" s="56" t="s">
        <v>48</v>
      </c>
      <c r="F433" s="56" t="s">
        <v>126</v>
      </c>
      <c r="G433" s="100">
        <v>0</v>
      </c>
      <c r="H433" s="100">
        <v>1110</v>
      </c>
      <c r="I433" s="57">
        <v>0.15</v>
      </c>
      <c r="J433" s="99">
        <f t="shared" si="139"/>
        <v>1110</v>
      </c>
      <c r="K433" s="53">
        <v>45631</v>
      </c>
      <c r="L433" s="54">
        <f t="shared" si="145"/>
        <v>5</v>
      </c>
      <c r="M433" s="55" t="str" cm="1">
        <f t="array" ref="M433">INDEX(Processing!$W$6:$W$17,MONTH('ALL ORDERS'!K433))</f>
        <v>December</v>
      </c>
      <c r="N433" s="54">
        <f t="shared" si="135"/>
        <v>2024</v>
      </c>
      <c r="O433" s="58">
        <v>0.45833333333333331</v>
      </c>
      <c r="P433" s="59" t="s">
        <v>164</v>
      </c>
      <c r="Q433" s="60" t="s">
        <v>94</v>
      </c>
      <c r="R433" s="56" t="s">
        <v>247</v>
      </c>
      <c r="S433" s="61" t="s">
        <v>41</v>
      </c>
      <c r="T433" s="62" t="s">
        <v>765</v>
      </c>
      <c r="U433" s="63" t="s">
        <v>26</v>
      </c>
      <c r="V433" s="63" t="s">
        <v>147</v>
      </c>
      <c r="W433" s="64">
        <v>2468</v>
      </c>
      <c r="X433" s="64">
        <v>5</v>
      </c>
      <c r="Y433" s="47"/>
      <c r="Z433" s="47"/>
    </row>
    <row r="434" spans="1:26" ht="24" x14ac:dyDescent="0.25">
      <c r="A434" s="53">
        <v>45627</v>
      </c>
      <c r="B434" s="54">
        <f t="shared" si="140"/>
        <v>1</v>
      </c>
      <c r="C434" s="55" t="str" cm="1">
        <f t="array" ref="C434">INDEX(Processing!$C$11:$C$22,MONTH('ALL ORDERS'!A434))</f>
        <v>DEC</v>
      </c>
      <c r="D434" s="54">
        <f t="shared" si="141"/>
        <v>2024</v>
      </c>
      <c r="E434" s="56" t="s">
        <v>48</v>
      </c>
      <c r="F434" s="56" t="s">
        <v>127</v>
      </c>
      <c r="G434" s="100">
        <v>0</v>
      </c>
      <c r="H434" s="100">
        <v>3250</v>
      </c>
      <c r="I434" s="57">
        <v>0.15</v>
      </c>
      <c r="J434" s="99">
        <f t="shared" si="139"/>
        <v>3250</v>
      </c>
      <c r="K434" s="53">
        <v>45627</v>
      </c>
      <c r="L434" s="54">
        <f t="shared" si="145"/>
        <v>1</v>
      </c>
      <c r="M434" s="55" t="str" cm="1">
        <f t="array" ref="M434">INDEX(Processing!$W$6:$W$17,MONTH('ALL ORDERS'!K434))</f>
        <v>December</v>
      </c>
      <c r="N434" s="54">
        <f t="shared" si="135"/>
        <v>2024</v>
      </c>
      <c r="O434" s="58">
        <v>0.41666666666666669</v>
      </c>
      <c r="P434" s="59" t="s">
        <v>193</v>
      </c>
      <c r="Q434" s="60" t="s">
        <v>94</v>
      </c>
      <c r="R434" s="56" t="s">
        <v>279</v>
      </c>
      <c r="S434" s="61" t="s">
        <v>42</v>
      </c>
      <c r="T434" s="70">
        <v>27900888990</v>
      </c>
      <c r="U434" s="63" t="s">
        <v>26</v>
      </c>
      <c r="V434" s="63" t="s">
        <v>147</v>
      </c>
      <c r="W434" s="64">
        <v>1065</v>
      </c>
      <c r="X434" s="64">
        <v>5</v>
      </c>
      <c r="Y434" s="47"/>
      <c r="Z434" s="47"/>
    </row>
    <row r="435" spans="1:26" ht="24" x14ac:dyDescent="0.25">
      <c r="A435" s="53">
        <v>45634</v>
      </c>
      <c r="B435" s="54">
        <f t="shared" si="140"/>
        <v>8</v>
      </c>
      <c r="C435" s="55" t="str" cm="1">
        <f t="array" ref="C435">INDEX(Processing!$C$11:$C$22,MONTH('ALL ORDERS'!A435))</f>
        <v>DEC</v>
      </c>
      <c r="D435" s="54">
        <f t="shared" si="141"/>
        <v>2024</v>
      </c>
      <c r="E435" s="56" t="s">
        <v>49</v>
      </c>
      <c r="F435" s="56" t="s">
        <v>121</v>
      </c>
      <c r="G435" s="100">
        <v>0</v>
      </c>
      <c r="H435" s="100">
        <v>110</v>
      </c>
      <c r="I435" s="57">
        <v>0.15</v>
      </c>
      <c r="J435" s="99">
        <f t="shared" si="139"/>
        <v>110</v>
      </c>
      <c r="K435" s="53">
        <v>45634</v>
      </c>
      <c r="L435" s="54">
        <f t="shared" si="145"/>
        <v>8</v>
      </c>
      <c r="M435" s="55" t="str" cm="1">
        <f t="array" ref="M435">INDEX(Processing!$W$6:$W$17,MONTH('ALL ORDERS'!K435))</f>
        <v>December</v>
      </c>
      <c r="N435" s="54">
        <f t="shared" si="135"/>
        <v>2024</v>
      </c>
      <c r="O435" s="58">
        <v>0.5</v>
      </c>
      <c r="P435" s="59" t="s">
        <v>194</v>
      </c>
      <c r="Q435" s="60" t="s">
        <v>90</v>
      </c>
      <c r="R435" s="56" t="s">
        <v>280</v>
      </c>
      <c r="S435" s="61" t="s">
        <v>41</v>
      </c>
      <c r="T435" s="62" t="s">
        <v>766</v>
      </c>
      <c r="U435" s="63" t="s">
        <v>26</v>
      </c>
      <c r="V435" s="63" t="s">
        <v>147</v>
      </c>
      <c r="W435" s="64">
        <v>3535</v>
      </c>
      <c r="X435" s="64">
        <v>4</v>
      </c>
      <c r="Y435" s="47"/>
      <c r="Z435" s="47"/>
    </row>
    <row r="436" spans="1:26" ht="24" x14ac:dyDescent="0.25">
      <c r="A436" s="53">
        <v>45635</v>
      </c>
      <c r="B436" s="54">
        <f t="shared" si="140"/>
        <v>9</v>
      </c>
      <c r="C436" s="55" t="str" cm="1">
        <f t="array" ref="C436">INDEX(Processing!$C$11:$C$22,MONTH('ALL ORDERS'!A436))</f>
        <v>DEC</v>
      </c>
      <c r="D436" s="54">
        <f t="shared" si="141"/>
        <v>2024</v>
      </c>
      <c r="E436" s="56" t="s">
        <v>47</v>
      </c>
      <c r="F436" s="56" t="s">
        <v>124</v>
      </c>
      <c r="G436" s="100">
        <v>0</v>
      </c>
      <c r="H436" s="100">
        <v>2030</v>
      </c>
      <c r="I436" s="57">
        <v>0.15</v>
      </c>
      <c r="J436" s="99">
        <f t="shared" si="139"/>
        <v>2030</v>
      </c>
      <c r="K436" s="53">
        <v>45635</v>
      </c>
      <c r="L436" s="54">
        <f t="shared" si="145"/>
        <v>9</v>
      </c>
      <c r="M436" s="55" t="str" cm="1">
        <f t="array" ref="M436">INDEX(Processing!$W$6:$W$17,MONTH('ALL ORDERS'!K436))</f>
        <v>December</v>
      </c>
      <c r="N436" s="54">
        <f t="shared" si="135"/>
        <v>2024</v>
      </c>
      <c r="O436" s="58">
        <v>0.66666666666666663</v>
      </c>
      <c r="P436" s="59" t="s">
        <v>202</v>
      </c>
      <c r="Q436" s="60" t="s">
        <v>94</v>
      </c>
      <c r="R436" s="56" t="s">
        <v>289</v>
      </c>
      <c r="S436" s="61" t="s">
        <v>45</v>
      </c>
      <c r="T436" s="62" t="s">
        <v>767</v>
      </c>
      <c r="U436" s="63" t="s">
        <v>26</v>
      </c>
      <c r="V436" s="63" t="s">
        <v>147</v>
      </c>
      <c r="W436" s="64">
        <v>2271</v>
      </c>
      <c r="X436" s="64">
        <v>4</v>
      </c>
      <c r="Y436" s="47"/>
      <c r="Z436" s="47"/>
    </row>
    <row r="437" spans="1:26" ht="24" x14ac:dyDescent="0.25">
      <c r="A437" s="53">
        <v>45636</v>
      </c>
      <c r="B437" s="54">
        <f t="shared" si="140"/>
        <v>10</v>
      </c>
      <c r="C437" s="55" t="str" cm="1">
        <f t="array" ref="C437">INDEX(Processing!$C$11:$C$22,MONTH('ALL ORDERS'!A437))</f>
        <v>DEC</v>
      </c>
      <c r="D437" s="54">
        <f t="shared" si="141"/>
        <v>2024</v>
      </c>
      <c r="E437" s="56" t="s">
        <v>50</v>
      </c>
      <c r="F437" s="56" t="s">
        <v>125</v>
      </c>
      <c r="G437" s="100">
        <v>1510</v>
      </c>
      <c r="H437" s="100">
        <v>0</v>
      </c>
      <c r="I437" s="57"/>
      <c r="J437" s="99">
        <f t="shared" si="139"/>
        <v>1510</v>
      </c>
      <c r="K437" s="53">
        <v>45636</v>
      </c>
      <c r="L437" s="54">
        <f t="shared" si="145"/>
        <v>10</v>
      </c>
      <c r="M437" s="55" t="str" cm="1">
        <f t="array" ref="M437">INDEX(Processing!$W$6:$W$17,MONTH('ALL ORDERS'!K437))</f>
        <v>December</v>
      </c>
      <c r="N437" s="54">
        <f t="shared" si="135"/>
        <v>2024</v>
      </c>
      <c r="O437" s="58">
        <v>0.75</v>
      </c>
      <c r="P437" s="59" t="s">
        <v>345</v>
      </c>
      <c r="Q437" s="60" t="s">
        <v>94</v>
      </c>
      <c r="R437" s="56" t="s">
        <v>307</v>
      </c>
      <c r="S437" s="61" t="s">
        <v>41</v>
      </c>
      <c r="T437" s="62" t="s">
        <v>768</v>
      </c>
      <c r="U437" s="63" t="s">
        <v>24</v>
      </c>
      <c r="V437" s="63" t="s">
        <v>147</v>
      </c>
      <c r="W437" s="64">
        <v>2730</v>
      </c>
      <c r="X437" s="64">
        <v>4</v>
      </c>
      <c r="Y437" s="47"/>
      <c r="Z437" s="47"/>
    </row>
    <row r="438" spans="1:26" ht="24" x14ac:dyDescent="0.25">
      <c r="A438" s="53">
        <v>45637</v>
      </c>
      <c r="B438" s="54">
        <f t="shared" si="140"/>
        <v>11</v>
      </c>
      <c r="C438" s="55" t="str" cm="1">
        <f t="array" ref="C438">INDEX(Processing!$C$11:$C$22,MONTH('ALL ORDERS'!A438))</f>
        <v>DEC</v>
      </c>
      <c r="D438" s="54">
        <f t="shared" si="141"/>
        <v>2024</v>
      </c>
      <c r="E438" s="56" t="s">
        <v>47</v>
      </c>
      <c r="F438" s="56" t="s">
        <v>22</v>
      </c>
      <c r="G438" s="100">
        <v>3690</v>
      </c>
      <c r="H438" s="100">
        <v>0</v>
      </c>
      <c r="I438" s="57"/>
      <c r="J438" s="99">
        <f t="shared" si="139"/>
        <v>3690</v>
      </c>
      <c r="K438" s="53">
        <v>45637</v>
      </c>
      <c r="L438" s="54">
        <f t="shared" si="145"/>
        <v>11</v>
      </c>
      <c r="M438" s="55" t="str" cm="1">
        <f t="array" ref="M438">INDEX(Processing!$W$6:$W$17,MONTH('ALL ORDERS'!K438))</f>
        <v>December</v>
      </c>
      <c r="N438" s="54">
        <f t="shared" si="135"/>
        <v>2024</v>
      </c>
      <c r="O438" s="58">
        <v>0.41666666666666669</v>
      </c>
      <c r="P438" s="59" t="s">
        <v>343</v>
      </c>
      <c r="Q438" s="60" t="s">
        <v>94</v>
      </c>
      <c r="R438" s="56" t="s">
        <v>303</v>
      </c>
      <c r="S438" s="61" t="s">
        <v>42</v>
      </c>
      <c r="T438" s="62" t="s">
        <v>769</v>
      </c>
      <c r="U438" s="63" t="s">
        <v>26</v>
      </c>
      <c r="V438" s="63" t="s">
        <v>147</v>
      </c>
      <c r="W438" s="64">
        <v>1672</v>
      </c>
      <c r="X438" s="64">
        <v>4</v>
      </c>
      <c r="Y438" s="47"/>
      <c r="Z438" s="47"/>
    </row>
    <row r="439" spans="1:26" ht="24" x14ac:dyDescent="0.25">
      <c r="A439" s="53">
        <v>45637</v>
      </c>
      <c r="B439" s="54">
        <f t="shared" si="140"/>
        <v>11</v>
      </c>
      <c r="C439" s="55" t="str" cm="1">
        <f t="array" ref="C439">INDEX(Processing!$C$11:$C$22,MONTH('ALL ORDERS'!A439))</f>
        <v>DEC</v>
      </c>
      <c r="D439" s="54">
        <f t="shared" si="141"/>
        <v>2024</v>
      </c>
      <c r="E439" s="56" t="s">
        <v>51</v>
      </c>
      <c r="F439" s="56" t="s">
        <v>152</v>
      </c>
      <c r="G439" s="100">
        <v>0</v>
      </c>
      <c r="H439" s="100">
        <v>1090</v>
      </c>
      <c r="I439" s="57"/>
      <c r="J439" s="99">
        <f t="shared" si="139"/>
        <v>1090</v>
      </c>
      <c r="K439" s="53">
        <v>45637</v>
      </c>
      <c r="L439" s="54">
        <f t="shared" si="145"/>
        <v>11</v>
      </c>
      <c r="M439" s="55" t="str" cm="1">
        <f t="array" ref="M439">INDEX(Processing!$W$6:$W$17,MONTH('ALL ORDERS'!K439))</f>
        <v>December</v>
      </c>
      <c r="N439" s="54">
        <f t="shared" si="135"/>
        <v>2024</v>
      </c>
      <c r="O439" s="58">
        <v>0.5</v>
      </c>
      <c r="P439" s="59" t="s">
        <v>347</v>
      </c>
      <c r="Q439" s="60" t="s">
        <v>94</v>
      </c>
      <c r="R439" s="56" t="s">
        <v>309</v>
      </c>
      <c r="S439" s="61" t="s">
        <v>42</v>
      </c>
      <c r="T439" s="62" t="s">
        <v>770</v>
      </c>
      <c r="U439" s="63" t="s">
        <v>27</v>
      </c>
      <c r="V439" s="63" t="s">
        <v>147</v>
      </c>
      <c r="W439" s="64">
        <v>2191</v>
      </c>
      <c r="X439" s="64">
        <v>4</v>
      </c>
      <c r="Y439" s="47"/>
      <c r="Z439" s="47"/>
    </row>
    <row r="440" spans="1:26" ht="24" x14ac:dyDescent="0.25">
      <c r="A440" s="53">
        <v>45637</v>
      </c>
      <c r="B440" s="54">
        <f t="shared" si="140"/>
        <v>11</v>
      </c>
      <c r="C440" s="55" t="str" cm="1">
        <f t="array" ref="C440">INDEX(Processing!$C$11:$C$22,MONTH('ALL ORDERS'!A440))</f>
        <v>DEC</v>
      </c>
      <c r="D440" s="54">
        <f t="shared" si="141"/>
        <v>2024</v>
      </c>
      <c r="E440" s="56" t="s">
        <v>49</v>
      </c>
      <c r="F440" s="56" t="s">
        <v>153</v>
      </c>
      <c r="G440" s="100">
        <v>0</v>
      </c>
      <c r="H440" s="100">
        <v>2820</v>
      </c>
      <c r="I440" s="57"/>
      <c r="J440" s="99">
        <f t="shared" si="139"/>
        <v>2820</v>
      </c>
      <c r="K440" s="53">
        <v>45637</v>
      </c>
      <c r="L440" s="54">
        <f t="shared" si="145"/>
        <v>11</v>
      </c>
      <c r="M440" s="55" t="str" cm="1">
        <f t="array" ref="M440">INDEX(Processing!$W$6:$W$17,MONTH('ALL ORDERS'!K440))</f>
        <v>December</v>
      </c>
      <c r="N440" s="54">
        <f t="shared" si="135"/>
        <v>2024</v>
      </c>
      <c r="O440" s="58">
        <v>0.66666666666666663</v>
      </c>
      <c r="P440" s="59" t="s">
        <v>174</v>
      </c>
      <c r="Q440" s="60" t="s">
        <v>94</v>
      </c>
      <c r="R440" s="56" t="s">
        <v>258</v>
      </c>
      <c r="S440" s="61" t="s">
        <v>41</v>
      </c>
      <c r="T440" s="62" t="s">
        <v>771</v>
      </c>
      <c r="U440" s="63" t="s">
        <v>23</v>
      </c>
      <c r="V440" s="63" t="s">
        <v>148</v>
      </c>
      <c r="W440" s="64">
        <v>3861</v>
      </c>
      <c r="X440" s="64"/>
      <c r="Y440" s="47"/>
      <c r="Z440" s="47"/>
    </row>
    <row r="441" spans="1:26" ht="24" x14ac:dyDescent="0.25">
      <c r="A441" s="53">
        <v>45640</v>
      </c>
      <c r="B441" s="54">
        <f t="shared" si="140"/>
        <v>14</v>
      </c>
      <c r="C441" s="55" t="str" cm="1">
        <f t="array" ref="C441">INDEX(Processing!$C$11:$C$22,MONTH('ALL ORDERS'!A441))</f>
        <v>DEC</v>
      </c>
      <c r="D441" s="54">
        <f t="shared" si="141"/>
        <v>2024</v>
      </c>
      <c r="E441" s="56" t="s">
        <v>47</v>
      </c>
      <c r="F441" s="56" t="s">
        <v>19</v>
      </c>
      <c r="G441" s="100">
        <v>0</v>
      </c>
      <c r="H441" s="100">
        <v>1110</v>
      </c>
      <c r="I441" s="57"/>
      <c r="J441" s="99">
        <f t="shared" si="139"/>
        <v>1110</v>
      </c>
      <c r="K441" s="53">
        <v>45640</v>
      </c>
      <c r="L441" s="54">
        <f t="shared" si="145"/>
        <v>14</v>
      </c>
      <c r="M441" s="55" t="str" cm="1">
        <f t="array" ref="M441">INDEX(Processing!$W$6:$W$17,MONTH('ALL ORDERS'!K441))</f>
        <v>December</v>
      </c>
      <c r="N441" s="54">
        <f t="shared" si="135"/>
        <v>2024</v>
      </c>
      <c r="O441" s="58">
        <v>0.75</v>
      </c>
      <c r="P441" s="59" t="s">
        <v>233</v>
      </c>
      <c r="Q441" s="60" t="s">
        <v>94</v>
      </c>
      <c r="R441" s="56" t="s">
        <v>334</v>
      </c>
      <c r="S441" s="61" t="s">
        <v>43</v>
      </c>
      <c r="T441" s="62" t="s">
        <v>772</v>
      </c>
      <c r="U441" s="63" t="s">
        <v>25</v>
      </c>
      <c r="V441" s="63" t="s">
        <v>147</v>
      </c>
      <c r="W441" s="64">
        <v>2549</v>
      </c>
      <c r="X441" s="64">
        <v>4</v>
      </c>
      <c r="Y441" s="47"/>
      <c r="Z441" s="47"/>
    </row>
    <row r="442" spans="1:26" ht="24" x14ac:dyDescent="0.25">
      <c r="A442" s="53">
        <v>45641</v>
      </c>
      <c r="B442" s="54">
        <f t="shared" si="140"/>
        <v>15</v>
      </c>
      <c r="C442" s="55" t="str" cm="1">
        <f t="array" ref="C442">INDEX(Processing!$C$11:$C$22,MONTH('ALL ORDERS'!A442))</f>
        <v>DEC</v>
      </c>
      <c r="D442" s="54">
        <f t="shared" si="141"/>
        <v>2024</v>
      </c>
      <c r="E442" s="56" t="s">
        <v>50</v>
      </c>
      <c r="F442" s="56" t="s">
        <v>137</v>
      </c>
      <c r="G442" s="100">
        <v>0</v>
      </c>
      <c r="H442" s="100">
        <v>3990</v>
      </c>
      <c r="I442" s="57"/>
      <c r="J442" s="99">
        <f t="shared" si="139"/>
        <v>3990</v>
      </c>
      <c r="K442" s="53">
        <v>45641</v>
      </c>
      <c r="L442" s="54">
        <f t="shared" si="145"/>
        <v>15</v>
      </c>
      <c r="M442" s="55" t="str" cm="1">
        <f t="array" ref="M442">INDEX(Processing!$W$6:$W$17,MONTH('ALL ORDERS'!K442))</f>
        <v>December</v>
      </c>
      <c r="N442" s="54">
        <f t="shared" si="135"/>
        <v>2024</v>
      </c>
      <c r="O442" s="58">
        <v>0.41666666666666669</v>
      </c>
      <c r="P442" s="59" t="s">
        <v>341</v>
      </c>
      <c r="Q442" s="60" t="s">
        <v>94</v>
      </c>
      <c r="R442" s="56" t="s">
        <v>283</v>
      </c>
      <c r="S442" s="61" t="s">
        <v>45</v>
      </c>
      <c r="T442" s="62" t="s">
        <v>773</v>
      </c>
      <c r="U442" s="63" t="s">
        <v>23</v>
      </c>
      <c r="V442" s="63" t="s">
        <v>147</v>
      </c>
      <c r="W442" s="64">
        <v>1343</v>
      </c>
      <c r="X442" s="64">
        <v>4</v>
      </c>
      <c r="Y442" s="47"/>
      <c r="Z442" s="47"/>
    </row>
    <row r="443" spans="1:26" ht="24" x14ac:dyDescent="0.25">
      <c r="A443" s="53">
        <v>45642</v>
      </c>
      <c r="B443" s="54">
        <f t="shared" si="140"/>
        <v>16</v>
      </c>
      <c r="C443" s="55" t="str" cm="1">
        <f t="array" ref="C443">INDEX(Processing!$C$11:$C$22,MONTH('ALL ORDERS'!A443))</f>
        <v>DEC</v>
      </c>
      <c r="D443" s="54">
        <f t="shared" si="141"/>
        <v>2024</v>
      </c>
      <c r="E443" s="56" t="s">
        <v>48</v>
      </c>
      <c r="F443" s="56" t="s">
        <v>137</v>
      </c>
      <c r="G443" s="100">
        <v>0</v>
      </c>
      <c r="H443" s="100">
        <v>2150</v>
      </c>
      <c r="I443" s="57"/>
      <c r="J443" s="99">
        <f t="shared" si="139"/>
        <v>2150</v>
      </c>
      <c r="K443" s="53">
        <v>45642</v>
      </c>
      <c r="L443" s="54">
        <f t="shared" si="145"/>
        <v>16</v>
      </c>
      <c r="M443" s="55" t="str" cm="1">
        <f t="array" ref="M443">INDEX(Processing!$W$6:$W$17,MONTH('ALL ORDERS'!K443))</f>
        <v>December</v>
      </c>
      <c r="N443" s="54">
        <f t="shared" ref="N443:N509" si="146">YEAR(K443)</f>
        <v>2024</v>
      </c>
      <c r="O443" s="58">
        <v>0.5</v>
      </c>
      <c r="P443" s="59" t="s">
        <v>161</v>
      </c>
      <c r="Q443" s="60" t="s">
        <v>90</v>
      </c>
      <c r="R443" s="56" t="s">
        <v>244</v>
      </c>
      <c r="S443" s="61" t="s">
        <v>43</v>
      </c>
      <c r="T443" s="62" t="s">
        <v>774</v>
      </c>
      <c r="U443" s="63" t="s">
        <v>26</v>
      </c>
      <c r="V443" s="63" t="s">
        <v>147</v>
      </c>
      <c r="W443" s="64">
        <v>2339</v>
      </c>
      <c r="X443" s="64">
        <v>4</v>
      </c>
      <c r="Y443" s="47"/>
      <c r="Z443" s="47"/>
    </row>
    <row r="444" spans="1:26" ht="24" x14ac:dyDescent="0.25">
      <c r="A444" s="53">
        <v>45637</v>
      </c>
      <c r="B444" s="54">
        <f t="shared" si="140"/>
        <v>11</v>
      </c>
      <c r="C444" s="55" t="str" cm="1">
        <f t="array" ref="C444">INDEX(Processing!$C$11:$C$22,MONTH('ALL ORDERS'!A444))</f>
        <v>DEC</v>
      </c>
      <c r="D444" s="54">
        <f t="shared" si="141"/>
        <v>2024</v>
      </c>
      <c r="E444" s="56" t="s">
        <v>48</v>
      </c>
      <c r="F444" s="56" t="s">
        <v>19</v>
      </c>
      <c r="G444" s="100">
        <v>0</v>
      </c>
      <c r="H444" s="100">
        <v>2230</v>
      </c>
      <c r="I444" s="57">
        <v>0.15</v>
      </c>
      <c r="J444" s="99">
        <f t="shared" si="139"/>
        <v>2230</v>
      </c>
      <c r="K444" s="53">
        <v>45637</v>
      </c>
      <c r="L444" s="54">
        <f t="shared" si="145"/>
        <v>11</v>
      </c>
      <c r="M444" s="55" t="str" cm="1">
        <f t="array" ref="M444">INDEX(Processing!$W$6:$W$17,MONTH('ALL ORDERS'!K444))</f>
        <v>December</v>
      </c>
      <c r="N444" s="54">
        <f t="shared" si="146"/>
        <v>2024</v>
      </c>
      <c r="O444" s="58">
        <v>0.66666666666666663</v>
      </c>
      <c r="P444" s="59" t="s">
        <v>186</v>
      </c>
      <c r="Q444" s="60" t="s">
        <v>91</v>
      </c>
      <c r="R444" s="56" t="s">
        <v>271</v>
      </c>
      <c r="S444" s="61" t="s">
        <v>44</v>
      </c>
      <c r="T444" s="62" t="s">
        <v>775</v>
      </c>
      <c r="U444" s="63" t="s">
        <v>26</v>
      </c>
      <c r="V444" s="63" t="s">
        <v>147</v>
      </c>
      <c r="W444" s="64">
        <v>2786</v>
      </c>
      <c r="X444" s="64">
        <v>5</v>
      </c>
      <c r="Y444" s="47"/>
      <c r="Z444" s="47"/>
    </row>
    <row r="445" spans="1:26" ht="24" x14ac:dyDescent="0.25">
      <c r="A445" s="53">
        <v>45644</v>
      </c>
      <c r="B445" s="54">
        <f t="shared" si="140"/>
        <v>18</v>
      </c>
      <c r="C445" s="55" t="str" cm="1">
        <f t="array" ref="C445">INDEX(Processing!$C$11:$C$22,MONTH('ALL ORDERS'!A445))</f>
        <v>DEC</v>
      </c>
      <c r="D445" s="54">
        <f t="shared" si="141"/>
        <v>2024</v>
      </c>
      <c r="E445" s="56" t="s">
        <v>51</v>
      </c>
      <c r="F445" s="56" t="s">
        <v>152</v>
      </c>
      <c r="G445" s="100">
        <v>0</v>
      </c>
      <c r="H445" s="100">
        <v>3080</v>
      </c>
      <c r="I445" s="57"/>
      <c r="J445" s="99">
        <f t="shared" si="139"/>
        <v>3080</v>
      </c>
      <c r="K445" s="53">
        <v>45644</v>
      </c>
      <c r="L445" s="54">
        <f t="shared" si="145"/>
        <v>18</v>
      </c>
      <c r="M445" s="55" t="str" cm="1">
        <f t="array" ref="M445">INDEX(Processing!$W$6:$W$17,MONTH('ALL ORDERS'!K445))</f>
        <v>December</v>
      </c>
      <c r="N445" s="54">
        <f t="shared" si="146"/>
        <v>2024</v>
      </c>
      <c r="O445" s="58">
        <v>0.75</v>
      </c>
      <c r="P445" s="59" t="s">
        <v>215</v>
      </c>
      <c r="Q445" s="60" t="s">
        <v>94</v>
      </c>
      <c r="R445" s="56" t="s">
        <v>304</v>
      </c>
      <c r="S445" s="61" t="s">
        <v>44</v>
      </c>
      <c r="T445" s="62" t="s">
        <v>776</v>
      </c>
      <c r="U445" s="63" t="s">
        <v>26</v>
      </c>
      <c r="V445" s="63" t="s">
        <v>147</v>
      </c>
      <c r="W445" s="64">
        <v>1431</v>
      </c>
      <c r="X445" s="64">
        <v>5</v>
      </c>
      <c r="Y445" s="47"/>
      <c r="Z445" s="47"/>
    </row>
    <row r="446" spans="1:26" ht="24" x14ac:dyDescent="0.25">
      <c r="A446" s="53">
        <v>45644</v>
      </c>
      <c r="B446" s="54">
        <f t="shared" si="140"/>
        <v>18</v>
      </c>
      <c r="C446" s="55" t="str" cm="1">
        <f t="array" ref="C446">INDEX(Processing!$C$11:$C$22,MONTH('ALL ORDERS'!A446))</f>
        <v>DEC</v>
      </c>
      <c r="D446" s="54">
        <f t="shared" si="141"/>
        <v>2024</v>
      </c>
      <c r="E446" s="56" t="s">
        <v>49</v>
      </c>
      <c r="F446" s="56" t="s">
        <v>135</v>
      </c>
      <c r="G446" s="100">
        <v>0</v>
      </c>
      <c r="H446" s="100">
        <v>2180</v>
      </c>
      <c r="I446" s="57"/>
      <c r="J446" s="99">
        <f t="shared" si="139"/>
        <v>2180</v>
      </c>
      <c r="K446" s="53">
        <v>45644</v>
      </c>
      <c r="L446" s="54">
        <f t="shared" si="145"/>
        <v>18</v>
      </c>
      <c r="M446" s="55" t="str" cm="1">
        <f t="array" ref="M446">INDEX(Processing!$W$6:$W$17,MONTH('ALL ORDERS'!K446))</f>
        <v>December</v>
      </c>
      <c r="N446" s="54">
        <f t="shared" si="146"/>
        <v>2024</v>
      </c>
      <c r="O446" s="58">
        <v>0.375</v>
      </c>
      <c r="P446" s="59" t="s">
        <v>186</v>
      </c>
      <c r="Q446" s="60" t="s">
        <v>91</v>
      </c>
      <c r="R446" s="56" t="s">
        <v>271</v>
      </c>
      <c r="S446" s="61" t="s">
        <v>42</v>
      </c>
      <c r="T446" s="70">
        <v>26900888990</v>
      </c>
      <c r="U446" s="63" t="s">
        <v>26</v>
      </c>
      <c r="V446" s="63" t="s">
        <v>147</v>
      </c>
      <c r="W446" s="64">
        <v>2395</v>
      </c>
      <c r="X446" s="64">
        <v>5</v>
      </c>
      <c r="Y446" s="47"/>
      <c r="Z446" s="47"/>
    </row>
    <row r="447" spans="1:26" ht="24" x14ac:dyDescent="0.25">
      <c r="A447" s="53">
        <v>45644</v>
      </c>
      <c r="B447" s="54">
        <f t="shared" si="140"/>
        <v>18</v>
      </c>
      <c r="C447" s="55" t="str" cm="1">
        <f t="array" ref="C447">INDEX(Processing!$C$11:$C$22,MONTH('ALL ORDERS'!A447))</f>
        <v>DEC</v>
      </c>
      <c r="D447" s="54">
        <f t="shared" si="141"/>
        <v>2024</v>
      </c>
      <c r="E447" s="56" t="s">
        <v>47</v>
      </c>
      <c r="F447" s="56" t="s">
        <v>126</v>
      </c>
      <c r="G447" s="100">
        <v>0</v>
      </c>
      <c r="H447" s="100">
        <v>920</v>
      </c>
      <c r="I447" s="57"/>
      <c r="J447" s="99">
        <f t="shared" si="139"/>
        <v>920</v>
      </c>
      <c r="K447" s="53">
        <v>45644</v>
      </c>
      <c r="L447" s="54">
        <f t="shared" si="145"/>
        <v>18</v>
      </c>
      <c r="M447" s="55" t="str" cm="1">
        <f t="array" ref="M447">INDEX(Processing!$W$6:$W$17,MONTH('ALL ORDERS'!K447))</f>
        <v>December</v>
      </c>
      <c r="N447" s="54">
        <f t="shared" si="146"/>
        <v>2024</v>
      </c>
      <c r="O447" s="58">
        <v>0.45833333333333331</v>
      </c>
      <c r="P447" s="59" t="s">
        <v>159</v>
      </c>
      <c r="Q447" s="60" t="s">
        <v>94</v>
      </c>
      <c r="R447" s="56" t="s">
        <v>241</v>
      </c>
      <c r="S447" s="61" t="s">
        <v>42</v>
      </c>
      <c r="T447" s="62" t="s">
        <v>777</v>
      </c>
      <c r="U447" s="63" t="s">
        <v>25</v>
      </c>
      <c r="V447" s="63" t="s">
        <v>147</v>
      </c>
      <c r="W447" s="64">
        <v>3230</v>
      </c>
      <c r="X447" s="64">
        <v>5</v>
      </c>
      <c r="Y447" s="47"/>
      <c r="Z447" s="47"/>
    </row>
    <row r="448" spans="1:26" ht="24" x14ac:dyDescent="0.25">
      <c r="A448" s="53">
        <v>45647</v>
      </c>
      <c r="B448" s="54">
        <f t="shared" ref="B448" si="147">DAY(A448)</f>
        <v>21</v>
      </c>
      <c r="C448" s="55" t="str" cm="1">
        <f t="array" ref="C448">INDEX(Processing!$C$11:$C$22,MONTH('ALL ORDERS'!A448))</f>
        <v>DEC</v>
      </c>
      <c r="D448" s="54">
        <f t="shared" ref="D448" si="148">YEAR(A448)</f>
        <v>2024</v>
      </c>
      <c r="E448" s="56" t="s">
        <v>47</v>
      </c>
      <c r="F448" s="56" t="s">
        <v>126</v>
      </c>
      <c r="G448" s="100">
        <v>6920</v>
      </c>
      <c r="H448" s="100">
        <v>0</v>
      </c>
      <c r="I448" s="57">
        <v>0.05</v>
      </c>
      <c r="J448" s="99">
        <f t="shared" si="139"/>
        <v>6920</v>
      </c>
      <c r="K448" s="53">
        <v>45647</v>
      </c>
      <c r="L448" s="54">
        <f t="shared" si="145"/>
        <v>21</v>
      </c>
      <c r="M448" s="55" t="str" cm="1">
        <f t="array" ref="M448">INDEX(Processing!$W$6:$W$17,MONTH('ALL ORDERS'!K448))</f>
        <v>December</v>
      </c>
      <c r="N448" s="54">
        <f t="shared" ref="N448" si="149">YEAR(K448)</f>
        <v>2024</v>
      </c>
      <c r="O448" s="58">
        <v>0.5</v>
      </c>
      <c r="P448" s="59" t="s">
        <v>160</v>
      </c>
      <c r="Q448" s="60" t="s">
        <v>94</v>
      </c>
      <c r="R448" s="56" t="s">
        <v>1098</v>
      </c>
      <c r="S448" s="61" t="s">
        <v>42</v>
      </c>
      <c r="T448" s="62" t="s">
        <v>788</v>
      </c>
      <c r="U448" s="63" t="s">
        <v>25</v>
      </c>
      <c r="V448" s="63" t="s">
        <v>147</v>
      </c>
      <c r="W448" s="64">
        <v>3555</v>
      </c>
      <c r="X448" s="64">
        <v>5</v>
      </c>
      <c r="Y448" s="47"/>
      <c r="Z448" s="47"/>
    </row>
    <row r="449" spans="1:26" ht="24" x14ac:dyDescent="0.25">
      <c r="A449" s="53">
        <v>45647</v>
      </c>
      <c r="B449" s="54">
        <f t="shared" si="140"/>
        <v>21</v>
      </c>
      <c r="C449" s="55" t="str" cm="1">
        <f t="array" ref="C449">INDEX(Processing!$C$11:$C$22,MONTH('ALL ORDERS'!A449))</f>
        <v>DEC</v>
      </c>
      <c r="D449" s="54">
        <f t="shared" si="141"/>
        <v>2024</v>
      </c>
      <c r="E449" s="56" t="s">
        <v>50</v>
      </c>
      <c r="F449" s="56" t="s">
        <v>127</v>
      </c>
      <c r="G449" s="100">
        <v>0</v>
      </c>
      <c r="H449" s="100">
        <v>3200</v>
      </c>
      <c r="I449" s="57"/>
      <c r="J449" s="99">
        <f t="shared" si="139"/>
        <v>3200</v>
      </c>
      <c r="K449" s="53">
        <v>45647</v>
      </c>
      <c r="L449" s="54">
        <f t="shared" si="145"/>
        <v>21</v>
      </c>
      <c r="M449" s="55" t="str" cm="1">
        <f t="array" ref="M449">INDEX(Processing!$W$6:$W$17,MONTH('ALL ORDERS'!K449))</f>
        <v>December</v>
      </c>
      <c r="N449" s="54">
        <f t="shared" si="146"/>
        <v>2024</v>
      </c>
      <c r="O449" s="58">
        <v>0.625</v>
      </c>
      <c r="P449" s="59" t="s">
        <v>176</v>
      </c>
      <c r="Q449" s="60" t="s">
        <v>94</v>
      </c>
      <c r="R449" s="56" t="s">
        <v>260</v>
      </c>
      <c r="S449" s="61" t="s">
        <v>41</v>
      </c>
      <c r="T449" s="62" t="s">
        <v>778</v>
      </c>
      <c r="U449" s="63" t="s">
        <v>23</v>
      </c>
      <c r="V449" s="63" t="s">
        <v>147</v>
      </c>
      <c r="W449" s="64">
        <v>3491</v>
      </c>
      <c r="X449" s="64">
        <v>5</v>
      </c>
      <c r="Y449" s="47"/>
      <c r="Z449" s="47"/>
    </row>
    <row r="450" spans="1:26" ht="24" x14ac:dyDescent="0.25">
      <c r="A450" s="53">
        <v>45648</v>
      </c>
      <c r="B450" s="54">
        <f t="shared" si="140"/>
        <v>22</v>
      </c>
      <c r="C450" s="55" t="str" cm="1">
        <f t="array" ref="C450">INDEX(Processing!$C$11:$C$22,MONTH('ALL ORDERS'!A450))</f>
        <v>DEC</v>
      </c>
      <c r="D450" s="54">
        <f t="shared" si="141"/>
        <v>2024</v>
      </c>
      <c r="E450" s="56" t="s">
        <v>47</v>
      </c>
      <c r="F450" s="56" t="s">
        <v>121</v>
      </c>
      <c r="G450" s="100">
        <v>0</v>
      </c>
      <c r="H450" s="100">
        <v>2320</v>
      </c>
      <c r="I450" s="57"/>
      <c r="J450" s="99">
        <f t="shared" si="139"/>
        <v>2320</v>
      </c>
      <c r="K450" s="53">
        <v>45648</v>
      </c>
      <c r="L450" s="54">
        <f t="shared" si="145"/>
        <v>22</v>
      </c>
      <c r="M450" s="55" t="str" cm="1">
        <f t="array" ref="M450">INDEX(Processing!$W$6:$W$17,MONTH('ALL ORDERS'!K450))</f>
        <v>December</v>
      </c>
      <c r="N450" s="54">
        <f t="shared" si="146"/>
        <v>2024</v>
      </c>
      <c r="O450" s="58">
        <v>0.45833333333333331</v>
      </c>
      <c r="P450" s="59" t="s">
        <v>354</v>
      </c>
      <c r="Q450" s="60" t="s">
        <v>94</v>
      </c>
      <c r="R450" s="56" t="s">
        <v>323</v>
      </c>
      <c r="S450" s="61" t="s">
        <v>43</v>
      </c>
      <c r="T450" s="62" t="s">
        <v>779</v>
      </c>
      <c r="U450" s="63" t="s">
        <v>27</v>
      </c>
      <c r="V450" s="63" t="s">
        <v>147</v>
      </c>
      <c r="W450" s="64">
        <v>1174</v>
      </c>
      <c r="X450" s="64">
        <v>5</v>
      </c>
      <c r="Y450" s="47"/>
      <c r="Z450" s="47"/>
    </row>
    <row r="451" spans="1:26" ht="24" x14ac:dyDescent="0.25">
      <c r="A451" s="53">
        <v>45649</v>
      </c>
      <c r="B451" s="54">
        <f t="shared" si="140"/>
        <v>23</v>
      </c>
      <c r="C451" s="55" t="str" cm="1">
        <f t="array" ref="C451">INDEX(Processing!$C$11:$C$22,MONTH('ALL ORDERS'!A451))</f>
        <v>DEC</v>
      </c>
      <c r="D451" s="54">
        <f t="shared" si="141"/>
        <v>2024</v>
      </c>
      <c r="E451" s="56" t="s">
        <v>48</v>
      </c>
      <c r="F451" s="56" t="s">
        <v>124</v>
      </c>
      <c r="G451" s="100">
        <v>0</v>
      </c>
      <c r="H451" s="100">
        <v>3800</v>
      </c>
      <c r="I451" s="57"/>
      <c r="J451" s="99">
        <f t="shared" si="139"/>
        <v>3800</v>
      </c>
      <c r="K451" s="53">
        <v>45649</v>
      </c>
      <c r="L451" s="54">
        <f t="shared" si="145"/>
        <v>23</v>
      </c>
      <c r="M451" s="55" t="str" cm="1">
        <f t="array" ref="M451">INDEX(Processing!$W$6:$W$17,MONTH('ALL ORDERS'!K451))</f>
        <v>December</v>
      </c>
      <c r="N451" s="54">
        <f t="shared" si="146"/>
        <v>2024</v>
      </c>
      <c r="O451" s="58">
        <v>0.375</v>
      </c>
      <c r="P451" s="59" t="s">
        <v>169</v>
      </c>
      <c r="Q451" s="60" t="s">
        <v>94</v>
      </c>
      <c r="R451" s="56" t="s">
        <v>252</v>
      </c>
      <c r="S451" s="61" t="s">
        <v>41</v>
      </c>
      <c r="T451" s="62" t="s">
        <v>780</v>
      </c>
      <c r="U451" s="63" t="s">
        <v>26</v>
      </c>
      <c r="V451" s="63" t="s">
        <v>147</v>
      </c>
      <c r="W451" s="64">
        <v>2272</v>
      </c>
      <c r="X451" s="64">
        <v>5</v>
      </c>
      <c r="Y451" s="47"/>
      <c r="Z451" s="47"/>
    </row>
    <row r="452" spans="1:26" ht="24" x14ac:dyDescent="0.25">
      <c r="A452" s="53">
        <v>45650</v>
      </c>
      <c r="B452" s="54">
        <f t="shared" si="140"/>
        <v>24</v>
      </c>
      <c r="C452" s="55" t="str" cm="1">
        <f t="array" ref="C452">INDEX(Processing!$C$11:$C$22,MONTH('ALL ORDERS'!A452))</f>
        <v>DEC</v>
      </c>
      <c r="D452" s="54">
        <f t="shared" si="141"/>
        <v>2024</v>
      </c>
      <c r="E452" s="56" t="s">
        <v>49</v>
      </c>
      <c r="F452" s="56" t="s">
        <v>125</v>
      </c>
      <c r="G452" s="100">
        <v>0</v>
      </c>
      <c r="H452" s="100">
        <v>2110</v>
      </c>
      <c r="I452" s="57"/>
      <c r="J452" s="99">
        <f t="shared" si="139"/>
        <v>2110</v>
      </c>
      <c r="K452" s="53">
        <v>45650</v>
      </c>
      <c r="L452" s="54">
        <f t="shared" si="145"/>
        <v>24</v>
      </c>
      <c r="M452" s="55" t="str" cm="1">
        <f t="array" ref="M452">INDEX(Processing!$W$6:$W$17,MONTH('ALL ORDERS'!K452))</f>
        <v>December</v>
      </c>
      <c r="N452" s="54">
        <f t="shared" si="146"/>
        <v>2024</v>
      </c>
      <c r="O452" s="58">
        <v>0.375</v>
      </c>
      <c r="P452" s="59" t="s">
        <v>188</v>
      </c>
      <c r="Q452" s="60" t="s">
        <v>94</v>
      </c>
      <c r="R452" s="56" t="s">
        <v>274</v>
      </c>
      <c r="S452" s="61" t="s">
        <v>43</v>
      </c>
      <c r="T452" s="62" t="s">
        <v>781</v>
      </c>
      <c r="U452" s="63" t="s">
        <v>26</v>
      </c>
      <c r="V452" s="63" t="s">
        <v>147</v>
      </c>
      <c r="W452" s="64">
        <v>1496</v>
      </c>
      <c r="X452" s="64">
        <v>5</v>
      </c>
      <c r="Y452" s="47"/>
      <c r="Z452" s="47"/>
    </row>
    <row r="453" spans="1:26" ht="24" x14ac:dyDescent="0.25">
      <c r="A453" s="53">
        <v>45650</v>
      </c>
      <c r="B453" s="54">
        <f t="shared" si="140"/>
        <v>24</v>
      </c>
      <c r="C453" s="55" t="str" cm="1">
        <f t="array" ref="C453">INDEX(Processing!$C$11:$C$22,MONTH('ALL ORDERS'!A453))</f>
        <v>DEC</v>
      </c>
      <c r="D453" s="54">
        <f t="shared" si="141"/>
        <v>2024</v>
      </c>
      <c r="E453" s="56" t="s">
        <v>47</v>
      </c>
      <c r="F453" s="56" t="s">
        <v>124</v>
      </c>
      <c r="G453" s="100">
        <v>0</v>
      </c>
      <c r="H453" s="100">
        <v>3550</v>
      </c>
      <c r="I453" s="57"/>
      <c r="J453" s="99">
        <f t="shared" si="139"/>
        <v>3550</v>
      </c>
      <c r="K453" s="53">
        <v>45650</v>
      </c>
      <c r="L453" s="54">
        <f t="shared" si="145"/>
        <v>24</v>
      </c>
      <c r="M453" s="55" t="str" cm="1">
        <f t="array" ref="M453">INDEX(Processing!$W$6:$W$17,MONTH('ALL ORDERS'!K453))</f>
        <v>December</v>
      </c>
      <c r="N453" s="54">
        <f t="shared" si="146"/>
        <v>2024</v>
      </c>
      <c r="O453" s="58">
        <v>0.45833333333333331</v>
      </c>
      <c r="P453" s="59" t="s">
        <v>342</v>
      </c>
      <c r="Q453" s="60" t="s">
        <v>90</v>
      </c>
      <c r="R453" s="56" t="s">
        <v>293</v>
      </c>
      <c r="S453" s="61" t="s">
        <v>45</v>
      </c>
      <c r="T453" s="62" t="s">
        <v>782</v>
      </c>
      <c r="U453" s="63" t="s">
        <v>25</v>
      </c>
      <c r="V453" s="63" t="s">
        <v>147</v>
      </c>
      <c r="W453" s="64">
        <v>482</v>
      </c>
      <c r="X453" s="64">
        <v>5</v>
      </c>
      <c r="Y453" s="47"/>
      <c r="Z453" s="47"/>
    </row>
    <row r="454" spans="1:26" ht="24" x14ac:dyDescent="0.25">
      <c r="A454" s="53">
        <v>45652</v>
      </c>
      <c r="B454" s="54">
        <f t="shared" si="140"/>
        <v>26</v>
      </c>
      <c r="C454" s="55" t="str" cm="1">
        <f t="array" ref="C454">INDEX(Processing!$C$11:$C$22,MONTH('ALL ORDERS'!A454))</f>
        <v>DEC</v>
      </c>
      <c r="D454" s="54">
        <f t="shared" si="141"/>
        <v>2024</v>
      </c>
      <c r="E454" s="56" t="s">
        <v>48</v>
      </c>
      <c r="F454" s="56" t="s">
        <v>124</v>
      </c>
      <c r="G454" s="100">
        <v>0</v>
      </c>
      <c r="H454" s="100">
        <v>1650</v>
      </c>
      <c r="I454" s="57"/>
      <c r="J454" s="99">
        <f t="shared" si="139"/>
        <v>1650</v>
      </c>
      <c r="K454" s="53">
        <v>45652</v>
      </c>
      <c r="L454" s="54">
        <f t="shared" si="145"/>
        <v>26</v>
      </c>
      <c r="M454" s="55" t="str" cm="1">
        <f t="array" ref="M454">INDEX(Processing!$W$6:$W$17,MONTH('ALL ORDERS'!K454))</f>
        <v>December</v>
      </c>
      <c r="N454" s="54">
        <f t="shared" si="146"/>
        <v>2024</v>
      </c>
      <c r="O454" s="58">
        <v>0.375</v>
      </c>
      <c r="P454" s="59" t="s">
        <v>165</v>
      </c>
      <c r="Q454" s="60" t="s">
        <v>90</v>
      </c>
      <c r="R454" s="56" t="s">
        <v>248</v>
      </c>
      <c r="S454" s="61" t="s">
        <v>43</v>
      </c>
      <c r="T454" s="62" t="s">
        <v>783</v>
      </c>
      <c r="U454" s="63" t="s">
        <v>26</v>
      </c>
      <c r="V454" s="63" t="s">
        <v>147</v>
      </c>
      <c r="W454" s="64">
        <v>3777</v>
      </c>
      <c r="X454" s="64">
        <v>4</v>
      </c>
      <c r="Y454" s="47"/>
      <c r="Z454" s="47"/>
    </row>
    <row r="455" spans="1:26" ht="24" x14ac:dyDescent="0.25">
      <c r="A455" s="53">
        <v>45652</v>
      </c>
      <c r="B455" s="54">
        <f t="shared" si="140"/>
        <v>26</v>
      </c>
      <c r="C455" s="55" t="str" cm="1">
        <f t="array" ref="C455">INDEX(Processing!$C$11:$C$22,MONTH('ALL ORDERS'!A455))</f>
        <v>DEC</v>
      </c>
      <c r="D455" s="54">
        <f t="shared" si="141"/>
        <v>2024</v>
      </c>
      <c r="E455" s="56" t="s">
        <v>51</v>
      </c>
      <c r="F455" s="56" t="s">
        <v>124</v>
      </c>
      <c r="G455" s="100">
        <v>0</v>
      </c>
      <c r="H455" s="100">
        <v>1910</v>
      </c>
      <c r="I455" s="57"/>
      <c r="J455" s="99">
        <f t="shared" si="139"/>
        <v>1910</v>
      </c>
      <c r="K455" s="53">
        <v>45652</v>
      </c>
      <c r="L455" s="54">
        <f t="shared" si="145"/>
        <v>26</v>
      </c>
      <c r="M455" s="55" t="str" cm="1">
        <f t="array" ref="M455">INDEX(Processing!$W$6:$W$17,MONTH('ALL ORDERS'!K455))</f>
        <v>December</v>
      </c>
      <c r="N455" s="54">
        <f t="shared" si="146"/>
        <v>2024</v>
      </c>
      <c r="O455" s="58">
        <v>0.375</v>
      </c>
      <c r="P455" s="59" t="s">
        <v>340</v>
      </c>
      <c r="Q455" s="60" t="e">
        <v>#N/A</v>
      </c>
      <c r="R455" s="56" t="s">
        <v>273</v>
      </c>
      <c r="S455" s="61" t="s">
        <v>44</v>
      </c>
      <c r="T455" s="62" t="s">
        <v>784</v>
      </c>
      <c r="U455" s="63" t="s">
        <v>25</v>
      </c>
      <c r="V455" s="63" t="s">
        <v>147</v>
      </c>
      <c r="W455" s="64">
        <v>1280</v>
      </c>
      <c r="X455" s="64">
        <v>4</v>
      </c>
      <c r="Y455" s="47"/>
      <c r="Z455" s="47"/>
    </row>
    <row r="456" spans="1:26" x14ac:dyDescent="0.25">
      <c r="A456" s="53">
        <v>45667</v>
      </c>
      <c r="B456" s="54">
        <f t="shared" si="140"/>
        <v>10</v>
      </c>
      <c r="C456" s="55" t="str" cm="1">
        <f t="array" ref="C456">INDEX(Processing!$C$11:$C$22,MONTH('ALL ORDERS'!A456))</f>
        <v>JAN</v>
      </c>
      <c r="D456" s="54">
        <f t="shared" si="141"/>
        <v>2025</v>
      </c>
      <c r="E456" s="56" t="s">
        <v>48</v>
      </c>
      <c r="F456" s="56" t="s">
        <v>22</v>
      </c>
      <c r="G456" s="100">
        <v>1900</v>
      </c>
      <c r="H456" s="100">
        <v>0</v>
      </c>
      <c r="I456" s="57"/>
      <c r="J456" s="99">
        <f t="shared" si="139"/>
        <v>1900</v>
      </c>
      <c r="K456" s="53">
        <v>45667</v>
      </c>
      <c r="L456" s="54">
        <f t="shared" si="145"/>
        <v>10</v>
      </c>
      <c r="M456" s="55" t="str" cm="1">
        <f t="array" ref="M456">INDEX(Processing!$W$6:$W$17,MONTH('ALL ORDERS'!K456))</f>
        <v>January</v>
      </c>
      <c r="N456" s="54">
        <f t="shared" si="146"/>
        <v>2025</v>
      </c>
      <c r="O456" s="58">
        <v>0.5</v>
      </c>
      <c r="P456" s="59" t="s">
        <v>211</v>
      </c>
      <c r="Q456" s="60" t="s">
        <v>94</v>
      </c>
      <c r="R456" s="56" t="s">
        <v>299</v>
      </c>
      <c r="S456" s="61" t="s">
        <v>44</v>
      </c>
      <c r="T456" s="62" t="s">
        <v>785</v>
      </c>
      <c r="U456" s="63" t="s">
        <v>24</v>
      </c>
      <c r="V456" s="63" t="s">
        <v>147</v>
      </c>
      <c r="W456" s="64">
        <v>1732</v>
      </c>
      <c r="X456" s="64">
        <v>5</v>
      </c>
      <c r="Y456" s="47"/>
      <c r="Z456" s="47"/>
    </row>
    <row r="457" spans="1:26" x14ac:dyDescent="0.25">
      <c r="A457" s="53">
        <v>45668</v>
      </c>
      <c r="B457" s="54">
        <f t="shared" si="140"/>
        <v>11</v>
      </c>
      <c r="C457" s="55" t="str" cm="1">
        <f t="array" ref="C457">INDEX(Processing!$C$11:$C$22,MONTH('ALL ORDERS'!A457))</f>
        <v>JAN</v>
      </c>
      <c r="D457" s="54">
        <f t="shared" si="141"/>
        <v>2025</v>
      </c>
      <c r="E457" s="56" t="s">
        <v>48</v>
      </c>
      <c r="F457" s="56" t="s">
        <v>134</v>
      </c>
      <c r="G457" s="100">
        <v>400</v>
      </c>
      <c r="H457" s="100">
        <v>0</v>
      </c>
      <c r="I457" s="57"/>
      <c r="J457" s="99">
        <f t="shared" si="139"/>
        <v>400</v>
      </c>
      <c r="K457" s="53">
        <v>45668</v>
      </c>
      <c r="L457" s="54">
        <f t="shared" si="145"/>
        <v>11</v>
      </c>
      <c r="M457" s="55" t="str" cm="1">
        <f t="array" ref="M457">INDEX(Processing!$W$6:$W$17,MONTH('ALL ORDERS'!K457))</f>
        <v>January</v>
      </c>
      <c r="N457" s="54">
        <f t="shared" si="146"/>
        <v>2025</v>
      </c>
      <c r="O457" s="58">
        <v>0.66666666666666663</v>
      </c>
      <c r="P457" s="59" t="s">
        <v>350</v>
      </c>
      <c r="Q457" s="60" t="s">
        <v>91</v>
      </c>
      <c r="R457" s="56" t="s">
        <v>312</v>
      </c>
      <c r="S457" s="61" t="s">
        <v>44</v>
      </c>
      <c r="T457" s="62" t="s">
        <v>786</v>
      </c>
      <c r="U457" s="63" t="s">
        <v>26</v>
      </c>
      <c r="V457" s="63" t="s">
        <v>147</v>
      </c>
      <c r="W457" s="64">
        <v>2625</v>
      </c>
      <c r="X457" s="64">
        <v>3</v>
      </c>
      <c r="Y457" s="47"/>
      <c r="Z457" s="47"/>
    </row>
    <row r="458" spans="1:26" x14ac:dyDescent="0.25">
      <c r="A458" s="53">
        <v>45669</v>
      </c>
      <c r="B458" s="54">
        <f t="shared" si="140"/>
        <v>12</v>
      </c>
      <c r="C458" s="55" t="str" cm="1">
        <f t="array" ref="C458">INDEX(Processing!$C$11:$C$22,MONTH('ALL ORDERS'!A458))</f>
        <v>JAN</v>
      </c>
      <c r="D458" s="54">
        <f t="shared" si="141"/>
        <v>2025</v>
      </c>
      <c r="E458" s="56" t="s">
        <v>51</v>
      </c>
      <c r="F458" s="56" t="s">
        <v>137</v>
      </c>
      <c r="G458" s="100">
        <v>200</v>
      </c>
      <c r="H458" s="100">
        <v>0</v>
      </c>
      <c r="I458" s="57"/>
      <c r="J458" s="99">
        <f t="shared" si="139"/>
        <v>200</v>
      </c>
      <c r="K458" s="53">
        <v>45669</v>
      </c>
      <c r="L458" s="54">
        <f t="shared" si="145"/>
        <v>12</v>
      </c>
      <c r="M458" s="55" t="str" cm="1">
        <f t="array" ref="M458">INDEX(Processing!$W$6:$W$17,MONTH('ALL ORDERS'!K458))</f>
        <v>January</v>
      </c>
      <c r="N458" s="54">
        <f t="shared" si="146"/>
        <v>2025</v>
      </c>
      <c r="O458" s="58">
        <v>0.75</v>
      </c>
      <c r="P458" s="59" t="s">
        <v>169</v>
      </c>
      <c r="Q458" s="60" t="s">
        <v>94</v>
      </c>
      <c r="R458" s="56" t="s">
        <v>252</v>
      </c>
      <c r="S458" s="61" t="s">
        <v>43</v>
      </c>
      <c r="T458" s="62" t="s">
        <v>787</v>
      </c>
      <c r="U458" s="63" t="s">
        <v>26</v>
      </c>
      <c r="V458" s="63" t="s">
        <v>147</v>
      </c>
      <c r="W458" s="64">
        <v>2441</v>
      </c>
      <c r="X458" s="64">
        <v>5</v>
      </c>
      <c r="Y458" s="47"/>
      <c r="Z458" s="47"/>
    </row>
    <row r="459" spans="1:26" x14ac:dyDescent="0.25">
      <c r="A459" s="53">
        <v>45670</v>
      </c>
      <c r="B459" s="54">
        <f t="shared" si="140"/>
        <v>13</v>
      </c>
      <c r="C459" s="55" t="str" cm="1">
        <f t="array" ref="C459">INDEX(Processing!$C$11:$C$22,MONTH('ALL ORDERS'!A459))</f>
        <v>JAN</v>
      </c>
      <c r="D459" s="54">
        <f t="shared" si="141"/>
        <v>2025</v>
      </c>
      <c r="E459" s="56" t="s">
        <v>49</v>
      </c>
      <c r="F459" s="56" t="s">
        <v>131</v>
      </c>
      <c r="G459" s="100">
        <v>0</v>
      </c>
      <c r="H459" s="100">
        <v>300</v>
      </c>
      <c r="I459" s="57"/>
      <c r="J459" s="99">
        <f t="shared" si="139"/>
        <v>300</v>
      </c>
      <c r="K459" s="53">
        <v>45670</v>
      </c>
      <c r="L459" s="54">
        <f t="shared" si="145"/>
        <v>13</v>
      </c>
      <c r="M459" s="55" t="str" cm="1">
        <f t="array" ref="M459">INDEX(Processing!$W$6:$W$17,MONTH('ALL ORDERS'!K459))</f>
        <v>January</v>
      </c>
      <c r="N459" s="54">
        <f t="shared" si="146"/>
        <v>2025</v>
      </c>
      <c r="O459" s="58">
        <v>0.41666666666666669</v>
      </c>
      <c r="P459" s="59" t="s">
        <v>346</v>
      </c>
      <c r="Q459" s="60" t="s">
        <v>94</v>
      </c>
      <c r="R459" s="56" t="s">
        <v>308</v>
      </c>
      <c r="S459" s="61" t="s">
        <v>43</v>
      </c>
      <c r="T459" s="70">
        <v>25900888990</v>
      </c>
      <c r="U459" s="63" t="s">
        <v>24</v>
      </c>
      <c r="V459" s="63" t="s">
        <v>148</v>
      </c>
      <c r="W459" s="64">
        <v>3883</v>
      </c>
      <c r="X459" s="64"/>
      <c r="Y459" s="47"/>
      <c r="Z459" s="47"/>
    </row>
    <row r="460" spans="1:26" x14ac:dyDescent="0.25">
      <c r="A460" s="53">
        <v>45670</v>
      </c>
      <c r="B460" s="54">
        <f t="shared" si="140"/>
        <v>13</v>
      </c>
      <c r="C460" s="55" t="str" cm="1">
        <f t="array" ref="C460">INDEX(Processing!$C$11:$C$22,MONTH('ALL ORDERS'!A460))</f>
        <v>JAN</v>
      </c>
      <c r="D460" s="54">
        <f t="shared" si="141"/>
        <v>2025</v>
      </c>
      <c r="E460" s="56" t="s">
        <v>49</v>
      </c>
      <c r="F460" s="56" t="s">
        <v>133</v>
      </c>
      <c r="G460" s="100">
        <v>200</v>
      </c>
      <c r="H460" s="100">
        <v>0</v>
      </c>
      <c r="I460" s="57"/>
      <c r="J460" s="99">
        <f t="shared" si="139"/>
        <v>200</v>
      </c>
      <c r="K460" s="53">
        <v>45670</v>
      </c>
      <c r="L460" s="54">
        <f t="shared" si="145"/>
        <v>13</v>
      </c>
      <c r="M460" s="55" t="str" cm="1">
        <f t="array" ref="M460">INDEX(Processing!$W$6:$W$17,MONTH('ALL ORDERS'!K460))</f>
        <v>January</v>
      </c>
      <c r="N460" s="54">
        <f t="shared" si="146"/>
        <v>2025</v>
      </c>
      <c r="O460" s="58">
        <v>0.5</v>
      </c>
      <c r="P460" s="59" t="s">
        <v>158</v>
      </c>
      <c r="Q460" s="60" t="s">
        <v>94</v>
      </c>
      <c r="R460" s="56" t="s">
        <v>240</v>
      </c>
      <c r="S460" s="61" t="s">
        <v>41</v>
      </c>
      <c r="T460" s="62" t="s">
        <v>788</v>
      </c>
      <c r="U460" s="63" t="s">
        <v>26</v>
      </c>
      <c r="V460" s="63" t="s">
        <v>147</v>
      </c>
      <c r="W460" s="64">
        <v>5053</v>
      </c>
      <c r="X460" s="64">
        <v>5</v>
      </c>
      <c r="Y460" s="47"/>
      <c r="Z460" s="47"/>
    </row>
    <row r="461" spans="1:26" x14ac:dyDescent="0.25">
      <c r="A461" s="53">
        <v>45670</v>
      </c>
      <c r="B461" s="54">
        <f t="shared" si="140"/>
        <v>13</v>
      </c>
      <c r="C461" s="55" t="str" cm="1">
        <f t="array" ref="C461">INDEX(Processing!$C$11:$C$22,MONTH('ALL ORDERS'!A461))</f>
        <v>JAN</v>
      </c>
      <c r="D461" s="54">
        <f t="shared" si="141"/>
        <v>2025</v>
      </c>
      <c r="E461" s="56" t="s">
        <v>48</v>
      </c>
      <c r="F461" s="56" t="s">
        <v>133</v>
      </c>
      <c r="G461" s="100">
        <v>0</v>
      </c>
      <c r="H461" s="100">
        <v>600</v>
      </c>
      <c r="I461" s="57"/>
      <c r="J461" s="99">
        <f t="shared" si="139"/>
        <v>600</v>
      </c>
      <c r="K461" s="53">
        <v>45670</v>
      </c>
      <c r="L461" s="54">
        <f t="shared" si="145"/>
        <v>13</v>
      </c>
      <c r="M461" s="55" t="str" cm="1">
        <f t="array" ref="M461">INDEX(Processing!$W$6:$W$17,MONTH('ALL ORDERS'!K461))</f>
        <v>January</v>
      </c>
      <c r="N461" s="54">
        <f t="shared" si="146"/>
        <v>2025</v>
      </c>
      <c r="O461" s="58">
        <v>0.66666666666666663</v>
      </c>
      <c r="P461" s="59" t="s">
        <v>207</v>
      </c>
      <c r="Q461" s="60" t="s">
        <v>94</v>
      </c>
      <c r="R461" s="56" t="s">
        <v>295</v>
      </c>
      <c r="S461" s="61" t="s">
        <v>42</v>
      </c>
      <c r="T461" s="62" t="s">
        <v>789</v>
      </c>
      <c r="U461" s="63" t="s">
        <v>27</v>
      </c>
      <c r="V461" s="63" t="s">
        <v>147</v>
      </c>
      <c r="W461" s="64">
        <v>3522</v>
      </c>
      <c r="X461" s="64">
        <v>5</v>
      </c>
      <c r="Y461" s="47"/>
      <c r="Z461" s="47"/>
    </row>
    <row r="462" spans="1:26" x14ac:dyDescent="0.25">
      <c r="A462" s="53">
        <v>45671</v>
      </c>
      <c r="B462" s="54">
        <f t="shared" ref="B462" si="150">DAY(A462)</f>
        <v>14</v>
      </c>
      <c r="C462" s="55" t="str" cm="1">
        <f t="array" ref="C462">INDEX(Processing!$C$11:$C$22,MONTH('ALL ORDERS'!A462))</f>
        <v>JAN</v>
      </c>
      <c r="D462" s="54">
        <f t="shared" ref="D462" si="151">YEAR(A462)</f>
        <v>2025</v>
      </c>
      <c r="E462" s="56" t="s">
        <v>50</v>
      </c>
      <c r="F462" s="56" t="s">
        <v>133</v>
      </c>
      <c r="G462" s="100">
        <v>0</v>
      </c>
      <c r="H462" s="100">
        <v>17610</v>
      </c>
      <c r="I462" s="57"/>
      <c r="J462" s="99">
        <f t="shared" si="139"/>
        <v>17610</v>
      </c>
      <c r="K462" s="53">
        <v>45671</v>
      </c>
      <c r="L462" s="54">
        <f t="shared" si="145"/>
        <v>14</v>
      </c>
      <c r="M462" s="55" t="str" cm="1">
        <f t="array" ref="M462">INDEX(Processing!$W$6:$W$17,MONTH('ALL ORDERS'!K462))</f>
        <v>January</v>
      </c>
      <c r="N462" s="54">
        <f t="shared" ref="N462" si="152">YEAR(K462)</f>
        <v>2025</v>
      </c>
      <c r="O462" s="58">
        <v>0.70833333333333304</v>
      </c>
      <c r="P462" s="59" t="s">
        <v>208</v>
      </c>
      <c r="Q462" s="60" t="s">
        <v>94</v>
      </c>
      <c r="R462" s="56" t="s">
        <v>1099</v>
      </c>
      <c r="S462" s="61" t="s">
        <v>42</v>
      </c>
      <c r="T462" s="62" t="s">
        <v>800</v>
      </c>
      <c r="U462" s="63" t="s">
        <v>27</v>
      </c>
      <c r="V462" s="63" t="s">
        <v>147</v>
      </c>
      <c r="W462" s="64">
        <v>2526</v>
      </c>
      <c r="X462" s="64">
        <v>5</v>
      </c>
      <c r="Y462" s="47"/>
      <c r="Z462" s="47"/>
    </row>
    <row r="463" spans="1:26" x14ac:dyDescent="0.25">
      <c r="A463" s="53">
        <v>45673</v>
      </c>
      <c r="B463" s="54">
        <f t="shared" si="140"/>
        <v>16</v>
      </c>
      <c r="C463" s="55" t="str" cm="1">
        <f t="array" ref="C463">INDEX(Processing!$C$11:$C$22,MONTH('ALL ORDERS'!A463))</f>
        <v>JAN</v>
      </c>
      <c r="D463" s="54">
        <f t="shared" si="141"/>
        <v>2025</v>
      </c>
      <c r="E463" s="56" t="s">
        <v>48</v>
      </c>
      <c r="F463" s="56" t="s">
        <v>134</v>
      </c>
      <c r="G463" s="100">
        <v>2000</v>
      </c>
      <c r="H463" s="100">
        <v>0</v>
      </c>
      <c r="I463" s="57"/>
      <c r="J463" s="99">
        <f t="shared" si="139"/>
        <v>2000</v>
      </c>
      <c r="K463" s="53">
        <v>45673</v>
      </c>
      <c r="L463" s="54">
        <f t="shared" si="145"/>
        <v>16</v>
      </c>
      <c r="M463" s="55" t="str" cm="1">
        <f t="array" ref="M463">INDEX(Processing!$W$6:$W$17,MONTH('ALL ORDERS'!K463))</f>
        <v>January</v>
      </c>
      <c r="N463" s="54">
        <f t="shared" si="146"/>
        <v>2025</v>
      </c>
      <c r="O463" s="58">
        <v>0.75</v>
      </c>
      <c r="P463" s="59" t="s">
        <v>348</v>
      </c>
      <c r="Q463" s="60" t="s">
        <v>90</v>
      </c>
      <c r="R463" s="56" t="s">
        <v>310</v>
      </c>
      <c r="S463" s="61" t="s">
        <v>43</v>
      </c>
      <c r="T463" s="62" t="s">
        <v>790</v>
      </c>
      <c r="U463" s="63" t="s">
        <v>23</v>
      </c>
      <c r="V463" s="63" t="s">
        <v>147</v>
      </c>
      <c r="W463" s="64">
        <v>4945</v>
      </c>
      <c r="X463" s="64">
        <v>4</v>
      </c>
      <c r="Y463" s="47"/>
      <c r="Z463" s="47"/>
    </row>
    <row r="464" spans="1:26" x14ac:dyDescent="0.25">
      <c r="A464" s="53">
        <v>45673</v>
      </c>
      <c r="B464" s="54">
        <f t="shared" si="140"/>
        <v>16</v>
      </c>
      <c r="C464" s="55" t="str" cm="1">
        <f t="array" ref="C464">INDEX(Processing!$C$11:$C$22,MONTH('ALL ORDERS'!A464))</f>
        <v>JAN</v>
      </c>
      <c r="D464" s="54">
        <f t="shared" si="141"/>
        <v>2025</v>
      </c>
      <c r="E464" s="56" t="s">
        <v>51</v>
      </c>
      <c r="F464" s="56" t="s">
        <v>134</v>
      </c>
      <c r="G464" s="100">
        <v>0</v>
      </c>
      <c r="H464" s="100">
        <v>4000</v>
      </c>
      <c r="I464" s="57">
        <v>0.15</v>
      </c>
      <c r="J464" s="99">
        <f t="shared" si="139"/>
        <v>4000</v>
      </c>
      <c r="K464" s="53">
        <v>45673</v>
      </c>
      <c r="L464" s="54">
        <f t="shared" si="145"/>
        <v>16</v>
      </c>
      <c r="M464" s="55" t="str" cm="1">
        <f t="array" ref="M464">INDEX(Processing!$W$6:$W$17,MONTH('ALL ORDERS'!K464))</f>
        <v>January</v>
      </c>
      <c r="N464" s="54">
        <f t="shared" si="146"/>
        <v>2025</v>
      </c>
      <c r="O464" s="58">
        <v>0.41666666666666669</v>
      </c>
      <c r="P464" s="59" t="s">
        <v>218</v>
      </c>
      <c r="Q464" s="60" t="e">
        <v>#N/A</v>
      </c>
      <c r="R464" s="56" t="s">
        <v>317</v>
      </c>
      <c r="S464" s="61" t="s">
        <v>43</v>
      </c>
      <c r="T464" s="62" t="s">
        <v>791</v>
      </c>
      <c r="U464" s="63" t="s">
        <v>25</v>
      </c>
      <c r="V464" s="63" t="s">
        <v>147</v>
      </c>
      <c r="W464" s="64">
        <v>4144</v>
      </c>
      <c r="X464" s="64">
        <v>5</v>
      </c>
      <c r="Y464" s="47"/>
      <c r="Z464" s="47"/>
    </row>
    <row r="465" spans="1:26" x14ac:dyDescent="0.25">
      <c r="A465" s="53">
        <v>45675</v>
      </c>
      <c r="B465" s="54">
        <f t="shared" si="140"/>
        <v>18</v>
      </c>
      <c r="C465" s="55" t="str" cm="1">
        <f t="array" ref="C465">INDEX(Processing!$C$11:$C$22,MONTH('ALL ORDERS'!A465))</f>
        <v>JAN</v>
      </c>
      <c r="D465" s="54">
        <f t="shared" si="141"/>
        <v>2025</v>
      </c>
      <c r="E465" s="56" t="s">
        <v>48</v>
      </c>
      <c r="F465" s="56" t="s">
        <v>19</v>
      </c>
      <c r="G465" s="100">
        <v>0</v>
      </c>
      <c r="H465" s="100">
        <v>200</v>
      </c>
      <c r="I465" s="57"/>
      <c r="J465" s="99">
        <f t="shared" si="139"/>
        <v>200</v>
      </c>
      <c r="K465" s="53">
        <v>45675</v>
      </c>
      <c r="L465" s="54">
        <f t="shared" si="145"/>
        <v>18</v>
      </c>
      <c r="M465" s="55" t="str" cm="1">
        <f t="array" ref="M465">INDEX(Processing!$W$6:$W$17,MONTH('ALL ORDERS'!K465))</f>
        <v>January</v>
      </c>
      <c r="N465" s="54">
        <f t="shared" si="146"/>
        <v>2025</v>
      </c>
      <c r="O465" s="58">
        <v>0.5</v>
      </c>
      <c r="P465" s="59" t="s">
        <v>190</v>
      </c>
      <c r="Q465" s="60" t="s">
        <v>94</v>
      </c>
      <c r="R465" s="56" t="s">
        <v>276</v>
      </c>
      <c r="S465" s="61" t="s">
        <v>45</v>
      </c>
      <c r="T465" s="62" t="s">
        <v>792</v>
      </c>
      <c r="U465" s="63" t="s">
        <v>23</v>
      </c>
      <c r="V465" s="63" t="s">
        <v>147</v>
      </c>
      <c r="W465" s="64">
        <v>2285</v>
      </c>
      <c r="X465" s="64">
        <v>5</v>
      </c>
      <c r="Y465" s="47"/>
      <c r="Z465" s="47"/>
    </row>
    <row r="466" spans="1:26" x14ac:dyDescent="0.25">
      <c r="A466" s="53">
        <v>45676</v>
      </c>
      <c r="B466" s="54">
        <f t="shared" si="140"/>
        <v>19</v>
      </c>
      <c r="C466" s="55" t="str" cm="1">
        <f t="array" ref="C466">INDEX(Processing!$C$11:$C$22,MONTH('ALL ORDERS'!A466))</f>
        <v>JAN</v>
      </c>
      <c r="D466" s="54">
        <f t="shared" si="141"/>
        <v>2025</v>
      </c>
      <c r="E466" s="56" t="s">
        <v>48</v>
      </c>
      <c r="F466" s="56" t="s">
        <v>19</v>
      </c>
      <c r="G466" s="100">
        <v>800</v>
      </c>
      <c r="H466" s="100">
        <v>0</v>
      </c>
      <c r="I466" s="57"/>
      <c r="J466" s="99">
        <f t="shared" si="139"/>
        <v>800</v>
      </c>
      <c r="K466" s="53">
        <v>45676</v>
      </c>
      <c r="L466" s="54">
        <f t="shared" si="145"/>
        <v>19</v>
      </c>
      <c r="M466" s="55" t="str" cm="1">
        <f t="array" ref="M466">INDEX(Processing!$W$6:$W$17,MONTH('ALL ORDERS'!K466))</f>
        <v>January</v>
      </c>
      <c r="N466" s="54">
        <f t="shared" si="146"/>
        <v>2025</v>
      </c>
      <c r="O466" s="58">
        <v>0.66666666666666663</v>
      </c>
      <c r="P466" s="59" t="s">
        <v>171</v>
      </c>
      <c r="Q466" s="60" t="s">
        <v>94</v>
      </c>
      <c r="R466" s="56" t="s">
        <v>255</v>
      </c>
      <c r="S466" s="61" t="s">
        <v>43</v>
      </c>
      <c r="T466" s="62" t="s">
        <v>793</v>
      </c>
      <c r="U466" s="63" t="s">
        <v>26</v>
      </c>
      <c r="V466" s="63" t="s">
        <v>147</v>
      </c>
      <c r="W466" s="64">
        <v>3948</v>
      </c>
      <c r="X466" s="64">
        <v>5</v>
      </c>
      <c r="Y466" s="47"/>
      <c r="Z466" s="47"/>
    </row>
    <row r="467" spans="1:26" x14ac:dyDescent="0.25">
      <c r="A467" s="53">
        <v>45677</v>
      </c>
      <c r="B467" s="54">
        <f t="shared" si="140"/>
        <v>20</v>
      </c>
      <c r="C467" s="55" t="str" cm="1">
        <f t="array" ref="C467">INDEX(Processing!$C$11:$C$22,MONTH('ALL ORDERS'!A467))</f>
        <v>JAN</v>
      </c>
      <c r="D467" s="54">
        <f t="shared" si="141"/>
        <v>2025</v>
      </c>
      <c r="E467" s="56" t="s">
        <v>47</v>
      </c>
      <c r="F467" s="56" t="s">
        <v>128</v>
      </c>
      <c r="G467" s="100">
        <v>10000</v>
      </c>
      <c r="H467" s="100">
        <v>3000</v>
      </c>
      <c r="I467" s="57"/>
      <c r="J467" s="99">
        <f t="shared" si="139"/>
        <v>13000</v>
      </c>
      <c r="K467" s="53">
        <v>45677</v>
      </c>
      <c r="L467" s="54">
        <f t="shared" si="145"/>
        <v>20</v>
      </c>
      <c r="M467" s="55" t="str" cm="1">
        <f t="array" ref="M467">INDEX(Processing!$W$6:$W$17,MONTH('ALL ORDERS'!K467))</f>
        <v>January</v>
      </c>
      <c r="N467" s="54">
        <f t="shared" si="146"/>
        <v>2025</v>
      </c>
      <c r="O467" s="58">
        <v>0.75</v>
      </c>
      <c r="P467" s="59" t="s">
        <v>208</v>
      </c>
      <c r="Q467" s="60" t="s">
        <v>94</v>
      </c>
      <c r="R467" s="56" t="s">
        <v>296</v>
      </c>
      <c r="S467" s="61" t="s">
        <v>43</v>
      </c>
      <c r="T467" s="62" t="s">
        <v>794</v>
      </c>
      <c r="U467" s="63" t="s">
        <v>24</v>
      </c>
      <c r="V467" s="63" t="s">
        <v>147</v>
      </c>
      <c r="W467" s="64">
        <v>4310</v>
      </c>
      <c r="X467" s="64">
        <v>3</v>
      </c>
      <c r="Y467" s="47"/>
      <c r="Z467" s="47"/>
    </row>
    <row r="468" spans="1:26" x14ac:dyDescent="0.25">
      <c r="A468" s="53">
        <v>45677</v>
      </c>
      <c r="B468" s="54">
        <f t="shared" si="140"/>
        <v>20</v>
      </c>
      <c r="C468" s="55" t="str" cm="1">
        <f t="array" ref="C468">INDEX(Processing!$C$11:$C$22,MONTH('ALL ORDERS'!A468))</f>
        <v>JAN</v>
      </c>
      <c r="D468" s="54">
        <f t="shared" si="141"/>
        <v>2025</v>
      </c>
      <c r="E468" s="56" t="s">
        <v>49</v>
      </c>
      <c r="F468" s="56" t="s">
        <v>22</v>
      </c>
      <c r="G468" s="100">
        <v>14600</v>
      </c>
      <c r="H468" s="100">
        <v>0</v>
      </c>
      <c r="I468" s="57"/>
      <c r="J468" s="99">
        <f t="shared" si="139"/>
        <v>14600</v>
      </c>
      <c r="K468" s="53">
        <v>45677</v>
      </c>
      <c r="L468" s="54">
        <f t="shared" si="145"/>
        <v>20</v>
      </c>
      <c r="M468" s="55" t="str" cm="1">
        <f t="array" ref="M468">INDEX(Processing!$W$6:$W$17,MONTH('ALL ORDERS'!K468))</f>
        <v>January</v>
      </c>
      <c r="N468" s="54">
        <f t="shared" si="146"/>
        <v>2025</v>
      </c>
      <c r="O468" s="58">
        <v>0.375</v>
      </c>
      <c r="P468" s="59" t="s">
        <v>203</v>
      </c>
      <c r="Q468" s="60" t="s">
        <v>94</v>
      </c>
      <c r="R468" s="56" t="s">
        <v>290</v>
      </c>
      <c r="S468" s="61" t="s">
        <v>41</v>
      </c>
      <c r="T468" s="62" t="s">
        <v>795</v>
      </c>
      <c r="U468" s="63" t="s">
        <v>24</v>
      </c>
      <c r="V468" s="63" t="s">
        <v>147</v>
      </c>
      <c r="W468" s="64">
        <v>3558</v>
      </c>
      <c r="X468" s="64">
        <v>3</v>
      </c>
      <c r="Y468" s="47"/>
      <c r="Z468" s="47"/>
    </row>
    <row r="469" spans="1:26" x14ac:dyDescent="0.25">
      <c r="A469" s="53">
        <v>45677</v>
      </c>
      <c r="B469" s="54">
        <f t="shared" si="140"/>
        <v>20</v>
      </c>
      <c r="C469" s="55" t="str" cm="1">
        <f t="array" ref="C469">INDEX(Processing!$C$11:$C$22,MONTH('ALL ORDERS'!A469))</f>
        <v>JAN</v>
      </c>
      <c r="D469" s="54">
        <f t="shared" si="141"/>
        <v>2025</v>
      </c>
      <c r="E469" s="56" t="s">
        <v>51</v>
      </c>
      <c r="F469" s="56" t="s">
        <v>127</v>
      </c>
      <c r="G469" s="100">
        <v>0</v>
      </c>
      <c r="H469" s="100">
        <v>3000</v>
      </c>
      <c r="I469" s="57"/>
      <c r="J469" s="99">
        <f t="shared" si="139"/>
        <v>3000</v>
      </c>
      <c r="K469" s="53">
        <v>45677</v>
      </c>
      <c r="L469" s="54">
        <f t="shared" si="145"/>
        <v>20</v>
      </c>
      <c r="M469" s="55" t="str" cm="1">
        <f t="array" ref="M469">INDEX(Processing!$W$6:$W$17,MONTH('ALL ORDERS'!K469))</f>
        <v>January</v>
      </c>
      <c r="N469" s="54">
        <f t="shared" si="146"/>
        <v>2025</v>
      </c>
      <c r="O469" s="58">
        <v>0.45833333333333331</v>
      </c>
      <c r="P469" s="59" t="s">
        <v>194</v>
      </c>
      <c r="Q469" s="60" t="s">
        <v>90</v>
      </c>
      <c r="R469" s="56" t="s">
        <v>280</v>
      </c>
      <c r="S469" s="61" t="s">
        <v>42</v>
      </c>
      <c r="T469" s="62" t="s">
        <v>796</v>
      </c>
      <c r="U469" s="63" t="s">
        <v>26</v>
      </c>
      <c r="V469" s="63" t="s">
        <v>147</v>
      </c>
      <c r="W469" s="64">
        <v>3212</v>
      </c>
      <c r="X469" s="64">
        <v>2</v>
      </c>
      <c r="Y469" s="47"/>
      <c r="Z469" s="47"/>
    </row>
    <row r="470" spans="1:26" x14ac:dyDescent="0.25">
      <c r="A470" s="53">
        <v>45680</v>
      </c>
      <c r="B470" s="54">
        <f t="shared" si="140"/>
        <v>23</v>
      </c>
      <c r="C470" s="55" t="str" cm="1">
        <f t="array" ref="C470">INDEX(Processing!$C$11:$C$22,MONTH('ALL ORDERS'!A470))</f>
        <v>JAN</v>
      </c>
      <c r="D470" s="54">
        <f t="shared" si="141"/>
        <v>2025</v>
      </c>
      <c r="E470" s="56" t="s">
        <v>48</v>
      </c>
      <c r="F470" s="56" t="s">
        <v>125</v>
      </c>
      <c r="G470" s="100">
        <v>500</v>
      </c>
      <c r="H470" s="100">
        <v>0</v>
      </c>
      <c r="I470" s="57"/>
      <c r="J470" s="99">
        <f t="shared" ref="J470:J533" si="153">G470+H470</f>
        <v>500</v>
      </c>
      <c r="K470" s="53">
        <v>45680</v>
      </c>
      <c r="L470" s="54">
        <f t="shared" si="145"/>
        <v>23</v>
      </c>
      <c r="M470" s="55" t="str" cm="1">
        <f t="array" ref="M470">INDEX(Processing!$W$6:$W$17,MONTH('ALL ORDERS'!K470))</f>
        <v>January</v>
      </c>
      <c r="N470" s="54">
        <f t="shared" si="146"/>
        <v>2025</v>
      </c>
      <c r="O470" s="58">
        <v>0.625</v>
      </c>
      <c r="P470" s="59" t="s">
        <v>188</v>
      </c>
      <c r="Q470" s="60" t="s">
        <v>94</v>
      </c>
      <c r="R470" s="56" t="s">
        <v>274</v>
      </c>
      <c r="S470" s="61" t="s">
        <v>43</v>
      </c>
      <c r="T470" s="62" t="s">
        <v>797</v>
      </c>
      <c r="U470" s="63" t="s">
        <v>25</v>
      </c>
      <c r="V470" s="63" t="s">
        <v>147</v>
      </c>
      <c r="W470" s="64">
        <v>4703</v>
      </c>
      <c r="X470" s="64">
        <v>4</v>
      </c>
      <c r="Y470" s="47"/>
      <c r="Z470" s="47"/>
    </row>
    <row r="471" spans="1:26" x14ac:dyDescent="0.25">
      <c r="A471" s="53">
        <v>45680</v>
      </c>
      <c r="B471" s="54">
        <f t="shared" si="140"/>
        <v>23</v>
      </c>
      <c r="C471" s="55" t="str" cm="1">
        <f t="array" ref="C471">INDEX(Processing!$C$11:$C$22,MONTH('ALL ORDERS'!A471))</f>
        <v>JAN</v>
      </c>
      <c r="D471" s="54">
        <f t="shared" si="141"/>
        <v>2025</v>
      </c>
      <c r="E471" s="56" t="s">
        <v>48</v>
      </c>
      <c r="F471" s="56" t="s">
        <v>130</v>
      </c>
      <c r="G471" s="100">
        <v>0</v>
      </c>
      <c r="H471" s="100">
        <v>8000</v>
      </c>
      <c r="I471" s="57"/>
      <c r="J471" s="99">
        <f t="shared" si="153"/>
        <v>8000</v>
      </c>
      <c r="K471" s="53">
        <v>45680</v>
      </c>
      <c r="L471" s="54">
        <f t="shared" si="145"/>
        <v>23</v>
      </c>
      <c r="M471" s="55" t="str" cm="1">
        <f t="array" ref="M471">INDEX(Processing!$W$6:$W$17,MONTH('ALL ORDERS'!K471))</f>
        <v>January</v>
      </c>
      <c r="N471" s="54">
        <f t="shared" si="146"/>
        <v>2025</v>
      </c>
      <c r="O471" s="58">
        <v>0.45833333333333331</v>
      </c>
      <c r="P471" s="59" t="s">
        <v>210</v>
      </c>
      <c r="Q471" s="60" t="s">
        <v>90</v>
      </c>
      <c r="R471" s="56" t="s">
        <v>298</v>
      </c>
      <c r="S471" s="61" t="s">
        <v>43</v>
      </c>
      <c r="T471" s="62" t="s">
        <v>798</v>
      </c>
      <c r="U471" s="63" t="s">
        <v>23</v>
      </c>
      <c r="V471" s="63" t="s">
        <v>147</v>
      </c>
      <c r="W471" s="64">
        <v>2422</v>
      </c>
      <c r="X471" s="64">
        <v>5</v>
      </c>
      <c r="Y471" s="47"/>
      <c r="Z471" s="47"/>
    </row>
    <row r="472" spans="1:26" x14ac:dyDescent="0.25">
      <c r="A472" s="53">
        <v>45682</v>
      </c>
      <c r="B472" s="54">
        <f t="shared" si="140"/>
        <v>25</v>
      </c>
      <c r="C472" s="55" t="str" cm="1">
        <f t="array" ref="C472">INDEX(Processing!$C$11:$C$22,MONTH('ALL ORDERS'!A472))</f>
        <v>JAN</v>
      </c>
      <c r="D472" s="54">
        <f t="shared" si="141"/>
        <v>2025</v>
      </c>
      <c r="E472" s="56" t="s">
        <v>51</v>
      </c>
      <c r="F472" s="56" t="s">
        <v>135</v>
      </c>
      <c r="G472" s="100">
        <v>400</v>
      </c>
      <c r="H472" s="100">
        <v>0</v>
      </c>
      <c r="I472" s="57"/>
      <c r="J472" s="99">
        <f t="shared" si="153"/>
        <v>400</v>
      </c>
      <c r="K472" s="53">
        <v>45682</v>
      </c>
      <c r="L472" s="54">
        <f t="shared" si="145"/>
        <v>25</v>
      </c>
      <c r="M472" s="55" t="str" cm="1">
        <f t="array" ref="M472">INDEX(Processing!$W$6:$W$17,MONTH('ALL ORDERS'!K472))</f>
        <v>January</v>
      </c>
      <c r="N472" s="54">
        <f t="shared" si="146"/>
        <v>2025</v>
      </c>
      <c r="O472" s="58">
        <v>0.375</v>
      </c>
      <c r="P472" s="59" t="s">
        <v>172</v>
      </c>
      <c r="Q472" s="60" t="s">
        <v>94</v>
      </c>
      <c r="R472" s="56" t="s">
        <v>256</v>
      </c>
      <c r="S472" s="61" t="s">
        <v>45</v>
      </c>
      <c r="T472" s="70">
        <v>24900888990</v>
      </c>
      <c r="U472" s="63" t="s">
        <v>27</v>
      </c>
      <c r="V472" s="63" t="s">
        <v>147</v>
      </c>
      <c r="W472" s="64">
        <v>2328</v>
      </c>
      <c r="X472" s="64">
        <v>3</v>
      </c>
      <c r="Y472" s="47"/>
      <c r="Z472" s="47"/>
    </row>
    <row r="473" spans="1:26" x14ac:dyDescent="0.25">
      <c r="A473" s="53">
        <v>45683</v>
      </c>
      <c r="B473" s="54">
        <f t="shared" si="140"/>
        <v>26</v>
      </c>
      <c r="C473" s="55" t="str" cm="1">
        <f t="array" ref="C473">INDEX(Processing!$C$11:$C$22,MONTH('ALL ORDERS'!A473))</f>
        <v>JAN</v>
      </c>
      <c r="D473" s="54">
        <f t="shared" si="141"/>
        <v>2025</v>
      </c>
      <c r="E473" s="56" t="s">
        <v>48</v>
      </c>
      <c r="F473" s="56" t="s">
        <v>137</v>
      </c>
      <c r="G473" s="100">
        <v>0</v>
      </c>
      <c r="H473" s="100">
        <v>300</v>
      </c>
      <c r="I473" s="57">
        <v>0.15</v>
      </c>
      <c r="J473" s="99">
        <f t="shared" si="153"/>
        <v>300</v>
      </c>
      <c r="K473" s="53">
        <v>45683</v>
      </c>
      <c r="L473" s="54">
        <f t="shared" si="145"/>
        <v>26</v>
      </c>
      <c r="M473" s="55" t="str" cm="1">
        <f t="array" ref="M473">INDEX(Processing!$W$6:$W$17,MONTH('ALL ORDERS'!K473))</f>
        <v>January</v>
      </c>
      <c r="N473" s="54">
        <f t="shared" si="146"/>
        <v>2025</v>
      </c>
      <c r="O473" s="58">
        <v>0.45833333333333331</v>
      </c>
      <c r="P473" s="59" t="s">
        <v>215</v>
      </c>
      <c r="Q473" s="60" t="s">
        <v>94</v>
      </c>
      <c r="R473" s="56" t="s">
        <v>304</v>
      </c>
      <c r="S473" s="61" t="s">
        <v>43</v>
      </c>
      <c r="T473" s="62" t="s">
        <v>799</v>
      </c>
      <c r="U473" s="63" t="s">
        <v>24</v>
      </c>
      <c r="V473" s="63" t="s">
        <v>147</v>
      </c>
      <c r="W473" s="64">
        <v>4946</v>
      </c>
      <c r="X473" s="64">
        <v>5</v>
      </c>
      <c r="Y473" s="47"/>
      <c r="Z473" s="47"/>
    </row>
    <row r="474" spans="1:26" x14ac:dyDescent="0.25">
      <c r="A474" s="53">
        <v>45678</v>
      </c>
      <c r="B474" s="54">
        <f t="shared" si="140"/>
        <v>21</v>
      </c>
      <c r="C474" s="55" t="str" cm="1">
        <f t="array" ref="C474">INDEX(Processing!$C$11:$C$22,MONTH('ALL ORDERS'!A474))</f>
        <v>JAN</v>
      </c>
      <c r="D474" s="54">
        <f t="shared" si="141"/>
        <v>2025</v>
      </c>
      <c r="E474" s="56" t="s">
        <v>49</v>
      </c>
      <c r="F474" s="56" t="s">
        <v>134</v>
      </c>
      <c r="G474" s="100">
        <v>0</v>
      </c>
      <c r="H474" s="100">
        <v>1500</v>
      </c>
      <c r="I474" s="57"/>
      <c r="J474" s="99">
        <f t="shared" si="153"/>
        <v>1500</v>
      </c>
      <c r="K474" s="53">
        <v>45678</v>
      </c>
      <c r="L474" s="54">
        <f t="shared" si="145"/>
        <v>21</v>
      </c>
      <c r="M474" s="55" t="str" cm="1">
        <f t="array" ref="M474">INDEX(Processing!$W$6:$W$17,MONTH('ALL ORDERS'!K474))</f>
        <v>January</v>
      </c>
      <c r="N474" s="54">
        <f t="shared" si="146"/>
        <v>2025</v>
      </c>
      <c r="O474" s="58">
        <v>0.625</v>
      </c>
      <c r="P474" s="59" t="s">
        <v>192</v>
      </c>
      <c r="Q474" s="60" t="s">
        <v>94</v>
      </c>
      <c r="R474" s="56" t="s">
        <v>278</v>
      </c>
      <c r="S474" s="61" t="s">
        <v>43</v>
      </c>
      <c r="T474" s="62" t="s">
        <v>800</v>
      </c>
      <c r="U474" s="63" t="s">
        <v>25</v>
      </c>
      <c r="V474" s="63" t="s">
        <v>147</v>
      </c>
      <c r="W474" s="64">
        <v>1601</v>
      </c>
      <c r="X474" s="64">
        <v>4</v>
      </c>
      <c r="Y474" s="47"/>
      <c r="Z474" s="47"/>
    </row>
    <row r="475" spans="1:26" x14ac:dyDescent="0.25">
      <c r="A475" s="53">
        <v>45678</v>
      </c>
      <c r="B475" s="54">
        <f t="shared" si="140"/>
        <v>21</v>
      </c>
      <c r="C475" s="55" t="str" cm="1">
        <f t="array" ref="C475">INDEX(Processing!$C$11:$C$22,MONTH('ALL ORDERS'!A475))</f>
        <v>JAN</v>
      </c>
      <c r="D475" s="54">
        <f t="shared" si="141"/>
        <v>2025</v>
      </c>
      <c r="E475" s="56" t="s">
        <v>49</v>
      </c>
      <c r="F475" s="56" t="s">
        <v>137</v>
      </c>
      <c r="G475" s="100">
        <v>2200</v>
      </c>
      <c r="H475" s="100">
        <v>0</v>
      </c>
      <c r="I475" s="57"/>
      <c r="J475" s="99">
        <f t="shared" si="153"/>
        <v>2200</v>
      </c>
      <c r="K475" s="53">
        <v>45678</v>
      </c>
      <c r="L475" s="54">
        <f t="shared" si="145"/>
        <v>21</v>
      </c>
      <c r="M475" s="55" t="str" cm="1">
        <f t="array" ref="M475">INDEX(Processing!$W$6:$W$17,MONTH('ALL ORDERS'!K475))</f>
        <v>January</v>
      </c>
      <c r="N475" s="54">
        <f t="shared" si="146"/>
        <v>2025</v>
      </c>
      <c r="O475" s="58">
        <v>0.45833333333333331</v>
      </c>
      <c r="P475" s="59" t="s">
        <v>208</v>
      </c>
      <c r="Q475" s="60" t="s">
        <v>94</v>
      </c>
      <c r="R475" s="56" t="s">
        <v>296</v>
      </c>
      <c r="S475" s="61" t="s">
        <v>41</v>
      </c>
      <c r="T475" s="62" t="s">
        <v>801</v>
      </c>
      <c r="U475" s="63" t="s">
        <v>25</v>
      </c>
      <c r="V475" s="63" t="s">
        <v>147</v>
      </c>
      <c r="W475" s="64">
        <v>2200</v>
      </c>
      <c r="X475" s="64">
        <v>3</v>
      </c>
      <c r="Y475" s="47"/>
      <c r="Z475" s="47"/>
    </row>
    <row r="476" spans="1:26" x14ac:dyDescent="0.25">
      <c r="A476" s="53">
        <v>45678</v>
      </c>
      <c r="B476" s="54">
        <f t="shared" si="140"/>
        <v>21</v>
      </c>
      <c r="C476" s="55" t="str" cm="1">
        <f t="array" ref="C476">INDEX(Processing!$C$11:$C$22,MONTH('ALL ORDERS'!A476))</f>
        <v>JAN</v>
      </c>
      <c r="D476" s="54">
        <f t="shared" si="141"/>
        <v>2025</v>
      </c>
      <c r="E476" s="56" t="s">
        <v>48</v>
      </c>
      <c r="F476" s="56" t="s">
        <v>131</v>
      </c>
      <c r="G476" s="100">
        <v>620</v>
      </c>
      <c r="H476" s="100">
        <v>0</v>
      </c>
      <c r="I476" s="57"/>
      <c r="J476" s="99">
        <f t="shared" si="153"/>
        <v>620</v>
      </c>
      <c r="K476" s="53">
        <v>45678</v>
      </c>
      <c r="L476" s="54">
        <f t="shared" si="145"/>
        <v>21</v>
      </c>
      <c r="M476" s="55" t="str" cm="1">
        <f t="array" ref="M476">INDEX(Processing!$W$6:$W$17,MONTH('ALL ORDERS'!K476))</f>
        <v>January</v>
      </c>
      <c r="N476" s="54">
        <f t="shared" si="146"/>
        <v>2025</v>
      </c>
      <c r="O476" s="58">
        <v>0.375</v>
      </c>
      <c r="P476" s="59" t="s">
        <v>346</v>
      </c>
      <c r="Q476" s="60" t="s">
        <v>94</v>
      </c>
      <c r="R476" s="56" t="s">
        <v>308</v>
      </c>
      <c r="S476" s="61" t="s">
        <v>42</v>
      </c>
      <c r="T476" s="62" t="s">
        <v>802</v>
      </c>
      <c r="U476" s="63" t="s">
        <v>25</v>
      </c>
      <c r="V476" s="63" t="s">
        <v>148</v>
      </c>
      <c r="W476" s="64">
        <v>4938</v>
      </c>
      <c r="X476" s="64"/>
      <c r="Y476" s="47"/>
      <c r="Z476" s="47"/>
    </row>
    <row r="477" spans="1:26" x14ac:dyDescent="0.25">
      <c r="A477" s="53">
        <v>45687</v>
      </c>
      <c r="B477" s="54">
        <f t="shared" si="140"/>
        <v>30</v>
      </c>
      <c r="C477" s="55" t="str" cm="1">
        <f t="array" ref="C477">INDEX(Processing!$C$11:$C$22,MONTH('ALL ORDERS'!A477))</f>
        <v>JAN</v>
      </c>
      <c r="D477" s="54">
        <f t="shared" si="141"/>
        <v>2025</v>
      </c>
      <c r="E477" s="56" t="s">
        <v>51</v>
      </c>
      <c r="F477" s="56" t="s">
        <v>133</v>
      </c>
      <c r="G477" s="100">
        <v>0</v>
      </c>
      <c r="H477" s="100">
        <v>1590</v>
      </c>
      <c r="I477" s="57"/>
      <c r="J477" s="99">
        <f t="shared" si="153"/>
        <v>1590</v>
      </c>
      <c r="K477" s="53">
        <v>45687</v>
      </c>
      <c r="L477" s="54">
        <f t="shared" si="145"/>
        <v>30</v>
      </c>
      <c r="M477" s="55" t="str" cm="1">
        <f t="array" ref="M477">INDEX(Processing!$W$6:$W$17,MONTH('ALL ORDERS'!K477))</f>
        <v>January</v>
      </c>
      <c r="N477" s="54">
        <f t="shared" si="146"/>
        <v>2025</v>
      </c>
      <c r="O477" s="58">
        <v>0.45833333333333331</v>
      </c>
      <c r="P477" s="59" t="s">
        <v>232</v>
      </c>
      <c r="Q477" s="60" t="s">
        <v>94</v>
      </c>
      <c r="R477" s="56" t="s">
        <v>332</v>
      </c>
      <c r="S477" s="61" t="s">
        <v>43</v>
      </c>
      <c r="T477" s="62" t="s">
        <v>803</v>
      </c>
      <c r="U477" s="63" t="s">
        <v>23</v>
      </c>
      <c r="V477" s="63" t="s">
        <v>147</v>
      </c>
      <c r="W477" s="64">
        <v>1313</v>
      </c>
      <c r="X477" s="64">
        <v>4</v>
      </c>
      <c r="Y477" s="47"/>
      <c r="Z477" s="47"/>
    </row>
    <row r="478" spans="1:26" x14ac:dyDescent="0.25">
      <c r="A478" s="53">
        <v>45688</v>
      </c>
      <c r="B478" s="54">
        <f t="shared" si="140"/>
        <v>31</v>
      </c>
      <c r="C478" s="55" t="str" cm="1">
        <f t="array" ref="C478">INDEX(Processing!$C$11:$C$22,MONTH('ALL ORDERS'!A478))</f>
        <v>JAN</v>
      </c>
      <c r="D478" s="54">
        <f t="shared" si="141"/>
        <v>2025</v>
      </c>
      <c r="E478" s="56" t="s">
        <v>48</v>
      </c>
      <c r="F478" s="56" t="s">
        <v>133</v>
      </c>
      <c r="G478" s="100">
        <v>0</v>
      </c>
      <c r="H478" s="100">
        <v>3680</v>
      </c>
      <c r="I478" s="57">
        <v>0.15</v>
      </c>
      <c r="J478" s="99">
        <f t="shared" si="153"/>
        <v>3680</v>
      </c>
      <c r="K478" s="53">
        <v>45688</v>
      </c>
      <c r="L478" s="54">
        <f t="shared" si="145"/>
        <v>31</v>
      </c>
      <c r="M478" s="55" t="str" cm="1">
        <f t="array" ref="M478">INDEX(Processing!$W$6:$W$17,MONTH('ALL ORDERS'!K478))</f>
        <v>January</v>
      </c>
      <c r="N478" s="54">
        <f t="shared" si="146"/>
        <v>2025</v>
      </c>
      <c r="O478" s="58">
        <v>0.625</v>
      </c>
      <c r="P478" s="59" t="s">
        <v>198</v>
      </c>
      <c r="Q478" s="60" t="s">
        <v>94</v>
      </c>
      <c r="R478" s="56" t="s">
        <v>285</v>
      </c>
      <c r="S478" s="61" t="s">
        <v>43</v>
      </c>
      <c r="T478" s="62" t="s">
        <v>804</v>
      </c>
      <c r="U478" s="63" t="s">
        <v>27</v>
      </c>
      <c r="V478" s="63" t="s">
        <v>147</v>
      </c>
      <c r="W478" s="64">
        <v>2502</v>
      </c>
      <c r="X478" s="64">
        <v>5</v>
      </c>
      <c r="Y478" s="47"/>
      <c r="Z478" s="47"/>
    </row>
    <row r="479" spans="1:26" x14ac:dyDescent="0.25">
      <c r="A479" s="53">
        <v>45689</v>
      </c>
      <c r="B479" s="54">
        <f t="shared" ref="B479:B544" si="154">DAY(A479)</f>
        <v>1</v>
      </c>
      <c r="C479" s="55" t="str" cm="1">
        <f t="array" ref="C479">INDEX(Processing!$C$11:$C$22,MONTH('ALL ORDERS'!A479))</f>
        <v>FEB</v>
      </c>
      <c r="D479" s="54">
        <f t="shared" ref="D479:D544" si="155">YEAR(A479)</f>
        <v>2025</v>
      </c>
      <c r="E479" s="56" t="s">
        <v>48</v>
      </c>
      <c r="F479" s="56" t="s">
        <v>134</v>
      </c>
      <c r="G479" s="100">
        <v>0</v>
      </c>
      <c r="H479" s="100">
        <v>2180</v>
      </c>
      <c r="I479" s="57"/>
      <c r="J479" s="99">
        <f t="shared" si="153"/>
        <v>2180</v>
      </c>
      <c r="K479" s="53">
        <v>45689</v>
      </c>
      <c r="L479" s="54">
        <f t="shared" si="145"/>
        <v>1</v>
      </c>
      <c r="M479" s="55" t="str" cm="1">
        <f t="array" ref="M479">INDEX(Processing!$W$6:$W$17,MONTH('ALL ORDERS'!K479))</f>
        <v>February</v>
      </c>
      <c r="N479" s="54">
        <f t="shared" si="146"/>
        <v>2025</v>
      </c>
      <c r="O479" s="58">
        <v>0.45833333333333331</v>
      </c>
      <c r="P479" s="59" t="s">
        <v>349</v>
      </c>
      <c r="Q479" s="60" t="s">
        <v>94</v>
      </c>
      <c r="R479" s="56" t="s">
        <v>311</v>
      </c>
      <c r="S479" s="61" t="s">
        <v>45</v>
      </c>
      <c r="T479" s="62" t="s">
        <v>805</v>
      </c>
      <c r="U479" s="63" t="s">
        <v>24</v>
      </c>
      <c r="V479" s="63" t="s">
        <v>147</v>
      </c>
      <c r="W479" s="64">
        <v>4547</v>
      </c>
      <c r="X479" s="64">
        <v>4</v>
      </c>
      <c r="Y479" s="47"/>
      <c r="Z479" s="47"/>
    </row>
    <row r="480" spans="1:26" x14ac:dyDescent="0.25">
      <c r="A480" s="53">
        <v>45689</v>
      </c>
      <c r="B480" s="54">
        <f t="shared" si="154"/>
        <v>1</v>
      </c>
      <c r="C480" s="55" t="str" cm="1">
        <f t="array" ref="C480">INDEX(Processing!$C$11:$C$22,MONTH('ALL ORDERS'!A480))</f>
        <v>FEB</v>
      </c>
      <c r="D480" s="54">
        <f t="shared" si="155"/>
        <v>2025</v>
      </c>
      <c r="E480" s="56" t="s">
        <v>49</v>
      </c>
      <c r="F480" s="56" t="s">
        <v>134</v>
      </c>
      <c r="G480" s="100">
        <v>0</v>
      </c>
      <c r="H480" s="100">
        <v>2650</v>
      </c>
      <c r="I480" s="57"/>
      <c r="J480" s="99">
        <f t="shared" si="153"/>
        <v>2650</v>
      </c>
      <c r="K480" s="53">
        <v>45689</v>
      </c>
      <c r="L480" s="54">
        <f t="shared" si="145"/>
        <v>1</v>
      </c>
      <c r="M480" s="55" t="str" cm="1">
        <f t="array" ref="M480">INDEX(Processing!$W$6:$W$17,MONTH('ALL ORDERS'!K480))</f>
        <v>February</v>
      </c>
      <c r="N480" s="54">
        <f t="shared" si="146"/>
        <v>2025</v>
      </c>
      <c r="O480" s="58">
        <v>0.375</v>
      </c>
      <c r="P480" s="59" t="s">
        <v>200</v>
      </c>
      <c r="Q480" s="60" t="s">
        <v>94</v>
      </c>
      <c r="R480" s="56" t="s">
        <v>287</v>
      </c>
      <c r="S480" s="61" t="s">
        <v>43</v>
      </c>
      <c r="T480" s="62" t="s">
        <v>806</v>
      </c>
      <c r="U480" s="63" t="s">
        <v>24</v>
      </c>
      <c r="V480" s="63" t="s">
        <v>147</v>
      </c>
      <c r="W480" s="64">
        <v>3974</v>
      </c>
      <c r="X480" s="64">
        <v>3</v>
      </c>
      <c r="Y480" s="47"/>
      <c r="Z480" s="47"/>
    </row>
    <row r="481" spans="1:26" x14ac:dyDescent="0.25">
      <c r="A481" s="53">
        <v>45691</v>
      </c>
      <c r="B481" s="54">
        <f t="shared" si="154"/>
        <v>3</v>
      </c>
      <c r="C481" s="55" t="str" cm="1">
        <f t="array" ref="C481">INDEX(Processing!$C$11:$C$22,MONTH('ALL ORDERS'!A481))</f>
        <v>FEB</v>
      </c>
      <c r="D481" s="54">
        <f t="shared" si="155"/>
        <v>2025</v>
      </c>
      <c r="E481" s="56" t="s">
        <v>49</v>
      </c>
      <c r="F481" s="56" t="s">
        <v>19</v>
      </c>
      <c r="G481" s="100">
        <v>0</v>
      </c>
      <c r="H481" s="100">
        <v>3210</v>
      </c>
      <c r="I481" s="57"/>
      <c r="J481" s="99">
        <f t="shared" si="153"/>
        <v>3210</v>
      </c>
      <c r="K481" s="53">
        <v>45691</v>
      </c>
      <c r="L481" s="54">
        <f t="shared" si="145"/>
        <v>3</v>
      </c>
      <c r="M481" s="55" t="str" cm="1">
        <f t="array" ref="M481">INDEX(Processing!$W$6:$W$17,MONTH('ALL ORDERS'!K481))</f>
        <v>February</v>
      </c>
      <c r="N481" s="54">
        <f t="shared" si="146"/>
        <v>2025</v>
      </c>
      <c r="O481" s="58">
        <v>0.45833333333333331</v>
      </c>
      <c r="P481" s="59" t="s">
        <v>180</v>
      </c>
      <c r="Q481" s="60" t="s">
        <v>94</v>
      </c>
      <c r="R481" s="56" t="s">
        <v>265</v>
      </c>
      <c r="S481" s="61" t="s">
        <v>43</v>
      </c>
      <c r="T481" s="62" t="s">
        <v>807</v>
      </c>
      <c r="U481" s="63" t="s">
        <v>26</v>
      </c>
      <c r="V481" s="63" t="s">
        <v>147</v>
      </c>
      <c r="W481" s="64">
        <v>1528</v>
      </c>
      <c r="X481" s="64">
        <v>4</v>
      </c>
      <c r="Y481" s="47"/>
      <c r="Z481" s="47"/>
    </row>
    <row r="482" spans="1:26" x14ac:dyDescent="0.25">
      <c r="A482" s="53">
        <v>45692</v>
      </c>
      <c r="B482" s="54">
        <f t="shared" si="154"/>
        <v>4</v>
      </c>
      <c r="C482" s="55" t="str" cm="1">
        <f t="array" ref="C482">INDEX(Processing!$C$11:$C$22,MONTH('ALL ORDERS'!A482))</f>
        <v>FEB</v>
      </c>
      <c r="D482" s="54">
        <f t="shared" si="155"/>
        <v>2025</v>
      </c>
      <c r="E482" s="56" t="s">
        <v>50</v>
      </c>
      <c r="F482" s="56" t="s">
        <v>19</v>
      </c>
      <c r="G482" s="100">
        <v>10000</v>
      </c>
      <c r="H482" s="100">
        <v>3150</v>
      </c>
      <c r="I482" s="57"/>
      <c r="J482" s="99">
        <f t="shared" si="153"/>
        <v>13150</v>
      </c>
      <c r="K482" s="53">
        <v>45692</v>
      </c>
      <c r="L482" s="54">
        <f t="shared" si="145"/>
        <v>4</v>
      </c>
      <c r="M482" s="55" t="str" cm="1">
        <f t="array" ref="M482">INDEX(Processing!$W$6:$W$17,MONTH('ALL ORDERS'!K482))</f>
        <v>February</v>
      </c>
      <c r="N482" s="54">
        <f t="shared" si="146"/>
        <v>2025</v>
      </c>
      <c r="O482" s="58">
        <v>0.625</v>
      </c>
      <c r="P482" s="59" t="s">
        <v>162</v>
      </c>
      <c r="Q482" s="60" t="s">
        <v>94</v>
      </c>
      <c r="R482" s="56" t="s">
        <v>245</v>
      </c>
      <c r="S482" s="61" t="s">
        <v>41</v>
      </c>
      <c r="T482" s="62" t="s">
        <v>808</v>
      </c>
      <c r="U482" s="63" t="s">
        <v>27</v>
      </c>
      <c r="V482" s="63" t="s">
        <v>147</v>
      </c>
      <c r="W482" s="64">
        <v>5557</v>
      </c>
      <c r="X482" s="64">
        <v>3</v>
      </c>
      <c r="Y482" s="47"/>
      <c r="Z482" s="47"/>
    </row>
    <row r="483" spans="1:26" x14ac:dyDescent="0.25">
      <c r="A483" s="53">
        <v>45693</v>
      </c>
      <c r="B483" s="54">
        <f t="shared" si="154"/>
        <v>5</v>
      </c>
      <c r="C483" s="55" t="str" cm="1">
        <f t="array" ref="C483">INDEX(Processing!$C$11:$C$22,MONTH('ALL ORDERS'!A483))</f>
        <v>FEB</v>
      </c>
      <c r="D483" s="54">
        <f t="shared" si="155"/>
        <v>2025</v>
      </c>
      <c r="E483" s="56" t="s">
        <v>48</v>
      </c>
      <c r="F483" s="56" t="s">
        <v>128</v>
      </c>
      <c r="G483" s="100">
        <v>2200</v>
      </c>
      <c r="H483" s="100">
        <v>0</v>
      </c>
      <c r="I483" s="57"/>
      <c r="J483" s="99">
        <f t="shared" si="153"/>
        <v>2200</v>
      </c>
      <c r="K483" s="53">
        <v>45693</v>
      </c>
      <c r="L483" s="54">
        <f t="shared" si="145"/>
        <v>5</v>
      </c>
      <c r="M483" s="55" t="str" cm="1">
        <f t="array" ref="M483">INDEX(Processing!$W$6:$W$17,MONTH('ALL ORDERS'!K483))</f>
        <v>February</v>
      </c>
      <c r="N483" s="54">
        <f t="shared" si="146"/>
        <v>2025</v>
      </c>
      <c r="O483" s="58">
        <v>0.45833333333333331</v>
      </c>
      <c r="P483" s="59" t="s">
        <v>205</v>
      </c>
      <c r="Q483" s="60" t="s">
        <v>94</v>
      </c>
      <c r="R483" s="56" t="s">
        <v>292</v>
      </c>
      <c r="S483" s="61" t="s">
        <v>42</v>
      </c>
      <c r="T483" s="62" t="s">
        <v>809</v>
      </c>
      <c r="U483" s="63" t="s">
        <v>25</v>
      </c>
      <c r="V483" s="63" t="s">
        <v>147</v>
      </c>
      <c r="W483" s="64">
        <v>1108</v>
      </c>
      <c r="X483" s="64">
        <v>4</v>
      </c>
      <c r="Y483" s="47"/>
      <c r="Z483" s="47"/>
    </row>
    <row r="484" spans="1:26" x14ac:dyDescent="0.25">
      <c r="A484" s="53">
        <v>45694</v>
      </c>
      <c r="B484" s="54">
        <f t="shared" si="154"/>
        <v>6</v>
      </c>
      <c r="C484" s="55" t="str" cm="1">
        <f t="array" ref="C484">INDEX(Processing!$C$11:$C$22,MONTH('ALL ORDERS'!A484))</f>
        <v>FEB</v>
      </c>
      <c r="D484" s="54">
        <f t="shared" si="155"/>
        <v>2025</v>
      </c>
      <c r="E484" s="56" t="s">
        <v>51</v>
      </c>
      <c r="F484" s="56" t="s">
        <v>22</v>
      </c>
      <c r="G484" s="100">
        <v>620</v>
      </c>
      <c r="H484" s="100">
        <v>0</v>
      </c>
      <c r="I484" s="57"/>
      <c r="J484" s="99">
        <f t="shared" si="153"/>
        <v>620</v>
      </c>
      <c r="K484" s="53">
        <v>45694</v>
      </c>
      <c r="L484" s="54">
        <f t="shared" ref="L484:L549" si="156">DAY(K484)</f>
        <v>6</v>
      </c>
      <c r="M484" s="55" t="str" cm="1">
        <f t="array" ref="M484">INDEX(Processing!$W$6:$W$17,MONTH('ALL ORDERS'!K484))</f>
        <v>February</v>
      </c>
      <c r="N484" s="54">
        <f t="shared" si="146"/>
        <v>2025</v>
      </c>
      <c r="O484" s="58">
        <v>0.41666666666666669</v>
      </c>
      <c r="P484" s="59" t="s">
        <v>346</v>
      </c>
      <c r="Q484" s="60" t="s">
        <v>94</v>
      </c>
      <c r="R484" s="56" t="s">
        <v>308</v>
      </c>
      <c r="S484" s="61" t="s">
        <v>43</v>
      </c>
      <c r="T484" s="70">
        <v>23900888990</v>
      </c>
      <c r="U484" s="63" t="s">
        <v>25</v>
      </c>
      <c r="V484" s="63" t="s">
        <v>148</v>
      </c>
      <c r="W484" s="64">
        <v>2224</v>
      </c>
      <c r="X484" s="64"/>
      <c r="Y484" s="47"/>
      <c r="Z484" s="47"/>
    </row>
    <row r="485" spans="1:26" x14ac:dyDescent="0.25">
      <c r="A485" s="53">
        <v>45689</v>
      </c>
      <c r="B485" s="54">
        <f t="shared" si="154"/>
        <v>1</v>
      </c>
      <c r="C485" s="55" t="str" cm="1">
        <f t="array" ref="C485">INDEX(Processing!$C$11:$C$22,MONTH('ALL ORDERS'!A485))</f>
        <v>FEB</v>
      </c>
      <c r="D485" s="54">
        <f t="shared" si="155"/>
        <v>2025</v>
      </c>
      <c r="E485" s="56" t="s">
        <v>48</v>
      </c>
      <c r="F485" s="56" t="s">
        <v>127</v>
      </c>
      <c r="G485" s="100">
        <v>0</v>
      </c>
      <c r="H485" s="100">
        <v>1590</v>
      </c>
      <c r="I485" s="57"/>
      <c r="J485" s="99">
        <f t="shared" si="153"/>
        <v>1590</v>
      </c>
      <c r="K485" s="53">
        <v>45689</v>
      </c>
      <c r="L485" s="54">
        <f t="shared" si="156"/>
        <v>1</v>
      </c>
      <c r="M485" s="55" t="str" cm="1">
        <f t="array" ref="M485">INDEX(Processing!$W$6:$W$17,MONTH('ALL ORDERS'!K485))</f>
        <v>February</v>
      </c>
      <c r="N485" s="54">
        <f t="shared" si="146"/>
        <v>2025</v>
      </c>
      <c r="O485" s="58">
        <v>0.5</v>
      </c>
      <c r="P485" s="59" t="s">
        <v>187</v>
      </c>
      <c r="Q485" s="60" t="s">
        <v>94</v>
      </c>
      <c r="R485" s="56" t="s">
        <v>272</v>
      </c>
      <c r="S485" s="61" t="s">
        <v>43</v>
      </c>
      <c r="T485" s="62" t="s">
        <v>810</v>
      </c>
      <c r="U485" s="63" t="s">
        <v>25</v>
      </c>
      <c r="V485" s="63" t="s">
        <v>147</v>
      </c>
      <c r="W485" s="64">
        <v>3171</v>
      </c>
      <c r="X485" s="64">
        <v>4</v>
      </c>
      <c r="Y485" s="47"/>
      <c r="Z485" s="47"/>
    </row>
    <row r="486" spans="1:26" x14ac:dyDescent="0.25">
      <c r="A486" s="53">
        <v>45689</v>
      </c>
      <c r="B486" s="54">
        <f t="shared" si="154"/>
        <v>1</v>
      </c>
      <c r="C486" s="55" t="str" cm="1">
        <f t="array" ref="C486">INDEX(Processing!$C$11:$C$22,MONTH('ALL ORDERS'!A486))</f>
        <v>FEB</v>
      </c>
      <c r="D486" s="54">
        <f t="shared" si="155"/>
        <v>2025</v>
      </c>
      <c r="E486" s="56" t="s">
        <v>48</v>
      </c>
      <c r="F486" s="56" t="s">
        <v>125</v>
      </c>
      <c r="G486" s="100">
        <v>0</v>
      </c>
      <c r="H486" s="100">
        <v>3680</v>
      </c>
      <c r="I486" s="57">
        <v>0.15</v>
      </c>
      <c r="J486" s="99">
        <f t="shared" si="153"/>
        <v>3680</v>
      </c>
      <c r="K486" s="53">
        <v>45689</v>
      </c>
      <c r="L486" s="54">
        <f t="shared" si="156"/>
        <v>1</v>
      </c>
      <c r="M486" s="55" t="str" cm="1">
        <f t="array" ref="M486">INDEX(Processing!$W$6:$W$17,MONTH('ALL ORDERS'!K486))</f>
        <v>February</v>
      </c>
      <c r="N486" s="54">
        <f t="shared" si="146"/>
        <v>2025</v>
      </c>
      <c r="O486" s="58">
        <v>0.66666666666666663</v>
      </c>
      <c r="P486" s="59" t="s">
        <v>207</v>
      </c>
      <c r="Q486" s="60" t="s">
        <v>94</v>
      </c>
      <c r="R486" s="56" t="s">
        <v>295</v>
      </c>
      <c r="S486" s="61" t="s">
        <v>45</v>
      </c>
      <c r="T486" s="62" t="s">
        <v>811</v>
      </c>
      <c r="U486" s="63" t="s">
        <v>23</v>
      </c>
      <c r="V486" s="63" t="s">
        <v>147</v>
      </c>
      <c r="W486" s="64">
        <v>4014</v>
      </c>
      <c r="X486" s="64">
        <v>5</v>
      </c>
      <c r="Y486" s="47"/>
      <c r="Z486" s="47"/>
    </row>
    <row r="487" spans="1:26" x14ac:dyDescent="0.25">
      <c r="A487" s="53">
        <v>45697</v>
      </c>
      <c r="B487" s="54">
        <f t="shared" si="154"/>
        <v>9</v>
      </c>
      <c r="C487" s="55" t="str" cm="1">
        <f t="array" ref="C487">INDEX(Processing!$C$11:$C$22,MONTH('ALL ORDERS'!A487))</f>
        <v>FEB</v>
      </c>
      <c r="D487" s="54">
        <f t="shared" si="155"/>
        <v>2025</v>
      </c>
      <c r="E487" s="56" t="s">
        <v>47</v>
      </c>
      <c r="F487" s="56" t="s">
        <v>130</v>
      </c>
      <c r="G487" s="100">
        <v>10000</v>
      </c>
      <c r="H487" s="100">
        <v>2180</v>
      </c>
      <c r="I487" s="57"/>
      <c r="J487" s="99">
        <f t="shared" si="153"/>
        <v>12180</v>
      </c>
      <c r="K487" s="53">
        <v>45697</v>
      </c>
      <c r="L487" s="54">
        <f t="shared" si="156"/>
        <v>9</v>
      </c>
      <c r="M487" s="55" t="str" cm="1">
        <f t="array" ref="M487">INDEX(Processing!$W$6:$W$17,MONTH('ALL ORDERS'!K487))</f>
        <v>February</v>
      </c>
      <c r="N487" s="54">
        <f t="shared" si="146"/>
        <v>2025</v>
      </c>
      <c r="O487" s="58">
        <v>0.75</v>
      </c>
      <c r="P487" s="59" t="s">
        <v>177</v>
      </c>
      <c r="Q487" s="60" t="s">
        <v>93</v>
      </c>
      <c r="R487" s="56" t="s">
        <v>261</v>
      </c>
      <c r="S487" s="61" t="s">
        <v>43</v>
      </c>
      <c r="T487" s="62" t="s">
        <v>812</v>
      </c>
      <c r="U487" s="63" t="s">
        <v>27</v>
      </c>
      <c r="V487" s="63" t="s">
        <v>147</v>
      </c>
      <c r="W487" s="64">
        <v>4698</v>
      </c>
      <c r="X487" s="64">
        <v>5</v>
      </c>
      <c r="Y487" s="47"/>
      <c r="Z487" s="47"/>
    </row>
    <row r="488" spans="1:26" x14ac:dyDescent="0.25">
      <c r="A488" s="53">
        <v>45697</v>
      </c>
      <c r="B488" s="54">
        <f t="shared" si="154"/>
        <v>9</v>
      </c>
      <c r="C488" s="55" t="str" cm="1">
        <f t="array" ref="C488">INDEX(Processing!$C$11:$C$22,MONTH('ALL ORDERS'!A488))</f>
        <v>FEB</v>
      </c>
      <c r="D488" s="54">
        <f t="shared" si="155"/>
        <v>2025</v>
      </c>
      <c r="E488" s="56" t="s">
        <v>48</v>
      </c>
      <c r="F488" s="56" t="s">
        <v>153</v>
      </c>
      <c r="G488" s="100">
        <v>0</v>
      </c>
      <c r="H488" s="100">
        <v>2650</v>
      </c>
      <c r="I488" s="57"/>
      <c r="J488" s="99">
        <f t="shared" si="153"/>
        <v>2650</v>
      </c>
      <c r="K488" s="53">
        <v>45697</v>
      </c>
      <c r="L488" s="54">
        <f t="shared" si="156"/>
        <v>9</v>
      </c>
      <c r="M488" s="55" t="str" cm="1">
        <f t="array" ref="M488">INDEX(Processing!$W$6:$W$17,MONTH('ALL ORDERS'!K488))</f>
        <v>February</v>
      </c>
      <c r="N488" s="54">
        <f t="shared" si="146"/>
        <v>2025</v>
      </c>
      <c r="O488" s="58">
        <v>0.41666666666666669</v>
      </c>
      <c r="P488" s="59" t="s">
        <v>203</v>
      </c>
      <c r="Q488" s="60" t="s">
        <v>94</v>
      </c>
      <c r="R488" s="56" t="s">
        <v>290</v>
      </c>
      <c r="S488" s="61" t="s">
        <v>44</v>
      </c>
      <c r="T488" s="62" t="s">
        <v>813</v>
      </c>
      <c r="U488" s="63" t="s">
        <v>24</v>
      </c>
      <c r="V488" s="63" t="s">
        <v>147</v>
      </c>
      <c r="W488" s="64">
        <v>2839</v>
      </c>
      <c r="X488" s="64">
        <v>5</v>
      </c>
      <c r="Y488" s="47"/>
      <c r="Z488" s="47"/>
    </row>
    <row r="489" spans="1:26" x14ac:dyDescent="0.25">
      <c r="A489" s="53">
        <v>45699</v>
      </c>
      <c r="B489" s="54">
        <f t="shared" si="154"/>
        <v>11</v>
      </c>
      <c r="C489" s="55" t="str" cm="1">
        <f t="array" ref="C489">INDEX(Processing!$C$11:$C$22,MONTH('ALL ORDERS'!A489))</f>
        <v>FEB</v>
      </c>
      <c r="D489" s="54">
        <f t="shared" si="155"/>
        <v>2025</v>
      </c>
      <c r="E489" s="56" t="s">
        <v>51</v>
      </c>
      <c r="F489" s="56" t="s">
        <v>19</v>
      </c>
      <c r="G489" s="100">
        <v>0</v>
      </c>
      <c r="H489" s="100">
        <v>3210</v>
      </c>
      <c r="I489" s="57"/>
      <c r="J489" s="99">
        <f t="shared" si="153"/>
        <v>3210</v>
      </c>
      <c r="K489" s="53">
        <v>45699</v>
      </c>
      <c r="L489" s="54">
        <f t="shared" si="156"/>
        <v>11</v>
      </c>
      <c r="M489" s="55" t="str" cm="1">
        <f t="array" ref="M489">INDEX(Processing!$W$6:$W$17,MONTH('ALL ORDERS'!K489))</f>
        <v>February</v>
      </c>
      <c r="N489" s="54">
        <f t="shared" si="146"/>
        <v>2025</v>
      </c>
      <c r="O489" s="58">
        <v>0.5</v>
      </c>
      <c r="P489" s="59" t="s">
        <v>344</v>
      </c>
      <c r="Q489" s="60" t="s">
        <v>90</v>
      </c>
      <c r="R489" s="56" t="s">
        <v>306</v>
      </c>
      <c r="S489" s="61" t="s">
        <v>41</v>
      </c>
      <c r="T489" s="62" t="s">
        <v>814</v>
      </c>
      <c r="U489" s="63" t="s">
        <v>24</v>
      </c>
      <c r="V489" s="63" t="s">
        <v>147</v>
      </c>
      <c r="W489" s="64">
        <v>3147</v>
      </c>
      <c r="X489" s="64">
        <v>5</v>
      </c>
      <c r="Y489" s="47"/>
      <c r="Z489" s="47"/>
    </row>
    <row r="490" spans="1:26" x14ac:dyDescent="0.25">
      <c r="A490" s="53">
        <v>45700</v>
      </c>
      <c r="B490" s="54">
        <f t="shared" ref="B490" si="157">DAY(A490)</f>
        <v>12</v>
      </c>
      <c r="C490" s="55" t="str" cm="1">
        <f t="array" ref="C490">INDEX(Processing!$C$11:$C$22,MONTH('ALL ORDERS'!A490))</f>
        <v>FEB</v>
      </c>
      <c r="D490" s="54">
        <f t="shared" ref="D490" si="158">YEAR(A490)</f>
        <v>2025</v>
      </c>
      <c r="E490" s="56" t="s">
        <v>51</v>
      </c>
      <c r="F490" s="56" t="s">
        <v>19</v>
      </c>
      <c r="G490" s="100">
        <v>0</v>
      </c>
      <c r="H490" s="100">
        <v>12330</v>
      </c>
      <c r="I490" s="57"/>
      <c r="J490" s="99">
        <f t="shared" si="153"/>
        <v>12330</v>
      </c>
      <c r="K490" s="53">
        <v>45700</v>
      </c>
      <c r="L490" s="54">
        <f t="shared" si="156"/>
        <v>12</v>
      </c>
      <c r="M490" s="55" t="str" cm="1">
        <f t="array" ref="M490">INDEX(Processing!$W$6:$W$17,MONTH('ALL ORDERS'!K490))</f>
        <v>February</v>
      </c>
      <c r="N490" s="54">
        <f t="shared" ref="N490" si="159">YEAR(K490)</f>
        <v>2025</v>
      </c>
      <c r="O490" s="58">
        <v>0.54166666666666696</v>
      </c>
      <c r="P490" s="59" t="s">
        <v>345</v>
      </c>
      <c r="Q490" s="60" t="s">
        <v>90</v>
      </c>
      <c r="R490" s="56" t="s">
        <v>1100</v>
      </c>
      <c r="S490" s="61" t="s">
        <v>41</v>
      </c>
      <c r="T490" s="62" t="s">
        <v>825</v>
      </c>
      <c r="U490" s="63" t="s">
        <v>24</v>
      </c>
      <c r="V490" s="63" t="s">
        <v>147</v>
      </c>
      <c r="W490" s="64">
        <v>3827</v>
      </c>
      <c r="X490" s="64">
        <v>5</v>
      </c>
      <c r="Y490" s="47"/>
      <c r="Z490" s="47"/>
    </row>
    <row r="491" spans="1:26" x14ac:dyDescent="0.25">
      <c r="A491" s="53">
        <v>45700</v>
      </c>
      <c r="B491" s="54">
        <f t="shared" si="154"/>
        <v>12</v>
      </c>
      <c r="C491" s="55" t="str" cm="1">
        <f t="array" ref="C491">INDEX(Processing!$C$11:$C$22,MONTH('ALL ORDERS'!A491))</f>
        <v>FEB</v>
      </c>
      <c r="D491" s="54">
        <f t="shared" si="155"/>
        <v>2025</v>
      </c>
      <c r="E491" s="56" t="s">
        <v>48</v>
      </c>
      <c r="F491" s="56" t="s">
        <v>137</v>
      </c>
      <c r="G491" s="100">
        <v>0</v>
      </c>
      <c r="H491" s="100">
        <v>3150</v>
      </c>
      <c r="I491" s="57"/>
      <c r="J491" s="99">
        <f t="shared" si="153"/>
        <v>3150</v>
      </c>
      <c r="K491" s="53">
        <v>45700</v>
      </c>
      <c r="L491" s="54">
        <f t="shared" si="156"/>
        <v>12</v>
      </c>
      <c r="M491" s="55" t="str" cm="1">
        <f t="array" ref="M491">INDEX(Processing!$W$6:$W$17,MONTH('ALL ORDERS'!K491))</f>
        <v>February</v>
      </c>
      <c r="N491" s="54">
        <f t="shared" si="146"/>
        <v>2025</v>
      </c>
      <c r="O491" s="58">
        <v>0.66666666666666663</v>
      </c>
      <c r="P491" s="59" t="s">
        <v>188</v>
      </c>
      <c r="Q491" s="60" t="s">
        <v>94</v>
      </c>
      <c r="R491" s="56" t="s">
        <v>274</v>
      </c>
      <c r="S491" s="61" t="s">
        <v>42</v>
      </c>
      <c r="T491" s="62" t="s">
        <v>815</v>
      </c>
      <c r="U491" s="63" t="s">
        <v>26</v>
      </c>
      <c r="V491" s="63" t="s">
        <v>147</v>
      </c>
      <c r="W491" s="64">
        <v>3426</v>
      </c>
      <c r="X491" s="64">
        <v>5</v>
      </c>
      <c r="Y491" s="47"/>
      <c r="Z491" s="47"/>
    </row>
    <row r="492" spans="1:26" x14ac:dyDescent="0.25">
      <c r="A492" s="53">
        <v>45701</v>
      </c>
      <c r="B492" s="54">
        <f t="shared" si="154"/>
        <v>13</v>
      </c>
      <c r="C492" s="55" t="str" cm="1">
        <f t="array" ref="C492">INDEX(Processing!$C$11:$C$22,MONTH('ALL ORDERS'!A492))</f>
        <v>FEB</v>
      </c>
      <c r="D492" s="54">
        <f t="shared" si="155"/>
        <v>2025</v>
      </c>
      <c r="E492" s="56" t="s">
        <v>51</v>
      </c>
      <c r="F492" s="56" t="s">
        <v>137</v>
      </c>
      <c r="G492" s="100">
        <v>0</v>
      </c>
      <c r="H492" s="100">
        <v>1990</v>
      </c>
      <c r="I492" s="57"/>
      <c r="J492" s="99">
        <f t="shared" si="153"/>
        <v>1990</v>
      </c>
      <c r="K492" s="53">
        <v>45701</v>
      </c>
      <c r="L492" s="54">
        <f t="shared" si="156"/>
        <v>13</v>
      </c>
      <c r="M492" s="55" t="str" cm="1">
        <f t="array" ref="M492">INDEX(Processing!$W$6:$W$17,MONTH('ALL ORDERS'!K492))</f>
        <v>February</v>
      </c>
      <c r="N492" s="54">
        <f t="shared" si="146"/>
        <v>2025</v>
      </c>
      <c r="O492" s="58">
        <v>0.75</v>
      </c>
      <c r="P492" s="59" t="s">
        <v>347</v>
      </c>
      <c r="Q492" s="60" t="s">
        <v>94</v>
      </c>
      <c r="R492" s="56" t="s">
        <v>309</v>
      </c>
      <c r="S492" s="61" t="s">
        <v>43</v>
      </c>
      <c r="T492" s="62" t="s">
        <v>816</v>
      </c>
      <c r="U492" s="63" t="s">
        <v>23</v>
      </c>
      <c r="V492" s="63" t="s">
        <v>147</v>
      </c>
      <c r="W492" s="64">
        <v>4328</v>
      </c>
      <c r="X492" s="64">
        <v>5</v>
      </c>
      <c r="Y492" s="47"/>
      <c r="Z492" s="47"/>
    </row>
    <row r="493" spans="1:26" x14ac:dyDescent="0.25">
      <c r="A493" s="53">
        <v>45702</v>
      </c>
      <c r="B493" s="54">
        <f t="shared" si="154"/>
        <v>14</v>
      </c>
      <c r="C493" s="55" t="str" cm="1">
        <f t="array" ref="C493">INDEX(Processing!$C$11:$C$22,MONTH('ALL ORDERS'!A493))</f>
        <v>FEB</v>
      </c>
      <c r="D493" s="54">
        <f t="shared" si="155"/>
        <v>2025</v>
      </c>
      <c r="E493" s="56" t="s">
        <v>49</v>
      </c>
      <c r="F493" s="56" t="s">
        <v>19</v>
      </c>
      <c r="G493" s="100">
        <v>0</v>
      </c>
      <c r="H493" s="100">
        <v>2690</v>
      </c>
      <c r="I493" s="57">
        <v>0.15</v>
      </c>
      <c r="J493" s="99">
        <f t="shared" si="153"/>
        <v>2690</v>
      </c>
      <c r="K493" s="53">
        <v>45702</v>
      </c>
      <c r="L493" s="54">
        <f t="shared" si="156"/>
        <v>14</v>
      </c>
      <c r="M493" s="55" t="str" cm="1">
        <f t="array" ref="M493">INDEX(Processing!$W$6:$W$17,MONTH('ALL ORDERS'!K493))</f>
        <v>February</v>
      </c>
      <c r="N493" s="54">
        <f t="shared" si="146"/>
        <v>2025</v>
      </c>
      <c r="O493" s="58">
        <v>0.41666666666666669</v>
      </c>
      <c r="P493" s="59" t="s">
        <v>350</v>
      </c>
      <c r="Q493" s="60" t="s">
        <v>91</v>
      </c>
      <c r="R493" s="56" t="s">
        <v>312</v>
      </c>
      <c r="S493" s="61" t="s">
        <v>43</v>
      </c>
      <c r="T493" s="62" t="s">
        <v>817</v>
      </c>
      <c r="U493" s="63" t="s">
        <v>27</v>
      </c>
      <c r="V493" s="63" t="s">
        <v>147</v>
      </c>
      <c r="W493" s="64">
        <v>3835</v>
      </c>
      <c r="X493" s="64">
        <v>5</v>
      </c>
      <c r="Y493" s="47"/>
      <c r="Z493" s="47"/>
    </row>
    <row r="494" spans="1:26" x14ac:dyDescent="0.25">
      <c r="A494" s="53">
        <v>45703</v>
      </c>
      <c r="B494" s="54">
        <f t="shared" si="154"/>
        <v>15</v>
      </c>
      <c r="C494" s="55" t="str" cm="1">
        <f t="array" ref="C494">INDEX(Processing!$C$11:$C$22,MONTH('ALL ORDERS'!A494))</f>
        <v>FEB</v>
      </c>
      <c r="D494" s="54">
        <f t="shared" si="155"/>
        <v>2025</v>
      </c>
      <c r="E494" s="56" t="s">
        <v>49</v>
      </c>
      <c r="F494" s="56" t="s">
        <v>152</v>
      </c>
      <c r="G494" s="100">
        <v>0</v>
      </c>
      <c r="H494" s="100">
        <v>1040</v>
      </c>
      <c r="I494" s="57">
        <v>0.15</v>
      </c>
      <c r="J494" s="99">
        <f t="shared" si="153"/>
        <v>1040</v>
      </c>
      <c r="K494" s="53">
        <v>45703</v>
      </c>
      <c r="L494" s="54">
        <f t="shared" si="156"/>
        <v>15</v>
      </c>
      <c r="M494" s="55" t="str" cm="1">
        <f t="array" ref="M494">INDEX(Processing!$W$6:$W$17,MONTH('ALL ORDERS'!K494))</f>
        <v>February</v>
      </c>
      <c r="N494" s="54">
        <f t="shared" si="146"/>
        <v>2025</v>
      </c>
      <c r="O494" s="58">
        <v>0.5</v>
      </c>
      <c r="P494" s="59" t="s">
        <v>205</v>
      </c>
      <c r="Q494" s="60" t="s">
        <v>94</v>
      </c>
      <c r="R494" s="56" t="s">
        <v>292</v>
      </c>
      <c r="S494" s="61" t="s">
        <v>44</v>
      </c>
      <c r="T494" s="62" t="s">
        <v>818</v>
      </c>
      <c r="U494" s="63" t="s">
        <v>24</v>
      </c>
      <c r="V494" s="63" t="s">
        <v>147</v>
      </c>
      <c r="W494" s="64">
        <v>6023</v>
      </c>
      <c r="X494" s="64">
        <v>4</v>
      </c>
      <c r="Y494" s="47"/>
      <c r="Z494" s="47"/>
    </row>
    <row r="495" spans="1:26" x14ac:dyDescent="0.25">
      <c r="A495" s="53">
        <v>45704</v>
      </c>
      <c r="B495" s="54">
        <f t="shared" si="154"/>
        <v>16</v>
      </c>
      <c r="C495" s="55" t="str" cm="1">
        <f t="array" ref="C495">INDEX(Processing!$C$11:$C$22,MONTH('ALL ORDERS'!A495))</f>
        <v>FEB</v>
      </c>
      <c r="D495" s="54">
        <f t="shared" si="155"/>
        <v>2025</v>
      </c>
      <c r="E495" s="56" t="s">
        <v>48</v>
      </c>
      <c r="F495" s="56" t="s">
        <v>135</v>
      </c>
      <c r="G495" s="100">
        <v>0</v>
      </c>
      <c r="H495" s="100">
        <v>1990</v>
      </c>
      <c r="I495" s="57"/>
      <c r="J495" s="99">
        <f t="shared" si="153"/>
        <v>1990</v>
      </c>
      <c r="K495" s="53">
        <v>45704</v>
      </c>
      <c r="L495" s="54">
        <f t="shared" si="156"/>
        <v>16</v>
      </c>
      <c r="M495" s="55" t="str" cm="1">
        <f t="array" ref="M495">INDEX(Processing!$W$6:$W$17,MONTH('ALL ORDERS'!K495))</f>
        <v>February</v>
      </c>
      <c r="N495" s="54">
        <f t="shared" si="146"/>
        <v>2025</v>
      </c>
      <c r="O495" s="58">
        <v>0.66666666666666663</v>
      </c>
      <c r="P495" s="59" t="s">
        <v>232</v>
      </c>
      <c r="Q495" s="60" t="s">
        <v>94</v>
      </c>
      <c r="R495" s="56" t="s">
        <v>332</v>
      </c>
      <c r="S495" s="61" t="s">
        <v>43</v>
      </c>
      <c r="T495" s="62" t="s">
        <v>819</v>
      </c>
      <c r="U495" s="63" t="s">
        <v>26</v>
      </c>
      <c r="V495" s="63" t="s">
        <v>147</v>
      </c>
      <c r="W495" s="64">
        <v>3235</v>
      </c>
      <c r="X495" s="64">
        <v>3</v>
      </c>
      <c r="Y495" s="47"/>
      <c r="Z495" s="47"/>
    </row>
    <row r="496" spans="1:26" x14ac:dyDescent="0.25">
      <c r="A496" s="53">
        <v>45699</v>
      </c>
      <c r="B496" s="54">
        <f t="shared" si="154"/>
        <v>11</v>
      </c>
      <c r="C496" s="55" t="str" cm="1">
        <f t="array" ref="C496">INDEX(Processing!$C$11:$C$22,MONTH('ALL ORDERS'!A496))</f>
        <v>FEB</v>
      </c>
      <c r="D496" s="54">
        <f t="shared" si="155"/>
        <v>2025</v>
      </c>
      <c r="E496" s="56" t="s">
        <v>51</v>
      </c>
      <c r="F496" s="56" t="s">
        <v>126</v>
      </c>
      <c r="G496" s="100">
        <v>0</v>
      </c>
      <c r="H496" s="100">
        <v>1980</v>
      </c>
      <c r="I496" s="57"/>
      <c r="J496" s="99">
        <f t="shared" si="153"/>
        <v>1980</v>
      </c>
      <c r="K496" s="53">
        <v>45699</v>
      </c>
      <c r="L496" s="54">
        <f t="shared" si="156"/>
        <v>11</v>
      </c>
      <c r="M496" s="55" t="str" cm="1">
        <f t="array" ref="M496">INDEX(Processing!$W$6:$W$17,MONTH('ALL ORDERS'!K496))</f>
        <v>February</v>
      </c>
      <c r="N496" s="54">
        <f t="shared" si="146"/>
        <v>2025</v>
      </c>
      <c r="O496" s="58">
        <v>0.75</v>
      </c>
      <c r="P496" s="59" t="s">
        <v>347</v>
      </c>
      <c r="Q496" s="60" t="s">
        <v>94</v>
      </c>
      <c r="R496" s="56" t="s">
        <v>309</v>
      </c>
      <c r="S496" s="61" t="s">
        <v>41</v>
      </c>
      <c r="T496" s="62" t="s">
        <v>820</v>
      </c>
      <c r="U496" s="63" t="s">
        <v>25</v>
      </c>
      <c r="V496" s="63" t="s">
        <v>147</v>
      </c>
      <c r="W496" s="64">
        <v>4815</v>
      </c>
      <c r="X496" s="64">
        <v>4</v>
      </c>
      <c r="Y496" s="47"/>
      <c r="Z496" s="47"/>
    </row>
    <row r="497" spans="1:26" x14ac:dyDescent="0.25">
      <c r="A497" s="53">
        <v>45706</v>
      </c>
      <c r="B497" s="54">
        <f t="shared" si="154"/>
        <v>18</v>
      </c>
      <c r="C497" s="55" t="str" cm="1">
        <f t="array" ref="C497">INDEX(Processing!$C$11:$C$22,MONTH('ALL ORDERS'!A497))</f>
        <v>FEB</v>
      </c>
      <c r="D497" s="54">
        <f t="shared" si="155"/>
        <v>2025</v>
      </c>
      <c r="E497" s="56" t="s">
        <v>48</v>
      </c>
      <c r="F497" s="56" t="s">
        <v>127</v>
      </c>
      <c r="G497" s="100">
        <v>0</v>
      </c>
      <c r="H497" s="100">
        <v>3510</v>
      </c>
      <c r="I497" s="57"/>
      <c r="J497" s="99">
        <f t="shared" si="153"/>
        <v>3510</v>
      </c>
      <c r="K497" s="53">
        <v>45706</v>
      </c>
      <c r="L497" s="54">
        <f t="shared" si="156"/>
        <v>18</v>
      </c>
      <c r="M497" s="55" t="str" cm="1">
        <f t="array" ref="M497">INDEX(Processing!$W$6:$W$17,MONTH('ALL ORDERS'!K497))</f>
        <v>February</v>
      </c>
      <c r="N497" s="54">
        <f t="shared" si="146"/>
        <v>2025</v>
      </c>
      <c r="O497" s="58">
        <v>0.41666666666666669</v>
      </c>
      <c r="P497" s="59" t="s">
        <v>224</v>
      </c>
      <c r="Q497" s="60" t="s">
        <v>90</v>
      </c>
      <c r="R497" s="56" t="s">
        <v>324</v>
      </c>
      <c r="S497" s="61" t="s">
        <v>42</v>
      </c>
      <c r="T497" s="70">
        <v>22900888990</v>
      </c>
      <c r="U497" s="63" t="s">
        <v>25</v>
      </c>
      <c r="V497" s="63" t="s">
        <v>147</v>
      </c>
      <c r="W497" s="64">
        <v>4101</v>
      </c>
      <c r="X497" s="64">
        <v>5</v>
      </c>
      <c r="Y497" s="47"/>
      <c r="Z497" s="47"/>
    </row>
    <row r="498" spans="1:26" x14ac:dyDescent="0.25">
      <c r="A498" s="53">
        <v>45706</v>
      </c>
      <c r="B498" s="54">
        <f t="shared" si="154"/>
        <v>18</v>
      </c>
      <c r="C498" s="55" t="str" cm="1">
        <f t="array" ref="C498">INDEX(Processing!$C$11:$C$22,MONTH('ALL ORDERS'!A498))</f>
        <v>FEB</v>
      </c>
      <c r="D498" s="54">
        <f t="shared" si="155"/>
        <v>2025</v>
      </c>
      <c r="E498" s="56" t="s">
        <v>48</v>
      </c>
      <c r="F498" s="56" t="s">
        <v>134</v>
      </c>
      <c r="G498" s="100">
        <v>0</v>
      </c>
      <c r="H498" s="100">
        <v>810</v>
      </c>
      <c r="I498" s="57"/>
      <c r="J498" s="99">
        <f t="shared" si="153"/>
        <v>810</v>
      </c>
      <c r="K498" s="53">
        <v>45706</v>
      </c>
      <c r="L498" s="54">
        <f t="shared" si="156"/>
        <v>18</v>
      </c>
      <c r="M498" s="55" t="str" cm="1">
        <f t="array" ref="M498">INDEX(Processing!$W$6:$W$17,MONTH('ALL ORDERS'!K498))</f>
        <v>February</v>
      </c>
      <c r="N498" s="54">
        <f t="shared" si="146"/>
        <v>2025</v>
      </c>
      <c r="O498" s="58">
        <v>0.5</v>
      </c>
      <c r="P498" s="59" t="s">
        <v>222</v>
      </c>
      <c r="Q498" s="60" t="s">
        <v>94</v>
      </c>
      <c r="R498" s="56" t="s">
        <v>321</v>
      </c>
      <c r="S498" s="61" t="s">
        <v>43</v>
      </c>
      <c r="T498" s="62" t="s">
        <v>821</v>
      </c>
      <c r="U498" s="63" t="s">
        <v>25</v>
      </c>
      <c r="V498" s="63" t="s">
        <v>147</v>
      </c>
      <c r="W498" s="64">
        <v>4039</v>
      </c>
      <c r="X498" s="64">
        <v>2</v>
      </c>
      <c r="Y498" s="47"/>
      <c r="Z498" s="47"/>
    </row>
    <row r="499" spans="1:26" x14ac:dyDescent="0.25">
      <c r="A499" s="53">
        <v>45706</v>
      </c>
      <c r="B499" s="54">
        <f t="shared" si="154"/>
        <v>18</v>
      </c>
      <c r="C499" s="55" t="str" cm="1">
        <f t="array" ref="C499">INDEX(Processing!$C$11:$C$22,MONTH('ALL ORDERS'!A499))</f>
        <v>FEB</v>
      </c>
      <c r="D499" s="54">
        <f t="shared" si="155"/>
        <v>2025</v>
      </c>
      <c r="E499" s="56" t="s">
        <v>49</v>
      </c>
      <c r="F499" s="56" t="s">
        <v>137</v>
      </c>
      <c r="G499" s="100">
        <v>0</v>
      </c>
      <c r="H499" s="100">
        <v>2680</v>
      </c>
      <c r="I499" s="57"/>
      <c r="J499" s="99">
        <f t="shared" si="153"/>
        <v>2680</v>
      </c>
      <c r="K499" s="53">
        <v>45706</v>
      </c>
      <c r="L499" s="54">
        <f t="shared" si="156"/>
        <v>18</v>
      </c>
      <c r="M499" s="55" t="str" cm="1">
        <f t="array" ref="M499">INDEX(Processing!$W$6:$W$17,MONTH('ALL ORDERS'!K499))</f>
        <v>February</v>
      </c>
      <c r="N499" s="54">
        <f t="shared" si="146"/>
        <v>2025</v>
      </c>
      <c r="O499" s="58">
        <v>0.66666666666666663</v>
      </c>
      <c r="P499" s="59" t="s">
        <v>200</v>
      </c>
      <c r="Q499" s="60" t="s">
        <v>94</v>
      </c>
      <c r="R499" s="56" t="s">
        <v>287</v>
      </c>
      <c r="S499" s="61" t="s">
        <v>43</v>
      </c>
      <c r="T499" s="62" t="s">
        <v>822</v>
      </c>
      <c r="U499" s="63" t="s">
        <v>23</v>
      </c>
      <c r="V499" s="63" t="s">
        <v>147</v>
      </c>
      <c r="W499" s="64">
        <v>2827</v>
      </c>
      <c r="X499" s="64">
        <v>5</v>
      </c>
      <c r="Y499" s="47"/>
      <c r="Z499" s="47"/>
    </row>
    <row r="500" spans="1:26" x14ac:dyDescent="0.25">
      <c r="A500" s="53">
        <v>45706</v>
      </c>
      <c r="B500" s="54">
        <f t="shared" si="154"/>
        <v>18</v>
      </c>
      <c r="C500" s="55" t="str" cm="1">
        <f t="array" ref="C500">INDEX(Processing!$C$11:$C$22,MONTH('ALL ORDERS'!A500))</f>
        <v>FEB</v>
      </c>
      <c r="D500" s="54">
        <f t="shared" si="155"/>
        <v>2025</v>
      </c>
      <c r="E500" s="56" t="s">
        <v>49</v>
      </c>
      <c r="F500" s="56" t="s">
        <v>131</v>
      </c>
      <c r="G500" s="100">
        <v>0</v>
      </c>
      <c r="H500" s="100">
        <v>1110</v>
      </c>
      <c r="I500" s="57"/>
      <c r="J500" s="99">
        <f t="shared" si="153"/>
        <v>1110</v>
      </c>
      <c r="K500" s="53">
        <v>45706</v>
      </c>
      <c r="L500" s="54">
        <f t="shared" si="156"/>
        <v>18</v>
      </c>
      <c r="M500" s="55" t="str" cm="1">
        <f t="array" ref="M500">INDEX(Processing!$W$6:$W$17,MONTH('ALL ORDERS'!K500))</f>
        <v>February</v>
      </c>
      <c r="N500" s="54">
        <f t="shared" si="146"/>
        <v>2025</v>
      </c>
      <c r="O500" s="58">
        <v>0.75</v>
      </c>
      <c r="P500" s="59" t="s">
        <v>170</v>
      </c>
      <c r="Q500" s="60" t="s">
        <v>94</v>
      </c>
      <c r="R500" s="56" t="s">
        <v>254</v>
      </c>
      <c r="S500" s="61" t="s">
        <v>45</v>
      </c>
      <c r="T500" s="62" t="s">
        <v>823</v>
      </c>
      <c r="U500" s="63" t="s">
        <v>27</v>
      </c>
      <c r="V500" s="63" t="s">
        <v>147</v>
      </c>
      <c r="W500" s="64">
        <v>832</v>
      </c>
      <c r="X500" s="64">
        <v>3</v>
      </c>
      <c r="Y500" s="47"/>
      <c r="Z500" s="47"/>
    </row>
    <row r="501" spans="1:26" x14ac:dyDescent="0.25">
      <c r="A501" s="53">
        <v>45710</v>
      </c>
      <c r="B501" s="54">
        <f t="shared" si="154"/>
        <v>22</v>
      </c>
      <c r="C501" s="55" t="str" cm="1">
        <f t="array" ref="C501">INDEX(Processing!$C$11:$C$22,MONTH('ALL ORDERS'!A501))</f>
        <v>FEB</v>
      </c>
      <c r="D501" s="54">
        <f t="shared" si="155"/>
        <v>2025</v>
      </c>
      <c r="E501" s="56" t="s">
        <v>51</v>
      </c>
      <c r="F501" s="56" t="s">
        <v>133</v>
      </c>
      <c r="G501" s="100">
        <v>0</v>
      </c>
      <c r="H501" s="100">
        <v>3250</v>
      </c>
      <c r="I501" s="57"/>
      <c r="J501" s="99">
        <f t="shared" si="153"/>
        <v>3250</v>
      </c>
      <c r="K501" s="53">
        <v>45710</v>
      </c>
      <c r="L501" s="54">
        <f t="shared" si="156"/>
        <v>22</v>
      </c>
      <c r="M501" s="55" t="str" cm="1">
        <f t="array" ref="M501">INDEX(Processing!$W$6:$W$17,MONTH('ALL ORDERS'!K501))</f>
        <v>February</v>
      </c>
      <c r="N501" s="54">
        <f t="shared" si="146"/>
        <v>2025</v>
      </c>
      <c r="O501" s="58">
        <v>0.41666666666666669</v>
      </c>
      <c r="P501" s="59" t="s">
        <v>204</v>
      </c>
      <c r="Q501" s="60" t="s">
        <v>94</v>
      </c>
      <c r="R501" s="56" t="s">
        <v>291</v>
      </c>
      <c r="S501" s="61" t="s">
        <v>43</v>
      </c>
      <c r="T501" s="62" t="s">
        <v>824</v>
      </c>
      <c r="U501" s="63" t="s">
        <v>24</v>
      </c>
      <c r="V501" s="63" t="s">
        <v>147</v>
      </c>
      <c r="W501" s="64">
        <v>5587</v>
      </c>
      <c r="X501" s="64">
        <v>3</v>
      </c>
      <c r="Y501" s="47"/>
      <c r="Z501" s="47"/>
    </row>
    <row r="502" spans="1:26" x14ac:dyDescent="0.25">
      <c r="A502" s="53">
        <v>45710</v>
      </c>
      <c r="B502" s="54">
        <f t="shared" si="154"/>
        <v>22</v>
      </c>
      <c r="C502" s="55" t="str" cm="1">
        <f t="array" ref="C502">INDEX(Processing!$C$11:$C$22,MONTH('ALL ORDERS'!A502))</f>
        <v>FEB</v>
      </c>
      <c r="D502" s="54">
        <f t="shared" si="155"/>
        <v>2025</v>
      </c>
      <c r="E502" s="56" t="s">
        <v>48</v>
      </c>
      <c r="F502" s="56" t="s">
        <v>133</v>
      </c>
      <c r="G502" s="100">
        <v>0</v>
      </c>
      <c r="H502" s="100">
        <v>110</v>
      </c>
      <c r="I502" s="57"/>
      <c r="J502" s="99">
        <f t="shared" si="153"/>
        <v>110</v>
      </c>
      <c r="K502" s="53">
        <v>45710</v>
      </c>
      <c r="L502" s="54">
        <f t="shared" si="156"/>
        <v>22</v>
      </c>
      <c r="M502" s="55" t="str" cm="1">
        <f t="array" ref="M502">INDEX(Processing!$W$6:$W$17,MONTH('ALL ORDERS'!K502))</f>
        <v>February</v>
      </c>
      <c r="N502" s="54">
        <f t="shared" si="146"/>
        <v>2025</v>
      </c>
      <c r="O502" s="58">
        <v>0.5</v>
      </c>
      <c r="P502" s="59" t="s">
        <v>190</v>
      </c>
      <c r="Q502" s="60" t="s">
        <v>94</v>
      </c>
      <c r="R502" s="56" t="s">
        <v>276</v>
      </c>
      <c r="S502" s="61" t="s">
        <v>43</v>
      </c>
      <c r="T502" s="62" t="s">
        <v>825</v>
      </c>
      <c r="U502" s="63" t="s">
        <v>24</v>
      </c>
      <c r="V502" s="63" t="s">
        <v>147</v>
      </c>
      <c r="W502" s="64">
        <v>4472</v>
      </c>
      <c r="X502" s="64">
        <v>2</v>
      </c>
      <c r="Y502" s="47"/>
      <c r="Z502" s="47"/>
    </row>
    <row r="503" spans="1:26" x14ac:dyDescent="0.25">
      <c r="A503" s="53">
        <v>45712</v>
      </c>
      <c r="B503" s="54">
        <f t="shared" si="154"/>
        <v>24</v>
      </c>
      <c r="C503" s="55" t="str" cm="1">
        <f t="array" ref="C503">INDEX(Processing!$C$11:$C$22,MONTH('ALL ORDERS'!A503))</f>
        <v>FEB</v>
      </c>
      <c r="D503" s="54">
        <f t="shared" si="155"/>
        <v>2025</v>
      </c>
      <c r="E503" s="56" t="s">
        <v>49</v>
      </c>
      <c r="F503" s="56" t="s">
        <v>134</v>
      </c>
      <c r="G503" s="100">
        <v>0</v>
      </c>
      <c r="H503" s="100">
        <v>2030</v>
      </c>
      <c r="I503" s="57"/>
      <c r="J503" s="99">
        <f t="shared" si="153"/>
        <v>2030</v>
      </c>
      <c r="K503" s="53">
        <v>45712</v>
      </c>
      <c r="L503" s="54">
        <f t="shared" si="156"/>
        <v>24</v>
      </c>
      <c r="M503" s="55" t="str" cm="1">
        <f t="array" ref="M503">INDEX(Processing!$W$6:$W$17,MONTH('ALL ORDERS'!K503))</f>
        <v>February</v>
      </c>
      <c r="N503" s="54">
        <f t="shared" si="146"/>
        <v>2025</v>
      </c>
      <c r="O503" s="58">
        <v>0.66666666666666663</v>
      </c>
      <c r="P503" s="59" t="s">
        <v>172</v>
      </c>
      <c r="Q503" s="60" t="s">
        <v>94</v>
      </c>
      <c r="R503" s="56" t="s">
        <v>256</v>
      </c>
      <c r="S503" s="61" t="s">
        <v>41</v>
      </c>
      <c r="T503" s="62" t="s">
        <v>826</v>
      </c>
      <c r="U503" s="63" t="s">
        <v>26</v>
      </c>
      <c r="V503" s="63" t="s">
        <v>147</v>
      </c>
      <c r="W503" s="64">
        <v>1326</v>
      </c>
      <c r="X503" s="64">
        <v>4</v>
      </c>
      <c r="Y503" s="47"/>
      <c r="Z503" s="47"/>
    </row>
    <row r="504" spans="1:26" x14ac:dyDescent="0.25">
      <c r="A504" s="53">
        <v>45713</v>
      </c>
      <c r="B504" s="54">
        <f t="shared" si="154"/>
        <v>25</v>
      </c>
      <c r="C504" s="55" t="str" cm="1">
        <f t="array" ref="C504">INDEX(Processing!$C$11:$C$22,MONTH('ALL ORDERS'!A504))</f>
        <v>FEB</v>
      </c>
      <c r="D504" s="54">
        <f t="shared" si="155"/>
        <v>2025</v>
      </c>
      <c r="E504" s="56" t="s">
        <v>47</v>
      </c>
      <c r="F504" s="56" t="s">
        <v>134</v>
      </c>
      <c r="G504" s="100">
        <v>1510</v>
      </c>
      <c r="H504" s="100">
        <v>0</v>
      </c>
      <c r="I504" s="57"/>
      <c r="J504" s="99">
        <f t="shared" si="153"/>
        <v>1510</v>
      </c>
      <c r="K504" s="53">
        <v>45713</v>
      </c>
      <c r="L504" s="54">
        <f t="shared" si="156"/>
        <v>25</v>
      </c>
      <c r="M504" s="55" t="str" cm="1">
        <f t="array" ref="M504">INDEX(Processing!$W$6:$W$17,MONTH('ALL ORDERS'!K504))</f>
        <v>February</v>
      </c>
      <c r="N504" s="54">
        <f t="shared" si="146"/>
        <v>2025</v>
      </c>
      <c r="O504" s="58">
        <v>0.75</v>
      </c>
      <c r="P504" s="59" t="s">
        <v>343</v>
      </c>
      <c r="Q504" s="60" t="s">
        <v>94</v>
      </c>
      <c r="R504" s="56" t="s">
        <v>303</v>
      </c>
      <c r="S504" s="61" t="s">
        <v>42</v>
      </c>
      <c r="T504" s="62" t="s">
        <v>827</v>
      </c>
      <c r="U504" s="63" t="s">
        <v>27</v>
      </c>
      <c r="V504" s="63" t="s">
        <v>147</v>
      </c>
      <c r="W504" s="64">
        <v>2418</v>
      </c>
      <c r="X504" s="64">
        <v>3</v>
      </c>
      <c r="Y504" s="47"/>
      <c r="Z504" s="47"/>
    </row>
    <row r="505" spans="1:26" x14ac:dyDescent="0.25">
      <c r="A505" s="53">
        <v>45714</v>
      </c>
      <c r="B505" s="54">
        <f t="shared" si="154"/>
        <v>26</v>
      </c>
      <c r="C505" s="55" t="str" cm="1">
        <f t="array" ref="C505">INDEX(Processing!$C$11:$C$22,MONTH('ALL ORDERS'!A505))</f>
        <v>FEB</v>
      </c>
      <c r="D505" s="54">
        <f t="shared" si="155"/>
        <v>2025</v>
      </c>
      <c r="E505" s="56" t="s">
        <v>50</v>
      </c>
      <c r="F505" s="56" t="s">
        <v>19</v>
      </c>
      <c r="G505" s="100">
        <v>3690</v>
      </c>
      <c r="H505" s="100">
        <v>0</v>
      </c>
      <c r="I505" s="57"/>
      <c r="J505" s="99">
        <f t="shared" si="153"/>
        <v>3690</v>
      </c>
      <c r="K505" s="53">
        <v>45714</v>
      </c>
      <c r="L505" s="54">
        <f t="shared" si="156"/>
        <v>26</v>
      </c>
      <c r="M505" s="55" t="str" cm="1">
        <f t="array" ref="M505">INDEX(Processing!$W$6:$W$17,MONTH('ALL ORDERS'!K505))</f>
        <v>February</v>
      </c>
      <c r="N505" s="54">
        <f t="shared" si="146"/>
        <v>2025</v>
      </c>
      <c r="O505" s="58">
        <v>0.41666666666666669</v>
      </c>
      <c r="P505" s="59" t="s">
        <v>195</v>
      </c>
      <c r="Q505" s="60" t="s">
        <v>94</v>
      </c>
      <c r="R505" s="56" t="s">
        <v>281</v>
      </c>
      <c r="S505" s="61" t="s">
        <v>43</v>
      </c>
      <c r="T505" s="62" t="s">
        <v>828</v>
      </c>
      <c r="U505" s="63" t="s">
        <v>23</v>
      </c>
      <c r="V505" s="63" t="s">
        <v>147</v>
      </c>
      <c r="W505" s="64">
        <v>3946</v>
      </c>
      <c r="X505" s="64">
        <v>3</v>
      </c>
      <c r="Y505" s="47"/>
      <c r="Z505" s="47"/>
    </row>
    <row r="506" spans="1:26" x14ac:dyDescent="0.25">
      <c r="A506" s="53">
        <v>45709</v>
      </c>
      <c r="B506" s="54">
        <f t="shared" si="154"/>
        <v>21</v>
      </c>
      <c r="C506" s="55" t="str" cm="1">
        <f t="array" ref="C506">INDEX(Processing!$C$11:$C$22,MONTH('ALL ORDERS'!A506))</f>
        <v>FEB</v>
      </c>
      <c r="D506" s="54">
        <f t="shared" si="155"/>
        <v>2025</v>
      </c>
      <c r="E506" s="56" t="s">
        <v>47</v>
      </c>
      <c r="F506" s="56" t="s">
        <v>19</v>
      </c>
      <c r="G506" s="100">
        <v>0</v>
      </c>
      <c r="H506" s="100">
        <v>1090</v>
      </c>
      <c r="I506" s="57"/>
      <c r="J506" s="99">
        <f t="shared" si="153"/>
        <v>1090</v>
      </c>
      <c r="K506" s="53">
        <v>45709</v>
      </c>
      <c r="L506" s="54">
        <f t="shared" si="156"/>
        <v>21</v>
      </c>
      <c r="M506" s="55" t="str" cm="1">
        <f t="array" ref="M506">INDEX(Processing!$W$6:$W$17,MONTH('ALL ORDERS'!K506))</f>
        <v>February</v>
      </c>
      <c r="N506" s="54">
        <f t="shared" si="146"/>
        <v>2025</v>
      </c>
      <c r="O506" s="58">
        <v>0.5</v>
      </c>
      <c r="P506" s="59" t="s">
        <v>161</v>
      </c>
      <c r="Q506" s="60" t="s">
        <v>90</v>
      </c>
      <c r="R506" s="56" t="s">
        <v>244</v>
      </c>
      <c r="S506" s="61" t="s">
        <v>43</v>
      </c>
      <c r="T506" s="62" t="s">
        <v>829</v>
      </c>
      <c r="U506" s="63" t="s">
        <v>25</v>
      </c>
      <c r="V506" s="63" t="s">
        <v>147</v>
      </c>
      <c r="W506" s="64">
        <v>3565</v>
      </c>
      <c r="X506" s="64">
        <v>4</v>
      </c>
      <c r="Y506" s="47"/>
      <c r="Z506" s="47"/>
    </row>
    <row r="507" spans="1:26" x14ac:dyDescent="0.25">
      <c r="A507" s="53">
        <v>45709</v>
      </c>
      <c r="B507" s="54">
        <f t="shared" si="154"/>
        <v>21</v>
      </c>
      <c r="C507" s="55" t="str" cm="1">
        <f t="array" ref="C507">INDEX(Processing!$C$11:$C$22,MONTH('ALL ORDERS'!A507))</f>
        <v>FEB</v>
      </c>
      <c r="D507" s="54">
        <f t="shared" si="155"/>
        <v>2025</v>
      </c>
      <c r="E507" s="56" t="s">
        <v>48</v>
      </c>
      <c r="F507" s="56" t="s">
        <v>128</v>
      </c>
      <c r="G507" s="100">
        <v>0</v>
      </c>
      <c r="H507" s="100">
        <v>2820</v>
      </c>
      <c r="I507" s="57"/>
      <c r="J507" s="99">
        <f t="shared" si="153"/>
        <v>2820</v>
      </c>
      <c r="K507" s="53">
        <v>45709</v>
      </c>
      <c r="L507" s="54">
        <f t="shared" si="156"/>
        <v>21</v>
      </c>
      <c r="M507" s="55" t="str" cm="1">
        <f t="array" ref="M507">INDEX(Processing!$W$6:$W$17,MONTH('ALL ORDERS'!K507))</f>
        <v>February</v>
      </c>
      <c r="N507" s="54">
        <f t="shared" si="146"/>
        <v>2025</v>
      </c>
      <c r="O507" s="58">
        <v>0.66666666666666663</v>
      </c>
      <c r="P507" s="59" t="s">
        <v>188</v>
      </c>
      <c r="Q507" s="60" t="s">
        <v>94</v>
      </c>
      <c r="R507" s="56" t="s">
        <v>274</v>
      </c>
      <c r="S507" s="61" t="s">
        <v>45</v>
      </c>
      <c r="T507" s="62" t="s">
        <v>830</v>
      </c>
      <c r="U507" s="63" t="s">
        <v>23</v>
      </c>
      <c r="V507" s="63" t="s">
        <v>148</v>
      </c>
      <c r="W507" s="64">
        <v>3258</v>
      </c>
      <c r="X507" s="64"/>
      <c r="Y507" s="47"/>
      <c r="Z507" s="47"/>
    </row>
    <row r="508" spans="1:26" x14ac:dyDescent="0.25">
      <c r="A508" s="53">
        <v>45717</v>
      </c>
      <c r="B508" s="54">
        <f t="shared" si="154"/>
        <v>1</v>
      </c>
      <c r="C508" s="55" t="str" cm="1">
        <f t="array" ref="C508">INDEX(Processing!$C$11:$C$22,MONTH('ALL ORDERS'!A508))</f>
        <v>MAR</v>
      </c>
      <c r="D508" s="54">
        <f t="shared" si="155"/>
        <v>2025</v>
      </c>
      <c r="E508" s="56" t="s">
        <v>49</v>
      </c>
      <c r="F508" s="56" t="s">
        <v>22</v>
      </c>
      <c r="G508" s="100">
        <v>0</v>
      </c>
      <c r="H508" s="100">
        <v>1110</v>
      </c>
      <c r="I508" s="57"/>
      <c r="J508" s="99">
        <f t="shared" si="153"/>
        <v>1110</v>
      </c>
      <c r="K508" s="53">
        <v>45717</v>
      </c>
      <c r="L508" s="54">
        <f t="shared" si="156"/>
        <v>1</v>
      </c>
      <c r="M508" s="55" t="str" cm="1">
        <f t="array" ref="M508">INDEX(Processing!$W$6:$W$17,MONTH('ALL ORDERS'!K508))</f>
        <v>March</v>
      </c>
      <c r="N508" s="54">
        <f t="shared" si="146"/>
        <v>2025</v>
      </c>
      <c r="O508" s="58">
        <v>0.75</v>
      </c>
      <c r="P508" s="59" t="s">
        <v>195</v>
      </c>
      <c r="Q508" s="60" t="s">
        <v>94</v>
      </c>
      <c r="R508" s="56" t="s">
        <v>281</v>
      </c>
      <c r="S508" s="61" t="s">
        <v>45</v>
      </c>
      <c r="T508" s="62" t="s">
        <v>831</v>
      </c>
      <c r="U508" s="63" t="s">
        <v>26</v>
      </c>
      <c r="V508" s="63" t="s">
        <v>147</v>
      </c>
      <c r="W508" s="64">
        <v>1364</v>
      </c>
      <c r="X508" s="64">
        <v>4</v>
      </c>
      <c r="Y508" s="47"/>
      <c r="Z508" s="47"/>
    </row>
    <row r="509" spans="1:26" x14ac:dyDescent="0.25">
      <c r="A509" s="53">
        <v>45718</v>
      </c>
      <c r="B509" s="54">
        <f t="shared" si="154"/>
        <v>2</v>
      </c>
      <c r="C509" s="55" t="str" cm="1">
        <f t="array" ref="C509">INDEX(Processing!$C$11:$C$22,MONTH('ALL ORDERS'!A509))</f>
        <v>MAR</v>
      </c>
      <c r="D509" s="54">
        <f t="shared" si="155"/>
        <v>2025</v>
      </c>
      <c r="E509" s="56" t="s">
        <v>47</v>
      </c>
      <c r="F509" s="56" t="s">
        <v>127</v>
      </c>
      <c r="G509" s="100">
        <v>0</v>
      </c>
      <c r="H509" s="100">
        <v>3990</v>
      </c>
      <c r="I509" s="57"/>
      <c r="J509" s="99">
        <f t="shared" si="153"/>
        <v>3990</v>
      </c>
      <c r="K509" s="53">
        <v>45718</v>
      </c>
      <c r="L509" s="54">
        <f t="shared" si="156"/>
        <v>2</v>
      </c>
      <c r="M509" s="55" t="str" cm="1">
        <f t="array" ref="M509">INDEX(Processing!$W$6:$W$17,MONTH('ALL ORDERS'!K509))</f>
        <v>March</v>
      </c>
      <c r="N509" s="54">
        <f t="shared" si="146"/>
        <v>2025</v>
      </c>
      <c r="O509" s="58">
        <v>0.41666666666666669</v>
      </c>
      <c r="P509" s="59" t="s">
        <v>230</v>
      </c>
      <c r="Q509" s="60" t="s">
        <v>90</v>
      </c>
      <c r="R509" s="56" t="s">
        <v>330</v>
      </c>
      <c r="S509" s="61" t="s">
        <v>41</v>
      </c>
      <c r="T509" s="70">
        <v>21900888990</v>
      </c>
      <c r="U509" s="63" t="s">
        <v>24</v>
      </c>
      <c r="V509" s="63" t="s">
        <v>147</v>
      </c>
      <c r="W509" s="64">
        <v>2887</v>
      </c>
      <c r="X509" s="64">
        <v>5</v>
      </c>
      <c r="Y509" s="47"/>
      <c r="Z509" s="47"/>
    </row>
    <row r="510" spans="1:26" x14ac:dyDescent="0.25">
      <c r="A510" s="53">
        <v>45719</v>
      </c>
      <c r="B510" s="54">
        <f t="shared" ref="B510" si="160">DAY(A510)</f>
        <v>3</v>
      </c>
      <c r="C510" s="55" t="str" cm="1">
        <f t="array" ref="C510">INDEX(Processing!$C$11:$C$22,MONTH('ALL ORDERS'!A510))</f>
        <v>MAR</v>
      </c>
      <c r="D510" s="54">
        <f t="shared" ref="D510" si="161">YEAR(A510)</f>
        <v>2025</v>
      </c>
      <c r="E510" s="56" t="s">
        <v>47</v>
      </c>
      <c r="F510" s="56" t="s">
        <v>127</v>
      </c>
      <c r="G510" s="100">
        <v>0</v>
      </c>
      <c r="H510" s="100">
        <v>19660</v>
      </c>
      <c r="I510" s="57"/>
      <c r="J510" s="99">
        <f t="shared" si="153"/>
        <v>19660</v>
      </c>
      <c r="K510" s="53">
        <v>45719</v>
      </c>
      <c r="L510" s="54">
        <f t="shared" si="156"/>
        <v>3</v>
      </c>
      <c r="M510" s="55" t="str" cm="1">
        <f t="array" ref="M510">INDEX(Processing!$W$6:$W$17,MONTH('ALL ORDERS'!K510))</f>
        <v>March</v>
      </c>
      <c r="N510" s="54">
        <f t="shared" ref="N510" si="162">YEAR(K510)</f>
        <v>2025</v>
      </c>
      <c r="O510" s="58">
        <v>0.45833333333333298</v>
      </c>
      <c r="P510" s="59" t="s">
        <v>231</v>
      </c>
      <c r="Q510" s="60" t="s">
        <v>90</v>
      </c>
      <c r="R510" s="56" t="s">
        <v>1094</v>
      </c>
      <c r="S510" s="61" t="s">
        <v>41</v>
      </c>
      <c r="T510" s="70">
        <v>21900888991</v>
      </c>
      <c r="U510" s="63" t="s">
        <v>24</v>
      </c>
      <c r="V510" s="63" t="s">
        <v>147</v>
      </c>
      <c r="W510" s="64">
        <v>4507</v>
      </c>
      <c r="X510" s="64">
        <v>5</v>
      </c>
      <c r="Y510" s="47"/>
      <c r="Z510" s="47"/>
    </row>
    <row r="511" spans="1:26" x14ac:dyDescent="0.25">
      <c r="A511" s="53">
        <v>45719</v>
      </c>
      <c r="B511" s="54">
        <f t="shared" si="154"/>
        <v>3</v>
      </c>
      <c r="C511" s="55" t="str" cm="1">
        <f t="array" ref="C511">INDEX(Processing!$C$11:$C$22,MONTH('ALL ORDERS'!A511))</f>
        <v>MAR</v>
      </c>
      <c r="D511" s="54">
        <f t="shared" si="155"/>
        <v>2025</v>
      </c>
      <c r="E511" s="56" t="s">
        <v>51</v>
      </c>
      <c r="F511" s="56" t="s">
        <v>125</v>
      </c>
      <c r="G511" s="100">
        <v>0</v>
      </c>
      <c r="H511" s="100">
        <v>2150</v>
      </c>
      <c r="I511" s="57">
        <v>0.15</v>
      </c>
      <c r="J511" s="99">
        <f t="shared" si="153"/>
        <v>2150</v>
      </c>
      <c r="K511" s="53">
        <v>45719</v>
      </c>
      <c r="L511" s="54">
        <f t="shared" si="156"/>
        <v>3</v>
      </c>
      <c r="M511" s="55" t="str" cm="1">
        <f t="array" ref="M511">INDEX(Processing!$W$6:$W$17,MONTH('ALL ORDERS'!K511))</f>
        <v>March</v>
      </c>
      <c r="N511" s="54">
        <f t="shared" ref="N511:N575" si="163">YEAR(K511)</f>
        <v>2025</v>
      </c>
      <c r="O511" s="58">
        <v>0.5</v>
      </c>
      <c r="P511" s="59" t="s">
        <v>162</v>
      </c>
      <c r="Q511" s="60" t="s">
        <v>94</v>
      </c>
      <c r="R511" s="56" t="s">
        <v>245</v>
      </c>
      <c r="S511" s="61" t="s">
        <v>43</v>
      </c>
      <c r="T511" s="62" t="s">
        <v>832</v>
      </c>
      <c r="U511" s="63" t="s">
        <v>24</v>
      </c>
      <c r="V511" s="63" t="s">
        <v>147</v>
      </c>
      <c r="W511" s="64">
        <v>4326</v>
      </c>
      <c r="X511" s="64">
        <v>2</v>
      </c>
      <c r="Y511" s="47"/>
      <c r="Z511" s="47"/>
    </row>
    <row r="512" spans="1:26" x14ac:dyDescent="0.25">
      <c r="A512" s="53">
        <v>45720</v>
      </c>
      <c r="B512" s="54">
        <f t="shared" si="154"/>
        <v>4</v>
      </c>
      <c r="C512" s="55" t="str" cm="1">
        <f t="array" ref="C512">INDEX(Processing!$C$11:$C$22,MONTH('ALL ORDERS'!A512))</f>
        <v>MAR</v>
      </c>
      <c r="D512" s="54">
        <f t="shared" si="155"/>
        <v>2025</v>
      </c>
      <c r="E512" s="56" t="s">
        <v>48</v>
      </c>
      <c r="F512" s="56" t="s">
        <v>130</v>
      </c>
      <c r="G512" s="100">
        <v>0</v>
      </c>
      <c r="H512" s="100">
        <v>2230</v>
      </c>
      <c r="I512" s="57"/>
      <c r="J512" s="99">
        <f t="shared" si="153"/>
        <v>2230</v>
      </c>
      <c r="K512" s="53">
        <v>45720</v>
      </c>
      <c r="L512" s="54">
        <f t="shared" si="156"/>
        <v>4</v>
      </c>
      <c r="M512" s="55" t="str" cm="1">
        <f t="array" ref="M512">INDEX(Processing!$W$6:$W$17,MONTH('ALL ORDERS'!K512))</f>
        <v>March</v>
      </c>
      <c r="N512" s="54">
        <f t="shared" si="163"/>
        <v>2025</v>
      </c>
      <c r="O512" s="58">
        <v>0.66666666666666663</v>
      </c>
      <c r="P512" s="59" t="s">
        <v>181</v>
      </c>
      <c r="Q512" s="60" t="s">
        <v>90</v>
      </c>
      <c r="R512" s="56" t="s">
        <v>266</v>
      </c>
      <c r="S512" s="61" t="s">
        <v>43</v>
      </c>
      <c r="T512" s="62" t="s">
        <v>833</v>
      </c>
      <c r="U512" s="63" t="s">
        <v>26</v>
      </c>
      <c r="V512" s="63" t="s">
        <v>147</v>
      </c>
      <c r="W512" s="64">
        <v>5351</v>
      </c>
      <c r="X512" s="64">
        <v>5</v>
      </c>
      <c r="Y512" s="47"/>
      <c r="Z512" s="47"/>
    </row>
    <row r="513" spans="1:26" x14ac:dyDescent="0.25">
      <c r="A513" s="53">
        <v>45721</v>
      </c>
      <c r="B513" s="54">
        <f t="shared" si="154"/>
        <v>5</v>
      </c>
      <c r="C513" s="55" t="str" cm="1">
        <f t="array" ref="C513">INDEX(Processing!$C$11:$C$22,MONTH('ALL ORDERS'!A513))</f>
        <v>MAR</v>
      </c>
      <c r="D513" s="54">
        <f t="shared" si="155"/>
        <v>2025</v>
      </c>
      <c r="E513" s="56" t="s">
        <v>48</v>
      </c>
      <c r="F513" s="56" t="s">
        <v>121</v>
      </c>
      <c r="G513" s="100">
        <v>0</v>
      </c>
      <c r="H513" s="100">
        <v>3080</v>
      </c>
      <c r="I513" s="57"/>
      <c r="J513" s="99">
        <f t="shared" si="153"/>
        <v>3080</v>
      </c>
      <c r="K513" s="53">
        <v>45721</v>
      </c>
      <c r="L513" s="54">
        <f t="shared" si="156"/>
        <v>5</v>
      </c>
      <c r="M513" s="55" t="str" cm="1">
        <f t="array" ref="M513">INDEX(Processing!$W$6:$W$17,MONTH('ALL ORDERS'!K513))</f>
        <v>March</v>
      </c>
      <c r="N513" s="54">
        <f t="shared" si="163"/>
        <v>2025</v>
      </c>
      <c r="O513" s="58">
        <v>0.75</v>
      </c>
      <c r="P513" s="59" t="s">
        <v>206</v>
      </c>
      <c r="Q513" s="60" t="s">
        <v>94</v>
      </c>
      <c r="R513" s="56" t="s">
        <v>294</v>
      </c>
      <c r="S513" s="61" t="s">
        <v>41</v>
      </c>
      <c r="T513" s="62" t="s">
        <v>834</v>
      </c>
      <c r="U513" s="63" t="s">
        <v>25</v>
      </c>
      <c r="V513" s="63" t="s">
        <v>147</v>
      </c>
      <c r="W513" s="64">
        <v>2744</v>
      </c>
      <c r="X513" s="64">
        <v>5</v>
      </c>
      <c r="Y513" s="47"/>
      <c r="Z513" s="47"/>
    </row>
    <row r="514" spans="1:26" x14ac:dyDescent="0.25">
      <c r="A514" s="53">
        <v>45722</v>
      </c>
      <c r="B514" s="54">
        <f t="shared" si="154"/>
        <v>6</v>
      </c>
      <c r="C514" s="55" t="str" cm="1">
        <f t="array" ref="C514">INDEX(Processing!$C$11:$C$22,MONTH('ALL ORDERS'!A514))</f>
        <v>MAR</v>
      </c>
      <c r="D514" s="54">
        <f t="shared" si="155"/>
        <v>2025</v>
      </c>
      <c r="E514" s="56" t="s">
        <v>49</v>
      </c>
      <c r="F514" s="56" t="s">
        <v>18</v>
      </c>
      <c r="G514" s="100">
        <v>0</v>
      </c>
      <c r="H514" s="100">
        <v>2180</v>
      </c>
      <c r="I514" s="57"/>
      <c r="J514" s="99">
        <f t="shared" si="153"/>
        <v>2180</v>
      </c>
      <c r="K514" s="53">
        <v>45722</v>
      </c>
      <c r="L514" s="54">
        <f t="shared" si="156"/>
        <v>6</v>
      </c>
      <c r="M514" s="55" t="str" cm="1">
        <f t="array" ref="M514">INDEX(Processing!$W$6:$W$17,MONTH('ALL ORDERS'!K514))</f>
        <v>March</v>
      </c>
      <c r="N514" s="54">
        <f t="shared" si="163"/>
        <v>2025</v>
      </c>
      <c r="O514" s="58">
        <v>0.41666666666666669</v>
      </c>
      <c r="P514" s="59" t="s">
        <v>347</v>
      </c>
      <c r="Q514" s="60" t="s">
        <v>94</v>
      </c>
      <c r="R514" s="56" t="s">
        <v>309</v>
      </c>
      <c r="S514" s="61" t="s">
        <v>42</v>
      </c>
      <c r="T514" s="62" t="s">
        <v>835</v>
      </c>
      <c r="U514" s="63" t="s">
        <v>23</v>
      </c>
      <c r="V514" s="63" t="s">
        <v>147</v>
      </c>
      <c r="W514" s="64">
        <v>4247</v>
      </c>
      <c r="X514" s="64">
        <v>4</v>
      </c>
      <c r="Y514" s="47"/>
      <c r="Z514" s="47"/>
    </row>
    <row r="515" spans="1:26" x14ac:dyDescent="0.25">
      <c r="A515" s="53">
        <v>45722</v>
      </c>
      <c r="B515" s="54">
        <f t="shared" si="154"/>
        <v>6</v>
      </c>
      <c r="C515" s="55" t="str" cm="1">
        <f t="array" ref="C515">INDEX(Processing!$C$11:$C$22,MONTH('ALL ORDERS'!A515))</f>
        <v>MAR</v>
      </c>
      <c r="D515" s="54">
        <f t="shared" si="155"/>
        <v>2025</v>
      </c>
      <c r="E515" s="56" t="s">
        <v>49</v>
      </c>
      <c r="F515" s="56" t="s">
        <v>19</v>
      </c>
      <c r="G515" s="100">
        <v>0</v>
      </c>
      <c r="H515" s="100">
        <v>920</v>
      </c>
      <c r="I515" s="57"/>
      <c r="J515" s="99">
        <f t="shared" si="153"/>
        <v>920</v>
      </c>
      <c r="K515" s="53">
        <v>45722</v>
      </c>
      <c r="L515" s="54">
        <f t="shared" si="156"/>
        <v>6</v>
      </c>
      <c r="M515" s="55" t="str" cm="1">
        <f t="array" ref="M515">INDEX(Processing!$W$6:$W$17,MONTH('ALL ORDERS'!K515))</f>
        <v>March</v>
      </c>
      <c r="N515" s="54">
        <f t="shared" si="163"/>
        <v>2025</v>
      </c>
      <c r="O515" s="58">
        <v>0.5</v>
      </c>
      <c r="P515" s="59" t="s">
        <v>167</v>
      </c>
      <c r="Q515" s="60" t="s">
        <v>91</v>
      </c>
      <c r="R515" s="56" t="s">
        <v>250</v>
      </c>
      <c r="S515" s="61" t="s">
        <v>43</v>
      </c>
      <c r="T515" s="62" t="s">
        <v>836</v>
      </c>
      <c r="U515" s="63" t="s">
        <v>27</v>
      </c>
      <c r="V515" s="63" t="s">
        <v>147</v>
      </c>
      <c r="W515" s="64">
        <v>4369</v>
      </c>
      <c r="X515" s="64">
        <v>5</v>
      </c>
      <c r="Y515" s="47"/>
      <c r="Z515" s="47"/>
    </row>
    <row r="516" spans="1:26" x14ac:dyDescent="0.25">
      <c r="A516" s="53">
        <v>45724</v>
      </c>
      <c r="B516" s="54">
        <f t="shared" si="154"/>
        <v>8</v>
      </c>
      <c r="C516" s="55" t="str" cm="1">
        <f t="array" ref="C516">INDEX(Processing!$C$11:$C$22,MONTH('ALL ORDERS'!A516))</f>
        <v>MAR</v>
      </c>
      <c r="D516" s="54">
        <f t="shared" si="155"/>
        <v>2025</v>
      </c>
      <c r="E516" s="56" t="s">
        <v>51</v>
      </c>
      <c r="F516" s="56" t="s">
        <v>20</v>
      </c>
      <c r="G516" s="100">
        <v>0</v>
      </c>
      <c r="H516" s="100">
        <v>3200</v>
      </c>
      <c r="I516" s="57"/>
      <c r="J516" s="99">
        <f t="shared" si="153"/>
        <v>3200</v>
      </c>
      <c r="K516" s="53">
        <v>45724</v>
      </c>
      <c r="L516" s="54">
        <f t="shared" si="156"/>
        <v>8</v>
      </c>
      <c r="M516" s="55" t="str" cm="1">
        <f t="array" ref="M516">INDEX(Processing!$W$6:$W$17,MONTH('ALL ORDERS'!K516))</f>
        <v>March</v>
      </c>
      <c r="N516" s="54">
        <f t="shared" si="163"/>
        <v>2025</v>
      </c>
      <c r="O516" s="58">
        <v>0.66666666666666663</v>
      </c>
      <c r="P516" s="59" t="s">
        <v>205</v>
      </c>
      <c r="Q516" s="60" t="s">
        <v>94</v>
      </c>
      <c r="R516" s="56" t="s">
        <v>292</v>
      </c>
      <c r="S516" s="61" t="s">
        <v>43</v>
      </c>
      <c r="T516" s="62" t="s">
        <v>837</v>
      </c>
      <c r="U516" s="63" t="s">
        <v>24</v>
      </c>
      <c r="V516" s="63" t="s">
        <v>147</v>
      </c>
      <c r="W516" s="64">
        <v>3485</v>
      </c>
      <c r="X516" s="64">
        <v>5</v>
      </c>
      <c r="Y516" s="47"/>
      <c r="Z516" s="47"/>
    </row>
    <row r="517" spans="1:26" x14ac:dyDescent="0.25">
      <c r="A517" s="53">
        <v>45725</v>
      </c>
      <c r="B517" s="54">
        <f t="shared" si="154"/>
        <v>9</v>
      </c>
      <c r="C517" s="55" t="str" cm="1">
        <f t="array" ref="C517">INDEX(Processing!$C$11:$C$22,MONTH('ALL ORDERS'!A517))</f>
        <v>MAR</v>
      </c>
      <c r="D517" s="54">
        <f t="shared" si="155"/>
        <v>2025</v>
      </c>
      <c r="E517" s="56" t="s">
        <v>48</v>
      </c>
      <c r="F517" s="56" t="s">
        <v>21</v>
      </c>
      <c r="G517" s="100">
        <v>0</v>
      </c>
      <c r="H517" s="100">
        <v>2320</v>
      </c>
      <c r="I517" s="57">
        <v>0.15</v>
      </c>
      <c r="J517" s="99">
        <f t="shared" si="153"/>
        <v>2320</v>
      </c>
      <c r="K517" s="53">
        <v>45725</v>
      </c>
      <c r="L517" s="54">
        <f t="shared" si="156"/>
        <v>9</v>
      </c>
      <c r="M517" s="55" t="str" cm="1">
        <f t="array" ref="M517">INDEX(Processing!$W$6:$W$17,MONTH('ALL ORDERS'!K517))</f>
        <v>March</v>
      </c>
      <c r="N517" s="54">
        <f t="shared" si="163"/>
        <v>2025</v>
      </c>
      <c r="O517" s="58">
        <v>0.75</v>
      </c>
      <c r="P517" s="59" t="s">
        <v>339</v>
      </c>
      <c r="Q517" s="60" t="s">
        <v>94</v>
      </c>
      <c r="R517" s="56" t="s">
        <v>263</v>
      </c>
      <c r="S517" s="61" t="s">
        <v>45</v>
      </c>
      <c r="T517" s="62" t="s">
        <v>838</v>
      </c>
      <c r="U517" s="63" t="s">
        <v>26</v>
      </c>
      <c r="V517" s="63" t="s">
        <v>147</v>
      </c>
      <c r="W517" s="64">
        <v>3349</v>
      </c>
      <c r="X517" s="64">
        <v>5</v>
      </c>
      <c r="Y517" s="47"/>
      <c r="Z517" s="47"/>
    </row>
    <row r="518" spans="1:26" x14ac:dyDescent="0.25">
      <c r="A518" s="53">
        <v>45725</v>
      </c>
      <c r="B518" s="54">
        <f t="shared" si="154"/>
        <v>9</v>
      </c>
      <c r="C518" s="55" t="str" cm="1">
        <f t="array" ref="C518">INDEX(Processing!$C$11:$C$22,MONTH('ALL ORDERS'!A518))</f>
        <v>MAR</v>
      </c>
      <c r="D518" s="54">
        <f t="shared" si="155"/>
        <v>2025</v>
      </c>
      <c r="E518" s="56" t="s">
        <v>49</v>
      </c>
      <c r="F518" s="56" t="s">
        <v>22</v>
      </c>
      <c r="G518" s="100">
        <v>2200</v>
      </c>
      <c r="H518" s="100">
        <v>0</v>
      </c>
      <c r="I518" s="57"/>
      <c r="J518" s="99">
        <f t="shared" si="153"/>
        <v>2200</v>
      </c>
      <c r="K518" s="53">
        <v>45725</v>
      </c>
      <c r="L518" s="54">
        <f t="shared" si="156"/>
        <v>9</v>
      </c>
      <c r="M518" s="55" t="str" cm="1">
        <f t="array" ref="M518">INDEX(Processing!$W$6:$W$17,MONTH('ALL ORDERS'!K518))</f>
        <v>March</v>
      </c>
      <c r="N518" s="54">
        <f t="shared" si="163"/>
        <v>2025</v>
      </c>
      <c r="O518" s="58">
        <v>0.375</v>
      </c>
      <c r="P518" s="59" t="s">
        <v>214</v>
      </c>
      <c r="Q518" s="60" t="s">
        <v>94</v>
      </c>
      <c r="R518" s="56" t="s">
        <v>302</v>
      </c>
      <c r="S518" s="61" t="s">
        <v>41</v>
      </c>
      <c r="T518" s="62" t="s">
        <v>839</v>
      </c>
      <c r="U518" s="63" t="s">
        <v>24</v>
      </c>
      <c r="V518" s="63" t="s">
        <v>147</v>
      </c>
      <c r="W518" s="64">
        <v>2629</v>
      </c>
      <c r="X518" s="64">
        <v>5</v>
      </c>
      <c r="Y518" s="47"/>
      <c r="Z518" s="47"/>
    </row>
    <row r="519" spans="1:26" x14ac:dyDescent="0.25">
      <c r="A519" s="53">
        <v>45727</v>
      </c>
      <c r="B519" s="54">
        <f t="shared" si="154"/>
        <v>11</v>
      </c>
      <c r="C519" s="55" t="str" cm="1">
        <f t="array" ref="C519">INDEX(Processing!$C$11:$C$22,MONTH('ALL ORDERS'!A519))</f>
        <v>MAR</v>
      </c>
      <c r="D519" s="54">
        <f t="shared" si="155"/>
        <v>2025</v>
      </c>
      <c r="E519" s="56" t="s">
        <v>47</v>
      </c>
      <c r="F519" s="56" t="s">
        <v>135</v>
      </c>
      <c r="G519" s="100">
        <v>620</v>
      </c>
      <c r="H519" s="100">
        <v>0</v>
      </c>
      <c r="I519" s="57"/>
      <c r="J519" s="99">
        <f t="shared" si="153"/>
        <v>620</v>
      </c>
      <c r="K519" s="53">
        <v>45727</v>
      </c>
      <c r="L519" s="54">
        <f t="shared" si="156"/>
        <v>11</v>
      </c>
      <c r="M519" s="55" t="str" cm="1">
        <f t="array" ref="M519">INDEX(Processing!$W$6:$W$17,MONTH('ALL ORDERS'!K519))</f>
        <v>March</v>
      </c>
      <c r="N519" s="54">
        <f t="shared" si="163"/>
        <v>2025</v>
      </c>
      <c r="O519" s="58">
        <v>0.45833333333333331</v>
      </c>
      <c r="P519" s="59" t="s">
        <v>196</v>
      </c>
      <c r="Q519" s="60" t="s">
        <v>90</v>
      </c>
      <c r="R519" s="56" t="s">
        <v>282</v>
      </c>
      <c r="S519" s="61" t="s">
        <v>42</v>
      </c>
      <c r="T519" s="62" t="s">
        <v>840</v>
      </c>
      <c r="U519" s="63" t="s">
        <v>25</v>
      </c>
      <c r="V519" s="63" t="s">
        <v>147</v>
      </c>
      <c r="W519" s="64">
        <v>3998</v>
      </c>
      <c r="X519" s="64">
        <v>5</v>
      </c>
      <c r="Y519" s="47"/>
      <c r="Z519" s="47"/>
    </row>
    <row r="520" spans="1:26" x14ac:dyDescent="0.25">
      <c r="A520" s="53">
        <v>45728</v>
      </c>
      <c r="B520" s="54">
        <f t="shared" si="154"/>
        <v>12</v>
      </c>
      <c r="C520" s="55" t="str" cm="1">
        <f t="array" ref="C520">INDEX(Processing!$C$11:$C$22,MONTH('ALL ORDERS'!A520))</f>
        <v>MAR</v>
      </c>
      <c r="D520" s="54">
        <f t="shared" si="155"/>
        <v>2025</v>
      </c>
      <c r="E520" s="56" t="s">
        <v>50</v>
      </c>
      <c r="F520" s="56" t="s">
        <v>22</v>
      </c>
      <c r="G520" s="100">
        <v>20000</v>
      </c>
      <c r="H520" s="100">
        <v>1590</v>
      </c>
      <c r="I520" s="57"/>
      <c r="J520" s="99">
        <f t="shared" si="153"/>
        <v>21590</v>
      </c>
      <c r="K520" s="53">
        <v>45728</v>
      </c>
      <c r="L520" s="54">
        <f t="shared" si="156"/>
        <v>12</v>
      </c>
      <c r="M520" s="55" t="str" cm="1">
        <f t="array" ref="M520">INDEX(Processing!$W$6:$W$17,MONTH('ALL ORDERS'!K520))</f>
        <v>March</v>
      </c>
      <c r="N520" s="54">
        <f t="shared" si="163"/>
        <v>2025</v>
      </c>
      <c r="O520" s="58">
        <v>0.625</v>
      </c>
      <c r="P520" s="59" t="s">
        <v>186</v>
      </c>
      <c r="Q520" s="60" t="s">
        <v>91</v>
      </c>
      <c r="R520" s="56" t="s">
        <v>271</v>
      </c>
      <c r="S520" s="61" t="s">
        <v>43</v>
      </c>
      <c r="T520" s="62" t="s">
        <v>841</v>
      </c>
      <c r="U520" s="63" t="s">
        <v>25</v>
      </c>
      <c r="V520" s="63" t="s">
        <v>147</v>
      </c>
      <c r="W520" s="64">
        <v>1743</v>
      </c>
      <c r="X520" s="64">
        <v>5</v>
      </c>
      <c r="Y520" s="47"/>
      <c r="Z520" s="47"/>
    </row>
    <row r="521" spans="1:26" x14ac:dyDescent="0.25">
      <c r="A521" s="53">
        <v>45729</v>
      </c>
      <c r="B521" s="54">
        <f t="shared" si="154"/>
        <v>13</v>
      </c>
      <c r="C521" s="55" t="str" cm="1">
        <f t="array" ref="C521">INDEX(Processing!$C$11:$C$22,MONTH('ALL ORDERS'!A521))</f>
        <v>MAR</v>
      </c>
      <c r="D521" s="54">
        <f t="shared" si="155"/>
        <v>2025</v>
      </c>
      <c r="E521" s="56" t="s">
        <v>48</v>
      </c>
      <c r="F521" s="56" t="s">
        <v>134</v>
      </c>
      <c r="G521" s="100">
        <v>0</v>
      </c>
      <c r="H521" s="100">
        <v>3680</v>
      </c>
      <c r="I521" s="57"/>
      <c r="J521" s="99">
        <f t="shared" si="153"/>
        <v>3680</v>
      </c>
      <c r="K521" s="53">
        <v>45729</v>
      </c>
      <c r="L521" s="54">
        <f t="shared" si="156"/>
        <v>13</v>
      </c>
      <c r="M521" s="55" t="str" cm="1">
        <f t="array" ref="M521">INDEX(Processing!$W$6:$W$17,MONTH('ALL ORDERS'!K521))</f>
        <v>March</v>
      </c>
      <c r="N521" s="54">
        <f t="shared" si="163"/>
        <v>2025</v>
      </c>
      <c r="O521" s="58">
        <v>0.45833333333333331</v>
      </c>
      <c r="P521" s="59" t="s">
        <v>168</v>
      </c>
      <c r="Q521" s="60" t="s">
        <v>94</v>
      </c>
      <c r="R521" s="56" t="s">
        <v>251</v>
      </c>
      <c r="S521" s="61" t="s">
        <v>44</v>
      </c>
      <c r="T521" s="62" t="s">
        <v>842</v>
      </c>
      <c r="U521" s="63" t="s">
        <v>25</v>
      </c>
      <c r="V521" s="63" t="s">
        <v>147</v>
      </c>
      <c r="W521" s="64">
        <v>4879</v>
      </c>
      <c r="X521" s="64">
        <v>5</v>
      </c>
      <c r="Y521" s="47"/>
      <c r="Z521" s="47"/>
    </row>
    <row r="522" spans="1:26" x14ac:dyDescent="0.25">
      <c r="A522" s="53">
        <v>45730</v>
      </c>
      <c r="B522" s="54">
        <f t="shared" si="154"/>
        <v>14</v>
      </c>
      <c r="C522" s="55" t="str" cm="1">
        <f t="array" ref="C522">INDEX(Processing!$C$11:$C$22,MONTH('ALL ORDERS'!A522))</f>
        <v>MAR</v>
      </c>
      <c r="D522" s="54">
        <f t="shared" si="155"/>
        <v>2025</v>
      </c>
      <c r="E522" s="56" t="s">
        <v>51</v>
      </c>
      <c r="F522" s="56" t="s">
        <v>137</v>
      </c>
      <c r="G522" s="100">
        <v>0</v>
      </c>
      <c r="H522" s="100">
        <v>2180</v>
      </c>
      <c r="I522" s="57"/>
      <c r="J522" s="99">
        <f t="shared" si="153"/>
        <v>2180</v>
      </c>
      <c r="K522" s="53">
        <v>45730</v>
      </c>
      <c r="L522" s="54">
        <f t="shared" si="156"/>
        <v>14</v>
      </c>
      <c r="M522" s="55" t="str" cm="1">
        <f t="array" ref="M522">INDEX(Processing!$W$6:$W$17,MONTH('ALL ORDERS'!K522))</f>
        <v>March</v>
      </c>
      <c r="N522" s="54">
        <f t="shared" si="163"/>
        <v>2025</v>
      </c>
      <c r="O522" s="58">
        <v>0.375</v>
      </c>
      <c r="P522" s="59" t="s">
        <v>167</v>
      </c>
      <c r="Q522" s="60" t="s">
        <v>91</v>
      </c>
      <c r="R522" s="56" t="s">
        <v>250</v>
      </c>
      <c r="S522" s="61" t="s">
        <v>44</v>
      </c>
      <c r="T522" s="70">
        <v>20900888990</v>
      </c>
      <c r="U522" s="63" t="s">
        <v>23</v>
      </c>
      <c r="V522" s="63" t="s">
        <v>147</v>
      </c>
      <c r="W522" s="64">
        <v>1116</v>
      </c>
      <c r="X522" s="64">
        <v>5</v>
      </c>
      <c r="Y522" s="47"/>
      <c r="Z522" s="47"/>
    </row>
    <row r="523" spans="1:26" x14ac:dyDescent="0.25">
      <c r="A523" s="53">
        <v>45731</v>
      </c>
      <c r="B523" s="54">
        <f t="shared" si="154"/>
        <v>15</v>
      </c>
      <c r="C523" s="55" t="str" cm="1">
        <f t="array" ref="C523">INDEX(Processing!$C$11:$C$22,MONTH('ALL ORDERS'!A523))</f>
        <v>MAR</v>
      </c>
      <c r="D523" s="54">
        <f t="shared" si="155"/>
        <v>2025</v>
      </c>
      <c r="E523" s="56" t="s">
        <v>48</v>
      </c>
      <c r="F523" s="56" t="s">
        <v>131</v>
      </c>
      <c r="G523" s="100">
        <v>0</v>
      </c>
      <c r="H523" s="100">
        <v>2650</v>
      </c>
      <c r="I523" s="57"/>
      <c r="J523" s="99">
        <f t="shared" si="153"/>
        <v>2650</v>
      </c>
      <c r="K523" s="53">
        <v>45731</v>
      </c>
      <c r="L523" s="54">
        <f t="shared" si="156"/>
        <v>15</v>
      </c>
      <c r="M523" s="55" t="str" cm="1">
        <f t="array" ref="M523">INDEX(Processing!$W$6:$W$17,MONTH('ALL ORDERS'!K523))</f>
        <v>March</v>
      </c>
      <c r="N523" s="54">
        <f t="shared" si="163"/>
        <v>2025</v>
      </c>
      <c r="O523" s="58">
        <v>0.45833333333333331</v>
      </c>
      <c r="P523" s="59" t="s">
        <v>175</v>
      </c>
      <c r="Q523" s="60" t="s">
        <v>94</v>
      </c>
      <c r="R523" s="56" t="s">
        <v>259</v>
      </c>
      <c r="S523" s="61" t="s">
        <v>41</v>
      </c>
      <c r="T523" s="62" t="s">
        <v>843</v>
      </c>
      <c r="U523" s="63" t="s">
        <v>27</v>
      </c>
      <c r="V523" s="63" t="s">
        <v>147</v>
      </c>
      <c r="W523" s="64">
        <v>4888</v>
      </c>
      <c r="X523" s="64">
        <v>5</v>
      </c>
      <c r="Y523" s="47"/>
      <c r="Z523" s="47"/>
    </row>
    <row r="524" spans="1:26" x14ac:dyDescent="0.25">
      <c r="A524" s="53">
        <v>45732</v>
      </c>
      <c r="B524" s="54">
        <f t="shared" si="154"/>
        <v>16</v>
      </c>
      <c r="C524" s="55" t="str" cm="1">
        <f t="array" ref="C524">INDEX(Processing!$C$11:$C$22,MONTH('ALL ORDERS'!A524))</f>
        <v>MAR</v>
      </c>
      <c r="D524" s="54">
        <f t="shared" si="155"/>
        <v>2025</v>
      </c>
      <c r="E524" s="56" t="s">
        <v>48</v>
      </c>
      <c r="F524" s="56" t="s">
        <v>133</v>
      </c>
      <c r="G524" s="100">
        <v>0</v>
      </c>
      <c r="H524" s="100">
        <v>3210</v>
      </c>
      <c r="I524" s="57">
        <v>0.15</v>
      </c>
      <c r="J524" s="99">
        <f t="shared" si="153"/>
        <v>3210</v>
      </c>
      <c r="K524" s="53">
        <v>45732</v>
      </c>
      <c r="L524" s="54">
        <f t="shared" si="156"/>
        <v>16</v>
      </c>
      <c r="M524" s="55" t="str" cm="1">
        <f t="array" ref="M524">INDEX(Processing!$W$6:$W$17,MONTH('ALL ORDERS'!K524))</f>
        <v>March</v>
      </c>
      <c r="N524" s="54">
        <f t="shared" si="163"/>
        <v>2025</v>
      </c>
      <c r="O524" s="58">
        <v>0.625</v>
      </c>
      <c r="P524" s="59" t="s">
        <v>159</v>
      </c>
      <c r="Q524" s="60" t="s">
        <v>94</v>
      </c>
      <c r="R524" s="56" t="s">
        <v>241</v>
      </c>
      <c r="S524" s="61" t="s">
        <v>42</v>
      </c>
      <c r="T524" s="62" t="s">
        <v>844</v>
      </c>
      <c r="U524" s="63" t="s">
        <v>24</v>
      </c>
      <c r="V524" s="63" t="s">
        <v>147</v>
      </c>
      <c r="W524" s="64">
        <v>5578</v>
      </c>
      <c r="X524" s="64">
        <v>5</v>
      </c>
      <c r="Y524" s="47"/>
      <c r="Z524" s="47"/>
    </row>
    <row r="525" spans="1:26" x14ac:dyDescent="0.25">
      <c r="A525" s="53">
        <v>45727</v>
      </c>
      <c r="B525" s="54">
        <f t="shared" si="154"/>
        <v>11</v>
      </c>
      <c r="C525" s="55" t="str" cm="1">
        <f t="array" ref="C525">INDEX(Processing!$C$11:$C$22,MONTH('ALL ORDERS'!A525))</f>
        <v>MAR</v>
      </c>
      <c r="D525" s="54">
        <f t="shared" si="155"/>
        <v>2025</v>
      </c>
      <c r="E525" s="56" t="s">
        <v>49</v>
      </c>
      <c r="F525" s="56" t="s">
        <v>133</v>
      </c>
      <c r="G525" s="100">
        <v>0</v>
      </c>
      <c r="H525" s="100">
        <v>3150</v>
      </c>
      <c r="I525" s="57"/>
      <c r="J525" s="99">
        <f t="shared" si="153"/>
        <v>3150</v>
      </c>
      <c r="K525" s="53">
        <v>45727</v>
      </c>
      <c r="L525" s="54">
        <f t="shared" si="156"/>
        <v>11</v>
      </c>
      <c r="M525" s="55" t="str" cm="1">
        <f t="array" ref="M525">INDEX(Processing!$W$6:$W$17,MONTH('ALL ORDERS'!K525))</f>
        <v>March</v>
      </c>
      <c r="N525" s="54">
        <f t="shared" si="163"/>
        <v>2025</v>
      </c>
      <c r="O525" s="58">
        <v>0.45833333333333331</v>
      </c>
      <c r="P525" s="59" t="s">
        <v>168</v>
      </c>
      <c r="Q525" s="60" t="s">
        <v>94</v>
      </c>
      <c r="R525" s="56" t="s">
        <v>251</v>
      </c>
      <c r="S525" s="61" t="s">
        <v>43</v>
      </c>
      <c r="T525" s="62" t="s">
        <v>845</v>
      </c>
      <c r="U525" s="63" t="s">
        <v>24</v>
      </c>
      <c r="V525" s="63" t="s">
        <v>147</v>
      </c>
      <c r="W525" s="64">
        <v>4440</v>
      </c>
      <c r="X525" s="64">
        <v>5</v>
      </c>
      <c r="Y525" s="47"/>
      <c r="Z525" s="47"/>
    </row>
    <row r="526" spans="1:26" x14ac:dyDescent="0.25">
      <c r="A526" s="53">
        <v>45734</v>
      </c>
      <c r="B526" s="54">
        <f t="shared" si="154"/>
        <v>18</v>
      </c>
      <c r="C526" s="55" t="str" cm="1">
        <f t="array" ref="C526">INDEX(Processing!$C$11:$C$22,MONTH('ALL ORDERS'!A526))</f>
        <v>MAR</v>
      </c>
      <c r="D526" s="54">
        <f t="shared" si="155"/>
        <v>2025</v>
      </c>
      <c r="E526" s="56" t="s">
        <v>49</v>
      </c>
      <c r="F526" s="56" t="s">
        <v>134</v>
      </c>
      <c r="G526" s="100">
        <v>0</v>
      </c>
      <c r="H526" s="100">
        <v>1990</v>
      </c>
      <c r="I526" s="57"/>
      <c r="J526" s="99">
        <f t="shared" si="153"/>
        <v>1990</v>
      </c>
      <c r="K526" s="53">
        <v>45734</v>
      </c>
      <c r="L526" s="54">
        <f t="shared" si="156"/>
        <v>18</v>
      </c>
      <c r="M526" s="55" t="str" cm="1">
        <f t="array" ref="M526">INDEX(Processing!$W$6:$W$17,MONTH('ALL ORDERS'!K526))</f>
        <v>March</v>
      </c>
      <c r="N526" s="54">
        <f t="shared" si="163"/>
        <v>2025</v>
      </c>
      <c r="O526" s="58">
        <v>0.375</v>
      </c>
      <c r="P526" s="59" t="s">
        <v>354</v>
      </c>
      <c r="Q526" s="60" t="s">
        <v>94</v>
      </c>
      <c r="R526" s="56" t="s">
        <v>323</v>
      </c>
      <c r="S526" s="61" t="s">
        <v>43</v>
      </c>
      <c r="T526" s="62" t="s">
        <v>846</v>
      </c>
      <c r="U526" s="63" t="s">
        <v>26</v>
      </c>
      <c r="V526" s="63" t="s">
        <v>147</v>
      </c>
      <c r="W526" s="64">
        <v>2798</v>
      </c>
      <c r="X526" s="64">
        <v>5</v>
      </c>
      <c r="Y526" s="47"/>
      <c r="Z526" s="47"/>
    </row>
    <row r="527" spans="1:26" x14ac:dyDescent="0.25">
      <c r="A527" s="53">
        <v>45735</v>
      </c>
      <c r="B527" s="54">
        <f t="shared" si="154"/>
        <v>19</v>
      </c>
      <c r="C527" s="55" t="str" cm="1">
        <f t="array" ref="C527">INDEX(Processing!$C$11:$C$22,MONTH('ALL ORDERS'!A527))</f>
        <v>MAR</v>
      </c>
      <c r="D527" s="54">
        <f t="shared" si="155"/>
        <v>2025</v>
      </c>
      <c r="E527" s="56" t="s">
        <v>51</v>
      </c>
      <c r="F527" s="56" t="s">
        <v>134</v>
      </c>
      <c r="G527" s="100">
        <v>0</v>
      </c>
      <c r="H527" s="100">
        <v>2690</v>
      </c>
      <c r="I527" s="57"/>
      <c r="J527" s="99">
        <f t="shared" si="153"/>
        <v>2690</v>
      </c>
      <c r="K527" s="53">
        <v>45735</v>
      </c>
      <c r="L527" s="54">
        <f t="shared" si="156"/>
        <v>19</v>
      </c>
      <c r="M527" s="55" t="str" cm="1">
        <f t="array" ref="M527">INDEX(Processing!$W$6:$W$17,MONTH('ALL ORDERS'!K527))</f>
        <v>March</v>
      </c>
      <c r="N527" s="54">
        <f t="shared" si="163"/>
        <v>2025</v>
      </c>
      <c r="O527" s="58">
        <v>0.45833333333333331</v>
      </c>
      <c r="P527" s="59" t="s">
        <v>190</v>
      </c>
      <c r="Q527" s="60" t="s">
        <v>94</v>
      </c>
      <c r="R527" s="56" t="s">
        <v>276</v>
      </c>
      <c r="S527" s="61" t="s">
        <v>45</v>
      </c>
      <c r="T527" s="62" t="s">
        <v>847</v>
      </c>
      <c r="U527" s="63" t="s">
        <v>26</v>
      </c>
      <c r="V527" s="63" t="s">
        <v>147</v>
      </c>
      <c r="W527" s="64">
        <v>4550</v>
      </c>
      <c r="X527" s="64">
        <v>5</v>
      </c>
      <c r="Y527" s="47"/>
      <c r="Z527" s="47"/>
    </row>
    <row r="528" spans="1:26" x14ac:dyDescent="0.25">
      <c r="A528" s="53">
        <v>45736</v>
      </c>
      <c r="B528" s="54">
        <f t="shared" si="154"/>
        <v>20</v>
      </c>
      <c r="C528" s="55" t="str" cm="1">
        <f t="array" ref="C528">INDEX(Processing!$C$11:$C$22,MONTH('ALL ORDERS'!A528))</f>
        <v>MAR</v>
      </c>
      <c r="D528" s="54">
        <f t="shared" si="155"/>
        <v>2025</v>
      </c>
      <c r="E528" s="56" t="s">
        <v>48</v>
      </c>
      <c r="F528" s="56" t="s">
        <v>19</v>
      </c>
      <c r="G528" s="100">
        <v>0</v>
      </c>
      <c r="H528" s="100">
        <v>1040</v>
      </c>
      <c r="I528" s="57">
        <v>0.15</v>
      </c>
      <c r="J528" s="99">
        <f t="shared" si="153"/>
        <v>1040</v>
      </c>
      <c r="K528" s="53">
        <v>45736</v>
      </c>
      <c r="L528" s="54">
        <f t="shared" si="156"/>
        <v>20</v>
      </c>
      <c r="M528" s="55" t="str" cm="1">
        <f t="array" ref="M528">INDEX(Processing!$W$6:$W$17,MONTH('ALL ORDERS'!K528))</f>
        <v>March</v>
      </c>
      <c r="N528" s="54">
        <f t="shared" si="163"/>
        <v>2025</v>
      </c>
      <c r="O528" s="58">
        <v>0.625</v>
      </c>
      <c r="P528" s="59" t="s">
        <v>163</v>
      </c>
      <c r="Q528" s="60" t="s">
        <v>94</v>
      </c>
      <c r="R528" s="56" t="s">
        <v>246</v>
      </c>
      <c r="S528" s="61" t="s">
        <v>45</v>
      </c>
      <c r="T528" s="62" t="s">
        <v>848</v>
      </c>
      <c r="U528" s="63" t="s">
        <v>26</v>
      </c>
      <c r="V528" s="63" t="s">
        <v>147</v>
      </c>
      <c r="W528" s="64">
        <v>2860</v>
      </c>
      <c r="X528" s="64">
        <v>5</v>
      </c>
      <c r="Y528" s="47"/>
      <c r="Z528" s="47"/>
    </row>
    <row r="529" spans="1:26" x14ac:dyDescent="0.25">
      <c r="A529" s="53">
        <v>45737</v>
      </c>
      <c r="B529" s="54">
        <f t="shared" si="154"/>
        <v>21</v>
      </c>
      <c r="C529" s="55" t="str" cm="1">
        <f t="array" ref="C529">INDEX(Processing!$C$11:$C$22,MONTH('ALL ORDERS'!A529))</f>
        <v>MAR</v>
      </c>
      <c r="D529" s="54">
        <f t="shared" si="155"/>
        <v>2025</v>
      </c>
      <c r="E529" s="56" t="s">
        <v>48</v>
      </c>
      <c r="F529" s="56" t="s">
        <v>19</v>
      </c>
      <c r="G529" s="100">
        <v>0</v>
      </c>
      <c r="H529" s="100">
        <v>1990</v>
      </c>
      <c r="I529" s="57"/>
      <c r="J529" s="99">
        <f t="shared" si="153"/>
        <v>1990</v>
      </c>
      <c r="K529" s="53">
        <v>45737</v>
      </c>
      <c r="L529" s="54">
        <f t="shared" si="156"/>
        <v>21</v>
      </c>
      <c r="M529" s="55" t="str" cm="1">
        <f t="array" ref="M529">INDEX(Processing!$W$6:$W$17,MONTH('ALL ORDERS'!K529))</f>
        <v>March</v>
      </c>
      <c r="N529" s="54">
        <f t="shared" si="163"/>
        <v>2025</v>
      </c>
      <c r="O529" s="58">
        <v>0.45833333333333331</v>
      </c>
      <c r="P529" s="59" t="s">
        <v>214</v>
      </c>
      <c r="Q529" s="60" t="s">
        <v>94</v>
      </c>
      <c r="R529" s="56" t="s">
        <v>302</v>
      </c>
      <c r="S529" s="61" t="s">
        <v>44</v>
      </c>
      <c r="T529" s="62" t="s">
        <v>849</v>
      </c>
      <c r="U529" s="63" t="s">
        <v>25</v>
      </c>
      <c r="V529" s="63" t="s">
        <v>147</v>
      </c>
      <c r="W529" s="64">
        <v>2655</v>
      </c>
      <c r="X529" s="64">
        <v>5</v>
      </c>
      <c r="Y529" s="47"/>
      <c r="Z529" s="47"/>
    </row>
    <row r="530" spans="1:26" x14ac:dyDescent="0.25">
      <c r="A530" s="53">
        <v>45737</v>
      </c>
      <c r="B530" s="54">
        <f t="shared" si="154"/>
        <v>21</v>
      </c>
      <c r="C530" s="55" t="str" cm="1">
        <f t="array" ref="C530">INDEX(Processing!$C$11:$C$22,MONTH('ALL ORDERS'!A530))</f>
        <v>MAR</v>
      </c>
      <c r="D530" s="54">
        <f t="shared" si="155"/>
        <v>2025</v>
      </c>
      <c r="E530" s="56" t="s">
        <v>51</v>
      </c>
      <c r="F530" s="56" t="s">
        <v>128</v>
      </c>
      <c r="G530" s="100">
        <v>0</v>
      </c>
      <c r="H530" s="100">
        <v>1980</v>
      </c>
      <c r="I530" s="57"/>
      <c r="J530" s="99">
        <f t="shared" si="153"/>
        <v>1980</v>
      </c>
      <c r="K530" s="53">
        <v>45737</v>
      </c>
      <c r="L530" s="54">
        <f t="shared" si="156"/>
        <v>21</v>
      </c>
      <c r="M530" s="55" t="str" cm="1">
        <f t="array" ref="M530">INDEX(Processing!$W$6:$W$17,MONTH('ALL ORDERS'!K530))</f>
        <v>March</v>
      </c>
      <c r="N530" s="54">
        <f t="shared" si="163"/>
        <v>2025</v>
      </c>
      <c r="O530" s="58">
        <v>0.375</v>
      </c>
      <c r="P530" s="59" t="s">
        <v>178</v>
      </c>
      <c r="Q530" s="60" t="s">
        <v>90</v>
      </c>
      <c r="R530" s="56" t="s">
        <v>262</v>
      </c>
      <c r="S530" s="61" t="s">
        <v>42</v>
      </c>
      <c r="T530" s="62" t="s">
        <v>850</v>
      </c>
      <c r="U530" s="63" t="s">
        <v>25</v>
      </c>
      <c r="V530" s="63" t="s">
        <v>147</v>
      </c>
      <c r="W530" s="64">
        <v>2378</v>
      </c>
      <c r="X530" s="64">
        <v>5</v>
      </c>
      <c r="Y530" s="47"/>
      <c r="Z530" s="47"/>
    </row>
    <row r="531" spans="1:26" x14ac:dyDescent="0.25">
      <c r="A531" s="53">
        <v>45737</v>
      </c>
      <c r="B531" s="54">
        <f t="shared" si="154"/>
        <v>21</v>
      </c>
      <c r="C531" s="55" t="str" cm="1">
        <f t="array" ref="C531">INDEX(Processing!$C$11:$C$22,MONTH('ALL ORDERS'!A531))</f>
        <v>MAR</v>
      </c>
      <c r="D531" s="54">
        <f t="shared" si="155"/>
        <v>2025</v>
      </c>
      <c r="E531" s="56" t="s">
        <v>49</v>
      </c>
      <c r="F531" s="56" t="s">
        <v>22</v>
      </c>
      <c r="G531" s="100">
        <v>0</v>
      </c>
      <c r="H531" s="100">
        <v>3510</v>
      </c>
      <c r="I531" s="57"/>
      <c r="J531" s="99">
        <f t="shared" si="153"/>
        <v>3510</v>
      </c>
      <c r="K531" s="53">
        <v>45737</v>
      </c>
      <c r="L531" s="54">
        <f t="shared" si="156"/>
        <v>21</v>
      </c>
      <c r="M531" s="55" t="str" cm="1">
        <f t="array" ref="M531">INDEX(Processing!$W$6:$W$17,MONTH('ALL ORDERS'!K531))</f>
        <v>March</v>
      </c>
      <c r="N531" s="54">
        <f t="shared" si="163"/>
        <v>2025</v>
      </c>
      <c r="O531" s="58">
        <v>0.45833333333333331</v>
      </c>
      <c r="P531" s="59" t="s">
        <v>202</v>
      </c>
      <c r="Q531" s="60" t="s">
        <v>94</v>
      </c>
      <c r="R531" s="56" t="s">
        <v>289</v>
      </c>
      <c r="S531" s="61" t="s">
        <v>41</v>
      </c>
      <c r="T531" s="62" t="s">
        <v>851</v>
      </c>
      <c r="U531" s="63" t="s">
        <v>25</v>
      </c>
      <c r="V531" s="63" t="s">
        <v>147</v>
      </c>
      <c r="W531" s="64">
        <v>4439</v>
      </c>
      <c r="X531" s="64">
        <v>5</v>
      </c>
      <c r="Y531" s="47"/>
      <c r="Z531" s="47"/>
    </row>
    <row r="532" spans="1:26" x14ac:dyDescent="0.25">
      <c r="A532" s="53">
        <v>45740</v>
      </c>
      <c r="B532" s="54">
        <f t="shared" si="154"/>
        <v>24</v>
      </c>
      <c r="C532" s="55" t="str" cm="1">
        <f t="array" ref="C532">INDEX(Processing!$C$11:$C$22,MONTH('ALL ORDERS'!A532))</f>
        <v>MAR</v>
      </c>
      <c r="D532" s="54">
        <f t="shared" si="155"/>
        <v>2025</v>
      </c>
      <c r="E532" s="56" t="s">
        <v>48</v>
      </c>
      <c r="F532" s="56" t="s">
        <v>127</v>
      </c>
      <c r="G532" s="100">
        <v>0</v>
      </c>
      <c r="H532" s="100">
        <v>810</v>
      </c>
      <c r="I532" s="57"/>
      <c r="J532" s="99">
        <f t="shared" si="153"/>
        <v>810</v>
      </c>
      <c r="K532" s="53">
        <v>45740</v>
      </c>
      <c r="L532" s="54">
        <f t="shared" si="156"/>
        <v>24</v>
      </c>
      <c r="M532" s="55" t="str" cm="1">
        <f t="array" ref="M532">INDEX(Processing!$W$6:$W$17,MONTH('ALL ORDERS'!K532))</f>
        <v>March</v>
      </c>
      <c r="N532" s="54">
        <f t="shared" si="163"/>
        <v>2025</v>
      </c>
      <c r="O532" s="58">
        <v>0.625</v>
      </c>
      <c r="P532" s="59" t="s">
        <v>183</v>
      </c>
      <c r="Q532" s="60" t="s">
        <v>91</v>
      </c>
      <c r="R532" s="56" t="s">
        <v>268</v>
      </c>
      <c r="S532" s="61" t="s">
        <v>43</v>
      </c>
      <c r="T532" s="62" t="s">
        <v>852</v>
      </c>
      <c r="U532" s="63" t="s">
        <v>23</v>
      </c>
      <c r="V532" s="63" t="s">
        <v>147</v>
      </c>
      <c r="W532" s="64">
        <v>5199</v>
      </c>
      <c r="X532" s="64">
        <v>5</v>
      </c>
      <c r="Y532" s="47"/>
      <c r="Z532" s="47"/>
    </row>
    <row r="533" spans="1:26" x14ac:dyDescent="0.25">
      <c r="A533" s="53">
        <v>45741</v>
      </c>
      <c r="B533" s="54">
        <f t="shared" si="154"/>
        <v>25</v>
      </c>
      <c r="C533" s="55" t="str" cm="1">
        <f t="array" ref="C533">INDEX(Processing!$C$11:$C$22,MONTH('ALL ORDERS'!A533))</f>
        <v>MAR</v>
      </c>
      <c r="D533" s="54">
        <f t="shared" si="155"/>
        <v>2025</v>
      </c>
      <c r="E533" s="56" t="s">
        <v>48</v>
      </c>
      <c r="F533" s="56" t="s">
        <v>125</v>
      </c>
      <c r="G533" s="100">
        <v>0</v>
      </c>
      <c r="H533" s="100">
        <v>2680</v>
      </c>
      <c r="I533" s="57"/>
      <c r="J533" s="99">
        <f t="shared" si="153"/>
        <v>2680</v>
      </c>
      <c r="K533" s="53">
        <v>45741</v>
      </c>
      <c r="L533" s="54">
        <f t="shared" si="156"/>
        <v>25</v>
      </c>
      <c r="M533" s="55" t="str" cm="1">
        <f t="array" ref="M533">INDEX(Processing!$W$6:$W$17,MONTH('ALL ORDERS'!K533))</f>
        <v>March</v>
      </c>
      <c r="N533" s="54">
        <f t="shared" si="163"/>
        <v>2025</v>
      </c>
      <c r="O533" s="58">
        <v>0.45833333333333331</v>
      </c>
      <c r="P533" s="59" t="s">
        <v>215</v>
      </c>
      <c r="Q533" s="60" t="s">
        <v>94</v>
      </c>
      <c r="R533" s="56" t="s">
        <v>304</v>
      </c>
      <c r="S533" s="61" t="s">
        <v>43</v>
      </c>
      <c r="T533" s="62" t="s">
        <v>853</v>
      </c>
      <c r="U533" s="63" t="s">
        <v>27</v>
      </c>
      <c r="V533" s="63" t="s">
        <v>147</v>
      </c>
      <c r="W533" s="64">
        <v>3125</v>
      </c>
      <c r="X533" s="64">
        <v>5</v>
      </c>
      <c r="Y533" s="47"/>
      <c r="Z533" s="47"/>
    </row>
    <row r="534" spans="1:26" x14ac:dyDescent="0.25">
      <c r="A534" s="53">
        <v>45742</v>
      </c>
      <c r="B534" s="54">
        <f t="shared" si="154"/>
        <v>26</v>
      </c>
      <c r="C534" s="55" t="str" cm="1">
        <f t="array" ref="C534">INDEX(Processing!$C$11:$C$22,MONTH('ALL ORDERS'!A534))</f>
        <v>MAR</v>
      </c>
      <c r="D534" s="54">
        <f t="shared" si="155"/>
        <v>2025</v>
      </c>
      <c r="E534" s="56" t="s">
        <v>51</v>
      </c>
      <c r="F534" s="56" t="s">
        <v>130</v>
      </c>
      <c r="G534" s="100">
        <v>0</v>
      </c>
      <c r="H534" s="100">
        <v>1110</v>
      </c>
      <c r="I534" s="57">
        <v>0.15</v>
      </c>
      <c r="J534" s="99">
        <f t="shared" ref="J534:J597" si="164">G534+H534</f>
        <v>1110</v>
      </c>
      <c r="K534" s="53">
        <v>45742</v>
      </c>
      <c r="L534" s="54">
        <f t="shared" si="156"/>
        <v>26</v>
      </c>
      <c r="M534" s="55" t="str" cm="1">
        <f t="array" ref="M534">INDEX(Processing!$W$6:$W$17,MONTH('ALL ORDERS'!K534))</f>
        <v>March</v>
      </c>
      <c r="N534" s="54">
        <f t="shared" si="163"/>
        <v>2025</v>
      </c>
      <c r="O534" s="58">
        <v>0.41666666666666669</v>
      </c>
      <c r="P534" s="59" t="s">
        <v>175</v>
      </c>
      <c r="Q534" s="60" t="s">
        <v>94</v>
      </c>
      <c r="R534" s="56" t="s">
        <v>259</v>
      </c>
      <c r="S534" s="61" t="s">
        <v>41</v>
      </c>
      <c r="T534" s="70">
        <v>19900888990</v>
      </c>
      <c r="U534" s="63" t="s">
        <v>24</v>
      </c>
      <c r="V534" s="63" t="s">
        <v>147</v>
      </c>
      <c r="W534" s="64">
        <v>445</v>
      </c>
      <c r="X534" s="64">
        <v>5</v>
      </c>
      <c r="Y534" s="47"/>
      <c r="Z534" s="47"/>
    </row>
    <row r="535" spans="1:26" x14ac:dyDescent="0.25">
      <c r="A535" s="53">
        <v>45737</v>
      </c>
      <c r="B535" s="54">
        <f t="shared" si="154"/>
        <v>21</v>
      </c>
      <c r="C535" s="55" t="str" cm="1">
        <f t="array" ref="C535">INDEX(Processing!$C$11:$C$22,MONTH('ALL ORDERS'!A535))</f>
        <v>MAR</v>
      </c>
      <c r="D535" s="54">
        <f t="shared" si="155"/>
        <v>2025</v>
      </c>
      <c r="E535" s="56" t="s">
        <v>49</v>
      </c>
      <c r="F535" s="56" t="s">
        <v>22</v>
      </c>
      <c r="G535" s="100">
        <v>0</v>
      </c>
      <c r="H535" s="100">
        <v>3250</v>
      </c>
      <c r="I535" s="57">
        <v>0.15</v>
      </c>
      <c r="J535" s="99">
        <f t="shared" si="164"/>
        <v>3250</v>
      </c>
      <c r="K535" s="53">
        <v>45737</v>
      </c>
      <c r="L535" s="54">
        <f t="shared" si="156"/>
        <v>21</v>
      </c>
      <c r="M535" s="55" t="str" cm="1">
        <f t="array" ref="M535">INDEX(Processing!$W$6:$W$17,MONTH('ALL ORDERS'!K535))</f>
        <v>March</v>
      </c>
      <c r="N535" s="54">
        <f t="shared" si="163"/>
        <v>2025</v>
      </c>
      <c r="O535" s="58">
        <v>0.5</v>
      </c>
      <c r="P535" s="59" t="s">
        <v>156</v>
      </c>
      <c r="Q535" s="60" t="s">
        <v>94</v>
      </c>
      <c r="R535" s="56" t="s">
        <v>238</v>
      </c>
      <c r="S535" s="61" t="s">
        <v>42</v>
      </c>
      <c r="T535" s="62" t="s">
        <v>854</v>
      </c>
      <c r="U535" s="63" t="s">
        <v>24</v>
      </c>
      <c r="V535" s="63" t="s">
        <v>147</v>
      </c>
      <c r="W535" s="64">
        <v>1493</v>
      </c>
      <c r="X535" s="64">
        <v>4</v>
      </c>
      <c r="Y535" s="47"/>
      <c r="Z535" s="47"/>
    </row>
    <row r="536" spans="1:26" x14ac:dyDescent="0.25">
      <c r="A536" s="53">
        <v>45744</v>
      </c>
      <c r="B536" s="54">
        <f t="shared" si="154"/>
        <v>28</v>
      </c>
      <c r="C536" s="55" t="str" cm="1">
        <f t="array" ref="C536">INDEX(Processing!$C$11:$C$22,MONTH('ALL ORDERS'!A536))</f>
        <v>MAR</v>
      </c>
      <c r="D536" s="54">
        <f t="shared" si="155"/>
        <v>2025</v>
      </c>
      <c r="E536" s="56" t="s">
        <v>49</v>
      </c>
      <c r="F536" s="56" t="s">
        <v>152</v>
      </c>
      <c r="G536" s="100">
        <v>0</v>
      </c>
      <c r="H536" s="100">
        <v>110</v>
      </c>
      <c r="I536" s="57"/>
      <c r="J536" s="99">
        <f t="shared" si="164"/>
        <v>110</v>
      </c>
      <c r="K536" s="53">
        <v>45744</v>
      </c>
      <c r="L536" s="54">
        <f t="shared" si="156"/>
        <v>28</v>
      </c>
      <c r="M536" s="55" t="str" cm="1">
        <f t="array" ref="M536">INDEX(Processing!$W$6:$W$17,MONTH('ALL ORDERS'!K536))</f>
        <v>March</v>
      </c>
      <c r="N536" s="54">
        <f t="shared" si="163"/>
        <v>2025</v>
      </c>
      <c r="O536" s="58">
        <v>0.66666666666666663</v>
      </c>
      <c r="P536" s="59" t="s">
        <v>163</v>
      </c>
      <c r="Q536" s="60" t="s">
        <v>94</v>
      </c>
      <c r="R536" s="56" t="s">
        <v>246</v>
      </c>
      <c r="S536" s="61" t="s">
        <v>43</v>
      </c>
      <c r="T536" s="62" t="s">
        <v>855</v>
      </c>
      <c r="U536" s="63" t="s">
        <v>26</v>
      </c>
      <c r="V536" s="63" t="s">
        <v>147</v>
      </c>
      <c r="W536" s="64">
        <v>3045</v>
      </c>
      <c r="X536" s="64">
        <v>4</v>
      </c>
      <c r="Y536" s="47"/>
      <c r="Z536" s="47"/>
    </row>
    <row r="537" spans="1:26" x14ac:dyDescent="0.25">
      <c r="A537" s="53">
        <v>45745</v>
      </c>
      <c r="B537" s="54">
        <f t="shared" si="154"/>
        <v>29</v>
      </c>
      <c r="C537" s="55" t="str" cm="1">
        <f t="array" ref="C537">INDEX(Processing!$C$11:$C$22,MONTH('ALL ORDERS'!A537))</f>
        <v>MAR</v>
      </c>
      <c r="D537" s="54">
        <f t="shared" si="155"/>
        <v>2025</v>
      </c>
      <c r="E537" s="56" t="s">
        <v>48</v>
      </c>
      <c r="F537" s="56" t="s">
        <v>124</v>
      </c>
      <c r="G537" s="100">
        <v>0</v>
      </c>
      <c r="H537" s="100">
        <v>2030</v>
      </c>
      <c r="I537" s="57"/>
      <c r="J537" s="99">
        <f t="shared" si="164"/>
        <v>2030</v>
      </c>
      <c r="K537" s="53">
        <v>45745</v>
      </c>
      <c r="L537" s="54">
        <f t="shared" si="156"/>
        <v>29</v>
      </c>
      <c r="M537" s="55" t="str" cm="1">
        <f t="array" ref="M537">INDEX(Processing!$W$6:$W$17,MONTH('ALL ORDERS'!K537))</f>
        <v>March</v>
      </c>
      <c r="N537" s="54">
        <f t="shared" si="163"/>
        <v>2025</v>
      </c>
      <c r="O537" s="58">
        <v>0.75</v>
      </c>
      <c r="P537" s="59" t="s">
        <v>214</v>
      </c>
      <c r="Q537" s="60" t="s">
        <v>94</v>
      </c>
      <c r="R537" s="56" t="s">
        <v>302</v>
      </c>
      <c r="S537" s="61" t="s">
        <v>43</v>
      </c>
      <c r="T537" s="62" t="s">
        <v>856</v>
      </c>
      <c r="U537" s="63" t="s">
        <v>27</v>
      </c>
      <c r="V537" s="63" t="s">
        <v>147</v>
      </c>
      <c r="W537" s="64">
        <v>3918</v>
      </c>
      <c r="X537" s="64">
        <v>4</v>
      </c>
      <c r="Y537" s="47"/>
      <c r="Z537" s="47"/>
    </row>
    <row r="538" spans="1:26" x14ac:dyDescent="0.25">
      <c r="A538" s="53">
        <v>45745</v>
      </c>
      <c r="B538" s="54">
        <f t="shared" si="154"/>
        <v>29</v>
      </c>
      <c r="C538" s="55" t="str" cm="1">
        <f t="array" ref="C538">INDEX(Processing!$C$11:$C$22,MONTH('ALL ORDERS'!A538))</f>
        <v>MAR</v>
      </c>
      <c r="D538" s="54">
        <f t="shared" si="155"/>
        <v>2025</v>
      </c>
      <c r="E538" s="56" t="s">
        <v>48</v>
      </c>
      <c r="F538" s="56" t="s">
        <v>134</v>
      </c>
      <c r="G538" s="100">
        <v>1510</v>
      </c>
      <c r="H538" s="100">
        <v>0</v>
      </c>
      <c r="I538" s="57"/>
      <c r="J538" s="99">
        <f t="shared" si="164"/>
        <v>1510</v>
      </c>
      <c r="K538" s="53">
        <v>45745</v>
      </c>
      <c r="L538" s="54">
        <f t="shared" si="156"/>
        <v>29</v>
      </c>
      <c r="M538" s="55" t="str" cm="1">
        <f t="array" ref="M538">INDEX(Processing!$W$6:$W$17,MONTH('ALL ORDERS'!K538))</f>
        <v>March</v>
      </c>
      <c r="N538" s="54">
        <f t="shared" si="163"/>
        <v>2025</v>
      </c>
      <c r="O538" s="58">
        <v>0.41666666666666669</v>
      </c>
      <c r="P538" s="59" t="s">
        <v>202</v>
      </c>
      <c r="Q538" s="60" t="s">
        <v>94</v>
      </c>
      <c r="R538" s="56" t="s">
        <v>289</v>
      </c>
      <c r="S538" s="61" t="s">
        <v>45</v>
      </c>
      <c r="T538" s="62" t="s">
        <v>857</v>
      </c>
      <c r="U538" s="63" t="s">
        <v>24</v>
      </c>
      <c r="V538" s="63" t="s">
        <v>147</v>
      </c>
      <c r="W538" s="64">
        <v>3597</v>
      </c>
      <c r="X538" s="64">
        <v>4</v>
      </c>
      <c r="Y538" s="47"/>
      <c r="Z538" s="47"/>
    </row>
    <row r="539" spans="1:26" x14ac:dyDescent="0.25">
      <c r="A539" s="53">
        <v>45745</v>
      </c>
      <c r="B539" s="54">
        <f t="shared" si="154"/>
        <v>29</v>
      </c>
      <c r="C539" s="55" t="str" cm="1">
        <f t="array" ref="C539">INDEX(Processing!$C$11:$C$22,MONTH('ALL ORDERS'!A539))</f>
        <v>MAR</v>
      </c>
      <c r="D539" s="54">
        <f t="shared" si="155"/>
        <v>2025</v>
      </c>
      <c r="E539" s="56" t="s">
        <v>47</v>
      </c>
      <c r="F539" s="56" t="s">
        <v>137</v>
      </c>
      <c r="G539" s="100">
        <v>3690</v>
      </c>
      <c r="H539" s="100">
        <v>0</v>
      </c>
      <c r="I539" s="57"/>
      <c r="J539" s="99">
        <f t="shared" si="164"/>
        <v>3690</v>
      </c>
      <c r="K539" s="53">
        <v>45745</v>
      </c>
      <c r="L539" s="54">
        <f t="shared" si="156"/>
        <v>29</v>
      </c>
      <c r="M539" s="55" t="str" cm="1">
        <f t="array" ref="M539">INDEX(Processing!$W$6:$W$17,MONTH('ALL ORDERS'!K539))</f>
        <v>March</v>
      </c>
      <c r="N539" s="54">
        <f t="shared" si="163"/>
        <v>2025</v>
      </c>
      <c r="O539" s="58">
        <v>0.5</v>
      </c>
      <c r="P539" s="59" t="s">
        <v>190</v>
      </c>
      <c r="Q539" s="60" t="s">
        <v>94</v>
      </c>
      <c r="R539" s="56" t="s">
        <v>276</v>
      </c>
      <c r="S539" s="61" t="s">
        <v>41</v>
      </c>
      <c r="T539" s="62" t="s">
        <v>858</v>
      </c>
      <c r="U539" s="63" t="s">
        <v>24</v>
      </c>
      <c r="V539" s="63" t="s">
        <v>147</v>
      </c>
      <c r="W539" s="64">
        <v>1791</v>
      </c>
      <c r="X539" s="64">
        <v>4</v>
      </c>
      <c r="Y539" s="47"/>
      <c r="Z539" s="47"/>
    </row>
    <row r="540" spans="1:26" x14ac:dyDescent="0.25">
      <c r="A540" s="53">
        <v>45745</v>
      </c>
      <c r="B540" s="54">
        <f t="shared" si="154"/>
        <v>29</v>
      </c>
      <c r="C540" s="55" t="str" cm="1">
        <f t="array" ref="C540">INDEX(Processing!$C$11:$C$22,MONTH('ALL ORDERS'!A540))</f>
        <v>MAR</v>
      </c>
      <c r="D540" s="54">
        <f t="shared" si="155"/>
        <v>2025</v>
      </c>
      <c r="E540" s="56" t="s">
        <v>49</v>
      </c>
      <c r="F540" s="56" t="s">
        <v>131</v>
      </c>
      <c r="G540" s="100">
        <v>0</v>
      </c>
      <c r="H540" s="100">
        <v>1090</v>
      </c>
      <c r="I540" s="57"/>
      <c r="J540" s="99">
        <f t="shared" si="164"/>
        <v>1090</v>
      </c>
      <c r="K540" s="53">
        <v>45745</v>
      </c>
      <c r="L540" s="54">
        <f t="shared" si="156"/>
        <v>29</v>
      </c>
      <c r="M540" s="55" t="str" cm="1">
        <f t="array" ref="M540">INDEX(Processing!$W$6:$W$17,MONTH('ALL ORDERS'!K540))</f>
        <v>March</v>
      </c>
      <c r="N540" s="54">
        <f t="shared" si="163"/>
        <v>2025</v>
      </c>
      <c r="O540" s="58">
        <v>0.66666666666666663</v>
      </c>
      <c r="P540" s="59" t="s">
        <v>219</v>
      </c>
      <c r="Q540" s="60" t="s">
        <v>94</v>
      </c>
      <c r="R540" s="56" t="s">
        <v>318</v>
      </c>
      <c r="S540" s="61" t="s">
        <v>43</v>
      </c>
      <c r="T540" s="62" t="s">
        <v>859</v>
      </c>
      <c r="U540" s="63" t="s">
        <v>26</v>
      </c>
      <c r="V540" s="63" t="s">
        <v>147</v>
      </c>
      <c r="W540" s="64">
        <v>3114</v>
      </c>
      <c r="X540" s="64">
        <v>4</v>
      </c>
      <c r="Y540" s="47"/>
      <c r="Z540" s="47"/>
    </row>
    <row r="541" spans="1:26" x14ac:dyDescent="0.25">
      <c r="A541" s="53">
        <v>45749</v>
      </c>
      <c r="B541" s="54">
        <f t="shared" si="154"/>
        <v>2</v>
      </c>
      <c r="C541" s="55" t="str" cm="1">
        <f t="array" ref="C541">INDEX(Processing!$C$11:$C$22,MONTH('ALL ORDERS'!A541))</f>
        <v>APR</v>
      </c>
      <c r="D541" s="54">
        <f t="shared" si="155"/>
        <v>2025</v>
      </c>
      <c r="E541" s="56" t="s">
        <v>49</v>
      </c>
      <c r="F541" s="56" t="s">
        <v>133</v>
      </c>
      <c r="G541" s="100">
        <v>0</v>
      </c>
      <c r="H541" s="100">
        <v>2820</v>
      </c>
      <c r="I541" s="57"/>
      <c r="J541" s="99">
        <f t="shared" si="164"/>
        <v>2820</v>
      </c>
      <c r="K541" s="53">
        <v>45749</v>
      </c>
      <c r="L541" s="54">
        <f t="shared" si="156"/>
        <v>2</v>
      </c>
      <c r="M541" s="55" t="str" cm="1">
        <f t="array" ref="M541">INDEX(Processing!$W$6:$W$17,MONTH('ALL ORDERS'!K541))</f>
        <v>April</v>
      </c>
      <c r="N541" s="54">
        <f t="shared" si="163"/>
        <v>2025</v>
      </c>
      <c r="O541" s="58">
        <v>0.75</v>
      </c>
      <c r="P541" s="59" t="s">
        <v>167</v>
      </c>
      <c r="Q541" s="60" t="s">
        <v>91</v>
      </c>
      <c r="R541" s="56" t="s">
        <v>250</v>
      </c>
      <c r="S541" s="61" t="s">
        <v>45</v>
      </c>
      <c r="T541" s="62" t="s">
        <v>860</v>
      </c>
      <c r="U541" s="63" t="s">
        <v>26</v>
      </c>
      <c r="V541" s="63" t="s">
        <v>147</v>
      </c>
      <c r="W541" s="64">
        <v>3798</v>
      </c>
      <c r="X541" s="64">
        <v>2</v>
      </c>
      <c r="Y541" s="47"/>
      <c r="Z541" s="47"/>
    </row>
    <row r="542" spans="1:26" x14ac:dyDescent="0.25">
      <c r="A542" s="53">
        <v>45750</v>
      </c>
      <c r="B542" s="54">
        <f t="shared" si="154"/>
        <v>3</v>
      </c>
      <c r="C542" s="55" t="str" cm="1">
        <f t="array" ref="C542">INDEX(Processing!$C$11:$C$22,MONTH('ALL ORDERS'!A542))</f>
        <v>APR</v>
      </c>
      <c r="D542" s="54">
        <f t="shared" si="155"/>
        <v>2025</v>
      </c>
      <c r="E542" s="56" t="s">
        <v>50</v>
      </c>
      <c r="F542" s="56" t="s">
        <v>133</v>
      </c>
      <c r="G542" s="100">
        <v>0</v>
      </c>
      <c r="H542" s="100">
        <v>1110</v>
      </c>
      <c r="I542" s="57"/>
      <c r="J542" s="99">
        <f t="shared" si="164"/>
        <v>1110</v>
      </c>
      <c r="K542" s="53">
        <v>45750</v>
      </c>
      <c r="L542" s="54">
        <f t="shared" si="156"/>
        <v>3</v>
      </c>
      <c r="M542" s="55" t="str" cm="1">
        <f t="array" ref="M542">INDEX(Processing!$W$6:$W$17,MONTH('ALL ORDERS'!K542))</f>
        <v>April</v>
      </c>
      <c r="N542" s="54">
        <f t="shared" si="163"/>
        <v>2025</v>
      </c>
      <c r="O542" s="58">
        <v>0.41666666666666669</v>
      </c>
      <c r="P542" s="59" t="s">
        <v>155</v>
      </c>
      <c r="Q542" s="60" t="s">
        <v>94</v>
      </c>
      <c r="R542" s="56" t="s">
        <v>237</v>
      </c>
      <c r="S542" s="61" t="s">
        <v>44</v>
      </c>
      <c r="T542" s="62" t="s">
        <v>861</v>
      </c>
      <c r="U542" s="63" t="s">
        <v>26</v>
      </c>
      <c r="V542" s="63" t="s">
        <v>147</v>
      </c>
      <c r="W542" s="64">
        <v>5071</v>
      </c>
      <c r="X542" s="64">
        <v>5</v>
      </c>
      <c r="Y542" s="47"/>
      <c r="Z542" s="47"/>
    </row>
    <row r="543" spans="1:26" x14ac:dyDescent="0.25">
      <c r="A543" s="53">
        <v>45751</v>
      </c>
      <c r="B543" s="54">
        <f t="shared" si="154"/>
        <v>4</v>
      </c>
      <c r="C543" s="55" t="str" cm="1">
        <f t="array" ref="C543">INDEX(Processing!$C$11:$C$22,MONTH('ALL ORDERS'!A543))</f>
        <v>APR</v>
      </c>
      <c r="D543" s="54">
        <f t="shared" si="155"/>
        <v>2025</v>
      </c>
      <c r="E543" s="56" t="s">
        <v>50</v>
      </c>
      <c r="F543" s="56" t="s">
        <v>134</v>
      </c>
      <c r="G543" s="100">
        <v>0</v>
      </c>
      <c r="H543" s="100">
        <v>3990</v>
      </c>
      <c r="I543" s="57"/>
      <c r="J543" s="99">
        <f t="shared" si="164"/>
        <v>3990</v>
      </c>
      <c r="K543" s="53">
        <v>45751</v>
      </c>
      <c r="L543" s="54">
        <f t="shared" si="156"/>
        <v>4</v>
      </c>
      <c r="M543" s="55" t="str" cm="1">
        <f t="array" ref="M543">INDEX(Processing!$W$6:$W$17,MONTH('ALL ORDERS'!K543))</f>
        <v>April</v>
      </c>
      <c r="N543" s="54">
        <f t="shared" si="163"/>
        <v>2025</v>
      </c>
      <c r="O543" s="58">
        <v>0.5</v>
      </c>
      <c r="P543" s="59" t="s">
        <v>233</v>
      </c>
      <c r="Q543" s="60" t="s">
        <v>94</v>
      </c>
      <c r="R543" s="56" t="s">
        <v>334</v>
      </c>
      <c r="S543" s="61" t="s">
        <v>43</v>
      </c>
      <c r="T543" s="62" t="s">
        <v>862</v>
      </c>
      <c r="U543" s="63" t="s">
        <v>24</v>
      </c>
      <c r="V543" s="63" t="s">
        <v>147</v>
      </c>
      <c r="W543" s="64">
        <v>3246</v>
      </c>
      <c r="X543" s="64">
        <v>4</v>
      </c>
      <c r="Y543" s="47"/>
      <c r="Z543" s="47"/>
    </row>
    <row r="544" spans="1:26" x14ac:dyDescent="0.25">
      <c r="A544" s="53">
        <v>45752</v>
      </c>
      <c r="B544" s="54">
        <f t="shared" si="154"/>
        <v>5</v>
      </c>
      <c r="C544" s="55" t="str" cm="1">
        <f t="array" ref="C544">INDEX(Processing!$C$11:$C$22,MONTH('ALL ORDERS'!A544))</f>
        <v>APR</v>
      </c>
      <c r="D544" s="54">
        <f t="shared" si="155"/>
        <v>2025</v>
      </c>
      <c r="E544" s="56" t="s">
        <v>51</v>
      </c>
      <c r="F544" s="56" t="s">
        <v>134</v>
      </c>
      <c r="G544" s="100">
        <v>10000</v>
      </c>
      <c r="H544" s="100">
        <v>2150</v>
      </c>
      <c r="I544" s="57">
        <v>0.15</v>
      </c>
      <c r="J544" s="99">
        <f t="shared" si="164"/>
        <v>12150</v>
      </c>
      <c r="K544" s="53">
        <v>45752</v>
      </c>
      <c r="L544" s="54">
        <f t="shared" si="156"/>
        <v>5</v>
      </c>
      <c r="M544" s="55" t="str" cm="1">
        <f t="array" ref="M544">INDEX(Processing!$W$6:$W$17,MONTH('ALL ORDERS'!K544))</f>
        <v>April</v>
      </c>
      <c r="N544" s="54">
        <f t="shared" si="163"/>
        <v>2025</v>
      </c>
      <c r="O544" s="58">
        <v>0.66666666666666663</v>
      </c>
      <c r="P544" s="59" t="s">
        <v>338</v>
      </c>
      <c r="Q544" s="60" t="s">
        <v>94</v>
      </c>
      <c r="R544" s="56" t="s">
        <v>253</v>
      </c>
      <c r="S544" s="61" t="s">
        <v>43</v>
      </c>
      <c r="T544" s="62" t="s">
        <v>863</v>
      </c>
      <c r="U544" s="63" t="s">
        <v>26</v>
      </c>
      <c r="V544" s="63" t="s">
        <v>147</v>
      </c>
      <c r="W544" s="64">
        <v>1911</v>
      </c>
      <c r="X544" s="64">
        <v>5</v>
      </c>
      <c r="Y544" s="47"/>
      <c r="Z544" s="47"/>
    </row>
    <row r="545" spans="1:26" x14ac:dyDescent="0.25">
      <c r="A545" s="53">
        <v>45753</v>
      </c>
      <c r="B545" s="54">
        <f t="shared" ref="B545:B611" si="165">DAY(A545)</f>
        <v>6</v>
      </c>
      <c r="C545" s="55" t="str" cm="1">
        <f t="array" ref="C545">INDEX(Processing!$C$11:$C$22,MONTH('ALL ORDERS'!A545))</f>
        <v>APR</v>
      </c>
      <c r="D545" s="54">
        <f t="shared" ref="D545:D611" si="166">YEAR(A545)</f>
        <v>2025</v>
      </c>
      <c r="E545" s="56" t="s">
        <v>47</v>
      </c>
      <c r="F545" s="56" t="s">
        <v>19</v>
      </c>
      <c r="G545" s="100">
        <v>0</v>
      </c>
      <c r="H545" s="100">
        <v>2230</v>
      </c>
      <c r="I545" s="57"/>
      <c r="J545" s="99">
        <f t="shared" si="164"/>
        <v>2230</v>
      </c>
      <c r="K545" s="53">
        <v>45753</v>
      </c>
      <c r="L545" s="54">
        <f t="shared" si="156"/>
        <v>6</v>
      </c>
      <c r="M545" s="55" t="str" cm="1">
        <f t="array" ref="M545">INDEX(Processing!$W$6:$W$17,MONTH('ALL ORDERS'!K545))</f>
        <v>April</v>
      </c>
      <c r="N545" s="54">
        <f t="shared" si="163"/>
        <v>2025</v>
      </c>
      <c r="O545" s="58">
        <v>0.75</v>
      </c>
      <c r="P545" s="59" t="s">
        <v>179</v>
      </c>
      <c r="Q545" s="60" t="s">
        <v>94</v>
      </c>
      <c r="R545" s="56" t="s">
        <v>264</v>
      </c>
      <c r="S545" s="61" t="s">
        <v>41</v>
      </c>
      <c r="T545" s="62" t="s">
        <v>864</v>
      </c>
      <c r="U545" s="63" t="s">
        <v>27</v>
      </c>
      <c r="V545" s="63" t="s">
        <v>147</v>
      </c>
      <c r="W545" s="64">
        <v>2021</v>
      </c>
      <c r="X545" s="64">
        <v>4</v>
      </c>
      <c r="Y545" s="47"/>
      <c r="Z545" s="47"/>
    </row>
    <row r="546" spans="1:26" x14ac:dyDescent="0.25">
      <c r="A546" s="53">
        <v>45748</v>
      </c>
      <c r="B546" s="54">
        <f t="shared" si="165"/>
        <v>1</v>
      </c>
      <c r="C546" s="55" t="str" cm="1">
        <f t="array" ref="C546">INDEX(Processing!$C$11:$C$22,MONTH('ALL ORDERS'!A546))</f>
        <v>APR</v>
      </c>
      <c r="D546" s="54">
        <f t="shared" si="166"/>
        <v>2025</v>
      </c>
      <c r="E546" s="56" t="s">
        <v>49</v>
      </c>
      <c r="F546" s="56" t="s">
        <v>19</v>
      </c>
      <c r="G546" s="100">
        <v>0</v>
      </c>
      <c r="H546" s="100">
        <v>3080</v>
      </c>
      <c r="I546" s="57"/>
      <c r="J546" s="99">
        <f t="shared" si="164"/>
        <v>3080</v>
      </c>
      <c r="K546" s="53">
        <v>45748</v>
      </c>
      <c r="L546" s="54">
        <f t="shared" si="156"/>
        <v>1</v>
      </c>
      <c r="M546" s="55" t="str" cm="1">
        <f t="array" ref="M546">INDEX(Processing!$W$6:$W$17,MONTH('ALL ORDERS'!K546))</f>
        <v>April</v>
      </c>
      <c r="N546" s="54">
        <f t="shared" si="163"/>
        <v>2025</v>
      </c>
      <c r="O546" s="58">
        <v>0.41666666666666669</v>
      </c>
      <c r="P546" s="59" t="s">
        <v>177</v>
      </c>
      <c r="Q546" s="60" t="s">
        <v>93</v>
      </c>
      <c r="R546" s="56" t="s">
        <v>261</v>
      </c>
      <c r="S546" s="61" t="s">
        <v>42</v>
      </c>
      <c r="T546" s="70">
        <v>18900888990</v>
      </c>
      <c r="U546" s="63" t="s">
        <v>25</v>
      </c>
      <c r="V546" s="63" t="s">
        <v>147</v>
      </c>
      <c r="W546" s="64">
        <v>5451</v>
      </c>
      <c r="X546" s="64">
        <v>5</v>
      </c>
      <c r="Y546" s="47"/>
      <c r="Z546" s="47"/>
    </row>
    <row r="547" spans="1:26" x14ac:dyDescent="0.25">
      <c r="A547" s="53">
        <v>45755</v>
      </c>
      <c r="B547" s="54">
        <f t="shared" si="165"/>
        <v>8</v>
      </c>
      <c r="C547" s="55" t="str" cm="1">
        <f t="array" ref="C547">INDEX(Processing!$C$11:$C$22,MONTH('ALL ORDERS'!A547))</f>
        <v>APR</v>
      </c>
      <c r="D547" s="54">
        <f t="shared" si="166"/>
        <v>2025</v>
      </c>
      <c r="E547" s="56" t="s">
        <v>49</v>
      </c>
      <c r="F547" s="56" t="s">
        <v>128</v>
      </c>
      <c r="G547" s="100">
        <v>0</v>
      </c>
      <c r="H547" s="100">
        <v>2180</v>
      </c>
      <c r="I547" s="57"/>
      <c r="J547" s="99">
        <f t="shared" si="164"/>
        <v>2180</v>
      </c>
      <c r="K547" s="53">
        <v>45755</v>
      </c>
      <c r="L547" s="54">
        <f t="shared" si="156"/>
        <v>8</v>
      </c>
      <c r="M547" s="55" t="str" cm="1">
        <f t="array" ref="M547">INDEX(Processing!$W$6:$W$17,MONTH('ALL ORDERS'!K547))</f>
        <v>April</v>
      </c>
      <c r="N547" s="54">
        <f t="shared" si="163"/>
        <v>2025</v>
      </c>
      <c r="O547" s="58">
        <v>0.5</v>
      </c>
      <c r="P547" s="59" t="s">
        <v>224</v>
      </c>
      <c r="Q547" s="60" t="s">
        <v>90</v>
      </c>
      <c r="R547" s="56" t="s">
        <v>324</v>
      </c>
      <c r="S547" s="61" t="s">
        <v>44</v>
      </c>
      <c r="T547" s="62" t="s">
        <v>865</v>
      </c>
      <c r="U547" s="63" t="s">
        <v>25</v>
      </c>
      <c r="V547" s="63" t="s">
        <v>147</v>
      </c>
      <c r="W547" s="64">
        <v>3377</v>
      </c>
      <c r="X547" s="64">
        <v>4</v>
      </c>
      <c r="Y547" s="47"/>
      <c r="Z547" s="47"/>
    </row>
    <row r="548" spans="1:26" x14ac:dyDescent="0.25">
      <c r="A548" s="53">
        <v>45756</v>
      </c>
      <c r="B548" s="54">
        <f t="shared" si="165"/>
        <v>9</v>
      </c>
      <c r="C548" s="55" t="str" cm="1">
        <f t="array" ref="C548">INDEX(Processing!$C$11:$C$22,MONTH('ALL ORDERS'!A548))</f>
        <v>APR</v>
      </c>
      <c r="D548" s="54">
        <f t="shared" si="166"/>
        <v>2025</v>
      </c>
      <c r="E548" s="56" t="s">
        <v>50</v>
      </c>
      <c r="F548" s="56" t="s">
        <v>134</v>
      </c>
      <c r="G548" s="100">
        <v>0</v>
      </c>
      <c r="H548" s="100">
        <v>920</v>
      </c>
      <c r="I548" s="57"/>
      <c r="J548" s="99">
        <f t="shared" si="164"/>
        <v>920</v>
      </c>
      <c r="K548" s="53">
        <v>45756</v>
      </c>
      <c r="L548" s="54">
        <f t="shared" si="156"/>
        <v>9</v>
      </c>
      <c r="M548" s="55" t="str" cm="1">
        <f t="array" ref="M548">INDEX(Processing!$W$6:$W$17,MONTH('ALL ORDERS'!K548))</f>
        <v>April</v>
      </c>
      <c r="N548" s="54">
        <f t="shared" si="163"/>
        <v>2025</v>
      </c>
      <c r="O548" s="58">
        <v>0.66666666666666663</v>
      </c>
      <c r="P548" s="59" t="s">
        <v>168</v>
      </c>
      <c r="Q548" s="60" t="s">
        <v>94</v>
      </c>
      <c r="R548" s="56" t="s">
        <v>251</v>
      </c>
      <c r="S548" s="61" t="s">
        <v>43</v>
      </c>
      <c r="T548" s="62" t="s">
        <v>866</v>
      </c>
      <c r="U548" s="63" t="s">
        <v>25</v>
      </c>
      <c r="V548" s="63" t="s">
        <v>147</v>
      </c>
      <c r="W548" s="64">
        <v>1879</v>
      </c>
      <c r="X548" s="64">
        <v>5</v>
      </c>
      <c r="Y548" s="47"/>
      <c r="Z548" s="47"/>
    </row>
    <row r="549" spans="1:26" x14ac:dyDescent="0.25">
      <c r="A549" s="53">
        <v>45757</v>
      </c>
      <c r="B549" s="54">
        <f t="shared" si="165"/>
        <v>10</v>
      </c>
      <c r="C549" s="55" t="str" cm="1">
        <f t="array" ref="C549">INDEX(Processing!$C$11:$C$22,MONTH('ALL ORDERS'!A549))</f>
        <v>APR</v>
      </c>
      <c r="D549" s="54">
        <f t="shared" si="166"/>
        <v>2025</v>
      </c>
      <c r="E549" s="56" t="s">
        <v>50</v>
      </c>
      <c r="F549" s="56" t="s">
        <v>137</v>
      </c>
      <c r="G549" s="100">
        <v>2200</v>
      </c>
      <c r="H549" s="100">
        <v>0</v>
      </c>
      <c r="I549" s="57">
        <v>0.15</v>
      </c>
      <c r="J549" s="99">
        <f t="shared" si="164"/>
        <v>2200</v>
      </c>
      <c r="K549" s="53">
        <v>45757</v>
      </c>
      <c r="L549" s="54">
        <f t="shared" si="156"/>
        <v>10</v>
      </c>
      <c r="M549" s="55" t="str" cm="1">
        <f t="array" ref="M549">INDEX(Processing!$W$6:$W$17,MONTH('ALL ORDERS'!K549))</f>
        <v>April</v>
      </c>
      <c r="N549" s="54">
        <f t="shared" si="163"/>
        <v>2025</v>
      </c>
      <c r="O549" s="58">
        <v>0.75</v>
      </c>
      <c r="P549" s="59" t="s">
        <v>227</v>
      </c>
      <c r="Q549" s="60" t="s">
        <v>94</v>
      </c>
      <c r="R549" s="56" t="s">
        <v>327</v>
      </c>
      <c r="S549" s="61" t="s">
        <v>45</v>
      </c>
      <c r="T549" s="62" t="s">
        <v>867</v>
      </c>
      <c r="U549" s="63" t="s">
        <v>23</v>
      </c>
      <c r="V549" s="63" t="s">
        <v>147</v>
      </c>
      <c r="W549" s="64">
        <v>2790</v>
      </c>
      <c r="X549" s="64">
        <v>5</v>
      </c>
      <c r="Y549" s="47"/>
      <c r="Z549" s="47"/>
    </row>
    <row r="550" spans="1:26" x14ac:dyDescent="0.25">
      <c r="A550" s="53">
        <v>45758</v>
      </c>
      <c r="B550" s="54">
        <f t="shared" si="165"/>
        <v>11</v>
      </c>
      <c r="C550" s="55" t="str" cm="1">
        <f t="array" ref="C550">INDEX(Processing!$C$11:$C$22,MONTH('ALL ORDERS'!A550))</f>
        <v>APR</v>
      </c>
      <c r="D550" s="54">
        <f t="shared" si="166"/>
        <v>2025</v>
      </c>
      <c r="E550" s="56" t="s">
        <v>48</v>
      </c>
      <c r="F550" s="56" t="s">
        <v>131</v>
      </c>
      <c r="G550" s="100">
        <v>620</v>
      </c>
      <c r="H550" s="100">
        <v>10000</v>
      </c>
      <c r="I550" s="57"/>
      <c r="J550" s="99">
        <f t="shared" si="164"/>
        <v>10620</v>
      </c>
      <c r="K550" s="53">
        <v>45758</v>
      </c>
      <c r="L550" s="54">
        <f t="shared" ref="L550:L616" si="167">DAY(K550)</f>
        <v>11</v>
      </c>
      <c r="M550" s="55" t="str" cm="1">
        <f t="array" ref="M550">INDEX(Processing!$W$6:$W$17,MONTH('ALL ORDERS'!K550))</f>
        <v>April</v>
      </c>
      <c r="N550" s="54">
        <f t="shared" si="163"/>
        <v>2025</v>
      </c>
      <c r="O550" s="58">
        <v>0.41666666666666669</v>
      </c>
      <c r="P550" s="59" t="s">
        <v>355</v>
      </c>
      <c r="Q550" s="60" t="s">
        <v>92</v>
      </c>
      <c r="R550" s="56" t="s">
        <v>333</v>
      </c>
      <c r="S550" s="61" t="s">
        <v>42</v>
      </c>
      <c r="T550" s="62" t="s">
        <v>868</v>
      </c>
      <c r="U550" s="63" t="s">
        <v>27</v>
      </c>
      <c r="V550" s="63" t="s">
        <v>147</v>
      </c>
      <c r="W550" s="64">
        <v>4673</v>
      </c>
      <c r="X550" s="64">
        <v>2</v>
      </c>
      <c r="Y550" s="47"/>
      <c r="Z550" s="47"/>
    </row>
    <row r="551" spans="1:26" x14ac:dyDescent="0.25">
      <c r="A551" s="53">
        <v>45759</v>
      </c>
      <c r="B551" s="54">
        <f t="shared" si="165"/>
        <v>12</v>
      </c>
      <c r="C551" s="55" t="str" cm="1">
        <f t="array" ref="C551">INDEX(Processing!$C$11:$C$22,MONTH('ALL ORDERS'!A551))</f>
        <v>APR</v>
      </c>
      <c r="D551" s="54">
        <f t="shared" si="166"/>
        <v>2025</v>
      </c>
      <c r="E551" s="56" t="s">
        <v>47</v>
      </c>
      <c r="F551" s="56" t="s">
        <v>133</v>
      </c>
      <c r="G551" s="100">
        <v>0</v>
      </c>
      <c r="H551" s="100">
        <v>1590</v>
      </c>
      <c r="I551" s="57"/>
      <c r="J551" s="99">
        <f t="shared" si="164"/>
        <v>1590</v>
      </c>
      <c r="K551" s="53">
        <v>45759</v>
      </c>
      <c r="L551" s="54">
        <f t="shared" si="167"/>
        <v>12</v>
      </c>
      <c r="M551" s="55" t="str" cm="1">
        <f t="array" ref="M551">INDEX(Processing!$W$6:$W$17,MONTH('ALL ORDERS'!K551))</f>
        <v>April</v>
      </c>
      <c r="N551" s="54">
        <f t="shared" si="163"/>
        <v>2025</v>
      </c>
      <c r="O551" s="58">
        <v>0.5</v>
      </c>
      <c r="P551" s="59" t="s">
        <v>178</v>
      </c>
      <c r="Q551" s="60" t="s">
        <v>90</v>
      </c>
      <c r="R551" s="56" t="s">
        <v>262</v>
      </c>
      <c r="S551" s="61" t="s">
        <v>46</v>
      </c>
      <c r="T551" s="62" t="s">
        <v>869</v>
      </c>
      <c r="U551" s="63" t="s">
        <v>24</v>
      </c>
      <c r="V551" s="63" t="s">
        <v>148</v>
      </c>
      <c r="W551" s="64">
        <v>4931</v>
      </c>
      <c r="X551" s="64"/>
      <c r="Y551" s="47"/>
      <c r="Z551" s="47"/>
    </row>
    <row r="552" spans="1:26" x14ac:dyDescent="0.25">
      <c r="A552" s="53">
        <v>45759</v>
      </c>
      <c r="B552" s="54">
        <f t="shared" si="165"/>
        <v>12</v>
      </c>
      <c r="C552" s="55" t="str" cm="1">
        <f t="array" ref="C552">INDEX(Processing!$C$11:$C$22,MONTH('ALL ORDERS'!A552))</f>
        <v>APR</v>
      </c>
      <c r="D552" s="54">
        <f t="shared" si="166"/>
        <v>2025</v>
      </c>
      <c r="E552" s="56" t="s">
        <v>49</v>
      </c>
      <c r="F552" s="56" t="s">
        <v>133</v>
      </c>
      <c r="G552" s="100">
        <v>0</v>
      </c>
      <c r="H552" s="100">
        <v>1590</v>
      </c>
      <c r="I552" s="57"/>
      <c r="J552" s="99">
        <f t="shared" si="164"/>
        <v>1590</v>
      </c>
      <c r="K552" s="53">
        <v>45759</v>
      </c>
      <c r="L552" s="54">
        <f t="shared" si="167"/>
        <v>12</v>
      </c>
      <c r="M552" s="55" t="str" cm="1">
        <f t="array" ref="M552">INDEX(Processing!$W$6:$W$17,MONTH('ALL ORDERS'!K552))</f>
        <v>April</v>
      </c>
      <c r="N552" s="54">
        <f t="shared" si="163"/>
        <v>2025</v>
      </c>
      <c r="O552" s="58">
        <v>0.66666666666666663</v>
      </c>
      <c r="P552" s="59" t="s">
        <v>346</v>
      </c>
      <c r="Q552" s="60" t="s">
        <v>94</v>
      </c>
      <c r="R552" s="56" t="s">
        <v>308</v>
      </c>
      <c r="S552" s="61" t="s">
        <v>43</v>
      </c>
      <c r="T552" s="62" t="s">
        <v>870</v>
      </c>
      <c r="U552" s="63" t="s">
        <v>24</v>
      </c>
      <c r="V552" s="63" t="s">
        <v>147</v>
      </c>
      <c r="W552" s="64">
        <v>3397</v>
      </c>
      <c r="X552" s="64">
        <v>5</v>
      </c>
      <c r="Y552" s="47"/>
      <c r="Z552" s="47"/>
    </row>
    <row r="553" spans="1:26" x14ac:dyDescent="0.25">
      <c r="A553" s="53">
        <v>45760</v>
      </c>
      <c r="B553" s="54">
        <f t="shared" ref="B553" si="168">DAY(A553)</f>
        <v>13</v>
      </c>
      <c r="C553" s="55" t="str" cm="1">
        <f t="array" ref="C553">INDEX(Processing!$C$11:$C$22,MONTH('ALL ORDERS'!A553))</f>
        <v>APR</v>
      </c>
      <c r="D553" s="54">
        <f t="shared" ref="D553" si="169">YEAR(A553)</f>
        <v>2025</v>
      </c>
      <c r="E553" s="56" t="s">
        <v>49</v>
      </c>
      <c r="F553" s="56" t="s">
        <v>133</v>
      </c>
      <c r="G553" s="100">
        <v>0</v>
      </c>
      <c r="H553" s="100">
        <v>27580</v>
      </c>
      <c r="I553" s="57"/>
      <c r="J553" s="99">
        <f t="shared" si="164"/>
        <v>27580</v>
      </c>
      <c r="K553" s="53">
        <v>45760</v>
      </c>
      <c r="L553" s="54">
        <f t="shared" si="167"/>
        <v>13</v>
      </c>
      <c r="M553" s="55" t="str" cm="1">
        <f t="array" ref="M553">INDEX(Processing!$W$6:$W$17,MONTH('ALL ORDERS'!K553))</f>
        <v>April</v>
      </c>
      <c r="N553" s="54">
        <f t="shared" ref="N553" si="170">YEAR(K553)</f>
        <v>2025</v>
      </c>
      <c r="O553" s="58">
        <v>0.70833333333333304</v>
      </c>
      <c r="P553" s="59" t="s">
        <v>347</v>
      </c>
      <c r="Q553" s="60" t="s">
        <v>94</v>
      </c>
      <c r="R553" s="56" t="s">
        <v>1101</v>
      </c>
      <c r="S553" s="61" t="s">
        <v>44</v>
      </c>
      <c r="T553" s="62" t="s">
        <v>881</v>
      </c>
      <c r="U553" s="63" t="s">
        <v>24</v>
      </c>
      <c r="V553" s="63" t="s">
        <v>147</v>
      </c>
      <c r="W553" s="64">
        <v>4527</v>
      </c>
      <c r="X553" s="64">
        <v>5</v>
      </c>
      <c r="Y553" s="47"/>
      <c r="Z553" s="47"/>
    </row>
    <row r="554" spans="1:26" x14ac:dyDescent="0.25">
      <c r="A554" s="53">
        <v>45759</v>
      </c>
      <c r="B554" s="54">
        <f t="shared" si="165"/>
        <v>12</v>
      </c>
      <c r="C554" s="55" t="str" cm="1">
        <f t="array" ref="C554">INDEX(Processing!$C$11:$C$22,MONTH('ALL ORDERS'!A554))</f>
        <v>APR</v>
      </c>
      <c r="D554" s="54">
        <f t="shared" si="166"/>
        <v>2025</v>
      </c>
      <c r="E554" s="56" t="s">
        <v>49</v>
      </c>
      <c r="F554" s="56" t="s">
        <v>134</v>
      </c>
      <c r="G554" s="100">
        <v>0</v>
      </c>
      <c r="H554" s="100">
        <v>1590</v>
      </c>
      <c r="I554" s="57"/>
      <c r="J554" s="99">
        <f t="shared" si="164"/>
        <v>1590</v>
      </c>
      <c r="K554" s="53">
        <v>45759</v>
      </c>
      <c r="L554" s="54">
        <f t="shared" si="167"/>
        <v>12</v>
      </c>
      <c r="M554" s="55" t="str" cm="1">
        <f t="array" ref="M554">INDEX(Processing!$W$6:$W$17,MONTH('ALL ORDERS'!K554))</f>
        <v>April</v>
      </c>
      <c r="N554" s="54">
        <f t="shared" si="163"/>
        <v>2025</v>
      </c>
      <c r="O554" s="58">
        <v>0.75</v>
      </c>
      <c r="P554" s="59" t="s">
        <v>218</v>
      </c>
      <c r="Q554" s="60" t="e">
        <v>#N/A</v>
      </c>
      <c r="R554" s="56" t="s">
        <v>317</v>
      </c>
      <c r="S554" s="61" t="s">
        <v>44</v>
      </c>
      <c r="T554" s="62" t="s">
        <v>871</v>
      </c>
      <c r="U554" s="63" t="s">
        <v>26</v>
      </c>
      <c r="V554" s="63" t="s">
        <v>147</v>
      </c>
      <c r="W554" s="64">
        <v>1719</v>
      </c>
      <c r="X554" s="64">
        <v>5</v>
      </c>
      <c r="Y554" s="47"/>
      <c r="Z554" s="47"/>
    </row>
    <row r="555" spans="1:26" x14ac:dyDescent="0.25">
      <c r="A555" s="53">
        <v>45759</v>
      </c>
      <c r="B555" s="54">
        <f t="shared" si="165"/>
        <v>12</v>
      </c>
      <c r="C555" s="55" t="str" cm="1">
        <f t="array" ref="C555">INDEX(Processing!$C$11:$C$22,MONTH('ALL ORDERS'!A555))</f>
        <v>APR</v>
      </c>
      <c r="D555" s="54">
        <f t="shared" si="166"/>
        <v>2025</v>
      </c>
      <c r="E555" s="56" t="s">
        <v>50</v>
      </c>
      <c r="F555" s="56" t="s">
        <v>134</v>
      </c>
      <c r="G555" s="100">
        <v>0</v>
      </c>
      <c r="H555" s="100">
        <v>1590</v>
      </c>
      <c r="I555" s="57"/>
      <c r="J555" s="99">
        <f t="shared" si="164"/>
        <v>1590</v>
      </c>
      <c r="K555" s="53">
        <v>45759</v>
      </c>
      <c r="L555" s="54">
        <f t="shared" si="167"/>
        <v>12</v>
      </c>
      <c r="M555" s="55" t="str" cm="1">
        <f t="array" ref="M555">INDEX(Processing!$W$6:$W$17,MONTH('ALL ORDERS'!K555))</f>
        <v>April</v>
      </c>
      <c r="N555" s="54">
        <f t="shared" si="163"/>
        <v>2025</v>
      </c>
      <c r="O555" s="58">
        <v>0.41666666666666669</v>
      </c>
      <c r="P555" s="59" t="s">
        <v>181</v>
      </c>
      <c r="Q555" s="60" t="s">
        <v>90</v>
      </c>
      <c r="R555" s="56" t="s">
        <v>266</v>
      </c>
      <c r="S555" s="61" t="s">
        <v>41</v>
      </c>
      <c r="T555" s="62" t="s">
        <v>872</v>
      </c>
      <c r="U555" s="63" t="s">
        <v>23</v>
      </c>
      <c r="V555" s="63" t="s">
        <v>147</v>
      </c>
      <c r="W555" s="64">
        <v>3999</v>
      </c>
      <c r="X555" s="64">
        <v>3</v>
      </c>
      <c r="Y555" s="47"/>
      <c r="Z555" s="47"/>
    </row>
    <row r="556" spans="1:26" x14ac:dyDescent="0.25">
      <c r="A556" s="53">
        <v>45763</v>
      </c>
      <c r="B556" s="54">
        <f t="shared" si="165"/>
        <v>16</v>
      </c>
      <c r="C556" s="55" t="str" cm="1">
        <f t="array" ref="C556">INDEX(Processing!$C$11:$C$22,MONTH('ALL ORDERS'!A556))</f>
        <v>APR</v>
      </c>
      <c r="D556" s="54">
        <f t="shared" si="166"/>
        <v>2025</v>
      </c>
      <c r="E556" s="56" t="s">
        <v>50</v>
      </c>
      <c r="F556" s="56" t="s">
        <v>19</v>
      </c>
      <c r="G556" s="100">
        <v>0</v>
      </c>
      <c r="H556" s="100">
        <v>1590</v>
      </c>
      <c r="I556" s="57"/>
      <c r="J556" s="99">
        <f t="shared" si="164"/>
        <v>1590</v>
      </c>
      <c r="K556" s="53">
        <v>45763</v>
      </c>
      <c r="L556" s="54">
        <f t="shared" si="167"/>
        <v>16</v>
      </c>
      <c r="M556" s="55" t="str" cm="1">
        <f t="array" ref="M556">INDEX(Processing!$W$6:$W$17,MONTH('ALL ORDERS'!K556))</f>
        <v>April</v>
      </c>
      <c r="N556" s="54">
        <f t="shared" si="163"/>
        <v>2025</v>
      </c>
      <c r="O556" s="58">
        <v>0.5</v>
      </c>
      <c r="P556" s="59" t="s">
        <v>185</v>
      </c>
      <c r="Q556" s="60" t="s">
        <v>94</v>
      </c>
      <c r="R556" s="56" t="s">
        <v>270</v>
      </c>
      <c r="S556" s="61" t="s">
        <v>46</v>
      </c>
      <c r="T556" s="62" t="s">
        <v>873</v>
      </c>
      <c r="U556" s="63" t="s">
        <v>27</v>
      </c>
      <c r="V556" s="63" t="s">
        <v>147</v>
      </c>
      <c r="W556" s="64">
        <v>4965</v>
      </c>
      <c r="X556" s="64">
        <v>3</v>
      </c>
      <c r="Y556" s="47"/>
      <c r="Z556" s="47"/>
    </row>
    <row r="557" spans="1:26" x14ac:dyDescent="0.25">
      <c r="A557" s="53">
        <v>45758</v>
      </c>
      <c r="B557" s="54">
        <f t="shared" si="165"/>
        <v>11</v>
      </c>
      <c r="C557" s="55" t="str" cm="1">
        <f t="array" ref="C557">INDEX(Processing!$C$11:$C$22,MONTH('ALL ORDERS'!A557))</f>
        <v>APR</v>
      </c>
      <c r="D557" s="54">
        <f t="shared" si="166"/>
        <v>2025</v>
      </c>
      <c r="E557" s="56" t="s">
        <v>48</v>
      </c>
      <c r="F557" s="56" t="s">
        <v>19</v>
      </c>
      <c r="G557" s="100">
        <v>0</v>
      </c>
      <c r="H557" s="100">
        <v>1590</v>
      </c>
      <c r="I557" s="57"/>
      <c r="J557" s="99">
        <f t="shared" si="164"/>
        <v>1590</v>
      </c>
      <c r="K557" s="53">
        <v>45758</v>
      </c>
      <c r="L557" s="54">
        <f t="shared" si="167"/>
        <v>11</v>
      </c>
      <c r="M557" s="55" t="str" cm="1">
        <f t="array" ref="M557">INDEX(Processing!$W$6:$W$17,MONTH('ALL ORDERS'!K557))</f>
        <v>April</v>
      </c>
      <c r="N557" s="54">
        <f t="shared" si="163"/>
        <v>2025</v>
      </c>
      <c r="O557" s="58">
        <v>0.66666666666666663</v>
      </c>
      <c r="P557" s="59" t="s">
        <v>209</v>
      </c>
      <c r="Q557" s="60" t="s">
        <v>94</v>
      </c>
      <c r="R557" s="56" t="s">
        <v>297</v>
      </c>
      <c r="S557" s="61" t="s">
        <v>46</v>
      </c>
      <c r="T557" s="62" t="s">
        <v>874</v>
      </c>
      <c r="U557" s="63" t="s">
        <v>26</v>
      </c>
      <c r="V557" s="63" t="s">
        <v>147</v>
      </c>
      <c r="W557" s="64">
        <v>4702</v>
      </c>
      <c r="X557" s="64">
        <v>2</v>
      </c>
      <c r="Y557" s="47"/>
      <c r="Z557" s="47"/>
    </row>
    <row r="558" spans="1:26" x14ac:dyDescent="0.25">
      <c r="A558" s="53">
        <v>45765</v>
      </c>
      <c r="B558" s="54">
        <f t="shared" si="165"/>
        <v>18</v>
      </c>
      <c r="C558" s="55" t="str" cm="1">
        <f t="array" ref="C558">INDEX(Processing!$C$11:$C$22,MONTH('ALL ORDERS'!A558))</f>
        <v>APR</v>
      </c>
      <c r="D558" s="54">
        <f t="shared" si="166"/>
        <v>2025</v>
      </c>
      <c r="E558" s="56" t="s">
        <v>47</v>
      </c>
      <c r="F558" s="56" t="s">
        <v>128</v>
      </c>
      <c r="G558" s="100">
        <v>0</v>
      </c>
      <c r="H558" s="100">
        <v>1590</v>
      </c>
      <c r="I558" s="57"/>
      <c r="J558" s="99">
        <f t="shared" si="164"/>
        <v>1590</v>
      </c>
      <c r="K558" s="53">
        <v>45765</v>
      </c>
      <c r="L558" s="54">
        <f t="shared" si="167"/>
        <v>18</v>
      </c>
      <c r="M558" s="55" t="str" cm="1">
        <f t="array" ref="M558">INDEX(Processing!$W$6:$W$17,MONTH('ALL ORDERS'!K558))</f>
        <v>April</v>
      </c>
      <c r="N558" s="54">
        <f t="shared" si="163"/>
        <v>2025</v>
      </c>
      <c r="O558" s="58">
        <v>0.75</v>
      </c>
      <c r="P558" s="59" t="s">
        <v>197</v>
      </c>
      <c r="Q558" s="60" t="s">
        <v>94</v>
      </c>
      <c r="R558" s="56" t="s">
        <v>284</v>
      </c>
      <c r="S558" s="61" t="s">
        <v>43</v>
      </c>
      <c r="T558" s="62" t="s">
        <v>875</v>
      </c>
      <c r="U558" s="63" t="s">
        <v>25</v>
      </c>
      <c r="V558" s="63" t="s">
        <v>147</v>
      </c>
      <c r="W558" s="64">
        <v>3572</v>
      </c>
      <c r="X558" s="64">
        <v>3</v>
      </c>
      <c r="Y558" s="47"/>
      <c r="Z558" s="47"/>
    </row>
    <row r="559" spans="1:26" x14ac:dyDescent="0.25">
      <c r="A559" s="53">
        <v>45766</v>
      </c>
      <c r="B559" s="54">
        <f t="shared" si="165"/>
        <v>19</v>
      </c>
      <c r="C559" s="55" t="str" cm="1">
        <f t="array" ref="C559">INDEX(Processing!$C$11:$C$22,MONTH('ALL ORDERS'!A559))</f>
        <v>APR</v>
      </c>
      <c r="D559" s="54">
        <f t="shared" si="166"/>
        <v>2025</v>
      </c>
      <c r="E559" s="56" t="s">
        <v>50</v>
      </c>
      <c r="F559" s="56" t="s">
        <v>22</v>
      </c>
      <c r="G559" s="100">
        <v>0</v>
      </c>
      <c r="H559" s="100">
        <v>1590</v>
      </c>
      <c r="I559" s="57"/>
      <c r="J559" s="99">
        <f t="shared" si="164"/>
        <v>1590</v>
      </c>
      <c r="K559" s="53">
        <v>45766</v>
      </c>
      <c r="L559" s="54">
        <f t="shared" si="167"/>
        <v>19</v>
      </c>
      <c r="M559" s="55" t="str" cm="1">
        <f t="array" ref="M559">INDEX(Processing!$W$6:$W$17,MONTH('ALL ORDERS'!K559))</f>
        <v>April</v>
      </c>
      <c r="N559" s="54">
        <f t="shared" si="163"/>
        <v>2025</v>
      </c>
      <c r="O559" s="58">
        <v>0.41666666666666669</v>
      </c>
      <c r="P559" s="59" t="s">
        <v>162</v>
      </c>
      <c r="Q559" s="60" t="s">
        <v>94</v>
      </c>
      <c r="R559" s="56" t="s">
        <v>245</v>
      </c>
      <c r="S559" s="61" t="s">
        <v>45</v>
      </c>
      <c r="T559" s="70">
        <v>17900888990</v>
      </c>
      <c r="U559" s="63" t="s">
        <v>25</v>
      </c>
      <c r="V559" s="63" t="s">
        <v>147</v>
      </c>
      <c r="W559" s="64">
        <v>2970</v>
      </c>
      <c r="X559" s="64">
        <v>2</v>
      </c>
      <c r="Y559" s="47"/>
      <c r="Z559" s="47"/>
    </row>
    <row r="560" spans="1:26" x14ac:dyDescent="0.25">
      <c r="A560" s="53">
        <v>45767</v>
      </c>
      <c r="B560" s="54">
        <f t="shared" si="165"/>
        <v>20</v>
      </c>
      <c r="C560" s="55" t="str" cm="1">
        <f t="array" ref="C560">INDEX(Processing!$C$11:$C$22,MONTH('ALL ORDERS'!A560))</f>
        <v>APR</v>
      </c>
      <c r="D560" s="54">
        <f t="shared" si="166"/>
        <v>2025</v>
      </c>
      <c r="E560" s="56" t="s">
        <v>49</v>
      </c>
      <c r="F560" s="56" t="s">
        <v>127</v>
      </c>
      <c r="G560" s="100">
        <v>0</v>
      </c>
      <c r="H560" s="100">
        <v>1590</v>
      </c>
      <c r="I560" s="57"/>
      <c r="J560" s="99">
        <f t="shared" si="164"/>
        <v>1590</v>
      </c>
      <c r="K560" s="53">
        <v>45767</v>
      </c>
      <c r="L560" s="54">
        <f t="shared" si="167"/>
        <v>20</v>
      </c>
      <c r="M560" s="55" t="str" cm="1">
        <f t="array" ref="M560">INDEX(Processing!$W$6:$W$17,MONTH('ALL ORDERS'!K560))</f>
        <v>April</v>
      </c>
      <c r="N560" s="54">
        <f t="shared" si="163"/>
        <v>2025</v>
      </c>
      <c r="O560" s="58">
        <v>0.5</v>
      </c>
      <c r="P560" s="59" t="s">
        <v>198</v>
      </c>
      <c r="Q560" s="60" t="s">
        <v>94</v>
      </c>
      <c r="R560" s="56" t="s">
        <v>285</v>
      </c>
      <c r="S560" s="61" t="s">
        <v>43</v>
      </c>
      <c r="T560" s="62" t="s">
        <v>876</v>
      </c>
      <c r="U560" s="63" t="s">
        <v>25</v>
      </c>
      <c r="V560" s="63" t="s">
        <v>147</v>
      </c>
      <c r="W560" s="64">
        <v>3375</v>
      </c>
      <c r="X560" s="64">
        <v>5</v>
      </c>
      <c r="Y560" s="47"/>
      <c r="Z560" s="47"/>
    </row>
    <row r="561" spans="1:26" x14ac:dyDescent="0.25">
      <c r="A561" s="53">
        <v>45768</v>
      </c>
      <c r="B561" s="54">
        <f t="shared" si="165"/>
        <v>21</v>
      </c>
      <c r="C561" s="55" t="str" cm="1">
        <f t="array" ref="C561">INDEX(Processing!$C$11:$C$22,MONTH('ALL ORDERS'!A561))</f>
        <v>APR</v>
      </c>
      <c r="D561" s="54">
        <f t="shared" si="166"/>
        <v>2025</v>
      </c>
      <c r="E561" s="56" t="s">
        <v>50</v>
      </c>
      <c r="F561" s="56" t="s">
        <v>125</v>
      </c>
      <c r="G561" s="100">
        <v>0</v>
      </c>
      <c r="H561" s="100">
        <v>3990</v>
      </c>
      <c r="I561" s="57"/>
      <c r="J561" s="99">
        <f t="shared" si="164"/>
        <v>3990</v>
      </c>
      <c r="K561" s="53">
        <v>45768</v>
      </c>
      <c r="L561" s="54">
        <f t="shared" si="167"/>
        <v>21</v>
      </c>
      <c r="M561" s="55" t="str" cm="1">
        <f t="array" ref="M561">INDEX(Processing!$W$6:$W$17,MONTH('ALL ORDERS'!K561))</f>
        <v>April</v>
      </c>
      <c r="N561" s="54">
        <f t="shared" si="163"/>
        <v>2025</v>
      </c>
      <c r="O561" s="58">
        <v>0.66666666666666663</v>
      </c>
      <c r="P561" s="59" t="s">
        <v>158</v>
      </c>
      <c r="Q561" s="60" t="s">
        <v>94</v>
      </c>
      <c r="R561" s="56" t="s">
        <v>240</v>
      </c>
      <c r="S561" s="61" t="s">
        <v>41</v>
      </c>
      <c r="T561" s="62" t="s">
        <v>877</v>
      </c>
      <c r="U561" s="63" t="s">
        <v>23</v>
      </c>
      <c r="V561" s="63" t="s">
        <v>147</v>
      </c>
      <c r="W561" s="64">
        <v>4930</v>
      </c>
      <c r="X561" s="64">
        <v>5</v>
      </c>
      <c r="Y561" s="47"/>
      <c r="Z561" s="47"/>
    </row>
    <row r="562" spans="1:26" x14ac:dyDescent="0.25">
      <c r="A562" s="53">
        <v>45769</v>
      </c>
      <c r="B562" s="54">
        <f t="shared" si="165"/>
        <v>22</v>
      </c>
      <c r="C562" s="55" t="str" cm="1">
        <f t="array" ref="C562">INDEX(Processing!$C$11:$C$22,MONTH('ALL ORDERS'!A562))</f>
        <v>APR</v>
      </c>
      <c r="D562" s="54">
        <f t="shared" si="166"/>
        <v>2025</v>
      </c>
      <c r="E562" s="56" t="s">
        <v>50</v>
      </c>
      <c r="F562" s="56" t="s">
        <v>130</v>
      </c>
      <c r="G562" s="100">
        <v>0</v>
      </c>
      <c r="H562" s="100">
        <v>3990</v>
      </c>
      <c r="I562" s="57"/>
      <c r="J562" s="99">
        <f t="shared" si="164"/>
        <v>3990</v>
      </c>
      <c r="K562" s="53">
        <v>45769</v>
      </c>
      <c r="L562" s="54">
        <f t="shared" si="167"/>
        <v>22</v>
      </c>
      <c r="M562" s="55" t="str" cm="1">
        <f t="array" ref="M562">INDEX(Processing!$W$6:$W$17,MONTH('ALL ORDERS'!K562))</f>
        <v>April</v>
      </c>
      <c r="N562" s="54">
        <f t="shared" si="163"/>
        <v>2025</v>
      </c>
      <c r="O562" s="58">
        <v>0.75</v>
      </c>
      <c r="P562" s="59" t="s">
        <v>345</v>
      </c>
      <c r="Q562" s="60" t="s">
        <v>94</v>
      </c>
      <c r="R562" s="56" t="s">
        <v>307</v>
      </c>
      <c r="S562" s="61" t="s">
        <v>46</v>
      </c>
      <c r="T562" s="62" t="s">
        <v>878</v>
      </c>
      <c r="U562" s="63" t="s">
        <v>27</v>
      </c>
      <c r="V562" s="63" t="s">
        <v>147</v>
      </c>
      <c r="W562" s="64">
        <v>5458</v>
      </c>
      <c r="X562" s="64">
        <v>4</v>
      </c>
      <c r="Y562" s="47"/>
      <c r="Z562" s="47"/>
    </row>
    <row r="563" spans="1:26" x14ac:dyDescent="0.25">
      <c r="A563" s="53">
        <v>45770</v>
      </c>
      <c r="B563" s="54">
        <f t="shared" si="165"/>
        <v>23</v>
      </c>
      <c r="C563" s="55" t="str" cm="1">
        <f t="array" ref="C563">INDEX(Processing!$C$11:$C$22,MONTH('ALL ORDERS'!A563))</f>
        <v>APR</v>
      </c>
      <c r="D563" s="54">
        <f t="shared" si="166"/>
        <v>2025</v>
      </c>
      <c r="E563" s="56" t="s">
        <v>47</v>
      </c>
      <c r="F563" s="56" t="s">
        <v>122</v>
      </c>
      <c r="G563" s="100">
        <v>0</v>
      </c>
      <c r="H563" s="100">
        <v>3990</v>
      </c>
      <c r="I563" s="57"/>
      <c r="J563" s="99">
        <f t="shared" si="164"/>
        <v>3990</v>
      </c>
      <c r="K563" s="53">
        <v>45770</v>
      </c>
      <c r="L563" s="54">
        <f t="shared" si="167"/>
        <v>23</v>
      </c>
      <c r="M563" s="55" t="str" cm="1">
        <f t="array" ref="M563">INDEX(Processing!$W$6:$W$17,MONTH('ALL ORDERS'!K563))</f>
        <v>April</v>
      </c>
      <c r="N563" s="54">
        <f t="shared" si="163"/>
        <v>2025</v>
      </c>
      <c r="O563" s="58">
        <v>0.41666666666666669</v>
      </c>
      <c r="P563" s="59" t="s">
        <v>166</v>
      </c>
      <c r="Q563" s="60" t="s">
        <v>94</v>
      </c>
      <c r="R563" s="56" t="s">
        <v>249</v>
      </c>
      <c r="S563" s="61" t="s">
        <v>46</v>
      </c>
      <c r="T563" s="62" t="s">
        <v>879</v>
      </c>
      <c r="U563" s="63" t="s">
        <v>24</v>
      </c>
      <c r="V563" s="63" t="s">
        <v>147</v>
      </c>
      <c r="W563" s="64">
        <v>4811</v>
      </c>
      <c r="X563" s="64">
        <v>3</v>
      </c>
      <c r="Y563" s="47"/>
      <c r="Z563" s="47"/>
    </row>
    <row r="564" spans="1:26" x14ac:dyDescent="0.25">
      <c r="A564" s="53">
        <v>45771</v>
      </c>
      <c r="B564" s="54">
        <f t="shared" si="165"/>
        <v>24</v>
      </c>
      <c r="C564" s="55" t="str" cm="1">
        <f t="array" ref="C564">INDEX(Processing!$C$11:$C$22,MONTH('ALL ORDERS'!A564))</f>
        <v>APR</v>
      </c>
      <c r="D564" s="54">
        <f t="shared" si="166"/>
        <v>2025</v>
      </c>
      <c r="E564" s="56" t="s">
        <v>50</v>
      </c>
      <c r="F564" s="56" t="s">
        <v>134</v>
      </c>
      <c r="G564" s="100">
        <v>0</v>
      </c>
      <c r="H564" s="100">
        <v>3990</v>
      </c>
      <c r="I564" s="57"/>
      <c r="J564" s="99">
        <f t="shared" si="164"/>
        <v>3990</v>
      </c>
      <c r="K564" s="53">
        <v>45771</v>
      </c>
      <c r="L564" s="54">
        <f t="shared" si="167"/>
        <v>24</v>
      </c>
      <c r="M564" s="55" t="str" cm="1">
        <f t="array" ref="M564">INDEX(Processing!$W$6:$W$17,MONTH('ALL ORDERS'!K564))</f>
        <v>April</v>
      </c>
      <c r="N564" s="54">
        <f t="shared" si="163"/>
        <v>2025</v>
      </c>
      <c r="O564" s="58">
        <v>0.5</v>
      </c>
      <c r="P564" s="59" t="s">
        <v>349</v>
      </c>
      <c r="Q564" s="60" t="s">
        <v>94</v>
      </c>
      <c r="R564" s="56" t="s">
        <v>311</v>
      </c>
      <c r="S564" s="61" t="s">
        <v>43</v>
      </c>
      <c r="T564" s="62" t="s">
        <v>880</v>
      </c>
      <c r="U564" s="63" t="s">
        <v>24</v>
      </c>
      <c r="V564" s="63" t="s">
        <v>147</v>
      </c>
      <c r="W564" s="64">
        <v>4518</v>
      </c>
      <c r="X564" s="64">
        <v>5</v>
      </c>
      <c r="Y564" s="47"/>
      <c r="Z564" s="47"/>
    </row>
    <row r="565" spans="1:26" x14ac:dyDescent="0.25">
      <c r="A565" s="53">
        <v>45772</v>
      </c>
      <c r="B565" s="54">
        <f t="shared" si="165"/>
        <v>25</v>
      </c>
      <c r="C565" s="55" t="str" cm="1">
        <f t="array" ref="C565">INDEX(Processing!$C$11:$C$22,MONTH('ALL ORDERS'!A565))</f>
        <v>APR</v>
      </c>
      <c r="D565" s="54">
        <f t="shared" si="166"/>
        <v>2025</v>
      </c>
      <c r="E565" s="56" t="s">
        <v>49</v>
      </c>
      <c r="F565" s="56" t="s">
        <v>137</v>
      </c>
      <c r="G565" s="100">
        <v>0</v>
      </c>
      <c r="H565" s="100">
        <v>3990</v>
      </c>
      <c r="I565" s="57"/>
      <c r="J565" s="99">
        <f t="shared" si="164"/>
        <v>3990</v>
      </c>
      <c r="K565" s="53">
        <v>45772</v>
      </c>
      <c r="L565" s="54">
        <f t="shared" si="167"/>
        <v>25</v>
      </c>
      <c r="M565" s="55" t="str" cm="1">
        <f t="array" ref="M565">INDEX(Processing!$W$6:$W$17,MONTH('ALL ORDERS'!K565))</f>
        <v>April</v>
      </c>
      <c r="N565" s="54">
        <f t="shared" si="163"/>
        <v>2025</v>
      </c>
      <c r="O565" s="58">
        <v>0.66666666666666663</v>
      </c>
      <c r="P565" s="59" t="s">
        <v>169</v>
      </c>
      <c r="Q565" s="60" t="s">
        <v>94</v>
      </c>
      <c r="R565" s="56" t="s">
        <v>252</v>
      </c>
      <c r="S565" s="61" t="s">
        <v>43</v>
      </c>
      <c r="T565" s="62" t="s">
        <v>881</v>
      </c>
      <c r="U565" s="63" t="s">
        <v>26</v>
      </c>
      <c r="V565" s="63" t="s">
        <v>147</v>
      </c>
      <c r="W565" s="64">
        <v>3974</v>
      </c>
      <c r="X565" s="64">
        <v>4</v>
      </c>
      <c r="Y565" s="47"/>
      <c r="Z565" s="47"/>
    </row>
    <row r="566" spans="1:26" x14ac:dyDescent="0.25">
      <c r="A566" s="53">
        <v>45773</v>
      </c>
      <c r="B566" s="54">
        <f t="shared" si="165"/>
        <v>26</v>
      </c>
      <c r="C566" s="55" t="str" cm="1">
        <f t="array" ref="C566">INDEX(Processing!$C$11:$C$22,MONTH('ALL ORDERS'!A566))</f>
        <v>APR</v>
      </c>
      <c r="D566" s="54">
        <f t="shared" si="166"/>
        <v>2025</v>
      </c>
      <c r="E566" s="56" t="s">
        <v>50</v>
      </c>
      <c r="F566" s="56" t="s">
        <v>131</v>
      </c>
      <c r="G566" s="100">
        <v>0</v>
      </c>
      <c r="H566" s="100">
        <v>3990</v>
      </c>
      <c r="I566" s="57"/>
      <c r="J566" s="99">
        <f t="shared" si="164"/>
        <v>3990</v>
      </c>
      <c r="K566" s="53">
        <v>45773</v>
      </c>
      <c r="L566" s="54">
        <f t="shared" si="167"/>
        <v>26</v>
      </c>
      <c r="M566" s="55" t="str" cm="1">
        <f t="array" ref="M566">INDEX(Processing!$W$6:$W$17,MONTH('ALL ORDERS'!K566))</f>
        <v>April</v>
      </c>
      <c r="N566" s="54">
        <f t="shared" si="163"/>
        <v>2025</v>
      </c>
      <c r="O566" s="58">
        <v>0.75</v>
      </c>
      <c r="P566" s="59" t="s">
        <v>232</v>
      </c>
      <c r="Q566" s="60" t="s">
        <v>94</v>
      </c>
      <c r="R566" s="56" t="s">
        <v>332</v>
      </c>
      <c r="S566" s="61" t="s">
        <v>41</v>
      </c>
      <c r="T566" s="62" t="s">
        <v>882</v>
      </c>
      <c r="U566" s="63" t="s">
        <v>23</v>
      </c>
      <c r="V566" s="63" t="s">
        <v>147</v>
      </c>
      <c r="W566" s="64">
        <v>2447</v>
      </c>
      <c r="X566" s="64">
        <v>4</v>
      </c>
      <c r="Y566" s="47"/>
      <c r="Z566" s="47"/>
    </row>
    <row r="567" spans="1:26" x14ac:dyDescent="0.25">
      <c r="A567" s="53">
        <v>45768</v>
      </c>
      <c r="B567" s="54">
        <f t="shared" si="165"/>
        <v>21</v>
      </c>
      <c r="C567" s="55" t="str" cm="1">
        <f t="array" ref="C567">INDEX(Processing!$C$11:$C$22,MONTH('ALL ORDERS'!A567))</f>
        <v>APR</v>
      </c>
      <c r="D567" s="54">
        <f t="shared" si="166"/>
        <v>2025</v>
      </c>
      <c r="E567" s="56" t="s">
        <v>50</v>
      </c>
      <c r="F567" s="56" t="s">
        <v>133</v>
      </c>
      <c r="G567" s="100">
        <v>0</v>
      </c>
      <c r="H567" s="100">
        <v>1590</v>
      </c>
      <c r="I567" s="57"/>
      <c r="J567" s="99">
        <f t="shared" si="164"/>
        <v>1590</v>
      </c>
      <c r="K567" s="53">
        <v>45768</v>
      </c>
      <c r="L567" s="54">
        <f t="shared" si="167"/>
        <v>21</v>
      </c>
      <c r="M567" s="55" t="str" cm="1">
        <f t="array" ref="M567">INDEX(Processing!$W$6:$W$17,MONTH('ALL ORDERS'!K567))</f>
        <v>April</v>
      </c>
      <c r="N567" s="54">
        <f t="shared" si="163"/>
        <v>2025</v>
      </c>
      <c r="O567" s="58">
        <v>0.375</v>
      </c>
      <c r="P567" s="59" t="s">
        <v>233</v>
      </c>
      <c r="Q567" s="60" t="s">
        <v>94</v>
      </c>
      <c r="R567" s="56" t="s">
        <v>334</v>
      </c>
      <c r="S567" s="61" t="s">
        <v>46</v>
      </c>
      <c r="T567" s="62" t="s">
        <v>883</v>
      </c>
      <c r="U567" s="63" t="s">
        <v>25</v>
      </c>
      <c r="V567" s="63" t="s">
        <v>147</v>
      </c>
      <c r="W567" s="64">
        <v>3574</v>
      </c>
      <c r="X567" s="64">
        <v>2</v>
      </c>
      <c r="Y567" s="47"/>
      <c r="Z567" s="47"/>
    </row>
    <row r="568" spans="1:26" x14ac:dyDescent="0.25">
      <c r="A568" s="53">
        <v>45775</v>
      </c>
      <c r="B568" s="54">
        <f t="shared" si="165"/>
        <v>28</v>
      </c>
      <c r="C568" s="55" t="str" cm="1">
        <f t="array" ref="C568">INDEX(Processing!$C$11:$C$22,MONTH('ALL ORDERS'!A568))</f>
        <v>APR</v>
      </c>
      <c r="D568" s="54">
        <f t="shared" si="166"/>
        <v>2025</v>
      </c>
      <c r="E568" s="56" t="s">
        <v>47</v>
      </c>
      <c r="F568" s="56" t="s">
        <v>133</v>
      </c>
      <c r="G568" s="100">
        <v>0</v>
      </c>
      <c r="H568" s="100">
        <v>1590</v>
      </c>
      <c r="I568" s="57"/>
      <c r="J568" s="99">
        <f t="shared" si="164"/>
        <v>1590</v>
      </c>
      <c r="K568" s="53">
        <v>45775</v>
      </c>
      <c r="L568" s="54">
        <f t="shared" si="167"/>
        <v>28</v>
      </c>
      <c r="M568" s="55" t="str" cm="1">
        <f t="array" ref="M568">INDEX(Processing!$W$6:$W$17,MONTH('ALL ORDERS'!K568))</f>
        <v>April</v>
      </c>
      <c r="N568" s="54">
        <f t="shared" si="163"/>
        <v>2025</v>
      </c>
      <c r="O568" s="58">
        <v>0.45833333333333331</v>
      </c>
      <c r="P568" s="59" t="s">
        <v>209</v>
      </c>
      <c r="Q568" s="60" t="s">
        <v>94</v>
      </c>
      <c r="R568" s="56" t="s">
        <v>297</v>
      </c>
      <c r="S568" s="61" t="s">
        <v>43</v>
      </c>
      <c r="T568" s="62" t="s">
        <v>884</v>
      </c>
      <c r="U568" s="63" t="s">
        <v>23</v>
      </c>
      <c r="V568" s="63" t="s">
        <v>147</v>
      </c>
      <c r="W568" s="64">
        <v>1532</v>
      </c>
      <c r="X568" s="64">
        <v>5</v>
      </c>
      <c r="Y568" s="47"/>
      <c r="Z568" s="47"/>
    </row>
    <row r="569" spans="1:26" x14ac:dyDescent="0.25">
      <c r="A569" s="53">
        <v>45776</v>
      </c>
      <c r="B569" s="54">
        <f t="shared" si="165"/>
        <v>29</v>
      </c>
      <c r="C569" s="55" t="str" cm="1">
        <f t="array" ref="C569">INDEX(Processing!$C$11:$C$22,MONTH('ALL ORDERS'!A569))</f>
        <v>APR</v>
      </c>
      <c r="D569" s="54">
        <f t="shared" si="166"/>
        <v>2025</v>
      </c>
      <c r="E569" s="56" t="s">
        <v>50</v>
      </c>
      <c r="F569" s="56" t="s">
        <v>134</v>
      </c>
      <c r="G569" s="100">
        <v>0</v>
      </c>
      <c r="H569" s="100">
        <v>1590</v>
      </c>
      <c r="I569" s="57"/>
      <c r="J569" s="99">
        <f t="shared" si="164"/>
        <v>1590</v>
      </c>
      <c r="K569" s="53">
        <v>45776</v>
      </c>
      <c r="L569" s="54">
        <f t="shared" si="167"/>
        <v>29</v>
      </c>
      <c r="M569" s="55" t="str" cm="1">
        <f t="array" ref="M569">INDEX(Processing!$W$6:$W$17,MONTH('ALL ORDERS'!K569))</f>
        <v>April</v>
      </c>
      <c r="N569" s="54">
        <f t="shared" si="163"/>
        <v>2025</v>
      </c>
      <c r="O569" s="58">
        <v>0.625</v>
      </c>
      <c r="P569" s="59" t="s">
        <v>204</v>
      </c>
      <c r="Q569" s="60" t="s">
        <v>94</v>
      </c>
      <c r="R569" s="56" t="s">
        <v>291</v>
      </c>
      <c r="S569" s="61" t="s">
        <v>43</v>
      </c>
      <c r="T569" s="62" t="s">
        <v>885</v>
      </c>
      <c r="U569" s="63" t="s">
        <v>26</v>
      </c>
      <c r="V569" s="63" t="s">
        <v>147</v>
      </c>
      <c r="W569" s="64">
        <v>4329</v>
      </c>
      <c r="X569" s="64">
        <v>5</v>
      </c>
      <c r="Y569" s="47"/>
      <c r="Z569" s="47"/>
    </row>
    <row r="570" spans="1:26" x14ac:dyDescent="0.25">
      <c r="A570" s="53">
        <v>45777</v>
      </c>
      <c r="B570" s="54">
        <f t="shared" si="165"/>
        <v>30</v>
      </c>
      <c r="C570" s="55" t="str" cm="1">
        <f t="array" ref="C570">INDEX(Processing!$C$11:$C$22,MONTH('ALL ORDERS'!A570))</f>
        <v>APR</v>
      </c>
      <c r="D570" s="54">
        <f t="shared" si="166"/>
        <v>2025</v>
      </c>
      <c r="E570" s="56" t="s">
        <v>49</v>
      </c>
      <c r="F570" s="56" t="s">
        <v>134</v>
      </c>
      <c r="G570" s="100">
        <v>1510</v>
      </c>
      <c r="H570" s="100">
        <v>0</v>
      </c>
      <c r="I570" s="57"/>
      <c r="J570" s="99">
        <f t="shared" si="164"/>
        <v>1510</v>
      </c>
      <c r="K570" s="53">
        <v>45777</v>
      </c>
      <c r="L570" s="54">
        <f t="shared" si="167"/>
        <v>30</v>
      </c>
      <c r="M570" s="55" t="str" cm="1">
        <f t="array" ref="M570">INDEX(Processing!$W$6:$W$17,MONTH('ALL ORDERS'!K570))</f>
        <v>April</v>
      </c>
      <c r="N570" s="54">
        <f t="shared" si="163"/>
        <v>2025</v>
      </c>
      <c r="O570" s="58">
        <v>0.45833333333333331</v>
      </c>
      <c r="P570" s="59" t="s">
        <v>354</v>
      </c>
      <c r="Q570" s="60" t="s">
        <v>94</v>
      </c>
      <c r="R570" s="56" t="s">
        <v>323</v>
      </c>
      <c r="S570" s="61" t="s">
        <v>45</v>
      </c>
      <c r="T570" s="62" t="s">
        <v>886</v>
      </c>
      <c r="U570" s="63" t="s">
        <v>24</v>
      </c>
      <c r="V570" s="63" t="s">
        <v>147</v>
      </c>
      <c r="W570" s="64">
        <v>2320</v>
      </c>
      <c r="X570" s="64">
        <v>5</v>
      </c>
      <c r="Y570" s="47"/>
      <c r="Z570" s="47"/>
    </row>
    <row r="571" spans="1:26" x14ac:dyDescent="0.25">
      <c r="A571" s="53">
        <v>45777</v>
      </c>
      <c r="B571" s="54">
        <f t="shared" si="165"/>
        <v>30</v>
      </c>
      <c r="C571" s="55" t="str" cm="1">
        <f t="array" ref="C571">INDEX(Processing!$C$11:$C$22,MONTH('ALL ORDERS'!A571))</f>
        <v>APR</v>
      </c>
      <c r="D571" s="54">
        <f t="shared" si="166"/>
        <v>2025</v>
      </c>
      <c r="E571" s="56" t="s">
        <v>50</v>
      </c>
      <c r="F571" s="56" t="s">
        <v>19</v>
      </c>
      <c r="G571" s="100">
        <v>3690</v>
      </c>
      <c r="H571" s="100">
        <v>0</v>
      </c>
      <c r="I571" s="57"/>
      <c r="J571" s="99">
        <f t="shared" si="164"/>
        <v>3690</v>
      </c>
      <c r="K571" s="53">
        <v>45777</v>
      </c>
      <c r="L571" s="54">
        <f t="shared" si="167"/>
        <v>30</v>
      </c>
      <c r="M571" s="55" t="str" cm="1">
        <f t="array" ref="M571">INDEX(Processing!$W$6:$W$17,MONTH('ALL ORDERS'!K571))</f>
        <v>April</v>
      </c>
      <c r="N571" s="54">
        <f t="shared" si="163"/>
        <v>2025</v>
      </c>
      <c r="O571" s="58">
        <v>0.375</v>
      </c>
      <c r="P571" s="59" t="s">
        <v>179</v>
      </c>
      <c r="Q571" s="60" t="s">
        <v>94</v>
      </c>
      <c r="R571" s="56" t="s">
        <v>264</v>
      </c>
      <c r="S571" s="61" t="s">
        <v>43</v>
      </c>
      <c r="T571" s="70">
        <v>16900888990</v>
      </c>
      <c r="U571" s="63" t="s">
        <v>24</v>
      </c>
      <c r="V571" s="63" t="s">
        <v>147</v>
      </c>
      <c r="W571" s="64">
        <v>482</v>
      </c>
      <c r="X571" s="64">
        <v>5</v>
      </c>
      <c r="Y571" s="47"/>
      <c r="Z571" s="47"/>
    </row>
    <row r="572" spans="1:26" x14ac:dyDescent="0.25">
      <c r="A572" s="53">
        <v>45779</v>
      </c>
      <c r="B572" s="54">
        <f t="shared" si="165"/>
        <v>2</v>
      </c>
      <c r="C572" s="55" t="str" cm="1">
        <f t="array" ref="C572">INDEX(Processing!$C$11:$C$22,MONTH('ALL ORDERS'!A572))</f>
        <v>MAY</v>
      </c>
      <c r="D572" s="54">
        <f t="shared" si="166"/>
        <v>2025</v>
      </c>
      <c r="E572" s="56" t="s">
        <v>50</v>
      </c>
      <c r="F572" s="56" t="s">
        <v>19</v>
      </c>
      <c r="G572" s="100">
        <v>0</v>
      </c>
      <c r="H572" s="100">
        <v>1090</v>
      </c>
      <c r="I572" s="57"/>
      <c r="J572" s="99">
        <f t="shared" si="164"/>
        <v>1090</v>
      </c>
      <c r="K572" s="53">
        <v>45779</v>
      </c>
      <c r="L572" s="54">
        <f t="shared" si="167"/>
        <v>2</v>
      </c>
      <c r="M572" s="55" t="str" cm="1">
        <f t="array" ref="M572">INDEX(Processing!$W$6:$W$17,MONTH('ALL ORDERS'!K572))</f>
        <v>May</v>
      </c>
      <c r="N572" s="54">
        <f t="shared" si="163"/>
        <v>2025</v>
      </c>
      <c r="O572" s="58">
        <v>0.45833333333333331</v>
      </c>
      <c r="P572" s="59" t="s">
        <v>354</v>
      </c>
      <c r="Q572" s="60" t="s">
        <v>94</v>
      </c>
      <c r="R572" s="56" t="s">
        <v>323</v>
      </c>
      <c r="S572" s="61" t="s">
        <v>45</v>
      </c>
      <c r="T572" s="62" t="s">
        <v>887</v>
      </c>
      <c r="U572" s="63" t="s">
        <v>26</v>
      </c>
      <c r="V572" s="63" t="s">
        <v>147</v>
      </c>
      <c r="W572" s="64">
        <v>4602</v>
      </c>
      <c r="X572" s="64">
        <v>5</v>
      </c>
      <c r="Y572" s="47"/>
      <c r="Z572" s="47"/>
    </row>
    <row r="573" spans="1:26" x14ac:dyDescent="0.25">
      <c r="A573" s="53">
        <v>45779</v>
      </c>
      <c r="B573" s="54">
        <f t="shared" si="165"/>
        <v>2</v>
      </c>
      <c r="C573" s="55" t="str" cm="1">
        <f t="array" ref="C573">INDEX(Processing!$C$11:$C$22,MONTH('ALL ORDERS'!A573))</f>
        <v>MAY</v>
      </c>
      <c r="D573" s="54">
        <f t="shared" si="166"/>
        <v>2025</v>
      </c>
      <c r="E573" s="56" t="s">
        <v>47</v>
      </c>
      <c r="F573" s="56" t="s">
        <v>128</v>
      </c>
      <c r="G573" s="100">
        <v>0</v>
      </c>
      <c r="H573" s="100">
        <v>3990</v>
      </c>
      <c r="I573" s="57"/>
      <c r="J573" s="99">
        <f t="shared" si="164"/>
        <v>3990</v>
      </c>
      <c r="K573" s="53">
        <v>45779</v>
      </c>
      <c r="L573" s="54">
        <f t="shared" si="167"/>
        <v>2</v>
      </c>
      <c r="M573" s="55" t="str" cm="1">
        <f t="array" ref="M573">INDEX(Processing!$W$6:$W$17,MONTH('ALL ORDERS'!K573))</f>
        <v>May</v>
      </c>
      <c r="N573" s="54">
        <f t="shared" si="163"/>
        <v>2025</v>
      </c>
      <c r="O573" s="58">
        <v>0.625</v>
      </c>
      <c r="P573" s="59" t="s">
        <v>350</v>
      </c>
      <c r="Q573" s="60" t="s">
        <v>91</v>
      </c>
      <c r="R573" s="56" t="s">
        <v>312</v>
      </c>
      <c r="S573" s="61" t="s">
        <v>46</v>
      </c>
      <c r="T573" s="62" t="s">
        <v>888</v>
      </c>
      <c r="U573" s="63" t="s">
        <v>25</v>
      </c>
      <c r="V573" s="63" t="s">
        <v>147</v>
      </c>
      <c r="W573" s="64">
        <v>2661</v>
      </c>
      <c r="X573" s="64">
        <v>5</v>
      </c>
      <c r="Y573" s="47"/>
      <c r="Z573" s="47"/>
    </row>
    <row r="574" spans="1:26" x14ac:dyDescent="0.25">
      <c r="A574" s="53">
        <v>45781</v>
      </c>
      <c r="B574" s="54">
        <f t="shared" si="165"/>
        <v>4</v>
      </c>
      <c r="C574" s="55" t="str" cm="1">
        <f t="array" ref="C574">INDEX(Processing!$C$11:$C$22,MONTH('ALL ORDERS'!A574))</f>
        <v>MAY</v>
      </c>
      <c r="D574" s="54">
        <f t="shared" si="166"/>
        <v>2025</v>
      </c>
      <c r="E574" s="56" t="s">
        <v>50</v>
      </c>
      <c r="F574" s="56" t="s">
        <v>22</v>
      </c>
      <c r="G574" s="100">
        <v>0</v>
      </c>
      <c r="H574" s="100">
        <v>3990</v>
      </c>
      <c r="I574" s="57">
        <v>0.15</v>
      </c>
      <c r="J574" s="99">
        <f t="shared" si="164"/>
        <v>3990</v>
      </c>
      <c r="K574" s="53">
        <v>45781</v>
      </c>
      <c r="L574" s="54">
        <f t="shared" si="167"/>
        <v>4</v>
      </c>
      <c r="M574" s="55" t="str" cm="1">
        <f t="array" ref="M574">INDEX(Processing!$W$6:$W$17,MONTH('ALL ORDERS'!K574))</f>
        <v>May</v>
      </c>
      <c r="N574" s="54">
        <f t="shared" si="163"/>
        <v>2025</v>
      </c>
      <c r="O574" s="58">
        <v>0.45833333333333331</v>
      </c>
      <c r="P574" s="59" t="s">
        <v>209</v>
      </c>
      <c r="Q574" s="60" t="s">
        <v>94</v>
      </c>
      <c r="R574" s="56" t="s">
        <v>297</v>
      </c>
      <c r="S574" s="61" t="s">
        <v>43</v>
      </c>
      <c r="T574" s="62" t="s">
        <v>889</v>
      </c>
      <c r="U574" s="63" t="s">
        <v>23</v>
      </c>
      <c r="V574" s="63" t="s">
        <v>147</v>
      </c>
      <c r="W574" s="64">
        <v>1791</v>
      </c>
      <c r="X574" s="64">
        <v>5</v>
      </c>
      <c r="Y574" s="47"/>
      <c r="Z574" s="47"/>
    </row>
    <row r="575" spans="1:26" x14ac:dyDescent="0.25">
      <c r="A575" s="53">
        <v>45782</v>
      </c>
      <c r="B575" s="54">
        <f t="shared" si="165"/>
        <v>5</v>
      </c>
      <c r="C575" s="55" t="str" cm="1">
        <f t="array" ref="C575">INDEX(Processing!$C$11:$C$22,MONTH('ALL ORDERS'!A575))</f>
        <v>MAY</v>
      </c>
      <c r="D575" s="54">
        <f t="shared" si="166"/>
        <v>2025</v>
      </c>
      <c r="E575" s="56" t="s">
        <v>49</v>
      </c>
      <c r="F575" s="56" t="s">
        <v>127</v>
      </c>
      <c r="G575" s="100">
        <v>0</v>
      </c>
      <c r="H575" s="100">
        <v>3990</v>
      </c>
      <c r="I575" s="57"/>
      <c r="J575" s="99">
        <f t="shared" si="164"/>
        <v>3990</v>
      </c>
      <c r="K575" s="53">
        <v>45782</v>
      </c>
      <c r="L575" s="54">
        <f t="shared" si="167"/>
        <v>5</v>
      </c>
      <c r="M575" s="55" t="str" cm="1">
        <f t="array" ref="M575">INDEX(Processing!$W$6:$W$17,MONTH('ALL ORDERS'!K575))</f>
        <v>May</v>
      </c>
      <c r="N575" s="54">
        <f t="shared" si="163"/>
        <v>2025</v>
      </c>
      <c r="O575" s="58">
        <v>0.375</v>
      </c>
      <c r="P575" s="59" t="s">
        <v>205</v>
      </c>
      <c r="Q575" s="60" t="s">
        <v>94</v>
      </c>
      <c r="R575" s="56" t="s">
        <v>292</v>
      </c>
      <c r="S575" s="61" t="s">
        <v>43</v>
      </c>
      <c r="T575" s="62" t="s">
        <v>890</v>
      </c>
      <c r="U575" s="63" t="s">
        <v>27</v>
      </c>
      <c r="V575" s="63" t="s">
        <v>147</v>
      </c>
      <c r="W575" s="64">
        <v>2705</v>
      </c>
      <c r="X575" s="64">
        <v>5</v>
      </c>
      <c r="Y575" s="47"/>
      <c r="Z575" s="47"/>
    </row>
    <row r="576" spans="1:26" x14ac:dyDescent="0.25">
      <c r="A576" s="53">
        <v>45783</v>
      </c>
      <c r="B576" s="54">
        <f t="shared" ref="B576" si="171">DAY(A576)</f>
        <v>6</v>
      </c>
      <c r="C576" s="55" t="str" cm="1">
        <f t="array" ref="C576">INDEX(Processing!$C$11:$C$22,MONTH('ALL ORDERS'!A576))</f>
        <v>MAY</v>
      </c>
      <c r="D576" s="54">
        <f t="shared" ref="D576" si="172">YEAR(A576)</f>
        <v>2025</v>
      </c>
      <c r="E576" s="56" t="s">
        <v>49</v>
      </c>
      <c r="F576" s="56" t="s">
        <v>127</v>
      </c>
      <c r="G576" s="100">
        <v>0</v>
      </c>
      <c r="H576" s="100">
        <v>17340</v>
      </c>
      <c r="I576" s="57"/>
      <c r="J576" s="99">
        <f t="shared" si="164"/>
        <v>17340</v>
      </c>
      <c r="K576" s="53">
        <v>45783</v>
      </c>
      <c r="L576" s="54">
        <f t="shared" si="167"/>
        <v>6</v>
      </c>
      <c r="M576" s="55" t="str" cm="1">
        <f t="array" ref="M576">INDEX(Processing!$W$6:$W$17,MONTH('ALL ORDERS'!K576))</f>
        <v>May</v>
      </c>
      <c r="N576" s="54">
        <f t="shared" ref="N576" si="173">YEAR(K576)</f>
        <v>2025</v>
      </c>
      <c r="O576" s="58">
        <v>0.41666666666666702</v>
      </c>
      <c r="P576" s="59" t="s">
        <v>342</v>
      </c>
      <c r="Q576" s="60" t="s">
        <v>94</v>
      </c>
      <c r="R576" s="56" t="s">
        <v>1102</v>
      </c>
      <c r="S576" s="61" t="s">
        <v>43</v>
      </c>
      <c r="T576" s="62" t="s">
        <v>901</v>
      </c>
      <c r="U576" s="63" t="s">
        <v>27</v>
      </c>
      <c r="V576" s="63" t="s">
        <v>147</v>
      </c>
      <c r="W576" s="64">
        <v>2770</v>
      </c>
      <c r="X576" s="64">
        <v>5</v>
      </c>
      <c r="Y576" s="47"/>
      <c r="Z576" s="47"/>
    </row>
    <row r="577" spans="1:26" x14ac:dyDescent="0.25">
      <c r="A577" s="53">
        <v>45783</v>
      </c>
      <c r="B577" s="54">
        <f t="shared" si="165"/>
        <v>6</v>
      </c>
      <c r="C577" s="55" t="str" cm="1">
        <f t="array" ref="C577">INDEX(Processing!$C$11:$C$22,MONTH('ALL ORDERS'!A577))</f>
        <v>MAY</v>
      </c>
      <c r="D577" s="54">
        <f t="shared" si="166"/>
        <v>2025</v>
      </c>
      <c r="E577" s="56" t="s">
        <v>51</v>
      </c>
      <c r="F577" s="56" t="s">
        <v>125</v>
      </c>
      <c r="G577" s="100">
        <v>10000</v>
      </c>
      <c r="H577" s="100">
        <v>2150</v>
      </c>
      <c r="I577" s="57">
        <v>0.15</v>
      </c>
      <c r="J577" s="99">
        <f t="shared" si="164"/>
        <v>12150</v>
      </c>
      <c r="K577" s="53">
        <v>45783</v>
      </c>
      <c r="L577" s="54">
        <f t="shared" si="167"/>
        <v>6</v>
      </c>
      <c r="M577" s="55" t="str" cm="1">
        <f t="array" ref="M577">INDEX(Processing!$W$6:$W$17,MONTH('ALL ORDERS'!K577))</f>
        <v>May</v>
      </c>
      <c r="N577" s="54">
        <f t="shared" ref="N577:N642" si="174">YEAR(K577)</f>
        <v>2025</v>
      </c>
      <c r="O577" s="58">
        <v>0.45833333333333331</v>
      </c>
      <c r="P577" s="59" t="s">
        <v>174</v>
      </c>
      <c r="Q577" s="60" t="s">
        <v>94</v>
      </c>
      <c r="R577" s="56" t="s">
        <v>258</v>
      </c>
      <c r="S577" s="61" t="s">
        <v>41</v>
      </c>
      <c r="T577" s="62" t="s">
        <v>891</v>
      </c>
      <c r="U577" s="63" t="s">
        <v>25</v>
      </c>
      <c r="V577" s="63" t="s">
        <v>147</v>
      </c>
      <c r="W577" s="64">
        <v>3959</v>
      </c>
      <c r="X577" s="64">
        <v>5</v>
      </c>
      <c r="Y577" s="47"/>
      <c r="Z577" s="47"/>
    </row>
    <row r="578" spans="1:26" x14ac:dyDescent="0.25">
      <c r="A578" s="53">
        <v>45778</v>
      </c>
      <c r="B578" s="54">
        <f t="shared" si="165"/>
        <v>1</v>
      </c>
      <c r="C578" s="55" t="str" cm="1">
        <f t="array" ref="C578">INDEX(Processing!$C$11:$C$22,MONTH('ALL ORDERS'!A578))</f>
        <v>MAY</v>
      </c>
      <c r="D578" s="54">
        <f t="shared" si="166"/>
        <v>2025</v>
      </c>
      <c r="E578" s="56" t="s">
        <v>48</v>
      </c>
      <c r="F578" s="56" t="s">
        <v>130</v>
      </c>
      <c r="G578" s="100">
        <v>2230</v>
      </c>
      <c r="H578" s="100">
        <v>0</v>
      </c>
      <c r="I578" s="57"/>
      <c r="J578" s="99">
        <f t="shared" si="164"/>
        <v>2230</v>
      </c>
      <c r="K578" s="53">
        <v>45778</v>
      </c>
      <c r="L578" s="54">
        <f t="shared" si="167"/>
        <v>1</v>
      </c>
      <c r="M578" s="55" t="str" cm="1">
        <f t="array" ref="M578">INDEX(Processing!$W$6:$W$17,MONTH('ALL ORDERS'!K578))</f>
        <v>May</v>
      </c>
      <c r="N578" s="54">
        <f t="shared" si="174"/>
        <v>2025</v>
      </c>
      <c r="O578" s="58">
        <v>0.625</v>
      </c>
      <c r="P578" s="59" t="s">
        <v>201</v>
      </c>
      <c r="Q578" s="60" t="s">
        <v>94</v>
      </c>
      <c r="R578" s="56" t="s">
        <v>288</v>
      </c>
      <c r="S578" s="61" t="s">
        <v>46</v>
      </c>
      <c r="T578" s="62" t="s">
        <v>892</v>
      </c>
      <c r="U578" s="63" t="s">
        <v>25</v>
      </c>
      <c r="V578" s="63" t="s">
        <v>147</v>
      </c>
      <c r="W578" s="64">
        <v>2682</v>
      </c>
      <c r="X578" s="64">
        <v>5</v>
      </c>
      <c r="Y578" s="47"/>
      <c r="Z578" s="47"/>
    </row>
    <row r="579" spans="1:26" x14ac:dyDescent="0.25">
      <c r="A579" s="53">
        <v>45785</v>
      </c>
      <c r="B579" s="54">
        <f t="shared" si="165"/>
        <v>8</v>
      </c>
      <c r="C579" s="55" t="str" cm="1">
        <f t="array" ref="C579">INDEX(Processing!$C$11:$C$22,MONTH('ALL ORDERS'!A579))</f>
        <v>MAY</v>
      </c>
      <c r="D579" s="54">
        <f t="shared" si="166"/>
        <v>2025</v>
      </c>
      <c r="E579" s="56" t="s">
        <v>47</v>
      </c>
      <c r="F579" s="56" t="s">
        <v>134</v>
      </c>
      <c r="G579" s="100">
        <v>3080</v>
      </c>
      <c r="H579" s="100">
        <v>0</v>
      </c>
      <c r="I579" s="57"/>
      <c r="J579" s="99">
        <f t="shared" si="164"/>
        <v>3080</v>
      </c>
      <c r="K579" s="53">
        <v>45785</v>
      </c>
      <c r="L579" s="54">
        <f t="shared" si="167"/>
        <v>8</v>
      </c>
      <c r="M579" s="55" t="str" cm="1">
        <f t="array" ref="M579">INDEX(Processing!$W$6:$W$17,MONTH('ALL ORDERS'!K579))</f>
        <v>May</v>
      </c>
      <c r="N579" s="54">
        <f t="shared" si="174"/>
        <v>2025</v>
      </c>
      <c r="O579" s="58">
        <v>0.45833333333333331</v>
      </c>
      <c r="P579" s="59" t="s">
        <v>167</v>
      </c>
      <c r="Q579" s="60" t="s">
        <v>91</v>
      </c>
      <c r="R579" s="56" t="s">
        <v>250</v>
      </c>
      <c r="S579" s="61" t="s">
        <v>43</v>
      </c>
      <c r="T579" s="62" t="s">
        <v>893</v>
      </c>
      <c r="U579" s="63" t="s">
        <v>25</v>
      </c>
      <c r="V579" s="63" t="s">
        <v>147</v>
      </c>
      <c r="W579" s="64">
        <v>4204</v>
      </c>
      <c r="X579" s="64">
        <v>5</v>
      </c>
      <c r="Y579" s="47"/>
      <c r="Z579" s="47"/>
    </row>
    <row r="580" spans="1:26" x14ac:dyDescent="0.25">
      <c r="A580" s="53">
        <v>45786</v>
      </c>
      <c r="B580" s="54">
        <f t="shared" si="165"/>
        <v>9</v>
      </c>
      <c r="C580" s="55" t="str" cm="1">
        <f t="array" ref="C580">INDEX(Processing!$C$11:$C$22,MONTH('ALL ORDERS'!A580))</f>
        <v>MAY</v>
      </c>
      <c r="D580" s="54">
        <f t="shared" si="166"/>
        <v>2025</v>
      </c>
      <c r="E580" s="56" t="s">
        <v>49</v>
      </c>
      <c r="F580" s="56" t="s">
        <v>137</v>
      </c>
      <c r="G580" s="100">
        <v>2180</v>
      </c>
      <c r="H580" s="100">
        <v>0</v>
      </c>
      <c r="I580" s="57"/>
      <c r="J580" s="99">
        <f t="shared" si="164"/>
        <v>2180</v>
      </c>
      <c r="K580" s="53">
        <v>45786</v>
      </c>
      <c r="L580" s="54">
        <f t="shared" si="167"/>
        <v>9</v>
      </c>
      <c r="M580" s="55" t="str" cm="1">
        <f t="array" ref="M580">INDEX(Processing!$W$6:$W$17,MONTH('ALL ORDERS'!K580))</f>
        <v>May</v>
      </c>
      <c r="N580" s="54">
        <f t="shared" si="174"/>
        <v>2025</v>
      </c>
      <c r="O580" s="58">
        <v>0.375</v>
      </c>
      <c r="P580" s="59" t="s">
        <v>341</v>
      </c>
      <c r="Q580" s="60" t="s">
        <v>94</v>
      </c>
      <c r="R580" s="56" t="s">
        <v>283</v>
      </c>
      <c r="S580" s="61" t="s">
        <v>43</v>
      </c>
      <c r="T580" s="62" t="s">
        <v>894</v>
      </c>
      <c r="U580" s="63" t="s">
        <v>23</v>
      </c>
      <c r="V580" s="63" t="s">
        <v>147</v>
      </c>
      <c r="W580" s="64">
        <v>903</v>
      </c>
      <c r="X580" s="64">
        <v>5</v>
      </c>
      <c r="Y580" s="47"/>
      <c r="Z580" s="47"/>
    </row>
    <row r="581" spans="1:26" x14ac:dyDescent="0.25">
      <c r="A581" s="53">
        <v>45787</v>
      </c>
      <c r="B581" s="54">
        <f t="shared" si="165"/>
        <v>10</v>
      </c>
      <c r="C581" s="55" t="str" cm="1">
        <f t="array" ref="C581">INDEX(Processing!$C$11:$C$22,MONTH('ALL ORDERS'!A581))</f>
        <v>MAY</v>
      </c>
      <c r="D581" s="54">
        <f t="shared" si="166"/>
        <v>2025</v>
      </c>
      <c r="E581" s="56" t="s">
        <v>49</v>
      </c>
      <c r="F581" s="56" t="s">
        <v>131</v>
      </c>
      <c r="G581" s="100">
        <v>0</v>
      </c>
      <c r="H581" s="100">
        <v>920</v>
      </c>
      <c r="I581" s="57">
        <v>0.15</v>
      </c>
      <c r="J581" s="99">
        <f t="shared" si="164"/>
        <v>920</v>
      </c>
      <c r="K581" s="53">
        <v>45787</v>
      </c>
      <c r="L581" s="54">
        <f t="shared" si="167"/>
        <v>10</v>
      </c>
      <c r="M581" s="55" t="str" cm="1">
        <f t="array" ref="M581">INDEX(Processing!$W$6:$W$17,MONTH('ALL ORDERS'!K581))</f>
        <v>May</v>
      </c>
      <c r="N581" s="54">
        <f t="shared" si="174"/>
        <v>2025</v>
      </c>
      <c r="O581" s="58">
        <v>0.45833333333333331</v>
      </c>
      <c r="P581" s="59" t="s">
        <v>220</v>
      </c>
      <c r="Q581" s="60" t="s">
        <v>90</v>
      </c>
      <c r="R581" s="56" t="s">
        <v>319</v>
      </c>
      <c r="S581" s="61" t="s">
        <v>45</v>
      </c>
      <c r="T581" s="62" t="s">
        <v>895</v>
      </c>
      <c r="U581" s="63" t="s">
        <v>27</v>
      </c>
      <c r="V581" s="63" t="s">
        <v>147</v>
      </c>
      <c r="W581" s="64">
        <v>1492</v>
      </c>
      <c r="X581" s="64">
        <v>5</v>
      </c>
      <c r="Y581" s="47"/>
      <c r="Z581" s="47"/>
    </row>
    <row r="582" spans="1:26" x14ac:dyDescent="0.25">
      <c r="A582" s="53">
        <v>45788</v>
      </c>
      <c r="B582" s="54">
        <f t="shared" si="165"/>
        <v>11</v>
      </c>
      <c r="C582" s="55" t="str" cm="1">
        <f t="array" ref="C582">INDEX(Processing!$C$11:$C$22,MONTH('ALL ORDERS'!A582))</f>
        <v>MAY</v>
      </c>
      <c r="D582" s="54">
        <f t="shared" si="166"/>
        <v>2025</v>
      </c>
      <c r="E582" s="56" t="s">
        <v>50</v>
      </c>
      <c r="F582" s="56" t="s">
        <v>133</v>
      </c>
      <c r="G582" s="100">
        <v>0</v>
      </c>
      <c r="H582" s="100">
        <v>3200</v>
      </c>
      <c r="I582" s="57"/>
      <c r="J582" s="99">
        <f t="shared" si="164"/>
        <v>3200</v>
      </c>
      <c r="K582" s="53">
        <v>45788</v>
      </c>
      <c r="L582" s="54">
        <f t="shared" si="167"/>
        <v>11</v>
      </c>
      <c r="M582" s="55" t="str" cm="1">
        <f t="array" ref="M582">INDEX(Processing!$W$6:$W$17,MONTH('ALL ORDERS'!K582))</f>
        <v>May</v>
      </c>
      <c r="N582" s="54">
        <f t="shared" si="174"/>
        <v>2025</v>
      </c>
      <c r="O582" s="58">
        <v>0.625</v>
      </c>
      <c r="P582" s="59" t="s">
        <v>190</v>
      </c>
      <c r="Q582" s="60" t="s">
        <v>94</v>
      </c>
      <c r="R582" s="56" t="s">
        <v>276</v>
      </c>
      <c r="S582" s="61" t="s">
        <v>41</v>
      </c>
      <c r="T582" s="62" t="s">
        <v>896</v>
      </c>
      <c r="U582" s="63" t="s">
        <v>24</v>
      </c>
      <c r="V582" s="63" t="s">
        <v>147</v>
      </c>
      <c r="W582" s="64">
        <v>2652</v>
      </c>
      <c r="X582" s="64">
        <v>5</v>
      </c>
      <c r="Y582" s="47"/>
      <c r="Z582" s="47"/>
    </row>
    <row r="583" spans="1:26" x14ac:dyDescent="0.25">
      <c r="A583" s="53">
        <v>45789</v>
      </c>
      <c r="B583" s="54">
        <f t="shared" si="165"/>
        <v>12</v>
      </c>
      <c r="C583" s="55" t="str" cm="1">
        <f t="array" ref="C583">INDEX(Processing!$C$11:$C$22,MONTH('ALL ORDERS'!A583))</f>
        <v>MAY</v>
      </c>
      <c r="D583" s="54">
        <f t="shared" si="166"/>
        <v>2025</v>
      </c>
      <c r="E583" s="56" t="s">
        <v>50</v>
      </c>
      <c r="F583" s="56" t="s">
        <v>133</v>
      </c>
      <c r="G583" s="100">
        <v>0</v>
      </c>
      <c r="H583" s="100">
        <v>2320</v>
      </c>
      <c r="I583" s="57"/>
      <c r="J583" s="99">
        <f t="shared" si="164"/>
        <v>2320</v>
      </c>
      <c r="K583" s="53">
        <v>45789</v>
      </c>
      <c r="L583" s="54">
        <f t="shared" si="167"/>
        <v>12</v>
      </c>
      <c r="M583" s="55" t="str" cm="1">
        <f t="array" ref="M583">INDEX(Processing!$W$6:$W$17,MONTH('ALL ORDERS'!K583))</f>
        <v>May</v>
      </c>
      <c r="N583" s="54">
        <f t="shared" si="174"/>
        <v>2025</v>
      </c>
      <c r="O583" s="58">
        <v>0.45833333333333331</v>
      </c>
      <c r="P583" s="59" t="s">
        <v>344</v>
      </c>
      <c r="Q583" s="60" t="s">
        <v>90</v>
      </c>
      <c r="R583" s="56" t="s">
        <v>306</v>
      </c>
      <c r="S583" s="61" t="s">
        <v>46</v>
      </c>
      <c r="T583" s="62" t="s">
        <v>897</v>
      </c>
      <c r="U583" s="63" t="s">
        <v>25</v>
      </c>
      <c r="V583" s="63" t="s">
        <v>147</v>
      </c>
      <c r="W583" s="64">
        <v>5012</v>
      </c>
      <c r="X583" s="64">
        <v>5</v>
      </c>
      <c r="Y583" s="47"/>
      <c r="Z583" s="47"/>
    </row>
    <row r="584" spans="1:26" x14ac:dyDescent="0.25">
      <c r="A584" s="53">
        <v>45790</v>
      </c>
      <c r="B584" s="54">
        <f t="shared" si="165"/>
        <v>13</v>
      </c>
      <c r="C584" s="55" t="str" cm="1">
        <f t="array" ref="C584">INDEX(Processing!$C$11:$C$22,MONTH('ALL ORDERS'!A584))</f>
        <v>MAY</v>
      </c>
      <c r="D584" s="54">
        <f t="shared" si="166"/>
        <v>2025</v>
      </c>
      <c r="E584" s="56" t="s">
        <v>48</v>
      </c>
      <c r="F584" s="56" t="s">
        <v>134</v>
      </c>
      <c r="G584" s="100">
        <v>0</v>
      </c>
      <c r="H584" s="100">
        <v>3800</v>
      </c>
      <c r="I584" s="57"/>
      <c r="J584" s="99">
        <f t="shared" si="164"/>
        <v>3800</v>
      </c>
      <c r="K584" s="53">
        <v>45790</v>
      </c>
      <c r="L584" s="54">
        <f t="shared" si="167"/>
        <v>13</v>
      </c>
      <c r="M584" s="55" t="str" cm="1">
        <f t="array" ref="M584">INDEX(Processing!$W$6:$W$17,MONTH('ALL ORDERS'!K584))</f>
        <v>May</v>
      </c>
      <c r="N584" s="54">
        <f t="shared" si="174"/>
        <v>2025</v>
      </c>
      <c r="O584" s="58">
        <v>0.41666666666666669</v>
      </c>
      <c r="P584" s="59" t="s">
        <v>342</v>
      </c>
      <c r="Q584" s="60" t="s">
        <v>90</v>
      </c>
      <c r="R584" s="56" t="s">
        <v>293</v>
      </c>
      <c r="S584" s="61" t="s">
        <v>43</v>
      </c>
      <c r="T584" s="70">
        <v>15900888990</v>
      </c>
      <c r="U584" s="63" t="s">
        <v>25</v>
      </c>
      <c r="V584" s="63" t="s">
        <v>147</v>
      </c>
      <c r="W584" s="64">
        <v>5058</v>
      </c>
      <c r="X584" s="64">
        <v>5</v>
      </c>
      <c r="Y584" s="47"/>
      <c r="Z584" s="47"/>
    </row>
    <row r="585" spans="1:26" x14ac:dyDescent="0.25">
      <c r="A585" s="53">
        <v>45791</v>
      </c>
      <c r="B585" s="54">
        <f t="shared" si="165"/>
        <v>14</v>
      </c>
      <c r="C585" s="55" t="str" cm="1">
        <f t="array" ref="C585">INDEX(Processing!$C$11:$C$22,MONTH('ALL ORDERS'!A585))</f>
        <v>MAY</v>
      </c>
      <c r="D585" s="54">
        <f t="shared" si="166"/>
        <v>2025</v>
      </c>
      <c r="E585" s="56" t="s">
        <v>47</v>
      </c>
      <c r="F585" s="56" t="s">
        <v>134</v>
      </c>
      <c r="G585" s="100">
        <v>0</v>
      </c>
      <c r="H585" s="100">
        <v>1110</v>
      </c>
      <c r="I585" s="57"/>
      <c r="J585" s="99">
        <f t="shared" si="164"/>
        <v>1110</v>
      </c>
      <c r="K585" s="53">
        <v>45791</v>
      </c>
      <c r="L585" s="54">
        <f t="shared" si="167"/>
        <v>14</v>
      </c>
      <c r="M585" s="55" t="str" cm="1">
        <f t="array" ref="M585">INDEX(Processing!$W$6:$W$17,MONTH('ALL ORDERS'!K585))</f>
        <v>May</v>
      </c>
      <c r="N585" s="54">
        <f t="shared" si="174"/>
        <v>2025</v>
      </c>
      <c r="O585" s="58">
        <v>0.5</v>
      </c>
      <c r="P585" s="59" t="s">
        <v>210</v>
      </c>
      <c r="Q585" s="60" t="s">
        <v>90</v>
      </c>
      <c r="R585" s="56" t="s">
        <v>298</v>
      </c>
      <c r="S585" s="61" t="s">
        <v>43</v>
      </c>
      <c r="T585" s="62" t="s">
        <v>898</v>
      </c>
      <c r="U585" s="63" t="s">
        <v>25</v>
      </c>
      <c r="V585" s="63" t="s">
        <v>147</v>
      </c>
      <c r="W585" s="64">
        <v>2908</v>
      </c>
      <c r="X585" s="64">
        <v>5</v>
      </c>
      <c r="Y585" s="47"/>
      <c r="Z585" s="47"/>
    </row>
    <row r="586" spans="1:26" x14ac:dyDescent="0.25">
      <c r="A586" s="53">
        <v>45792</v>
      </c>
      <c r="B586" s="54">
        <f t="shared" si="165"/>
        <v>15</v>
      </c>
      <c r="C586" s="55" t="str" cm="1">
        <f t="array" ref="C586">INDEX(Processing!$C$11:$C$22,MONTH('ALL ORDERS'!A586))</f>
        <v>MAY</v>
      </c>
      <c r="D586" s="54">
        <f t="shared" si="166"/>
        <v>2025</v>
      </c>
      <c r="E586" s="56" t="s">
        <v>49</v>
      </c>
      <c r="F586" s="56" t="s">
        <v>19</v>
      </c>
      <c r="G586" s="100">
        <v>0</v>
      </c>
      <c r="H586" s="100">
        <v>3550</v>
      </c>
      <c r="I586" s="57"/>
      <c r="J586" s="99">
        <f t="shared" si="164"/>
        <v>3550</v>
      </c>
      <c r="K586" s="53">
        <v>45792</v>
      </c>
      <c r="L586" s="54">
        <f t="shared" si="167"/>
        <v>15</v>
      </c>
      <c r="M586" s="55" t="str" cm="1">
        <f t="array" ref="M586">INDEX(Processing!$W$6:$W$17,MONTH('ALL ORDERS'!K586))</f>
        <v>May</v>
      </c>
      <c r="N586" s="54">
        <f t="shared" si="174"/>
        <v>2025</v>
      </c>
      <c r="O586" s="58">
        <v>0.66666666666666663</v>
      </c>
      <c r="P586" s="59" t="s">
        <v>204</v>
      </c>
      <c r="Q586" s="60" t="s">
        <v>94</v>
      </c>
      <c r="R586" s="56" t="s">
        <v>291</v>
      </c>
      <c r="S586" s="61" t="s">
        <v>45</v>
      </c>
      <c r="T586" s="62" t="s">
        <v>899</v>
      </c>
      <c r="U586" s="63" t="s">
        <v>23</v>
      </c>
      <c r="V586" s="63" t="s">
        <v>147</v>
      </c>
      <c r="W586" s="64">
        <v>3036</v>
      </c>
      <c r="X586" s="64">
        <v>4</v>
      </c>
      <c r="Y586" s="47"/>
      <c r="Z586" s="47"/>
    </row>
    <row r="587" spans="1:26" x14ac:dyDescent="0.25">
      <c r="A587" s="53">
        <v>45793</v>
      </c>
      <c r="B587" s="54">
        <f t="shared" si="165"/>
        <v>16</v>
      </c>
      <c r="C587" s="55" t="str" cm="1">
        <f t="array" ref="C587">INDEX(Processing!$C$11:$C$22,MONTH('ALL ORDERS'!A587))</f>
        <v>MAY</v>
      </c>
      <c r="D587" s="54">
        <f t="shared" si="166"/>
        <v>2025</v>
      </c>
      <c r="E587" s="56" t="s">
        <v>49</v>
      </c>
      <c r="F587" s="56" t="s">
        <v>19</v>
      </c>
      <c r="G587" s="100">
        <v>0</v>
      </c>
      <c r="H587" s="100">
        <v>2650</v>
      </c>
      <c r="I587" s="57"/>
      <c r="J587" s="99">
        <f t="shared" si="164"/>
        <v>2650</v>
      </c>
      <c r="K587" s="53">
        <v>45793</v>
      </c>
      <c r="L587" s="54">
        <f t="shared" si="167"/>
        <v>16</v>
      </c>
      <c r="M587" s="55" t="str" cm="1">
        <f t="array" ref="M587">INDEX(Processing!$W$6:$W$17,MONTH('ALL ORDERS'!K587))</f>
        <v>May</v>
      </c>
      <c r="N587" s="54">
        <f t="shared" si="174"/>
        <v>2025</v>
      </c>
      <c r="O587" s="58">
        <v>0.75</v>
      </c>
      <c r="P587" s="59" t="s">
        <v>341</v>
      </c>
      <c r="Q587" s="60" t="s">
        <v>94</v>
      </c>
      <c r="R587" s="56" t="s">
        <v>283</v>
      </c>
      <c r="S587" s="61" t="s">
        <v>41</v>
      </c>
      <c r="T587" s="62" t="s">
        <v>900</v>
      </c>
      <c r="U587" s="63" t="s">
        <v>27</v>
      </c>
      <c r="V587" s="63" t="s">
        <v>147</v>
      </c>
      <c r="W587" s="64">
        <v>2740</v>
      </c>
      <c r="X587" s="64">
        <v>5</v>
      </c>
      <c r="Y587" s="47"/>
      <c r="Z587" s="47"/>
    </row>
    <row r="588" spans="1:26" x14ac:dyDescent="0.25">
      <c r="A588" s="53">
        <v>45788</v>
      </c>
      <c r="B588" s="54">
        <f t="shared" si="165"/>
        <v>11</v>
      </c>
      <c r="C588" s="55" t="str" cm="1">
        <f t="array" ref="C588">INDEX(Processing!$C$11:$C$22,MONTH('ALL ORDERS'!A588))</f>
        <v>MAY</v>
      </c>
      <c r="D588" s="54">
        <f t="shared" si="166"/>
        <v>2025</v>
      </c>
      <c r="E588" s="56" t="s">
        <v>50</v>
      </c>
      <c r="F588" s="56" t="s">
        <v>128</v>
      </c>
      <c r="G588" s="100">
        <v>0</v>
      </c>
      <c r="H588" s="100">
        <v>1910</v>
      </c>
      <c r="I588" s="57"/>
      <c r="J588" s="99">
        <f t="shared" si="164"/>
        <v>1910</v>
      </c>
      <c r="K588" s="53">
        <v>45788</v>
      </c>
      <c r="L588" s="54">
        <f t="shared" si="167"/>
        <v>11</v>
      </c>
      <c r="M588" s="55" t="str" cm="1">
        <f t="array" ref="M588">INDEX(Processing!$W$6:$W$17,MONTH('ALL ORDERS'!K588))</f>
        <v>May</v>
      </c>
      <c r="N588" s="54">
        <f t="shared" si="174"/>
        <v>2025</v>
      </c>
      <c r="O588" s="58">
        <v>0.41666666666666669</v>
      </c>
      <c r="P588" s="59" t="s">
        <v>190</v>
      </c>
      <c r="Q588" s="60" t="s">
        <v>94</v>
      </c>
      <c r="R588" s="56" t="s">
        <v>276</v>
      </c>
      <c r="S588" s="61" t="s">
        <v>42</v>
      </c>
      <c r="T588" s="62" t="s">
        <v>901</v>
      </c>
      <c r="U588" s="63" t="s">
        <v>24</v>
      </c>
      <c r="V588" s="63" t="s">
        <v>147</v>
      </c>
      <c r="W588" s="64">
        <v>2449</v>
      </c>
      <c r="X588" s="64">
        <v>5</v>
      </c>
      <c r="Y588" s="47"/>
      <c r="Z588" s="47"/>
    </row>
    <row r="589" spans="1:26" x14ac:dyDescent="0.25">
      <c r="A589" s="53">
        <v>45795</v>
      </c>
      <c r="B589" s="54">
        <f t="shared" si="165"/>
        <v>18</v>
      </c>
      <c r="C589" s="55" t="str" cm="1">
        <f t="array" ref="C589">INDEX(Processing!$C$11:$C$22,MONTH('ALL ORDERS'!A589))</f>
        <v>MAY</v>
      </c>
      <c r="D589" s="54">
        <f t="shared" si="166"/>
        <v>2025</v>
      </c>
      <c r="E589" s="56" t="s">
        <v>50</v>
      </c>
      <c r="F589" s="56" t="s">
        <v>22</v>
      </c>
      <c r="G589" s="100">
        <v>1900</v>
      </c>
      <c r="H589" s="100">
        <v>0</v>
      </c>
      <c r="I589" s="57"/>
      <c r="J589" s="99">
        <f t="shared" si="164"/>
        <v>1900</v>
      </c>
      <c r="K589" s="53">
        <v>45795</v>
      </c>
      <c r="L589" s="54">
        <f t="shared" si="167"/>
        <v>18</v>
      </c>
      <c r="M589" s="55" t="str" cm="1">
        <f t="array" ref="M589">INDEX(Processing!$W$6:$W$17,MONTH('ALL ORDERS'!K589))</f>
        <v>May</v>
      </c>
      <c r="N589" s="54">
        <f t="shared" si="174"/>
        <v>2025</v>
      </c>
      <c r="O589" s="58">
        <v>0.5</v>
      </c>
      <c r="P589" s="59" t="s">
        <v>218</v>
      </c>
      <c r="Q589" s="60" t="e">
        <v>#N/A</v>
      </c>
      <c r="R589" s="56" t="s">
        <v>317</v>
      </c>
      <c r="S589" s="61" t="s">
        <v>42</v>
      </c>
      <c r="T589" s="62" t="s">
        <v>902</v>
      </c>
      <c r="U589" s="63" t="s">
        <v>24</v>
      </c>
      <c r="V589" s="63" t="s">
        <v>147</v>
      </c>
      <c r="W589" s="64">
        <v>3399</v>
      </c>
      <c r="X589" s="64">
        <v>5</v>
      </c>
      <c r="Y589" s="47"/>
      <c r="Z589" s="47"/>
    </row>
    <row r="590" spans="1:26" x14ac:dyDescent="0.25">
      <c r="A590" s="53">
        <v>45796</v>
      </c>
      <c r="B590" s="54">
        <f t="shared" si="165"/>
        <v>19</v>
      </c>
      <c r="C590" s="55" t="str" cm="1">
        <f t="array" ref="C590">INDEX(Processing!$C$11:$C$22,MONTH('ALL ORDERS'!A590))</f>
        <v>MAY</v>
      </c>
      <c r="D590" s="54">
        <f t="shared" si="166"/>
        <v>2025</v>
      </c>
      <c r="E590" s="56" t="s">
        <v>51</v>
      </c>
      <c r="F590" s="56" t="s">
        <v>127</v>
      </c>
      <c r="G590" s="100">
        <v>400</v>
      </c>
      <c r="H590" s="100">
        <v>0</v>
      </c>
      <c r="I590" s="57"/>
      <c r="J590" s="99">
        <f t="shared" si="164"/>
        <v>400</v>
      </c>
      <c r="K590" s="53">
        <v>45796</v>
      </c>
      <c r="L590" s="54">
        <f t="shared" si="167"/>
        <v>19</v>
      </c>
      <c r="M590" s="55" t="str" cm="1">
        <f t="array" ref="M590">INDEX(Processing!$W$6:$W$17,MONTH('ALL ORDERS'!K590))</f>
        <v>May</v>
      </c>
      <c r="N590" s="54">
        <f t="shared" si="174"/>
        <v>2025</v>
      </c>
      <c r="O590" s="58">
        <v>0.66666666666666663</v>
      </c>
      <c r="P590" s="59" t="s">
        <v>157</v>
      </c>
      <c r="Q590" s="60" t="s">
        <v>90</v>
      </c>
      <c r="R590" s="56" t="s">
        <v>239</v>
      </c>
      <c r="S590" s="61" t="s">
        <v>41</v>
      </c>
      <c r="T590" s="62" t="s">
        <v>903</v>
      </c>
      <c r="U590" s="63" t="s">
        <v>26</v>
      </c>
      <c r="V590" s="63" t="s">
        <v>147</v>
      </c>
      <c r="W590" s="64">
        <v>3523</v>
      </c>
      <c r="X590" s="64">
        <v>5</v>
      </c>
      <c r="Y590" s="47"/>
      <c r="Z590" s="47"/>
    </row>
    <row r="591" spans="1:26" x14ac:dyDescent="0.25">
      <c r="A591" s="53">
        <v>45797</v>
      </c>
      <c r="B591" s="54">
        <f t="shared" si="165"/>
        <v>20</v>
      </c>
      <c r="C591" s="55" t="str" cm="1">
        <f t="array" ref="C591">INDEX(Processing!$C$11:$C$22,MONTH('ALL ORDERS'!A591))</f>
        <v>MAY</v>
      </c>
      <c r="D591" s="54">
        <f t="shared" si="166"/>
        <v>2025</v>
      </c>
      <c r="E591" s="56" t="s">
        <v>47</v>
      </c>
      <c r="F591" s="56" t="s">
        <v>125</v>
      </c>
      <c r="G591" s="100">
        <v>200</v>
      </c>
      <c r="H591" s="100">
        <v>0</v>
      </c>
      <c r="I591" s="57"/>
      <c r="J591" s="99">
        <f t="shared" si="164"/>
        <v>200</v>
      </c>
      <c r="K591" s="53">
        <v>45797</v>
      </c>
      <c r="L591" s="54">
        <f t="shared" si="167"/>
        <v>20</v>
      </c>
      <c r="M591" s="55" t="str" cm="1">
        <f t="array" ref="M591">INDEX(Processing!$W$6:$W$17,MONTH('ALL ORDERS'!K591))</f>
        <v>May</v>
      </c>
      <c r="N591" s="54">
        <f t="shared" si="174"/>
        <v>2025</v>
      </c>
      <c r="O591" s="58">
        <v>0.75</v>
      </c>
      <c r="P591" s="59" t="s">
        <v>346</v>
      </c>
      <c r="Q591" s="60" t="s">
        <v>94</v>
      </c>
      <c r="R591" s="56" t="s">
        <v>308</v>
      </c>
      <c r="S591" s="61" t="s">
        <v>42</v>
      </c>
      <c r="T591" s="62" t="s">
        <v>904</v>
      </c>
      <c r="U591" s="63" t="s">
        <v>27</v>
      </c>
      <c r="V591" s="63" t="s">
        <v>148</v>
      </c>
      <c r="W591" s="64">
        <v>1408</v>
      </c>
      <c r="X591" s="64"/>
      <c r="Y591" s="47"/>
      <c r="Z591" s="47"/>
    </row>
    <row r="592" spans="1:26" x14ac:dyDescent="0.25">
      <c r="A592" s="53">
        <v>45798</v>
      </c>
      <c r="B592" s="54">
        <f t="shared" si="165"/>
        <v>21</v>
      </c>
      <c r="C592" s="55" t="str" cm="1">
        <f t="array" ref="C592">INDEX(Processing!$C$11:$C$22,MONTH('ALL ORDERS'!A592))</f>
        <v>MAY</v>
      </c>
      <c r="D592" s="54">
        <f t="shared" si="166"/>
        <v>2025</v>
      </c>
      <c r="E592" s="56" t="s">
        <v>49</v>
      </c>
      <c r="F592" s="56" t="s">
        <v>130</v>
      </c>
      <c r="G592" s="100">
        <v>0</v>
      </c>
      <c r="H592" s="100">
        <v>300</v>
      </c>
      <c r="I592" s="57"/>
      <c r="J592" s="99">
        <f t="shared" si="164"/>
        <v>300</v>
      </c>
      <c r="K592" s="53">
        <v>45798</v>
      </c>
      <c r="L592" s="54">
        <f t="shared" si="167"/>
        <v>21</v>
      </c>
      <c r="M592" s="55" t="str" cm="1">
        <f t="array" ref="M592">INDEX(Processing!$W$6:$W$17,MONTH('ALL ORDERS'!K592))</f>
        <v>May</v>
      </c>
      <c r="N592" s="54">
        <f t="shared" si="174"/>
        <v>2025</v>
      </c>
      <c r="O592" s="58">
        <v>0.41666666666666669</v>
      </c>
      <c r="P592" s="59" t="s">
        <v>353</v>
      </c>
      <c r="Q592" s="60" t="s">
        <v>91</v>
      </c>
      <c r="R592" s="56" t="s">
        <v>315</v>
      </c>
      <c r="S592" s="61" t="s">
        <v>42</v>
      </c>
      <c r="T592" s="62" t="s">
        <v>905</v>
      </c>
      <c r="U592" s="63" t="s">
        <v>24</v>
      </c>
      <c r="V592" s="63" t="s">
        <v>147</v>
      </c>
      <c r="W592" s="64">
        <v>3736</v>
      </c>
      <c r="X592" s="64">
        <v>4</v>
      </c>
      <c r="Y592" s="47"/>
      <c r="Z592" s="47"/>
    </row>
    <row r="593" spans="1:26" x14ac:dyDescent="0.25">
      <c r="A593" s="53">
        <v>45799</v>
      </c>
      <c r="B593" s="54">
        <f t="shared" si="165"/>
        <v>22</v>
      </c>
      <c r="C593" s="55" t="str" cm="1">
        <f t="array" ref="C593">INDEX(Processing!$C$11:$C$22,MONTH('ALL ORDERS'!A593))</f>
        <v>MAY</v>
      </c>
      <c r="D593" s="54">
        <f t="shared" si="166"/>
        <v>2025</v>
      </c>
      <c r="E593" s="56" t="s">
        <v>49</v>
      </c>
      <c r="F593" s="56" t="s">
        <v>134</v>
      </c>
      <c r="G593" s="100">
        <v>5000</v>
      </c>
      <c r="H593" s="100">
        <v>0</v>
      </c>
      <c r="I593" s="57"/>
      <c r="J593" s="99">
        <f t="shared" si="164"/>
        <v>5000</v>
      </c>
      <c r="K593" s="53">
        <v>45799</v>
      </c>
      <c r="L593" s="54">
        <f t="shared" si="167"/>
        <v>22</v>
      </c>
      <c r="M593" s="55" t="str" cm="1">
        <f t="array" ref="M593">INDEX(Processing!$W$6:$W$17,MONTH('ALL ORDERS'!K593))</f>
        <v>May</v>
      </c>
      <c r="N593" s="54">
        <f t="shared" si="174"/>
        <v>2025</v>
      </c>
      <c r="O593" s="58">
        <v>0.5</v>
      </c>
      <c r="P593" s="59" t="s">
        <v>167</v>
      </c>
      <c r="Q593" s="60" t="s">
        <v>91</v>
      </c>
      <c r="R593" s="56" t="s">
        <v>250</v>
      </c>
      <c r="S593" s="61" t="s">
        <v>42</v>
      </c>
      <c r="T593" s="62" t="s">
        <v>906</v>
      </c>
      <c r="U593" s="63" t="s">
        <v>24</v>
      </c>
      <c r="V593" s="63" t="s">
        <v>147</v>
      </c>
      <c r="W593" s="64">
        <v>3369</v>
      </c>
      <c r="X593" s="64">
        <v>5</v>
      </c>
      <c r="Y593" s="47"/>
      <c r="Z593" s="47"/>
    </row>
    <row r="594" spans="1:26" x14ac:dyDescent="0.25">
      <c r="A594" s="53">
        <v>45800</v>
      </c>
      <c r="B594" s="54">
        <f t="shared" si="165"/>
        <v>23</v>
      </c>
      <c r="C594" s="55" t="str" cm="1">
        <f t="array" ref="C594">INDEX(Processing!$C$11:$C$22,MONTH('ALL ORDERS'!A594))</f>
        <v>MAY</v>
      </c>
      <c r="D594" s="54">
        <f t="shared" si="166"/>
        <v>2025</v>
      </c>
      <c r="E594" s="56" t="s">
        <v>50</v>
      </c>
      <c r="F594" s="56" t="s">
        <v>137</v>
      </c>
      <c r="G594" s="100">
        <v>0</v>
      </c>
      <c r="H594" s="100">
        <v>600</v>
      </c>
      <c r="I594" s="57"/>
      <c r="J594" s="99">
        <f t="shared" si="164"/>
        <v>600</v>
      </c>
      <c r="K594" s="53">
        <v>45800</v>
      </c>
      <c r="L594" s="54">
        <f t="shared" si="167"/>
        <v>23</v>
      </c>
      <c r="M594" s="55" t="str" cm="1">
        <f t="array" ref="M594">INDEX(Processing!$W$6:$W$17,MONTH('ALL ORDERS'!K594))</f>
        <v>May</v>
      </c>
      <c r="N594" s="54">
        <f t="shared" si="174"/>
        <v>2025</v>
      </c>
      <c r="O594" s="58">
        <v>0.66666666666666663</v>
      </c>
      <c r="P594" s="59" t="s">
        <v>225</v>
      </c>
      <c r="Q594" s="60" t="s">
        <v>94</v>
      </c>
      <c r="R594" s="56" t="s">
        <v>325</v>
      </c>
      <c r="S594" s="61" t="s">
        <v>41</v>
      </c>
      <c r="T594" s="62" t="s">
        <v>907</v>
      </c>
      <c r="U594" s="63" t="s">
        <v>26</v>
      </c>
      <c r="V594" s="63" t="s">
        <v>147</v>
      </c>
      <c r="W594" s="64">
        <v>3107</v>
      </c>
      <c r="X594" s="64">
        <v>3</v>
      </c>
      <c r="Y594" s="47"/>
      <c r="Z594" s="47"/>
    </row>
    <row r="595" spans="1:26" x14ac:dyDescent="0.25">
      <c r="A595" s="53">
        <v>45801</v>
      </c>
      <c r="B595" s="54">
        <f t="shared" si="165"/>
        <v>24</v>
      </c>
      <c r="C595" s="55" t="str" cm="1">
        <f t="array" ref="C595">INDEX(Processing!$C$11:$C$22,MONTH('ALL ORDERS'!A595))</f>
        <v>MAY</v>
      </c>
      <c r="D595" s="54">
        <f t="shared" si="166"/>
        <v>2025</v>
      </c>
      <c r="E595" s="56" t="s">
        <v>50</v>
      </c>
      <c r="F595" s="56" t="s">
        <v>131</v>
      </c>
      <c r="G595" s="100">
        <v>2000</v>
      </c>
      <c r="H595" s="100">
        <v>0</v>
      </c>
      <c r="I595" s="57"/>
      <c r="J595" s="99">
        <f t="shared" si="164"/>
        <v>2000</v>
      </c>
      <c r="K595" s="53">
        <v>45801</v>
      </c>
      <c r="L595" s="54">
        <f t="shared" si="167"/>
        <v>24</v>
      </c>
      <c r="M595" s="55" t="str" cm="1">
        <f t="array" ref="M595">INDEX(Processing!$W$6:$W$17,MONTH('ALL ORDERS'!K595))</f>
        <v>May</v>
      </c>
      <c r="N595" s="54">
        <f t="shared" si="174"/>
        <v>2025</v>
      </c>
      <c r="O595" s="58">
        <v>0.75</v>
      </c>
      <c r="P595" s="59" t="s">
        <v>199</v>
      </c>
      <c r="Q595" s="60" t="s">
        <v>90</v>
      </c>
      <c r="R595" s="56" t="s">
        <v>286</v>
      </c>
      <c r="S595" s="61" t="s">
        <v>41</v>
      </c>
      <c r="T595" s="62" t="s">
        <v>908</v>
      </c>
      <c r="U595" s="63" t="s">
        <v>25</v>
      </c>
      <c r="V595" s="63" t="s">
        <v>147</v>
      </c>
      <c r="W595" s="64">
        <v>1639</v>
      </c>
      <c r="X595" s="64">
        <v>4</v>
      </c>
      <c r="Y595" s="47"/>
      <c r="Z595" s="47"/>
    </row>
    <row r="596" spans="1:26" x14ac:dyDescent="0.25">
      <c r="A596" s="53">
        <v>45802</v>
      </c>
      <c r="B596" s="54">
        <f t="shared" si="165"/>
        <v>25</v>
      </c>
      <c r="C596" s="55" t="str" cm="1">
        <f t="array" ref="C596">INDEX(Processing!$C$11:$C$22,MONTH('ALL ORDERS'!A596))</f>
        <v>MAY</v>
      </c>
      <c r="D596" s="54">
        <f t="shared" si="166"/>
        <v>2025</v>
      </c>
      <c r="E596" s="56" t="s">
        <v>48</v>
      </c>
      <c r="F596" s="56" t="s">
        <v>133</v>
      </c>
      <c r="G596" s="100">
        <v>0</v>
      </c>
      <c r="H596" s="100">
        <v>4000</v>
      </c>
      <c r="I596" s="57"/>
      <c r="J596" s="99">
        <f t="shared" si="164"/>
        <v>4000</v>
      </c>
      <c r="K596" s="53">
        <v>45802</v>
      </c>
      <c r="L596" s="54">
        <f t="shared" si="167"/>
        <v>25</v>
      </c>
      <c r="M596" s="55" t="str" cm="1">
        <f t="array" ref="M596">INDEX(Processing!$W$6:$W$17,MONTH('ALL ORDERS'!K596))</f>
        <v>May</v>
      </c>
      <c r="N596" s="54">
        <f t="shared" si="174"/>
        <v>2025</v>
      </c>
      <c r="O596" s="58">
        <v>0.41666666666666669</v>
      </c>
      <c r="P596" s="59" t="s">
        <v>181</v>
      </c>
      <c r="Q596" s="60" t="s">
        <v>90</v>
      </c>
      <c r="R596" s="56" t="s">
        <v>266</v>
      </c>
      <c r="S596" s="61" t="s">
        <v>42</v>
      </c>
      <c r="T596" s="70">
        <v>14900888990</v>
      </c>
      <c r="U596" s="63" t="s">
        <v>23</v>
      </c>
      <c r="V596" s="63" t="s">
        <v>147</v>
      </c>
      <c r="W596" s="64">
        <v>3602</v>
      </c>
      <c r="X596" s="64">
        <v>4</v>
      </c>
      <c r="Y596" s="47"/>
      <c r="Z596" s="47"/>
    </row>
    <row r="597" spans="1:26" x14ac:dyDescent="0.25">
      <c r="A597" s="53">
        <v>45803</v>
      </c>
      <c r="B597" s="54">
        <f t="shared" si="165"/>
        <v>26</v>
      </c>
      <c r="C597" s="55" t="str" cm="1">
        <f t="array" ref="C597">INDEX(Processing!$C$11:$C$22,MONTH('ALL ORDERS'!A597))</f>
        <v>MAY</v>
      </c>
      <c r="D597" s="54">
        <f t="shared" si="166"/>
        <v>2025</v>
      </c>
      <c r="E597" s="56" t="s">
        <v>47</v>
      </c>
      <c r="F597" s="56" t="s">
        <v>133</v>
      </c>
      <c r="G597" s="100">
        <v>0</v>
      </c>
      <c r="H597" s="100">
        <v>200</v>
      </c>
      <c r="I597" s="57"/>
      <c r="J597" s="99">
        <f t="shared" si="164"/>
        <v>200</v>
      </c>
      <c r="K597" s="53">
        <v>45803</v>
      </c>
      <c r="L597" s="54">
        <f t="shared" si="167"/>
        <v>26</v>
      </c>
      <c r="M597" s="55" t="str" cm="1">
        <f t="array" ref="M597">INDEX(Processing!$W$6:$W$17,MONTH('ALL ORDERS'!K597))</f>
        <v>May</v>
      </c>
      <c r="N597" s="54">
        <f t="shared" si="174"/>
        <v>2025</v>
      </c>
      <c r="O597" s="58">
        <v>0.5</v>
      </c>
      <c r="P597" s="59" t="s">
        <v>163</v>
      </c>
      <c r="Q597" s="60" t="s">
        <v>94</v>
      </c>
      <c r="R597" s="56" t="s">
        <v>246</v>
      </c>
      <c r="S597" s="61" t="s">
        <v>44</v>
      </c>
      <c r="T597" s="62" t="s">
        <v>909</v>
      </c>
      <c r="U597" s="63" t="s">
        <v>27</v>
      </c>
      <c r="V597" s="63" t="s">
        <v>148</v>
      </c>
      <c r="W597" s="64">
        <v>2915</v>
      </c>
      <c r="X597" s="64"/>
      <c r="Y597" s="47"/>
      <c r="Z597" s="47"/>
    </row>
    <row r="598" spans="1:26" x14ac:dyDescent="0.25">
      <c r="A598" s="53">
        <v>45798</v>
      </c>
      <c r="B598" s="54">
        <f t="shared" si="165"/>
        <v>21</v>
      </c>
      <c r="C598" s="55" t="str" cm="1">
        <f t="array" ref="C598">INDEX(Processing!$C$11:$C$22,MONTH('ALL ORDERS'!A598))</f>
        <v>MAY</v>
      </c>
      <c r="D598" s="54">
        <f t="shared" si="166"/>
        <v>2025</v>
      </c>
      <c r="E598" s="56" t="s">
        <v>50</v>
      </c>
      <c r="F598" s="56" t="s">
        <v>134</v>
      </c>
      <c r="G598" s="100">
        <v>800</v>
      </c>
      <c r="H598" s="100">
        <v>0</v>
      </c>
      <c r="I598" s="57">
        <v>0.15</v>
      </c>
      <c r="J598" s="99">
        <f t="shared" ref="J598:J661" si="175">G598+H598</f>
        <v>800</v>
      </c>
      <c r="K598" s="53">
        <v>45798</v>
      </c>
      <c r="L598" s="54">
        <f t="shared" si="167"/>
        <v>21</v>
      </c>
      <c r="M598" s="55" t="str" cm="1">
        <f t="array" ref="M598">INDEX(Processing!$W$6:$W$17,MONTH('ALL ORDERS'!K598))</f>
        <v>May</v>
      </c>
      <c r="N598" s="54">
        <f t="shared" si="174"/>
        <v>2025</v>
      </c>
      <c r="O598" s="58">
        <v>0.66666666666666663</v>
      </c>
      <c r="P598" s="59" t="s">
        <v>235</v>
      </c>
      <c r="Q598" s="60" t="s">
        <v>94</v>
      </c>
      <c r="R598" s="56" t="s">
        <v>336</v>
      </c>
      <c r="S598" s="61" t="s">
        <v>42</v>
      </c>
      <c r="T598" s="62" t="s">
        <v>910</v>
      </c>
      <c r="U598" s="63" t="s">
        <v>26</v>
      </c>
      <c r="V598" s="63" t="s">
        <v>147</v>
      </c>
      <c r="W598" s="64">
        <v>840</v>
      </c>
      <c r="X598" s="64">
        <v>3</v>
      </c>
      <c r="Y598" s="47"/>
      <c r="Z598" s="47"/>
    </row>
    <row r="599" spans="1:26" x14ac:dyDescent="0.25">
      <c r="A599" s="53">
        <v>45805</v>
      </c>
      <c r="B599" s="54">
        <f t="shared" si="165"/>
        <v>28</v>
      </c>
      <c r="C599" s="55" t="str" cm="1">
        <f t="array" ref="C599">INDEX(Processing!$C$11:$C$22,MONTH('ALL ORDERS'!A599))</f>
        <v>MAY</v>
      </c>
      <c r="D599" s="54">
        <f t="shared" si="166"/>
        <v>2025</v>
      </c>
      <c r="E599" s="56" t="s">
        <v>49</v>
      </c>
      <c r="F599" s="56" t="s">
        <v>134</v>
      </c>
      <c r="G599" s="100">
        <v>0</v>
      </c>
      <c r="H599" s="100">
        <v>3000</v>
      </c>
      <c r="I599" s="57">
        <v>0.15</v>
      </c>
      <c r="J599" s="99">
        <f t="shared" si="175"/>
        <v>3000</v>
      </c>
      <c r="K599" s="53">
        <v>45805</v>
      </c>
      <c r="L599" s="54">
        <f t="shared" si="167"/>
        <v>28</v>
      </c>
      <c r="M599" s="55" t="str" cm="1">
        <f t="array" ref="M599">INDEX(Processing!$W$6:$W$17,MONTH('ALL ORDERS'!K599))</f>
        <v>May</v>
      </c>
      <c r="N599" s="54">
        <f t="shared" si="174"/>
        <v>2025</v>
      </c>
      <c r="O599" s="58">
        <v>0.75</v>
      </c>
      <c r="P599" s="59" t="s">
        <v>192</v>
      </c>
      <c r="Q599" s="60" t="s">
        <v>94</v>
      </c>
      <c r="R599" s="56" t="s">
        <v>278</v>
      </c>
      <c r="S599" s="61" t="s">
        <v>41</v>
      </c>
      <c r="T599" s="62" t="s">
        <v>911</v>
      </c>
      <c r="U599" s="63" t="s">
        <v>24</v>
      </c>
      <c r="V599" s="63" t="s">
        <v>147</v>
      </c>
      <c r="W599" s="64">
        <v>5889</v>
      </c>
      <c r="X599" s="64">
        <v>4</v>
      </c>
      <c r="Y599" s="47"/>
      <c r="Z599" s="47"/>
    </row>
    <row r="600" spans="1:26" x14ac:dyDescent="0.25">
      <c r="A600" s="53">
        <v>45806</v>
      </c>
      <c r="B600" s="54">
        <f t="shared" si="165"/>
        <v>29</v>
      </c>
      <c r="C600" s="55" t="str" cm="1">
        <f t="array" ref="C600">INDEX(Processing!$C$11:$C$22,MONTH('ALL ORDERS'!A600))</f>
        <v>MAY</v>
      </c>
      <c r="D600" s="54">
        <f t="shared" si="166"/>
        <v>2025</v>
      </c>
      <c r="E600" s="56" t="s">
        <v>50</v>
      </c>
      <c r="F600" s="56" t="s">
        <v>19</v>
      </c>
      <c r="G600" s="100">
        <v>10000</v>
      </c>
      <c r="H600" s="100">
        <v>0</v>
      </c>
      <c r="I600" s="57">
        <v>0.15</v>
      </c>
      <c r="J600" s="99">
        <f t="shared" si="175"/>
        <v>10000</v>
      </c>
      <c r="K600" s="53">
        <v>45806</v>
      </c>
      <c r="L600" s="54">
        <f t="shared" si="167"/>
        <v>29</v>
      </c>
      <c r="M600" s="55" t="str" cm="1">
        <f t="array" ref="M600">INDEX(Processing!$W$6:$W$17,MONTH('ALL ORDERS'!K600))</f>
        <v>May</v>
      </c>
      <c r="N600" s="54">
        <f t="shared" si="174"/>
        <v>2025</v>
      </c>
      <c r="O600" s="58">
        <v>0.41666666666666669</v>
      </c>
      <c r="P600" s="59" t="s">
        <v>220</v>
      </c>
      <c r="Q600" s="60" t="s">
        <v>90</v>
      </c>
      <c r="R600" s="56" t="s">
        <v>319</v>
      </c>
      <c r="S600" s="61" t="s">
        <v>42</v>
      </c>
      <c r="T600" s="62" t="s">
        <v>912</v>
      </c>
      <c r="U600" s="63" t="s">
        <v>24</v>
      </c>
      <c r="V600" s="63" t="s">
        <v>147</v>
      </c>
      <c r="W600" s="64">
        <v>5261</v>
      </c>
      <c r="X600" s="64">
        <v>4</v>
      </c>
      <c r="Y600" s="47"/>
      <c r="Z600" s="47"/>
    </row>
    <row r="601" spans="1:26" x14ac:dyDescent="0.25">
      <c r="A601" s="53">
        <v>45807</v>
      </c>
      <c r="B601" s="54">
        <f t="shared" si="165"/>
        <v>30</v>
      </c>
      <c r="C601" s="55" t="str" cm="1">
        <f t="array" ref="C601">INDEX(Processing!$C$11:$C$22,MONTH('ALL ORDERS'!A601))</f>
        <v>MAY</v>
      </c>
      <c r="D601" s="54">
        <f t="shared" si="166"/>
        <v>2025</v>
      </c>
      <c r="E601" s="56" t="s">
        <v>50</v>
      </c>
      <c r="F601" s="56" t="s">
        <v>19</v>
      </c>
      <c r="G601" s="100">
        <v>0</v>
      </c>
      <c r="H601" s="100">
        <v>3000</v>
      </c>
      <c r="I601" s="57">
        <v>0.15</v>
      </c>
      <c r="J601" s="99">
        <f t="shared" si="175"/>
        <v>3000</v>
      </c>
      <c r="K601" s="53">
        <v>45807</v>
      </c>
      <c r="L601" s="54">
        <f t="shared" si="167"/>
        <v>30</v>
      </c>
      <c r="M601" s="55" t="str" cm="1">
        <f t="array" ref="M601">INDEX(Processing!$W$6:$W$17,MONTH('ALL ORDERS'!K601))</f>
        <v>May</v>
      </c>
      <c r="N601" s="54">
        <f t="shared" si="174"/>
        <v>2025</v>
      </c>
      <c r="O601" s="58">
        <v>0.5</v>
      </c>
      <c r="P601" s="59" t="s">
        <v>343</v>
      </c>
      <c r="Q601" s="60" t="s">
        <v>94</v>
      </c>
      <c r="R601" s="56" t="s">
        <v>303</v>
      </c>
      <c r="S601" s="61" t="s">
        <v>42</v>
      </c>
      <c r="T601" s="62" t="s">
        <v>913</v>
      </c>
      <c r="U601" s="63" t="s">
        <v>24</v>
      </c>
      <c r="V601" s="63" t="s">
        <v>147</v>
      </c>
      <c r="W601" s="64">
        <v>4278</v>
      </c>
      <c r="X601" s="64">
        <v>5</v>
      </c>
      <c r="Y601" s="47"/>
      <c r="Z601" s="47"/>
    </row>
    <row r="602" spans="1:26" x14ac:dyDescent="0.25">
      <c r="A602" s="53">
        <v>45808</v>
      </c>
      <c r="B602" s="54">
        <f t="shared" si="165"/>
        <v>31</v>
      </c>
      <c r="C602" s="55" t="str" cm="1">
        <f t="array" ref="C602">INDEX(Processing!$C$11:$C$22,MONTH('ALL ORDERS'!A602))</f>
        <v>MAY</v>
      </c>
      <c r="D602" s="54">
        <f t="shared" si="166"/>
        <v>2025</v>
      </c>
      <c r="E602" s="56" t="s">
        <v>47</v>
      </c>
      <c r="F602" s="56" t="s">
        <v>128</v>
      </c>
      <c r="G602" s="100">
        <v>500</v>
      </c>
      <c r="H602" s="100">
        <v>0</v>
      </c>
      <c r="I602" s="57">
        <v>0.15</v>
      </c>
      <c r="J602" s="99">
        <f t="shared" si="175"/>
        <v>500</v>
      </c>
      <c r="K602" s="53">
        <v>45808</v>
      </c>
      <c r="L602" s="54">
        <f t="shared" si="167"/>
        <v>31</v>
      </c>
      <c r="M602" s="55" t="str" cm="1">
        <f t="array" ref="M602">INDEX(Processing!$W$6:$W$17,MONTH('ALL ORDERS'!K602))</f>
        <v>May</v>
      </c>
      <c r="N602" s="54">
        <f t="shared" si="174"/>
        <v>2025</v>
      </c>
      <c r="O602" s="58">
        <v>0.66666666666666663</v>
      </c>
      <c r="P602" s="59" t="s">
        <v>155</v>
      </c>
      <c r="Q602" s="60" t="s">
        <v>94</v>
      </c>
      <c r="R602" s="56" t="s">
        <v>237</v>
      </c>
      <c r="S602" s="61" t="s">
        <v>42</v>
      </c>
      <c r="T602" s="62" t="s">
        <v>914</v>
      </c>
      <c r="U602" s="63" t="s">
        <v>26</v>
      </c>
      <c r="V602" s="63" t="s">
        <v>147</v>
      </c>
      <c r="W602" s="64">
        <v>2960</v>
      </c>
      <c r="X602" s="64">
        <v>4</v>
      </c>
      <c r="Y602" s="47"/>
      <c r="Z602" s="47"/>
    </row>
    <row r="603" spans="1:26" x14ac:dyDescent="0.25">
      <c r="A603" s="53">
        <v>45808</v>
      </c>
      <c r="B603" s="54">
        <f t="shared" si="165"/>
        <v>31</v>
      </c>
      <c r="C603" s="55" t="str" cm="1">
        <f t="array" ref="C603">INDEX(Processing!$C$11:$C$22,MONTH('ALL ORDERS'!A603))</f>
        <v>MAY</v>
      </c>
      <c r="D603" s="54">
        <f t="shared" si="166"/>
        <v>2025</v>
      </c>
      <c r="E603" s="56" t="s">
        <v>50</v>
      </c>
      <c r="F603" s="56" t="s">
        <v>22</v>
      </c>
      <c r="G603" s="100">
        <v>0</v>
      </c>
      <c r="H603" s="100">
        <v>8000</v>
      </c>
      <c r="I603" s="57">
        <v>0.15</v>
      </c>
      <c r="J603" s="99">
        <f t="shared" si="175"/>
        <v>8000</v>
      </c>
      <c r="K603" s="53">
        <v>45808</v>
      </c>
      <c r="L603" s="54">
        <f t="shared" si="167"/>
        <v>31</v>
      </c>
      <c r="M603" s="55" t="str" cm="1">
        <f t="array" ref="M603">INDEX(Processing!$W$6:$W$17,MONTH('ALL ORDERS'!K603))</f>
        <v>May</v>
      </c>
      <c r="N603" s="54">
        <f t="shared" si="174"/>
        <v>2025</v>
      </c>
      <c r="O603" s="58">
        <v>0.75</v>
      </c>
      <c r="P603" s="59" t="s">
        <v>210</v>
      </c>
      <c r="Q603" s="60" t="s">
        <v>90</v>
      </c>
      <c r="R603" s="56" t="s">
        <v>298</v>
      </c>
      <c r="S603" s="61" t="s">
        <v>41</v>
      </c>
      <c r="T603" s="62" t="s">
        <v>915</v>
      </c>
      <c r="U603" s="63" t="s">
        <v>26</v>
      </c>
      <c r="V603" s="63" t="s">
        <v>147</v>
      </c>
      <c r="W603" s="64">
        <v>2397</v>
      </c>
      <c r="X603" s="64">
        <v>5</v>
      </c>
      <c r="Y603" s="47"/>
      <c r="Z603" s="47"/>
    </row>
    <row r="604" spans="1:26" x14ac:dyDescent="0.25">
      <c r="A604" s="53">
        <v>45810</v>
      </c>
      <c r="B604" s="54">
        <f t="shared" si="165"/>
        <v>2</v>
      </c>
      <c r="C604" s="55" t="str" cm="1">
        <f t="array" ref="C604">INDEX(Processing!$C$11:$C$22,MONTH('ALL ORDERS'!A604))</f>
        <v>JUN</v>
      </c>
      <c r="D604" s="54">
        <f t="shared" si="166"/>
        <v>2025</v>
      </c>
      <c r="E604" s="56" t="s">
        <v>49</v>
      </c>
      <c r="F604" s="56" t="s">
        <v>127</v>
      </c>
      <c r="G604" s="100">
        <v>400</v>
      </c>
      <c r="H604" s="100">
        <v>0</v>
      </c>
      <c r="I604" s="57">
        <v>0.15</v>
      </c>
      <c r="J604" s="99">
        <f t="shared" si="175"/>
        <v>400</v>
      </c>
      <c r="K604" s="53">
        <v>45810</v>
      </c>
      <c r="L604" s="54">
        <f t="shared" si="167"/>
        <v>2</v>
      </c>
      <c r="M604" s="55" t="str" cm="1">
        <f t="array" ref="M604">INDEX(Processing!$W$6:$W$17,MONTH('ALL ORDERS'!K604))</f>
        <v>June</v>
      </c>
      <c r="N604" s="54">
        <f t="shared" si="174"/>
        <v>2025</v>
      </c>
      <c r="O604" s="58">
        <v>0.41666666666666669</v>
      </c>
      <c r="P604" s="59" t="s">
        <v>169</v>
      </c>
      <c r="Q604" s="60" t="s">
        <v>94</v>
      </c>
      <c r="R604" s="56" t="s">
        <v>252</v>
      </c>
      <c r="S604" s="61" t="s">
        <v>41</v>
      </c>
      <c r="T604" s="62" t="s">
        <v>916</v>
      </c>
      <c r="U604" s="63" t="s">
        <v>24</v>
      </c>
      <c r="V604" s="63" t="s">
        <v>147</v>
      </c>
      <c r="W604" s="64">
        <v>5788</v>
      </c>
      <c r="X604" s="64">
        <v>5</v>
      </c>
      <c r="Y604" s="47"/>
      <c r="Z604" s="47"/>
    </row>
    <row r="605" spans="1:26" x14ac:dyDescent="0.25">
      <c r="A605" s="53">
        <v>45811</v>
      </c>
      <c r="B605" s="54">
        <f t="shared" si="165"/>
        <v>3</v>
      </c>
      <c r="C605" s="55" t="str" cm="1">
        <f t="array" ref="C605">INDEX(Processing!$C$11:$C$22,MONTH('ALL ORDERS'!A605))</f>
        <v>JUN</v>
      </c>
      <c r="D605" s="54">
        <f t="shared" si="166"/>
        <v>2025</v>
      </c>
      <c r="E605" s="56" t="s">
        <v>50</v>
      </c>
      <c r="F605" s="56" t="s">
        <v>125</v>
      </c>
      <c r="G605" s="100">
        <v>0</v>
      </c>
      <c r="H605" s="100">
        <v>300</v>
      </c>
      <c r="I605" s="57"/>
      <c r="J605" s="99">
        <f t="shared" si="175"/>
        <v>300</v>
      </c>
      <c r="K605" s="53">
        <v>45811</v>
      </c>
      <c r="L605" s="54">
        <f t="shared" si="167"/>
        <v>3</v>
      </c>
      <c r="M605" s="55" t="str" cm="1">
        <f t="array" ref="M605">INDEX(Processing!$W$6:$W$17,MONTH('ALL ORDERS'!K605))</f>
        <v>June</v>
      </c>
      <c r="N605" s="54">
        <f t="shared" si="174"/>
        <v>2025</v>
      </c>
      <c r="O605" s="58">
        <v>0.5</v>
      </c>
      <c r="P605" s="59" t="s">
        <v>222</v>
      </c>
      <c r="Q605" s="60" t="s">
        <v>94</v>
      </c>
      <c r="R605" s="56" t="s">
        <v>321</v>
      </c>
      <c r="S605" s="61" t="s">
        <v>42</v>
      </c>
      <c r="T605" s="62" t="s">
        <v>917</v>
      </c>
      <c r="U605" s="63" t="s">
        <v>26</v>
      </c>
      <c r="V605" s="63" t="s">
        <v>147</v>
      </c>
      <c r="W605" s="64">
        <v>3631</v>
      </c>
      <c r="X605" s="64">
        <v>5</v>
      </c>
      <c r="Y605" s="47"/>
      <c r="Z605" s="47"/>
    </row>
    <row r="606" spans="1:26" x14ac:dyDescent="0.25">
      <c r="A606" s="53">
        <v>45812</v>
      </c>
      <c r="B606" s="54">
        <f t="shared" si="165"/>
        <v>4</v>
      </c>
      <c r="C606" s="55" t="str" cm="1">
        <f t="array" ref="C606">INDEX(Processing!$C$11:$C$22,MONTH('ALL ORDERS'!A606))</f>
        <v>JUN</v>
      </c>
      <c r="D606" s="54">
        <f t="shared" si="166"/>
        <v>2025</v>
      </c>
      <c r="E606" s="56" t="s">
        <v>50</v>
      </c>
      <c r="F606" s="56" t="s">
        <v>130</v>
      </c>
      <c r="G606" s="100">
        <v>0</v>
      </c>
      <c r="H606" s="100">
        <v>1500</v>
      </c>
      <c r="I606" s="57"/>
      <c r="J606" s="99">
        <f t="shared" si="175"/>
        <v>1500</v>
      </c>
      <c r="K606" s="53">
        <v>45812</v>
      </c>
      <c r="L606" s="54">
        <f t="shared" si="167"/>
        <v>4</v>
      </c>
      <c r="M606" s="55" t="str" cm="1">
        <f t="array" ref="M606">INDEX(Processing!$W$6:$W$17,MONTH('ALL ORDERS'!K606))</f>
        <v>June</v>
      </c>
      <c r="N606" s="54">
        <f t="shared" si="174"/>
        <v>2025</v>
      </c>
      <c r="O606" s="58">
        <v>0.66666666666666663</v>
      </c>
      <c r="P606" s="59" t="s">
        <v>185</v>
      </c>
      <c r="Q606" s="60" t="s">
        <v>94</v>
      </c>
      <c r="R606" s="56" t="s">
        <v>270</v>
      </c>
      <c r="S606" s="61" t="s">
        <v>44</v>
      </c>
      <c r="T606" s="62" t="s">
        <v>918</v>
      </c>
      <c r="U606" s="63" t="s">
        <v>27</v>
      </c>
      <c r="V606" s="63" t="s">
        <v>147</v>
      </c>
      <c r="W606" s="64">
        <v>3522</v>
      </c>
      <c r="X606" s="64">
        <v>5</v>
      </c>
      <c r="Y606" s="47"/>
      <c r="Z606" s="47"/>
    </row>
    <row r="607" spans="1:26" x14ac:dyDescent="0.25">
      <c r="A607" s="53">
        <v>45813</v>
      </c>
      <c r="B607" s="54">
        <f t="shared" si="165"/>
        <v>5</v>
      </c>
      <c r="C607" s="55" t="str" cm="1">
        <f t="array" ref="C607">INDEX(Processing!$C$11:$C$22,MONTH('ALL ORDERS'!A607))</f>
        <v>JUN</v>
      </c>
      <c r="D607" s="54">
        <f t="shared" si="166"/>
        <v>2025</v>
      </c>
      <c r="E607" s="56" t="s">
        <v>47</v>
      </c>
      <c r="F607" s="56" t="s">
        <v>134</v>
      </c>
      <c r="G607" s="100">
        <v>0</v>
      </c>
      <c r="H607" s="100">
        <v>3000</v>
      </c>
      <c r="I607" s="57"/>
      <c r="J607" s="99">
        <f t="shared" si="175"/>
        <v>3000</v>
      </c>
      <c r="K607" s="53">
        <v>45813</v>
      </c>
      <c r="L607" s="54">
        <f t="shared" si="167"/>
        <v>5</v>
      </c>
      <c r="M607" s="55" t="str" cm="1">
        <f t="array" ref="M607">INDEX(Processing!$W$6:$W$17,MONTH('ALL ORDERS'!K607))</f>
        <v>June</v>
      </c>
      <c r="N607" s="54">
        <f t="shared" si="174"/>
        <v>2025</v>
      </c>
      <c r="O607" s="58">
        <v>0.75</v>
      </c>
      <c r="P607" s="59" t="s">
        <v>349</v>
      </c>
      <c r="Q607" s="60" t="s">
        <v>94</v>
      </c>
      <c r="R607" s="56" t="s">
        <v>311</v>
      </c>
      <c r="S607" s="61" t="s">
        <v>43</v>
      </c>
      <c r="T607" s="62" t="s">
        <v>919</v>
      </c>
      <c r="U607" s="63" t="s">
        <v>23</v>
      </c>
      <c r="V607" s="63" t="s">
        <v>147</v>
      </c>
      <c r="W607" s="64">
        <v>2873</v>
      </c>
      <c r="X607" s="64">
        <v>4</v>
      </c>
      <c r="Y607" s="47"/>
      <c r="Z607" s="47"/>
    </row>
    <row r="608" spans="1:26" x14ac:dyDescent="0.25">
      <c r="A608" s="53">
        <v>45814</v>
      </c>
      <c r="B608" s="54">
        <f t="shared" ref="B608" si="176">DAY(A608)</f>
        <v>6</v>
      </c>
      <c r="C608" s="55" t="str" cm="1">
        <f t="array" ref="C608">INDEX(Processing!$C$11:$C$22,MONTH('ALL ORDERS'!A608))</f>
        <v>JUN</v>
      </c>
      <c r="D608" s="54">
        <f t="shared" ref="D608" si="177">YEAR(A608)</f>
        <v>2025</v>
      </c>
      <c r="E608" s="56" t="s">
        <v>47</v>
      </c>
      <c r="F608" s="56" t="s">
        <v>134</v>
      </c>
      <c r="G608" s="100">
        <v>0</v>
      </c>
      <c r="H608" s="100">
        <v>27200</v>
      </c>
      <c r="I608" s="57"/>
      <c r="J608" s="99">
        <f t="shared" si="175"/>
        <v>27200</v>
      </c>
      <c r="K608" s="53">
        <v>45814</v>
      </c>
      <c r="L608" s="54">
        <f t="shared" si="167"/>
        <v>6</v>
      </c>
      <c r="M608" s="55" t="str" cm="1">
        <f t="array" ref="M608">INDEX(Processing!$W$6:$W$17,MONTH('ALL ORDERS'!K608))</f>
        <v>June</v>
      </c>
      <c r="N608" s="54">
        <f t="shared" ref="N608" si="178">YEAR(K608)</f>
        <v>2025</v>
      </c>
      <c r="O608" s="58">
        <v>0.79166666666666696</v>
      </c>
      <c r="P608" s="59" t="s">
        <v>350</v>
      </c>
      <c r="Q608" s="60" t="s">
        <v>94</v>
      </c>
      <c r="R608" s="56" t="s">
        <v>1103</v>
      </c>
      <c r="S608" s="61" t="s">
        <v>43</v>
      </c>
      <c r="T608" s="62" t="s">
        <v>930</v>
      </c>
      <c r="U608" s="63" t="s">
        <v>23</v>
      </c>
      <c r="V608" s="63" t="s">
        <v>147</v>
      </c>
      <c r="W608" s="64">
        <v>5811</v>
      </c>
      <c r="X608" s="64">
        <v>5</v>
      </c>
      <c r="Y608" s="47"/>
      <c r="Z608" s="47"/>
    </row>
    <row r="609" spans="1:26" x14ac:dyDescent="0.25">
      <c r="A609" s="53">
        <v>45814</v>
      </c>
      <c r="B609" s="54">
        <f t="shared" si="165"/>
        <v>6</v>
      </c>
      <c r="C609" s="55" t="str" cm="1">
        <f t="array" ref="C609">INDEX(Processing!$C$11:$C$22,MONTH('ALL ORDERS'!A609))</f>
        <v>JUN</v>
      </c>
      <c r="D609" s="54">
        <f t="shared" si="166"/>
        <v>2025</v>
      </c>
      <c r="E609" s="56" t="s">
        <v>50</v>
      </c>
      <c r="F609" s="56" t="s">
        <v>137</v>
      </c>
      <c r="G609" s="100">
        <v>500</v>
      </c>
      <c r="H609" s="100">
        <v>0</v>
      </c>
      <c r="I609" s="57"/>
      <c r="J609" s="99">
        <f t="shared" si="175"/>
        <v>500</v>
      </c>
      <c r="K609" s="53">
        <v>45814</v>
      </c>
      <c r="L609" s="54">
        <f t="shared" si="167"/>
        <v>6</v>
      </c>
      <c r="M609" s="55" t="str" cm="1">
        <f t="array" ref="M609">INDEX(Processing!$W$6:$W$17,MONTH('ALL ORDERS'!K609))</f>
        <v>June</v>
      </c>
      <c r="N609" s="54">
        <f t="shared" si="174"/>
        <v>2025</v>
      </c>
      <c r="O609" s="58">
        <v>0.41666666666666669</v>
      </c>
      <c r="P609" s="59" t="s">
        <v>225</v>
      </c>
      <c r="Q609" s="60" t="s">
        <v>94</v>
      </c>
      <c r="R609" s="56" t="s">
        <v>325</v>
      </c>
      <c r="S609" s="61" t="s">
        <v>45</v>
      </c>
      <c r="T609" s="70">
        <v>13900888990</v>
      </c>
      <c r="U609" s="63" t="s">
        <v>25</v>
      </c>
      <c r="V609" s="63" t="s">
        <v>147</v>
      </c>
      <c r="W609" s="64">
        <v>4533</v>
      </c>
      <c r="X609" s="64">
        <v>4</v>
      </c>
      <c r="Y609" s="47"/>
      <c r="Z609" s="47"/>
    </row>
    <row r="610" spans="1:26" x14ac:dyDescent="0.25">
      <c r="A610" s="53">
        <v>45814</v>
      </c>
      <c r="B610" s="54">
        <f t="shared" si="165"/>
        <v>6</v>
      </c>
      <c r="C610" s="55" t="str" cm="1">
        <f t="array" ref="C610">INDEX(Processing!$C$11:$C$22,MONTH('ALL ORDERS'!A610))</f>
        <v>JUN</v>
      </c>
      <c r="D610" s="54">
        <f t="shared" si="166"/>
        <v>2025</v>
      </c>
      <c r="E610" s="56" t="s">
        <v>49</v>
      </c>
      <c r="F610" s="56" t="s">
        <v>131</v>
      </c>
      <c r="G610" s="100">
        <v>0</v>
      </c>
      <c r="H610" s="100">
        <v>8000</v>
      </c>
      <c r="I610" s="57"/>
      <c r="J610" s="99">
        <f t="shared" si="175"/>
        <v>8000</v>
      </c>
      <c r="K610" s="53">
        <v>45814</v>
      </c>
      <c r="L610" s="54">
        <f t="shared" si="167"/>
        <v>6</v>
      </c>
      <c r="M610" s="55" t="str" cm="1">
        <f t="array" ref="M610">INDEX(Processing!$W$6:$W$17,MONTH('ALL ORDERS'!K610))</f>
        <v>June</v>
      </c>
      <c r="N610" s="54">
        <f t="shared" si="174"/>
        <v>2025</v>
      </c>
      <c r="O610" s="58">
        <v>0.5</v>
      </c>
      <c r="P610" s="59" t="s">
        <v>231</v>
      </c>
      <c r="Q610" s="60" t="s">
        <v>94</v>
      </c>
      <c r="R610" s="56" t="s">
        <v>331</v>
      </c>
      <c r="S610" s="61" t="s">
        <v>43</v>
      </c>
      <c r="T610" s="62" t="s">
        <v>920</v>
      </c>
      <c r="U610" s="63" t="s">
        <v>25</v>
      </c>
      <c r="V610" s="63" t="s">
        <v>148</v>
      </c>
      <c r="W610" s="64">
        <v>2970</v>
      </c>
      <c r="X610" s="64"/>
      <c r="Y610" s="47"/>
      <c r="Z610" s="47"/>
    </row>
    <row r="611" spans="1:26" x14ac:dyDescent="0.25">
      <c r="A611" s="53">
        <v>45816</v>
      </c>
      <c r="B611" s="54">
        <f t="shared" si="165"/>
        <v>8</v>
      </c>
      <c r="C611" s="55" t="str" cm="1">
        <f t="array" ref="C611">INDEX(Processing!$C$11:$C$22,MONTH('ALL ORDERS'!A611))</f>
        <v>JUN</v>
      </c>
      <c r="D611" s="54">
        <f t="shared" si="166"/>
        <v>2025</v>
      </c>
      <c r="E611" s="56" t="s">
        <v>50</v>
      </c>
      <c r="F611" s="56" t="s">
        <v>133</v>
      </c>
      <c r="G611" s="100">
        <v>400</v>
      </c>
      <c r="H611" s="100">
        <v>0</v>
      </c>
      <c r="I611" s="57"/>
      <c r="J611" s="99">
        <f t="shared" si="175"/>
        <v>400</v>
      </c>
      <c r="K611" s="53">
        <v>45816</v>
      </c>
      <c r="L611" s="54">
        <f t="shared" si="167"/>
        <v>8</v>
      </c>
      <c r="M611" s="55" t="str" cm="1">
        <f t="array" ref="M611">INDEX(Processing!$W$6:$W$17,MONTH('ALL ORDERS'!K611))</f>
        <v>June</v>
      </c>
      <c r="N611" s="54">
        <f t="shared" si="174"/>
        <v>2025</v>
      </c>
      <c r="O611" s="58">
        <v>0.66666666666666663</v>
      </c>
      <c r="P611" s="59" t="s">
        <v>223</v>
      </c>
      <c r="Q611" s="60" t="s">
        <v>94</v>
      </c>
      <c r="R611" s="56" t="s">
        <v>322</v>
      </c>
      <c r="S611" s="61" t="s">
        <v>44</v>
      </c>
      <c r="T611" s="62" t="s">
        <v>921</v>
      </c>
      <c r="U611" s="63" t="s">
        <v>25</v>
      </c>
      <c r="V611" s="63" t="s">
        <v>147</v>
      </c>
      <c r="W611" s="64">
        <v>1325</v>
      </c>
      <c r="X611" s="64">
        <v>2</v>
      </c>
      <c r="Y611" s="47"/>
      <c r="Z611" s="47"/>
    </row>
    <row r="612" spans="1:26" x14ac:dyDescent="0.25">
      <c r="A612" s="53">
        <v>45817</v>
      </c>
      <c r="B612" s="54">
        <f t="shared" ref="B612:B677" si="179">DAY(A612)</f>
        <v>9</v>
      </c>
      <c r="C612" s="55" t="str" cm="1">
        <f t="array" ref="C612">INDEX(Processing!$C$11:$C$22,MONTH('ALL ORDERS'!A612))</f>
        <v>JUN</v>
      </c>
      <c r="D612" s="54">
        <f t="shared" ref="D612:D677" si="180">YEAR(A612)</f>
        <v>2025</v>
      </c>
      <c r="E612" s="56" t="s">
        <v>50</v>
      </c>
      <c r="F612" s="56" t="s">
        <v>133</v>
      </c>
      <c r="G612" s="100">
        <v>0</v>
      </c>
      <c r="H612" s="100">
        <v>300</v>
      </c>
      <c r="I612" s="57"/>
      <c r="J612" s="99">
        <f t="shared" si="175"/>
        <v>300</v>
      </c>
      <c r="K612" s="53">
        <v>45817</v>
      </c>
      <c r="L612" s="54">
        <f t="shared" si="167"/>
        <v>9</v>
      </c>
      <c r="M612" s="55" t="str" cm="1">
        <f t="array" ref="M612">INDEX(Processing!$W$6:$W$17,MONTH('ALL ORDERS'!K612))</f>
        <v>June</v>
      </c>
      <c r="N612" s="54">
        <f t="shared" si="174"/>
        <v>2025</v>
      </c>
      <c r="O612" s="58">
        <v>0.75</v>
      </c>
      <c r="P612" s="59" t="s">
        <v>210</v>
      </c>
      <c r="Q612" s="60" t="s">
        <v>90</v>
      </c>
      <c r="R612" s="56" t="s">
        <v>298</v>
      </c>
      <c r="S612" s="61" t="s">
        <v>41</v>
      </c>
      <c r="T612" s="62" t="s">
        <v>922</v>
      </c>
      <c r="U612" s="63" t="s">
        <v>25</v>
      </c>
      <c r="V612" s="63" t="s">
        <v>147</v>
      </c>
      <c r="W612" s="64">
        <v>3408</v>
      </c>
      <c r="X612" s="64">
        <v>4</v>
      </c>
      <c r="Y612" s="47"/>
      <c r="Z612" s="47"/>
    </row>
    <row r="613" spans="1:26" x14ac:dyDescent="0.25">
      <c r="A613" s="53">
        <v>45818</v>
      </c>
      <c r="B613" s="54">
        <f t="shared" si="179"/>
        <v>10</v>
      </c>
      <c r="C613" s="55" t="str" cm="1">
        <f t="array" ref="C613">INDEX(Processing!$C$11:$C$22,MONTH('ALL ORDERS'!A613))</f>
        <v>JUN</v>
      </c>
      <c r="D613" s="54">
        <f t="shared" si="180"/>
        <v>2025</v>
      </c>
      <c r="E613" s="56" t="s">
        <v>47</v>
      </c>
      <c r="F613" s="56" t="s">
        <v>134</v>
      </c>
      <c r="G613" s="100">
        <v>0</v>
      </c>
      <c r="H613" s="100">
        <v>1500</v>
      </c>
      <c r="I613" s="57"/>
      <c r="J613" s="99">
        <f t="shared" si="175"/>
        <v>1500</v>
      </c>
      <c r="K613" s="53">
        <v>45818</v>
      </c>
      <c r="L613" s="54">
        <f t="shared" si="167"/>
        <v>10</v>
      </c>
      <c r="M613" s="55" t="str" cm="1">
        <f t="array" ref="M613">INDEX(Processing!$W$6:$W$17,MONTH('ALL ORDERS'!K613))</f>
        <v>June</v>
      </c>
      <c r="N613" s="54">
        <f t="shared" si="174"/>
        <v>2025</v>
      </c>
      <c r="O613" s="58">
        <v>0.41666666666666669</v>
      </c>
      <c r="P613" s="59" t="s">
        <v>338</v>
      </c>
      <c r="Q613" s="60" t="s">
        <v>94</v>
      </c>
      <c r="R613" s="56" t="s">
        <v>253</v>
      </c>
      <c r="S613" s="61" t="s">
        <v>42</v>
      </c>
      <c r="T613" s="62" t="s">
        <v>923</v>
      </c>
      <c r="U613" s="63" t="s">
        <v>23</v>
      </c>
      <c r="V613" s="63" t="s">
        <v>147</v>
      </c>
      <c r="W613" s="64">
        <v>5831</v>
      </c>
      <c r="X613" s="64">
        <v>4</v>
      </c>
      <c r="Y613" s="47"/>
      <c r="Z613" s="47"/>
    </row>
    <row r="614" spans="1:26" x14ac:dyDescent="0.25">
      <c r="A614" s="53">
        <v>45819</v>
      </c>
      <c r="B614" s="54">
        <f t="shared" si="179"/>
        <v>11</v>
      </c>
      <c r="C614" s="55" t="str" cm="1">
        <f t="array" ref="C614">INDEX(Processing!$C$11:$C$22,MONTH('ALL ORDERS'!A614))</f>
        <v>JUN</v>
      </c>
      <c r="D614" s="54">
        <f t="shared" si="180"/>
        <v>2025</v>
      </c>
      <c r="E614" s="56" t="s">
        <v>50</v>
      </c>
      <c r="F614" s="56" t="s">
        <v>134</v>
      </c>
      <c r="G614" s="100">
        <v>0</v>
      </c>
      <c r="H614" s="100">
        <v>3000</v>
      </c>
      <c r="I614" s="57"/>
      <c r="J614" s="99">
        <f t="shared" si="175"/>
        <v>3000</v>
      </c>
      <c r="K614" s="53">
        <v>45819</v>
      </c>
      <c r="L614" s="54">
        <f t="shared" si="167"/>
        <v>11</v>
      </c>
      <c r="M614" s="55" t="str" cm="1">
        <f t="array" ref="M614">INDEX(Processing!$W$6:$W$17,MONTH('ALL ORDERS'!K614))</f>
        <v>June</v>
      </c>
      <c r="N614" s="54">
        <f t="shared" si="174"/>
        <v>2025</v>
      </c>
      <c r="O614" s="58">
        <v>0.5</v>
      </c>
      <c r="P614" s="59" t="s">
        <v>174</v>
      </c>
      <c r="Q614" s="60" t="s">
        <v>94</v>
      </c>
      <c r="R614" s="56" t="s">
        <v>258</v>
      </c>
      <c r="S614" s="61" t="s">
        <v>42</v>
      </c>
      <c r="T614" s="62" t="s">
        <v>924</v>
      </c>
      <c r="U614" s="63" t="s">
        <v>27</v>
      </c>
      <c r="V614" s="63" t="s">
        <v>147</v>
      </c>
      <c r="W614" s="64">
        <v>2537</v>
      </c>
      <c r="X614" s="64">
        <v>4</v>
      </c>
      <c r="Y614" s="47"/>
      <c r="Z614" s="47"/>
    </row>
    <row r="615" spans="1:26" x14ac:dyDescent="0.25">
      <c r="A615" s="53">
        <v>45820</v>
      </c>
      <c r="B615" s="54">
        <f t="shared" si="179"/>
        <v>12</v>
      </c>
      <c r="C615" s="55" t="str" cm="1">
        <f t="array" ref="C615">INDEX(Processing!$C$11:$C$22,MONTH('ALL ORDERS'!A615))</f>
        <v>JUN</v>
      </c>
      <c r="D615" s="54">
        <f t="shared" si="180"/>
        <v>2025</v>
      </c>
      <c r="E615" s="56" t="s">
        <v>49</v>
      </c>
      <c r="F615" s="56" t="s">
        <v>19</v>
      </c>
      <c r="G615" s="100">
        <v>500</v>
      </c>
      <c r="H615" s="100">
        <v>0</v>
      </c>
      <c r="I615" s="57"/>
      <c r="J615" s="99">
        <f t="shared" si="175"/>
        <v>500</v>
      </c>
      <c r="K615" s="53">
        <v>45820</v>
      </c>
      <c r="L615" s="54">
        <f t="shared" si="167"/>
        <v>12</v>
      </c>
      <c r="M615" s="55" t="str" cm="1">
        <f t="array" ref="M615">INDEX(Processing!$W$6:$W$17,MONTH('ALL ORDERS'!K615))</f>
        <v>June</v>
      </c>
      <c r="N615" s="54">
        <f t="shared" si="174"/>
        <v>2025</v>
      </c>
      <c r="O615" s="58">
        <v>0.66666666666666663</v>
      </c>
      <c r="P615" s="59" t="s">
        <v>232</v>
      </c>
      <c r="Q615" s="60" t="s">
        <v>94</v>
      </c>
      <c r="R615" s="56" t="s">
        <v>332</v>
      </c>
      <c r="S615" s="61" t="s">
        <v>41</v>
      </c>
      <c r="T615" s="62" t="s">
        <v>925</v>
      </c>
      <c r="U615" s="63" t="s">
        <v>24</v>
      </c>
      <c r="V615" s="63" t="s">
        <v>147</v>
      </c>
      <c r="W615" s="64">
        <v>5926</v>
      </c>
      <c r="X615" s="64">
        <v>2</v>
      </c>
      <c r="Y615" s="47"/>
      <c r="Z615" s="47"/>
    </row>
    <row r="616" spans="1:26" x14ac:dyDescent="0.25">
      <c r="A616" s="53">
        <v>45821</v>
      </c>
      <c r="B616" s="54">
        <f t="shared" si="179"/>
        <v>13</v>
      </c>
      <c r="C616" s="55" t="str" cm="1">
        <f t="array" ref="C616">INDEX(Processing!$C$11:$C$22,MONTH('ALL ORDERS'!A616))</f>
        <v>JUN</v>
      </c>
      <c r="D616" s="54">
        <f t="shared" si="180"/>
        <v>2025</v>
      </c>
      <c r="E616" s="56" t="s">
        <v>50</v>
      </c>
      <c r="F616" s="56" t="s">
        <v>19</v>
      </c>
      <c r="G616" s="100">
        <v>0</v>
      </c>
      <c r="H616" s="100">
        <v>8000</v>
      </c>
      <c r="I616" s="57">
        <v>0.15</v>
      </c>
      <c r="J616" s="99">
        <f t="shared" si="175"/>
        <v>8000</v>
      </c>
      <c r="K616" s="53">
        <v>45821</v>
      </c>
      <c r="L616" s="54">
        <f t="shared" si="167"/>
        <v>13</v>
      </c>
      <c r="M616" s="55" t="str" cm="1">
        <f t="array" ref="M616">INDEX(Processing!$W$6:$W$17,MONTH('ALL ORDERS'!K616))</f>
        <v>June</v>
      </c>
      <c r="N616" s="54">
        <f t="shared" si="174"/>
        <v>2025</v>
      </c>
      <c r="O616" s="58">
        <v>0.75</v>
      </c>
      <c r="P616" s="59" t="s">
        <v>167</v>
      </c>
      <c r="Q616" s="60" t="s">
        <v>91</v>
      </c>
      <c r="R616" s="56" t="s">
        <v>250</v>
      </c>
      <c r="S616" s="61" t="s">
        <v>43</v>
      </c>
      <c r="T616" s="62" t="s">
        <v>926</v>
      </c>
      <c r="U616" s="63" t="s">
        <v>24</v>
      </c>
      <c r="V616" s="63" t="s">
        <v>147</v>
      </c>
      <c r="W616" s="64">
        <v>4359</v>
      </c>
      <c r="X616" s="64">
        <v>4</v>
      </c>
      <c r="Y616" s="47"/>
      <c r="Z616" s="47"/>
    </row>
    <row r="617" spans="1:26" x14ac:dyDescent="0.25">
      <c r="A617" s="53">
        <v>45822</v>
      </c>
      <c r="B617" s="54">
        <f t="shared" si="179"/>
        <v>14</v>
      </c>
      <c r="C617" s="55" t="str" cm="1">
        <f t="array" ref="C617">INDEX(Processing!$C$11:$C$22,MONTH('ALL ORDERS'!A617))</f>
        <v>JUN</v>
      </c>
      <c r="D617" s="54">
        <f t="shared" si="180"/>
        <v>2025</v>
      </c>
      <c r="E617" s="56" t="s">
        <v>48</v>
      </c>
      <c r="F617" s="56" t="s">
        <v>128</v>
      </c>
      <c r="G617" s="100">
        <v>400</v>
      </c>
      <c r="H617" s="100">
        <v>10000</v>
      </c>
      <c r="I617" s="57"/>
      <c r="J617" s="99">
        <f t="shared" si="175"/>
        <v>10400</v>
      </c>
      <c r="K617" s="53">
        <v>45822</v>
      </c>
      <c r="L617" s="54">
        <f t="shared" ref="L617:L682" si="181">DAY(K617)</f>
        <v>14</v>
      </c>
      <c r="M617" s="55" t="str" cm="1">
        <f t="array" ref="M617">INDEX(Processing!$W$6:$W$17,MONTH('ALL ORDERS'!K617))</f>
        <v>June</v>
      </c>
      <c r="N617" s="54">
        <f t="shared" si="174"/>
        <v>2025</v>
      </c>
      <c r="O617" s="58">
        <v>0.375</v>
      </c>
      <c r="P617" s="59" t="s">
        <v>347</v>
      </c>
      <c r="Q617" s="60" t="s">
        <v>94</v>
      </c>
      <c r="R617" s="56" t="s">
        <v>309</v>
      </c>
      <c r="S617" s="61" t="s">
        <v>45</v>
      </c>
      <c r="T617" s="62" t="s">
        <v>927</v>
      </c>
      <c r="U617" s="63" t="s">
        <v>26</v>
      </c>
      <c r="V617" s="63" t="s">
        <v>147</v>
      </c>
      <c r="W617" s="64">
        <v>1977</v>
      </c>
      <c r="X617" s="64">
        <v>4</v>
      </c>
      <c r="Y617" s="47"/>
      <c r="Z617" s="47"/>
    </row>
    <row r="618" spans="1:26" x14ac:dyDescent="0.25">
      <c r="A618" s="53">
        <v>45823</v>
      </c>
      <c r="B618" s="54">
        <f t="shared" si="179"/>
        <v>15</v>
      </c>
      <c r="C618" s="55" t="str" cm="1">
        <f t="array" ref="C618">INDEX(Processing!$C$11:$C$22,MONTH('ALL ORDERS'!A618))</f>
        <v>JUN</v>
      </c>
      <c r="D618" s="54">
        <f t="shared" si="180"/>
        <v>2025</v>
      </c>
      <c r="E618" s="56" t="s">
        <v>51</v>
      </c>
      <c r="F618" s="56" t="s">
        <v>22</v>
      </c>
      <c r="G618" s="100">
        <v>10000</v>
      </c>
      <c r="H618" s="100">
        <v>300</v>
      </c>
      <c r="I618" s="57"/>
      <c r="J618" s="99">
        <f t="shared" si="175"/>
        <v>10300</v>
      </c>
      <c r="K618" s="53">
        <v>45823</v>
      </c>
      <c r="L618" s="54">
        <f t="shared" si="181"/>
        <v>15</v>
      </c>
      <c r="M618" s="55" t="str" cm="1">
        <f t="array" ref="M618">INDEX(Processing!$W$6:$W$17,MONTH('ALL ORDERS'!K618))</f>
        <v>June</v>
      </c>
      <c r="N618" s="54">
        <f t="shared" si="174"/>
        <v>2025</v>
      </c>
      <c r="O618" s="58">
        <v>0.45833333333333331</v>
      </c>
      <c r="P618" s="59" t="s">
        <v>216</v>
      </c>
      <c r="Q618" s="60" t="s">
        <v>94</v>
      </c>
      <c r="R618" s="56" t="s">
        <v>305</v>
      </c>
      <c r="S618" s="61" t="s">
        <v>43</v>
      </c>
      <c r="T618" s="62" t="s">
        <v>928</v>
      </c>
      <c r="U618" s="63" t="s">
        <v>24</v>
      </c>
      <c r="V618" s="63" t="s">
        <v>147</v>
      </c>
      <c r="W618" s="64">
        <v>831</v>
      </c>
      <c r="X618" s="64">
        <v>4</v>
      </c>
      <c r="Y618" s="47"/>
      <c r="Z618" s="47"/>
    </row>
    <row r="619" spans="1:26" x14ac:dyDescent="0.25">
      <c r="A619" s="53">
        <v>45823</v>
      </c>
      <c r="B619" s="54">
        <f t="shared" si="179"/>
        <v>15</v>
      </c>
      <c r="C619" s="55" t="str" cm="1">
        <f t="array" ref="C619">INDEX(Processing!$C$11:$C$22,MONTH('ALL ORDERS'!A619))</f>
        <v>JUN</v>
      </c>
      <c r="D619" s="54">
        <f t="shared" si="180"/>
        <v>2025</v>
      </c>
      <c r="E619" s="56" t="s">
        <v>49</v>
      </c>
      <c r="F619" s="56" t="s">
        <v>127</v>
      </c>
      <c r="G619" s="100">
        <v>0</v>
      </c>
      <c r="H619" s="100">
        <v>1500</v>
      </c>
      <c r="I619" s="57"/>
      <c r="J619" s="99">
        <f t="shared" si="175"/>
        <v>1500</v>
      </c>
      <c r="K619" s="53">
        <v>45823</v>
      </c>
      <c r="L619" s="54">
        <f t="shared" si="181"/>
        <v>15</v>
      </c>
      <c r="M619" s="55" t="str" cm="1">
        <f t="array" ref="M619">INDEX(Processing!$W$6:$W$17,MONTH('ALL ORDERS'!K619))</f>
        <v>June</v>
      </c>
      <c r="N619" s="54">
        <f t="shared" si="174"/>
        <v>2025</v>
      </c>
      <c r="O619" s="58">
        <v>0.625</v>
      </c>
      <c r="P619" s="59" t="s">
        <v>199</v>
      </c>
      <c r="Q619" s="60" t="s">
        <v>90</v>
      </c>
      <c r="R619" s="56" t="s">
        <v>286</v>
      </c>
      <c r="S619" s="61" t="s">
        <v>41</v>
      </c>
      <c r="T619" s="62" t="s">
        <v>929</v>
      </c>
      <c r="U619" s="63" t="s">
        <v>26</v>
      </c>
      <c r="V619" s="63" t="s">
        <v>147</v>
      </c>
      <c r="W619" s="64">
        <v>3844</v>
      </c>
      <c r="X619" s="64">
        <v>3</v>
      </c>
      <c r="Y619" s="47"/>
      <c r="Z619" s="47"/>
    </row>
    <row r="620" spans="1:26" x14ac:dyDescent="0.25">
      <c r="A620" s="53">
        <v>45823</v>
      </c>
      <c r="B620" s="54">
        <f t="shared" si="179"/>
        <v>15</v>
      </c>
      <c r="C620" s="55" t="str" cm="1">
        <f t="array" ref="C620">INDEX(Processing!$C$11:$C$22,MONTH('ALL ORDERS'!A620))</f>
        <v>JUN</v>
      </c>
      <c r="D620" s="54">
        <f t="shared" si="180"/>
        <v>2025</v>
      </c>
      <c r="E620" s="56" t="s">
        <v>47</v>
      </c>
      <c r="F620" s="56" t="s">
        <v>125</v>
      </c>
      <c r="G620" s="100">
        <v>0</v>
      </c>
      <c r="H620" s="100">
        <v>3000</v>
      </c>
      <c r="I620" s="57"/>
      <c r="J620" s="99">
        <f t="shared" si="175"/>
        <v>3000</v>
      </c>
      <c r="K620" s="53">
        <v>45823</v>
      </c>
      <c r="L620" s="54">
        <f t="shared" si="181"/>
        <v>15</v>
      </c>
      <c r="M620" s="55" t="str" cm="1">
        <f t="array" ref="M620">INDEX(Processing!$W$6:$W$17,MONTH('ALL ORDERS'!K620))</f>
        <v>June</v>
      </c>
      <c r="N620" s="54">
        <f t="shared" si="174"/>
        <v>2025</v>
      </c>
      <c r="O620" s="58">
        <v>0.45833333333333331</v>
      </c>
      <c r="P620" s="59" t="s">
        <v>227</v>
      </c>
      <c r="Q620" s="60" t="s">
        <v>94</v>
      </c>
      <c r="R620" s="56" t="s">
        <v>327</v>
      </c>
      <c r="S620" s="61" t="s">
        <v>42</v>
      </c>
      <c r="T620" s="62" t="s">
        <v>930</v>
      </c>
      <c r="U620" s="63" t="s">
        <v>26</v>
      </c>
      <c r="V620" s="63" t="s">
        <v>147</v>
      </c>
      <c r="W620" s="64">
        <v>1724</v>
      </c>
      <c r="X620" s="64">
        <v>4</v>
      </c>
      <c r="Y620" s="47"/>
      <c r="Z620" s="47"/>
    </row>
    <row r="621" spans="1:26" x14ac:dyDescent="0.25">
      <c r="A621" s="53">
        <v>45826</v>
      </c>
      <c r="B621" s="54">
        <f t="shared" si="179"/>
        <v>18</v>
      </c>
      <c r="C621" s="55" t="str" cm="1">
        <f t="array" ref="C621">INDEX(Processing!$C$11:$C$22,MONTH('ALL ORDERS'!A621))</f>
        <v>JUN</v>
      </c>
      <c r="D621" s="54">
        <f t="shared" si="180"/>
        <v>2025</v>
      </c>
      <c r="E621" s="56" t="s">
        <v>47</v>
      </c>
      <c r="F621" s="56" t="s">
        <v>130</v>
      </c>
      <c r="G621" s="100">
        <v>500</v>
      </c>
      <c r="H621" s="100">
        <v>0</v>
      </c>
      <c r="I621" s="57"/>
      <c r="J621" s="99">
        <f t="shared" si="175"/>
        <v>500</v>
      </c>
      <c r="K621" s="53">
        <v>45826</v>
      </c>
      <c r="L621" s="54">
        <f t="shared" si="181"/>
        <v>18</v>
      </c>
      <c r="M621" s="55" t="str" cm="1">
        <f t="array" ref="M621">INDEX(Processing!$W$6:$W$17,MONTH('ALL ORDERS'!K621))</f>
        <v>June</v>
      </c>
      <c r="N621" s="54">
        <f t="shared" si="174"/>
        <v>2025</v>
      </c>
      <c r="O621" s="58">
        <v>0.375</v>
      </c>
      <c r="P621" s="59" t="s">
        <v>198</v>
      </c>
      <c r="Q621" s="60" t="s">
        <v>94</v>
      </c>
      <c r="R621" s="56" t="s">
        <v>285</v>
      </c>
      <c r="S621" s="61" t="s">
        <v>42</v>
      </c>
      <c r="T621" s="70">
        <v>12900888990</v>
      </c>
      <c r="U621" s="63" t="s">
        <v>24</v>
      </c>
      <c r="V621" s="63" t="s">
        <v>147</v>
      </c>
      <c r="W621" s="64">
        <v>3576</v>
      </c>
      <c r="X621" s="64">
        <v>4</v>
      </c>
      <c r="Y621" s="47"/>
      <c r="Z621" s="47"/>
    </row>
    <row r="622" spans="1:26" x14ac:dyDescent="0.25">
      <c r="A622" s="53">
        <v>45827</v>
      </c>
      <c r="B622" s="54">
        <f t="shared" si="179"/>
        <v>19</v>
      </c>
      <c r="C622" s="55" t="str" cm="1">
        <f t="array" ref="C622">INDEX(Processing!$C$11:$C$22,MONTH('ALL ORDERS'!A622))</f>
        <v>JUN</v>
      </c>
      <c r="D622" s="54">
        <f t="shared" si="180"/>
        <v>2025</v>
      </c>
      <c r="E622" s="56" t="s">
        <v>50</v>
      </c>
      <c r="F622" s="56" t="s">
        <v>134</v>
      </c>
      <c r="G622" s="100">
        <v>0</v>
      </c>
      <c r="H622" s="100">
        <v>8000</v>
      </c>
      <c r="I622" s="57"/>
      <c r="J622" s="99">
        <f t="shared" si="175"/>
        <v>8000</v>
      </c>
      <c r="K622" s="53">
        <v>45827</v>
      </c>
      <c r="L622" s="54">
        <f t="shared" si="181"/>
        <v>19</v>
      </c>
      <c r="M622" s="55" t="str" cm="1">
        <f t="array" ref="M622">INDEX(Processing!$W$6:$W$17,MONTH('ALL ORDERS'!K622))</f>
        <v>June</v>
      </c>
      <c r="N622" s="54">
        <f t="shared" si="174"/>
        <v>2025</v>
      </c>
      <c r="O622" s="58">
        <v>0.45833333333333331</v>
      </c>
      <c r="P622" s="59" t="s">
        <v>183</v>
      </c>
      <c r="Q622" s="60" t="s">
        <v>91</v>
      </c>
      <c r="R622" s="56" t="s">
        <v>268</v>
      </c>
      <c r="S622" s="61" t="s">
        <v>42</v>
      </c>
      <c r="T622" s="62" t="s">
        <v>931</v>
      </c>
      <c r="U622" s="63" t="s">
        <v>25</v>
      </c>
      <c r="V622" s="63" t="s">
        <v>147</v>
      </c>
      <c r="W622" s="64">
        <v>1363</v>
      </c>
      <c r="X622" s="64">
        <v>5</v>
      </c>
      <c r="Y622" s="47"/>
      <c r="Z622" s="47"/>
    </row>
    <row r="623" spans="1:26" x14ac:dyDescent="0.25">
      <c r="A623" s="53">
        <v>45828</v>
      </c>
      <c r="B623" s="54">
        <f t="shared" si="179"/>
        <v>20</v>
      </c>
      <c r="C623" s="55" t="str" cm="1">
        <f t="array" ref="C623">INDEX(Processing!$C$11:$C$22,MONTH('ALL ORDERS'!A623))</f>
        <v>JUN</v>
      </c>
      <c r="D623" s="54">
        <f t="shared" si="180"/>
        <v>2025</v>
      </c>
      <c r="E623" s="56" t="s">
        <v>47</v>
      </c>
      <c r="F623" s="56" t="s">
        <v>137</v>
      </c>
      <c r="G623" s="100">
        <v>400</v>
      </c>
      <c r="H623" s="100">
        <v>0</v>
      </c>
      <c r="I623" s="57"/>
      <c r="J623" s="99">
        <f t="shared" si="175"/>
        <v>400</v>
      </c>
      <c r="K623" s="53">
        <v>45828</v>
      </c>
      <c r="L623" s="54">
        <f t="shared" si="181"/>
        <v>20</v>
      </c>
      <c r="M623" s="55" t="str" cm="1">
        <f t="array" ref="M623">INDEX(Processing!$W$6:$W$17,MONTH('ALL ORDERS'!K623))</f>
        <v>June</v>
      </c>
      <c r="N623" s="54">
        <f t="shared" si="174"/>
        <v>2025</v>
      </c>
      <c r="O623" s="58">
        <v>0.625</v>
      </c>
      <c r="P623" s="59" t="s">
        <v>345</v>
      </c>
      <c r="Q623" s="60" t="s">
        <v>94</v>
      </c>
      <c r="R623" s="56" t="s">
        <v>307</v>
      </c>
      <c r="S623" s="61" t="s">
        <v>41</v>
      </c>
      <c r="T623" s="62" t="s">
        <v>932</v>
      </c>
      <c r="U623" s="63" t="s">
        <v>25</v>
      </c>
      <c r="V623" s="63" t="s">
        <v>147</v>
      </c>
      <c r="W623" s="64">
        <v>2283</v>
      </c>
      <c r="X623" s="64">
        <v>3</v>
      </c>
      <c r="Y623" s="47"/>
      <c r="Z623" s="47"/>
    </row>
    <row r="624" spans="1:26" x14ac:dyDescent="0.25">
      <c r="A624" s="53">
        <v>45829</v>
      </c>
      <c r="B624" s="54">
        <f t="shared" si="179"/>
        <v>21</v>
      </c>
      <c r="C624" s="55" t="str" cm="1">
        <f t="array" ref="C624">INDEX(Processing!$C$11:$C$22,MONTH('ALL ORDERS'!A624))</f>
        <v>JUN</v>
      </c>
      <c r="D624" s="54">
        <f t="shared" si="180"/>
        <v>2025</v>
      </c>
      <c r="E624" s="56" t="s">
        <v>48</v>
      </c>
      <c r="F624" s="56" t="s">
        <v>131</v>
      </c>
      <c r="G624" s="100">
        <v>0</v>
      </c>
      <c r="H624" s="100">
        <v>300</v>
      </c>
      <c r="I624" s="57">
        <v>0.15</v>
      </c>
      <c r="J624" s="99">
        <f t="shared" si="175"/>
        <v>300</v>
      </c>
      <c r="K624" s="53">
        <v>45829</v>
      </c>
      <c r="L624" s="54">
        <f t="shared" si="181"/>
        <v>21</v>
      </c>
      <c r="M624" s="55" t="str" cm="1">
        <f t="array" ref="M624">INDEX(Processing!$W$6:$W$17,MONTH('ALL ORDERS'!K624))</f>
        <v>June</v>
      </c>
      <c r="N624" s="54">
        <f t="shared" si="174"/>
        <v>2025</v>
      </c>
      <c r="O624" s="58">
        <v>0.45833333333333331</v>
      </c>
      <c r="P624" s="59" t="s">
        <v>227</v>
      </c>
      <c r="Q624" s="60" t="s">
        <v>94</v>
      </c>
      <c r="R624" s="56" t="s">
        <v>327</v>
      </c>
      <c r="S624" s="61" t="s">
        <v>41</v>
      </c>
      <c r="T624" s="62" t="s">
        <v>933</v>
      </c>
      <c r="U624" s="63" t="s">
        <v>25</v>
      </c>
      <c r="V624" s="63" t="s">
        <v>147</v>
      </c>
      <c r="W624" s="64">
        <v>2606</v>
      </c>
      <c r="X624" s="64">
        <v>2</v>
      </c>
      <c r="Y624" s="47"/>
      <c r="Z624" s="47"/>
    </row>
    <row r="625" spans="1:26" x14ac:dyDescent="0.25">
      <c r="A625" s="53">
        <v>45830</v>
      </c>
      <c r="B625" s="54">
        <f t="shared" si="179"/>
        <v>22</v>
      </c>
      <c r="C625" s="55" t="str" cm="1">
        <f t="array" ref="C625">INDEX(Processing!$C$11:$C$22,MONTH('ALL ORDERS'!A625))</f>
        <v>JUN</v>
      </c>
      <c r="D625" s="54">
        <f t="shared" si="180"/>
        <v>2025</v>
      </c>
      <c r="E625" s="56" t="s">
        <v>49</v>
      </c>
      <c r="F625" s="56" t="s">
        <v>133</v>
      </c>
      <c r="G625" s="100">
        <v>0</v>
      </c>
      <c r="H625" s="100">
        <v>1500</v>
      </c>
      <c r="I625" s="57">
        <v>0.15</v>
      </c>
      <c r="J625" s="99">
        <f t="shared" si="175"/>
        <v>1500</v>
      </c>
      <c r="K625" s="53">
        <v>45830</v>
      </c>
      <c r="L625" s="54">
        <f t="shared" si="181"/>
        <v>22</v>
      </c>
      <c r="M625" s="55" t="str" cm="1">
        <f t="array" ref="M625">INDEX(Processing!$W$6:$W$17,MONTH('ALL ORDERS'!K625))</f>
        <v>June</v>
      </c>
      <c r="N625" s="54">
        <f t="shared" si="174"/>
        <v>2025</v>
      </c>
      <c r="O625" s="58">
        <v>0.375</v>
      </c>
      <c r="P625" s="59" t="s">
        <v>205</v>
      </c>
      <c r="Q625" s="60" t="s">
        <v>94</v>
      </c>
      <c r="R625" s="56" t="s">
        <v>292</v>
      </c>
      <c r="S625" s="61" t="s">
        <v>42</v>
      </c>
      <c r="T625" s="62" t="s">
        <v>934</v>
      </c>
      <c r="U625" s="63" t="s">
        <v>23</v>
      </c>
      <c r="V625" s="63" t="s">
        <v>147</v>
      </c>
      <c r="W625" s="64">
        <v>2994</v>
      </c>
      <c r="X625" s="64">
        <v>4</v>
      </c>
      <c r="Y625" s="47"/>
      <c r="Z625" s="47"/>
    </row>
    <row r="626" spans="1:26" x14ac:dyDescent="0.25">
      <c r="A626" s="53">
        <v>45831</v>
      </c>
      <c r="B626" s="54">
        <f t="shared" si="179"/>
        <v>23</v>
      </c>
      <c r="C626" s="55" t="str" cm="1">
        <f t="array" ref="C626">INDEX(Processing!$C$11:$C$22,MONTH('ALL ORDERS'!A626))</f>
        <v>JUN</v>
      </c>
      <c r="D626" s="54">
        <f t="shared" si="180"/>
        <v>2025</v>
      </c>
      <c r="E626" s="56" t="s">
        <v>47</v>
      </c>
      <c r="F626" s="56" t="s">
        <v>133</v>
      </c>
      <c r="G626" s="100">
        <v>400</v>
      </c>
      <c r="H626" s="100">
        <v>0</v>
      </c>
      <c r="I626" s="57">
        <v>0.15</v>
      </c>
      <c r="J626" s="99">
        <f t="shared" si="175"/>
        <v>400</v>
      </c>
      <c r="K626" s="53">
        <v>45831</v>
      </c>
      <c r="L626" s="54">
        <f t="shared" si="181"/>
        <v>23</v>
      </c>
      <c r="M626" s="55" t="str" cm="1">
        <f t="array" ref="M626">INDEX(Processing!$W$6:$W$17,MONTH('ALL ORDERS'!K626))</f>
        <v>June</v>
      </c>
      <c r="N626" s="54">
        <f t="shared" si="174"/>
        <v>2025</v>
      </c>
      <c r="O626" s="58">
        <v>0.45833333333333331</v>
      </c>
      <c r="P626" s="59" t="s">
        <v>355</v>
      </c>
      <c r="Q626" s="60" t="s">
        <v>92</v>
      </c>
      <c r="R626" s="56" t="s">
        <v>333</v>
      </c>
      <c r="S626" s="61" t="s">
        <v>44</v>
      </c>
      <c r="T626" s="62" t="s">
        <v>935</v>
      </c>
      <c r="U626" s="63" t="s">
        <v>27</v>
      </c>
      <c r="V626" s="63" t="s">
        <v>147</v>
      </c>
      <c r="W626" s="64">
        <v>3123</v>
      </c>
      <c r="X626" s="64">
        <v>5</v>
      </c>
      <c r="Y626" s="47"/>
      <c r="Z626" s="47"/>
    </row>
    <row r="627" spans="1:26" x14ac:dyDescent="0.25">
      <c r="A627" s="53">
        <v>45832</v>
      </c>
      <c r="B627" s="54">
        <f t="shared" si="179"/>
        <v>24</v>
      </c>
      <c r="C627" s="55" t="str" cm="1">
        <f t="array" ref="C627">INDEX(Processing!$C$11:$C$22,MONTH('ALL ORDERS'!A627))</f>
        <v>JUN</v>
      </c>
      <c r="D627" s="54">
        <f t="shared" si="180"/>
        <v>2025</v>
      </c>
      <c r="E627" s="56" t="s">
        <v>50</v>
      </c>
      <c r="F627" s="56" t="s">
        <v>134</v>
      </c>
      <c r="G627" s="100">
        <v>0</v>
      </c>
      <c r="H627" s="100">
        <v>300</v>
      </c>
      <c r="I627" s="57">
        <v>0.15</v>
      </c>
      <c r="J627" s="99">
        <f t="shared" si="175"/>
        <v>300</v>
      </c>
      <c r="K627" s="53">
        <v>45832</v>
      </c>
      <c r="L627" s="54">
        <f t="shared" si="181"/>
        <v>24</v>
      </c>
      <c r="M627" s="55" t="str" cm="1">
        <f t="array" ref="M627">INDEX(Processing!$W$6:$W$17,MONTH('ALL ORDERS'!K627))</f>
        <v>June</v>
      </c>
      <c r="N627" s="54">
        <f t="shared" si="174"/>
        <v>2025</v>
      </c>
      <c r="O627" s="58">
        <v>0.625</v>
      </c>
      <c r="P627" s="59" t="s">
        <v>173</v>
      </c>
      <c r="Q627" s="60" t="s">
        <v>90</v>
      </c>
      <c r="R627" s="56" t="s">
        <v>257</v>
      </c>
      <c r="S627" s="61" t="s">
        <v>42</v>
      </c>
      <c r="T627" s="62" t="s">
        <v>936</v>
      </c>
      <c r="U627" s="63" t="s">
        <v>24</v>
      </c>
      <c r="V627" s="63" t="s">
        <v>147</v>
      </c>
      <c r="W627" s="64">
        <v>1646</v>
      </c>
      <c r="X627" s="64">
        <v>5</v>
      </c>
      <c r="Y627" s="47"/>
      <c r="Z627" s="47"/>
    </row>
    <row r="628" spans="1:26" x14ac:dyDescent="0.25">
      <c r="A628" s="53">
        <v>45833</v>
      </c>
      <c r="B628" s="54">
        <f t="shared" si="179"/>
        <v>25</v>
      </c>
      <c r="C628" s="55" t="str" cm="1">
        <f t="array" ref="C628">INDEX(Processing!$C$11:$C$22,MONTH('ALL ORDERS'!A628))</f>
        <v>JUN</v>
      </c>
      <c r="D628" s="54">
        <f t="shared" si="180"/>
        <v>2025</v>
      </c>
      <c r="E628" s="56" t="s">
        <v>48</v>
      </c>
      <c r="F628" s="56" t="s">
        <v>134</v>
      </c>
      <c r="G628" s="100">
        <v>0</v>
      </c>
      <c r="H628" s="100">
        <v>1500</v>
      </c>
      <c r="I628" s="57"/>
      <c r="J628" s="99">
        <f t="shared" si="175"/>
        <v>1500</v>
      </c>
      <c r="K628" s="53">
        <v>45833</v>
      </c>
      <c r="L628" s="54">
        <f t="shared" si="181"/>
        <v>25</v>
      </c>
      <c r="M628" s="55" t="str" cm="1">
        <f t="array" ref="M628">INDEX(Processing!$W$6:$W$17,MONTH('ALL ORDERS'!K628))</f>
        <v>June</v>
      </c>
      <c r="N628" s="54">
        <f t="shared" si="174"/>
        <v>2025</v>
      </c>
      <c r="O628" s="58">
        <v>0.45833333333333331</v>
      </c>
      <c r="P628" s="59" t="s">
        <v>189</v>
      </c>
      <c r="Q628" s="60" t="s">
        <v>90</v>
      </c>
      <c r="R628" s="56" t="s">
        <v>275</v>
      </c>
      <c r="S628" s="61" t="s">
        <v>42</v>
      </c>
      <c r="T628" s="62" t="s">
        <v>937</v>
      </c>
      <c r="U628" s="63" t="s">
        <v>24</v>
      </c>
      <c r="V628" s="63" t="s">
        <v>147</v>
      </c>
      <c r="W628" s="64">
        <v>3489</v>
      </c>
      <c r="X628" s="64">
        <v>2</v>
      </c>
      <c r="Y628" s="47"/>
      <c r="Z628" s="47"/>
    </row>
    <row r="629" spans="1:26" x14ac:dyDescent="0.25">
      <c r="A629" s="53">
        <v>45834</v>
      </c>
      <c r="B629" s="54">
        <f t="shared" si="179"/>
        <v>26</v>
      </c>
      <c r="C629" s="55" t="str" cm="1">
        <f t="array" ref="C629">INDEX(Processing!$C$11:$C$22,MONTH('ALL ORDERS'!A629))</f>
        <v>JUN</v>
      </c>
      <c r="D629" s="54">
        <f t="shared" si="180"/>
        <v>2025</v>
      </c>
      <c r="E629" s="56" t="s">
        <v>51</v>
      </c>
      <c r="F629" s="56" t="s">
        <v>19</v>
      </c>
      <c r="G629" s="100">
        <v>400</v>
      </c>
      <c r="H629" s="100">
        <v>0</v>
      </c>
      <c r="I629" s="57"/>
      <c r="J629" s="99">
        <f t="shared" si="175"/>
        <v>400</v>
      </c>
      <c r="K629" s="53">
        <v>45834</v>
      </c>
      <c r="L629" s="54">
        <f t="shared" si="181"/>
        <v>26</v>
      </c>
      <c r="M629" s="55" t="str" cm="1">
        <f t="array" ref="M629">INDEX(Processing!$W$6:$W$17,MONTH('ALL ORDERS'!K629))</f>
        <v>June</v>
      </c>
      <c r="N629" s="54">
        <f t="shared" si="174"/>
        <v>2025</v>
      </c>
      <c r="O629" s="58">
        <v>0.375</v>
      </c>
      <c r="P629" s="59" t="s">
        <v>167</v>
      </c>
      <c r="Q629" s="60" t="s">
        <v>91</v>
      </c>
      <c r="R629" s="56" t="s">
        <v>250</v>
      </c>
      <c r="S629" s="61" t="s">
        <v>41</v>
      </c>
      <c r="T629" s="62" t="s">
        <v>938</v>
      </c>
      <c r="U629" s="63" t="s">
        <v>26</v>
      </c>
      <c r="V629" s="63" t="s">
        <v>147</v>
      </c>
      <c r="W629" s="64">
        <v>3462</v>
      </c>
      <c r="X629" s="64">
        <v>5</v>
      </c>
      <c r="Y629" s="47"/>
      <c r="Z629" s="47"/>
    </row>
    <row r="630" spans="1:26" x14ac:dyDescent="0.25">
      <c r="A630" s="53">
        <v>45829</v>
      </c>
      <c r="B630" s="54">
        <f t="shared" si="179"/>
        <v>21</v>
      </c>
      <c r="C630" s="55" t="str" cm="1">
        <f t="array" ref="C630">INDEX(Processing!$C$11:$C$22,MONTH('ALL ORDERS'!A630))</f>
        <v>JUN</v>
      </c>
      <c r="D630" s="54">
        <f t="shared" si="180"/>
        <v>2025</v>
      </c>
      <c r="E630" s="56" t="s">
        <v>48</v>
      </c>
      <c r="F630" s="56" t="s">
        <v>19</v>
      </c>
      <c r="G630" s="100">
        <v>0</v>
      </c>
      <c r="H630" s="100">
        <v>300</v>
      </c>
      <c r="I630" s="57"/>
      <c r="J630" s="99">
        <f t="shared" si="175"/>
        <v>300</v>
      </c>
      <c r="K630" s="53">
        <v>45829</v>
      </c>
      <c r="L630" s="54">
        <f t="shared" si="181"/>
        <v>21</v>
      </c>
      <c r="M630" s="55" t="str" cm="1">
        <f t="array" ref="M630">INDEX(Processing!$W$6:$W$17,MONTH('ALL ORDERS'!K630))</f>
        <v>June</v>
      </c>
      <c r="N630" s="54">
        <f t="shared" si="174"/>
        <v>2025</v>
      </c>
      <c r="O630" s="58">
        <v>0.45833333333333331</v>
      </c>
      <c r="P630" s="59" t="s">
        <v>196</v>
      </c>
      <c r="Q630" s="60" t="s">
        <v>90</v>
      </c>
      <c r="R630" s="56" t="s">
        <v>282</v>
      </c>
      <c r="S630" s="61" t="s">
        <v>41</v>
      </c>
      <c r="T630" s="62" t="s">
        <v>939</v>
      </c>
      <c r="U630" s="63" t="s">
        <v>25</v>
      </c>
      <c r="V630" s="63" t="s">
        <v>147</v>
      </c>
      <c r="W630" s="64">
        <v>2134</v>
      </c>
      <c r="X630" s="64">
        <v>5</v>
      </c>
      <c r="Y630" s="47"/>
      <c r="Z630" s="47"/>
    </row>
    <row r="631" spans="1:26" x14ac:dyDescent="0.25">
      <c r="A631" s="53">
        <v>45836</v>
      </c>
      <c r="B631" s="54">
        <f t="shared" si="179"/>
        <v>28</v>
      </c>
      <c r="C631" s="55" t="str" cm="1">
        <f t="array" ref="C631">INDEX(Processing!$C$11:$C$22,MONTH('ALL ORDERS'!A631))</f>
        <v>JUN</v>
      </c>
      <c r="D631" s="54">
        <f t="shared" si="180"/>
        <v>2025</v>
      </c>
      <c r="E631" s="56" t="s">
        <v>47</v>
      </c>
      <c r="F631" s="56" t="s">
        <v>128</v>
      </c>
      <c r="G631" s="100">
        <v>0</v>
      </c>
      <c r="H631" s="100">
        <v>300</v>
      </c>
      <c r="I631" s="57"/>
      <c r="J631" s="99">
        <f t="shared" si="175"/>
        <v>300</v>
      </c>
      <c r="K631" s="53">
        <v>45836</v>
      </c>
      <c r="L631" s="54">
        <f t="shared" si="181"/>
        <v>28</v>
      </c>
      <c r="M631" s="55" t="str" cm="1">
        <f t="array" ref="M631">INDEX(Processing!$W$6:$W$17,MONTH('ALL ORDERS'!K631))</f>
        <v>June</v>
      </c>
      <c r="N631" s="54">
        <f t="shared" si="174"/>
        <v>2025</v>
      </c>
      <c r="O631" s="58">
        <v>0.625</v>
      </c>
      <c r="P631" s="59" t="s">
        <v>162</v>
      </c>
      <c r="Q631" s="60" t="s">
        <v>94</v>
      </c>
      <c r="R631" s="56" t="s">
        <v>245</v>
      </c>
      <c r="S631" s="61" t="s">
        <v>42</v>
      </c>
      <c r="T631" s="62" t="s">
        <v>940</v>
      </c>
      <c r="U631" s="63" t="s">
        <v>23</v>
      </c>
      <c r="V631" s="63" t="s">
        <v>147</v>
      </c>
      <c r="W631" s="64">
        <v>3207</v>
      </c>
      <c r="X631" s="64">
        <v>5</v>
      </c>
      <c r="Y631" s="47"/>
      <c r="Z631" s="47"/>
    </row>
    <row r="632" spans="1:26" x14ac:dyDescent="0.25">
      <c r="A632" s="53">
        <v>45837</v>
      </c>
      <c r="B632" s="54">
        <f t="shared" si="179"/>
        <v>29</v>
      </c>
      <c r="C632" s="55" t="str" cm="1">
        <f t="array" ref="C632">INDEX(Processing!$C$11:$C$22,MONTH('ALL ORDERS'!A632))</f>
        <v>JUN</v>
      </c>
      <c r="D632" s="54">
        <f t="shared" si="180"/>
        <v>2025</v>
      </c>
      <c r="E632" s="56" t="s">
        <v>49</v>
      </c>
      <c r="F632" s="56" t="s">
        <v>22</v>
      </c>
      <c r="G632" s="100">
        <v>0</v>
      </c>
      <c r="H632" s="100">
        <v>1500</v>
      </c>
      <c r="I632" s="57"/>
      <c r="J632" s="99">
        <f t="shared" si="175"/>
        <v>1500</v>
      </c>
      <c r="K632" s="53">
        <v>45837</v>
      </c>
      <c r="L632" s="54">
        <f t="shared" si="181"/>
        <v>29</v>
      </c>
      <c r="M632" s="55" t="str" cm="1">
        <f t="array" ref="M632">INDEX(Processing!$W$6:$W$17,MONTH('ALL ORDERS'!K632))</f>
        <v>June</v>
      </c>
      <c r="N632" s="54">
        <f t="shared" si="174"/>
        <v>2025</v>
      </c>
      <c r="O632" s="58">
        <v>0.45833333333333331</v>
      </c>
      <c r="P632" s="59" t="s">
        <v>338</v>
      </c>
      <c r="Q632" s="60" t="s">
        <v>94</v>
      </c>
      <c r="R632" s="56" t="s">
        <v>253</v>
      </c>
      <c r="S632" s="61" t="s">
        <v>44</v>
      </c>
      <c r="T632" s="62" t="s">
        <v>941</v>
      </c>
      <c r="U632" s="63" t="s">
        <v>26</v>
      </c>
      <c r="V632" s="63" t="s">
        <v>147</v>
      </c>
      <c r="W632" s="64">
        <v>4279</v>
      </c>
      <c r="X632" s="64">
        <v>5</v>
      </c>
      <c r="Y632" s="47"/>
      <c r="Z632" s="47"/>
    </row>
    <row r="633" spans="1:26" x14ac:dyDescent="0.25">
      <c r="A633" s="53">
        <v>45837</v>
      </c>
      <c r="B633" s="54">
        <f t="shared" si="179"/>
        <v>29</v>
      </c>
      <c r="C633" s="55" t="str" cm="1">
        <f t="array" ref="C633">INDEX(Processing!$C$11:$C$22,MONTH('ALL ORDERS'!A633))</f>
        <v>JUN</v>
      </c>
      <c r="D633" s="54">
        <f t="shared" si="180"/>
        <v>2025</v>
      </c>
      <c r="E633" s="56" t="s">
        <v>49</v>
      </c>
      <c r="F633" s="56" t="s">
        <v>127</v>
      </c>
      <c r="G633" s="100">
        <v>400</v>
      </c>
      <c r="H633" s="100">
        <v>0</v>
      </c>
      <c r="I633" s="57"/>
      <c r="J633" s="99">
        <f t="shared" si="175"/>
        <v>400</v>
      </c>
      <c r="K633" s="53">
        <v>45837</v>
      </c>
      <c r="L633" s="54">
        <f t="shared" si="181"/>
        <v>29</v>
      </c>
      <c r="M633" s="55" t="str" cm="1">
        <f t="array" ref="M633">INDEX(Processing!$W$6:$W$17,MONTH('ALL ORDERS'!K633))</f>
        <v>June</v>
      </c>
      <c r="N633" s="54">
        <f t="shared" si="174"/>
        <v>2025</v>
      </c>
      <c r="O633" s="58">
        <v>0.41666666666666669</v>
      </c>
      <c r="P633" s="59" t="s">
        <v>207</v>
      </c>
      <c r="Q633" s="60" t="s">
        <v>94</v>
      </c>
      <c r="R633" s="56" t="s">
        <v>295</v>
      </c>
      <c r="S633" s="61" t="s">
        <v>45</v>
      </c>
      <c r="T633" s="70">
        <v>11900888990</v>
      </c>
      <c r="U633" s="63" t="s">
        <v>24</v>
      </c>
      <c r="V633" s="63" t="s">
        <v>148</v>
      </c>
      <c r="W633" s="64">
        <v>2951</v>
      </c>
      <c r="X633" s="64"/>
      <c r="Y633" s="47"/>
      <c r="Z633" s="47"/>
    </row>
    <row r="634" spans="1:26" x14ac:dyDescent="0.25">
      <c r="A634" s="53">
        <v>45839</v>
      </c>
      <c r="B634" s="54">
        <f t="shared" si="179"/>
        <v>1</v>
      </c>
      <c r="C634" s="55" t="str" cm="1">
        <f t="array" ref="C634">INDEX(Processing!$C$11:$C$22,MONTH('ALL ORDERS'!A634))</f>
        <v>JUL</v>
      </c>
      <c r="D634" s="54">
        <f t="shared" si="180"/>
        <v>2025</v>
      </c>
      <c r="E634" s="56" t="s">
        <v>50</v>
      </c>
      <c r="F634" s="56" t="s">
        <v>125</v>
      </c>
      <c r="G634" s="100">
        <v>0</v>
      </c>
      <c r="H634" s="100">
        <v>300</v>
      </c>
      <c r="I634" s="57"/>
      <c r="J634" s="99">
        <f t="shared" si="175"/>
        <v>300</v>
      </c>
      <c r="K634" s="53">
        <v>45839</v>
      </c>
      <c r="L634" s="54">
        <f t="shared" si="181"/>
        <v>1</v>
      </c>
      <c r="M634" s="55" t="str" cm="1">
        <f t="array" ref="M634">INDEX(Processing!$W$6:$W$17,MONTH('ALL ORDERS'!K634))</f>
        <v>July</v>
      </c>
      <c r="N634" s="54">
        <f t="shared" si="174"/>
        <v>2025</v>
      </c>
      <c r="O634" s="58">
        <v>0.5</v>
      </c>
      <c r="P634" s="59" t="s">
        <v>220</v>
      </c>
      <c r="Q634" s="60" t="s">
        <v>90</v>
      </c>
      <c r="R634" s="56" t="s">
        <v>319</v>
      </c>
      <c r="S634" s="61" t="s">
        <v>43</v>
      </c>
      <c r="T634" s="62" t="s">
        <v>942</v>
      </c>
      <c r="U634" s="63" t="s">
        <v>26</v>
      </c>
      <c r="V634" s="63" t="s">
        <v>147</v>
      </c>
      <c r="W634" s="64">
        <v>2924</v>
      </c>
      <c r="X634" s="64">
        <v>5</v>
      </c>
      <c r="Y634" s="47"/>
      <c r="Z634" s="47"/>
    </row>
    <row r="635" spans="1:26" x14ac:dyDescent="0.25">
      <c r="A635" s="53">
        <v>45840</v>
      </c>
      <c r="B635" s="54">
        <f t="shared" si="179"/>
        <v>2</v>
      </c>
      <c r="C635" s="55" t="str" cm="1">
        <f t="array" ref="C635">INDEX(Processing!$C$11:$C$22,MONTH('ALL ORDERS'!A635))</f>
        <v>JUL</v>
      </c>
      <c r="D635" s="54">
        <f t="shared" si="180"/>
        <v>2025</v>
      </c>
      <c r="E635" s="56" t="s">
        <v>50</v>
      </c>
      <c r="F635" s="56" t="s">
        <v>130</v>
      </c>
      <c r="G635" s="100">
        <v>0</v>
      </c>
      <c r="H635" s="100">
        <v>1500</v>
      </c>
      <c r="I635" s="57"/>
      <c r="J635" s="99">
        <f t="shared" si="175"/>
        <v>1500</v>
      </c>
      <c r="K635" s="53">
        <v>45840</v>
      </c>
      <c r="L635" s="54">
        <f t="shared" si="181"/>
        <v>2</v>
      </c>
      <c r="M635" s="55" t="str" cm="1">
        <f t="array" ref="M635">INDEX(Processing!$W$6:$W$17,MONTH('ALL ORDERS'!K635))</f>
        <v>July</v>
      </c>
      <c r="N635" s="54">
        <f t="shared" si="174"/>
        <v>2025</v>
      </c>
      <c r="O635" s="58">
        <v>0.66666666666666663</v>
      </c>
      <c r="P635" s="59" t="s">
        <v>190</v>
      </c>
      <c r="Q635" s="60" t="s">
        <v>94</v>
      </c>
      <c r="R635" s="56" t="s">
        <v>276</v>
      </c>
      <c r="S635" s="61" t="s">
        <v>44</v>
      </c>
      <c r="T635" s="62" t="s">
        <v>943</v>
      </c>
      <c r="U635" s="63" t="s">
        <v>25</v>
      </c>
      <c r="V635" s="63" t="s">
        <v>147</v>
      </c>
      <c r="W635" s="64">
        <v>4767</v>
      </c>
      <c r="X635" s="64">
        <v>5</v>
      </c>
      <c r="Y635" s="47"/>
      <c r="Z635" s="47"/>
    </row>
    <row r="636" spans="1:26" x14ac:dyDescent="0.25">
      <c r="A636" s="53">
        <v>45841</v>
      </c>
      <c r="B636" s="54">
        <f t="shared" si="179"/>
        <v>3</v>
      </c>
      <c r="C636" s="55" t="str" cm="1">
        <f t="array" ref="C636">INDEX(Processing!$C$11:$C$22,MONTH('ALL ORDERS'!A636))</f>
        <v>JUL</v>
      </c>
      <c r="D636" s="54">
        <f t="shared" si="180"/>
        <v>2025</v>
      </c>
      <c r="E636" s="56" t="s">
        <v>48</v>
      </c>
      <c r="F636" s="56" t="s">
        <v>134</v>
      </c>
      <c r="G636" s="100">
        <v>400</v>
      </c>
      <c r="H636" s="100">
        <v>0</v>
      </c>
      <c r="I636" s="57"/>
      <c r="J636" s="99">
        <f t="shared" si="175"/>
        <v>400</v>
      </c>
      <c r="K636" s="53">
        <v>45841</v>
      </c>
      <c r="L636" s="54">
        <f t="shared" si="181"/>
        <v>3</v>
      </c>
      <c r="M636" s="55" t="str" cm="1">
        <f t="array" ref="M636">INDEX(Processing!$W$6:$W$17,MONTH('ALL ORDERS'!K636))</f>
        <v>July</v>
      </c>
      <c r="N636" s="54">
        <f t="shared" si="174"/>
        <v>2025</v>
      </c>
      <c r="O636" s="58">
        <v>0.75</v>
      </c>
      <c r="P636" s="59" t="s">
        <v>351</v>
      </c>
      <c r="Q636" s="60" t="s">
        <v>94</v>
      </c>
      <c r="R636" s="56" t="s">
        <v>313</v>
      </c>
      <c r="S636" s="61" t="s">
        <v>41</v>
      </c>
      <c r="T636" s="62" t="s">
        <v>944</v>
      </c>
      <c r="U636" s="63" t="s">
        <v>25</v>
      </c>
      <c r="V636" s="63" t="s">
        <v>147</v>
      </c>
      <c r="W636" s="64">
        <v>3290</v>
      </c>
      <c r="X636" s="64">
        <v>5</v>
      </c>
      <c r="Y636" s="47"/>
      <c r="Z636" s="47"/>
    </row>
    <row r="637" spans="1:26" x14ac:dyDescent="0.25">
      <c r="A637" s="53">
        <v>45842</v>
      </c>
      <c r="B637" s="54">
        <f t="shared" ref="B637" si="182">DAY(A637)</f>
        <v>4</v>
      </c>
      <c r="C637" s="55" t="str" cm="1">
        <f t="array" ref="C637">INDEX(Processing!$C$11:$C$22,MONTH('ALL ORDERS'!A637))</f>
        <v>JUL</v>
      </c>
      <c r="D637" s="54">
        <f t="shared" ref="D637" si="183">YEAR(A637)</f>
        <v>2025</v>
      </c>
      <c r="E637" s="56" t="s">
        <v>48</v>
      </c>
      <c r="F637" s="56" t="s">
        <v>134</v>
      </c>
      <c r="G637" s="100">
        <v>0</v>
      </c>
      <c r="H637" s="100">
        <v>28500</v>
      </c>
      <c r="I637" s="57">
        <v>0.05</v>
      </c>
      <c r="J637" s="99">
        <f t="shared" si="175"/>
        <v>28500</v>
      </c>
      <c r="K637" s="53">
        <v>45842</v>
      </c>
      <c r="L637" s="54">
        <f t="shared" si="181"/>
        <v>4</v>
      </c>
      <c r="M637" s="55" t="str" cm="1">
        <f t="array" ref="M637">INDEX(Processing!$W$6:$W$17,MONTH('ALL ORDERS'!K637))</f>
        <v>July</v>
      </c>
      <c r="N637" s="54">
        <f t="shared" ref="N637" si="184">YEAR(K637)</f>
        <v>2025</v>
      </c>
      <c r="O637" s="58">
        <v>0.79166666666666696</v>
      </c>
      <c r="P637" s="59" t="s">
        <v>352</v>
      </c>
      <c r="Q637" s="60" t="s">
        <v>94</v>
      </c>
      <c r="R637" s="56" t="s">
        <v>1096</v>
      </c>
      <c r="S637" s="61" t="s">
        <v>41</v>
      </c>
      <c r="T637" s="62" t="s">
        <v>955</v>
      </c>
      <c r="U637" s="63" t="s">
        <v>25</v>
      </c>
      <c r="V637" s="63" t="s">
        <v>147</v>
      </c>
      <c r="W637" s="64">
        <v>3419</v>
      </c>
      <c r="X637" s="64">
        <v>5</v>
      </c>
      <c r="Y637" s="47"/>
      <c r="Z637" s="47"/>
    </row>
    <row r="638" spans="1:26" x14ac:dyDescent="0.25">
      <c r="A638" s="53">
        <v>45842</v>
      </c>
      <c r="B638" s="54">
        <f t="shared" si="179"/>
        <v>4</v>
      </c>
      <c r="C638" s="55" t="str" cm="1">
        <f t="array" ref="C638">INDEX(Processing!$C$11:$C$22,MONTH('ALL ORDERS'!A638))</f>
        <v>JUL</v>
      </c>
      <c r="D638" s="54">
        <f t="shared" si="180"/>
        <v>2025</v>
      </c>
      <c r="E638" s="56" t="s">
        <v>47</v>
      </c>
      <c r="F638" s="56" t="s">
        <v>137</v>
      </c>
      <c r="G638" s="100">
        <v>0</v>
      </c>
      <c r="H638" s="100">
        <v>300</v>
      </c>
      <c r="I638" s="57"/>
      <c r="J638" s="99">
        <f t="shared" si="175"/>
        <v>300</v>
      </c>
      <c r="K638" s="53">
        <v>45842</v>
      </c>
      <c r="L638" s="54">
        <f t="shared" si="181"/>
        <v>4</v>
      </c>
      <c r="M638" s="55" t="str" cm="1">
        <f t="array" ref="M638">INDEX(Processing!$W$6:$W$17,MONTH('ALL ORDERS'!K638))</f>
        <v>July</v>
      </c>
      <c r="N638" s="54">
        <f t="shared" si="174"/>
        <v>2025</v>
      </c>
      <c r="O638" s="58">
        <v>0.41666666666666669</v>
      </c>
      <c r="P638" s="59" t="s">
        <v>155</v>
      </c>
      <c r="Q638" s="60" t="s">
        <v>94</v>
      </c>
      <c r="R638" s="56" t="s">
        <v>237</v>
      </c>
      <c r="S638" s="61" t="s">
        <v>41</v>
      </c>
      <c r="T638" s="62" t="s">
        <v>945</v>
      </c>
      <c r="U638" s="63" t="s">
        <v>25</v>
      </c>
      <c r="V638" s="63" t="s">
        <v>147</v>
      </c>
      <c r="W638" s="64">
        <v>3807</v>
      </c>
      <c r="X638" s="64">
        <v>4</v>
      </c>
      <c r="Y638" s="47"/>
      <c r="Z638" s="47"/>
    </row>
    <row r="639" spans="1:26" x14ac:dyDescent="0.25">
      <c r="A639" s="53">
        <v>45843</v>
      </c>
      <c r="B639" s="54">
        <f t="shared" si="179"/>
        <v>5</v>
      </c>
      <c r="C639" s="55" t="str" cm="1">
        <f t="array" ref="C639">INDEX(Processing!$C$11:$C$22,MONTH('ALL ORDERS'!A639))</f>
        <v>JUL</v>
      </c>
      <c r="D639" s="54">
        <f t="shared" si="180"/>
        <v>2025</v>
      </c>
      <c r="E639" s="56" t="s">
        <v>49</v>
      </c>
      <c r="F639" s="56" t="s">
        <v>131</v>
      </c>
      <c r="G639" s="100">
        <v>0</v>
      </c>
      <c r="H639" s="100">
        <v>2690</v>
      </c>
      <c r="I639" s="57"/>
      <c r="J639" s="99">
        <f t="shared" si="175"/>
        <v>2690</v>
      </c>
      <c r="K639" s="53">
        <v>45843</v>
      </c>
      <c r="L639" s="54">
        <f t="shared" si="181"/>
        <v>5</v>
      </c>
      <c r="M639" s="55" t="str" cm="1">
        <f t="array" ref="M639">INDEX(Processing!$W$6:$W$17,MONTH('ALL ORDERS'!K639))</f>
        <v>July</v>
      </c>
      <c r="N639" s="54">
        <f t="shared" si="174"/>
        <v>2025</v>
      </c>
      <c r="O639" s="58">
        <v>0.5</v>
      </c>
      <c r="P639" s="59" t="s">
        <v>210</v>
      </c>
      <c r="Q639" s="60" t="s">
        <v>90</v>
      </c>
      <c r="R639" s="56" t="s">
        <v>298</v>
      </c>
      <c r="S639" s="61" t="s">
        <v>42</v>
      </c>
      <c r="T639" s="62" t="s">
        <v>946</v>
      </c>
      <c r="U639" s="63" t="s">
        <v>25</v>
      </c>
      <c r="V639" s="63" t="s">
        <v>147</v>
      </c>
      <c r="W639" s="64">
        <v>4130</v>
      </c>
      <c r="X639" s="64">
        <v>4</v>
      </c>
      <c r="Y639" s="47"/>
      <c r="Z639" s="47"/>
    </row>
    <row r="640" spans="1:26" x14ac:dyDescent="0.25">
      <c r="A640" s="53">
        <v>45844</v>
      </c>
      <c r="B640" s="54">
        <f t="shared" si="179"/>
        <v>6</v>
      </c>
      <c r="C640" s="55" t="str" cm="1">
        <f t="array" ref="C640">INDEX(Processing!$C$11:$C$22,MONTH('ALL ORDERS'!A640))</f>
        <v>JUL</v>
      </c>
      <c r="D640" s="54">
        <f t="shared" si="180"/>
        <v>2025</v>
      </c>
      <c r="E640" s="56" t="s">
        <v>49</v>
      </c>
      <c r="F640" s="56" t="s">
        <v>133</v>
      </c>
      <c r="G640" s="100">
        <v>0</v>
      </c>
      <c r="H640" s="100">
        <v>1040</v>
      </c>
      <c r="I640" s="57"/>
      <c r="J640" s="99">
        <f t="shared" si="175"/>
        <v>1040</v>
      </c>
      <c r="K640" s="53">
        <v>45844</v>
      </c>
      <c r="L640" s="54">
        <f t="shared" si="181"/>
        <v>6</v>
      </c>
      <c r="M640" s="55" t="str" cm="1">
        <f t="array" ref="M640">INDEX(Processing!$W$6:$W$17,MONTH('ALL ORDERS'!K640))</f>
        <v>July</v>
      </c>
      <c r="N640" s="54">
        <f t="shared" si="174"/>
        <v>2025</v>
      </c>
      <c r="O640" s="58">
        <v>0.66666666666666663</v>
      </c>
      <c r="P640" s="59" t="s">
        <v>166</v>
      </c>
      <c r="Q640" s="60" t="s">
        <v>94</v>
      </c>
      <c r="R640" s="56" t="s">
        <v>249</v>
      </c>
      <c r="S640" s="61" t="s">
        <v>42</v>
      </c>
      <c r="T640" s="62" t="s">
        <v>947</v>
      </c>
      <c r="U640" s="63" t="s">
        <v>25</v>
      </c>
      <c r="V640" s="63" t="s">
        <v>147</v>
      </c>
      <c r="W640" s="64">
        <v>5050</v>
      </c>
      <c r="X640" s="64">
        <v>4</v>
      </c>
      <c r="Y640" s="47"/>
      <c r="Z640" s="47"/>
    </row>
    <row r="641" spans="1:26" x14ac:dyDescent="0.25">
      <c r="A641" s="53">
        <v>45845</v>
      </c>
      <c r="B641" s="54">
        <f t="shared" si="179"/>
        <v>7</v>
      </c>
      <c r="C641" s="55" t="str" cm="1">
        <f t="array" ref="C641">INDEX(Processing!$C$11:$C$22,MONTH('ALL ORDERS'!A641))</f>
        <v>JUL</v>
      </c>
      <c r="D641" s="54">
        <f t="shared" si="180"/>
        <v>2025</v>
      </c>
      <c r="E641" s="56" t="s">
        <v>50</v>
      </c>
      <c r="F641" s="56" t="s">
        <v>133</v>
      </c>
      <c r="G641" s="100">
        <v>0</v>
      </c>
      <c r="H641" s="100">
        <v>1990</v>
      </c>
      <c r="I641" s="57">
        <v>0.15</v>
      </c>
      <c r="J641" s="99">
        <f t="shared" si="175"/>
        <v>1990</v>
      </c>
      <c r="K641" s="53">
        <v>45845</v>
      </c>
      <c r="L641" s="54">
        <f t="shared" si="181"/>
        <v>7</v>
      </c>
      <c r="M641" s="55" t="str" cm="1">
        <f t="array" ref="M641">INDEX(Processing!$W$6:$W$17,MONTH('ALL ORDERS'!K641))</f>
        <v>July</v>
      </c>
      <c r="N641" s="54">
        <f t="shared" si="174"/>
        <v>2025</v>
      </c>
      <c r="O641" s="58">
        <v>0.75</v>
      </c>
      <c r="P641" s="59" t="s">
        <v>234</v>
      </c>
      <c r="Q641" s="60" t="s">
        <v>94</v>
      </c>
      <c r="R641" s="56" t="s">
        <v>335</v>
      </c>
      <c r="S641" s="61" t="s">
        <v>42</v>
      </c>
      <c r="T641" s="62" t="s">
        <v>948</v>
      </c>
      <c r="U641" s="63" t="s">
        <v>25</v>
      </c>
      <c r="V641" s="63" t="s">
        <v>147</v>
      </c>
      <c r="W641" s="64">
        <v>2837</v>
      </c>
      <c r="X641" s="64">
        <v>4</v>
      </c>
      <c r="Y641" s="47"/>
      <c r="Z641" s="47"/>
    </row>
    <row r="642" spans="1:26" x14ac:dyDescent="0.25">
      <c r="A642" s="53">
        <v>45846</v>
      </c>
      <c r="B642" s="54">
        <f t="shared" si="179"/>
        <v>8</v>
      </c>
      <c r="C642" s="55" t="str" cm="1">
        <f t="array" ref="C642">INDEX(Processing!$C$11:$C$22,MONTH('ALL ORDERS'!A642))</f>
        <v>JUL</v>
      </c>
      <c r="D642" s="54">
        <f t="shared" si="180"/>
        <v>2025</v>
      </c>
      <c r="E642" s="56" t="s">
        <v>50</v>
      </c>
      <c r="F642" s="56" t="s">
        <v>134</v>
      </c>
      <c r="G642" s="100">
        <v>0</v>
      </c>
      <c r="H642" s="100">
        <v>1980</v>
      </c>
      <c r="I642" s="57"/>
      <c r="J642" s="99">
        <f t="shared" si="175"/>
        <v>1980</v>
      </c>
      <c r="K642" s="53">
        <v>45846</v>
      </c>
      <c r="L642" s="54">
        <f t="shared" si="181"/>
        <v>8</v>
      </c>
      <c r="M642" s="55" t="str" cm="1">
        <f t="array" ref="M642">INDEX(Processing!$W$6:$W$17,MONTH('ALL ORDERS'!K642))</f>
        <v>July</v>
      </c>
      <c r="N642" s="54">
        <f t="shared" si="174"/>
        <v>2025</v>
      </c>
      <c r="O642" s="58">
        <v>0.41666666666666669</v>
      </c>
      <c r="P642" s="59" t="s">
        <v>340</v>
      </c>
      <c r="Q642" s="60" t="e">
        <v>#N/A</v>
      </c>
      <c r="R642" s="56" t="s">
        <v>273</v>
      </c>
      <c r="S642" s="61" t="s">
        <v>41</v>
      </c>
      <c r="T642" s="62" t="s">
        <v>949</v>
      </c>
      <c r="U642" s="63" t="s">
        <v>23</v>
      </c>
      <c r="V642" s="63" t="s">
        <v>147</v>
      </c>
      <c r="W642" s="64">
        <v>4689</v>
      </c>
      <c r="X642" s="64">
        <v>4</v>
      </c>
      <c r="Y642" s="47"/>
      <c r="Z642" s="47"/>
    </row>
    <row r="643" spans="1:26" x14ac:dyDescent="0.25">
      <c r="A643" s="53">
        <v>45847</v>
      </c>
      <c r="B643" s="54">
        <f t="shared" si="179"/>
        <v>9</v>
      </c>
      <c r="C643" s="55" t="str" cm="1">
        <f t="array" ref="C643">INDEX(Processing!$C$11:$C$22,MONTH('ALL ORDERS'!A643))</f>
        <v>JUL</v>
      </c>
      <c r="D643" s="54">
        <f t="shared" si="180"/>
        <v>2025</v>
      </c>
      <c r="E643" s="56" t="s">
        <v>51</v>
      </c>
      <c r="F643" s="56" t="s">
        <v>134</v>
      </c>
      <c r="G643" s="100">
        <v>0</v>
      </c>
      <c r="H643" s="100">
        <v>3510</v>
      </c>
      <c r="I643" s="57"/>
      <c r="J643" s="99">
        <f t="shared" si="175"/>
        <v>3510</v>
      </c>
      <c r="K643" s="53">
        <v>45847</v>
      </c>
      <c r="L643" s="54">
        <f t="shared" si="181"/>
        <v>9</v>
      </c>
      <c r="M643" s="55" t="str" cm="1">
        <f t="array" ref="M643">INDEX(Processing!$W$6:$W$17,MONTH('ALL ORDERS'!K643))</f>
        <v>July</v>
      </c>
      <c r="N643" s="54">
        <f t="shared" ref="N643:N708" si="185">YEAR(K643)</f>
        <v>2025</v>
      </c>
      <c r="O643" s="58">
        <v>0.5</v>
      </c>
      <c r="P643" s="59" t="s">
        <v>222</v>
      </c>
      <c r="Q643" s="60" t="s">
        <v>94</v>
      </c>
      <c r="R643" s="56" t="s">
        <v>321</v>
      </c>
      <c r="S643" s="61" t="s">
        <v>41</v>
      </c>
      <c r="T643" s="62" t="s">
        <v>950</v>
      </c>
      <c r="U643" s="63" t="s">
        <v>27</v>
      </c>
      <c r="V643" s="63" t="s">
        <v>147</v>
      </c>
      <c r="W643" s="64">
        <v>2569</v>
      </c>
      <c r="X643" s="64">
        <v>4</v>
      </c>
      <c r="Y643" s="47"/>
      <c r="Z643" s="47"/>
    </row>
    <row r="644" spans="1:26" x14ac:dyDescent="0.25">
      <c r="A644" s="53">
        <v>45848</v>
      </c>
      <c r="B644" s="54">
        <f t="shared" si="179"/>
        <v>10</v>
      </c>
      <c r="C644" s="55" t="str" cm="1">
        <f t="array" ref="C644">INDEX(Processing!$C$11:$C$22,MONTH('ALL ORDERS'!A644))</f>
        <v>JUL</v>
      </c>
      <c r="D644" s="54">
        <f t="shared" si="180"/>
        <v>2025</v>
      </c>
      <c r="E644" s="56" t="s">
        <v>47</v>
      </c>
      <c r="F644" s="56" t="s">
        <v>19</v>
      </c>
      <c r="G644" s="100">
        <v>0</v>
      </c>
      <c r="H644" s="100">
        <v>810</v>
      </c>
      <c r="I644" s="57"/>
      <c r="J644" s="99">
        <f t="shared" si="175"/>
        <v>810</v>
      </c>
      <c r="K644" s="53">
        <v>45848</v>
      </c>
      <c r="L644" s="54">
        <f t="shared" si="181"/>
        <v>10</v>
      </c>
      <c r="M644" s="55" t="str" cm="1">
        <f t="array" ref="M644">INDEX(Processing!$W$6:$W$17,MONTH('ALL ORDERS'!K644))</f>
        <v>July</v>
      </c>
      <c r="N644" s="54">
        <f t="shared" si="185"/>
        <v>2025</v>
      </c>
      <c r="O644" s="58">
        <v>0.66666666666666663</v>
      </c>
      <c r="P644" s="59" t="s">
        <v>197</v>
      </c>
      <c r="Q644" s="60" t="s">
        <v>94</v>
      </c>
      <c r="R644" s="56" t="s">
        <v>284</v>
      </c>
      <c r="S644" s="61" t="s">
        <v>46</v>
      </c>
      <c r="T644" s="62" t="s">
        <v>951</v>
      </c>
      <c r="U644" s="63" t="s">
        <v>24</v>
      </c>
      <c r="V644" s="63" t="s">
        <v>147</v>
      </c>
      <c r="W644" s="64">
        <v>5582</v>
      </c>
      <c r="X644" s="64">
        <v>4</v>
      </c>
      <c r="Y644" s="47"/>
      <c r="Z644" s="47"/>
    </row>
    <row r="645" spans="1:26" x14ac:dyDescent="0.25">
      <c r="A645" s="53">
        <v>45849</v>
      </c>
      <c r="B645" s="54">
        <f t="shared" si="179"/>
        <v>11</v>
      </c>
      <c r="C645" s="55" t="str" cm="1">
        <f t="array" ref="C645">INDEX(Processing!$C$11:$C$22,MONTH('ALL ORDERS'!A645))</f>
        <v>JUL</v>
      </c>
      <c r="D645" s="54">
        <f t="shared" si="180"/>
        <v>2025</v>
      </c>
      <c r="E645" s="56" t="s">
        <v>49</v>
      </c>
      <c r="F645" s="56" t="s">
        <v>19</v>
      </c>
      <c r="G645" s="100">
        <v>0</v>
      </c>
      <c r="H645" s="100">
        <v>2680</v>
      </c>
      <c r="I645" s="57"/>
      <c r="J645" s="99">
        <f t="shared" si="175"/>
        <v>2680</v>
      </c>
      <c r="K645" s="53">
        <v>45849</v>
      </c>
      <c r="L645" s="54">
        <f t="shared" si="181"/>
        <v>11</v>
      </c>
      <c r="M645" s="55" t="str" cm="1">
        <f t="array" ref="M645">INDEX(Processing!$W$6:$W$17,MONTH('ALL ORDERS'!K645))</f>
        <v>July</v>
      </c>
      <c r="N645" s="54">
        <f t="shared" si="185"/>
        <v>2025</v>
      </c>
      <c r="O645" s="58">
        <v>0.75</v>
      </c>
      <c r="P645" s="59" t="s">
        <v>199</v>
      </c>
      <c r="Q645" s="60" t="s">
        <v>90</v>
      </c>
      <c r="R645" s="56" t="s">
        <v>286</v>
      </c>
      <c r="S645" s="61" t="s">
        <v>44</v>
      </c>
      <c r="T645" s="62" t="s">
        <v>952</v>
      </c>
      <c r="U645" s="63" t="s">
        <v>24</v>
      </c>
      <c r="V645" s="63" t="s">
        <v>147</v>
      </c>
      <c r="W645" s="64">
        <v>4436</v>
      </c>
      <c r="X645" s="64">
        <v>4</v>
      </c>
      <c r="Y645" s="47"/>
      <c r="Z645" s="47"/>
    </row>
    <row r="646" spans="1:26" x14ac:dyDescent="0.25">
      <c r="A646" s="53">
        <v>45850</v>
      </c>
      <c r="B646" s="54">
        <f t="shared" si="179"/>
        <v>12</v>
      </c>
      <c r="C646" s="55" t="str" cm="1">
        <f t="array" ref="C646">INDEX(Processing!$C$11:$C$22,MONTH('ALL ORDERS'!A646))</f>
        <v>JUL</v>
      </c>
      <c r="D646" s="54">
        <f t="shared" si="180"/>
        <v>2025</v>
      </c>
      <c r="E646" s="56" t="s">
        <v>49</v>
      </c>
      <c r="F646" s="56" t="s">
        <v>128</v>
      </c>
      <c r="G646" s="100">
        <v>0</v>
      </c>
      <c r="H646" s="100">
        <v>1110</v>
      </c>
      <c r="I646" s="57"/>
      <c r="J646" s="99">
        <f t="shared" si="175"/>
        <v>1110</v>
      </c>
      <c r="K646" s="53">
        <v>45850</v>
      </c>
      <c r="L646" s="54">
        <f t="shared" si="181"/>
        <v>12</v>
      </c>
      <c r="M646" s="55" t="str" cm="1">
        <f t="array" ref="M646">INDEX(Processing!$W$6:$W$17,MONTH('ALL ORDERS'!K646))</f>
        <v>July</v>
      </c>
      <c r="N646" s="54">
        <f t="shared" si="185"/>
        <v>2025</v>
      </c>
      <c r="O646" s="58">
        <v>0.41666666666666669</v>
      </c>
      <c r="P646" s="59" t="s">
        <v>222</v>
      </c>
      <c r="Q646" s="60" t="s">
        <v>94</v>
      </c>
      <c r="R646" s="56" t="s">
        <v>321</v>
      </c>
      <c r="S646" s="61" t="s">
        <v>41</v>
      </c>
      <c r="T646" s="70">
        <v>10900888990</v>
      </c>
      <c r="U646" s="63" t="s">
        <v>26</v>
      </c>
      <c r="V646" s="63" t="s">
        <v>147</v>
      </c>
      <c r="W646" s="64">
        <v>2054</v>
      </c>
      <c r="X646" s="64">
        <v>4</v>
      </c>
      <c r="Y646" s="47"/>
      <c r="Z646" s="47"/>
    </row>
    <row r="647" spans="1:26" x14ac:dyDescent="0.25">
      <c r="A647" s="53">
        <v>45851</v>
      </c>
      <c r="B647" s="54">
        <f t="shared" si="179"/>
        <v>13</v>
      </c>
      <c r="C647" s="55" t="str" cm="1">
        <f t="array" ref="C647">INDEX(Processing!$C$11:$C$22,MONTH('ALL ORDERS'!A647))</f>
        <v>JUL</v>
      </c>
      <c r="D647" s="54">
        <f t="shared" si="180"/>
        <v>2025</v>
      </c>
      <c r="E647" s="56" t="s">
        <v>51</v>
      </c>
      <c r="F647" s="56" t="s">
        <v>22</v>
      </c>
      <c r="G647" s="100">
        <v>0</v>
      </c>
      <c r="H647" s="100">
        <v>3250</v>
      </c>
      <c r="I647" s="57"/>
      <c r="J647" s="99">
        <f t="shared" si="175"/>
        <v>3250</v>
      </c>
      <c r="K647" s="53">
        <v>45851</v>
      </c>
      <c r="L647" s="54">
        <f t="shared" si="181"/>
        <v>13</v>
      </c>
      <c r="M647" s="55" t="str" cm="1">
        <f t="array" ref="M647">INDEX(Processing!$W$6:$W$17,MONTH('ALL ORDERS'!K647))</f>
        <v>July</v>
      </c>
      <c r="N647" s="54">
        <f t="shared" si="185"/>
        <v>2025</v>
      </c>
      <c r="O647" s="58">
        <v>0.5</v>
      </c>
      <c r="P647" s="59" t="s">
        <v>351</v>
      </c>
      <c r="Q647" s="60" t="s">
        <v>94</v>
      </c>
      <c r="R647" s="56" t="s">
        <v>313</v>
      </c>
      <c r="S647" s="61" t="s">
        <v>46</v>
      </c>
      <c r="T647" s="62" t="s">
        <v>953</v>
      </c>
      <c r="U647" s="63" t="s">
        <v>26</v>
      </c>
      <c r="V647" s="63" t="s">
        <v>147</v>
      </c>
      <c r="W647" s="64">
        <v>487</v>
      </c>
      <c r="X647" s="64">
        <v>3</v>
      </c>
      <c r="Y647" s="47"/>
      <c r="Z647" s="47"/>
    </row>
    <row r="648" spans="1:26" x14ac:dyDescent="0.25">
      <c r="A648" s="53">
        <v>45852</v>
      </c>
      <c r="B648" s="54">
        <f t="shared" si="179"/>
        <v>14</v>
      </c>
      <c r="C648" s="55" t="str" cm="1">
        <f t="array" ref="C648">INDEX(Processing!$C$11:$C$22,MONTH('ALL ORDERS'!A648))</f>
        <v>JUL</v>
      </c>
      <c r="D648" s="54">
        <f t="shared" si="180"/>
        <v>2025</v>
      </c>
      <c r="E648" s="56" t="s">
        <v>50</v>
      </c>
      <c r="F648" s="56" t="s">
        <v>127</v>
      </c>
      <c r="G648" s="100">
        <v>0</v>
      </c>
      <c r="H648" s="100">
        <v>110</v>
      </c>
      <c r="I648" s="57">
        <v>0.15</v>
      </c>
      <c r="J648" s="99">
        <f t="shared" si="175"/>
        <v>110</v>
      </c>
      <c r="K648" s="53">
        <v>45852</v>
      </c>
      <c r="L648" s="54">
        <f t="shared" si="181"/>
        <v>14</v>
      </c>
      <c r="M648" s="55" t="str" cm="1">
        <f t="array" ref="M648">INDEX(Processing!$W$6:$W$17,MONTH('ALL ORDERS'!K648))</f>
        <v>July</v>
      </c>
      <c r="N648" s="54">
        <f t="shared" si="185"/>
        <v>2025</v>
      </c>
      <c r="O648" s="58">
        <v>0.66666666666666663</v>
      </c>
      <c r="P648" s="59" t="s">
        <v>201</v>
      </c>
      <c r="Q648" s="60" t="s">
        <v>94</v>
      </c>
      <c r="R648" s="56" t="s">
        <v>288</v>
      </c>
      <c r="S648" s="61" t="s">
        <v>46</v>
      </c>
      <c r="T648" s="62" t="s">
        <v>954</v>
      </c>
      <c r="U648" s="63" t="s">
        <v>24</v>
      </c>
      <c r="V648" s="63" t="s">
        <v>147</v>
      </c>
      <c r="W648" s="64">
        <v>3876</v>
      </c>
      <c r="X648" s="64">
        <v>4</v>
      </c>
      <c r="Y648" s="47"/>
      <c r="Z648" s="47"/>
    </row>
    <row r="649" spans="1:26" x14ac:dyDescent="0.25">
      <c r="A649" s="53">
        <v>45853</v>
      </c>
      <c r="B649" s="54">
        <f t="shared" si="179"/>
        <v>15</v>
      </c>
      <c r="C649" s="55" t="str" cm="1">
        <f t="array" ref="C649">INDEX(Processing!$C$11:$C$22,MONTH('ALL ORDERS'!A649))</f>
        <v>JUL</v>
      </c>
      <c r="D649" s="54">
        <f t="shared" si="180"/>
        <v>2025</v>
      </c>
      <c r="E649" s="56" t="s">
        <v>48</v>
      </c>
      <c r="F649" s="56" t="s">
        <v>125</v>
      </c>
      <c r="G649" s="100">
        <v>0</v>
      </c>
      <c r="H649" s="100">
        <v>2030</v>
      </c>
      <c r="I649" s="57"/>
      <c r="J649" s="99">
        <f t="shared" si="175"/>
        <v>2030</v>
      </c>
      <c r="K649" s="53">
        <v>45853</v>
      </c>
      <c r="L649" s="54">
        <f t="shared" si="181"/>
        <v>15</v>
      </c>
      <c r="M649" s="55" t="str" cm="1">
        <f t="array" ref="M649">INDEX(Processing!$W$6:$W$17,MONTH('ALL ORDERS'!K649))</f>
        <v>July</v>
      </c>
      <c r="N649" s="54">
        <f t="shared" si="185"/>
        <v>2025</v>
      </c>
      <c r="O649" s="58">
        <v>0.75</v>
      </c>
      <c r="P649" s="59" t="s">
        <v>340</v>
      </c>
      <c r="Q649" s="60" t="e">
        <v>#N/A</v>
      </c>
      <c r="R649" s="56" t="s">
        <v>273</v>
      </c>
      <c r="S649" s="61" t="s">
        <v>46</v>
      </c>
      <c r="T649" s="62" t="s">
        <v>955</v>
      </c>
      <c r="U649" s="63" t="s">
        <v>26</v>
      </c>
      <c r="V649" s="63" t="s">
        <v>147</v>
      </c>
      <c r="W649" s="64">
        <v>582</v>
      </c>
      <c r="X649" s="64">
        <v>2</v>
      </c>
      <c r="Y649" s="47"/>
      <c r="Z649" s="47"/>
    </row>
    <row r="650" spans="1:26" x14ac:dyDescent="0.25">
      <c r="A650" s="53">
        <v>45854</v>
      </c>
      <c r="B650" s="54">
        <f t="shared" si="179"/>
        <v>16</v>
      </c>
      <c r="C650" s="55" t="str" cm="1">
        <f t="array" ref="C650">INDEX(Processing!$C$11:$C$22,MONTH('ALL ORDERS'!A650))</f>
        <v>JUL</v>
      </c>
      <c r="D650" s="54">
        <f t="shared" si="180"/>
        <v>2025</v>
      </c>
      <c r="E650" s="56" t="s">
        <v>47</v>
      </c>
      <c r="F650" s="56" t="s">
        <v>130</v>
      </c>
      <c r="G650" s="100">
        <v>1510</v>
      </c>
      <c r="H650" s="100">
        <v>0</v>
      </c>
      <c r="I650" s="57"/>
      <c r="J650" s="99">
        <f t="shared" si="175"/>
        <v>1510</v>
      </c>
      <c r="K650" s="53">
        <v>45854</v>
      </c>
      <c r="L650" s="54">
        <f t="shared" si="181"/>
        <v>16</v>
      </c>
      <c r="M650" s="55" t="str" cm="1">
        <f t="array" ref="M650">INDEX(Processing!$W$6:$W$17,MONTH('ALL ORDERS'!K650))</f>
        <v>July</v>
      </c>
      <c r="N650" s="54">
        <f t="shared" si="185"/>
        <v>2025</v>
      </c>
      <c r="O650" s="58">
        <v>0.41666666666666669</v>
      </c>
      <c r="P650" s="59" t="s">
        <v>224</v>
      </c>
      <c r="Q650" s="60" t="s">
        <v>90</v>
      </c>
      <c r="R650" s="56" t="s">
        <v>324</v>
      </c>
      <c r="S650" s="61" t="s">
        <v>41</v>
      </c>
      <c r="T650" s="62" t="s">
        <v>956</v>
      </c>
      <c r="U650" s="63" t="s">
        <v>27</v>
      </c>
      <c r="V650" s="63" t="s">
        <v>147</v>
      </c>
      <c r="W650" s="64">
        <v>3005</v>
      </c>
      <c r="X650" s="64">
        <v>5</v>
      </c>
      <c r="Y650" s="47"/>
      <c r="Z650" s="47"/>
    </row>
    <row r="651" spans="1:26" x14ac:dyDescent="0.25">
      <c r="A651" s="53">
        <v>45855</v>
      </c>
      <c r="B651" s="54">
        <f t="shared" si="179"/>
        <v>17</v>
      </c>
      <c r="C651" s="55" t="str" cm="1">
        <f t="array" ref="C651">INDEX(Processing!$C$11:$C$22,MONTH('ALL ORDERS'!A651))</f>
        <v>JUL</v>
      </c>
      <c r="D651" s="54">
        <f t="shared" si="180"/>
        <v>2025</v>
      </c>
      <c r="E651" s="56" t="s">
        <v>50</v>
      </c>
      <c r="F651" s="56" t="s">
        <v>134</v>
      </c>
      <c r="G651" s="100">
        <v>3690</v>
      </c>
      <c r="H651" s="100">
        <v>0</v>
      </c>
      <c r="I651" s="57"/>
      <c r="J651" s="99">
        <f t="shared" si="175"/>
        <v>3690</v>
      </c>
      <c r="K651" s="53">
        <v>45855</v>
      </c>
      <c r="L651" s="54">
        <f t="shared" si="181"/>
        <v>17</v>
      </c>
      <c r="M651" s="55" t="str" cm="1">
        <f t="array" ref="M651">INDEX(Processing!$W$6:$W$17,MONTH('ALL ORDERS'!K651))</f>
        <v>July</v>
      </c>
      <c r="N651" s="54">
        <f t="shared" si="185"/>
        <v>2025</v>
      </c>
      <c r="O651" s="58">
        <v>0.5</v>
      </c>
      <c r="P651" s="59" t="s">
        <v>171</v>
      </c>
      <c r="Q651" s="60" t="s">
        <v>94</v>
      </c>
      <c r="R651" s="56" t="s">
        <v>255</v>
      </c>
      <c r="S651" s="61" t="s">
        <v>41</v>
      </c>
      <c r="T651" s="62" t="s">
        <v>957</v>
      </c>
      <c r="U651" s="63" t="s">
        <v>23</v>
      </c>
      <c r="V651" s="63" t="s">
        <v>147</v>
      </c>
      <c r="W651" s="64">
        <v>5088</v>
      </c>
      <c r="X651" s="64">
        <v>3</v>
      </c>
      <c r="Y651" s="47"/>
      <c r="Z651" s="47"/>
    </row>
    <row r="652" spans="1:26" x14ac:dyDescent="0.25">
      <c r="A652" s="53">
        <v>45856</v>
      </c>
      <c r="B652" s="54">
        <f t="shared" si="179"/>
        <v>18</v>
      </c>
      <c r="C652" s="55" t="str" cm="1">
        <f t="array" ref="C652">INDEX(Processing!$C$11:$C$22,MONTH('ALL ORDERS'!A652))</f>
        <v>JUL</v>
      </c>
      <c r="D652" s="54">
        <f t="shared" si="180"/>
        <v>2025</v>
      </c>
      <c r="E652" s="56" t="s">
        <v>49</v>
      </c>
      <c r="F652" s="56" t="s">
        <v>137</v>
      </c>
      <c r="G652" s="100">
        <v>0</v>
      </c>
      <c r="H652" s="100">
        <v>1090</v>
      </c>
      <c r="I652" s="57"/>
      <c r="J652" s="99">
        <f t="shared" si="175"/>
        <v>1090</v>
      </c>
      <c r="K652" s="53">
        <v>45856</v>
      </c>
      <c r="L652" s="54">
        <f t="shared" si="181"/>
        <v>18</v>
      </c>
      <c r="M652" s="55" t="str" cm="1">
        <f t="array" ref="M652">INDEX(Processing!$W$6:$W$17,MONTH('ALL ORDERS'!K652))</f>
        <v>July</v>
      </c>
      <c r="N652" s="54">
        <f t="shared" si="185"/>
        <v>2025</v>
      </c>
      <c r="O652" s="58">
        <v>0.66666666666666663</v>
      </c>
      <c r="P652" s="59" t="s">
        <v>224</v>
      </c>
      <c r="Q652" s="60" t="s">
        <v>90</v>
      </c>
      <c r="R652" s="56" t="s">
        <v>324</v>
      </c>
      <c r="S652" s="61" t="s">
        <v>46</v>
      </c>
      <c r="T652" s="62" t="s">
        <v>958</v>
      </c>
      <c r="U652" s="63" t="s">
        <v>25</v>
      </c>
      <c r="V652" s="63" t="s">
        <v>147</v>
      </c>
      <c r="W652" s="64">
        <v>3443</v>
      </c>
      <c r="X652" s="64">
        <v>2</v>
      </c>
      <c r="Y652" s="47"/>
      <c r="Z652" s="47"/>
    </row>
    <row r="653" spans="1:26" x14ac:dyDescent="0.25">
      <c r="A653" s="53">
        <v>45857</v>
      </c>
      <c r="B653" s="54">
        <f t="shared" si="179"/>
        <v>19</v>
      </c>
      <c r="C653" s="55" t="str" cm="1">
        <f t="array" ref="C653">INDEX(Processing!$C$11:$C$22,MONTH('ALL ORDERS'!A653))</f>
        <v>JUL</v>
      </c>
      <c r="D653" s="54">
        <f t="shared" si="180"/>
        <v>2025</v>
      </c>
      <c r="E653" s="56" t="s">
        <v>50</v>
      </c>
      <c r="F653" s="56" t="s">
        <v>131</v>
      </c>
      <c r="G653" s="100">
        <v>0</v>
      </c>
      <c r="H653" s="100">
        <v>2820</v>
      </c>
      <c r="I653" s="57"/>
      <c r="J653" s="99">
        <f t="shared" si="175"/>
        <v>2820</v>
      </c>
      <c r="K653" s="53">
        <v>45857</v>
      </c>
      <c r="L653" s="54">
        <f t="shared" si="181"/>
        <v>19</v>
      </c>
      <c r="M653" s="55" t="str" cm="1">
        <f t="array" ref="M653">INDEX(Processing!$W$6:$W$17,MONTH('ALL ORDERS'!K653))</f>
        <v>July</v>
      </c>
      <c r="N653" s="54">
        <f t="shared" si="185"/>
        <v>2025</v>
      </c>
      <c r="O653" s="58">
        <v>0.75</v>
      </c>
      <c r="P653" s="59" t="s">
        <v>343</v>
      </c>
      <c r="Q653" s="60" t="s">
        <v>94</v>
      </c>
      <c r="R653" s="56" t="s">
        <v>303</v>
      </c>
      <c r="S653" s="61" t="s">
        <v>44</v>
      </c>
      <c r="T653" s="62" t="s">
        <v>959</v>
      </c>
      <c r="U653" s="63" t="s">
        <v>23</v>
      </c>
      <c r="V653" s="63" t="s">
        <v>147</v>
      </c>
      <c r="W653" s="64">
        <v>1881</v>
      </c>
      <c r="X653" s="64">
        <v>4</v>
      </c>
      <c r="Y653" s="47"/>
      <c r="Z653" s="47"/>
    </row>
    <row r="654" spans="1:26" x14ac:dyDescent="0.25">
      <c r="A654" s="53">
        <v>45858</v>
      </c>
      <c r="B654" s="54">
        <f t="shared" si="179"/>
        <v>20</v>
      </c>
      <c r="C654" s="55" t="str" cm="1">
        <f t="array" ref="C654">INDEX(Processing!$C$11:$C$22,MONTH('ALL ORDERS'!A654))</f>
        <v>JUL</v>
      </c>
      <c r="D654" s="54">
        <f t="shared" si="180"/>
        <v>2025</v>
      </c>
      <c r="E654" s="56" t="s">
        <v>51</v>
      </c>
      <c r="F654" s="56" t="s">
        <v>133</v>
      </c>
      <c r="G654" s="100">
        <v>0</v>
      </c>
      <c r="H654" s="100">
        <v>1110</v>
      </c>
      <c r="I654" s="57"/>
      <c r="J654" s="99">
        <f t="shared" si="175"/>
        <v>1110</v>
      </c>
      <c r="K654" s="53">
        <v>45858</v>
      </c>
      <c r="L654" s="54">
        <f t="shared" si="181"/>
        <v>20</v>
      </c>
      <c r="M654" s="55" t="str" cm="1">
        <f t="array" ref="M654">INDEX(Processing!$W$6:$W$17,MONTH('ALL ORDERS'!K654))</f>
        <v>July</v>
      </c>
      <c r="N654" s="54">
        <f t="shared" si="185"/>
        <v>2025</v>
      </c>
      <c r="O654" s="58">
        <v>0.41666666666666669</v>
      </c>
      <c r="P654" s="59" t="s">
        <v>222</v>
      </c>
      <c r="Q654" s="60" t="s">
        <v>94</v>
      </c>
      <c r="R654" s="56" t="s">
        <v>321</v>
      </c>
      <c r="S654" s="61" t="s">
        <v>46</v>
      </c>
      <c r="T654" s="62" t="s">
        <v>960</v>
      </c>
      <c r="U654" s="63" t="s">
        <v>26</v>
      </c>
      <c r="V654" s="63" t="s">
        <v>147</v>
      </c>
      <c r="W654" s="64">
        <v>602</v>
      </c>
      <c r="X654" s="64">
        <v>5</v>
      </c>
      <c r="Y654" s="47"/>
      <c r="Z654" s="47"/>
    </row>
    <row r="655" spans="1:26" x14ac:dyDescent="0.25">
      <c r="A655" s="53">
        <v>45859</v>
      </c>
      <c r="B655" s="54">
        <f t="shared" si="179"/>
        <v>21</v>
      </c>
      <c r="C655" s="55" t="str" cm="1">
        <f t="array" ref="C655">INDEX(Processing!$C$11:$C$22,MONTH('ALL ORDERS'!A655))</f>
        <v>JUL</v>
      </c>
      <c r="D655" s="54">
        <f t="shared" si="180"/>
        <v>2025</v>
      </c>
      <c r="E655" s="56" t="s">
        <v>47</v>
      </c>
      <c r="F655" s="56" t="s">
        <v>133</v>
      </c>
      <c r="G655" s="100">
        <v>0</v>
      </c>
      <c r="H655" s="100">
        <v>3990</v>
      </c>
      <c r="I655" s="57"/>
      <c r="J655" s="99">
        <f t="shared" si="175"/>
        <v>3990</v>
      </c>
      <c r="K655" s="53">
        <v>45859</v>
      </c>
      <c r="L655" s="54">
        <f t="shared" si="181"/>
        <v>21</v>
      </c>
      <c r="M655" s="55" t="str" cm="1">
        <f t="array" ref="M655">INDEX(Processing!$W$6:$W$17,MONTH('ALL ORDERS'!K655))</f>
        <v>July</v>
      </c>
      <c r="N655" s="54">
        <f t="shared" si="185"/>
        <v>2025</v>
      </c>
      <c r="O655" s="58">
        <v>0.5</v>
      </c>
      <c r="P655" s="59" t="s">
        <v>344</v>
      </c>
      <c r="Q655" s="60" t="s">
        <v>90</v>
      </c>
      <c r="R655" s="56" t="s">
        <v>306</v>
      </c>
      <c r="S655" s="61" t="s">
        <v>41</v>
      </c>
      <c r="T655" s="62" t="s">
        <v>961</v>
      </c>
      <c r="U655" s="63" t="s">
        <v>24</v>
      </c>
      <c r="V655" s="63" t="s">
        <v>148</v>
      </c>
      <c r="W655" s="64">
        <v>3540</v>
      </c>
      <c r="X655" s="64"/>
      <c r="Y655" s="47"/>
      <c r="Z655" s="47"/>
    </row>
    <row r="656" spans="1:26" x14ac:dyDescent="0.25">
      <c r="A656" s="53">
        <v>45860</v>
      </c>
      <c r="B656" s="54">
        <f t="shared" si="179"/>
        <v>22</v>
      </c>
      <c r="C656" s="55" t="str" cm="1">
        <f t="array" ref="C656">INDEX(Processing!$C$11:$C$22,MONTH('ALL ORDERS'!A656))</f>
        <v>JUL</v>
      </c>
      <c r="D656" s="54">
        <f t="shared" si="180"/>
        <v>2025</v>
      </c>
      <c r="E656" s="56" t="s">
        <v>50</v>
      </c>
      <c r="F656" s="56" t="s">
        <v>134</v>
      </c>
      <c r="G656" s="100">
        <v>0</v>
      </c>
      <c r="H656" s="100">
        <v>2150</v>
      </c>
      <c r="I656" s="57"/>
      <c r="J656" s="99">
        <f t="shared" si="175"/>
        <v>2150</v>
      </c>
      <c r="K656" s="53">
        <v>45860</v>
      </c>
      <c r="L656" s="54">
        <f t="shared" si="181"/>
        <v>22</v>
      </c>
      <c r="M656" s="55" t="str" cm="1">
        <f t="array" ref="M656">INDEX(Processing!$W$6:$W$17,MONTH('ALL ORDERS'!K656))</f>
        <v>July</v>
      </c>
      <c r="N656" s="54">
        <f t="shared" si="185"/>
        <v>2025</v>
      </c>
      <c r="O656" s="58">
        <v>0.66666666666666663</v>
      </c>
      <c r="P656" s="59" t="s">
        <v>354</v>
      </c>
      <c r="Q656" s="60" t="s">
        <v>94</v>
      </c>
      <c r="R656" s="56" t="s">
        <v>323</v>
      </c>
      <c r="S656" s="61" t="s">
        <v>43</v>
      </c>
      <c r="T656" s="62" t="s">
        <v>962</v>
      </c>
      <c r="U656" s="63" t="s">
        <v>26</v>
      </c>
      <c r="V656" s="63" t="s">
        <v>147</v>
      </c>
      <c r="W656" s="64">
        <v>2891</v>
      </c>
      <c r="X656" s="64">
        <v>5</v>
      </c>
      <c r="Y656" s="47"/>
      <c r="Z656" s="47"/>
    </row>
    <row r="657" spans="1:26" x14ac:dyDescent="0.25">
      <c r="A657" s="53">
        <v>45861</v>
      </c>
      <c r="B657" s="54">
        <f t="shared" si="179"/>
        <v>23</v>
      </c>
      <c r="C657" s="55" t="str" cm="1">
        <f t="array" ref="C657">INDEX(Processing!$C$11:$C$22,MONTH('ALL ORDERS'!A657))</f>
        <v>JUL</v>
      </c>
      <c r="D657" s="54">
        <f t="shared" si="180"/>
        <v>2025</v>
      </c>
      <c r="E657" s="56" t="s">
        <v>49</v>
      </c>
      <c r="F657" s="56" t="s">
        <v>134</v>
      </c>
      <c r="G657" s="100">
        <v>0</v>
      </c>
      <c r="H657" s="100">
        <v>2230</v>
      </c>
      <c r="I657" s="57"/>
      <c r="J657" s="99">
        <f t="shared" si="175"/>
        <v>2230</v>
      </c>
      <c r="K657" s="53">
        <v>45861</v>
      </c>
      <c r="L657" s="54">
        <f t="shared" si="181"/>
        <v>23</v>
      </c>
      <c r="M657" s="55" t="str" cm="1">
        <f t="array" ref="M657">INDEX(Processing!$W$6:$W$17,MONTH('ALL ORDERS'!K657))</f>
        <v>July</v>
      </c>
      <c r="N657" s="54">
        <f t="shared" si="185"/>
        <v>2025</v>
      </c>
      <c r="O657" s="58">
        <v>0.75</v>
      </c>
      <c r="P657" s="59" t="s">
        <v>173</v>
      </c>
      <c r="Q657" s="60" t="s">
        <v>90</v>
      </c>
      <c r="R657" s="56" t="s">
        <v>257</v>
      </c>
      <c r="S657" s="61" t="s">
        <v>45</v>
      </c>
      <c r="T657" s="62" t="s">
        <v>963</v>
      </c>
      <c r="U657" s="63" t="s">
        <v>24</v>
      </c>
      <c r="V657" s="63" t="s">
        <v>147</v>
      </c>
      <c r="W657" s="64">
        <v>2782</v>
      </c>
      <c r="X657" s="64">
        <v>5</v>
      </c>
      <c r="Y657" s="47"/>
      <c r="Z657" s="47"/>
    </row>
    <row r="658" spans="1:26" x14ac:dyDescent="0.25">
      <c r="A658" s="53">
        <v>45862</v>
      </c>
      <c r="B658" s="54">
        <f t="shared" si="179"/>
        <v>24</v>
      </c>
      <c r="C658" s="55" t="str" cm="1">
        <f t="array" ref="C658">INDEX(Processing!$C$11:$C$22,MONTH('ALL ORDERS'!A658))</f>
        <v>JUL</v>
      </c>
      <c r="D658" s="54">
        <f t="shared" si="180"/>
        <v>2025</v>
      </c>
      <c r="E658" s="56" t="s">
        <v>50</v>
      </c>
      <c r="F658" s="56" t="s">
        <v>19</v>
      </c>
      <c r="G658" s="100">
        <v>0</v>
      </c>
      <c r="H658" s="100">
        <v>3080</v>
      </c>
      <c r="I658" s="57"/>
      <c r="J658" s="99">
        <f t="shared" si="175"/>
        <v>3080</v>
      </c>
      <c r="K658" s="53">
        <v>45862</v>
      </c>
      <c r="L658" s="54">
        <f t="shared" si="181"/>
        <v>24</v>
      </c>
      <c r="M658" s="55" t="str" cm="1">
        <f t="array" ref="M658">INDEX(Processing!$W$6:$W$17,MONTH('ALL ORDERS'!K658))</f>
        <v>July</v>
      </c>
      <c r="N658" s="54">
        <f t="shared" si="185"/>
        <v>2025</v>
      </c>
      <c r="O658" s="58">
        <v>0.41666666666666669</v>
      </c>
      <c r="P658" s="59" t="s">
        <v>184</v>
      </c>
      <c r="Q658" s="60" t="s">
        <v>94</v>
      </c>
      <c r="R658" s="56" t="s">
        <v>269</v>
      </c>
      <c r="S658" s="61" t="s">
        <v>43</v>
      </c>
      <c r="T658" s="70">
        <v>9900888990</v>
      </c>
      <c r="U658" s="63" t="s">
        <v>25</v>
      </c>
      <c r="V658" s="63" t="s">
        <v>147</v>
      </c>
      <c r="W658" s="64">
        <v>625</v>
      </c>
      <c r="X658" s="64">
        <v>5</v>
      </c>
      <c r="Y658" s="47"/>
      <c r="Z658" s="47"/>
    </row>
    <row r="659" spans="1:26" x14ac:dyDescent="0.25">
      <c r="A659" s="53">
        <v>45863</v>
      </c>
      <c r="B659" s="54">
        <f t="shared" si="179"/>
        <v>25</v>
      </c>
      <c r="C659" s="55" t="str" cm="1">
        <f t="array" ref="C659">INDEX(Processing!$C$11:$C$22,MONTH('ALL ORDERS'!A659))</f>
        <v>JUL</v>
      </c>
      <c r="D659" s="54">
        <f t="shared" si="180"/>
        <v>2025</v>
      </c>
      <c r="E659" s="56" t="s">
        <v>50</v>
      </c>
      <c r="F659" s="56" t="s">
        <v>19</v>
      </c>
      <c r="G659" s="100">
        <v>0</v>
      </c>
      <c r="H659" s="100">
        <v>2330</v>
      </c>
      <c r="I659" s="57"/>
      <c r="J659" s="99">
        <f t="shared" si="175"/>
        <v>2330</v>
      </c>
      <c r="K659" s="53">
        <v>45863</v>
      </c>
      <c r="L659" s="54">
        <f t="shared" si="181"/>
        <v>25</v>
      </c>
      <c r="M659" s="55" t="str" cm="1">
        <f t="array" ref="M659">INDEX(Processing!$W$6:$W$17,MONTH('ALL ORDERS'!K659))</f>
        <v>July</v>
      </c>
      <c r="N659" s="54">
        <f t="shared" si="185"/>
        <v>2025</v>
      </c>
      <c r="O659" s="58">
        <v>0.5</v>
      </c>
      <c r="P659" s="59" t="s">
        <v>173</v>
      </c>
      <c r="Q659" s="60" t="s">
        <v>90</v>
      </c>
      <c r="R659" s="56" t="s">
        <v>257</v>
      </c>
      <c r="S659" s="61" t="s">
        <v>44</v>
      </c>
      <c r="T659" s="62" t="s">
        <v>964</v>
      </c>
      <c r="U659" s="63" t="s">
        <v>25</v>
      </c>
      <c r="V659" s="63" t="s">
        <v>147</v>
      </c>
      <c r="W659" s="64">
        <v>4016</v>
      </c>
      <c r="X659" s="64">
        <v>5</v>
      </c>
      <c r="Y659" s="47"/>
      <c r="Z659" s="47"/>
    </row>
    <row r="660" spans="1:26" x14ac:dyDescent="0.25">
      <c r="A660" s="53">
        <v>45864</v>
      </c>
      <c r="B660" s="54">
        <f t="shared" si="179"/>
        <v>26</v>
      </c>
      <c r="C660" s="55" t="str" cm="1">
        <f t="array" ref="C660">INDEX(Processing!$C$11:$C$22,MONTH('ALL ORDERS'!A660))</f>
        <v>JUL</v>
      </c>
      <c r="D660" s="54">
        <f t="shared" si="180"/>
        <v>2025</v>
      </c>
      <c r="E660" s="56" t="s">
        <v>47</v>
      </c>
      <c r="F660" s="56" t="s">
        <v>128</v>
      </c>
      <c r="G660" s="100">
        <v>0</v>
      </c>
      <c r="H660" s="100">
        <v>120</v>
      </c>
      <c r="I660" s="57"/>
      <c r="J660" s="99">
        <f t="shared" si="175"/>
        <v>120</v>
      </c>
      <c r="K660" s="53">
        <v>45864</v>
      </c>
      <c r="L660" s="54">
        <f t="shared" si="181"/>
        <v>26</v>
      </c>
      <c r="M660" s="55" t="str" cm="1">
        <f t="array" ref="M660">INDEX(Processing!$W$6:$W$17,MONTH('ALL ORDERS'!K660))</f>
        <v>July</v>
      </c>
      <c r="N660" s="54">
        <f t="shared" si="185"/>
        <v>2025</v>
      </c>
      <c r="O660" s="58">
        <v>0.66666666666666663</v>
      </c>
      <c r="P660" s="59" t="s">
        <v>157</v>
      </c>
      <c r="Q660" s="60" t="s">
        <v>90</v>
      </c>
      <c r="R660" s="56" t="s">
        <v>239</v>
      </c>
      <c r="S660" s="61" t="s">
        <v>41</v>
      </c>
      <c r="T660" s="62" t="s">
        <v>965</v>
      </c>
      <c r="U660" s="63" t="s">
        <v>25</v>
      </c>
      <c r="V660" s="63" t="s">
        <v>147</v>
      </c>
      <c r="W660" s="64">
        <v>3453</v>
      </c>
      <c r="X660" s="64">
        <v>4</v>
      </c>
      <c r="Y660" s="47"/>
      <c r="Z660" s="47"/>
    </row>
    <row r="661" spans="1:26" x14ac:dyDescent="0.25">
      <c r="A661" s="53">
        <v>45865</v>
      </c>
      <c r="B661" s="54">
        <f t="shared" si="179"/>
        <v>27</v>
      </c>
      <c r="C661" s="55" t="str" cm="1">
        <f t="array" ref="C661">INDEX(Processing!$C$11:$C$22,MONTH('ALL ORDERS'!A661))</f>
        <v>JUL</v>
      </c>
      <c r="D661" s="54">
        <f t="shared" si="180"/>
        <v>2025</v>
      </c>
      <c r="E661" s="56" t="s">
        <v>51</v>
      </c>
      <c r="F661" s="56" t="s">
        <v>22</v>
      </c>
      <c r="G661" s="100">
        <v>0</v>
      </c>
      <c r="H661" s="100">
        <v>3020</v>
      </c>
      <c r="I661" s="57"/>
      <c r="J661" s="99">
        <f t="shared" si="175"/>
        <v>3020</v>
      </c>
      <c r="K661" s="53">
        <v>45865</v>
      </c>
      <c r="L661" s="54">
        <f t="shared" si="181"/>
        <v>27</v>
      </c>
      <c r="M661" s="55" t="str" cm="1">
        <f t="array" ref="M661">INDEX(Processing!$W$6:$W$17,MONTH('ALL ORDERS'!K661))</f>
        <v>July</v>
      </c>
      <c r="N661" s="54">
        <f t="shared" si="185"/>
        <v>2025</v>
      </c>
      <c r="O661" s="58">
        <v>0.75</v>
      </c>
      <c r="P661" s="59" t="s">
        <v>184</v>
      </c>
      <c r="Q661" s="60" t="s">
        <v>94</v>
      </c>
      <c r="R661" s="56" t="s">
        <v>269</v>
      </c>
      <c r="S661" s="61" t="s">
        <v>41</v>
      </c>
      <c r="T661" s="62" t="s">
        <v>966</v>
      </c>
      <c r="U661" s="63" t="s">
        <v>23</v>
      </c>
      <c r="V661" s="63" t="s">
        <v>147</v>
      </c>
      <c r="W661" s="64">
        <v>2135</v>
      </c>
      <c r="X661" s="64">
        <v>4</v>
      </c>
      <c r="Y661" s="47"/>
      <c r="Z661" s="47"/>
    </row>
    <row r="662" spans="1:26" x14ac:dyDescent="0.25">
      <c r="A662" s="53">
        <v>45866</v>
      </c>
      <c r="B662" s="54">
        <f t="shared" si="179"/>
        <v>28</v>
      </c>
      <c r="C662" s="55" t="str" cm="1">
        <f t="array" ref="C662">INDEX(Processing!$C$11:$C$22,MONTH('ALL ORDERS'!A662))</f>
        <v>JUL</v>
      </c>
      <c r="D662" s="54">
        <f t="shared" si="180"/>
        <v>2025</v>
      </c>
      <c r="E662" s="56" t="s">
        <v>49</v>
      </c>
      <c r="F662" s="56" t="s">
        <v>127</v>
      </c>
      <c r="G662" s="100">
        <v>0</v>
      </c>
      <c r="H662" s="100">
        <v>3020</v>
      </c>
      <c r="I662" s="57"/>
      <c r="J662" s="99">
        <f t="shared" ref="J662:J725" si="186">G662+H662</f>
        <v>3020</v>
      </c>
      <c r="K662" s="53">
        <v>45866</v>
      </c>
      <c r="L662" s="54">
        <f t="shared" si="181"/>
        <v>28</v>
      </c>
      <c r="M662" s="55" t="str" cm="1">
        <f t="array" ref="M662">INDEX(Processing!$W$6:$W$17,MONTH('ALL ORDERS'!K662))</f>
        <v>July</v>
      </c>
      <c r="N662" s="54">
        <f t="shared" si="185"/>
        <v>2025</v>
      </c>
      <c r="O662" s="58">
        <v>0.41666666666666669</v>
      </c>
      <c r="P662" s="59" t="s">
        <v>200</v>
      </c>
      <c r="Q662" s="60" t="s">
        <v>94</v>
      </c>
      <c r="R662" s="56" t="s">
        <v>287</v>
      </c>
      <c r="S662" s="61" t="s">
        <v>46</v>
      </c>
      <c r="T662" s="62" t="s">
        <v>967</v>
      </c>
      <c r="U662" s="63" t="s">
        <v>25</v>
      </c>
      <c r="V662" s="63" t="s">
        <v>147</v>
      </c>
      <c r="W662" s="64">
        <v>1152</v>
      </c>
      <c r="X662" s="64">
        <v>4</v>
      </c>
      <c r="Y662" s="47"/>
      <c r="Z662" s="47"/>
    </row>
    <row r="663" spans="1:26" x14ac:dyDescent="0.25">
      <c r="A663" s="53">
        <v>45867</v>
      </c>
      <c r="B663" s="54">
        <f t="shared" si="179"/>
        <v>29</v>
      </c>
      <c r="C663" s="55" t="str" cm="1">
        <f t="array" ref="C663">INDEX(Processing!$C$11:$C$22,MONTH('ALL ORDERS'!A663))</f>
        <v>JUL</v>
      </c>
      <c r="D663" s="54">
        <f t="shared" si="180"/>
        <v>2025</v>
      </c>
      <c r="E663" s="56" t="s">
        <v>50</v>
      </c>
      <c r="F663" s="56" t="s">
        <v>125</v>
      </c>
      <c r="G663" s="100">
        <v>0</v>
      </c>
      <c r="H663" s="100">
        <v>2340</v>
      </c>
      <c r="I663" s="57">
        <v>0.15</v>
      </c>
      <c r="J663" s="99">
        <f t="shared" si="186"/>
        <v>2340</v>
      </c>
      <c r="K663" s="53">
        <v>45867</v>
      </c>
      <c r="L663" s="54">
        <f t="shared" si="181"/>
        <v>29</v>
      </c>
      <c r="M663" s="55" t="str" cm="1">
        <f t="array" ref="M663">INDEX(Processing!$W$6:$W$17,MONTH('ALL ORDERS'!K663))</f>
        <v>July</v>
      </c>
      <c r="N663" s="54">
        <f t="shared" si="185"/>
        <v>2025</v>
      </c>
      <c r="O663" s="58">
        <v>0.5</v>
      </c>
      <c r="P663" s="59" t="s">
        <v>343</v>
      </c>
      <c r="Q663" s="60" t="s">
        <v>94</v>
      </c>
      <c r="R663" s="56" t="s">
        <v>303</v>
      </c>
      <c r="S663" s="61" t="s">
        <v>46</v>
      </c>
      <c r="T663" s="62" t="s">
        <v>968</v>
      </c>
      <c r="U663" s="63" t="s">
        <v>25</v>
      </c>
      <c r="V663" s="63" t="s">
        <v>147</v>
      </c>
      <c r="W663" s="64">
        <v>524</v>
      </c>
      <c r="X663" s="64">
        <v>4</v>
      </c>
      <c r="Y663" s="47"/>
      <c r="Z663" s="47"/>
    </row>
    <row r="664" spans="1:26" x14ac:dyDescent="0.25">
      <c r="A664" s="53">
        <v>45868</v>
      </c>
      <c r="B664" s="54">
        <f t="shared" si="179"/>
        <v>30</v>
      </c>
      <c r="C664" s="55" t="str" cm="1">
        <f t="array" ref="C664">INDEX(Processing!$C$11:$C$22,MONTH('ALL ORDERS'!A664))</f>
        <v>JUL</v>
      </c>
      <c r="D664" s="54">
        <f t="shared" si="180"/>
        <v>2025</v>
      </c>
      <c r="E664" s="56" t="s">
        <v>50</v>
      </c>
      <c r="F664" s="56" t="s">
        <v>130</v>
      </c>
      <c r="G664" s="100">
        <v>0</v>
      </c>
      <c r="H664" s="100">
        <v>2390</v>
      </c>
      <c r="I664" s="57"/>
      <c r="J664" s="99">
        <f t="shared" si="186"/>
        <v>2390</v>
      </c>
      <c r="K664" s="53">
        <v>45868</v>
      </c>
      <c r="L664" s="54">
        <f t="shared" si="181"/>
        <v>30</v>
      </c>
      <c r="M664" s="55" t="str" cm="1">
        <f t="array" ref="M664">INDEX(Processing!$W$6:$W$17,MONTH('ALL ORDERS'!K664))</f>
        <v>July</v>
      </c>
      <c r="N664" s="54">
        <f t="shared" si="185"/>
        <v>2025</v>
      </c>
      <c r="O664" s="58">
        <v>0.66666666666666663</v>
      </c>
      <c r="P664" s="59" t="s">
        <v>191</v>
      </c>
      <c r="Q664" s="60" t="s">
        <v>94</v>
      </c>
      <c r="R664" s="56" t="s">
        <v>277</v>
      </c>
      <c r="S664" s="61" t="s">
        <v>46</v>
      </c>
      <c r="T664" s="62" t="s">
        <v>969</v>
      </c>
      <c r="U664" s="63" t="s">
        <v>25</v>
      </c>
      <c r="V664" s="63" t="s">
        <v>147</v>
      </c>
      <c r="W664" s="64">
        <v>5573</v>
      </c>
      <c r="X664" s="64">
        <v>4</v>
      </c>
      <c r="Y664" s="47"/>
      <c r="Z664" s="47"/>
    </row>
    <row r="665" spans="1:26" x14ac:dyDescent="0.25">
      <c r="A665" s="53">
        <v>45869</v>
      </c>
      <c r="B665" s="54">
        <f t="shared" si="179"/>
        <v>31</v>
      </c>
      <c r="C665" s="55" t="str" cm="1">
        <f t="array" ref="C665">INDEX(Processing!$C$11:$C$22,MONTH('ALL ORDERS'!A665))</f>
        <v>JUL</v>
      </c>
      <c r="D665" s="54">
        <f t="shared" si="180"/>
        <v>2025</v>
      </c>
      <c r="E665" s="56" t="s">
        <v>47</v>
      </c>
      <c r="F665" s="56" t="s">
        <v>134</v>
      </c>
      <c r="G665" s="100">
        <v>0</v>
      </c>
      <c r="H665" s="100">
        <v>2610</v>
      </c>
      <c r="I665" s="57"/>
      <c r="J665" s="99">
        <f t="shared" si="186"/>
        <v>2610</v>
      </c>
      <c r="K665" s="53">
        <v>45869</v>
      </c>
      <c r="L665" s="54">
        <f t="shared" si="181"/>
        <v>31</v>
      </c>
      <c r="M665" s="55" t="str" cm="1">
        <f t="array" ref="M665">INDEX(Processing!$W$6:$W$17,MONTH('ALL ORDERS'!K665))</f>
        <v>July</v>
      </c>
      <c r="N665" s="54">
        <f t="shared" si="185"/>
        <v>2025</v>
      </c>
      <c r="O665" s="58">
        <v>0.75</v>
      </c>
      <c r="P665" s="59" t="s">
        <v>194</v>
      </c>
      <c r="Q665" s="60" t="s">
        <v>90</v>
      </c>
      <c r="R665" s="56" t="s">
        <v>280</v>
      </c>
      <c r="S665" s="61" t="s">
        <v>41</v>
      </c>
      <c r="T665" s="62" t="s">
        <v>970</v>
      </c>
      <c r="U665" s="63" t="s">
        <v>23</v>
      </c>
      <c r="V665" s="63" t="s">
        <v>147</v>
      </c>
      <c r="W665" s="64">
        <v>3498</v>
      </c>
      <c r="X665" s="64">
        <v>4</v>
      </c>
      <c r="Y665" s="47"/>
      <c r="Z665" s="47"/>
    </row>
    <row r="666" spans="1:26" x14ac:dyDescent="0.25">
      <c r="A666" s="53">
        <v>45870</v>
      </c>
      <c r="B666" s="54">
        <f t="shared" si="179"/>
        <v>1</v>
      </c>
      <c r="C666" s="55" t="str" cm="1">
        <f t="array" ref="C666">INDEX(Processing!$C$11:$C$22,MONTH('ALL ORDERS'!A666))</f>
        <v>AUG</v>
      </c>
      <c r="D666" s="54">
        <f t="shared" si="180"/>
        <v>2025</v>
      </c>
      <c r="E666" s="56" t="s">
        <v>50</v>
      </c>
      <c r="F666" s="56" t="s">
        <v>137</v>
      </c>
      <c r="G666" s="100">
        <v>0</v>
      </c>
      <c r="H666" s="100">
        <v>1950</v>
      </c>
      <c r="I666" s="57"/>
      <c r="J666" s="99">
        <f t="shared" si="186"/>
        <v>1950</v>
      </c>
      <c r="K666" s="53">
        <v>45870</v>
      </c>
      <c r="L666" s="54">
        <f t="shared" si="181"/>
        <v>1</v>
      </c>
      <c r="M666" s="55" t="str" cm="1">
        <f t="array" ref="M666">INDEX(Processing!$W$6:$W$17,MONTH('ALL ORDERS'!K666))</f>
        <v>August</v>
      </c>
      <c r="N666" s="54">
        <f t="shared" si="185"/>
        <v>2025</v>
      </c>
      <c r="O666" s="58">
        <v>0.375</v>
      </c>
      <c r="P666" s="59" t="s">
        <v>158</v>
      </c>
      <c r="Q666" s="60" t="s">
        <v>94</v>
      </c>
      <c r="R666" s="56" t="s">
        <v>240</v>
      </c>
      <c r="S666" s="61" t="s">
        <v>41</v>
      </c>
      <c r="T666" s="62" t="s">
        <v>971</v>
      </c>
      <c r="U666" s="63" t="s">
        <v>27</v>
      </c>
      <c r="V666" s="63" t="s">
        <v>147</v>
      </c>
      <c r="W666" s="64">
        <v>2811</v>
      </c>
      <c r="X666" s="64">
        <v>4</v>
      </c>
      <c r="Y666" s="47"/>
      <c r="Z666" s="47"/>
    </row>
    <row r="667" spans="1:26" x14ac:dyDescent="0.25">
      <c r="A667" s="53">
        <v>45871</v>
      </c>
      <c r="B667" s="54">
        <f t="shared" si="179"/>
        <v>2</v>
      </c>
      <c r="C667" s="55" t="str" cm="1">
        <f t="array" ref="C667">INDEX(Processing!$C$11:$C$22,MONTH('ALL ORDERS'!A667))</f>
        <v>AUG</v>
      </c>
      <c r="D667" s="54">
        <f t="shared" si="180"/>
        <v>2025</v>
      </c>
      <c r="E667" s="56" t="s">
        <v>49</v>
      </c>
      <c r="F667" s="56" t="s">
        <v>131</v>
      </c>
      <c r="G667" s="100">
        <v>0</v>
      </c>
      <c r="H667" s="100">
        <v>110</v>
      </c>
      <c r="I667" s="57"/>
      <c r="J667" s="99">
        <f t="shared" si="186"/>
        <v>110</v>
      </c>
      <c r="K667" s="53">
        <v>45871</v>
      </c>
      <c r="L667" s="54">
        <f t="shared" si="181"/>
        <v>2</v>
      </c>
      <c r="M667" s="55" t="str" cm="1">
        <f t="array" ref="M667">INDEX(Processing!$W$6:$W$17,MONTH('ALL ORDERS'!K667))</f>
        <v>August</v>
      </c>
      <c r="N667" s="54">
        <f t="shared" si="185"/>
        <v>2025</v>
      </c>
      <c r="O667" s="58">
        <v>0.45833333333333331</v>
      </c>
      <c r="P667" s="59" t="s">
        <v>350</v>
      </c>
      <c r="Q667" s="60" t="s">
        <v>91</v>
      </c>
      <c r="R667" s="56" t="s">
        <v>312</v>
      </c>
      <c r="S667" s="61" t="s">
        <v>46</v>
      </c>
      <c r="T667" s="62" t="s">
        <v>972</v>
      </c>
      <c r="U667" s="63" t="s">
        <v>24</v>
      </c>
      <c r="V667" s="63" t="s">
        <v>148</v>
      </c>
      <c r="W667" s="64">
        <v>4774</v>
      </c>
      <c r="X667" s="64"/>
      <c r="Y667" s="47"/>
      <c r="Z667" s="47"/>
    </row>
    <row r="668" spans="1:26" x14ac:dyDescent="0.25">
      <c r="A668" s="53">
        <v>45872</v>
      </c>
      <c r="B668" s="54">
        <f t="shared" si="179"/>
        <v>3</v>
      </c>
      <c r="C668" s="55" t="str" cm="1">
        <f t="array" ref="C668">INDEX(Processing!$C$11:$C$22,MONTH('ALL ORDERS'!A668))</f>
        <v>AUG</v>
      </c>
      <c r="D668" s="54">
        <f t="shared" si="180"/>
        <v>2025</v>
      </c>
      <c r="E668" s="56" t="s">
        <v>50</v>
      </c>
      <c r="F668" s="56" t="s">
        <v>133</v>
      </c>
      <c r="G668" s="100">
        <v>0</v>
      </c>
      <c r="H668" s="100">
        <v>2450</v>
      </c>
      <c r="I668" s="57"/>
      <c r="J668" s="99">
        <f t="shared" si="186"/>
        <v>2450</v>
      </c>
      <c r="K668" s="53">
        <v>45872</v>
      </c>
      <c r="L668" s="54">
        <f t="shared" si="181"/>
        <v>3</v>
      </c>
      <c r="M668" s="55" t="str" cm="1">
        <f t="array" ref="M668">INDEX(Processing!$W$6:$W$17,MONTH('ALL ORDERS'!K668))</f>
        <v>August</v>
      </c>
      <c r="N668" s="54">
        <f t="shared" si="185"/>
        <v>2025</v>
      </c>
      <c r="O668" s="58">
        <v>0.625</v>
      </c>
      <c r="P668" s="59" t="s">
        <v>182</v>
      </c>
      <c r="Q668" s="60" t="s">
        <v>94</v>
      </c>
      <c r="R668" s="56" t="s">
        <v>267</v>
      </c>
      <c r="S668" s="61" t="s">
        <v>44</v>
      </c>
      <c r="T668" s="62" t="s">
        <v>973</v>
      </c>
      <c r="U668" s="63" t="s">
        <v>24</v>
      </c>
      <c r="V668" s="63" t="s">
        <v>147</v>
      </c>
      <c r="W668" s="64">
        <v>3306</v>
      </c>
      <c r="X668" s="64">
        <v>4</v>
      </c>
      <c r="Y668" s="47"/>
      <c r="Z668" s="47"/>
    </row>
    <row r="669" spans="1:26" x14ac:dyDescent="0.25">
      <c r="A669" s="53">
        <v>45873</v>
      </c>
      <c r="B669" s="54">
        <f t="shared" si="179"/>
        <v>4</v>
      </c>
      <c r="C669" s="55" t="str" cm="1">
        <f t="array" ref="C669">INDEX(Processing!$C$11:$C$22,MONTH('ALL ORDERS'!A669))</f>
        <v>AUG</v>
      </c>
      <c r="D669" s="54">
        <f t="shared" si="180"/>
        <v>2025</v>
      </c>
      <c r="E669" s="56" t="s">
        <v>47</v>
      </c>
      <c r="F669" s="56" t="s">
        <v>133</v>
      </c>
      <c r="G669" s="100">
        <v>0</v>
      </c>
      <c r="H669" s="100">
        <v>1960</v>
      </c>
      <c r="I669" s="57"/>
      <c r="J669" s="99">
        <f t="shared" si="186"/>
        <v>1960</v>
      </c>
      <c r="K669" s="53">
        <v>45873</v>
      </c>
      <c r="L669" s="54">
        <f t="shared" si="181"/>
        <v>4</v>
      </c>
      <c r="M669" s="55" t="str" cm="1">
        <f t="array" ref="M669">INDEX(Processing!$W$6:$W$17,MONTH('ALL ORDERS'!K669))</f>
        <v>August</v>
      </c>
      <c r="N669" s="54">
        <f t="shared" si="185"/>
        <v>2025</v>
      </c>
      <c r="O669" s="58">
        <v>0.45833333333333331</v>
      </c>
      <c r="P669" s="59" t="s">
        <v>228</v>
      </c>
      <c r="Q669" s="60" t="s">
        <v>90</v>
      </c>
      <c r="R669" s="56" t="s">
        <v>328</v>
      </c>
      <c r="S669" s="61" t="s">
        <v>42</v>
      </c>
      <c r="T669" s="62" t="s">
        <v>974</v>
      </c>
      <c r="U669" s="63" t="s">
        <v>26</v>
      </c>
      <c r="V669" s="63" t="s">
        <v>147</v>
      </c>
      <c r="W669" s="64">
        <v>3044</v>
      </c>
      <c r="X669" s="64">
        <v>4</v>
      </c>
      <c r="Y669" s="47"/>
      <c r="Z669" s="47"/>
    </row>
    <row r="670" spans="1:26" x14ac:dyDescent="0.25">
      <c r="A670" s="53">
        <v>45874</v>
      </c>
      <c r="B670" s="54">
        <f t="shared" ref="B670" si="187">DAY(A670)</f>
        <v>5</v>
      </c>
      <c r="C670" s="55" t="str" cm="1">
        <f t="array" ref="C670">INDEX(Processing!$C$11:$C$22,MONTH('ALL ORDERS'!A670))</f>
        <v>AUG</v>
      </c>
      <c r="D670" s="54">
        <f t="shared" ref="D670" si="188">YEAR(A670)</f>
        <v>2025</v>
      </c>
      <c r="E670" s="56" t="s">
        <v>51</v>
      </c>
      <c r="F670" s="56" t="s">
        <v>133</v>
      </c>
      <c r="G670" s="100">
        <v>27130</v>
      </c>
      <c r="H670" s="100">
        <v>0</v>
      </c>
      <c r="I670" s="57"/>
      <c r="J670" s="99">
        <f t="shared" si="186"/>
        <v>27130</v>
      </c>
      <c r="K670" s="53">
        <v>45874</v>
      </c>
      <c r="L670" s="54">
        <f t="shared" si="181"/>
        <v>5</v>
      </c>
      <c r="M670" s="55" t="str" cm="1">
        <f t="array" ref="M670">INDEX(Processing!$W$6:$W$17,MONTH('ALL ORDERS'!K670))</f>
        <v>August</v>
      </c>
      <c r="N670" s="54">
        <f t="shared" ref="N670" si="189">YEAR(K670)</f>
        <v>2025</v>
      </c>
      <c r="O670" s="58">
        <v>0.5</v>
      </c>
      <c r="P670" s="59" t="s">
        <v>229</v>
      </c>
      <c r="Q670" s="60" t="s">
        <v>90</v>
      </c>
      <c r="R670" s="56" t="s">
        <v>1104</v>
      </c>
      <c r="S670" s="61" t="s">
        <v>42</v>
      </c>
      <c r="T670" s="62" t="s">
        <v>985</v>
      </c>
      <c r="U670" s="63" t="s">
        <v>26</v>
      </c>
      <c r="V670" s="63" t="s">
        <v>147</v>
      </c>
      <c r="W670" s="64">
        <v>2677</v>
      </c>
      <c r="X670" s="64">
        <v>5</v>
      </c>
      <c r="Y670" s="47"/>
      <c r="Z670" s="47"/>
    </row>
    <row r="671" spans="1:26" x14ac:dyDescent="0.25">
      <c r="A671" s="53">
        <v>45873</v>
      </c>
      <c r="B671" s="54">
        <f t="shared" si="179"/>
        <v>4</v>
      </c>
      <c r="C671" s="55" t="str" cm="1">
        <f t="array" ref="C671">INDEX(Processing!$C$11:$C$22,MONTH('ALL ORDERS'!A671))</f>
        <v>AUG</v>
      </c>
      <c r="D671" s="54">
        <f t="shared" si="180"/>
        <v>2025</v>
      </c>
      <c r="E671" s="56" t="s">
        <v>48</v>
      </c>
      <c r="F671" s="56" t="s">
        <v>134</v>
      </c>
      <c r="G671" s="100">
        <v>0</v>
      </c>
      <c r="H671" s="100">
        <v>2900</v>
      </c>
      <c r="I671" s="57">
        <v>0.15</v>
      </c>
      <c r="J671" s="99">
        <f t="shared" si="186"/>
        <v>2900</v>
      </c>
      <c r="K671" s="53">
        <v>45873</v>
      </c>
      <c r="L671" s="54">
        <f t="shared" si="181"/>
        <v>4</v>
      </c>
      <c r="M671" s="55" t="str" cm="1">
        <f t="array" ref="M671">INDEX(Processing!$W$6:$W$17,MONTH('ALL ORDERS'!K671))</f>
        <v>August</v>
      </c>
      <c r="N671" s="54">
        <f t="shared" si="185"/>
        <v>2025</v>
      </c>
      <c r="O671" s="58">
        <v>0.375</v>
      </c>
      <c r="P671" s="59" t="s">
        <v>188</v>
      </c>
      <c r="Q671" s="60" t="s">
        <v>94</v>
      </c>
      <c r="R671" s="56" t="s">
        <v>274</v>
      </c>
      <c r="S671" s="61" t="s">
        <v>41</v>
      </c>
      <c r="T671" s="70">
        <v>8900888990</v>
      </c>
      <c r="U671" s="63" t="s">
        <v>24</v>
      </c>
      <c r="V671" s="63" t="s">
        <v>147</v>
      </c>
      <c r="W671" s="64">
        <v>5005</v>
      </c>
      <c r="X671" s="64">
        <v>4</v>
      </c>
      <c r="Y671" s="47"/>
      <c r="Z671" s="47"/>
    </row>
    <row r="672" spans="1:26" x14ac:dyDescent="0.25">
      <c r="A672" s="53">
        <v>45873</v>
      </c>
      <c r="B672" s="54">
        <f t="shared" si="179"/>
        <v>4</v>
      </c>
      <c r="C672" s="55" t="str" cm="1">
        <f t="array" ref="C672">INDEX(Processing!$C$11:$C$22,MONTH('ALL ORDERS'!A672))</f>
        <v>AUG</v>
      </c>
      <c r="D672" s="54">
        <f t="shared" si="180"/>
        <v>2025</v>
      </c>
      <c r="E672" s="56" t="s">
        <v>49</v>
      </c>
      <c r="F672" s="56" t="s">
        <v>134</v>
      </c>
      <c r="G672" s="100">
        <v>0</v>
      </c>
      <c r="H672" s="100">
        <v>2850</v>
      </c>
      <c r="I672" s="57"/>
      <c r="J672" s="99">
        <f t="shared" si="186"/>
        <v>2850</v>
      </c>
      <c r="K672" s="53">
        <v>45873</v>
      </c>
      <c r="L672" s="54">
        <f t="shared" si="181"/>
        <v>4</v>
      </c>
      <c r="M672" s="55" t="str" cm="1">
        <f t="array" ref="M672">INDEX(Processing!$W$6:$W$17,MONTH('ALL ORDERS'!K672))</f>
        <v>August</v>
      </c>
      <c r="N672" s="54">
        <f t="shared" si="185"/>
        <v>2025</v>
      </c>
      <c r="O672" s="58">
        <v>0.45833333333333331</v>
      </c>
      <c r="P672" s="59" t="s">
        <v>345</v>
      </c>
      <c r="Q672" s="60" t="s">
        <v>94</v>
      </c>
      <c r="R672" s="56" t="s">
        <v>307</v>
      </c>
      <c r="S672" s="61" t="s">
        <v>42</v>
      </c>
      <c r="T672" s="62" t="s">
        <v>975</v>
      </c>
      <c r="U672" s="63" t="s">
        <v>26</v>
      </c>
      <c r="V672" s="63" t="s">
        <v>147</v>
      </c>
      <c r="W672" s="64">
        <v>2890</v>
      </c>
      <c r="X672" s="64">
        <v>4</v>
      </c>
      <c r="Y672" s="47"/>
      <c r="Z672" s="47"/>
    </row>
    <row r="673" spans="1:26" x14ac:dyDescent="0.25">
      <c r="A673" s="53">
        <v>45870</v>
      </c>
      <c r="B673" s="54">
        <f t="shared" si="179"/>
        <v>1</v>
      </c>
      <c r="C673" s="55" t="str" cm="1">
        <f t="array" ref="C673">INDEX(Processing!$C$11:$C$22,MONTH('ALL ORDERS'!A673))</f>
        <v>AUG</v>
      </c>
      <c r="D673" s="54">
        <f t="shared" si="180"/>
        <v>2025</v>
      </c>
      <c r="E673" s="56" t="s">
        <v>47</v>
      </c>
      <c r="F673" s="56" t="s">
        <v>19</v>
      </c>
      <c r="G673" s="100">
        <v>0</v>
      </c>
      <c r="H673" s="100">
        <v>2810</v>
      </c>
      <c r="I673" s="57"/>
      <c r="J673" s="99">
        <f t="shared" si="186"/>
        <v>2810</v>
      </c>
      <c r="K673" s="53">
        <v>45870</v>
      </c>
      <c r="L673" s="54">
        <f t="shared" si="181"/>
        <v>1</v>
      </c>
      <c r="M673" s="55" t="str" cm="1">
        <f t="array" ref="M673">INDEX(Processing!$W$6:$W$17,MONTH('ALL ORDERS'!K673))</f>
        <v>August</v>
      </c>
      <c r="N673" s="54">
        <f t="shared" si="185"/>
        <v>2025</v>
      </c>
      <c r="O673" s="58">
        <v>0.625</v>
      </c>
      <c r="P673" s="59" t="s">
        <v>171</v>
      </c>
      <c r="Q673" s="60" t="s">
        <v>94</v>
      </c>
      <c r="R673" s="56" t="s">
        <v>255</v>
      </c>
      <c r="S673" s="61" t="s">
        <v>41</v>
      </c>
      <c r="T673" s="62" t="s">
        <v>976</v>
      </c>
      <c r="U673" s="63" t="s">
        <v>25</v>
      </c>
      <c r="V673" s="63" t="s">
        <v>147</v>
      </c>
      <c r="W673" s="64">
        <v>3014</v>
      </c>
      <c r="X673" s="64">
        <v>5</v>
      </c>
      <c r="Y673" s="47"/>
      <c r="Z673" s="47"/>
    </row>
    <row r="674" spans="1:26" x14ac:dyDescent="0.25">
      <c r="A674" s="53">
        <v>45877</v>
      </c>
      <c r="B674" s="54">
        <f t="shared" si="179"/>
        <v>8</v>
      </c>
      <c r="C674" s="55" t="str" cm="1">
        <f t="array" ref="C674">INDEX(Processing!$C$11:$C$22,MONTH('ALL ORDERS'!A674))</f>
        <v>AUG</v>
      </c>
      <c r="D674" s="54">
        <f t="shared" si="180"/>
        <v>2025</v>
      </c>
      <c r="E674" s="56" t="s">
        <v>50</v>
      </c>
      <c r="F674" s="56" t="s">
        <v>19</v>
      </c>
      <c r="G674" s="100">
        <v>0</v>
      </c>
      <c r="H674" s="100">
        <v>1260</v>
      </c>
      <c r="I674" s="57"/>
      <c r="J674" s="99">
        <f t="shared" si="186"/>
        <v>1260</v>
      </c>
      <c r="K674" s="53">
        <v>45877</v>
      </c>
      <c r="L674" s="54">
        <f t="shared" si="181"/>
        <v>8</v>
      </c>
      <c r="M674" s="55" t="str" cm="1">
        <f t="array" ref="M674">INDEX(Processing!$W$6:$W$17,MONTH('ALL ORDERS'!K674))</f>
        <v>August</v>
      </c>
      <c r="N674" s="54">
        <f t="shared" si="185"/>
        <v>2025</v>
      </c>
      <c r="O674" s="58">
        <v>0.45833333333333331</v>
      </c>
      <c r="P674" s="59" t="s">
        <v>195</v>
      </c>
      <c r="Q674" s="60" t="s">
        <v>94</v>
      </c>
      <c r="R674" s="56" t="s">
        <v>281</v>
      </c>
      <c r="S674" s="61" t="s">
        <v>41</v>
      </c>
      <c r="T674" s="62" t="s">
        <v>977</v>
      </c>
      <c r="U674" s="63" t="s">
        <v>23</v>
      </c>
      <c r="V674" s="63" t="s">
        <v>147</v>
      </c>
      <c r="W674" s="64">
        <v>3964</v>
      </c>
      <c r="X674" s="64">
        <v>3</v>
      </c>
      <c r="Y674" s="47"/>
      <c r="Z674" s="47"/>
    </row>
    <row r="675" spans="1:26" x14ac:dyDescent="0.25">
      <c r="A675" s="53">
        <v>45878</v>
      </c>
      <c r="B675" s="54">
        <f t="shared" si="179"/>
        <v>9</v>
      </c>
      <c r="C675" s="55" t="str" cm="1">
        <f t="array" ref="C675">INDEX(Processing!$C$11:$C$22,MONTH('ALL ORDERS'!A675))</f>
        <v>AUG</v>
      </c>
      <c r="D675" s="54">
        <f t="shared" si="180"/>
        <v>2025</v>
      </c>
      <c r="E675" s="56" t="s">
        <v>51</v>
      </c>
      <c r="F675" s="56" t="s">
        <v>128</v>
      </c>
      <c r="G675" s="100">
        <v>0</v>
      </c>
      <c r="H675" s="100">
        <v>2400</v>
      </c>
      <c r="I675" s="57"/>
      <c r="J675" s="99">
        <f t="shared" si="186"/>
        <v>2400</v>
      </c>
      <c r="K675" s="53">
        <v>45878</v>
      </c>
      <c r="L675" s="54">
        <f t="shared" si="181"/>
        <v>9</v>
      </c>
      <c r="M675" s="55" t="str" cm="1">
        <f t="array" ref="M675">INDEX(Processing!$W$6:$W$17,MONTH('ALL ORDERS'!K675))</f>
        <v>August</v>
      </c>
      <c r="N675" s="54">
        <f t="shared" si="185"/>
        <v>2025</v>
      </c>
      <c r="O675" s="58">
        <v>0.375</v>
      </c>
      <c r="P675" s="59" t="s">
        <v>197</v>
      </c>
      <c r="Q675" s="60" t="s">
        <v>94</v>
      </c>
      <c r="R675" s="56" t="s">
        <v>284</v>
      </c>
      <c r="S675" s="61" t="s">
        <v>42</v>
      </c>
      <c r="T675" s="62" t="s">
        <v>978</v>
      </c>
      <c r="U675" s="63" t="s">
        <v>27</v>
      </c>
      <c r="V675" s="63" t="s">
        <v>147</v>
      </c>
      <c r="W675" s="64">
        <v>3674</v>
      </c>
      <c r="X675" s="64">
        <v>4</v>
      </c>
      <c r="Y675" s="47"/>
      <c r="Z675" s="47"/>
    </row>
    <row r="676" spans="1:26" x14ac:dyDescent="0.25">
      <c r="A676" s="53">
        <v>45879</v>
      </c>
      <c r="B676" s="54">
        <f t="shared" si="179"/>
        <v>10</v>
      </c>
      <c r="C676" s="55" t="str" cm="1">
        <f t="array" ref="C676">INDEX(Processing!$C$11:$C$22,MONTH('ALL ORDERS'!A676))</f>
        <v>AUG</v>
      </c>
      <c r="D676" s="54">
        <f t="shared" si="180"/>
        <v>2025</v>
      </c>
      <c r="E676" s="56" t="s">
        <v>48</v>
      </c>
      <c r="F676" s="56" t="s">
        <v>22</v>
      </c>
      <c r="G676" s="100">
        <v>0</v>
      </c>
      <c r="H676" s="100">
        <v>3860</v>
      </c>
      <c r="I676" s="57"/>
      <c r="J676" s="99">
        <f t="shared" si="186"/>
        <v>3860</v>
      </c>
      <c r="K676" s="53">
        <v>45879</v>
      </c>
      <c r="L676" s="54">
        <f t="shared" si="181"/>
        <v>10</v>
      </c>
      <c r="M676" s="55" t="str" cm="1">
        <f t="array" ref="M676">INDEX(Processing!$W$6:$W$17,MONTH('ALL ORDERS'!K676))</f>
        <v>August</v>
      </c>
      <c r="N676" s="54">
        <f t="shared" si="185"/>
        <v>2025</v>
      </c>
      <c r="O676" s="58">
        <v>0.45833333333333331</v>
      </c>
      <c r="P676" s="59" t="s">
        <v>208</v>
      </c>
      <c r="Q676" s="60" t="s">
        <v>94</v>
      </c>
      <c r="R676" s="56" t="s">
        <v>296</v>
      </c>
      <c r="S676" s="61" t="s">
        <v>42</v>
      </c>
      <c r="T676" s="62" t="s">
        <v>979</v>
      </c>
      <c r="U676" s="63" t="s">
        <v>24</v>
      </c>
      <c r="V676" s="63" t="s">
        <v>147</v>
      </c>
      <c r="W676" s="64">
        <v>3377</v>
      </c>
      <c r="X676" s="64">
        <v>4</v>
      </c>
      <c r="Y676" s="47"/>
      <c r="Z676" s="47"/>
    </row>
    <row r="677" spans="1:26" x14ac:dyDescent="0.25">
      <c r="A677" s="53">
        <v>45879</v>
      </c>
      <c r="B677" s="54">
        <f t="shared" si="179"/>
        <v>10</v>
      </c>
      <c r="C677" s="55" t="str" cm="1">
        <f t="array" ref="C677">INDEX(Processing!$C$11:$C$22,MONTH('ALL ORDERS'!A677))</f>
        <v>AUG</v>
      </c>
      <c r="D677" s="54">
        <f t="shared" si="180"/>
        <v>2025</v>
      </c>
      <c r="E677" s="56" t="s">
        <v>49</v>
      </c>
      <c r="F677" s="56" t="s">
        <v>127</v>
      </c>
      <c r="G677" s="100">
        <v>0</v>
      </c>
      <c r="H677" s="100">
        <v>130</v>
      </c>
      <c r="I677" s="57"/>
      <c r="J677" s="99">
        <f t="shared" si="186"/>
        <v>130</v>
      </c>
      <c r="K677" s="53">
        <v>45879</v>
      </c>
      <c r="L677" s="54">
        <f t="shared" si="181"/>
        <v>10</v>
      </c>
      <c r="M677" s="55" t="str" cm="1">
        <f t="array" ref="M677">INDEX(Processing!$W$6:$W$17,MONTH('ALL ORDERS'!K677))</f>
        <v>August</v>
      </c>
      <c r="N677" s="54">
        <f t="shared" si="185"/>
        <v>2025</v>
      </c>
      <c r="O677" s="58">
        <v>0.625</v>
      </c>
      <c r="P677" s="59" t="s">
        <v>338</v>
      </c>
      <c r="Q677" s="60" t="s">
        <v>94</v>
      </c>
      <c r="R677" s="56" t="s">
        <v>253</v>
      </c>
      <c r="S677" s="61" t="s">
        <v>42</v>
      </c>
      <c r="T677" s="62" t="s">
        <v>980</v>
      </c>
      <c r="U677" s="63" t="s">
        <v>26</v>
      </c>
      <c r="V677" s="63" t="s">
        <v>147</v>
      </c>
      <c r="W677" s="64">
        <v>3505</v>
      </c>
      <c r="X677" s="64">
        <v>5</v>
      </c>
      <c r="Y677" s="47"/>
      <c r="Z677" s="47"/>
    </row>
    <row r="678" spans="1:26" x14ac:dyDescent="0.25">
      <c r="A678" s="53">
        <v>45879</v>
      </c>
      <c r="B678" s="54">
        <f t="shared" ref="B678:B743" si="190">DAY(A678)</f>
        <v>10</v>
      </c>
      <c r="C678" s="55" t="str" cm="1">
        <f t="array" ref="C678">INDEX(Processing!$C$11:$C$22,MONTH('ALL ORDERS'!A678))</f>
        <v>AUG</v>
      </c>
      <c r="D678" s="54">
        <f t="shared" ref="D678:D743" si="191">YEAR(A678)</f>
        <v>2025</v>
      </c>
      <c r="E678" s="56" t="s">
        <v>47</v>
      </c>
      <c r="F678" s="56" t="s">
        <v>125</v>
      </c>
      <c r="G678" s="100">
        <v>0</v>
      </c>
      <c r="H678" s="100">
        <v>3440</v>
      </c>
      <c r="I678" s="57">
        <v>0.15</v>
      </c>
      <c r="J678" s="99">
        <f t="shared" si="186"/>
        <v>3440</v>
      </c>
      <c r="K678" s="53">
        <v>45879</v>
      </c>
      <c r="L678" s="54">
        <f t="shared" si="181"/>
        <v>10</v>
      </c>
      <c r="M678" s="55" t="str" cm="1">
        <f t="array" ref="M678">INDEX(Processing!$W$6:$W$17,MONTH('ALL ORDERS'!K678))</f>
        <v>August</v>
      </c>
      <c r="N678" s="54">
        <f t="shared" si="185"/>
        <v>2025</v>
      </c>
      <c r="O678" s="58">
        <v>0.45833333333333331</v>
      </c>
      <c r="P678" s="59" t="s">
        <v>160</v>
      </c>
      <c r="Q678" s="60" t="s">
        <v>94</v>
      </c>
      <c r="R678" s="56" t="s">
        <v>242</v>
      </c>
      <c r="S678" s="61" t="s">
        <v>41</v>
      </c>
      <c r="T678" s="62" t="s">
        <v>981</v>
      </c>
      <c r="U678" s="63" t="s">
        <v>24</v>
      </c>
      <c r="V678" s="63" t="s">
        <v>147</v>
      </c>
      <c r="W678" s="64">
        <v>1356</v>
      </c>
      <c r="X678" s="64">
        <v>3</v>
      </c>
      <c r="Y678" s="47"/>
      <c r="Z678" s="47"/>
    </row>
    <row r="679" spans="1:26" x14ac:dyDescent="0.25">
      <c r="A679" s="53">
        <v>45882</v>
      </c>
      <c r="B679" s="54">
        <f t="shared" si="190"/>
        <v>13</v>
      </c>
      <c r="C679" s="55" t="str" cm="1">
        <f t="array" ref="C679">INDEX(Processing!$C$11:$C$22,MONTH('ALL ORDERS'!A679))</f>
        <v>AUG</v>
      </c>
      <c r="D679" s="54">
        <f t="shared" si="191"/>
        <v>2025</v>
      </c>
      <c r="E679" s="56" t="s">
        <v>48</v>
      </c>
      <c r="F679" s="56" t="s">
        <v>130</v>
      </c>
      <c r="G679" s="100">
        <v>0</v>
      </c>
      <c r="H679" s="100">
        <v>2110</v>
      </c>
      <c r="I679" s="57"/>
      <c r="J679" s="99">
        <f t="shared" si="186"/>
        <v>2110</v>
      </c>
      <c r="K679" s="53">
        <v>45882</v>
      </c>
      <c r="L679" s="54">
        <f t="shared" si="181"/>
        <v>13</v>
      </c>
      <c r="M679" s="55" t="str" cm="1">
        <f t="array" ref="M679">INDEX(Processing!$W$6:$W$17,MONTH('ALL ORDERS'!K679))</f>
        <v>August</v>
      </c>
      <c r="N679" s="54">
        <f t="shared" si="185"/>
        <v>2025</v>
      </c>
      <c r="O679" s="58">
        <v>0.375</v>
      </c>
      <c r="P679" s="59" t="s">
        <v>186</v>
      </c>
      <c r="Q679" s="60" t="s">
        <v>91</v>
      </c>
      <c r="R679" s="56" t="s">
        <v>271</v>
      </c>
      <c r="S679" s="61" t="s">
        <v>41</v>
      </c>
      <c r="T679" s="62" t="s">
        <v>982</v>
      </c>
      <c r="U679" s="63" t="s">
        <v>24</v>
      </c>
      <c r="V679" s="63" t="s">
        <v>147</v>
      </c>
      <c r="W679" s="64">
        <v>1401</v>
      </c>
      <c r="X679" s="64">
        <v>2</v>
      </c>
      <c r="Y679" s="47"/>
      <c r="Z679" s="47"/>
    </row>
    <row r="680" spans="1:26" x14ac:dyDescent="0.25">
      <c r="A680" s="53">
        <v>45883</v>
      </c>
      <c r="B680" s="54">
        <f t="shared" si="190"/>
        <v>14</v>
      </c>
      <c r="C680" s="55" t="str" cm="1">
        <f t="array" ref="C680">INDEX(Processing!$C$11:$C$22,MONTH('ALL ORDERS'!A680))</f>
        <v>AUG</v>
      </c>
      <c r="D680" s="54">
        <f t="shared" si="191"/>
        <v>2025</v>
      </c>
      <c r="E680" s="56" t="s">
        <v>51</v>
      </c>
      <c r="F680" s="56" t="s">
        <v>134</v>
      </c>
      <c r="G680" s="100">
        <v>0</v>
      </c>
      <c r="H680" s="100">
        <v>1130</v>
      </c>
      <c r="I680" s="57"/>
      <c r="J680" s="99">
        <f t="shared" si="186"/>
        <v>1130</v>
      </c>
      <c r="K680" s="53">
        <v>45883</v>
      </c>
      <c r="L680" s="54">
        <f t="shared" si="181"/>
        <v>14</v>
      </c>
      <c r="M680" s="55" t="str" cm="1">
        <f t="array" ref="M680">INDEX(Processing!$W$6:$W$17,MONTH('ALL ORDERS'!K680))</f>
        <v>August</v>
      </c>
      <c r="N680" s="54">
        <f t="shared" si="185"/>
        <v>2025</v>
      </c>
      <c r="O680" s="58">
        <v>0.45833333333333331</v>
      </c>
      <c r="P680" s="59" t="s">
        <v>175</v>
      </c>
      <c r="Q680" s="60" t="s">
        <v>94</v>
      </c>
      <c r="R680" s="56" t="s">
        <v>259</v>
      </c>
      <c r="S680" s="61" t="s">
        <v>42</v>
      </c>
      <c r="T680" s="62" t="s">
        <v>983</v>
      </c>
      <c r="U680" s="63" t="s">
        <v>25</v>
      </c>
      <c r="V680" s="63" t="s">
        <v>148</v>
      </c>
      <c r="W680" s="64">
        <v>3761</v>
      </c>
      <c r="X680" s="64"/>
      <c r="Y680" s="47"/>
      <c r="Z680" s="47"/>
    </row>
    <row r="681" spans="1:26" x14ac:dyDescent="0.25">
      <c r="A681" s="53">
        <v>45884</v>
      </c>
      <c r="B681" s="54">
        <f t="shared" si="190"/>
        <v>15</v>
      </c>
      <c r="C681" s="55" t="str" cm="1">
        <f t="array" ref="C681">INDEX(Processing!$C$11:$C$22,MONTH('ALL ORDERS'!A681))</f>
        <v>AUG</v>
      </c>
      <c r="D681" s="54">
        <f t="shared" si="191"/>
        <v>2025</v>
      </c>
      <c r="E681" s="56" t="s">
        <v>47</v>
      </c>
      <c r="F681" s="56" t="s">
        <v>137</v>
      </c>
      <c r="G681" s="100">
        <v>0</v>
      </c>
      <c r="H681" s="100">
        <v>890</v>
      </c>
      <c r="I681" s="57"/>
      <c r="J681" s="99">
        <f t="shared" si="186"/>
        <v>890</v>
      </c>
      <c r="K681" s="53">
        <v>45884</v>
      </c>
      <c r="L681" s="54">
        <f t="shared" si="181"/>
        <v>15</v>
      </c>
      <c r="M681" s="55" t="str" cm="1">
        <f t="array" ref="M681">INDEX(Processing!$W$6:$W$17,MONTH('ALL ORDERS'!K681))</f>
        <v>August</v>
      </c>
      <c r="N681" s="54">
        <f t="shared" si="185"/>
        <v>2025</v>
      </c>
      <c r="O681" s="58">
        <v>0.625</v>
      </c>
      <c r="P681" s="59" t="s">
        <v>230</v>
      </c>
      <c r="Q681" s="60" t="s">
        <v>90</v>
      </c>
      <c r="R681" s="56" t="s">
        <v>330</v>
      </c>
      <c r="S681" s="61" t="s">
        <v>44</v>
      </c>
      <c r="T681" s="62" t="s">
        <v>984</v>
      </c>
      <c r="U681" s="63" t="s">
        <v>25</v>
      </c>
      <c r="V681" s="63" t="s">
        <v>147</v>
      </c>
      <c r="W681" s="64">
        <v>4921</v>
      </c>
      <c r="X681" s="64">
        <v>5</v>
      </c>
      <c r="Y681" s="47"/>
      <c r="Z681" s="47"/>
    </row>
    <row r="682" spans="1:26" x14ac:dyDescent="0.25">
      <c r="A682" s="53">
        <v>45885</v>
      </c>
      <c r="B682" s="54">
        <f t="shared" si="190"/>
        <v>16</v>
      </c>
      <c r="C682" s="55" t="str" cm="1">
        <f t="array" ref="C682">INDEX(Processing!$C$11:$C$22,MONTH('ALL ORDERS'!A682))</f>
        <v>AUG</v>
      </c>
      <c r="D682" s="54">
        <f t="shared" si="191"/>
        <v>2025</v>
      </c>
      <c r="E682" s="56" t="s">
        <v>49</v>
      </c>
      <c r="F682" s="56" t="s">
        <v>131</v>
      </c>
      <c r="G682" s="100">
        <v>0</v>
      </c>
      <c r="H682" s="100">
        <v>3820</v>
      </c>
      <c r="I682" s="57"/>
      <c r="J682" s="99">
        <f t="shared" si="186"/>
        <v>3820</v>
      </c>
      <c r="K682" s="53">
        <v>45885</v>
      </c>
      <c r="L682" s="54">
        <f t="shared" si="181"/>
        <v>16</v>
      </c>
      <c r="M682" s="55" t="str" cm="1">
        <f t="array" ref="M682">INDEX(Processing!$W$6:$W$17,MONTH('ALL ORDERS'!K682))</f>
        <v>August</v>
      </c>
      <c r="N682" s="54">
        <f t="shared" si="185"/>
        <v>2025</v>
      </c>
      <c r="O682" s="58">
        <v>0.45833333333333331</v>
      </c>
      <c r="P682" s="59" t="s">
        <v>186</v>
      </c>
      <c r="Q682" s="60" t="s">
        <v>91</v>
      </c>
      <c r="R682" s="56" t="s">
        <v>271</v>
      </c>
      <c r="S682" s="61" t="s">
        <v>44</v>
      </c>
      <c r="T682" s="62" t="s">
        <v>985</v>
      </c>
      <c r="U682" s="63" t="s">
        <v>25</v>
      </c>
      <c r="V682" s="63" t="s">
        <v>147</v>
      </c>
      <c r="W682" s="64">
        <v>5510</v>
      </c>
      <c r="X682" s="64">
        <v>5</v>
      </c>
      <c r="Y682" s="47"/>
      <c r="Z682" s="47"/>
    </row>
    <row r="683" spans="1:26" x14ac:dyDescent="0.25">
      <c r="A683" s="53">
        <v>45880</v>
      </c>
      <c r="B683" s="54">
        <f t="shared" si="190"/>
        <v>11</v>
      </c>
      <c r="C683" s="55" t="str" cm="1">
        <f t="array" ref="C683">INDEX(Processing!$C$11:$C$22,MONTH('ALL ORDERS'!A683))</f>
        <v>AUG</v>
      </c>
      <c r="D683" s="54">
        <f t="shared" si="191"/>
        <v>2025</v>
      </c>
      <c r="E683" s="56" t="s">
        <v>49</v>
      </c>
      <c r="F683" s="56" t="s">
        <v>133</v>
      </c>
      <c r="G683" s="100">
        <v>0</v>
      </c>
      <c r="H683" s="100">
        <v>1250</v>
      </c>
      <c r="I683" s="57"/>
      <c r="J683" s="99">
        <f t="shared" si="186"/>
        <v>1250</v>
      </c>
      <c r="K683" s="53">
        <v>45880</v>
      </c>
      <c r="L683" s="54">
        <f t="shared" ref="L683:L748" si="192">DAY(K683)</f>
        <v>11</v>
      </c>
      <c r="M683" s="55" t="str" cm="1">
        <f t="array" ref="M683">INDEX(Processing!$W$6:$W$17,MONTH('ALL ORDERS'!K683))</f>
        <v>August</v>
      </c>
      <c r="N683" s="54">
        <f t="shared" si="185"/>
        <v>2025</v>
      </c>
      <c r="O683" s="58">
        <v>0.41666666666666669</v>
      </c>
      <c r="P683" s="59" t="s">
        <v>234</v>
      </c>
      <c r="Q683" s="60" t="s">
        <v>94</v>
      </c>
      <c r="R683" s="56" t="s">
        <v>335</v>
      </c>
      <c r="S683" s="61" t="s">
        <v>41</v>
      </c>
      <c r="T683" s="70">
        <v>7900888990</v>
      </c>
      <c r="U683" s="63" t="s">
        <v>23</v>
      </c>
      <c r="V683" s="63" t="s">
        <v>147</v>
      </c>
      <c r="W683" s="64">
        <v>2209</v>
      </c>
      <c r="X683" s="64">
        <v>2</v>
      </c>
      <c r="Y683" s="47"/>
      <c r="Z683" s="47"/>
    </row>
    <row r="684" spans="1:26" x14ac:dyDescent="0.25">
      <c r="A684" s="53">
        <v>45887</v>
      </c>
      <c r="B684" s="54">
        <f t="shared" si="190"/>
        <v>18</v>
      </c>
      <c r="C684" s="55" t="str" cm="1">
        <f t="array" ref="C684">INDEX(Processing!$C$11:$C$22,MONTH('ALL ORDERS'!A684))</f>
        <v>AUG</v>
      </c>
      <c r="D684" s="54">
        <f t="shared" si="191"/>
        <v>2025</v>
      </c>
      <c r="E684" s="56" t="s">
        <v>50</v>
      </c>
      <c r="F684" s="56" t="s">
        <v>133</v>
      </c>
      <c r="G684" s="100">
        <v>0</v>
      </c>
      <c r="H684" s="100">
        <v>1810</v>
      </c>
      <c r="I684" s="57"/>
      <c r="J684" s="99">
        <f t="shared" si="186"/>
        <v>1810</v>
      </c>
      <c r="K684" s="53">
        <v>45887</v>
      </c>
      <c r="L684" s="54">
        <f t="shared" si="192"/>
        <v>18</v>
      </c>
      <c r="M684" s="55" t="str" cm="1">
        <f t="array" ref="M684">INDEX(Processing!$W$6:$W$17,MONTH('ALL ORDERS'!K684))</f>
        <v>August</v>
      </c>
      <c r="N684" s="54">
        <f t="shared" si="185"/>
        <v>2025</v>
      </c>
      <c r="O684" s="58">
        <v>0.5</v>
      </c>
      <c r="P684" s="59" t="s">
        <v>210</v>
      </c>
      <c r="Q684" s="60" t="s">
        <v>90</v>
      </c>
      <c r="R684" s="56" t="s">
        <v>298</v>
      </c>
      <c r="S684" s="61" t="s">
        <v>42</v>
      </c>
      <c r="T684" s="62" t="s">
        <v>986</v>
      </c>
      <c r="U684" s="63" t="s">
        <v>27</v>
      </c>
      <c r="V684" s="63" t="s">
        <v>147</v>
      </c>
      <c r="W684" s="64">
        <v>3731</v>
      </c>
      <c r="X684" s="64">
        <v>5</v>
      </c>
      <c r="Y684" s="47"/>
      <c r="Z684" s="47"/>
    </row>
    <row r="685" spans="1:26" x14ac:dyDescent="0.25">
      <c r="A685" s="53">
        <v>45888</v>
      </c>
      <c r="B685" s="54">
        <f t="shared" si="190"/>
        <v>19</v>
      </c>
      <c r="C685" s="55" t="str" cm="1">
        <f t="array" ref="C685">INDEX(Processing!$C$11:$C$22,MONTH('ALL ORDERS'!A685))</f>
        <v>AUG</v>
      </c>
      <c r="D685" s="54">
        <f t="shared" si="191"/>
        <v>2025</v>
      </c>
      <c r="E685" s="56" t="s">
        <v>50</v>
      </c>
      <c r="F685" s="56" t="s">
        <v>134</v>
      </c>
      <c r="G685" s="100">
        <v>0</v>
      </c>
      <c r="H685" s="100">
        <v>3910</v>
      </c>
      <c r="I685" s="57"/>
      <c r="J685" s="99">
        <f t="shared" si="186"/>
        <v>3910</v>
      </c>
      <c r="K685" s="53">
        <v>45888</v>
      </c>
      <c r="L685" s="54">
        <f t="shared" si="192"/>
        <v>19</v>
      </c>
      <c r="M685" s="55" t="str" cm="1">
        <f t="array" ref="M685">INDEX(Processing!$W$6:$W$17,MONTH('ALL ORDERS'!K685))</f>
        <v>August</v>
      </c>
      <c r="N685" s="54">
        <f t="shared" si="185"/>
        <v>2025</v>
      </c>
      <c r="O685" s="58">
        <v>0.66666666666666663</v>
      </c>
      <c r="P685" s="59" t="s">
        <v>156</v>
      </c>
      <c r="Q685" s="60" t="s">
        <v>94</v>
      </c>
      <c r="R685" s="56" t="s">
        <v>238</v>
      </c>
      <c r="S685" s="61" t="s">
        <v>42</v>
      </c>
      <c r="T685" s="62" t="s">
        <v>987</v>
      </c>
      <c r="U685" s="63" t="s">
        <v>24</v>
      </c>
      <c r="V685" s="63" t="s">
        <v>147</v>
      </c>
      <c r="W685" s="64">
        <v>2454</v>
      </c>
      <c r="X685" s="64">
        <v>5</v>
      </c>
      <c r="Y685" s="47"/>
      <c r="Z685" s="47"/>
    </row>
    <row r="686" spans="1:26" x14ac:dyDescent="0.25">
      <c r="A686" s="53">
        <v>45889</v>
      </c>
      <c r="B686" s="54">
        <f t="shared" si="190"/>
        <v>20</v>
      </c>
      <c r="C686" s="55" t="str" cm="1">
        <f t="array" ref="C686">INDEX(Processing!$C$11:$C$22,MONTH('ALL ORDERS'!A686))</f>
        <v>AUG</v>
      </c>
      <c r="D686" s="54">
        <f t="shared" si="191"/>
        <v>2025</v>
      </c>
      <c r="E686" s="56" t="s">
        <v>48</v>
      </c>
      <c r="F686" s="56" t="s">
        <v>134</v>
      </c>
      <c r="G686" s="100">
        <v>0</v>
      </c>
      <c r="H686" s="100">
        <v>980</v>
      </c>
      <c r="I686" s="57">
        <v>0.15</v>
      </c>
      <c r="J686" s="99">
        <f t="shared" si="186"/>
        <v>980</v>
      </c>
      <c r="K686" s="53">
        <v>45889</v>
      </c>
      <c r="L686" s="54">
        <f t="shared" si="192"/>
        <v>20</v>
      </c>
      <c r="M686" s="55" t="str" cm="1">
        <f t="array" ref="M686">INDEX(Processing!$W$6:$W$17,MONTH('ALL ORDERS'!K686))</f>
        <v>August</v>
      </c>
      <c r="N686" s="54">
        <f t="shared" si="185"/>
        <v>2025</v>
      </c>
      <c r="O686" s="58">
        <v>0.75</v>
      </c>
      <c r="P686" s="59" t="s">
        <v>339</v>
      </c>
      <c r="Q686" s="60" t="s">
        <v>94</v>
      </c>
      <c r="R686" s="56" t="s">
        <v>263</v>
      </c>
      <c r="S686" s="61" t="s">
        <v>41</v>
      </c>
      <c r="T686" s="62" t="s">
        <v>988</v>
      </c>
      <c r="U686" s="63" t="s">
        <v>24</v>
      </c>
      <c r="V686" s="63" t="s">
        <v>147</v>
      </c>
      <c r="W686" s="64">
        <v>3643</v>
      </c>
      <c r="X686" s="64">
        <v>5</v>
      </c>
      <c r="Y686" s="47"/>
      <c r="Z686" s="47"/>
    </row>
    <row r="687" spans="1:26" x14ac:dyDescent="0.25">
      <c r="A687" s="53">
        <v>45890</v>
      </c>
      <c r="B687" s="54">
        <f t="shared" si="190"/>
        <v>21</v>
      </c>
      <c r="C687" s="55" t="str" cm="1">
        <f t="array" ref="C687">INDEX(Processing!$C$11:$C$22,MONTH('ALL ORDERS'!A687))</f>
        <v>AUG</v>
      </c>
      <c r="D687" s="54">
        <f t="shared" si="191"/>
        <v>2025</v>
      </c>
      <c r="E687" s="56" t="s">
        <v>47</v>
      </c>
      <c r="F687" s="56" t="s">
        <v>19</v>
      </c>
      <c r="G687" s="100">
        <v>0</v>
      </c>
      <c r="H687" s="100">
        <v>130</v>
      </c>
      <c r="I687" s="57"/>
      <c r="J687" s="99">
        <f t="shared" si="186"/>
        <v>130</v>
      </c>
      <c r="K687" s="53">
        <v>45890</v>
      </c>
      <c r="L687" s="54">
        <f t="shared" si="192"/>
        <v>21</v>
      </c>
      <c r="M687" s="55" t="str" cm="1">
        <f t="array" ref="M687">INDEX(Processing!$W$6:$W$17,MONTH('ALL ORDERS'!K687))</f>
        <v>August</v>
      </c>
      <c r="N687" s="54">
        <f t="shared" si="185"/>
        <v>2025</v>
      </c>
      <c r="O687" s="58">
        <v>0.41666666666666669</v>
      </c>
      <c r="P687" s="59" t="s">
        <v>348</v>
      </c>
      <c r="Q687" s="60" t="s">
        <v>90</v>
      </c>
      <c r="R687" s="56" t="s">
        <v>310</v>
      </c>
      <c r="S687" s="61" t="s">
        <v>43</v>
      </c>
      <c r="T687" s="62" t="s">
        <v>989</v>
      </c>
      <c r="U687" s="63" t="s">
        <v>26</v>
      </c>
      <c r="V687" s="63" t="s">
        <v>147</v>
      </c>
      <c r="W687" s="64">
        <v>3708</v>
      </c>
      <c r="X687" s="64">
        <v>4</v>
      </c>
      <c r="Y687" s="47"/>
      <c r="Z687" s="47"/>
    </row>
    <row r="688" spans="1:26" x14ac:dyDescent="0.25">
      <c r="A688" s="53">
        <v>45891</v>
      </c>
      <c r="B688" s="54">
        <f t="shared" si="190"/>
        <v>22</v>
      </c>
      <c r="C688" s="55" t="str" cm="1">
        <f t="array" ref="C688">INDEX(Processing!$C$11:$C$22,MONTH('ALL ORDERS'!A688))</f>
        <v>AUG</v>
      </c>
      <c r="D688" s="54">
        <f t="shared" si="191"/>
        <v>2025</v>
      </c>
      <c r="E688" s="56" t="s">
        <v>49</v>
      </c>
      <c r="F688" s="56" t="s">
        <v>19</v>
      </c>
      <c r="G688" s="100">
        <v>0</v>
      </c>
      <c r="H688" s="100">
        <v>3280</v>
      </c>
      <c r="I688" s="57"/>
      <c r="J688" s="99">
        <f t="shared" si="186"/>
        <v>3280</v>
      </c>
      <c r="K688" s="53">
        <v>45891</v>
      </c>
      <c r="L688" s="54">
        <f t="shared" si="192"/>
        <v>22</v>
      </c>
      <c r="M688" s="55" t="str" cm="1">
        <f t="array" ref="M688">INDEX(Processing!$W$6:$W$17,MONTH('ALL ORDERS'!K688))</f>
        <v>August</v>
      </c>
      <c r="N688" s="54">
        <f t="shared" si="185"/>
        <v>2025</v>
      </c>
      <c r="O688" s="58">
        <v>0.5</v>
      </c>
      <c r="P688" s="59" t="s">
        <v>194</v>
      </c>
      <c r="Q688" s="60" t="s">
        <v>90</v>
      </c>
      <c r="R688" s="56" t="s">
        <v>280</v>
      </c>
      <c r="S688" s="61" t="s">
        <v>45</v>
      </c>
      <c r="T688" s="62" t="s">
        <v>990</v>
      </c>
      <c r="U688" s="63" t="s">
        <v>23</v>
      </c>
      <c r="V688" s="63" t="s">
        <v>147</v>
      </c>
      <c r="W688" s="64">
        <v>4622</v>
      </c>
      <c r="X688" s="64">
        <v>4</v>
      </c>
      <c r="Y688" s="47"/>
      <c r="Z688" s="47"/>
    </row>
    <row r="689" spans="1:26" x14ac:dyDescent="0.25">
      <c r="A689" s="53">
        <v>45892</v>
      </c>
      <c r="B689" s="54">
        <f t="shared" si="190"/>
        <v>23</v>
      </c>
      <c r="C689" s="55" t="str" cm="1">
        <f t="array" ref="C689">INDEX(Processing!$C$11:$C$22,MONTH('ALL ORDERS'!A689))</f>
        <v>AUG</v>
      </c>
      <c r="D689" s="54">
        <f t="shared" si="191"/>
        <v>2025</v>
      </c>
      <c r="E689" s="56" t="s">
        <v>49</v>
      </c>
      <c r="F689" s="56" t="s">
        <v>128</v>
      </c>
      <c r="G689" s="100">
        <v>0</v>
      </c>
      <c r="H689" s="100">
        <v>2260</v>
      </c>
      <c r="I689" s="57"/>
      <c r="J689" s="99">
        <f t="shared" si="186"/>
        <v>2260</v>
      </c>
      <c r="K689" s="53">
        <v>45892</v>
      </c>
      <c r="L689" s="54">
        <f t="shared" si="192"/>
        <v>23</v>
      </c>
      <c r="M689" s="55" t="str" cm="1">
        <f t="array" ref="M689">INDEX(Processing!$W$6:$W$17,MONTH('ALL ORDERS'!K689))</f>
        <v>August</v>
      </c>
      <c r="N689" s="54">
        <f t="shared" si="185"/>
        <v>2025</v>
      </c>
      <c r="O689" s="58">
        <v>0.66666666666666663</v>
      </c>
      <c r="P689" s="59" t="s">
        <v>341</v>
      </c>
      <c r="Q689" s="60" t="s">
        <v>94</v>
      </c>
      <c r="R689" s="56" t="s">
        <v>283</v>
      </c>
      <c r="S689" s="61" t="s">
        <v>43</v>
      </c>
      <c r="T689" s="62" t="s">
        <v>991</v>
      </c>
      <c r="U689" s="63" t="s">
        <v>26</v>
      </c>
      <c r="V689" s="63" t="s">
        <v>147</v>
      </c>
      <c r="W689" s="64">
        <v>3752</v>
      </c>
      <c r="X689" s="64">
        <v>5</v>
      </c>
      <c r="Y689" s="47"/>
      <c r="Z689" s="47"/>
    </row>
    <row r="690" spans="1:26" x14ac:dyDescent="0.25">
      <c r="A690" s="53">
        <v>45893</v>
      </c>
      <c r="B690" s="54">
        <f t="shared" si="190"/>
        <v>24</v>
      </c>
      <c r="C690" s="55" t="str" cm="1">
        <f t="array" ref="C690">INDEX(Processing!$C$11:$C$22,MONTH('ALL ORDERS'!A690))</f>
        <v>AUG</v>
      </c>
      <c r="D690" s="54">
        <f t="shared" si="191"/>
        <v>2025</v>
      </c>
      <c r="E690" s="56" t="s">
        <v>50</v>
      </c>
      <c r="F690" s="56" t="s">
        <v>22</v>
      </c>
      <c r="G690" s="100">
        <v>0</v>
      </c>
      <c r="H690" s="100">
        <v>2330</v>
      </c>
      <c r="I690" s="57"/>
      <c r="J690" s="99">
        <f t="shared" si="186"/>
        <v>2330</v>
      </c>
      <c r="K690" s="53">
        <v>45893</v>
      </c>
      <c r="L690" s="54">
        <f t="shared" si="192"/>
        <v>24</v>
      </c>
      <c r="M690" s="55" t="str" cm="1">
        <f t="array" ref="M690">INDEX(Processing!$W$6:$W$17,MONTH('ALL ORDERS'!K690))</f>
        <v>August</v>
      </c>
      <c r="N690" s="54">
        <f t="shared" si="185"/>
        <v>2025</v>
      </c>
      <c r="O690" s="58">
        <v>0.75</v>
      </c>
      <c r="P690" s="59" t="s">
        <v>177</v>
      </c>
      <c r="Q690" s="60" t="s">
        <v>93</v>
      </c>
      <c r="R690" s="56" t="s">
        <v>261</v>
      </c>
      <c r="S690" s="61" t="s">
        <v>43</v>
      </c>
      <c r="T690" s="62" t="s">
        <v>992</v>
      </c>
      <c r="U690" s="63" t="s">
        <v>24</v>
      </c>
      <c r="V690" s="63" t="s">
        <v>147</v>
      </c>
      <c r="W690" s="64">
        <v>1811</v>
      </c>
      <c r="X690" s="64">
        <v>5</v>
      </c>
      <c r="Y690" s="47"/>
      <c r="Z690" s="47"/>
    </row>
    <row r="691" spans="1:26" x14ac:dyDescent="0.25">
      <c r="A691" s="53">
        <v>45894</v>
      </c>
      <c r="B691" s="54">
        <f t="shared" si="190"/>
        <v>25</v>
      </c>
      <c r="C691" s="55" t="str" cm="1">
        <f t="array" ref="C691">INDEX(Processing!$C$11:$C$22,MONTH('ALL ORDERS'!A691))</f>
        <v>AUG</v>
      </c>
      <c r="D691" s="54">
        <f t="shared" si="191"/>
        <v>2025</v>
      </c>
      <c r="E691" s="56" t="s">
        <v>50</v>
      </c>
      <c r="F691" s="56" t="s">
        <v>127</v>
      </c>
      <c r="G691" s="100">
        <v>0</v>
      </c>
      <c r="H691" s="100">
        <v>120</v>
      </c>
      <c r="I691" s="57"/>
      <c r="J691" s="99">
        <f t="shared" si="186"/>
        <v>120</v>
      </c>
      <c r="K691" s="53">
        <v>45894</v>
      </c>
      <c r="L691" s="54">
        <f t="shared" si="192"/>
        <v>25</v>
      </c>
      <c r="M691" s="55" t="str" cm="1">
        <f t="array" ref="M691">INDEX(Processing!$W$6:$W$17,MONTH('ALL ORDERS'!K691))</f>
        <v>August</v>
      </c>
      <c r="N691" s="54">
        <f t="shared" si="185"/>
        <v>2025</v>
      </c>
      <c r="O691" s="58">
        <v>0.41666666666666669</v>
      </c>
      <c r="P691" s="59" t="s">
        <v>339</v>
      </c>
      <c r="Q691" s="60" t="s">
        <v>94</v>
      </c>
      <c r="R691" s="56" t="s">
        <v>263</v>
      </c>
      <c r="S691" s="61" t="s">
        <v>45</v>
      </c>
      <c r="T691" s="62" t="s">
        <v>993</v>
      </c>
      <c r="U691" s="63" t="s">
        <v>24</v>
      </c>
      <c r="V691" s="63" t="s">
        <v>147</v>
      </c>
      <c r="W691" s="64">
        <v>5931</v>
      </c>
      <c r="X691" s="64">
        <v>5</v>
      </c>
      <c r="Y691" s="47"/>
      <c r="Z691" s="47"/>
    </row>
    <row r="692" spans="1:26" x14ac:dyDescent="0.25">
      <c r="A692" s="53">
        <v>45895</v>
      </c>
      <c r="B692" s="54">
        <f t="shared" si="190"/>
        <v>26</v>
      </c>
      <c r="C692" s="55" t="str" cm="1">
        <f t="array" ref="C692">INDEX(Processing!$C$11:$C$22,MONTH('ALL ORDERS'!A692))</f>
        <v>AUG</v>
      </c>
      <c r="D692" s="54">
        <f t="shared" si="191"/>
        <v>2025</v>
      </c>
      <c r="E692" s="56" t="s">
        <v>48</v>
      </c>
      <c r="F692" s="56" t="s">
        <v>125</v>
      </c>
      <c r="G692" s="100">
        <v>0</v>
      </c>
      <c r="H692" s="100">
        <v>3020</v>
      </c>
      <c r="I692" s="57"/>
      <c r="J692" s="99">
        <f t="shared" si="186"/>
        <v>3020</v>
      </c>
      <c r="K692" s="53">
        <v>45895</v>
      </c>
      <c r="L692" s="54">
        <f t="shared" si="192"/>
        <v>26</v>
      </c>
      <c r="M692" s="55" t="str" cm="1">
        <f t="array" ref="M692">INDEX(Processing!$W$6:$W$17,MONTH('ALL ORDERS'!K692))</f>
        <v>August</v>
      </c>
      <c r="N692" s="54">
        <f t="shared" si="185"/>
        <v>2025</v>
      </c>
      <c r="O692" s="58">
        <v>0.5</v>
      </c>
      <c r="P692" s="59" t="s">
        <v>177</v>
      </c>
      <c r="Q692" s="60" t="s">
        <v>93</v>
      </c>
      <c r="R692" s="56" t="s">
        <v>261</v>
      </c>
      <c r="S692" s="61" t="s">
        <v>46</v>
      </c>
      <c r="T692" s="62" t="s">
        <v>994</v>
      </c>
      <c r="U692" s="63" t="s">
        <v>26</v>
      </c>
      <c r="V692" s="63" t="s">
        <v>147</v>
      </c>
      <c r="W692" s="64">
        <v>4093</v>
      </c>
      <c r="X692" s="64">
        <v>5</v>
      </c>
      <c r="Y692" s="47"/>
      <c r="Z692" s="47"/>
    </row>
    <row r="693" spans="1:26" x14ac:dyDescent="0.25">
      <c r="A693" s="53">
        <v>45890</v>
      </c>
      <c r="B693" s="54">
        <f t="shared" si="190"/>
        <v>21</v>
      </c>
      <c r="C693" s="55" t="str" cm="1">
        <f t="array" ref="C693">INDEX(Processing!$C$11:$C$22,MONTH('ALL ORDERS'!A693))</f>
        <v>AUG</v>
      </c>
      <c r="D693" s="54">
        <f t="shared" si="191"/>
        <v>2025</v>
      </c>
      <c r="E693" s="56" t="s">
        <v>47</v>
      </c>
      <c r="F693" s="56" t="s">
        <v>130</v>
      </c>
      <c r="G693" s="100">
        <v>0</v>
      </c>
      <c r="H693" s="100">
        <v>3020</v>
      </c>
      <c r="I693" s="57"/>
      <c r="J693" s="99">
        <f t="shared" si="186"/>
        <v>3020</v>
      </c>
      <c r="K693" s="53">
        <v>45890</v>
      </c>
      <c r="L693" s="54">
        <f t="shared" si="192"/>
        <v>21</v>
      </c>
      <c r="M693" s="55" t="str" cm="1">
        <f t="array" ref="M693">INDEX(Processing!$W$6:$W$17,MONTH('ALL ORDERS'!K693))</f>
        <v>August</v>
      </c>
      <c r="N693" s="54">
        <f t="shared" si="185"/>
        <v>2025</v>
      </c>
      <c r="O693" s="58">
        <v>0.66666666666666663</v>
      </c>
      <c r="P693" s="59" t="s">
        <v>349</v>
      </c>
      <c r="Q693" s="60" t="s">
        <v>94</v>
      </c>
      <c r="R693" s="56" t="s">
        <v>311</v>
      </c>
      <c r="S693" s="61" t="s">
        <v>41</v>
      </c>
      <c r="T693" s="62" t="s">
        <v>995</v>
      </c>
      <c r="U693" s="63" t="s">
        <v>25</v>
      </c>
      <c r="V693" s="63" t="s">
        <v>147</v>
      </c>
      <c r="W693" s="64">
        <v>2084</v>
      </c>
      <c r="X693" s="64">
        <v>5</v>
      </c>
      <c r="Y693" s="47"/>
      <c r="Z693" s="47"/>
    </row>
    <row r="694" spans="1:26" x14ac:dyDescent="0.25">
      <c r="A694" s="53">
        <v>45897</v>
      </c>
      <c r="B694" s="54">
        <f t="shared" si="190"/>
        <v>28</v>
      </c>
      <c r="C694" s="55" t="str" cm="1">
        <f t="array" ref="C694">INDEX(Processing!$C$11:$C$22,MONTH('ALL ORDERS'!A694))</f>
        <v>AUG</v>
      </c>
      <c r="D694" s="54">
        <f t="shared" si="191"/>
        <v>2025</v>
      </c>
      <c r="E694" s="56" t="s">
        <v>49</v>
      </c>
      <c r="F694" s="56" t="s">
        <v>134</v>
      </c>
      <c r="G694" s="100">
        <v>0</v>
      </c>
      <c r="H694" s="100">
        <v>2340</v>
      </c>
      <c r="I694" s="57"/>
      <c r="J694" s="99">
        <f t="shared" si="186"/>
        <v>2340</v>
      </c>
      <c r="K694" s="53">
        <v>45897</v>
      </c>
      <c r="L694" s="54">
        <f t="shared" si="192"/>
        <v>28</v>
      </c>
      <c r="M694" s="55" t="str" cm="1">
        <f t="array" ref="M694">INDEX(Processing!$W$6:$W$17,MONTH('ALL ORDERS'!K694))</f>
        <v>August</v>
      </c>
      <c r="N694" s="54">
        <f t="shared" si="185"/>
        <v>2025</v>
      </c>
      <c r="O694" s="58">
        <v>0.75</v>
      </c>
      <c r="P694" s="59" t="s">
        <v>230</v>
      </c>
      <c r="Q694" s="60" t="s">
        <v>90</v>
      </c>
      <c r="R694" s="56" t="s">
        <v>330</v>
      </c>
      <c r="S694" s="61" t="s">
        <v>41</v>
      </c>
      <c r="T694" s="62" t="s">
        <v>996</v>
      </c>
      <c r="U694" s="63" t="s">
        <v>23</v>
      </c>
      <c r="V694" s="63" t="s">
        <v>147</v>
      </c>
      <c r="W694" s="64">
        <v>4881</v>
      </c>
      <c r="X694" s="64">
        <v>5</v>
      </c>
      <c r="Y694" s="47"/>
      <c r="Z694" s="47"/>
    </row>
    <row r="695" spans="1:26" x14ac:dyDescent="0.25">
      <c r="A695" s="53">
        <v>45897</v>
      </c>
      <c r="B695" s="54">
        <f t="shared" si="190"/>
        <v>28</v>
      </c>
      <c r="C695" s="55" t="str" cm="1">
        <f t="array" ref="C695">INDEX(Processing!$C$11:$C$22,MONTH('ALL ORDERS'!A695))</f>
        <v>AUG</v>
      </c>
      <c r="D695" s="54">
        <f t="shared" si="191"/>
        <v>2025</v>
      </c>
      <c r="E695" s="56" t="s">
        <v>49</v>
      </c>
      <c r="F695" s="56" t="s">
        <v>137</v>
      </c>
      <c r="G695" s="100">
        <v>10000</v>
      </c>
      <c r="H695" s="100">
        <v>2390</v>
      </c>
      <c r="I695" s="57"/>
      <c r="J695" s="99">
        <f t="shared" si="186"/>
        <v>12390</v>
      </c>
      <c r="K695" s="53">
        <v>45897</v>
      </c>
      <c r="L695" s="54">
        <f t="shared" si="192"/>
        <v>28</v>
      </c>
      <c r="M695" s="55" t="str" cm="1">
        <f t="array" ref="M695">INDEX(Processing!$W$6:$W$17,MONTH('ALL ORDERS'!K695))</f>
        <v>August</v>
      </c>
      <c r="N695" s="54">
        <f t="shared" si="185"/>
        <v>2025</v>
      </c>
      <c r="O695" s="58">
        <v>0.41666666666666669</v>
      </c>
      <c r="P695" s="59" t="s">
        <v>342</v>
      </c>
      <c r="Q695" s="60" t="s">
        <v>90</v>
      </c>
      <c r="R695" s="56" t="s">
        <v>293</v>
      </c>
      <c r="S695" s="61" t="s">
        <v>46</v>
      </c>
      <c r="T695" s="70">
        <v>6900888990</v>
      </c>
      <c r="U695" s="63" t="s">
        <v>27</v>
      </c>
      <c r="V695" s="63" t="s">
        <v>147</v>
      </c>
      <c r="W695" s="64">
        <v>2839</v>
      </c>
      <c r="X695" s="64">
        <v>5</v>
      </c>
      <c r="Y695" s="47"/>
      <c r="Z695" s="47"/>
    </row>
    <row r="696" spans="1:26" x14ac:dyDescent="0.25">
      <c r="A696" s="53">
        <v>45897</v>
      </c>
      <c r="B696" s="54">
        <f t="shared" si="190"/>
        <v>28</v>
      </c>
      <c r="C696" s="55" t="str" cm="1">
        <f t="array" ref="C696">INDEX(Processing!$C$11:$C$22,MONTH('ALL ORDERS'!A696))</f>
        <v>AUG</v>
      </c>
      <c r="D696" s="54">
        <f t="shared" si="191"/>
        <v>2025</v>
      </c>
      <c r="E696" s="56" t="s">
        <v>50</v>
      </c>
      <c r="F696" s="56" t="s">
        <v>131</v>
      </c>
      <c r="G696" s="100">
        <v>0</v>
      </c>
      <c r="H696" s="100">
        <v>2610</v>
      </c>
      <c r="I696" s="57">
        <v>0.15</v>
      </c>
      <c r="J696" s="99">
        <f t="shared" si="186"/>
        <v>2610</v>
      </c>
      <c r="K696" s="53">
        <v>45897</v>
      </c>
      <c r="L696" s="54">
        <f t="shared" si="192"/>
        <v>28</v>
      </c>
      <c r="M696" s="55" t="str" cm="1">
        <f t="array" ref="M696">INDEX(Processing!$W$6:$W$17,MONTH('ALL ORDERS'!K696))</f>
        <v>August</v>
      </c>
      <c r="N696" s="54">
        <f t="shared" si="185"/>
        <v>2025</v>
      </c>
      <c r="O696" s="58">
        <v>0.5</v>
      </c>
      <c r="P696" s="59" t="s">
        <v>338</v>
      </c>
      <c r="Q696" s="60" t="s">
        <v>94</v>
      </c>
      <c r="R696" s="56" t="s">
        <v>253</v>
      </c>
      <c r="S696" s="61" t="s">
        <v>46</v>
      </c>
      <c r="T696" s="62" t="s">
        <v>997</v>
      </c>
      <c r="U696" s="63" t="s">
        <v>26</v>
      </c>
      <c r="V696" s="63" t="s">
        <v>147</v>
      </c>
      <c r="W696" s="64">
        <v>3966</v>
      </c>
      <c r="X696" s="64">
        <v>5</v>
      </c>
      <c r="Y696" s="47"/>
      <c r="Z696" s="47"/>
    </row>
    <row r="697" spans="1:26" x14ac:dyDescent="0.25">
      <c r="A697" s="53">
        <v>45900</v>
      </c>
      <c r="B697" s="54">
        <f t="shared" si="190"/>
        <v>31</v>
      </c>
      <c r="C697" s="55" t="str" cm="1">
        <f t="array" ref="C697">INDEX(Processing!$C$11:$C$22,MONTH('ALL ORDERS'!A697))</f>
        <v>AUG</v>
      </c>
      <c r="D697" s="54">
        <f t="shared" si="191"/>
        <v>2025</v>
      </c>
      <c r="E697" s="56" t="s">
        <v>50</v>
      </c>
      <c r="F697" s="56" t="s">
        <v>133</v>
      </c>
      <c r="G697" s="100">
        <v>0</v>
      </c>
      <c r="H697" s="100">
        <v>1950</v>
      </c>
      <c r="I697" s="57"/>
      <c r="J697" s="99">
        <f t="shared" si="186"/>
        <v>1950</v>
      </c>
      <c r="K697" s="53">
        <v>45900</v>
      </c>
      <c r="L697" s="54">
        <f t="shared" si="192"/>
        <v>31</v>
      </c>
      <c r="M697" s="55" t="str" cm="1">
        <f t="array" ref="M697">INDEX(Processing!$W$6:$W$17,MONTH('ALL ORDERS'!K697))</f>
        <v>August</v>
      </c>
      <c r="N697" s="54">
        <f t="shared" si="185"/>
        <v>2025</v>
      </c>
      <c r="O697" s="58">
        <v>0.66666666666666663</v>
      </c>
      <c r="P697" s="59" t="s">
        <v>346</v>
      </c>
      <c r="Q697" s="60" t="s">
        <v>94</v>
      </c>
      <c r="R697" s="56" t="s">
        <v>308</v>
      </c>
      <c r="S697" s="61" t="s">
        <v>46</v>
      </c>
      <c r="T697" s="62" t="s">
        <v>998</v>
      </c>
      <c r="U697" s="63" t="s">
        <v>26</v>
      </c>
      <c r="V697" s="63" t="s">
        <v>147</v>
      </c>
      <c r="W697" s="64">
        <v>2439</v>
      </c>
      <c r="X697" s="64">
        <v>5</v>
      </c>
      <c r="Y697" s="47"/>
      <c r="Z697" s="47"/>
    </row>
    <row r="698" spans="1:26" ht="24" x14ac:dyDescent="0.25">
      <c r="A698" s="53">
        <v>45901</v>
      </c>
      <c r="B698" s="54">
        <f t="shared" si="190"/>
        <v>1</v>
      </c>
      <c r="C698" s="55" t="str" cm="1">
        <f t="array" ref="C698">INDEX(Processing!$C$11:$C$22,MONTH('ALL ORDERS'!A698))</f>
        <v>SEP</v>
      </c>
      <c r="D698" s="54">
        <f t="shared" si="191"/>
        <v>2025</v>
      </c>
      <c r="E698" s="56" t="s">
        <v>51</v>
      </c>
      <c r="F698" s="56" t="s">
        <v>133</v>
      </c>
      <c r="G698" s="100">
        <v>10000</v>
      </c>
      <c r="H698" s="100">
        <v>110</v>
      </c>
      <c r="I698" s="57"/>
      <c r="J698" s="99">
        <f t="shared" si="186"/>
        <v>10110</v>
      </c>
      <c r="K698" s="53">
        <v>45901</v>
      </c>
      <c r="L698" s="54">
        <f t="shared" si="192"/>
        <v>1</v>
      </c>
      <c r="M698" s="55" t="str" cm="1">
        <f t="array" ref="M698">INDEX(Processing!$W$6:$W$17,MONTH('ALL ORDERS'!K698))</f>
        <v>September</v>
      </c>
      <c r="N698" s="54">
        <f t="shared" si="185"/>
        <v>2025</v>
      </c>
      <c r="O698" s="58">
        <v>0.75</v>
      </c>
      <c r="P698" s="59" t="s">
        <v>339</v>
      </c>
      <c r="Q698" s="60" t="s">
        <v>94</v>
      </c>
      <c r="R698" s="56" t="s">
        <v>263</v>
      </c>
      <c r="S698" s="61" t="s">
        <v>41</v>
      </c>
      <c r="T698" s="62" t="s">
        <v>999</v>
      </c>
      <c r="U698" s="63" t="s">
        <v>26</v>
      </c>
      <c r="V698" s="63" t="s">
        <v>147</v>
      </c>
      <c r="W698" s="64">
        <v>1895</v>
      </c>
      <c r="X698" s="64">
        <v>5</v>
      </c>
      <c r="Y698" s="47"/>
      <c r="Z698" s="47"/>
    </row>
    <row r="699" spans="1:26" ht="24" x14ac:dyDescent="0.25">
      <c r="A699" s="53">
        <v>45902</v>
      </c>
      <c r="B699" s="54">
        <f t="shared" si="190"/>
        <v>2</v>
      </c>
      <c r="C699" s="55" t="str" cm="1">
        <f t="array" ref="C699">INDEX(Processing!$C$11:$C$22,MONTH('ALL ORDERS'!A699))</f>
        <v>SEP</v>
      </c>
      <c r="D699" s="54">
        <f t="shared" si="191"/>
        <v>2025</v>
      </c>
      <c r="E699" s="56" t="s">
        <v>47</v>
      </c>
      <c r="F699" s="56" t="s">
        <v>134</v>
      </c>
      <c r="G699" s="100">
        <v>20000</v>
      </c>
      <c r="H699" s="100">
        <v>2450</v>
      </c>
      <c r="I699" s="57"/>
      <c r="J699" s="99">
        <f t="shared" si="186"/>
        <v>22450</v>
      </c>
      <c r="K699" s="53">
        <v>45902</v>
      </c>
      <c r="L699" s="54">
        <f t="shared" si="192"/>
        <v>2</v>
      </c>
      <c r="M699" s="55" t="str" cm="1">
        <f t="array" ref="M699">INDEX(Processing!$W$6:$W$17,MONTH('ALL ORDERS'!K699))</f>
        <v>September</v>
      </c>
      <c r="N699" s="54">
        <f t="shared" si="185"/>
        <v>2025</v>
      </c>
      <c r="O699" s="58">
        <v>0.41666666666666669</v>
      </c>
      <c r="P699" s="59" t="s">
        <v>179</v>
      </c>
      <c r="Q699" s="60" t="s">
        <v>94</v>
      </c>
      <c r="R699" s="56" t="s">
        <v>264</v>
      </c>
      <c r="S699" s="61" t="s">
        <v>41</v>
      </c>
      <c r="T699" s="62" t="s">
        <v>1000</v>
      </c>
      <c r="U699" s="63" t="s">
        <v>26</v>
      </c>
      <c r="V699" s="63" t="s">
        <v>147</v>
      </c>
      <c r="W699" s="64">
        <v>1602</v>
      </c>
      <c r="X699" s="64">
        <v>5</v>
      </c>
      <c r="Y699" s="47"/>
      <c r="Z699" s="47"/>
    </row>
    <row r="700" spans="1:26" ht="24" x14ac:dyDescent="0.25">
      <c r="A700" s="53">
        <v>45903</v>
      </c>
      <c r="B700" s="54">
        <f t="shared" si="190"/>
        <v>3</v>
      </c>
      <c r="C700" s="55" t="str" cm="1">
        <f t="array" ref="C700">INDEX(Processing!$C$11:$C$22,MONTH('ALL ORDERS'!A700))</f>
        <v>SEP</v>
      </c>
      <c r="D700" s="54">
        <f t="shared" si="191"/>
        <v>2025</v>
      </c>
      <c r="E700" s="56" t="s">
        <v>50</v>
      </c>
      <c r="F700" s="56" t="s">
        <v>134</v>
      </c>
      <c r="G700" s="100">
        <v>0</v>
      </c>
      <c r="H700" s="100">
        <v>1960</v>
      </c>
      <c r="I700" s="57"/>
      <c r="J700" s="99">
        <f t="shared" si="186"/>
        <v>1960</v>
      </c>
      <c r="K700" s="53">
        <v>45903</v>
      </c>
      <c r="L700" s="54">
        <f t="shared" si="192"/>
        <v>3</v>
      </c>
      <c r="M700" s="55" t="str" cm="1">
        <f t="array" ref="M700">INDEX(Processing!$W$6:$W$17,MONTH('ALL ORDERS'!K700))</f>
        <v>September</v>
      </c>
      <c r="N700" s="54">
        <f t="shared" si="185"/>
        <v>2025</v>
      </c>
      <c r="O700" s="58">
        <v>0.5</v>
      </c>
      <c r="P700" s="59" t="s">
        <v>208</v>
      </c>
      <c r="Q700" s="60" t="s">
        <v>94</v>
      </c>
      <c r="R700" s="56" t="s">
        <v>296</v>
      </c>
      <c r="S700" s="61" t="s">
        <v>46</v>
      </c>
      <c r="T700" s="62" t="s">
        <v>1001</v>
      </c>
      <c r="U700" s="63" t="s">
        <v>26</v>
      </c>
      <c r="V700" s="63" t="s">
        <v>147</v>
      </c>
      <c r="W700" s="64">
        <v>955</v>
      </c>
      <c r="X700" s="64">
        <v>5</v>
      </c>
      <c r="Y700" s="47"/>
      <c r="Z700" s="47"/>
    </row>
    <row r="701" spans="1:26" ht="24" x14ac:dyDescent="0.25">
      <c r="A701" s="53">
        <v>45904</v>
      </c>
      <c r="B701" s="54">
        <f t="shared" si="190"/>
        <v>4</v>
      </c>
      <c r="C701" s="55" t="str" cm="1">
        <f t="array" ref="C701">INDEX(Processing!$C$11:$C$22,MONTH('ALL ORDERS'!A701))</f>
        <v>SEP</v>
      </c>
      <c r="D701" s="54">
        <f t="shared" si="191"/>
        <v>2025</v>
      </c>
      <c r="E701" s="56" t="s">
        <v>49</v>
      </c>
      <c r="F701" s="56" t="s">
        <v>19</v>
      </c>
      <c r="G701" s="100">
        <v>0</v>
      </c>
      <c r="H701" s="100">
        <v>2900</v>
      </c>
      <c r="I701" s="57"/>
      <c r="J701" s="99">
        <f t="shared" si="186"/>
        <v>2900</v>
      </c>
      <c r="K701" s="53">
        <v>45904</v>
      </c>
      <c r="L701" s="54">
        <f t="shared" si="192"/>
        <v>4</v>
      </c>
      <c r="M701" s="55" t="str" cm="1">
        <f t="array" ref="M701">INDEX(Processing!$W$6:$W$17,MONTH('ALL ORDERS'!K701))</f>
        <v>September</v>
      </c>
      <c r="N701" s="54">
        <f t="shared" si="185"/>
        <v>2025</v>
      </c>
      <c r="O701" s="58">
        <v>0.66666666666666663</v>
      </c>
      <c r="P701" s="59" t="s">
        <v>337</v>
      </c>
      <c r="Q701" s="60" t="s">
        <v>94</v>
      </c>
      <c r="R701" s="56" t="s">
        <v>243</v>
      </c>
      <c r="S701" s="61" t="s">
        <v>44</v>
      </c>
      <c r="T701" s="62" t="s">
        <v>1002</v>
      </c>
      <c r="U701" s="63" t="s">
        <v>25</v>
      </c>
      <c r="V701" s="63" t="s">
        <v>147</v>
      </c>
      <c r="W701" s="64">
        <v>1483</v>
      </c>
      <c r="X701" s="64">
        <v>5</v>
      </c>
      <c r="Y701" s="47"/>
      <c r="Z701" s="47"/>
    </row>
    <row r="702" spans="1:26" ht="24" x14ac:dyDescent="0.25">
      <c r="A702" s="53">
        <v>45905</v>
      </c>
      <c r="B702" s="54">
        <f t="shared" si="190"/>
        <v>5</v>
      </c>
      <c r="C702" s="55" t="str" cm="1">
        <f t="array" ref="C702">INDEX(Processing!$C$11:$C$22,MONTH('ALL ORDERS'!A702))</f>
        <v>SEP</v>
      </c>
      <c r="D702" s="54">
        <f t="shared" si="191"/>
        <v>2025</v>
      </c>
      <c r="E702" s="56" t="s">
        <v>50</v>
      </c>
      <c r="F702" s="56" t="s">
        <v>19</v>
      </c>
      <c r="G702" s="100">
        <v>0</v>
      </c>
      <c r="H702" s="100">
        <v>2850</v>
      </c>
      <c r="I702" s="57"/>
      <c r="J702" s="99">
        <f t="shared" si="186"/>
        <v>2850</v>
      </c>
      <c r="K702" s="53">
        <v>45905</v>
      </c>
      <c r="L702" s="54">
        <f t="shared" si="192"/>
        <v>5</v>
      </c>
      <c r="M702" s="55" t="str" cm="1">
        <f t="array" ref="M702">INDEX(Processing!$W$6:$W$17,MONTH('ALL ORDERS'!K702))</f>
        <v>September</v>
      </c>
      <c r="N702" s="54">
        <f t="shared" si="185"/>
        <v>2025</v>
      </c>
      <c r="O702" s="58">
        <v>0.75</v>
      </c>
      <c r="P702" s="59" t="s">
        <v>185</v>
      </c>
      <c r="Q702" s="60" t="s">
        <v>94</v>
      </c>
      <c r="R702" s="56" t="s">
        <v>270</v>
      </c>
      <c r="S702" s="61" t="s">
        <v>45</v>
      </c>
      <c r="T702" s="62" t="s">
        <v>1003</v>
      </c>
      <c r="U702" s="63" t="s">
        <v>25</v>
      </c>
      <c r="V702" s="63" t="s">
        <v>147</v>
      </c>
      <c r="W702" s="64">
        <v>3038</v>
      </c>
      <c r="X702" s="64">
        <v>5</v>
      </c>
      <c r="Y702" s="47"/>
      <c r="Z702" s="47"/>
    </row>
    <row r="703" spans="1:26" ht="24" x14ac:dyDescent="0.25">
      <c r="A703" s="53">
        <v>45906</v>
      </c>
      <c r="B703" s="54">
        <f t="shared" si="190"/>
        <v>6</v>
      </c>
      <c r="C703" s="55" t="str" cm="1">
        <f t="array" ref="C703">INDEX(Processing!$C$11:$C$22,MONTH('ALL ORDERS'!A703))</f>
        <v>SEP</v>
      </c>
      <c r="D703" s="54">
        <f t="shared" si="191"/>
        <v>2025</v>
      </c>
      <c r="E703" s="56" t="s">
        <v>50</v>
      </c>
      <c r="F703" s="56" t="s">
        <v>128</v>
      </c>
      <c r="G703" s="100">
        <v>0</v>
      </c>
      <c r="H703" s="100">
        <v>2810</v>
      </c>
      <c r="I703" s="57"/>
      <c r="J703" s="99">
        <f t="shared" si="186"/>
        <v>2810</v>
      </c>
      <c r="K703" s="53">
        <v>45906</v>
      </c>
      <c r="L703" s="54">
        <f t="shared" si="192"/>
        <v>6</v>
      </c>
      <c r="M703" s="55" t="str" cm="1">
        <f t="array" ref="M703">INDEX(Processing!$W$6:$W$17,MONTH('ALL ORDERS'!K703))</f>
        <v>September</v>
      </c>
      <c r="N703" s="54">
        <f t="shared" si="185"/>
        <v>2025</v>
      </c>
      <c r="O703" s="58">
        <v>0.41666666666666669</v>
      </c>
      <c r="P703" s="59" t="s">
        <v>208</v>
      </c>
      <c r="Q703" s="60" t="s">
        <v>94</v>
      </c>
      <c r="R703" s="56" t="s">
        <v>296</v>
      </c>
      <c r="S703" s="61" t="s">
        <v>41</v>
      </c>
      <c r="T703" s="62" t="s">
        <v>1004</v>
      </c>
      <c r="U703" s="63" t="s">
        <v>25</v>
      </c>
      <c r="V703" s="63" t="s">
        <v>147</v>
      </c>
      <c r="W703" s="64">
        <v>3443</v>
      </c>
      <c r="X703" s="64">
        <v>5</v>
      </c>
      <c r="Y703" s="47"/>
      <c r="Z703" s="47"/>
    </row>
    <row r="704" spans="1:26" ht="24" x14ac:dyDescent="0.25">
      <c r="A704" s="53">
        <v>45901</v>
      </c>
      <c r="B704" s="54">
        <f t="shared" si="190"/>
        <v>1</v>
      </c>
      <c r="C704" s="55" t="str" cm="1">
        <f t="array" ref="C704">INDEX(Processing!$C$11:$C$22,MONTH('ALL ORDERS'!A704))</f>
        <v>SEP</v>
      </c>
      <c r="D704" s="54">
        <f t="shared" si="191"/>
        <v>2025</v>
      </c>
      <c r="E704" s="56" t="s">
        <v>47</v>
      </c>
      <c r="F704" s="56" t="s">
        <v>22</v>
      </c>
      <c r="G704" s="100">
        <v>0</v>
      </c>
      <c r="H704" s="100">
        <v>1260</v>
      </c>
      <c r="I704" s="57"/>
      <c r="J704" s="99">
        <f t="shared" si="186"/>
        <v>1260</v>
      </c>
      <c r="K704" s="53">
        <v>45901</v>
      </c>
      <c r="L704" s="54">
        <f t="shared" si="192"/>
        <v>1</v>
      </c>
      <c r="M704" s="55" t="str" cm="1">
        <f t="array" ref="M704">INDEX(Processing!$W$6:$W$17,MONTH('ALL ORDERS'!K704))</f>
        <v>September</v>
      </c>
      <c r="N704" s="54">
        <f t="shared" si="185"/>
        <v>2025</v>
      </c>
      <c r="O704" s="58">
        <v>0.5</v>
      </c>
      <c r="P704" s="59" t="s">
        <v>197</v>
      </c>
      <c r="Q704" s="60" t="s">
        <v>94</v>
      </c>
      <c r="R704" s="56" t="s">
        <v>284</v>
      </c>
      <c r="S704" s="61" t="s">
        <v>46</v>
      </c>
      <c r="T704" s="62" t="s">
        <v>1005</v>
      </c>
      <c r="U704" s="63" t="s">
        <v>23</v>
      </c>
      <c r="V704" s="63" t="s">
        <v>147</v>
      </c>
      <c r="W704" s="64">
        <v>2841</v>
      </c>
      <c r="X704" s="64">
        <v>5</v>
      </c>
      <c r="Y704" s="47"/>
      <c r="Z704" s="47"/>
    </row>
    <row r="705" spans="1:26" ht="24" x14ac:dyDescent="0.25">
      <c r="A705" s="53">
        <v>45908</v>
      </c>
      <c r="B705" s="54">
        <f t="shared" si="190"/>
        <v>8</v>
      </c>
      <c r="C705" s="55" t="str" cm="1">
        <f t="array" ref="C705">INDEX(Processing!$C$11:$C$22,MONTH('ALL ORDERS'!A705))</f>
        <v>SEP</v>
      </c>
      <c r="D705" s="54">
        <f t="shared" si="191"/>
        <v>2025</v>
      </c>
      <c r="E705" s="56" t="s">
        <v>50</v>
      </c>
      <c r="F705" s="56" t="s">
        <v>127</v>
      </c>
      <c r="G705" s="100">
        <v>0</v>
      </c>
      <c r="H705" s="100">
        <v>2400</v>
      </c>
      <c r="I705" s="57"/>
      <c r="J705" s="99">
        <f t="shared" si="186"/>
        <v>2400</v>
      </c>
      <c r="K705" s="53">
        <v>45908</v>
      </c>
      <c r="L705" s="54">
        <f t="shared" si="192"/>
        <v>8</v>
      </c>
      <c r="M705" s="55" t="str" cm="1">
        <f t="array" ref="M705">INDEX(Processing!$W$6:$W$17,MONTH('ALL ORDERS'!K705))</f>
        <v>September</v>
      </c>
      <c r="N705" s="54">
        <f t="shared" si="185"/>
        <v>2025</v>
      </c>
      <c r="O705" s="58">
        <v>0.66666666666666663</v>
      </c>
      <c r="P705" s="59" t="s">
        <v>342</v>
      </c>
      <c r="Q705" s="60" t="s">
        <v>90</v>
      </c>
      <c r="R705" s="56" t="s">
        <v>293</v>
      </c>
      <c r="S705" s="61" t="s">
        <v>46</v>
      </c>
      <c r="T705" s="62" t="s">
        <v>1006</v>
      </c>
      <c r="U705" s="63" t="s">
        <v>27</v>
      </c>
      <c r="V705" s="63" t="s">
        <v>147</v>
      </c>
      <c r="W705" s="64">
        <v>1711</v>
      </c>
      <c r="X705" s="64">
        <v>5</v>
      </c>
      <c r="Y705" s="47"/>
      <c r="Z705" s="47"/>
    </row>
    <row r="706" spans="1:26" ht="24" x14ac:dyDescent="0.25">
      <c r="A706" s="53">
        <v>45909</v>
      </c>
      <c r="B706" s="54">
        <f t="shared" ref="B706" si="193">DAY(A706)</f>
        <v>9</v>
      </c>
      <c r="C706" s="55" t="str" cm="1">
        <f t="array" ref="C706">INDEX(Processing!$C$11:$C$22,MONTH('ALL ORDERS'!A706))</f>
        <v>SEP</v>
      </c>
      <c r="D706" s="54">
        <f t="shared" ref="D706" si="194">YEAR(A706)</f>
        <v>2025</v>
      </c>
      <c r="E706" s="56" t="s">
        <v>50</v>
      </c>
      <c r="F706" s="56" t="s">
        <v>127</v>
      </c>
      <c r="G706" s="100">
        <v>0</v>
      </c>
      <c r="H706" s="100">
        <v>25070</v>
      </c>
      <c r="I706" s="57">
        <v>0.15</v>
      </c>
      <c r="J706" s="99">
        <f t="shared" si="186"/>
        <v>25070</v>
      </c>
      <c r="K706" s="53">
        <v>45909</v>
      </c>
      <c r="L706" s="54">
        <f t="shared" si="192"/>
        <v>9</v>
      </c>
      <c r="M706" s="55" t="str" cm="1">
        <f t="array" ref="M706">INDEX(Processing!$W$6:$W$17,MONTH('ALL ORDERS'!K706))</f>
        <v>September</v>
      </c>
      <c r="N706" s="54">
        <f t="shared" ref="N706" si="195">YEAR(K706)</f>
        <v>2025</v>
      </c>
      <c r="O706" s="58">
        <v>0.70833333333333304</v>
      </c>
      <c r="P706" s="59" t="s">
        <v>206</v>
      </c>
      <c r="Q706" s="60" t="s">
        <v>90</v>
      </c>
      <c r="R706" s="56" t="s">
        <v>1105</v>
      </c>
      <c r="S706" s="61" t="s">
        <v>46</v>
      </c>
      <c r="T706" s="62" t="s">
        <v>1017</v>
      </c>
      <c r="U706" s="63" t="s">
        <v>27</v>
      </c>
      <c r="V706" s="63" t="s">
        <v>147</v>
      </c>
      <c r="W706" s="64">
        <v>1448</v>
      </c>
      <c r="X706" s="64">
        <v>5</v>
      </c>
      <c r="Y706" s="47"/>
      <c r="Z706" s="47"/>
    </row>
    <row r="707" spans="1:26" ht="24" x14ac:dyDescent="0.25">
      <c r="A707" s="53">
        <v>45909</v>
      </c>
      <c r="B707" s="54">
        <f t="shared" si="190"/>
        <v>9</v>
      </c>
      <c r="C707" s="55" t="str" cm="1">
        <f t="array" ref="C707">INDEX(Processing!$C$11:$C$22,MONTH('ALL ORDERS'!A707))</f>
        <v>SEP</v>
      </c>
      <c r="D707" s="54">
        <f t="shared" si="191"/>
        <v>2025</v>
      </c>
      <c r="E707" s="56" t="s">
        <v>49</v>
      </c>
      <c r="F707" s="56" t="s">
        <v>125</v>
      </c>
      <c r="G707" s="100">
        <v>0</v>
      </c>
      <c r="H707" s="100">
        <v>3860</v>
      </c>
      <c r="I707" s="57">
        <v>0.15</v>
      </c>
      <c r="J707" s="99">
        <f t="shared" si="186"/>
        <v>3860</v>
      </c>
      <c r="K707" s="53">
        <v>45909</v>
      </c>
      <c r="L707" s="54">
        <f t="shared" si="192"/>
        <v>9</v>
      </c>
      <c r="M707" s="55" t="str" cm="1">
        <f t="array" ref="M707">INDEX(Processing!$W$6:$W$17,MONTH('ALL ORDERS'!K707))</f>
        <v>September</v>
      </c>
      <c r="N707" s="54">
        <f t="shared" si="185"/>
        <v>2025</v>
      </c>
      <c r="O707" s="58">
        <v>0.75</v>
      </c>
      <c r="P707" s="59" t="s">
        <v>210</v>
      </c>
      <c r="Q707" s="60" t="s">
        <v>90</v>
      </c>
      <c r="R707" s="56" t="s">
        <v>298</v>
      </c>
      <c r="S707" s="61" t="s">
        <v>46</v>
      </c>
      <c r="T707" s="62" t="s">
        <v>1007</v>
      </c>
      <c r="U707" s="63" t="s">
        <v>24</v>
      </c>
      <c r="V707" s="63" t="s">
        <v>147</v>
      </c>
      <c r="W707" s="64">
        <v>2414</v>
      </c>
      <c r="X707" s="64">
        <v>5</v>
      </c>
      <c r="Y707" s="47"/>
      <c r="Z707" s="47"/>
    </row>
    <row r="708" spans="1:26" ht="24" x14ac:dyDescent="0.25">
      <c r="A708" s="53">
        <v>45910</v>
      </c>
      <c r="B708" s="54">
        <f t="shared" si="190"/>
        <v>10</v>
      </c>
      <c r="C708" s="55" t="str" cm="1">
        <f t="array" ref="C708">INDEX(Processing!$C$11:$C$22,MONTH('ALL ORDERS'!A708))</f>
        <v>SEP</v>
      </c>
      <c r="D708" s="54">
        <f t="shared" si="191"/>
        <v>2025</v>
      </c>
      <c r="E708" s="56" t="s">
        <v>50</v>
      </c>
      <c r="F708" s="56" t="s">
        <v>130</v>
      </c>
      <c r="G708" s="100">
        <v>0</v>
      </c>
      <c r="H708" s="100">
        <v>130</v>
      </c>
      <c r="I708" s="57"/>
      <c r="J708" s="99">
        <f t="shared" si="186"/>
        <v>130</v>
      </c>
      <c r="K708" s="53">
        <v>45910</v>
      </c>
      <c r="L708" s="54">
        <f t="shared" si="192"/>
        <v>10</v>
      </c>
      <c r="M708" s="55" t="str" cm="1">
        <f t="array" ref="M708">INDEX(Processing!$W$6:$W$17,MONTH('ALL ORDERS'!K708))</f>
        <v>September</v>
      </c>
      <c r="N708" s="54">
        <f t="shared" si="185"/>
        <v>2025</v>
      </c>
      <c r="O708" s="58">
        <v>0.41666666666666669</v>
      </c>
      <c r="P708" s="59" t="s">
        <v>349</v>
      </c>
      <c r="Q708" s="60" t="s">
        <v>94</v>
      </c>
      <c r="R708" s="56" t="s">
        <v>311</v>
      </c>
      <c r="S708" s="61" t="s">
        <v>41</v>
      </c>
      <c r="T708" s="70">
        <v>5900888990</v>
      </c>
      <c r="U708" s="63" t="s">
        <v>24</v>
      </c>
      <c r="V708" s="63" t="s">
        <v>147</v>
      </c>
      <c r="W708" s="64">
        <v>4694</v>
      </c>
      <c r="X708" s="64">
        <v>5</v>
      </c>
      <c r="Y708" s="47"/>
      <c r="Z708" s="47"/>
    </row>
    <row r="709" spans="1:26" ht="24" x14ac:dyDescent="0.25">
      <c r="A709" s="53">
        <v>45911</v>
      </c>
      <c r="B709" s="54">
        <f t="shared" si="190"/>
        <v>11</v>
      </c>
      <c r="C709" s="55" t="str" cm="1">
        <f t="array" ref="C709">INDEX(Processing!$C$11:$C$22,MONTH('ALL ORDERS'!A709))</f>
        <v>SEP</v>
      </c>
      <c r="D709" s="54">
        <f t="shared" si="191"/>
        <v>2025</v>
      </c>
      <c r="E709" s="56" t="s">
        <v>50</v>
      </c>
      <c r="F709" s="56" t="s">
        <v>134</v>
      </c>
      <c r="G709" s="100">
        <v>0</v>
      </c>
      <c r="H709" s="100">
        <v>3440</v>
      </c>
      <c r="I709" s="57"/>
      <c r="J709" s="99">
        <f t="shared" si="186"/>
        <v>3440</v>
      </c>
      <c r="K709" s="53">
        <v>45911</v>
      </c>
      <c r="L709" s="54">
        <f t="shared" si="192"/>
        <v>11</v>
      </c>
      <c r="M709" s="55" t="str" cm="1">
        <f t="array" ref="M709">INDEX(Processing!$W$6:$W$17,MONTH('ALL ORDERS'!K709))</f>
        <v>September</v>
      </c>
      <c r="N709" s="54">
        <f t="shared" ref="N709:N775" si="196">YEAR(K709)</f>
        <v>2025</v>
      </c>
      <c r="O709" s="58">
        <v>0.5</v>
      </c>
      <c r="P709" s="59" t="s">
        <v>194</v>
      </c>
      <c r="Q709" s="60" t="s">
        <v>90</v>
      </c>
      <c r="R709" s="56" t="s">
        <v>280</v>
      </c>
      <c r="S709" s="61" t="s">
        <v>41</v>
      </c>
      <c r="T709" s="62" t="s">
        <v>1008</v>
      </c>
      <c r="U709" s="63" t="s">
        <v>26</v>
      </c>
      <c r="V709" s="63" t="s">
        <v>147</v>
      </c>
      <c r="W709" s="64">
        <v>1886</v>
      </c>
      <c r="X709" s="64">
        <v>5</v>
      </c>
      <c r="Y709" s="47"/>
      <c r="Z709" s="47"/>
    </row>
    <row r="710" spans="1:26" ht="24" x14ac:dyDescent="0.25">
      <c r="A710" s="53">
        <v>45912</v>
      </c>
      <c r="B710" s="54">
        <f t="shared" si="190"/>
        <v>12</v>
      </c>
      <c r="C710" s="55" t="str" cm="1">
        <f t="array" ref="C710">INDEX(Processing!$C$11:$C$22,MONTH('ALL ORDERS'!A710))</f>
        <v>SEP</v>
      </c>
      <c r="D710" s="54">
        <f t="shared" si="191"/>
        <v>2025</v>
      </c>
      <c r="E710" s="56" t="s">
        <v>47</v>
      </c>
      <c r="F710" s="56" t="s">
        <v>137</v>
      </c>
      <c r="G710" s="100">
        <v>0</v>
      </c>
      <c r="H710" s="100">
        <v>2110</v>
      </c>
      <c r="I710" s="57"/>
      <c r="J710" s="99">
        <f t="shared" si="186"/>
        <v>2110</v>
      </c>
      <c r="K710" s="53">
        <v>45912</v>
      </c>
      <c r="L710" s="54">
        <f t="shared" si="192"/>
        <v>12</v>
      </c>
      <c r="M710" s="55" t="str" cm="1">
        <f t="array" ref="M710">INDEX(Processing!$W$6:$W$17,MONTH('ALL ORDERS'!K710))</f>
        <v>September</v>
      </c>
      <c r="N710" s="54">
        <f t="shared" si="196"/>
        <v>2025</v>
      </c>
      <c r="O710" s="58">
        <v>0.66666666666666663</v>
      </c>
      <c r="P710" s="59" t="s">
        <v>205</v>
      </c>
      <c r="Q710" s="60" t="s">
        <v>94</v>
      </c>
      <c r="R710" s="56" t="s">
        <v>292</v>
      </c>
      <c r="S710" s="61" t="s">
        <v>46</v>
      </c>
      <c r="T710" s="62" t="s">
        <v>1009</v>
      </c>
      <c r="U710" s="63" t="s">
        <v>26</v>
      </c>
      <c r="V710" s="63" t="s">
        <v>147</v>
      </c>
      <c r="W710" s="64">
        <v>3016</v>
      </c>
      <c r="X710" s="64">
        <v>5</v>
      </c>
      <c r="Y710" s="47"/>
      <c r="Z710" s="47"/>
    </row>
    <row r="711" spans="1:26" ht="24" x14ac:dyDescent="0.25">
      <c r="A711" s="53">
        <v>45913</v>
      </c>
      <c r="B711" s="54">
        <f t="shared" si="190"/>
        <v>13</v>
      </c>
      <c r="C711" s="55" t="str" cm="1">
        <f t="array" ref="C711">INDEX(Processing!$C$11:$C$22,MONTH('ALL ORDERS'!A711))</f>
        <v>SEP</v>
      </c>
      <c r="D711" s="54">
        <f t="shared" si="191"/>
        <v>2025</v>
      </c>
      <c r="E711" s="56" t="s">
        <v>50</v>
      </c>
      <c r="F711" s="56" t="s">
        <v>131</v>
      </c>
      <c r="G711" s="100">
        <v>0</v>
      </c>
      <c r="H711" s="100">
        <v>1130</v>
      </c>
      <c r="I711" s="57"/>
      <c r="J711" s="99">
        <f t="shared" si="186"/>
        <v>1130</v>
      </c>
      <c r="K711" s="53">
        <v>45913</v>
      </c>
      <c r="L711" s="54">
        <f t="shared" si="192"/>
        <v>13</v>
      </c>
      <c r="M711" s="55" t="str" cm="1">
        <f t="array" ref="M711">INDEX(Processing!$W$6:$W$17,MONTH('ALL ORDERS'!K711))</f>
        <v>September</v>
      </c>
      <c r="N711" s="54">
        <f t="shared" si="196"/>
        <v>2025</v>
      </c>
      <c r="O711" s="58">
        <v>0.75</v>
      </c>
      <c r="P711" s="59" t="s">
        <v>184</v>
      </c>
      <c r="Q711" s="60" t="s">
        <v>94</v>
      </c>
      <c r="R711" s="56" t="s">
        <v>269</v>
      </c>
      <c r="S711" s="61" t="s">
        <v>44</v>
      </c>
      <c r="T711" s="62" t="s">
        <v>1010</v>
      </c>
      <c r="U711" s="63" t="s">
        <v>26</v>
      </c>
      <c r="V711" s="63" t="s">
        <v>147</v>
      </c>
      <c r="W711" s="64">
        <v>1482</v>
      </c>
      <c r="X711" s="64">
        <v>5</v>
      </c>
      <c r="Y711" s="47"/>
      <c r="Z711" s="47"/>
    </row>
    <row r="712" spans="1:26" ht="24" x14ac:dyDescent="0.25">
      <c r="A712" s="53">
        <v>45914</v>
      </c>
      <c r="B712" s="54">
        <f t="shared" si="190"/>
        <v>14</v>
      </c>
      <c r="C712" s="55" t="str" cm="1">
        <f t="array" ref="C712">INDEX(Processing!$C$11:$C$22,MONTH('ALL ORDERS'!A712))</f>
        <v>SEP</v>
      </c>
      <c r="D712" s="54">
        <f t="shared" si="191"/>
        <v>2025</v>
      </c>
      <c r="E712" s="56" t="s">
        <v>49</v>
      </c>
      <c r="F712" s="56" t="s">
        <v>133</v>
      </c>
      <c r="G712" s="100">
        <v>0</v>
      </c>
      <c r="H712" s="100">
        <v>890</v>
      </c>
      <c r="I712" s="57"/>
      <c r="J712" s="99">
        <f t="shared" si="186"/>
        <v>890</v>
      </c>
      <c r="K712" s="53">
        <v>45914</v>
      </c>
      <c r="L712" s="54">
        <f t="shared" si="192"/>
        <v>14</v>
      </c>
      <c r="M712" s="55" t="str" cm="1">
        <f t="array" ref="M712">INDEX(Processing!$W$6:$W$17,MONTH('ALL ORDERS'!K712))</f>
        <v>September</v>
      </c>
      <c r="N712" s="54">
        <f t="shared" si="196"/>
        <v>2025</v>
      </c>
      <c r="O712" s="58">
        <v>0.41666666666666669</v>
      </c>
      <c r="P712" s="59" t="s">
        <v>167</v>
      </c>
      <c r="Q712" s="60" t="s">
        <v>91</v>
      </c>
      <c r="R712" s="56" t="s">
        <v>250</v>
      </c>
      <c r="S712" s="61" t="s">
        <v>46</v>
      </c>
      <c r="T712" s="62" t="s">
        <v>1011</v>
      </c>
      <c r="U712" s="63" t="s">
        <v>26</v>
      </c>
      <c r="V712" s="63" t="s">
        <v>147</v>
      </c>
      <c r="W712" s="64">
        <v>1740</v>
      </c>
      <c r="X712" s="64">
        <v>5</v>
      </c>
      <c r="Y712" s="47"/>
      <c r="Z712" s="47"/>
    </row>
    <row r="713" spans="1:26" ht="24" x14ac:dyDescent="0.25">
      <c r="A713" s="53">
        <v>45915</v>
      </c>
      <c r="B713" s="54">
        <f t="shared" si="190"/>
        <v>15</v>
      </c>
      <c r="C713" s="55" t="str" cm="1">
        <f t="array" ref="C713">INDEX(Processing!$C$11:$C$22,MONTH('ALL ORDERS'!A713))</f>
        <v>SEP</v>
      </c>
      <c r="D713" s="54">
        <f t="shared" si="191"/>
        <v>2025</v>
      </c>
      <c r="E713" s="56" t="s">
        <v>50</v>
      </c>
      <c r="F713" s="56" t="s">
        <v>133</v>
      </c>
      <c r="G713" s="100">
        <v>0</v>
      </c>
      <c r="H713" s="100">
        <v>3820</v>
      </c>
      <c r="I713" s="57"/>
      <c r="J713" s="99">
        <f t="shared" si="186"/>
        <v>3820</v>
      </c>
      <c r="K713" s="53">
        <v>45915</v>
      </c>
      <c r="L713" s="54">
        <f t="shared" si="192"/>
        <v>15</v>
      </c>
      <c r="M713" s="55" t="str" cm="1">
        <f t="array" ref="M713">INDEX(Processing!$W$6:$W$17,MONTH('ALL ORDERS'!K713))</f>
        <v>September</v>
      </c>
      <c r="N713" s="54">
        <f t="shared" si="196"/>
        <v>2025</v>
      </c>
      <c r="O713" s="58">
        <v>0.5</v>
      </c>
      <c r="P713" s="59" t="s">
        <v>349</v>
      </c>
      <c r="Q713" s="60" t="s">
        <v>94</v>
      </c>
      <c r="R713" s="56" t="s">
        <v>311</v>
      </c>
      <c r="S713" s="61" t="s">
        <v>41</v>
      </c>
      <c r="T713" s="62" t="s">
        <v>1012</v>
      </c>
      <c r="U713" s="63" t="s">
        <v>25</v>
      </c>
      <c r="V713" s="63" t="s">
        <v>147</v>
      </c>
      <c r="W713" s="64">
        <v>3623</v>
      </c>
      <c r="X713" s="64">
        <v>5</v>
      </c>
      <c r="Y713" s="47"/>
      <c r="Z713" s="47"/>
    </row>
    <row r="714" spans="1:26" ht="24" x14ac:dyDescent="0.25">
      <c r="A714" s="53">
        <v>45916</v>
      </c>
      <c r="B714" s="54">
        <f t="shared" si="190"/>
        <v>16</v>
      </c>
      <c r="C714" s="55" t="str" cm="1">
        <f t="array" ref="C714">INDEX(Processing!$C$11:$C$22,MONTH('ALL ORDERS'!A714))</f>
        <v>SEP</v>
      </c>
      <c r="D714" s="54">
        <f t="shared" si="191"/>
        <v>2025</v>
      </c>
      <c r="E714" s="56" t="s">
        <v>50</v>
      </c>
      <c r="F714" s="56" t="s">
        <v>134</v>
      </c>
      <c r="G714" s="100">
        <v>0</v>
      </c>
      <c r="H714" s="100">
        <v>1250</v>
      </c>
      <c r="I714" s="57"/>
      <c r="J714" s="99">
        <f t="shared" si="186"/>
        <v>1250</v>
      </c>
      <c r="K714" s="53">
        <v>45916</v>
      </c>
      <c r="L714" s="54">
        <f t="shared" si="192"/>
        <v>16</v>
      </c>
      <c r="M714" s="55" t="str" cm="1">
        <f t="array" ref="M714">INDEX(Processing!$W$6:$W$17,MONTH('ALL ORDERS'!K714))</f>
        <v>September</v>
      </c>
      <c r="N714" s="54">
        <f t="shared" si="196"/>
        <v>2025</v>
      </c>
      <c r="O714" s="58">
        <v>0.66666666666666663</v>
      </c>
      <c r="P714" s="59" t="s">
        <v>194</v>
      </c>
      <c r="Q714" s="60" t="s">
        <v>90</v>
      </c>
      <c r="R714" s="56" t="s">
        <v>280</v>
      </c>
      <c r="S714" s="61" t="s">
        <v>41</v>
      </c>
      <c r="T714" s="62" t="s">
        <v>1013</v>
      </c>
      <c r="U714" s="63" t="s">
        <v>23</v>
      </c>
      <c r="V714" s="63" t="s">
        <v>147</v>
      </c>
      <c r="W714" s="64">
        <v>4534</v>
      </c>
      <c r="X714" s="64">
        <v>5</v>
      </c>
      <c r="Y714" s="47"/>
      <c r="Z714" s="47"/>
    </row>
    <row r="715" spans="1:26" ht="24" x14ac:dyDescent="0.25">
      <c r="A715" s="53">
        <v>45911</v>
      </c>
      <c r="B715" s="54">
        <f t="shared" si="190"/>
        <v>11</v>
      </c>
      <c r="C715" s="55" t="str" cm="1">
        <f t="array" ref="C715">INDEX(Processing!$C$11:$C$22,MONTH('ALL ORDERS'!A715))</f>
        <v>SEP</v>
      </c>
      <c r="D715" s="54">
        <f t="shared" si="191"/>
        <v>2025</v>
      </c>
      <c r="E715" s="56" t="s">
        <v>47</v>
      </c>
      <c r="F715" s="56" t="s">
        <v>134</v>
      </c>
      <c r="G715" s="100">
        <v>0</v>
      </c>
      <c r="H715" s="100">
        <v>1810</v>
      </c>
      <c r="I715" s="57"/>
      <c r="J715" s="99">
        <f t="shared" si="186"/>
        <v>1810</v>
      </c>
      <c r="K715" s="53">
        <v>45911</v>
      </c>
      <c r="L715" s="54">
        <f t="shared" si="192"/>
        <v>11</v>
      </c>
      <c r="M715" s="55" t="str" cm="1">
        <f t="array" ref="M715">INDEX(Processing!$W$6:$W$17,MONTH('ALL ORDERS'!K715))</f>
        <v>September</v>
      </c>
      <c r="N715" s="54">
        <f t="shared" si="196"/>
        <v>2025</v>
      </c>
      <c r="O715" s="58">
        <v>0.75</v>
      </c>
      <c r="P715" s="59" t="s">
        <v>180</v>
      </c>
      <c r="Q715" s="60" t="s">
        <v>94</v>
      </c>
      <c r="R715" s="56" t="s">
        <v>265</v>
      </c>
      <c r="S715" s="61" t="s">
        <v>42</v>
      </c>
      <c r="T715" s="62" t="s">
        <v>1014</v>
      </c>
      <c r="U715" s="63" t="s">
        <v>27</v>
      </c>
      <c r="V715" s="63" t="s">
        <v>147</v>
      </c>
      <c r="W715" s="64">
        <v>3036</v>
      </c>
      <c r="X715" s="64">
        <v>5</v>
      </c>
      <c r="Y715" s="47"/>
      <c r="Z715" s="47"/>
    </row>
    <row r="716" spans="1:26" ht="24" x14ac:dyDescent="0.25">
      <c r="A716" s="53">
        <v>45918</v>
      </c>
      <c r="B716" s="54">
        <f t="shared" si="190"/>
        <v>18</v>
      </c>
      <c r="C716" s="55" t="str" cm="1">
        <f t="array" ref="C716">INDEX(Processing!$C$11:$C$22,MONTH('ALL ORDERS'!A716))</f>
        <v>SEP</v>
      </c>
      <c r="D716" s="54">
        <f t="shared" si="191"/>
        <v>2025</v>
      </c>
      <c r="E716" s="56" t="s">
        <v>49</v>
      </c>
      <c r="F716" s="56" t="s">
        <v>19</v>
      </c>
      <c r="G716" s="100">
        <v>0</v>
      </c>
      <c r="H716" s="100">
        <v>3910</v>
      </c>
      <c r="I716" s="57">
        <v>0.15</v>
      </c>
      <c r="J716" s="99">
        <f t="shared" si="186"/>
        <v>3910</v>
      </c>
      <c r="K716" s="53">
        <v>45918</v>
      </c>
      <c r="L716" s="54">
        <f t="shared" si="192"/>
        <v>18</v>
      </c>
      <c r="M716" s="55" t="str" cm="1">
        <f t="array" ref="M716">INDEX(Processing!$W$6:$W$17,MONTH('ALL ORDERS'!K716))</f>
        <v>September</v>
      </c>
      <c r="N716" s="54">
        <f t="shared" si="196"/>
        <v>2025</v>
      </c>
      <c r="O716" s="58">
        <v>0.375</v>
      </c>
      <c r="P716" s="59" t="s">
        <v>177</v>
      </c>
      <c r="Q716" s="60" t="s">
        <v>93</v>
      </c>
      <c r="R716" s="56" t="s">
        <v>261</v>
      </c>
      <c r="S716" s="61" t="s">
        <v>44</v>
      </c>
      <c r="T716" s="62" t="s">
        <v>1015</v>
      </c>
      <c r="U716" s="63" t="s">
        <v>24</v>
      </c>
      <c r="V716" s="63" t="s">
        <v>147</v>
      </c>
      <c r="W716" s="64">
        <v>962</v>
      </c>
      <c r="X716" s="64">
        <v>5</v>
      </c>
      <c r="Y716" s="47"/>
      <c r="Z716" s="47"/>
    </row>
    <row r="717" spans="1:26" ht="24" x14ac:dyDescent="0.25">
      <c r="A717" s="53">
        <v>45919</v>
      </c>
      <c r="B717" s="54">
        <f t="shared" si="190"/>
        <v>19</v>
      </c>
      <c r="C717" s="55" t="str" cm="1">
        <f t="array" ref="C717">INDEX(Processing!$C$11:$C$22,MONTH('ALL ORDERS'!A717))</f>
        <v>SEP</v>
      </c>
      <c r="D717" s="54">
        <f t="shared" si="191"/>
        <v>2025</v>
      </c>
      <c r="E717" s="56" t="s">
        <v>49</v>
      </c>
      <c r="F717" s="56" t="s">
        <v>19</v>
      </c>
      <c r="G717" s="100">
        <v>0</v>
      </c>
      <c r="H717" s="100">
        <v>980</v>
      </c>
      <c r="I717" s="57"/>
      <c r="J717" s="99">
        <f t="shared" si="186"/>
        <v>980</v>
      </c>
      <c r="K717" s="53">
        <v>45919</v>
      </c>
      <c r="L717" s="54">
        <f t="shared" si="192"/>
        <v>19</v>
      </c>
      <c r="M717" s="55" t="str" cm="1">
        <f t="array" ref="M717">INDEX(Processing!$W$6:$W$17,MONTH('ALL ORDERS'!K717))</f>
        <v>September</v>
      </c>
      <c r="N717" s="54">
        <f t="shared" si="196"/>
        <v>2025</v>
      </c>
      <c r="O717" s="58">
        <v>0.45833333333333331</v>
      </c>
      <c r="P717" s="59" t="s">
        <v>190</v>
      </c>
      <c r="Q717" s="60" t="s">
        <v>94</v>
      </c>
      <c r="R717" s="56" t="s">
        <v>276</v>
      </c>
      <c r="S717" s="61" t="s">
        <v>41</v>
      </c>
      <c r="T717" s="62" t="s">
        <v>1016</v>
      </c>
      <c r="U717" s="63" t="s">
        <v>26</v>
      </c>
      <c r="V717" s="63" t="s">
        <v>147</v>
      </c>
      <c r="W717" s="64">
        <v>4392</v>
      </c>
      <c r="X717" s="64">
        <v>5</v>
      </c>
      <c r="Y717" s="47"/>
      <c r="Z717" s="47"/>
    </row>
    <row r="718" spans="1:26" ht="24" x14ac:dyDescent="0.25">
      <c r="A718" s="53">
        <v>45920</v>
      </c>
      <c r="B718" s="54">
        <f t="shared" si="190"/>
        <v>20</v>
      </c>
      <c r="C718" s="55" t="str" cm="1">
        <f t="array" ref="C718">INDEX(Processing!$C$11:$C$22,MONTH('ALL ORDERS'!A718))</f>
        <v>SEP</v>
      </c>
      <c r="D718" s="54">
        <f t="shared" si="191"/>
        <v>2025</v>
      </c>
      <c r="E718" s="56" t="s">
        <v>49</v>
      </c>
      <c r="F718" s="56" t="s">
        <v>128</v>
      </c>
      <c r="G718" s="100">
        <v>0</v>
      </c>
      <c r="H718" s="100">
        <v>130</v>
      </c>
      <c r="I718" s="57"/>
      <c r="J718" s="99">
        <f t="shared" si="186"/>
        <v>130</v>
      </c>
      <c r="K718" s="53">
        <v>45920</v>
      </c>
      <c r="L718" s="54">
        <f t="shared" si="192"/>
        <v>20</v>
      </c>
      <c r="M718" s="55" t="str" cm="1">
        <f t="array" ref="M718">INDEX(Processing!$W$6:$W$17,MONTH('ALL ORDERS'!K718))</f>
        <v>September</v>
      </c>
      <c r="N718" s="54">
        <f t="shared" si="196"/>
        <v>2025</v>
      </c>
      <c r="O718" s="58">
        <v>0.625</v>
      </c>
      <c r="P718" s="59" t="s">
        <v>351</v>
      </c>
      <c r="Q718" s="60" t="s">
        <v>94</v>
      </c>
      <c r="R718" s="56" t="s">
        <v>313</v>
      </c>
      <c r="S718" s="61" t="s">
        <v>42</v>
      </c>
      <c r="T718" s="62" t="s">
        <v>1017</v>
      </c>
      <c r="U718" s="63" t="s">
        <v>25</v>
      </c>
      <c r="V718" s="63" t="s">
        <v>147</v>
      </c>
      <c r="W718" s="64">
        <v>4502</v>
      </c>
      <c r="X718" s="64">
        <v>5</v>
      </c>
      <c r="Y718" s="47"/>
      <c r="Z718" s="47"/>
    </row>
    <row r="719" spans="1:26" ht="24" x14ac:dyDescent="0.25">
      <c r="A719" s="53">
        <v>45921</v>
      </c>
      <c r="B719" s="54">
        <f t="shared" si="190"/>
        <v>21</v>
      </c>
      <c r="C719" s="55" t="str" cm="1">
        <f t="array" ref="C719">INDEX(Processing!$C$11:$C$22,MONTH('ALL ORDERS'!A719))</f>
        <v>SEP</v>
      </c>
      <c r="D719" s="54">
        <f t="shared" si="191"/>
        <v>2025</v>
      </c>
      <c r="E719" s="56" t="s">
        <v>47</v>
      </c>
      <c r="F719" s="56" t="s">
        <v>22</v>
      </c>
      <c r="G719" s="100">
        <v>0</v>
      </c>
      <c r="H719" s="100">
        <v>3280</v>
      </c>
      <c r="I719" s="57"/>
      <c r="J719" s="99">
        <f t="shared" si="186"/>
        <v>3280</v>
      </c>
      <c r="K719" s="53">
        <v>45921</v>
      </c>
      <c r="L719" s="54">
        <f t="shared" si="192"/>
        <v>21</v>
      </c>
      <c r="M719" s="55" t="str" cm="1">
        <f t="array" ref="M719">INDEX(Processing!$W$6:$W$17,MONTH('ALL ORDERS'!K719))</f>
        <v>September</v>
      </c>
      <c r="N719" s="54">
        <f t="shared" si="196"/>
        <v>2025</v>
      </c>
      <c r="O719" s="58">
        <v>0.45833333333333331</v>
      </c>
      <c r="P719" s="59" t="s">
        <v>176</v>
      </c>
      <c r="Q719" s="60" t="s">
        <v>94</v>
      </c>
      <c r="R719" s="56" t="s">
        <v>260</v>
      </c>
      <c r="S719" s="61" t="s">
        <v>41</v>
      </c>
      <c r="T719" s="62" t="s">
        <v>1018</v>
      </c>
      <c r="U719" s="63" t="s">
        <v>25</v>
      </c>
      <c r="V719" s="63" t="s">
        <v>147</v>
      </c>
      <c r="W719" s="64">
        <v>3167</v>
      </c>
      <c r="X719" s="64">
        <v>4</v>
      </c>
      <c r="Y719" s="47"/>
      <c r="Z719" s="47"/>
    </row>
    <row r="720" spans="1:26" ht="24" x14ac:dyDescent="0.25">
      <c r="A720" s="53">
        <v>45921</v>
      </c>
      <c r="B720" s="54">
        <f t="shared" si="190"/>
        <v>21</v>
      </c>
      <c r="C720" s="55" t="str" cm="1">
        <f t="array" ref="C720">INDEX(Processing!$C$11:$C$22,MONTH('ALL ORDERS'!A720))</f>
        <v>SEP</v>
      </c>
      <c r="D720" s="54">
        <f t="shared" si="191"/>
        <v>2025</v>
      </c>
      <c r="E720" s="56" t="s">
        <v>50</v>
      </c>
      <c r="F720" s="56" t="s">
        <v>127</v>
      </c>
      <c r="G720" s="100">
        <v>0</v>
      </c>
      <c r="H720" s="100">
        <v>2260</v>
      </c>
      <c r="I720" s="57"/>
      <c r="J720" s="99">
        <f t="shared" si="186"/>
        <v>2260</v>
      </c>
      <c r="K720" s="53">
        <v>45921</v>
      </c>
      <c r="L720" s="54">
        <f t="shared" si="192"/>
        <v>21</v>
      </c>
      <c r="M720" s="55" t="str" cm="1">
        <f t="array" ref="M720">INDEX(Processing!$W$6:$W$17,MONTH('ALL ORDERS'!K720))</f>
        <v>September</v>
      </c>
      <c r="N720" s="54">
        <f t="shared" si="196"/>
        <v>2025</v>
      </c>
      <c r="O720" s="58">
        <v>0.375</v>
      </c>
      <c r="P720" s="59" t="s">
        <v>219</v>
      </c>
      <c r="Q720" s="60" t="s">
        <v>94</v>
      </c>
      <c r="R720" s="56" t="s">
        <v>318</v>
      </c>
      <c r="S720" s="61" t="s">
        <v>45</v>
      </c>
      <c r="T720" s="70">
        <v>4900888990</v>
      </c>
      <c r="U720" s="63" t="s">
        <v>25</v>
      </c>
      <c r="V720" s="63" t="s">
        <v>147</v>
      </c>
      <c r="W720" s="64">
        <v>1342</v>
      </c>
      <c r="X720" s="64">
        <v>4</v>
      </c>
      <c r="Y720" s="47"/>
      <c r="Z720" s="47"/>
    </row>
    <row r="721" spans="1:26" ht="24" x14ac:dyDescent="0.25">
      <c r="A721" s="53">
        <v>45923</v>
      </c>
      <c r="B721" s="54">
        <f t="shared" si="190"/>
        <v>23</v>
      </c>
      <c r="C721" s="55" t="str" cm="1">
        <f t="array" ref="C721">INDEX(Processing!$C$11:$C$22,MONTH('ALL ORDERS'!A721))</f>
        <v>SEP</v>
      </c>
      <c r="D721" s="54">
        <f t="shared" si="191"/>
        <v>2025</v>
      </c>
      <c r="E721" s="56" t="s">
        <v>47</v>
      </c>
      <c r="F721" s="56" t="s">
        <v>125</v>
      </c>
      <c r="G721" s="100">
        <v>0</v>
      </c>
      <c r="H721" s="100">
        <v>2220</v>
      </c>
      <c r="I721" s="57"/>
      <c r="J721" s="99">
        <f t="shared" si="186"/>
        <v>2220</v>
      </c>
      <c r="K721" s="53">
        <v>45923</v>
      </c>
      <c r="L721" s="54">
        <f t="shared" si="192"/>
        <v>23</v>
      </c>
      <c r="M721" s="55" t="str" cm="1">
        <f t="array" ref="M721">INDEX(Processing!$W$6:$W$17,MONTH('ALL ORDERS'!K721))</f>
        <v>September</v>
      </c>
      <c r="N721" s="54">
        <f t="shared" si="196"/>
        <v>2025</v>
      </c>
      <c r="O721" s="58">
        <v>0.45833333333333331</v>
      </c>
      <c r="P721" s="59" t="s">
        <v>214</v>
      </c>
      <c r="Q721" s="60" t="s">
        <v>94</v>
      </c>
      <c r="R721" s="56" t="s">
        <v>302</v>
      </c>
      <c r="S721" s="61" t="s">
        <v>41</v>
      </c>
      <c r="T721" s="62" t="s">
        <v>1019</v>
      </c>
      <c r="U721" s="63" t="s">
        <v>25</v>
      </c>
      <c r="V721" s="63" t="s">
        <v>147</v>
      </c>
      <c r="W721" s="64">
        <v>2615</v>
      </c>
      <c r="X721" s="64">
        <v>4</v>
      </c>
      <c r="Y721" s="47"/>
      <c r="Z721" s="47"/>
    </row>
    <row r="722" spans="1:26" ht="24" x14ac:dyDescent="0.25">
      <c r="A722" s="53">
        <v>45924</v>
      </c>
      <c r="B722" s="54">
        <f t="shared" si="190"/>
        <v>24</v>
      </c>
      <c r="C722" s="55" t="str" cm="1">
        <f t="array" ref="C722">INDEX(Processing!$C$11:$C$22,MONTH('ALL ORDERS'!A722))</f>
        <v>SEP</v>
      </c>
      <c r="D722" s="54">
        <f t="shared" si="191"/>
        <v>2025</v>
      </c>
      <c r="E722" s="56" t="s">
        <v>48</v>
      </c>
      <c r="F722" s="56" t="s">
        <v>130</v>
      </c>
      <c r="G722" s="100">
        <v>10000</v>
      </c>
      <c r="H722" s="100">
        <v>2800</v>
      </c>
      <c r="I722" s="57"/>
      <c r="J722" s="99">
        <f t="shared" si="186"/>
        <v>12800</v>
      </c>
      <c r="K722" s="53">
        <v>45924</v>
      </c>
      <c r="L722" s="54">
        <f t="shared" si="192"/>
        <v>24</v>
      </c>
      <c r="M722" s="55" t="str" cm="1">
        <f t="array" ref="M722">INDEX(Processing!$W$6:$W$17,MONTH('ALL ORDERS'!K722))</f>
        <v>September</v>
      </c>
      <c r="N722" s="54">
        <f t="shared" si="196"/>
        <v>2025</v>
      </c>
      <c r="O722" s="58">
        <v>0.625</v>
      </c>
      <c r="P722" s="59" t="s">
        <v>349</v>
      </c>
      <c r="Q722" s="60" t="s">
        <v>94</v>
      </c>
      <c r="R722" s="56" t="s">
        <v>311</v>
      </c>
      <c r="S722" s="61" t="s">
        <v>45</v>
      </c>
      <c r="T722" s="62" t="s">
        <v>1020</v>
      </c>
      <c r="U722" s="63" t="s">
        <v>25</v>
      </c>
      <c r="V722" s="63" t="s">
        <v>147</v>
      </c>
      <c r="W722" s="64">
        <v>3299</v>
      </c>
      <c r="X722" s="64">
        <v>4</v>
      </c>
      <c r="Y722" s="47"/>
      <c r="Z722" s="47"/>
    </row>
    <row r="723" spans="1:26" ht="24" x14ac:dyDescent="0.25">
      <c r="A723" s="53">
        <v>45925</v>
      </c>
      <c r="B723" s="54">
        <f t="shared" si="190"/>
        <v>25</v>
      </c>
      <c r="C723" s="55" t="str" cm="1">
        <f t="array" ref="C723">INDEX(Processing!$C$11:$C$22,MONTH('ALL ORDERS'!A723))</f>
        <v>SEP</v>
      </c>
      <c r="D723" s="54">
        <f t="shared" si="191"/>
        <v>2025</v>
      </c>
      <c r="E723" s="56" t="s">
        <v>49</v>
      </c>
      <c r="F723" s="56" t="s">
        <v>134</v>
      </c>
      <c r="G723" s="100">
        <v>0</v>
      </c>
      <c r="H723" s="100">
        <v>880</v>
      </c>
      <c r="I723" s="57"/>
      <c r="J723" s="99">
        <f t="shared" si="186"/>
        <v>880</v>
      </c>
      <c r="K723" s="53">
        <v>45925</v>
      </c>
      <c r="L723" s="54">
        <f t="shared" si="192"/>
        <v>25</v>
      </c>
      <c r="M723" s="55" t="str" cm="1">
        <f t="array" ref="M723">INDEX(Processing!$W$6:$W$17,MONTH('ALL ORDERS'!K723))</f>
        <v>September</v>
      </c>
      <c r="N723" s="54">
        <f t="shared" si="196"/>
        <v>2025</v>
      </c>
      <c r="O723" s="58">
        <v>0.45833333333333331</v>
      </c>
      <c r="P723" s="59" t="s">
        <v>169</v>
      </c>
      <c r="Q723" s="60" t="s">
        <v>94</v>
      </c>
      <c r="R723" s="56" t="s">
        <v>252</v>
      </c>
      <c r="S723" s="61" t="s">
        <v>42</v>
      </c>
      <c r="T723" s="62" t="s">
        <v>1021</v>
      </c>
      <c r="U723" s="63" t="s">
        <v>23</v>
      </c>
      <c r="V723" s="63" t="s">
        <v>147</v>
      </c>
      <c r="W723" s="64">
        <v>4622</v>
      </c>
      <c r="X723" s="64">
        <v>4</v>
      </c>
      <c r="Y723" s="47"/>
      <c r="Z723" s="47"/>
    </row>
    <row r="724" spans="1:26" ht="24" x14ac:dyDescent="0.25">
      <c r="A724" s="53">
        <v>45926</v>
      </c>
      <c r="B724" s="54">
        <f t="shared" si="190"/>
        <v>26</v>
      </c>
      <c r="C724" s="55" t="str" cm="1">
        <f t="array" ref="C724">INDEX(Processing!$C$11:$C$22,MONTH('ALL ORDERS'!A724))</f>
        <v>SEP</v>
      </c>
      <c r="D724" s="54">
        <f t="shared" si="191"/>
        <v>2025</v>
      </c>
      <c r="E724" s="56" t="s">
        <v>47</v>
      </c>
      <c r="F724" s="56" t="s">
        <v>137</v>
      </c>
      <c r="G724" s="100">
        <v>0</v>
      </c>
      <c r="H724" s="100">
        <v>190</v>
      </c>
      <c r="I724" s="57"/>
      <c r="J724" s="99">
        <f t="shared" si="186"/>
        <v>190</v>
      </c>
      <c r="K724" s="53">
        <v>45926</v>
      </c>
      <c r="L724" s="54">
        <f t="shared" si="192"/>
        <v>26</v>
      </c>
      <c r="M724" s="55" t="str" cm="1">
        <f t="array" ref="M724">INDEX(Processing!$W$6:$W$17,MONTH('ALL ORDERS'!K724))</f>
        <v>September</v>
      </c>
      <c r="N724" s="54">
        <f t="shared" si="196"/>
        <v>2025</v>
      </c>
      <c r="O724" s="58">
        <v>0.375</v>
      </c>
      <c r="P724" s="59" t="s">
        <v>155</v>
      </c>
      <c r="Q724" s="60" t="s">
        <v>94</v>
      </c>
      <c r="R724" s="56" t="s">
        <v>237</v>
      </c>
      <c r="S724" s="61" t="s">
        <v>41</v>
      </c>
      <c r="T724" s="62" t="s">
        <v>1022</v>
      </c>
      <c r="U724" s="63" t="s">
        <v>27</v>
      </c>
      <c r="V724" s="63" t="s">
        <v>147</v>
      </c>
      <c r="W724" s="64">
        <v>2816</v>
      </c>
      <c r="X724" s="64">
        <v>4</v>
      </c>
      <c r="Y724" s="47"/>
      <c r="Z724" s="47"/>
    </row>
    <row r="725" spans="1:26" ht="24" x14ac:dyDescent="0.25">
      <c r="A725" s="53">
        <v>45921</v>
      </c>
      <c r="B725" s="54">
        <f t="shared" si="190"/>
        <v>21</v>
      </c>
      <c r="C725" s="55" t="str" cm="1">
        <f t="array" ref="C725">INDEX(Processing!$C$11:$C$22,MONTH('ALL ORDERS'!A725))</f>
        <v>SEP</v>
      </c>
      <c r="D725" s="54">
        <f t="shared" si="191"/>
        <v>2025</v>
      </c>
      <c r="E725" s="56" t="s">
        <v>50</v>
      </c>
      <c r="F725" s="56" t="s">
        <v>131</v>
      </c>
      <c r="G725" s="100">
        <v>0</v>
      </c>
      <c r="H725" s="100">
        <v>950</v>
      </c>
      <c r="I725" s="57"/>
      <c r="J725" s="99">
        <f t="shared" si="186"/>
        <v>950</v>
      </c>
      <c r="K725" s="53">
        <v>45921</v>
      </c>
      <c r="L725" s="54">
        <f t="shared" si="192"/>
        <v>21</v>
      </c>
      <c r="M725" s="55" t="str" cm="1">
        <f t="array" ref="M725">INDEX(Processing!$W$6:$W$17,MONTH('ALL ORDERS'!K725))</f>
        <v>September</v>
      </c>
      <c r="N725" s="54">
        <f t="shared" si="196"/>
        <v>2025</v>
      </c>
      <c r="O725" s="58">
        <v>0.45833333333333331</v>
      </c>
      <c r="P725" s="59" t="s">
        <v>183</v>
      </c>
      <c r="Q725" s="60" t="s">
        <v>91</v>
      </c>
      <c r="R725" s="56" t="s">
        <v>268</v>
      </c>
      <c r="S725" s="61" t="s">
        <v>42</v>
      </c>
      <c r="T725" s="62" t="s">
        <v>1023</v>
      </c>
      <c r="U725" s="63" t="s">
        <v>24</v>
      </c>
      <c r="V725" s="63" t="s">
        <v>148</v>
      </c>
      <c r="W725" s="64">
        <v>2495</v>
      </c>
      <c r="X725" s="64"/>
      <c r="Y725" s="47"/>
      <c r="Z725" s="47"/>
    </row>
    <row r="726" spans="1:26" ht="24" x14ac:dyDescent="0.25">
      <c r="A726" s="53">
        <v>45928</v>
      </c>
      <c r="B726" s="54">
        <f t="shared" si="190"/>
        <v>28</v>
      </c>
      <c r="C726" s="55" t="str" cm="1">
        <f t="array" ref="C726">INDEX(Processing!$C$11:$C$22,MONTH('ALL ORDERS'!A726))</f>
        <v>SEP</v>
      </c>
      <c r="D726" s="54">
        <f t="shared" si="191"/>
        <v>2025</v>
      </c>
      <c r="E726" s="56" t="s">
        <v>48</v>
      </c>
      <c r="F726" s="56" t="s">
        <v>133</v>
      </c>
      <c r="G726" s="100">
        <v>2630</v>
      </c>
      <c r="H726" s="100">
        <v>0</v>
      </c>
      <c r="I726" s="57"/>
      <c r="J726" s="99">
        <f t="shared" ref="J726:J789" si="197">G726+H726</f>
        <v>2630</v>
      </c>
      <c r="K726" s="53">
        <v>45928</v>
      </c>
      <c r="L726" s="54">
        <f t="shared" si="192"/>
        <v>28</v>
      </c>
      <c r="M726" s="55" t="str" cm="1">
        <f t="array" ref="M726">INDEX(Processing!$W$6:$W$17,MONTH('ALL ORDERS'!K726))</f>
        <v>September</v>
      </c>
      <c r="N726" s="54">
        <f t="shared" si="196"/>
        <v>2025</v>
      </c>
      <c r="O726" s="58">
        <v>0.625</v>
      </c>
      <c r="P726" s="59" t="s">
        <v>213</v>
      </c>
      <c r="Q726" s="60" t="s">
        <v>90</v>
      </c>
      <c r="R726" s="56" t="s">
        <v>301</v>
      </c>
      <c r="S726" s="61" t="s">
        <v>45</v>
      </c>
      <c r="T726" s="62" t="s">
        <v>1024</v>
      </c>
      <c r="U726" s="63" t="s">
        <v>24</v>
      </c>
      <c r="V726" s="63" t="s">
        <v>147</v>
      </c>
      <c r="W726" s="64">
        <v>3368</v>
      </c>
      <c r="X726" s="64">
        <v>4</v>
      </c>
      <c r="Y726" s="47"/>
      <c r="Z726" s="47"/>
    </row>
    <row r="727" spans="1:26" ht="24" x14ac:dyDescent="0.25">
      <c r="A727" s="53">
        <v>45929</v>
      </c>
      <c r="B727" s="54">
        <f t="shared" si="190"/>
        <v>29</v>
      </c>
      <c r="C727" s="55" t="str" cm="1">
        <f t="array" ref="C727">INDEX(Processing!$C$11:$C$22,MONTH('ALL ORDERS'!A727))</f>
        <v>SEP</v>
      </c>
      <c r="D727" s="54">
        <f t="shared" si="191"/>
        <v>2025</v>
      </c>
      <c r="E727" s="56" t="s">
        <v>51</v>
      </c>
      <c r="F727" s="56" t="s">
        <v>133</v>
      </c>
      <c r="G727" s="100">
        <v>2640</v>
      </c>
      <c r="H727" s="100">
        <v>0</v>
      </c>
      <c r="I727" s="57">
        <v>0.15</v>
      </c>
      <c r="J727" s="99">
        <f t="shared" si="197"/>
        <v>2640</v>
      </c>
      <c r="K727" s="53">
        <v>45929</v>
      </c>
      <c r="L727" s="54">
        <f t="shared" si="192"/>
        <v>29</v>
      </c>
      <c r="M727" s="55" t="str" cm="1">
        <f t="array" ref="M727">INDEX(Processing!$W$6:$W$17,MONTH('ALL ORDERS'!K727))</f>
        <v>September</v>
      </c>
      <c r="N727" s="54">
        <f t="shared" si="196"/>
        <v>2025</v>
      </c>
      <c r="O727" s="58">
        <v>0.45833333333333331</v>
      </c>
      <c r="P727" s="59" t="s">
        <v>172</v>
      </c>
      <c r="Q727" s="60" t="s">
        <v>94</v>
      </c>
      <c r="R727" s="56" t="s">
        <v>256</v>
      </c>
      <c r="S727" s="61" t="s">
        <v>42</v>
      </c>
      <c r="T727" s="62" t="s">
        <v>1025</v>
      </c>
      <c r="U727" s="63" t="s">
        <v>26</v>
      </c>
      <c r="V727" s="63" t="s">
        <v>147</v>
      </c>
      <c r="W727" s="64">
        <v>4920</v>
      </c>
      <c r="X727" s="64">
        <v>4</v>
      </c>
      <c r="Y727" s="47"/>
      <c r="Z727" s="47"/>
    </row>
    <row r="728" spans="1:26" ht="24" x14ac:dyDescent="0.25">
      <c r="A728" s="53">
        <v>45930</v>
      </c>
      <c r="B728" s="54">
        <f t="shared" si="190"/>
        <v>30</v>
      </c>
      <c r="C728" s="55" t="str" cm="1">
        <f t="array" ref="C728">INDEX(Processing!$C$11:$C$22,MONTH('ALL ORDERS'!A728))</f>
        <v>SEP</v>
      </c>
      <c r="D728" s="54">
        <f t="shared" si="191"/>
        <v>2025</v>
      </c>
      <c r="E728" s="56" t="s">
        <v>47</v>
      </c>
      <c r="F728" s="56" t="s">
        <v>134</v>
      </c>
      <c r="G728" s="100">
        <v>1380</v>
      </c>
      <c r="H728" s="100">
        <v>0</v>
      </c>
      <c r="I728" s="57">
        <v>0.15</v>
      </c>
      <c r="J728" s="99">
        <f t="shared" si="197"/>
        <v>1380</v>
      </c>
      <c r="K728" s="53">
        <v>45930</v>
      </c>
      <c r="L728" s="54">
        <f t="shared" si="192"/>
        <v>30</v>
      </c>
      <c r="M728" s="55" t="str" cm="1">
        <f t="array" ref="M728">INDEX(Processing!$W$6:$W$17,MONTH('ALL ORDERS'!K728))</f>
        <v>September</v>
      </c>
      <c r="N728" s="54">
        <f t="shared" si="196"/>
        <v>2025</v>
      </c>
      <c r="O728" s="58">
        <v>0.375</v>
      </c>
      <c r="P728" s="59" t="s">
        <v>210</v>
      </c>
      <c r="Q728" s="60" t="s">
        <v>90</v>
      </c>
      <c r="R728" s="56" t="s">
        <v>298</v>
      </c>
      <c r="S728" s="61" t="s">
        <v>41</v>
      </c>
      <c r="T728" s="62" t="s">
        <v>1026</v>
      </c>
      <c r="U728" s="63" t="s">
        <v>23</v>
      </c>
      <c r="V728" s="63" t="s">
        <v>147</v>
      </c>
      <c r="W728" s="64">
        <v>5968</v>
      </c>
      <c r="X728" s="64">
        <v>4</v>
      </c>
      <c r="Y728" s="47"/>
      <c r="Z728" s="47"/>
    </row>
    <row r="729" spans="1:26" x14ac:dyDescent="0.25">
      <c r="A729" s="53">
        <v>45931</v>
      </c>
      <c r="B729" s="54">
        <f t="shared" si="190"/>
        <v>1</v>
      </c>
      <c r="C729" s="55" t="str" cm="1">
        <f t="array" ref="C729">INDEX(Processing!$C$11:$C$22,MONTH('ALL ORDERS'!A729))</f>
        <v>OCT</v>
      </c>
      <c r="D729" s="54">
        <f t="shared" si="191"/>
        <v>2025</v>
      </c>
      <c r="E729" s="56" t="s">
        <v>49</v>
      </c>
      <c r="F729" s="56" t="s">
        <v>134</v>
      </c>
      <c r="G729" s="100">
        <v>3180</v>
      </c>
      <c r="H729" s="100">
        <v>0</v>
      </c>
      <c r="I729" s="57">
        <v>0.15</v>
      </c>
      <c r="J729" s="99">
        <f t="shared" si="197"/>
        <v>3180</v>
      </c>
      <c r="K729" s="53">
        <v>45931</v>
      </c>
      <c r="L729" s="54">
        <f t="shared" si="192"/>
        <v>1</v>
      </c>
      <c r="M729" s="55" t="str" cm="1">
        <f t="array" ref="M729">INDEX(Processing!$W$6:$W$17,MONTH('ALL ORDERS'!K729))</f>
        <v>October</v>
      </c>
      <c r="N729" s="54">
        <f t="shared" si="196"/>
        <v>2025</v>
      </c>
      <c r="O729" s="58">
        <v>0.45833333333333331</v>
      </c>
      <c r="P729" s="59" t="s">
        <v>343</v>
      </c>
      <c r="Q729" s="60" t="s">
        <v>94</v>
      </c>
      <c r="R729" s="56" t="s">
        <v>303</v>
      </c>
      <c r="S729" s="61" t="s">
        <v>41</v>
      </c>
      <c r="T729" s="62" t="s">
        <v>1027</v>
      </c>
      <c r="U729" s="63" t="s">
        <v>26</v>
      </c>
      <c r="V729" s="63" t="s">
        <v>147</v>
      </c>
      <c r="W729" s="64">
        <v>3288</v>
      </c>
      <c r="X729" s="64">
        <v>4</v>
      </c>
      <c r="Y729" s="47"/>
      <c r="Z729" s="47"/>
    </row>
    <row r="730" spans="1:26" x14ac:dyDescent="0.25">
      <c r="A730" s="53">
        <v>45932</v>
      </c>
      <c r="B730" s="54">
        <f t="shared" si="190"/>
        <v>2</v>
      </c>
      <c r="C730" s="55" t="str" cm="1">
        <f t="array" ref="C730">INDEX(Processing!$C$11:$C$22,MONTH('ALL ORDERS'!A730))</f>
        <v>OCT</v>
      </c>
      <c r="D730" s="54">
        <f t="shared" si="191"/>
        <v>2025</v>
      </c>
      <c r="E730" s="56" t="s">
        <v>49</v>
      </c>
      <c r="F730" s="56" t="s">
        <v>19</v>
      </c>
      <c r="G730" s="100">
        <v>2800</v>
      </c>
      <c r="H730" s="100">
        <v>0</v>
      </c>
      <c r="I730" s="57">
        <v>0.15</v>
      </c>
      <c r="J730" s="99">
        <f t="shared" si="197"/>
        <v>2800</v>
      </c>
      <c r="K730" s="53">
        <v>45932</v>
      </c>
      <c r="L730" s="54">
        <f t="shared" si="192"/>
        <v>2</v>
      </c>
      <c r="M730" s="55" t="str" cm="1">
        <f t="array" ref="M730">INDEX(Processing!$W$6:$W$17,MONTH('ALL ORDERS'!K730))</f>
        <v>October</v>
      </c>
      <c r="N730" s="54">
        <f t="shared" si="196"/>
        <v>2025</v>
      </c>
      <c r="O730" s="58">
        <v>0.625</v>
      </c>
      <c r="P730" s="59" t="s">
        <v>166</v>
      </c>
      <c r="Q730" s="60" t="s">
        <v>94</v>
      </c>
      <c r="R730" s="56" t="s">
        <v>249</v>
      </c>
      <c r="S730" s="61" t="s">
        <v>42</v>
      </c>
      <c r="T730" s="62" t="s">
        <v>1028</v>
      </c>
      <c r="U730" s="63" t="s">
        <v>25</v>
      </c>
      <c r="V730" s="63" t="s">
        <v>147</v>
      </c>
      <c r="W730" s="64">
        <v>1214</v>
      </c>
      <c r="X730" s="64">
        <v>4</v>
      </c>
      <c r="Y730" s="47"/>
      <c r="Z730" s="47"/>
    </row>
    <row r="731" spans="1:26" x14ac:dyDescent="0.25">
      <c r="A731" s="53">
        <v>45933</v>
      </c>
      <c r="B731" s="54">
        <f t="shared" si="190"/>
        <v>3</v>
      </c>
      <c r="C731" s="55" t="str" cm="1">
        <f t="array" ref="C731">INDEX(Processing!$C$11:$C$22,MONTH('ALL ORDERS'!A731))</f>
        <v>OCT</v>
      </c>
      <c r="D731" s="54">
        <f t="shared" si="191"/>
        <v>2025</v>
      </c>
      <c r="E731" s="56" t="s">
        <v>50</v>
      </c>
      <c r="F731" s="56" t="s">
        <v>19</v>
      </c>
      <c r="G731" s="100">
        <v>9000</v>
      </c>
      <c r="H731" s="100">
        <v>0</v>
      </c>
      <c r="I731" s="57"/>
      <c r="J731" s="99">
        <f t="shared" si="197"/>
        <v>9000</v>
      </c>
      <c r="K731" s="53">
        <v>45933</v>
      </c>
      <c r="L731" s="54">
        <f t="shared" si="192"/>
        <v>3</v>
      </c>
      <c r="M731" s="55" t="str" cm="1">
        <f t="array" ref="M731">INDEX(Processing!$W$6:$W$17,MONTH('ALL ORDERS'!K731))</f>
        <v>October</v>
      </c>
      <c r="N731" s="54">
        <f t="shared" si="196"/>
        <v>2025</v>
      </c>
      <c r="O731" s="58">
        <v>0.45833333333333331</v>
      </c>
      <c r="P731" s="59" t="s">
        <v>211</v>
      </c>
      <c r="Q731" s="60" t="s">
        <v>94</v>
      </c>
      <c r="R731" s="56" t="s">
        <v>299</v>
      </c>
      <c r="S731" s="61" t="s">
        <v>44</v>
      </c>
      <c r="T731" s="62" t="s">
        <v>1029</v>
      </c>
      <c r="U731" s="63" t="s">
        <v>25</v>
      </c>
      <c r="V731" s="63" t="s">
        <v>147</v>
      </c>
      <c r="W731" s="64">
        <v>1974</v>
      </c>
      <c r="X731" s="64">
        <v>5</v>
      </c>
      <c r="Y731" s="47"/>
      <c r="Z731" s="47"/>
    </row>
    <row r="732" spans="1:26" x14ac:dyDescent="0.25">
      <c r="A732" s="53">
        <v>45934</v>
      </c>
      <c r="B732" s="54">
        <f t="shared" si="190"/>
        <v>4</v>
      </c>
      <c r="C732" s="55" t="str" cm="1">
        <f t="array" ref="C732">INDEX(Processing!$C$11:$C$22,MONTH('ALL ORDERS'!A732))</f>
        <v>OCT</v>
      </c>
      <c r="D732" s="54">
        <f t="shared" si="191"/>
        <v>2025</v>
      </c>
      <c r="E732" s="56" t="s">
        <v>50</v>
      </c>
      <c r="F732" s="56" t="s">
        <v>128</v>
      </c>
      <c r="G732" s="100">
        <v>0</v>
      </c>
      <c r="H732" s="100">
        <v>890</v>
      </c>
      <c r="I732" s="57"/>
      <c r="J732" s="99">
        <f t="shared" si="197"/>
        <v>890</v>
      </c>
      <c r="K732" s="53">
        <v>45934</v>
      </c>
      <c r="L732" s="54">
        <f t="shared" si="192"/>
        <v>4</v>
      </c>
      <c r="M732" s="55" t="str" cm="1">
        <f t="array" ref="M732">INDEX(Processing!$W$6:$W$17,MONTH('ALL ORDERS'!K732))</f>
        <v>October</v>
      </c>
      <c r="N732" s="54">
        <f t="shared" si="196"/>
        <v>2025</v>
      </c>
      <c r="O732" s="58">
        <v>0.41666666666666669</v>
      </c>
      <c r="P732" s="59" t="s">
        <v>204</v>
      </c>
      <c r="Q732" s="60" t="s">
        <v>94</v>
      </c>
      <c r="R732" s="56" t="s">
        <v>291</v>
      </c>
      <c r="S732" s="61" t="s">
        <v>42</v>
      </c>
      <c r="T732" s="70">
        <v>3900888990</v>
      </c>
      <c r="U732" s="63" t="s">
        <v>26</v>
      </c>
      <c r="V732" s="63" t="s">
        <v>147</v>
      </c>
      <c r="W732" s="64">
        <v>4035</v>
      </c>
      <c r="X732" s="64">
        <v>5</v>
      </c>
      <c r="Y732" s="47"/>
      <c r="Z732" s="47"/>
    </row>
    <row r="733" spans="1:26" x14ac:dyDescent="0.25">
      <c r="A733" s="53">
        <v>45934</v>
      </c>
      <c r="B733" s="54">
        <f t="shared" si="190"/>
        <v>4</v>
      </c>
      <c r="C733" s="55" t="str" cm="1">
        <f t="array" ref="C733">INDEX(Processing!$C$11:$C$22,MONTH('ALL ORDERS'!A733))</f>
        <v>OCT</v>
      </c>
      <c r="D733" s="54">
        <f t="shared" si="191"/>
        <v>2025</v>
      </c>
      <c r="E733" s="56" t="s">
        <v>48</v>
      </c>
      <c r="F733" s="56" t="s">
        <v>22</v>
      </c>
      <c r="G733" s="100">
        <v>0</v>
      </c>
      <c r="H733" s="100">
        <v>100</v>
      </c>
      <c r="I733" s="57"/>
      <c r="J733" s="99">
        <f t="shared" si="197"/>
        <v>100</v>
      </c>
      <c r="K733" s="53">
        <v>45934</v>
      </c>
      <c r="L733" s="54">
        <f t="shared" si="192"/>
        <v>4</v>
      </c>
      <c r="M733" s="55" t="str" cm="1">
        <f t="array" ref="M733">INDEX(Processing!$W$6:$W$17,MONTH('ALL ORDERS'!K733))</f>
        <v>October</v>
      </c>
      <c r="N733" s="54">
        <f t="shared" si="196"/>
        <v>2025</v>
      </c>
      <c r="O733" s="58">
        <v>0.5</v>
      </c>
      <c r="P733" s="59" t="s">
        <v>339</v>
      </c>
      <c r="Q733" s="60" t="s">
        <v>94</v>
      </c>
      <c r="R733" s="56" t="s">
        <v>263</v>
      </c>
      <c r="S733" s="61" t="s">
        <v>42</v>
      </c>
      <c r="T733" s="62" t="s">
        <v>1030</v>
      </c>
      <c r="U733" s="63" t="s">
        <v>25</v>
      </c>
      <c r="V733" s="63" t="s">
        <v>147</v>
      </c>
      <c r="W733" s="64">
        <v>3758</v>
      </c>
      <c r="X733" s="64">
        <v>3</v>
      </c>
      <c r="Y733" s="47"/>
      <c r="Z733" s="47"/>
    </row>
    <row r="734" spans="1:26" x14ac:dyDescent="0.25">
      <c r="A734" s="53">
        <v>45936</v>
      </c>
      <c r="B734" s="54">
        <f t="shared" si="190"/>
        <v>6</v>
      </c>
      <c r="C734" s="55" t="str" cm="1">
        <f t="array" ref="C734">INDEX(Processing!$C$11:$C$22,MONTH('ALL ORDERS'!A734))</f>
        <v>OCT</v>
      </c>
      <c r="D734" s="54">
        <f t="shared" si="191"/>
        <v>2025</v>
      </c>
      <c r="E734" s="56" t="s">
        <v>47</v>
      </c>
      <c r="F734" s="56" t="s">
        <v>127</v>
      </c>
      <c r="G734" s="100">
        <v>0</v>
      </c>
      <c r="H734" s="100">
        <v>5000</v>
      </c>
      <c r="I734" s="57"/>
      <c r="J734" s="99">
        <f t="shared" si="197"/>
        <v>5000</v>
      </c>
      <c r="K734" s="53">
        <v>45936</v>
      </c>
      <c r="L734" s="54">
        <f t="shared" si="192"/>
        <v>6</v>
      </c>
      <c r="M734" s="55" t="str" cm="1">
        <f t="array" ref="M734">INDEX(Processing!$W$6:$W$17,MONTH('ALL ORDERS'!K734))</f>
        <v>October</v>
      </c>
      <c r="N734" s="54">
        <f t="shared" si="196"/>
        <v>2025</v>
      </c>
      <c r="O734" s="58">
        <v>0.66666666666666663</v>
      </c>
      <c r="P734" s="59" t="s">
        <v>213</v>
      </c>
      <c r="Q734" s="60" t="s">
        <v>90</v>
      </c>
      <c r="R734" s="56" t="s">
        <v>301</v>
      </c>
      <c r="S734" s="61" t="s">
        <v>42</v>
      </c>
      <c r="T734" s="62" t="s">
        <v>1031</v>
      </c>
      <c r="U734" s="63" t="s">
        <v>23</v>
      </c>
      <c r="V734" s="63" t="s">
        <v>147</v>
      </c>
      <c r="W734" s="64">
        <v>3553</v>
      </c>
      <c r="X734" s="64">
        <v>4</v>
      </c>
      <c r="Y734" s="47"/>
      <c r="Z734" s="47"/>
    </row>
    <row r="735" spans="1:26" x14ac:dyDescent="0.25">
      <c r="A735" s="53">
        <v>45931</v>
      </c>
      <c r="B735" s="54">
        <f t="shared" si="190"/>
        <v>1</v>
      </c>
      <c r="C735" s="55" t="str" cm="1">
        <f t="array" ref="C735">INDEX(Processing!$C$11:$C$22,MONTH('ALL ORDERS'!A735))</f>
        <v>OCT</v>
      </c>
      <c r="D735" s="54">
        <f t="shared" si="191"/>
        <v>2025</v>
      </c>
      <c r="E735" s="56" t="s">
        <v>51</v>
      </c>
      <c r="F735" s="56" t="s">
        <v>125</v>
      </c>
      <c r="G735" s="100">
        <v>200</v>
      </c>
      <c r="H735" s="100">
        <v>30000</v>
      </c>
      <c r="I735" s="57"/>
      <c r="J735" s="99">
        <f t="shared" si="197"/>
        <v>30200</v>
      </c>
      <c r="K735" s="53">
        <v>45931</v>
      </c>
      <c r="L735" s="54">
        <f t="shared" si="192"/>
        <v>1</v>
      </c>
      <c r="M735" s="55" t="str" cm="1">
        <f t="array" ref="M735">INDEX(Processing!$W$6:$W$17,MONTH('ALL ORDERS'!K735))</f>
        <v>October</v>
      </c>
      <c r="N735" s="54">
        <f t="shared" si="196"/>
        <v>2025</v>
      </c>
      <c r="O735" s="58">
        <v>0.75</v>
      </c>
      <c r="P735" s="59" t="s">
        <v>355</v>
      </c>
      <c r="Q735" s="60" t="s">
        <v>92</v>
      </c>
      <c r="R735" s="56" t="s">
        <v>333</v>
      </c>
      <c r="S735" s="61" t="s">
        <v>41</v>
      </c>
      <c r="T735" s="62" t="s">
        <v>1032</v>
      </c>
      <c r="U735" s="63" t="s">
        <v>27</v>
      </c>
      <c r="V735" s="63" t="s">
        <v>147</v>
      </c>
      <c r="W735" s="64">
        <v>1863</v>
      </c>
      <c r="X735" s="64">
        <v>4</v>
      </c>
      <c r="Y735" s="47"/>
      <c r="Z735" s="47"/>
    </row>
    <row r="736" spans="1:26" x14ac:dyDescent="0.25">
      <c r="A736" s="53">
        <v>45938</v>
      </c>
      <c r="B736" s="54">
        <f t="shared" si="190"/>
        <v>8</v>
      </c>
      <c r="C736" s="55" t="str" cm="1">
        <f t="array" ref="C736">INDEX(Processing!$C$11:$C$22,MONTH('ALL ORDERS'!A736))</f>
        <v>OCT</v>
      </c>
      <c r="D736" s="54">
        <f t="shared" si="191"/>
        <v>2025</v>
      </c>
      <c r="E736" s="56" t="s">
        <v>49</v>
      </c>
      <c r="F736" s="56" t="s">
        <v>130</v>
      </c>
      <c r="G736" s="100">
        <v>0</v>
      </c>
      <c r="H736" s="100">
        <v>500</v>
      </c>
      <c r="I736" s="57"/>
      <c r="J736" s="99">
        <f t="shared" si="197"/>
        <v>500</v>
      </c>
      <c r="K736" s="53">
        <v>45938</v>
      </c>
      <c r="L736" s="54">
        <f t="shared" si="192"/>
        <v>8</v>
      </c>
      <c r="M736" s="55" t="str" cm="1">
        <f t="array" ref="M736">INDEX(Processing!$W$6:$W$17,MONTH('ALL ORDERS'!K736))</f>
        <v>October</v>
      </c>
      <c r="N736" s="54">
        <f t="shared" si="196"/>
        <v>2025</v>
      </c>
      <c r="O736" s="58">
        <v>0.41666666666666669</v>
      </c>
      <c r="P736" s="59" t="s">
        <v>181</v>
      </c>
      <c r="Q736" s="60" t="s">
        <v>90</v>
      </c>
      <c r="R736" s="56" t="s">
        <v>266</v>
      </c>
      <c r="S736" s="61" t="s">
        <v>41</v>
      </c>
      <c r="T736" s="62" t="s">
        <v>1033</v>
      </c>
      <c r="U736" s="63" t="s">
        <v>24</v>
      </c>
      <c r="V736" s="63" t="s">
        <v>147</v>
      </c>
      <c r="W736" s="64">
        <v>3615</v>
      </c>
      <c r="X736" s="64">
        <v>5</v>
      </c>
      <c r="Y736" s="47"/>
      <c r="Z736" s="47"/>
    </row>
    <row r="737" spans="1:26" x14ac:dyDescent="0.25">
      <c r="A737" s="53">
        <v>45939</v>
      </c>
      <c r="B737" s="54">
        <f t="shared" si="190"/>
        <v>9</v>
      </c>
      <c r="C737" s="55" t="str" cm="1">
        <f t="array" ref="C737">INDEX(Processing!$C$11:$C$22,MONTH('ALL ORDERS'!A737))</f>
        <v>OCT</v>
      </c>
      <c r="D737" s="54">
        <f t="shared" si="191"/>
        <v>2025</v>
      </c>
      <c r="E737" s="56" t="s">
        <v>50</v>
      </c>
      <c r="F737" s="56" t="s">
        <v>134</v>
      </c>
      <c r="G737" s="100">
        <v>4000</v>
      </c>
      <c r="H737" s="100">
        <v>0</v>
      </c>
      <c r="I737" s="57"/>
      <c r="J737" s="99">
        <f t="shared" si="197"/>
        <v>4000</v>
      </c>
      <c r="K737" s="53">
        <v>45939</v>
      </c>
      <c r="L737" s="54">
        <f t="shared" si="192"/>
        <v>9</v>
      </c>
      <c r="M737" s="55" t="str" cm="1">
        <f t="array" ref="M737">INDEX(Processing!$W$6:$W$17,MONTH('ALL ORDERS'!K737))</f>
        <v>October</v>
      </c>
      <c r="N737" s="54">
        <f t="shared" si="196"/>
        <v>2025</v>
      </c>
      <c r="O737" s="58">
        <v>0.5</v>
      </c>
      <c r="P737" s="59" t="s">
        <v>347</v>
      </c>
      <c r="Q737" s="60" t="s">
        <v>94</v>
      </c>
      <c r="R737" s="56" t="s">
        <v>309</v>
      </c>
      <c r="S737" s="61" t="s">
        <v>42</v>
      </c>
      <c r="T737" s="62" t="s">
        <v>1034</v>
      </c>
      <c r="U737" s="63" t="s">
        <v>26</v>
      </c>
      <c r="V737" s="63" t="s">
        <v>147</v>
      </c>
      <c r="W737" s="64">
        <v>1973</v>
      </c>
      <c r="X737" s="64">
        <v>3</v>
      </c>
      <c r="Y737" s="47"/>
      <c r="Z737" s="47"/>
    </row>
    <row r="738" spans="1:26" x14ac:dyDescent="0.25">
      <c r="A738" s="53">
        <v>45940</v>
      </c>
      <c r="B738" s="54">
        <f t="shared" si="190"/>
        <v>10</v>
      </c>
      <c r="C738" s="55" t="str" cm="1">
        <f t="array" ref="C738">INDEX(Processing!$C$11:$C$22,MONTH('ALL ORDERS'!A738))</f>
        <v>OCT</v>
      </c>
      <c r="D738" s="54">
        <f t="shared" si="191"/>
        <v>2025</v>
      </c>
      <c r="E738" s="56" t="s">
        <v>50</v>
      </c>
      <c r="F738" s="56" t="s">
        <v>137</v>
      </c>
      <c r="G738" s="100">
        <v>0</v>
      </c>
      <c r="H738" s="100">
        <v>100</v>
      </c>
      <c r="I738" s="57"/>
      <c r="J738" s="99">
        <f t="shared" si="197"/>
        <v>100</v>
      </c>
      <c r="K738" s="53">
        <v>45940</v>
      </c>
      <c r="L738" s="54">
        <f t="shared" si="192"/>
        <v>10</v>
      </c>
      <c r="M738" s="55" t="str" cm="1">
        <f t="array" ref="M738">INDEX(Processing!$W$6:$W$17,MONTH('ALL ORDERS'!K738))</f>
        <v>October</v>
      </c>
      <c r="N738" s="54">
        <f t="shared" si="196"/>
        <v>2025</v>
      </c>
      <c r="O738" s="58">
        <v>0.66666666666666663</v>
      </c>
      <c r="P738" s="59" t="s">
        <v>217</v>
      </c>
      <c r="Q738" s="60" t="s">
        <v>94</v>
      </c>
      <c r="R738" s="56" t="s">
        <v>316</v>
      </c>
      <c r="S738" s="61" t="s">
        <v>44</v>
      </c>
      <c r="T738" s="62" t="s">
        <v>1035</v>
      </c>
      <c r="U738" s="63" t="s">
        <v>25</v>
      </c>
      <c r="V738" s="63" t="s">
        <v>147</v>
      </c>
      <c r="W738" s="64">
        <v>835</v>
      </c>
      <c r="X738" s="64">
        <v>2</v>
      </c>
      <c r="Y738" s="47"/>
      <c r="Z738" s="47"/>
    </row>
    <row r="739" spans="1:26" x14ac:dyDescent="0.25">
      <c r="A739" s="53">
        <v>45941</v>
      </c>
      <c r="B739" s="54">
        <f t="shared" si="190"/>
        <v>11</v>
      </c>
      <c r="C739" s="55" t="str" cm="1">
        <f t="array" ref="C739">INDEX(Processing!$C$11:$C$22,MONTH('ALL ORDERS'!A739))</f>
        <v>OCT</v>
      </c>
      <c r="D739" s="54">
        <f t="shared" si="191"/>
        <v>2025</v>
      </c>
      <c r="E739" s="56" t="s">
        <v>48</v>
      </c>
      <c r="F739" s="56" t="s">
        <v>131</v>
      </c>
      <c r="G739" s="100">
        <v>1000</v>
      </c>
      <c r="H739" s="100">
        <v>0</v>
      </c>
      <c r="I739" s="57"/>
      <c r="J739" s="99">
        <f t="shared" si="197"/>
        <v>1000</v>
      </c>
      <c r="K739" s="53">
        <v>45941</v>
      </c>
      <c r="L739" s="54">
        <f t="shared" si="192"/>
        <v>11</v>
      </c>
      <c r="M739" s="55" t="str" cm="1">
        <f t="array" ref="M739">INDEX(Processing!$W$6:$W$17,MONTH('ALL ORDERS'!K739))</f>
        <v>October</v>
      </c>
      <c r="N739" s="54">
        <f t="shared" si="196"/>
        <v>2025</v>
      </c>
      <c r="O739" s="58">
        <v>0.75</v>
      </c>
      <c r="P739" s="59" t="s">
        <v>204</v>
      </c>
      <c r="Q739" s="60" t="s">
        <v>94</v>
      </c>
      <c r="R739" s="56" t="s">
        <v>291</v>
      </c>
      <c r="S739" s="61" t="s">
        <v>45</v>
      </c>
      <c r="T739" s="62" t="s">
        <v>1036</v>
      </c>
      <c r="U739" s="63" t="s">
        <v>25</v>
      </c>
      <c r="V739" s="63" t="s">
        <v>147</v>
      </c>
      <c r="W739" s="64">
        <v>1525</v>
      </c>
      <c r="X739" s="64">
        <v>4</v>
      </c>
      <c r="Y739" s="47"/>
      <c r="Z739" s="47"/>
    </row>
    <row r="740" spans="1:26" x14ac:dyDescent="0.25">
      <c r="A740" s="53">
        <v>45942</v>
      </c>
      <c r="B740" s="54">
        <f t="shared" ref="B740" si="198">DAY(A740)</f>
        <v>12</v>
      </c>
      <c r="C740" s="55" t="str" cm="1">
        <f t="array" ref="C740">INDEX(Processing!$C$11:$C$22,MONTH('ALL ORDERS'!A740))</f>
        <v>OCT</v>
      </c>
      <c r="D740" s="54">
        <f t="shared" ref="D740" si="199">YEAR(A740)</f>
        <v>2025</v>
      </c>
      <c r="E740" s="56" t="s">
        <v>48</v>
      </c>
      <c r="F740" s="56" t="s">
        <v>131</v>
      </c>
      <c r="G740" s="100">
        <v>0</v>
      </c>
      <c r="H740" s="100">
        <v>35070</v>
      </c>
      <c r="I740" s="57"/>
      <c r="J740" s="99">
        <f t="shared" si="197"/>
        <v>35070</v>
      </c>
      <c r="K740" s="53">
        <v>45942</v>
      </c>
      <c r="L740" s="54">
        <f t="shared" si="192"/>
        <v>12</v>
      </c>
      <c r="M740" s="55" t="str" cm="1">
        <f t="array" ref="M740">INDEX(Processing!$W$6:$W$17,MONTH('ALL ORDERS'!K740))</f>
        <v>October</v>
      </c>
      <c r="N740" s="54">
        <f t="shared" ref="N740" si="200">YEAR(K740)</f>
        <v>2025</v>
      </c>
      <c r="O740" s="58">
        <v>0.79166666666666696</v>
      </c>
      <c r="P740" s="59" t="s">
        <v>205</v>
      </c>
      <c r="Q740" s="60" t="s">
        <v>94</v>
      </c>
      <c r="R740" s="56" t="s">
        <v>1106</v>
      </c>
      <c r="S740" s="61" t="s">
        <v>45</v>
      </c>
      <c r="T740" s="62" t="s">
        <v>1047</v>
      </c>
      <c r="U740" s="63" t="s">
        <v>25</v>
      </c>
      <c r="V740" s="63" t="s">
        <v>147</v>
      </c>
      <c r="W740" s="64">
        <v>5297</v>
      </c>
      <c r="X740" s="64">
        <v>5</v>
      </c>
      <c r="Y740" s="47"/>
      <c r="Z740" s="47"/>
    </row>
    <row r="741" spans="1:26" x14ac:dyDescent="0.25">
      <c r="A741" s="53">
        <v>45942</v>
      </c>
      <c r="B741" s="54">
        <f t="shared" si="190"/>
        <v>12</v>
      </c>
      <c r="C741" s="55" t="str" cm="1">
        <f t="array" ref="C741">INDEX(Processing!$C$11:$C$22,MONTH('ALL ORDERS'!A741))</f>
        <v>OCT</v>
      </c>
      <c r="D741" s="54">
        <f t="shared" si="191"/>
        <v>2025</v>
      </c>
      <c r="E741" s="56" t="s">
        <v>47</v>
      </c>
      <c r="F741" s="56" t="s">
        <v>133</v>
      </c>
      <c r="G741" s="100">
        <v>3000</v>
      </c>
      <c r="H741" s="100">
        <v>0</v>
      </c>
      <c r="I741" s="57"/>
      <c r="J741" s="99">
        <f t="shared" si="197"/>
        <v>3000</v>
      </c>
      <c r="K741" s="53">
        <v>45942</v>
      </c>
      <c r="L741" s="54">
        <f t="shared" si="192"/>
        <v>12</v>
      </c>
      <c r="M741" s="55" t="str" cm="1">
        <f t="array" ref="M741">INDEX(Processing!$W$6:$W$17,MONTH('ALL ORDERS'!K741))</f>
        <v>October</v>
      </c>
      <c r="N741" s="54">
        <f t="shared" si="196"/>
        <v>2025</v>
      </c>
      <c r="O741" s="58">
        <v>0.41666666666666669</v>
      </c>
      <c r="P741" s="59" t="s">
        <v>229</v>
      </c>
      <c r="Q741" s="60" t="s">
        <v>94</v>
      </c>
      <c r="R741" s="56" t="s">
        <v>329</v>
      </c>
      <c r="S741" s="61" t="s">
        <v>42</v>
      </c>
      <c r="T741" s="62" t="s">
        <v>1037</v>
      </c>
      <c r="U741" s="63" t="s">
        <v>25</v>
      </c>
      <c r="V741" s="63" t="s">
        <v>147</v>
      </c>
      <c r="W741" s="64">
        <v>1534</v>
      </c>
      <c r="X741" s="64">
        <v>5</v>
      </c>
      <c r="Y741" s="47"/>
      <c r="Z741" s="47"/>
    </row>
    <row r="742" spans="1:26" x14ac:dyDescent="0.25">
      <c r="A742" s="53">
        <v>45943</v>
      </c>
      <c r="B742" s="54">
        <f t="shared" si="190"/>
        <v>13</v>
      </c>
      <c r="C742" s="55" t="str" cm="1">
        <f t="array" ref="C742">INDEX(Processing!$C$11:$C$22,MONTH('ALL ORDERS'!A742))</f>
        <v>OCT</v>
      </c>
      <c r="D742" s="54">
        <f t="shared" si="191"/>
        <v>2025</v>
      </c>
      <c r="E742" s="56" t="s">
        <v>49</v>
      </c>
      <c r="F742" s="56" t="s">
        <v>133</v>
      </c>
      <c r="G742" s="100">
        <v>5600</v>
      </c>
      <c r="H742" s="100">
        <v>0</v>
      </c>
      <c r="I742" s="57"/>
      <c r="J742" s="99">
        <f t="shared" si="197"/>
        <v>5600</v>
      </c>
      <c r="K742" s="53">
        <v>45943</v>
      </c>
      <c r="L742" s="54">
        <f t="shared" si="192"/>
        <v>13</v>
      </c>
      <c r="M742" s="55" t="str" cm="1">
        <f t="array" ref="M742">INDEX(Processing!$W$6:$W$17,MONTH('ALL ORDERS'!K742))</f>
        <v>October</v>
      </c>
      <c r="N742" s="54">
        <f t="shared" si="196"/>
        <v>2025</v>
      </c>
      <c r="O742" s="58">
        <v>0.5</v>
      </c>
      <c r="P742" s="59" t="s">
        <v>346</v>
      </c>
      <c r="Q742" s="60" t="s">
        <v>94</v>
      </c>
      <c r="R742" s="56" t="s">
        <v>308</v>
      </c>
      <c r="S742" s="61" t="s">
        <v>41</v>
      </c>
      <c r="T742" s="62" t="s">
        <v>1038</v>
      </c>
      <c r="U742" s="63" t="s">
        <v>26</v>
      </c>
      <c r="V742" s="63" t="s">
        <v>147</v>
      </c>
      <c r="W742" s="64">
        <v>4670</v>
      </c>
      <c r="X742" s="64">
        <v>5</v>
      </c>
      <c r="Y742" s="47"/>
      <c r="Z742" s="47"/>
    </row>
    <row r="743" spans="1:26" x14ac:dyDescent="0.25">
      <c r="A743" s="53">
        <v>45944</v>
      </c>
      <c r="B743" s="54">
        <f t="shared" si="190"/>
        <v>14</v>
      </c>
      <c r="C743" s="55" t="str" cm="1">
        <f t="array" ref="C743">INDEX(Processing!$C$11:$C$22,MONTH('ALL ORDERS'!A743))</f>
        <v>OCT</v>
      </c>
      <c r="D743" s="54">
        <f t="shared" si="191"/>
        <v>2025</v>
      </c>
      <c r="E743" s="56" t="s">
        <v>49</v>
      </c>
      <c r="F743" s="56" t="s">
        <v>134</v>
      </c>
      <c r="G743" s="100">
        <v>0</v>
      </c>
      <c r="H743" s="100">
        <v>2000</v>
      </c>
      <c r="I743" s="57"/>
      <c r="J743" s="99">
        <f t="shared" si="197"/>
        <v>2000</v>
      </c>
      <c r="K743" s="53">
        <v>45944</v>
      </c>
      <c r="L743" s="54">
        <f t="shared" si="192"/>
        <v>14</v>
      </c>
      <c r="M743" s="55" t="str" cm="1">
        <f t="array" ref="M743">INDEX(Processing!$W$6:$W$17,MONTH('ALL ORDERS'!K743))</f>
        <v>October</v>
      </c>
      <c r="N743" s="54">
        <f t="shared" si="196"/>
        <v>2025</v>
      </c>
      <c r="O743" s="58">
        <v>0.66666666666666663</v>
      </c>
      <c r="P743" s="59" t="s">
        <v>189</v>
      </c>
      <c r="Q743" s="60" t="s">
        <v>90</v>
      </c>
      <c r="R743" s="56" t="s">
        <v>275</v>
      </c>
      <c r="S743" s="61" t="s">
        <v>42</v>
      </c>
      <c r="T743" s="62" t="s">
        <v>1039</v>
      </c>
      <c r="U743" s="63" t="s">
        <v>26</v>
      </c>
      <c r="V743" s="63" t="s">
        <v>147</v>
      </c>
      <c r="W743" s="64">
        <v>2415</v>
      </c>
      <c r="X743" s="64">
        <v>5</v>
      </c>
      <c r="Y743" s="47"/>
      <c r="Z743" s="47"/>
    </row>
    <row r="744" spans="1:26" x14ac:dyDescent="0.25">
      <c r="A744" s="53">
        <v>45945</v>
      </c>
      <c r="B744" s="54">
        <f t="shared" ref="B744:B806" si="201">DAY(A744)</f>
        <v>15</v>
      </c>
      <c r="C744" s="55" t="str" cm="1">
        <f t="array" ref="C744">INDEX(Processing!$C$11:$C$22,MONTH('ALL ORDERS'!A744))</f>
        <v>OCT</v>
      </c>
      <c r="D744" s="54">
        <f t="shared" ref="D744:D806" si="202">YEAR(A744)</f>
        <v>2025</v>
      </c>
      <c r="E744" s="56" t="s">
        <v>50</v>
      </c>
      <c r="F744" s="56" t="s">
        <v>134</v>
      </c>
      <c r="G744" s="100">
        <v>1000</v>
      </c>
      <c r="H744" s="100">
        <v>0</v>
      </c>
      <c r="I744" s="57"/>
      <c r="J744" s="99">
        <f t="shared" si="197"/>
        <v>1000</v>
      </c>
      <c r="K744" s="53">
        <v>45945</v>
      </c>
      <c r="L744" s="54">
        <f t="shared" si="192"/>
        <v>15</v>
      </c>
      <c r="M744" s="55" t="str" cm="1">
        <f t="array" ref="M744">INDEX(Processing!$W$6:$W$17,MONTH('ALL ORDERS'!K744))</f>
        <v>October</v>
      </c>
      <c r="N744" s="54">
        <f t="shared" si="196"/>
        <v>2025</v>
      </c>
      <c r="O744" s="58">
        <v>0.75</v>
      </c>
      <c r="P744" s="59" t="s">
        <v>168</v>
      </c>
      <c r="Q744" s="60" t="s">
        <v>94</v>
      </c>
      <c r="R744" s="56" t="s">
        <v>251</v>
      </c>
      <c r="S744" s="61" t="s">
        <v>41</v>
      </c>
      <c r="T744" s="62" t="s">
        <v>1040</v>
      </c>
      <c r="U744" s="63" t="s">
        <v>24</v>
      </c>
      <c r="V744" s="63" t="s">
        <v>147</v>
      </c>
      <c r="W744" s="64">
        <v>3784</v>
      </c>
      <c r="X744" s="64">
        <v>5</v>
      </c>
      <c r="Y744" s="47"/>
      <c r="Z744" s="47"/>
    </row>
    <row r="745" spans="1:26" x14ac:dyDescent="0.25">
      <c r="A745" s="53">
        <v>45946</v>
      </c>
      <c r="B745" s="54">
        <f t="shared" si="201"/>
        <v>16</v>
      </c>
      <c r="C745" s="55" t="str" cm="1">
        <f t="array" ref="C745">INDEX(Processing!$C$11:$C$22,MONTH('ALL ORDERS'!A745))</f>
        <v>OCT</v>
      </c>
      <c r="D745" s="54">
        <f t="shared" si="202"/>
        <v>2025</v>
      </c>
      <c r="E745" s="56" t="s">
        <v>50</v>
      </c>
      <c r="F745" s="56" t="s">
        <v>19</v>
      </c>
      <c r="G745" s="100">
        <v>0</v>
      </c>
      <c r="H745" s="100">
        <v>800</v>
      </c>
      <c r="I745" s="57"/>
      <c r="J745" s="99">
        <f t="shared" si="197"/>
        <v>800</v>
      </c>
      <c r="K745" s="53">
        <v>45946</v>
      </c>
      <c r="L745" s="54">
        <f t="shared" si="192"/>
        <v>16</v>
      </c>
      <c r="M745" s="55" t="str" cm="1">
        <f t="array" ref="M745">INDEX(Processing!$W$6:$W$17,MONTH('ALL ORDERS'!K745))</f>
        <v>October</v>
      </c>
      <c r="N745" s="54">
        <f t="shared" si="196"/>
        <v>2025</v>
      </c>
      <c r="O745" s="58">
        <v>0.41666666666666669</v>
      </c>
      <c r="P745" s="59" t="s">
        <v>233</v>
      </c>
      <c r="Q745" s="60" t="s">
        <v>94</v>
      </c>
      <c r="R745" s="56" t="s">
        <v>334</v>
      </c>
      <c r="S745" s="61" t="s">
        <v>45</v>
      </c>
      <c r="T745" s="70">
        <v>2900888990</v>
      </c>
      <c r="U745" s="63" t="s">
        <v>26</v>
      </c>
      <c r="V745" s="63" t="s">
        <v>147</v>
      </c>
      <c r="W745" s="64">
        <v>3064</v>
      </c>
      <c r="X745" s="64">
        <v>5</v>
      </c>
      <c r="Y745" s="47"/>
      <c r="Z745" s="47"/>
    </row>
    <row r="746" spans="1:26" x14ac:dyDescent="0.25">
      <c r="A746" s="53">
        <v>45941</v>
      </c>
      <c r="B746" s="54">
        <f t="shared" si="201"/>
        <v>11</v>
      </c>
      <c r="C746" s="55" t="str" cm="1">
        <f t="array" ref="C746">INDEX(Processing!$C$11:$C$22,MONTH('ALL ORDERS'!A746))</f>
        <v>OCT</v>
      </c>
      <c r="D746" s="54">
        <f t="shared" si="202"/>
        <v>2025</v>
      </c>
      <c r="E746" s="56" t="s">
        <v>51</v>
      </c>
      <c r="F746" s="56" t="s">
        <v>19</v>
      </c>
      <c r="G746" s="100">
        <v>0</v>
      </c>
      <c r="H746" s="100">
        <v>900</v>
      </c>
      <c r="I746" s="57"/>
      <c r="J746" s="99">
        <f t="shared" si="197"/>
        <v>900</v>
      </c>
      <c r="K746" s="53">
        <v>45941</v>
      </c>
      <c r="L746" s="54">
        <f t="shared" si="192"/>
        <v>11</v>
      </c>
      <c r="M746" s="55" t="str" cm="1">
        <f t="array" ref="M746">INDEX(Processing!$W$6:$W$17,MONTH('ALL ORDERS'!K746))</f>
        <v>October</v>
      </c>
      <c r="N746" s="54">
        <f t="shared" si="196"/>
        <v>2025</v>
      </c>
      <c r="O746" s="58">
        <v>0.5</v>
      </c>
      <c r="P746" s="59" t="s">
        <v>225</v>
      </c>
      <c r="Q746" s="60" t="s">
        <v>94</v>
      </c>
      <c r="R746" s="56" t="s">
        <v>325</v>
      </c>
      <c r="S746" s="61" t="s">
        <v>41</v>
      </c>
      <c r="T746" s="62" t="s">
        <v>1041</v>
      </c>
      <c r="U746" s="63" t="s">
        <v>25</v>
      </c>
      <c r="V746" s="63" t="s">
        <v>147</v>
      </c>
      <c r="W746" s="64">
        <v>2928</v>
      </c>
      <c r="X746" s="64">
        <v>5</v>
      </c>
      <c r="Y746" s="47"/>
      <c r="Z746" s="47"/>
    </row>
    <row r="747" spans="1:26" x14ac:dyDescent="0.25">
      <c r="A747" s="53">
        <v>45948</v>
      </c>
      <c r="B747" s="54">
        <f t="shared" si="201"/>
        <v>18</v>
      </c>
      <c r="C747" s="55" t="str" cm="1">
        <f t="array" ref="C747">INDEX(Processing!$C$11:$C$22,MONTH('ALL ORDERS'!A747))</f>
        <v>OCT</v>
      </c>
      <c r="D747" s="54">
        <f t="shared" si="202"/>
        <v>2025</v>
      </c>
      <c r="E747" s="56" t="s">
        <v>47</v>
      </c>
      <c r="F747" s="56" t="s">
        <v>128</v>
      </c>
      <c r="G747" s="100">
        <v>0</v>
      </c>
      <c r="H747" s="100">
        <v>900</v>
      </c>
      <c r="I747" s="57"/>
      <c r="J747" s="99">
        <f t="shared" si="197"/>
        <v>900</v>
      </c>
      <c r="K747" s="53">
        <v>45948</v>
      </c>
      <c r="L747" s="54">
        <f t="shared" si="192"/>
        <v>18</v>
      </c>
      <c r="M747" s="55" t="str" cm="1">
        <f t="array" ref="M747">INDEX(Processing!$W$6:$W$17,MONTH('ALL ORDERS'!K747))</f>
        <v>October</v>
      </c>
      <c r="N747" s="54">
        <f t="shared" si="196"/>
        <v>2025</v>
      </c>
      <c r="O747" s="58">
        <v>0.66666666666666663</v>
      </c>
      <c r="P747" s="59" t="s">
        <v>351</v>
      </c>
      <c r="Q747" s="60" t="s">
        <v>94</v>
      </c>
      <c r="R747" s="56" t="s">
        <v>313</v>
      </c>
      <c r="S747" s="61" t="s">
        <v>46</v>
      </c>
      <c r="T747" s="62" t="s">
        <v>1042</v>
      </c>
      <c r="U747" s="63" t="s">
        <v>25</v>
      </c>
      <c r="V747" s="63" t="s">
        <v>147</v>
      </c>
      <c r="W747" s="64">
        <v>2044</v>
      </c>
      <c r="X747" s="64">
        <v>4</v>
      </c>
      <c r="Y747" s="47"/>
      <c r="Z747" s="47"/>
    </row>
    <row r="748" spans="1:26" x14ac:dyDescent="0.25">
      <c r="A748" s="53">
        <v>45949</v>
      </c>
      <c r="B748" s="54">
        <f t="shared" si="201"/>
        <v>19</v>
      </c>
      <c r="C748" s="55" t="str" cm="1">
        <f t="array" ref="C748">INDEX(Processing!$C$11:$C$22,MONTH('ALL ORDERS'!A748))</f>
        <v>OCT</v>
      </c>
      <c r="D748" s="54">
        <f t="shared" si="202"/>
        <v>2025</v>
      </c>
      <c r="E748" s="56" t="s">
        <v>50</v>
      </c>
      <c r="F748" s="56" t="s">
        <v>22</v>
      </c>
      <c r="G748" s="100">
        <v>2000</v>
      </c>
      <c r="H748" s="100">
        <v>0</v>
      </c>
      <c r="I748" s="57"/>
      <c r="J748" s="99">
        <f t="shared" si="197"/>
        <v>2000</v>
      </c>
      <c r="K748" s="53">
        <v>45949</v>
      </c>
      <c r="L748" s="54">
        <f t="shared" si="192"/>
        <v>19</v>
      </c>
      <c r="M748" s="55" t="str" cm="1">
        <f t="array" ref="M748">INDEX(Processing!$W$6:$W$17,MONTH('ALL ORDERS'!K748))</f>
        <v>October</v>
      </c>
      <c r="N748" s="54">
        <f t="shared" si="196"/>
        <v>2025</v>
      </c>
      <c r="O748" s="58">
        <v>0.75</v>
      </c>
      <c r="P748" s="59" t="s">
        <v>231</v>
      </c>
      <c r="Q748" s="60" t="s">
        <v>94</v>
      </c>
      <c r="R748" s="56" t="s">
        <v>331</v>
      </c>
      <c r="S748" s="61" t="s">
        <v>46</v>
      </c>
      <c r="T748" s="62" t="s">
        <v>1043</v>
      </c>
      <c r="U748" s="63" t="s">
        <v>25</v>
      </c>
      <c r="V748" s="63" t="s">
        <v>147</v>
      </c>
      <c r="W748" s="64">
        <v>2166</v>
      </c>
      <c r="X748" s="64">
        <v>4</v>
      </c>
      <c r="Y748" s="47"/>
      <c r="Z748" s="47"/>
    </row>
    <row r="749" spans="1:26" x14ac:dyDescent="0.25">
      <c r="A749" s="53">
        <v>45950</v>
      </c>
      <c r="B749" s="54">
        <f t="shared" si="201"/>
        <v>20</v>
      </c>
      <c r="C749" s="55" t="str" cm="1">
        <f t="array" ref="C749">INDEX(Processing!$C$11:$C$22,MONTH('ALL ORDERS'!A749))</f>
        <v>OCT</v>
      </c>
      <c r="D749" s="54">
        <f t="shared" si="202"/>
        <v>2025</v>
      </c>
      <c r="E749" s="56" t="s">
        <v>49</v>
      </c>
      <c r="F749" s="56" t="s">
        <v>127</v>
      </c>
      <c r="G749" s="100">
        <v>0</v>
      </c>
      <c r="H749" s="100">
        <v>2130</v>
      </c>
      <c r="I749" s="57">
        <v>0.15</v>
      </c>
      <c r="J749" s="99">
        <f t="shared" si="197"/>
        <v>2130</v>
      </c>
      <c r="K749" s="53">
        <v>45950</v>
      </c>
      <c r="L749" s="54">
        <f t="shared" ref="L749:L804" si="203">DAY(K749)</f>
        <v>20</v>
      </c>
      <c r="M749" s="55" t="str" cm="1">
        <f t="array" ref="M749">INDEX(Processing!$W$6:$W$17,MONTH('ALL ORDERS'!K749))</f>
        <v>October</v>
      </c>
      <c r="N749" s="54">
        <f t="shared" si="196"/>
        <v>2025</v>
      </c>
      <c r="O749" s="58">
        <v>0.41666666666666669</v>
      </c>
      <c r="P749" s="59" t="s">
        <v>198</v>
      </c>
      <c r="Q749" s="60" t="s">
        <v>94</v>
      </c>
      <c r="R749" s="56" t="s">
        <v>285</v>
      </c>
      <c r="S749" s="61" t="s">
        <v>41</v>
      </c>
      <c r="T749" s="62" t="s">
        <v>1044</v>
      </c>
      <c r="U749" s="63" t="s">
        <v>23</v>
      </c>
      <c r="V749" s="63" t="s">
        <v>147</v>
      </c>
      <c r="W749" s="64">
        <v>3669</v>
      </c>
      <c r="X749" s="64">
        <v>4</v>
      </c>
      <c r="Y749" s="47"/>
      <c r="Z749" s="47"/>
    </row>
    <row r="750" spans="1:26" x14ac:dyDescent="0.25">
      <c r="A750" s="53">
        <v>45951</v>
      </c>
      <c r="B750" s="54">
        <f t="shared" si="201"/>
        <v>21</v>
      </c>
      <c r="C750" s="55" t="str" cm="1">
        <f t="array" ref="C750">INDEX(Processing!$C$11:$C$22,MONTH('ALL ORDERS'!A750))</f>
        <v>OCT</v>
      </c>
      <c r="D750" s="54">
        <f t="shared" si="202"/>
        <v>2025</v>
      </c>
      <c r="E750" s="56" t="s">
        <v>50</v>
      </c>
      <c r="F750" s="56" t="s">
        <v>125</v>
      </c>
      <c r="G750" s="100">
        <v>100</v>
      </c>
      <c r="H750" s="100">
        <v>0</v>
      </c>
      <c r="I750" s="57">
        <v>0.15</v>
      </c>
      <c r="J750" s="99">
        <f t="shared" si="197"/>
        <v>100</v>
      </c>
      <c r="K750" s="53">
        <v>45951</v>
      </c>
      <c r="L750" s="54">
        <f t="shared" si="203"/>
        <v>21</v>
      </c>
      <c r="M750" s="55" t="str" cm="1">
        <f t="array" ref="M750">INDEX(Processing!$W$6:$W$17,MONTH('ALL ORDERS'!K750))</f>
        <v>October</v>
      </c>
      <c r="N750" s="54">
        <f t="shared" si="196"/>
        <v>2025</v>
      </c>
      <c r="O750" s="58">
        <v>0.5</v>
      </c>
      <c r="P750" s="59" t="s">
        <v>345</v>
      </c>
      <c r="Q750" s="60" t="s">
        <v>94</v>
      </c>
      <c r="R750" s="56" t="s">
        <v>307</v>
      </c>
      <c r="S750" s="61" t="s">
        <v>43</v>
      </c>
      <c r="T750" s="62" t="s">
        <v>1045</v>
      </c>
      <c r="U750" s="63" t="s">
        <v>27</v>
      </c>
      <c r="V750" s="63" t="s">
        <v>147</v>
      </c>
      <c r="W750" s="64">
        <v>1062</v>
      </c>
      <c r="X750" s="64">
        <v>4</v>
      </c>
      <c r="Y750" s="47"/>
      <c r="Z750" s="47"/>
    </row>
    <row r="751" spans="1:26" x14ac:dyDescent="0.25">
      <c r="A751" s="53">
        <v>45952</v>
      </c>
      <c r="B751" s="54">
        <f t="shared" si="201"/>
        <v>22</v>
      </c>
      <c r="C751" s="55" t="str" cm="1">
        <f t="array" ref="C751">INDEX(Processing!$C$11:$C$22,MONTH('ALL ORDERS'!A751))</f>
        <v>OCT</v>
      </c>
      <c r="D751" s="54">
        <f t="shared" si="202"/>
        <v>2025</v>
      </c>
      <c r="E751" s="56" t="s">
        <v>50</v>
      </c>
      <c r="F751" s="56" t="s">
        <v>130</v>
      </c>
      <c r="G751" s="100">
        <v>3510</v>
      </c>
      <c r="H751" s="100">
        <v>0</v>
      </c>
      <c r="I751" s="57">
        <v>0.15</v>
      </c>
      <c r="J751" s="99">
        <f t="shared" si="197"/>
        <v>3510</v>
      </c>
      <c r="K751" s="53">
        <v>45952</v>
      </c>
      <c r="L751" s="54">
        <f t="shared" si="203"/>
        <v>22</v>
      </c>
      <c r="M751" s="55" t="str" cm="1">
        <f t="array" ref="M751">INDEX(Processing!$W$6:$W$17,MONTH('ALL ORDERS'!K751))</f>
        <v>October</v>
      </c>
      <c r="N751" s="54">
        <f t="shared" si="196"/>
        <v>2025</v>
      </c>
      <c r="O751" s="58">
        <v>0.66666666666666663</v>
      </c>
      <c r="P751" s="59" t="s">
        <v>345</v>
      </c>
      <c r="Q751" s="60" t="s">
        <v>94</v>
      </c>
      <c r="R751" s="56" t="s">
        <v>307</v>
      </c>
      <c r="S751" s="61" t="s">
        <v>45</v>
      </c>
      <c r="T751" s="62" t="s">
        <v>1046</v>
      </c>
      <c r="U751" s="63" t="s">
        <v>24</v>
      </c>
      <c r="V751" s="63" t="s">
        <v>147</v>
      </c>
      <c r="W751" s="64">
        <v>2087</v>
      </c>
      <c r="X751" s="64">
        <v>4</v>
      </c>
      <c r="Y751" s="47"/>
      <c r="Z751" s="47"/>
    </row>
    <row r="752" spans="1:26" x14ac:dyDescent="0.25">
      <c r="A752" s="53">
        <v>45953</v>
      </c>
      <c r="B752" s="54">
        <f t="shared" si="201"/>
        <v>23</v>
      </c>
      <c r="C752" s="55" t="str" cm="1">
        <f t="array" ref="C752">INDEX(Processing!$C$11:$C$22,MONTH('ALL ORDERS'!A752))</f>
        <v>OCT</v>
      </c>
      <c r="D752" s="54">
        <f t="shared" si="202"/>
        <v>2025</v>
      </c>
      <c r="E752" s="56" t="s">
        <v>47</v>
      </c>
      <c r="F752" s="56" t="s">
        <v>134</v>
      </c>
      <c r="G752" s="100">
        <v>3500</v>
      </c>
      <c r="H752" s="100">
        <v>0</v>
      </c>
      <c r="I752" s="57">
        <v>0.15</v>
      </c>
      <c r="J752" s="99">
        <f t="shared" si="197"/>
        <v>3500</v>
      </c>
      <c r="K752" s="53">
        <v>45953</v>
      </c>
      <c r="L752" s="54">
        <f t="shared" si="203"/>
        <v>23</v>
      </c>
      <c r="M752" s="55" t="str" cm="1">
        <f t="array" ref="M752">INDEX(Processing!$W$6:$W$17,MONTH('ALL ORDERS'!K752))</f>
        <v>October</v>
      </c>
      <c r="N752" s="54">
        <f t="shared" si="196"/>
        <v>2025</v>
      </c>
      <c r="O752" s="58">
        <v>0.75</v>
      </c>
      <c r="P752" s="59" t="s">
        <v>183</v>
      </c>
      <c r="Q752" s="60" t="s">
        <v>91</v>
      </c>
      <c r="R752" s="56" t="s">
        <v>268</v>
      </c>
      <c r="S752" s="61" t="s">
        <v>43</v>
      </c>
      <c r="T752" s="62" t="s">
        <v>1047</v>
      </c>
      <c r="U752" s="63" t="s">
        <v>24</v>
      </c>
      <c r="V752" s="63" t="s">
        <v>147</v>
      </c>
      <c r="W752" s="64">
        <v>1906</v>
      </c>
      <c r="X752" s="64">
        <v>4</v>
      </c>
      <c r="Y752" s="47"/>
      <c r="Z752" s="47"/>
    </row>
    <row r="753" spans="1:26" x14ac:dyDescent="0.25">
      <c r="A753" s="53">
        <v>45954</v>
      </c>
      <c r="B753" s="54">
        <f t="shared" si="201"/>
        <v>24</v>
      </c>
      <c r="C753" s="55" t="str" cm="1">
        <f t="array" ref="C753">INDEX(Processing!$C$11:$C$22,MONTH('ALL ORDERS'!A753))</f>
        <v>OCT</v>
      </c>
      <c r="D753" s="54">
        <f t="shared" si="202"/>
        <v>2025</v>
      </c>
      <c r="E753" s="56" t="s">
        <v>50</v>
      </c>
      <c r="F753" s="56" t="s">
        <v>137</v>
      </c>
      <c r="G753" s="100">
        <v>1040</v>
      </c>
      <c r="H753" s="100">
        <v>0</v>
      </c>
      <c r="I753" s="57"/>
      <c r="J753" s="99">
        <f t="shared" si="197"/>
        <v>1040</v>
      </c>
      <c r="K753" s="53">
        <v>45954</v>
      </c>
      <c r="L753" s="54">
        <f t="shared" si="203"/>
        <v>24</v>
      </c>
      <c r="M753" s="55" t="str" cm="1">
        <f t="array" ref="M753">INDEX(Processing!$W$6:$W$17,MONTH('ALL ORDERS'!K753))</f>
        <v>October</v>
      </c>
      <c r="N753" s="54">
        <f t="shared" si="196"/>
        <v>2025</v>
      </c>
      <c r="O753" s="58">
        <v>0.41666666666666669</v>
      </c>
      <c r="P753" s="59" t="s">
        <v>186</v>
      </c>
      <c r="Q753" s="60" t="s">
        <v>91</v>
      </c>
      <c r="R753" s="56" t="s">
        <v>271</v>
      </c>
      <c r="S753" s="61" t="s">
        <v>44</v>
      </c>
      <c r="T753" s="62" t="s">
        <v>1048</v>
      </c>
      <c r="U753" s="63" t="s">
        <v>26</v>
      </c>
      <c r="V753" s="63" t="s">
        <v>147</v>
      </c>
      <c r="W753" s="64">
        <v>3526</v>
      </c>
      <c r="X753" s="64">
        <v>4</v>
      </c>
      <c r="Y753" s="47"/>
      <c r="Z753" s="47"/>
    </row>
    <row r="754" spans="1:26" x14ac:dyDescent="0.25">
      <c r="A754" s="53">
        <v>45955</v>
      </c>
      <c r="B754" s="54">
        <f t="shared" ref="B754" si="204">DAY(A754)</f>
        <v>25</v>
      </c>
      <c r="C754" s="55" t="str" cm="1">
        <f t="array" ref="C754">INDEX(Processing!$C$11:$C$22,MONTH('ALL ORDERS'!A754))</f>
        <v>OCT</v>
      </c>
      <c r="D754" s="54">
        <f t="shared" ref="D754" si="205">YEAR(A754)</f>
        <v>2025</v>
      </c>
      <c r="E754" s="56" t="s">
        <v>50</v>
      </c>
      <c r="F754" s="56" t="s">
        <v>137</v>
      </c>
      <c r="G754" s="100">
        <v>380</v>
      </c>
      <c r="H754" s="100">
        <v>0</v>
      </c>
      <c r="I754" s="57"/>
      <c r="J754" s="99">
        <f t="shared" si="197"/>
        <v>380</v>
      </c>
      <c r="K754" s="53">
        <v>45955</v>
      </c>
      <c r="L754" s="54">
        <f t="shared" si="203"/>
        <v>25</v>
      </c>
      <c r="M754" s="55" t="str" cm="1">
        <f t="array" ref="M754">INDEX(Processing!$W$6:$W$17,MONTH('ALL ORDERS'!K754))</f>
        <v>October</v>
      </c>
      <c r="N754" s="54">
        <f t="shared" ref="N754" si="206">YEAR(K754)</f>
        <v>2025</v>
      </c>
      <c r="O754" s="58">
        <v>0.45833333333333298</v>
      </c>
      <c r="P754" s="59" t="s">
        <v>187</v>
      </c>
      <c r="Q754" s="60" t="s">
        <v>91</v>
      </c>
      <c r="R754" s="56" t="s">
        <v>1108</v>
      </c>
      <c r="S754" s="61" t="s">
        <v>44</v>
      </c>
      <c r="T754" s="62" t="s">
        <v>1059</v>
      </c>
      <c r="U754" s="63" t="s">
        <v>26</v>
      </c>
      <c r="V754" s="63" t="s">
        <v>147</v>
      </c>
      <c r="W754" s="64">
        <v>5049</v>
      </c>
      <c r="X754" s="64">
        <v>5</v>
      </c>
      <c r="Y754" s="47"/>
      <c r="Z754" s="47"/>
    </row>
    <row r="755" spans="1:26" x14ac:dyDescent="0.25">
      <c r="A755" s="53">
        <v>45954</v>
      </c>
      <c r="B755" s="54">
        <f t="shared" si="201"/>
        <v>24</v>
      </c>
      <c r="C755" s="55" t="str" cm="1">
        <f t="array" ref="C755">INDEX(Processing!$C$11:$C$22,MONTH('ALL ORDERS'!A755))</f>
        <v>OCT</v>
      </c>
      <c r="D755" s="54">
        <f t="shared" si="202"/>
        <v>2025</v>
      </c>
      <c r="E755" s="56" t="s">
        <v>49</v>
      </c>
      <c r="F755" s="56" t="s">
        <v>131</v>
      </c>
      <c r="G755" s="100">
        <v>0</v>
      </c>
      <c r="H755" s="100">
        <v>1420</v>
      </c>
      <c r="I755" s="57"/>
      <c r="J755" s="99">
        <f t="shared" si="197"/>
        <v>1420</v>
      </c>
      <c r="K755" s="53">
        <v>45954</v>
      </c>
      <c r="L755" s="54">
        <f t="shared" si="203"/>
        <v>24</v>
      </c>
      <c r="M755" s="55" t="str" cm="1">
        <f t="array" ref="M755">INDEX(Processing!$W$6:$W$17,MONTH('ALL ORDERS'!K755))</f>
        <v>October</v>
      </c>
      <c r="N755" s="54">
        <f t="shared" si="196"/>
        <v>2025</v>
      </c>
      <c r="O755" s="58">
        <v>0.5</v>
      </c>
      <c r="P755" s="59" t="s">
        <v>219</v>
      </c>
      <c r="Q755" s="60" t="s">
        <v>94</v>
      </c>
      <c r="R755" s="56" t="s">
        <v>318</v>
      </c>
      <c r="S755" s="61" t="s">
        <v>41</v>
      </c>
      <c r="T755" s="62" t="s">
        <v>1049</v>
      </c>
      <c r="U755" s="63" t="s">
        <v>26</v>
      </c>
      <c r="V755" s="63" t="s">
        <v>147</v>
      </c>
      <c r="W755" s="64">
        <v>3155</v>
      </c>
      <c r="X755" s="64">
        <v>4</v>
      </c>
      <c r="Y755" s="47"/>
      <c r="Z755" s="47"/>
    </row>
    <row r="756" spans="1:26" x14ac:dyDescent="0.25">
      <c r="A756" s="53">
        <v>45956</v>
      </c>
      <c r="B756" s="54">
        <f t="shared" si="201"/>
        <v>26</v>
      </c>
      <c r="C756" s="55" t="str" cm="1">
        <f t="array" ref="C756">INDEX(Processing!$C$11:$C$22,MONTH('ALL ORDERS'!A756))</f>
        <v>OCT</v>
      </c>
      <c r="D756" s="54">
        <f t="shared" si="202"/>
        <v>2025</v>
      </c>
      <c r="E756" s="56" t="s">
        <v>50</v>
      </c>
      <c r="F756" s="56" t="s">
        <v>133</v>
      </c>
      <c r="G756" s="100">
        <v>2090</v>
      </c>
      <c r="H756" s="100">
        <v>0</v>
      </c>
      <c r="I756" s="57"/>
      <c r="J756" s="99">
        <f t="shared" si="197"/>
        <v>2090</v>
      </c>
      <c r="K756" s="53">
        <v>45956</v>
      </c>
      <c r="L756" s="54">
        <f t="shared" si="203"/>
        <v>26</v>
      </c>
      <c r="M756" s="55" t="str" cm="1">
        <f t="array" ref="M756">INDEX(Processing!$W$6:$W$17,MONTH('ALL ORDERS'!K756))</f>
        <v>October</v>
      </c>
      <c r="N756" s="54">
        <f t="shared" si="196"/>
        <v>2025</v>
      </c>
      <c r="O756" s="58">
        <v>0.66666666666666663</v>
      </c>
      <c r="P756" s="59" t="s">
        <v>352</v>
      </c>
      <c r="Q756" s="60" t="s">
        <v>94</v>
      </c>
      <c r="R756" s="56" t="s">
        <v>314</v>
      </c>
      <c r="S756" s="61" t="s">
        <v>46</v>
      </c>
      <c r="T756" s="62" t="s">
        <v>1050</v>
      </c>
      <c r="U756" s="63" t="s">
        <v>25</v>
      </c>
      <c r="V756" s="63" t="s">
        <v>147</v>
      </c>
      <c r="W756" s="64">
        <v>2848</v>
      </c>
      <c r="X756" s="64">
        <v>4</v>
      </c>
      <c r="Y756" s="47"/>
      <c r="Z756" s="47"/>
    </row>
    <row r="757" spans="1:26" x14ac:dyDescent="0.25">
      <c r="A757" s="53">
        <v>45951</v>
      </c>
      <c r="B757" s="54">
        <f t="shared" si="201"/>
        <v>21</v>
      </c>
      <c r="C757" s="55" t="str" cm="1">
        <f t="array" ref="C757">INDEX(Processing!$C$11:$C$22,MONTH('ALL ORDERS'!A757))</f>
        <v>OCT</v>
      </c>
      <c r="D757" s="54">
        <f t="shared" si="202"/>
        <v>2025</v>
      </c>
      <c r="E757" s="56" t="s">
        <v>50</v>
      </c>
      <c r="F757" s="56" t="s">
        <v>133</v>
      </c>
      <c r="G757" s="100">
        <v>4500</v>
      </c>
      <c r="H757" s="100">
        <v>0</v>
      </c>
      <c r="I757" s="57"/>
      <c r="J757" s="99">
        <f t="shared" si="197"/>
        <v>4500</v>
      </c>
      <c r="K757" s="53">
        <v>45951</v>
      </c>
      <c r="L757" s="54">
        <f t="shared" si="203"/>
        <v>21</v>
      </c>
      <c r="M757" s="55" t="str" cm="1">
        <f t="array" ref="M757">INDEX(Processing!$W$6:$W$17,MONTH('ALL ORDERS'!K757))</f>
        <v>October</v>
      </c>
      <c r="N757" s="54">
        <f t="shared" si="196"/>
        <v>2025</v>
      </c>
      <c r="O757" s="58">
        <v>0.75</v>
      </c>
      <c r="P757" s="59" t="s">
        <v>353</v>
      </c>
      <c r="Q757" s="60" t="s">
        <v>91</v>
      </c>
      <c r="R757" s="56" t="s">
        <v>315</v>
      </c>
      <c r="S757" s="61" t="s">
        <v>46</v>
      </c>
      <c r="T757" s="62" t="s">
        <v>1051</v>
      </c>
      <c r="U757" s="63" t="s">
        <v>25</v>
      </c>
      <c r="V757" s="63" t="s">
        <v>147</v>
      </c>
      <c r="W757" s="64">
        <v>2467</v>
      </c>
      <c r="X757" s="64">
        <v>4</v>
      </c>
      <c r="Y757" s="47"/>
      <c r="Z757" s="47"/>
    </row>
    <row r="758" spans="1:26" x14ac:dyDescent="0.25">
      <c r="A758" s="53">
        <v>45958</v>
      </c>
      <c r="B758" s="54">
        <f t="shared" si="201"/>
        <v>28</v>
      </c>
      <c r="C758" s="55" t="str" cm="1">
        <f t="array" ref="C758">INDEX(Processing!$C$11:$C$22,MONTH('ALL ORDERS'!A758))</f>
        <v>OCT</v>
      </c>
      <c r="D758" s="54">
        <f t="shared" si="202"/>
        <v>2025</v>
      </c>
      <c r="E758" s="56" t="s">
        <v>47</v>
      </c>
      <c r="F758" s="56" t="s">
        <v>134</v>
      </c>
      <c r="G758" s="100">
        <v>9000</v>
      </c>
      <c r="H758" s="100">
        <v>0</v>
      </c>
      <c r="I758" s="57"/>
      <c r="J758" s="99">
        <f t="shared" si="197"/>
        <v>9000</v>
      </c>
      <c r="K758" s="53">
        <v>45958</v>
      </c>
      <c r="L758" s="54">
        <f t="shared" si="203"/>
        <v>28</v>
      </c>
      <c r="M758" s="55" t="str" cm="1">
        <f t="array" ref="M758">INDEX(Processing!$W$6:$W$17,MONTH('ALL ORDERS'!K758))</f>
        <v>October</v>
      </c>
      <c r="N758" s="54">
        <f t="shared" si="196"/>
        <v>2025</v>
      </c>
      <c r="O758" s="58">
        <v>0.41666666666666669</v>
      </c>
      <c r="P758" s="59" t="s">
        <v>339</v>
      </c>
      <c r="Q758" s="60" t="s">
        <v>94</v>
      </c>
      <c r="R758" s="56" t="s">
        <v>263</v>
      </c>
      <c r="S758" s="61" t="s">
        <v>41</v>
      </c>
      <c r="T758" s="70">
        <v>1900888990</v>
      </c>
      <c r="U758" s="63" t="s">
        <v>25</v>
      </c>
      <c r="V758" s="63" t="s">
        <v>147</v>
      </c>
      <c r="W758" s="64">
        <v>3995</v>
      </c>
      <c r="X758" s="64">
        <v>4</v>
      </c>
      <c r="Y758" s="47"/>
      <c r="Z758" s="47"/>
    </row>
    <row r="759" spans="1:26" x14ac:dyDescent="0.25">
      <c r="A759" s="53">
        <v>45959</v>
      </c>
      <c r="B759" s="54">
        <f t="shared" si="201"/>
        <v>29</v>
      </c>
      <c r="C759" s="55" t="str" cm="1">
        <f t="array" ref="C759">INDEX(Processing!$C$11:$C$22,MONTH('ALL ORDERS'!A759))</f>
        <v>OCT</v>
      </c>
      <c r="D759" s="54">
        <f t="shared" si="202"/>
        <v>2025</v>
      </c>
      <c r="E759" s="56" t="s">
        <v>50</v>
      </c>
      <c r="F759" s="56" t="s">
        <v>134</v>
      </c>
      <c r="G759" s="100">
        <v>0</v>
      </c>
      <c r="H759" s="100">
        <v>890</v>
      </c>
      <c r="I759" s="57"/>
      <c r="J759" s="99">
        <f t="shared" si="197"/>
        <v>890</v>
      </c>
      <c r="K759" s="53">
        <v>45959</v>
      </c>
      <c r="L759" s="54">
        <f t="shared" si="203"/>
        <v>29</v>
      </c>
      <c r="M759" s="55" t="str" cm="1">
        <f t="array" ref="M759">INDEX(Processing!$W$6:$W$17,MONTH('ALL ORDERS'!K759))</f>
        <v>October</v>
      </c>
      <c r="N759" s="54">
        <f t="shared" si="196"/>
        <v>2025</v>
      </c>
      <c r="O759" s="58">
        <v>0.5</v>
      </c>
      <c r="P759" s="59" t="s">
        <v>173</v>
      </c>
      <c r="Q759" s="60" t="s">
        <v>90</v>
      </c>
      <c r="R759" s="56" t="s">
        <v>257</v>
      </c>
      <c r="S759" s="61" t="s">
        <v>43</v>
      </c>
      <c r="T759" s="62" t="s">
        <v>1052</v>
      </c>
      <c r="U759" s="63" t="s">
        <v>26</v>
      </c>
      <c r="V759" s="63" t="s">
        <v>147</v>
      </c>
      <c r="W759" s="64">
        <v>5087</v>
      </c>
      <c r="X759" s="64">
        <v>4</v>
      </c>
      <c r="Y759" s="47"/>
      <c r="Z759" s="47"/>
    </row>
    <row r="760" spans="1:26" x14ac:dyDescent="0.25">
      <c r="A760" s="53">
        <v>45960</v>
      </c>
      <c r="B760" s="54">
        <f t="shared" si="201"/>
        <v>30</v>
      </c>
      <c r="C760" s="55" t="str" cm="1">
        <f t="array" ref="C760">INDEX(Processing!$C$11:$C$22,MONTH('ALL ORDERS'!A760))</f>
        <v>OCT</v>
      </c>
      <c r="D760" s="54">
        <f t="shared" si="202"/>
        <v>2025</v>
      </c>
      <c r="E760" s="56" t="s">
        <v>49</v>
      </c>
      <c r="F760" s="56" t="s">
        <v>19</v>
      </c>
      <c r="G760" s="100">
        <v>0</v>
      </c>
      <c r="H760" s="100">
        <v>100</v>
      </c>
      <c r="I760" s="57"/>
      <c r="J760" s="99">
        <f t="shared" si="197"/>
        <v>100</v>
      </c>
      <c r="K760" s="53">
        <v>45960</v>
      </c>
      <c r="L760" s="54">
        <f t="shared" si="203"/>
        <v>30</v>
      </c>
      <c r="M760" s="55" t="str" cm="1">
        <f t="array" ref="M760">INDEX(Processing!$W$6:$W$17,MONTH('ALL ORDERS'!K760))</f>
        <v>October</v>
      </c>
      <c r="N760" s="54">
        <f t="shared" si="196"/>
        <v>2025</v>
      </c>
      <c r="O760" s="58">
        <v>0.66666666666666663</v>
      </c>
      <c r="P760" s="59" t="s">
        <v>187</v>
      </c>
      <c r="Q760" s="60" t="s">
        <v>94</v>
      </c>
      <c r="R760" s="56" t="s">
        <v>272</v>
      </c>
      <c r="S760" s="61" t="s">
        <v>45</v>
      </c>
      <c r="T760" s="62" t="s">
        <v>1053</v>
      </c>
      <c r="U760" s="63" t="s">
        <v>26</v>
      </c>
      <c r="V760" s="63" t="s">
        <v>147</v>
      </c>
      <c r="W760" s="64">
        <v>1941</v>
      </c>
      <c r="X760" s="64">
        <v>5</v>
      </c>
      <c r="Y760" s="47"/>
      <c r="Z760" s="47"/>
    </row>
    <row r="761" spans="1:26" x14ac:dyDescent="0.25">
      <c r="A761" s="53">
        <v>45961</v>
      </c>
      <c r="B761" s="54">
        <f t="shared" si="201"/>
        <v>31</v>
      </c>
      <c r="C761" s="55" t="str" cm="1">
        <f t="array" ref="C761">INDEX(Processing!$C$11:$C$22,MONTH('ALL ORDERS'!A761))</f>
        <v>OCT</v>
      </c>
      <c r="D761" s="54">
        <f t="shared" si="202"/>
        <v>2025</v>
      </c>
      <c r="E761" s="56" t="s">
        <v>50</v>
      </c>
      <c r="F761" s="56" t="s">
        <v>19</v>
      </c>
      <c r="G761" s="100">
        <v>0</v>
      </c>
      <c r="H761" s="100">
        <v>500</v>
      </c>
      <c r="I761" s="57"/>
      <c r="J761" s="99">
        <f t="shared" si="197"/>
        <v>500</v>
      </c>
      <c r="K761" s="53">
        <v>45961</v>
      </c>
      <c r="L761" s="54">
        <f t="shared" si="203"/>
        <v>31</v>
      </c>
      <c r="M761" s="55" t="str" cm="1">
        <f t="array" ref="M761">INDEX(Processing!$W$6:$W$17,MONTH('ALL ORDERS'!K761))</f>
        <v>October</v>
      </c>
      <c r="N761" s="54">
        <f t="shared" si="196"/>
        <v>2025</v>
      </c>
      <c r="O761" s="58">
        <v>0.75</v>
      </c>
      <c r="P761" s="59" t="s">
        <v>187</v>
      </c>
      <c r="Q761" s="60" t="s">
        <v>94</v>
      </c>
      <c r="R761" s="56" t="s">
        <v>272</v>
      </c>
      <c r="S761" s="61" t="s">
        <v>43</v>
      </c>
      <c r="T761" s="62" t="s">
        <v>1054</v>
      </c>
      <c r="U761" s="63" t="s">
        <v>24</v>
      </c>
      <c r="V761" s="63" t="s">
        <v>147</v>
      </c>
      <c r="W761" s="64">
        <v>826</v>
      </c>
      <c r="X761" s="64">
        <v>4</v>
      </c>
      <c r="Y761" s="47"/>
      <c r="Z761" s="47"/>
    </row>
    <row r="762" spans="1:26" ht="24" x14ac:dyDescent="0.25">
      <c r="A762" s="53">
        <v>45962</v>
      </c>
      <c r="B762" s="54">
        <f t="shared" si="201"/>
        <v>1</v>
      </c>
      <c r="C762" s="55" t="str" cm="1">
        <f t="array" ref="C762">INDEX(Processing!$C$11:$C$22,MONTH('ALL ORDERS'!A762))</f>
        <v>NOV</v>
      </c>
      <c r="D762" s="54">
        <f t="shared" si="202"/>
        <v>2025</v>
      </c>
      <c r="E762" s="56" t="s">
        <v>50</v>
      </c>
      <c r="F762" s="56" t="s">
        <v>128</v>
      </c>
      <c r="G762" s="100">
        <v>200</v>
      </c>
      <c r="H762" s="100">
        <v>0</v>
      </c>
      <c r="I762" s="57"/>
      <c r="J762" s="99">
        <f t="shared" si="197"/>
        <v>200</v>
      </c>
      <c r="K762" s="53">
        <v>45962</v>
      </c>
      <c r="L762" s="54">
        <f t="shared" si="203"/>
        <v>1</v>
      </c>
      <c r="M762" s="55" t="str" cm="1">
        <f t="array" ref="M762">INDEX(Processing!$W$6:$W$17,MONTH('ALL ORDERS'!K762))</f>
        <v>November</v>
      </c>
      <c r="N762" s="54">
        <f t="shared" si="196"/>
        <v>2025</v>
      </c>
      <c r="O762" s="58">
        <v>0.41666666666666669</v>
      </c>
      <c r="P762" s="59" t="s">
        <v>214</v>
      </c>
      <c r="Q762" s="60" t="s">
        <v>94</v>
      </c>
      <c r="R762" s="56" t="s">
        <v>302</v>
      </c>
      <c r="S762" s="61" t="s">
        <v>44</v>
      </c>
      <c r="T762" s="62" t="s">
        <v>1055</v>
      </c>
      <c r="U762" s="63" t="s">
        <v>26</v>
      </c>
      <c r="V762" s="63" t="s">
        <v>148</v>
      </c>
      <c r="W762" s="64">
        <v>5581</v>
      </c>
      <c r="X762" s="64"/>
      <c r="Y762" s="47"/>
      <c r="Z762" s="47"/>
    </row>
    <row r="763" spans="1:26" ht="24" x14ac:dyDescent="0.25">
      <c r="A763" s="53">
        <v>45963</v>
      </c>
      <c r="B763" s="54">
        <f t="shared" si="201"/>
        <v>2</v>
      </c>
      <c r="C763" s="55" t="str" cm="1">
        <f t="array" ref="C763">INDEX(Processing!$C$11:$C$22,MONTH('ALL ORDERS'!A763))</f>
        <v>NOV</v>
      </c>
      <c r="D763" s="54">
        <f t="shared" si="202"/>
        <v>2025</v>
      </c>
      <c r="E763" s="56" t="s">
        <v>47</v>
      </c>
      <c r="F763" s="56" t="s">
        <v>22</v>
      </c>
      <c r="G763" s="100">
        <v>20000</v>
      </c>
      <c r="H763" s="100">
        <v>500</v>
      </c>
      <c r="I763" s="57"/>
      <c r="J763" s="99">
        <f t="shared" si="197"/>
        <v>20500</v>
      </c>
      <c r="K763" s="53">
        <v>45963</v>
      </c>
      <c r="L763" s="54">
        <f t="shared" si="203"/>
        <v>2</v>
      </c>
      <c r="M763" s="55" t="str" cm="1">
        <f t="array" ref="M763">INDEX(Processing!$W$6:$W$17,MONTH('ALL ORDERS'!K763))</f>
        <v>November</v>
      </c>
      <c r="N763" s="54">
        <f t="shared" si="196"/>
        <v>2025</v>
      </c>
      <c r="O763" s="58">
        <v>0.5</v>
      </c>
      <c r="P763" s="59" t="s">
        <v>349</v>
      </c>
      <c r="Q763" s="60" t="s">
        <v>94</v>
      </c>
      <c r="R763" s="56" t="s">
        <v>311</v>
      </c>
      <c r="S763" s="61" t="s">
        <v>41</v>
      </c>
      <c r="T763" s="62" t="s">
        <v>1056</v>
      </c>
      <c r="U763" s="63" t="s">
        <v>27</v>
      </c>
      <c r="V763" s="63" t="s">
        <v>147</v>
      </c>
      <c r="W763" s="64">
        <v>3586</v>
      </c>
      <c r="X763" s="64">
        <v>4</v>
      </c>
      <c r="Y763" s="47"/>
      <c r="Z763" s="47"/>
    </row>
    <row r="764" spans="1:26" ht="24" x14ac:dyDescent="0.25">
      <c r="A764" s="53">
        <v>45964</v>
      </c>
      <c r="B764" s="54">
        <f t="shared" si="201"/>
        <v>3</v>
      </c>
      <c r="C764" s="55" t="str" cm="1">
        <f t="array" ref="C764">INDEX(Processing!$C$11:$C$22,MONTH('ALL ORDERS'!A764))</f>
        <v>NOV</v>
      </c>
      <c r="D764" s="54">
        <f t="shared" si="202"/>
        <v>2025</v>
      </c>
      <c r="E764" s="56" t="s">
        <v>50</v>
      </c>
      <c r="F764" s="56" t="s">
        <v>127</v>
      </c>
      <c r="G764" s="100">
        <v>4000</v>
      </c>
      <c r="H764" s="100">
        <v>20000</v>
      </c>
      <c r="I764" s="57"/>
      <c r="J764" s="99">
        <f t="shared" si="197"/>
        <v>24000</v>
      </c>
      <c r="K764" s="53">
        <v>45964</v>
      </c>
      <c r="L764" s="54">
        <f t="shared" si="203"/>
        <v>3</v>
      </c>
      <c r="M764" s="55" t="str" cm="1">
        <f t="array" ref="M764">INDEX(Processing!$W$6:$W$17,MONTH('ALL ORDERS'!K764))</f>
        <v>November</v>
      </c>
      <c r="N764" s="54">
        <f t="shared" si="196"/>
        <v>2025</v>
      </c>
      <c r="O764" s="58">
        <v>0.66666666666666663</v>
      </c>
      <c r="P764" s="59" t="s">
        <v>174</v>
      </c>
      <c r="Q764" s="60" t="s">
        <v>94</v>
      </c>
      <c r="R764" s="56" t="s">
        <v>258</v>
      </c>
      <c r="S764" s="61" t="s">
        <v>46</v>
      </c>
      <c r="T764" s="62" t="s">
        <v>1057</v>
      </c>
      <c r="U764" s="63" t="s">
        <v>23</v>
      </c>
      <c r="V764" s="63" t="s">
        <v>147</v>
      </c>
      <c r="W764" s="64">
        <v>2374</v>
      </c>
      <c r="X764" s="64">
        <v>4</v>
      </c>
      <c r="Y764" s="47"/>
      <c r="Z764" s="47"/>
    </row>
    <row r="765" spans="1:26" ht="24" x14ac:dyDescent="0.25">
      <c r="A765" s="53">
        <v>45965</v>
      </c>
      <c r="B765" s="54">
        <f t="shared" si="201"/>
        <v>4</v>
      </c>
      <c r="C765" s="55" t="str" cm="1">
        <f t="array" ref="C765">INDEX(Processing!$C$11:$C$22,MONTH('ALL ORDERS'!A765))</f>
        <v>NOV</v>
      </c>
      <c r="D765" s="54">
        <f t="shared" si="202"/>
        <v>2025</v>
      </c>
      <c r="E765" s="56" t="s">
        <v>49</v>
      </c>
      <c r="F765" s="56" t="s">
        <v>125</v>
      </c>
      <c r="G765" s="100">
        <v>0</v>
      </c>
      <c r="H765" s="100">
        <v>100</v>
      </c>
      <c r="I765" s="57">
        <v>0.15</v>
      </c>
      <c r="J765" s="99">
        <f t="shared" si="197"/>
        <v>100</v>
      </c>
      <c r="K765" s="53">
        <v>45965</v>
      </c>
      <c r="L765" s="54">
        <f t="shared" si="203"/>
        <v>4</v>
      </c>
      <c r="M765" s="55" t="str" cm="1">
        <f t="array" ref="M765">INDEX(Processing!$W$6:$W$17,MONTH('ALL ORDERS'!K765))</f>
        <v>November</v>
      </c>
      <c r="N765" s="54">
        <f t="shared" si="196"/>
        <v>2025</v>
      </c>
      <c r="O765" s="58">
        <v>0.75</v>
      </c>
      <c r="P765" s="59" t="s">
        <v>235</v>
      </c>
      <c r="Q765" s="60" t="s">
        <v>94</v>
      </c>
      <c r="R765" s="56" t="s">
        <v>336</v>
      </c>
      <c r="S765" s="61" t="s">
        <v>41</v>
      </c>
      <c r="T765" s="62" t="s">
        <v>1058</v>
      </c>
      <c r="U765" s="63" t="s">
        <v>25</v>
      </c>
      <c r="V765" s="63" t="s">
        <v>147</v>
      </c>
      <c r="W765" s="64">
        <v>2313</v>
      </c>
      <c r="X765" s="64">
        <v>5</v>
      </c>
      <c r="Y765" s="47"/>
      <c r="Z765" s="47"/>
    </row>
    <row r="766" spans="1:26" ht="24" x14ac:dyDescent="0.25">
      <c r="A766" s="53">
        <v>45966</v>
      </c>
      <c r="B766" s="54">
        <f t="shared" ref="B766" si="207">DAY(A766)</f>
        <v>5</v>
      </c>
      <c r="C766" s="55" t="str" cm="1">
        <f t="array" ref="C766">INDEX(Processing!$C$11:$C$22,MONTH('ALL ORDERS'!A766))</f>
        <v>NOV</v>
      </c>
      <c r="D766" s="54">
        <f t="shared" ref="D766" si="208">YEAR(A766)</f>
        <v>2025</v>
      </c>
      <c r="E766" s="56" t="s">
        <v>49</v>
      </c>
      <c r="F766" s="56" t="s">
        <v>125</v>
      </c>
      <c r="G766" s="100">
        <v>0</v>
      </c>
      <c r="H766" s="100">
        <v>8760</v>
      </c>
      <c r="I766" s="57">
        <v>0.15</v>
      </c>
      <c r="J766" s="99">
        <f t="shared" si="197"/>
        <v>8760</v>
      </c>
      <c r="K766" s="53">
        <v>45966</v>
      </c>
      <c r="L766" s="54">
        <f t="shared" si="203"/>
        <v>5</v>
      </c>
      <c r="M766" s="55" t="str" cm="1">
        <f t="array" ref="M766">INDEX(Processing!$W$6:$W$17,MONTH('ALL ORDERS'!K766))</f>
        <v>November</v>
      </c>
      <c r="N766" s="54">
        <f t="shared" ref="N766" si="209">YEAR(K766)</f>
        <v>2025</v>
      </c>
      <c r="O766" s="58">
        <v>0.79166666666666696</v>
      </c>
      <c r="P766" s="59" t="s">
        <v>236</v>
      </c>
      <c r="Q766" s="60" t="s">
        <v>94</v>
      </c>
      <c r="R766" s="56" t="s">
        <v>1107</v>
      </c>
      <c r="S766" s="61" t="s">
        <v>41</v>
      </c>
      <c r="T766" s="62" t="s">
        <v>1070</v>
      </c>
      <c r="U766" s="63" t="s">
        <v>25</v>
      </c>
      <c r="V766" s="63" t="s">
        <v>147</v>
      </c>
      <c r="W766" s="64">
        <v>1598</v>
      </c>
      <c r="X766" s="64">
        <v>5</v>
      </c>
      <c r="Y766" s="47"/>
      <c r="Z766" s="47"/>
    </row>
    <row r="767" spans="1:26" ht="24" x14ac:dyDescent="0.25">
      <c r="A767" s="53">
        <v>45966</v>
      </c>
      <c r="B767" s="54">
        <f t="shared" si="201"/>
        <v>5</v>
      </c>
      <c r="C767" s="55" t="str" cm="1">
        <f t="array" ref="C767">INDEX(Processing!$C$11:$C$22,MONTH('ALL ORDERS'!A767))</f>
        <v>NOV</v>
      </c>
      <c r="D767" s="54">
        <f t="shared" si="202"/>
        <v>2025</v>
      </c>
      <c r="E767" s="56" t="s">
        <v>49</v>
      </c>
      <c r="F767" s="56" t="s">
        <v>130</v>
      </c>
      <c r="G767" s="100">
        <v>1000</v>
      </c>
      <c r="H767" s="100">
        <v>0</v>
      </c>
      <c r="I767" s="57"/>
      <c r="J767" s="99">
        <f t="shared" si="197"/>
        <v>1000</v>
      </c>
      <c r="K767" s="53">
        <v>45966</v>
      </c>
      <c r="L767" s="54">
        <f t="shared" si="203"/>
        <v>5</v>
      </c>
      <c r="M767" s="55" t="str" cm="1">
        <f t="array" ref="M767">INDEX(Processing!$W$6:$W$17,MONTH('ALL ORDERS'!K767))</f>
        <v>November</v>
      </c>
      <c r="N767" s="54">
        <f t="shared" si="196"/>
        <v>2025</v>
      </c>
      <c r="O767" s="58">
        <v>0.375</v>
      </c>
      <c r="P767" s="59" t="s">
        <v>234</v>
      </c>
      <c r="Q767" s="60" t="s">
        <v>94</v>
      </c>
      <c r="R767" s="56" t="s">
        <v>335</v>
      </c>
      <c r="S767" s="61" t="s">
        <v>43</v>
      </c>
      <c r="T767" s="62" t="s">
        <v>1059</v>
      </c>
      <c r="U767" s="63" t="s">
        <v>23</v>
      </c>
      <c r="V767" s="63" t="s">
        <v>147</v>
      </c>
      <c r="W767" s="64">
        <v>3178</v>
      </c>
      <c r="X767" s="64">
        <v>5</v>
      </c>
      <c r="Y767" s="47"/>
      <c r="Z767" s="47"/>
    </row>
    <row r="768" spans="1:26" ht="24" x14ac:dyDescent="0.25">
      <c r="A768" s="53">
        <v>45967</v>
      </c>
      <c r="B768" s="54">
        <f t="shared" si="201"/>
        <v>6</v>
      </c>
      <c r="C768" s="55" t="str" cm="1">
        <f t="array" ref="C768">INDEX(Processing!$C$11:$C$22,MONTH('ALL ORDERS'!A768))</f>
        <v>NOV</v>
      </c>
      <c r="D768" s="54">
        <f t="shared" si="202"/>
        <v>2025</v>
      </c>
      <c r="E768" s="56" t="s">
        <v>47</v>
      </c>
      <c r="F768" s="56" t="s">
        <v>134</v>
      </c>
      <c r="G768" s="100">
        <v>3000</v>
      </c>
      <c r="H768" s="100">
        <v>0</v>
      </c>
      <c r="I768" s="57"/>
      <c r="J768" s="99">
        <f t="shared" si="197"/>
        <v>3000</v>
      </c>
      <c r="K768" s="53">
        <v>45967</v>
      </c>
      <c r="L768" s="54">
        <f t="shared" si="203"/>
        <v>6</v>
      </c>
      <c r="M768" s="55" t="str" cm="1">
        <f t="array" ref="M768">INDEX(Processing!$W$6:$W$17,MONTH('ALL ORDERS'!K768))</f>
        <v>November</v>
      </c>
      <c r="N768" s="54">
        <f t="shared" si="196"/>
        <v>2025</v>
      </c>
      <c r="O768" s="58">
        <v>0.45833333333333331</v>
      </c>
      <c r="P768" s="59" t="s">
        <v>211</v>
      </c>
      <c r="Q768" s="60" t="s">
        <v>94</v>
      </c>
      <c r="R768" s="56" t="s">
        <v>299</v>
      </c>
      <c r="S768" s="61" t="s">
        <v>45</v>
      </c>
      <c r="T768" s="62" t="s">
        <v>1060</v>
      </c>
      <c r="U768" s="63" t="s">
        <v>26</v>
      </c>
      <c r="V768" s="63" t="s">
        <v>147</v>
      </c>
      <c r="W768" s="64">
        <v>390</v>
      </c>
      <c r="X768" s="64">
        <v>3</v>
      </c>
      <c r="Y768" s="47"/>
      <c r="Z768" s="47"/>
    </row>
    <row r="769" spans="1:26" ht="24" x14ac:dyDescent="0.25">
      <c r="A769" s="53">
        <v>45962</v>
      </c>
      <c r="B769" s="54">
        <f t="shared" si="201"/>
        <v>1</v>
      </c>
      <c r="C769" s="55" t="str" cm="1">
        <f t="array" ref="C769">INDEX(Processing!$C$11:$C$22,MONTH('ALL ORDERS'!A769))</f>
        <v>NOV</v>
      </c>
      <c r="D769" s="54">
        <f t="shared" si="202"/>
        <v>2025</v>
      </c>
      <c r="E769" s="56" t="s">
        <v>50</v>
      </c>
      <c r="F769" s="56" t="s">
        <v>137</v>
      </c>
      <c r="G769" s="100">
        <v>5600</v>
      </c>
      <c r="H769" s="100">
        <v>0</v>
      </c>
      <c r="I769" s="57"/>
      <c r="J769" s="99">
        <f t="shared" si="197"/>
        <v>5600</v>
      </c>
      <c r="K769" s="53">
        <v>45962</v>
      </c>
      <c r="L769" s="54">
        <f t="shared" si="203"/>
        <v>1</v>
      </c>
      <c r="M769" s="55" t="str" cm="1">
        <f t="array" ref="M769">INDEX(Processing!$W$6:$W$17,MONTH('ALL ORDERS'!K769))</f>
        <v>November</v>
      </c>
      <c r="N769" s="54">
        <f t="shared" si="196"/>
        <v>2025</v>
      </c>
      <c r="O769" s="58">
        <v>0.625</v>
      </c>
      <c r="P769" s="59" t="s">
        <v>184</v>
      </c>
      <c r="Q769" s="60" t="s">
        <v>94</v>
      </c>
      <c r="R769" s="56" t="s">
        <v>269</v>
      </c>
      <c r="S769" s="61" t="s">
        <v>43</v>
      </c>
      <c r="T769" s="62" t="s">
        <v>1061</v>
      </c>
      <c r="U769" s="63" t="s">
        <v>25</v>
      </c>
      <c r="V769" s="63" t="s">
        <v>147</v>
      </c>
      <c r="W769" s="64">
        <v>2579</v>
      </c>
      <c r="X769" s="64">
        <v>4</v>
      </c>
      <c r="Y769" s="47"/>
      <c r="Z769" s="47"/>
    </row>
    <row r="770" spans="1:26" ht="24" x14ac:dyDescent="0.25">
      <c r="A770" s="53">
        <v>45969</v>
      </c>
      <c r="B770" s="54">
        <f t="shared" si="201"/>
        <v>8</v>
      </c>
      <c r="C770" s="55" t="str" cm="1">
        <f t="array" ref="C770">INDEX(Processing!$C$11:$C$22,MONTH('ALL ORDERS'!A770))</f>
        <v>NOV</v>
      </c>
      <c r="D770" s="54">
        <f t="shared" si="202"/>
        <v>2025</v>
      </c>
      <c r="E770" s="56" t="s">
        <v>48</v>
      </c>
      <c r="F770" s="56" t="s">
        <v>131</v>
      </c>
      <c r="G770" s="100">
        <v>20000</v>
      </c>
      <c r="H770" s="100">
        <v>2000</v>
      </c>
      <c r="I770" s="57"/>
      <c r="J770" s="99">
        <f t="shared" si="197"/>
        <v>22000</v>
      </c>
      <c r="K770" s="53">
        <v>45969</v>
      </c>
      <c r="L770" s="54">
        <f t="shared" si="203"/>
        <v>8</v>
      </c>
      <c r="M770" s="55" t="str" cm="1">
        <f t="array" ref="M770">INDEX(Processing!$W$6:$W$17,MONTH('ALL ORDERS'!K770))</f>
        <v>November</v>
      </c>
      <c r="N770" s="54">
        <f t="shared" si="196"/>
        <v>2025</v>
      </c>
      <c r="O770" s="58">
        <v>0.45833333333333331</v>
      </c>
      <c r="P770" s="59" t="s">
        <v>228</v>
      </c>
      <c r="Q770" s="60" t="s">
        <v>90</v>
      </c>
      <c r="R770" s="56" t="s">
        <v>328</v>
      </c>
      <c r="S770" s="61" t="s">
        <v>44</v>
      </c>
      <c r="T770" s="62" t="s">
        <v>1062</v>
      </c>
      <c r="U770" s="63" t="s">
        <v>25</v>
      </c>
      <c r="V770" s="63" t="s">
        <v>147</v>
      </c>
      <c r="W770" s="64">
        <v>2085</v>
      </c>
      <c r="X770" s="64">
        <v>4</v>
      </c>
      <c r="Y770" s="47"/>
      <c r="Z770" s="47"/>
    </row>
    <row r="771" spans="1:26" ht="24" x14ac:dyDescent="0.25">
      <c r="A771" s="53">
        <v>45970</v>
      </c>
      <c r="B771" s="54">
        <f t="shared" si="201"/>
        <v>9</v>
      </c>
      <c r="C771" s="55" t="str" cm="1">
        <f t="array" ref="C771">INDEX(Processing!$C$11:$C$22,MONTH('ALL ORDERS'!A771))</f>
        <v>NOV</v>
      </c>
      <c r="D771" s="54">
        <f t="shared" si="202"/>
        <v>2025</v>
      </c>
      <c r="E771" s="56" t="s">
        <v>48</v>
      </c>
      <c r="F771" s="56" t="s">
        <v>133</v>
      </c>
      <c r="G771" s="100">
        <v>1000</v>
      </c>
      <c r="H771" s="100">
        <v>0</v>
      </c>
      <c r="I771" s="57"/>
      <c r="J771" s="99">
        <f t="shared" si="197"/>
        <v>1000</v>
      </c>
      <c r="K771" s="53">
        <v>45970</v>
      </c>
      <c r="L771" s="54">
        <f t="shared" si="203"/>
        <v>9</v>
      </c>
      <c r="M771" s="55" t="str" cm="1">
        <f t="array" ref="M771">INDEX(Processing!$W$6:$W$17,MONTH('ALL ORDERS'!K771))</f>
        <v>November</v>
      </c>
      <c r="N771" s="54">
        <f t="shared" si="196"/>
        <v>2025</v>
      </c>
      <c r="O771" s="58">
        <v>0.375</v>
      </c>
      <c r="P771" s="59" t="s">
        <v>355</v>
      </c>
      <c r="Q771" s="60" t="s">
        <v>92</v>
      </c>
      <c r="R771" s="56" t="s">
        <v>333</v>
      </c>
      <c r="S771" s="61" t="s">
        <v>43</v>
      </c>
      <c r="T771" s="62" t="s">
        <v>1063</v>
      </c>
      <c r="U771" s="63" t="s">
        <v>26</v>
      </c>
      <c r="V771" s="63" t="s">
        <v>147</v>
      </c>
      <c r="W771" s="64">
        <v>2988</v>
      </c>
      <c r="X771" s="64">
        <v>5</v>
      </c>
      <c r="Y771" s="47"/>
      <c r="Z771" s="47"/>
    </row>
    <row r="772" spans="1:26" ht="24" x14ac:dyDescent="0.25">
      <c r="A772" s="53">
        <v>45971</v>
      </c>
      <c r="B772" s="54">
        <f t="shared" si="201"/>
        <v>10</v>
      </c>
      <c r="C772" s="55" t="str" cm="1">
        <f t="array" ref="C772">INDEX(Processing!$C$11:$C$22,MONTH('ALL ORDERS'!A772))</f>
        <v>NOV</v>
      </c>
      <c r="D772" s="54">
        <f t="shared" si="202"/>
        <v>2025</v>
      </c>
      <c r="E772" s="56" t="s">
        <v>49</v>
      </c>
      <c r="F772" s="56" t="s">
        <v>133</v>
      </c>
      <c r="G772" s="100">
        <v>0</v>
      </c>
      <c r="H772" s="100">
        <v>800</v>
      </c>
      <c r="I772" s="57"/>
      <c r="J772" s="99">
        <f t="shared" si="197"/>
        <v>800</v>
      </c>
      <c r="K772" s="53">
        <v>45971</v>
      </c>
      <c r="L772" s="54">
        <f t="shared" si="203"/>
        <v>10</v>
      </c>
      <c r="M772" s="55" t="str" cm="1">
        <f t="array" ref="M772">INDEX(Processing!$W$6:$W$17,MONTH('ALL ORDERS'!K772))</f>
        <v>November</v>
      </c>
      <c r="N772" s="54">
        <f t="shared" si="196"/>
        <v>2025</v>
      </c>
      <c r="O772" s="58">
        <v>0.45833333333333331</v>
      </c>
      <c r="P772" s="59" t="s">
        <v>200</v>
      </c>
      <c r="Q772" s="60" t="s">
        <v>94</v>
      </c>
      <c r="R772" s="56" t="s">
        <v>287</v>
      </c>
      <c r="S772" s="61" t="s">
        <v>41</v>
      </c>
      <c r="T772" s="62" t="s">
        <v>1064</v>
      </c>
      <c r="U772" s="63" t="s">
        <v>25</v>
      </c>
      <c r="V772" s="63" t="s">
        <v>147</v>
      </c>
      <c r="W772" s="64">
        <v>2586</v>
      </c>
      <c r="X772" s="64">
        <v>3</v>
      </c>
      <c r="Y772" s="47"/>
      <c r="Z772" s="47"/>
    </row>
    <row r="773" spans="1:26" ht="24" x14ac:dyDescent="0.25">
      <c r="A773" s="53">
        <v>45972</v>
      </c>
      <c r="B773" s="54">
        <f t="shared" si="201"/>
        <v>11</v>
      </c>
      <c r="C773" s="55" t="str" cm="1">
        <f t="array" ref="C773">INDEX(Processing!$C$11:$C$22,MONTH('ALL ORDERS'!A773))</f>
        <v>NOV</v>
      </c>
      <c r="D773" s="54">
        <f t="shared" si="202"/>
        <v>2025</v>
      </c>
      <c r="E773" s="56" t="s">
        <v>47</v>
      </c>
      <c r="F773" s="56" t="s">
        <v>134</v>
      </c>
      <c r="G773" s="100">
        <v>0</v>
      </c>
      <c r="H773" s="100">
        <v>900</v>
      </c>
      <c r="I773" s="57"/>
      <c r="J773" s="99">
        <f t="shared" si="197"/>
        <v>900</v>
      </c>
      <c r="K773" s="53">
        <v>45972</v>
      </c>
      <c r="L773" s="54">
        <f t="shared" si="203"/>
        <v>11</v>
      </c>
      <c r="M773" s="55" t="str" cm="1">
        <f t="array" ref="M773">INDEX(Processing!$W$6:$W$17,MONTH('ALL ORDERS'!K773))</f>
        <v>November</v>
      </c>
      <c r="N773" s="54">
        <f t="shared" si="196"/>
        <v>2025</v>
      </c>
      <c r="O773" s="58">
        <v>0.625</v>
      </c>
      <c r="P773" s="59" t="s">
        <v>211</v>
      </c>
      <c r="Q773" s="60" t="s">
        <v>94</v>
      </c>
      <c r="R773" s="56" t="s">
        <v>299</v>
      </c>
      <c r="S773" s="61" t="s">
        <v>46</v>
      </c>
      <c r="T773" s="62" t="s">
        <v>1065</v>
      </c>
      <c r="U773" s="63" t="s">
        <v>25</v>
      </c>
      <c r="V773" s="63" t="s">
        <v>147</v>
      </c>
      <c r="W773" s="64">
        <v>3266</v>
      </c>
      <c r="X773" s="64">
        <v>2</v>
      </c>
      <c r="Y773" s="47"/>
      <c r="Z773" s="47"/>
    </row>
    <row r="774" spans="1:26" ht="24" x14ac:dyDescent="0.25">
      <c r="A774" s="53">
        <v>45973</v>
      </c>
      <c r="B774" s="54">
        <f t="shared" si="201"/>
        <v>12</v>
      </c>
      <c r="C774" s="55" t="str" cm="1">
        <f t="array" ref="C774">INDEX(Processing!$C$11:$C$22,MONTH('ALL ORDERS'!A774))</f>
        <v>NOV</v>
      </c>
      <c r="D774" s="54">
        <f t="shared" si="202"/>
        <v>2025</v>
      </c>
      <c r="E774" s="56" t="s">
        <v>50</v>
      </c>
      <c r="F774" s="56" t="s">
        <v>134</v>
      </c>
      <c r="G774" s="100">
        <v>0</v>
      </c>
      <c r="H774" s="100">
        <v>900</v>
      </c>
      <c r="I774" s="57">
        <v>0.15</v>
      </c>
      <c r="J774" s="99">
        <f t="shared" si="197"/>
        <v>900</v>
      </c>
      <c r="K774" s="53">
        <v>45973</v>
      </c>
      <c r="L774" s="54">
        <f t="shared" si="203"/>
        <v>12</v>
      </c>
      <c r="M774" s="55" t="str" cm="1">
        <f t="array" ref="M774">INDEX(Processing!$W$6:$W$17,MONTH('ALL ORDERS'!K774))</f>
        <v>November</v>
      </c>
      <c r="N774" s="54">
        <f t="shared" si="196"/>
        <v>2025</v>
      </c>
      <c r="O774" s="58">
        <v>0.45833333333333331</v>
      </c>
      <c r="P774" s="59" t="s">
        <v>175</v>
      </c>
      <c r="Q774" s="60" t="s">
        <v>94</v>
      </c>
      <c r="R774" s="56" t="s">
        <v>259</v>
      </c>
      <c r="S774" s="61" t="s">
        <v>45</v>
      </c>
      <c r="T774" s="62" t="s">
        <v>1066</v>
      </c>
      <c r="U774" s="63" t="s">
        <v>25</v>
      </c>
      <c r="V774" s="63" t="s">
        <v>147</v>
      </c>
      <c r="W774" s="64">
        <v>3574</v>
      </c>
      <c r="X774" s="64">
        <v>4</v>
      </c>
      <c r="Y774" s="47"/>
      <c r="Z774" s="47"/>
    </row>
    <row r="775" spans="1:26" ht="24" x14ac:dyDescent="0.25">
      <c r="A775" s="53">
        <v>45974</v>
      </c>
      <c r="B775" s="54">
        <f t="shared" si="201"/>
        <v>13</v>
      </c>
      <c r="C775" s="55" t="str" cm="1">
        <f t="array" ref="C775">INDEX(Processing!$C$11:$C$22,MONTH('ALL ORDERS'!A775))</f>
        <v>NOV</v>
      </c>
      <c r="D775" s="54">
        <f t="shared" si="202"/>
        <v>2025</v>
      </c>
      <c r="E775" s="56" t="s">
        <v>51</v>
      </c>
      <c r="F775" s="56" t="s">
        <v>19</v>
      </c>
      <c r="G775" s="100">
        <v>2000</v>
      </c>
      <c r="H775" s="100">
        <v>20000</v>
      </c>
      <c r="I775" s="57"/>
      <c r="J775" s="99">
        <f t="shared" si="197"/>
        <v>22000</v>
      </c>
      <c r="K775" s="53">
        <v>45974</v>
      </c>
      <c r="L775" s="54">
        <f t="shared" si="203"/>
        <v>13</v>
      </c>
      <c r="M775" s="55" t="str" cm="1">
        <f t="array" ref="M775">INDEX(Processing!$W$6:$W$17,MONTH('ALL ORDERS'!K775))</f>
        <v>November</v>
      </c>
      <c r="N775" s="54">
        <f t="shared" si="196"/>
        <v>2025</v>
      </c>
      <c r="O775" s="58">
        <v>0.375</v>
      </c>
      <c r="P775" s="59" t="s">
        <v>228</v>
      </c>
      <c r="Q775" s="60" t="s">
        <v>90</v>
      </c>
      <c r="R775" s="56" t="s">
        <v>328</v>
      </c>
      <c r="S775" s="61" t="s">
        <v>46</v>
      </c>
      <c r="T775" s="62" t="s">
        <v>1067</v>
      </c>
      <c r="U775" s="63" t="s">
        <v>23</v>
      </c>
      <c r="V775" s="63" t="s">
        <v>147</v>
      </c>
      <c r="W775" s="64">
        <v>1715</v>
      </c>
      <c r="X775" s="64">
        <v>5</v>
      </c>
      <c r="Y775" s="47"/>
      <c r="Z775" s="47"/>
    </row>
    <row r="776" spans="1:26" ht="24" x14ac:dyDescent="0.25">
      <c r="A776" s="53">
        <v>45975</v>
      </c>
      <c r="B776" s="54">
        <f t="shared" si="201"/>
        <v>14</v>
      </c>
      <c r="C776" s="55" t="str" cm="1">
        <f t="array" ref="C776">INDEX(Processing!$C$11:$C$22,MONTH('ALL ORDERS'!A776))</f>
        <v>NOV</v>
      </c>
      <c r="D776" s="54">
        <f t="shared" si="202"/>
        <v>2025</v>
      </c>
      <c r="E776" s="56" t="s">
        <v>48</v>
      </c>
      <c r="F776" s="56" t="s">
        <v>19</v>
      </c>
      <c r="G776" s="100">
        <v>0</v>
      </c>
      <c r="H776" s="100">
        <v>2130</v>
      </c>
      <c r="I776" s="57"/>
      <c r="J776" s="99">
        <f t="shared" si="197"/>
        <v>2130</v>
      </c>
      <c r="K776" s="53">
        <v>45975</v>
      </c>
      <c r="L776" s="54">
        <f t="shared" si="203"/>
        <v>14</v>
      </c>
      <c r="M776" s="55" t="str" cm="1">
        <f t="array" ref="M776">INDEX(Processing!$W$6:$W$17,MONTH('ALL ORDERS'!K776))</f>
        <v>November</v>
      </c>
      <c r="N776" s="54">
        <f t="shared" ref="N776:N804" si="210">YEAR(K776)</f>
        <v>2025</v>
      </c>
      <c r="O776" s="58">
        <v>0.45833333333333331</v>
      </c>
      <c r="P776" s="59" t="s">
        <v>158</v>
      </c>
      <c r="Q776" s="60" t="s">
        <v>94</v>
      </c>
      <c r="R776" s="56" t="s">
        <v>240</v>
      </c>
      <c r="S776" s="61" t="s">
        <v>41</v>
      </c>
      <c r="T776" s="62" t="s">
        <v>1068</v>
      </c>
      <c r="U776" s="63" t="s">
        <v>27</v>
      </c>
      <c r="V776" s="63" t="s">
        <v>147</v>
      </c>
      <c r="W776" s="64">
        <v>2399</v>
      </c>
      <c r="X776" s="64">
        <v>5</v>
      </c>
      <c r="Y776" s="47"/>
      <c r="Z776" s="47"/>
    </row>
    <row r="777" spans="1:26" ht="24" x14ac:dyDescent="0.25">
      <c r="A777" s="53">
        <v>45976</v>
      </c>
      <c r="B777" s="54">
        <f t="shared" si="201"/>
        <v>15</v>
      </c>
      <c r="C777" s="55" t="str" cm="1">
        <f t="array" ref="C777">INDEX(Processing!$C$11:$C$22,MONTH('ALL ORDERS'!A777))</f>
        <v>NOV</v>
      </c>
      <c r="D777" s="54">
        <f t="shared" si="202"/>
        <v>2025</v>
      </c>
      <c r="E777" s="56" t="s">
        <v>47</v>
      </c>
      <c r="F777" s="56" t="s">
        <v>128</v>
      </c>
      <c r="G777" s="100">
        <v>160</v>
      </c>
      <c r="H777" s="100">
        <v>0</v>
      </c>
      <c r="I777" s="57"/>
      <c r="J777" s="99">
        <f t="shared" si="197"/>
        <v>160</v>
      </c>
      <c r="K777" s="53">
        <v>45976</v>
      </c>
      <c r="L777" s="54">
        <f t="shared" si="203"/>
        <v>15</v>
      </c>
      <c r="M777" s="55" t="str" cm="1">
        <f t="array" ref="M777">INDEX(Processing!$W$6:$W$17,MONTH('ALL ORDERS'!K777))</f>
        <v>November</v>
      </c>
      <c r="N777" s="54">
        <f t="shared" si="210"/>
        <v>2025</v>
      </c>
      <c r="O777" s="58">
        <v>0.625</v>
      </c>
      <c r="P777" s="59" t="s">
        <v>231</v>
      </c>
      <c r="Q777" s="60" t="s">
        <v>94</v>
      </c>
      <c r="R777" s="56" t="s">
        <v>331</v>
      </c>
      <c r="S777" s="61" t="s">
        <v>41</v>
      </c>
      <c r="T777" s="62" t="s">
        <v>1069</v>
      </c>
      <c r="U777" s="63" t="s">
        <v>24</v>
      </c>
      <c r="V777" s="63" t="s">
        <v>147</v>
      </c>
      <c r="W777" s="64">
        <v>3242</v>
      </c>
      <c r="X777" s="64">
        <v>5</v>
      </c>
      <c r="Y777" s="47"/>
      <c r="Z777" s="47"/>
    </row>
    <row r="778" spans="1:26" ht="24" x14ac:dyDescent="0.25">
      <c r="A778" s="53">
        <v>45977</v>
      </c>
      <c r="B778" s="54">
        <f t="shared" si="201"/>
        <v>16</v>
      </c>
      <c r="C778" s="55" t="str" cm="1">
        <f t="array" ref="C778">INDEX(Processing!$C$11:$C$22,MONTH('ALL ORDERS'!A778))</f>
        <v>NOV</v>
      </c>
      <c r="D778" s="54">
        <f t="shared" si="202"/>
        <v>2025</v>
      </c>
      <c r="E778" s="56" t="s">
        <v>49</v>
      </c>
      <c r="F778" s="56" t="s">
        <v>22</v>
      </c>
      <c r="G778" s="100">
        <v>3510</v>
      </c>
      <c r="H778" s="100">
        <v>0</v>
      </c>
      <c r="I778" s="57"/>
      <c r="J778" s="99">
        <f t="shared" si="197"/>
        <v>3510</v>
      </c>
      <c r="K778" s="53">
        <v>45977</v>
      </c>
      <c r="L778" s="54">
        <f t="shared" si="203"/>
        <v>16</v>
      </c>
      <c r="M778" s="55" t="str" cm="1">
        <f t="array" ref="M778">INDEX(Processing!$W$6:$W$17,MONTH('ALL ORDERS'!K778))</f>
        <v>November</v>
      </c>
      <c r="N778" s="54">
        <f t="shared" si="210"/>
        <v>2025</v>
      </c>
      <c r="O778" s="58">
        <v>0.45833333333333331</v>
      </c>
      <c r="P778" s="59" t="s">
        <v>220</v>
      </c>
      <c r="Q778" s="60" t="s">
        <v>90</v>
      </c>
      <c r="R778" s="56" t="s">
        <v>319</v>
      </c>
      <c r="S778" s="61" t="s">
        <v>46</v>
      </c>
      <c r="T778" s="62" t="s">
        <v>1070</v>
      </c>
      <c r="U778" s="63" t="s">
        <v>24</v>
      </c>
      <c r="V778" s="63" t="s">
        <v>147</v>
      </c>
      <c r="W778" s="64">
        <v>4189</v>
      </c>
      <c r="X778" s="64">
        <v>5</v>
      </c>
      <c r="Y778" s="47"/>
      <c r="Z778" s="47"/>
    </row>
    <row r="779" spans="1:26" ht="24" x14ac:dyDescent="0.25">
      <c r="A779" s="53">
        <v>45977</v>
      </c>
      <c r="B779" s="54">
        <f t="shared" si="201"/>
        <v>16</v>
      </c>
      <c r="C779" s="55" t="str" cm="1">
        <f t="array" ref="C779">INDEX(Processing!$C$11:$C$22,MONTH('ALL ORDERS'!A779))</f>
        <v>NOV</v>
      </c>
      <c r="D779" s="54">
        <f t="shared" si="202"/>
        <v>2025</v>
      </c>
      <c r="E779" s="56" t="s">
        <v>49</v>
      </c>
      <c r="F779" s="56" t="s">
        <v>127</v>
      </c>
      <c r="G779" s="100">
        <v>3510</v>
      </c>
      <c r="H779" s="100">
        <v>0</v>
      </c>
      <c r="I779" s="57">
        <v>0.15</v>
      </c>
      <c r="J779" s="99">
        <f t="shared" si="197"/>
        <v>3510</v>
      </c>
      <c r="K779" s="53">
        <v>45977</v>
      </c>
      <c r="L779" s="54">
        <f t="shared" si="203"/>
        <v>16</v>
      </c>
      <c r="M779" s="55" t="str" cm="1">
        <f t="array" ref="M779">INDEX(Processing!$W$6:$W$17,MONTH('ALL ORDERS'!K779))</f>
        <v>November</v>
      </c>
      <c r="N779" s="54">
        <f t="shared" si="210"/>
        <v>2025</v>
      </c>
      <c r="O779" s="58">
        <v>0.375</v>
      </c>
      <c r="P779" s="59" t="s">
        <v>210</v>
      </c>
      <c r="Q779" s="60" t="s">
        <v>90</v>
      </c>
      <c r="R779" s="56" t="s">
        <v>298</v>
      </c>
      <c r="S779" s="61" t="s">
        <v>44</v>
      </c>
      <c r="T779" s="62" t="s">
        <v>1071</v>
      </c>
      <c r="U779" s="63" t="s">
        <v>26</v>
      </c>
      <c r="V779" s="63" t="s">
        <v>147</v>
      </c>
      <c r="W779" s="64">
        <v>5305</v>
      </c>
      <c r="X779" s="64">
        <v>5</v>
      </c>
      <c r="Y779" s="47"/>
      <c r="Z779" s="47"/>
    </row>
    <row r="780" spans="1:26" ht="24" x14ac:dyDescent="0.25">
      <c r="A780" s="53">
        <v>45979</v>
      </c>
      <c r="B780" s="54">
        <f t="shared" si="201"/>
        <v>18</v>
      </c>
      <c r="C780" s="55" t="str" cm="1">
        <f t="array" ref="C780">INDEX(Processing!$C$11:$C$22,MONTH('ALL ORDERS'!A780))</f>
        <v>NOV</v>
      </c>
      <c r="D780" s="54">
        <f t="shared" si="202"/>
        <v>2025</v>
      </c>
      <c r="E780" s="56" t="s">
        <v>50</v>
      </c>
      <c r="F780" s="56" t="s">
        <v>125</v>
      </c>
      <c r="G780" s="100">
        <v>2540</v>
      </c>
      <c r="H780" s="100">
        <v>0</v>
      </c>
      <c r="I780" s="57"/>
      <c r="J780" s="99">
        <f t="shared" si="197"/>
        <v>2540</v>
      </c>
      <c r="K780" s="53">
        <v>45979</v>
      </c>
      <c r="L780" s="54">
        <f t="shared" si="203"/>
        <v>18</v>
      </c>
      <c r="M780" s="55" t="str" cm="1">
        <f t="array" ref="M780">INDEX(Processing!$W$6:$W$17,MONTH('ALL ORDERS'!K780))</f>
        <v>November</v>
      </c>
      <c r="N780" s="54">
        <f t="shared" si="210"/>
        <v>2025</v>
      </c>
      <c r="O780" s="58">
        <v>0.45833333333333331</v>
      </c>
      <c r="P780" s="59" t="s">
        <v>201</v>
      </c>
      <c r="Q780" s="60" t="s">
        <v>94</v>
      </c>
      <c r="R780" s="56" t="s">
        <v>288</v>
      </c>
      <c r="S780" s="61" t="s">
        <v>46</v>
      </c>
      <c r="T780" s="62" t="s">
        <v>1072</v>
      </c>
      <c r="U780" s="63" t="s">
        <v>26</v>
      </c>
      <c r="V780" s="63" t="s">
        <v>147</v>
      </c>
      <c r="W780" s="64">
        <v>856</v>
      </c>
      <c r="X780" s="64">
        <v>5</v>
      </c>
      <c r="Y780" s="47"/>
      <c r="Z780" s="47"/>
    </row>
    <row r="781" spans="1:26" ht="24" x14ac:dyDescent="0.25">
      <c r="A781" s="53">
        <v>45980</v>
      </c>
      <c r="B781" s="54">
        <f t="shared" si="201"/>
        <v>19</v>
      </c>
      <c r="C781" s="55" t="str" cm="1">
        <f t="array" ref="C781">INDEX(Processing!$C$11:$C$22,MONTH('ALL ORDERS'!A781))</f>
        <v>NOV</v>
      </c>
      <c r="D781" s="54">
        <f t="shared" si="202"/>
        <v>2025</v>
      </c>
      <c r="E781" s="56" t="s">
        <v>50</v>
      </c>
      <c r="F781" s="56" t="s">
        <v>130</v>
      </c>
      <c r="G781" s="100">
        <v>0</v>
      </c>
      <c r="H781" s="100">
        <v>1420</v>
      </c>
      <c r="I781" s="57"/>
      <c r="J781" s="99">
        <f t="shared" si="197"/>
        <v>1420</v>
      </c>
      <c r="K781" s="53">
        <v>45980</v>
      </c>
      <c r="L781" s="54">
        <f t="shared" si="203"/>
        <v>19</v>
      </c>
      <c r="M781" s="55" t="str" cm="1">
        <f t="array" ref="M781">INDEX(Processing!$W$6:$W$17,MONTH('ALL ORDERS'!K781))</f>
        <v>November</v>
      </c>
      <c r="N781" s="54">
        <f t="shared" si="210"/>
        <v>2025</v>
      </c>
      <c r="O781" s="58">
        <v>0.625</v>
      </c>
      <c r="P781" s="59" t="s">
        <v>234</v>
      </c>
      <c r="Q781" s="60" t="s">
        <v>94</v>
      </c>
      <c r="R781" s="56" t="s">
        <v>335</v>
      </c>
      <c r="S781" s="61" t="s">
        <v>41</v>
      </c>
      <c r="T781" s="62" t="s">
        <v>1073</v>
      </c>
      <c r="U781" s="63" t="s">
        <v>26</v>
      </c>
      <c r="V781" s="63" t="s">
        <v>147</v>
      </c>
      <c r="W781" s="64">
        <v>4885</v>
      </c>
      <c r="X781" s="64">
        <v>4</v>
      </c>
      <c r="Y781" s="47"/>
      <c r="Z781" s="47"/>
    </row>
    <row r="782" spans="1:26" ht="24" x14ac:dyDescent="0.25">
      <c r="A782" s="53">
        <v>45981</v>
      </c>
      <c r="B782" s="54">
        <f t="shared" si="201"/>
        <v>20</v>
      </c>
      <c r="C782" s="55" t="str" cm="1">
        <f t="array" ref="C782">INDEX(Processing!$C$11:$C$22,MONTH('ALL ORDERS'!A782))</f>
        <v>NOV</v>
      </c>
      <c r="D782" s="54">
        <f t="shared" si="202"/>
        <v>2025</v>
      </c>
      <c r="E782" s="56" t="s">
        <v>48</v>
      </c>
      <c r="F782" s="56" t="s">
        <v>134</v>
      </c>
      <c r="G782" s="100">
        <v>2090</v>
      </c>
      <c r="H782" s="100">
        <v>0</v>
      </c>
      <c r="I782" s="57"/>
      <c r="J782" s="99">
        <f t="shared" si="197"/>
        <v>2090</v>
      </c>
      <c r="K782" s="53">
        <v>45981</v>
      </c>
      <c r="L782" s="54">
        <f t="shared" si="203"/>
        <v>20</v>
      </c>
      <c r="M782" s="55" t="str" cm="1">
        <f t="array" ref="M782">INDEX(Processing!$W$6:$W$17,MONTH('ALL ORDERS'!K782))</f>
        <v>November</v>
      </c>
      <c r="N782" s="54">
        <f t="shared" si="210"/>
        <v>2025</v>
      </c>
      <c r="O782" s="58">
        <v>0.45833333333333331</v>
      </c>
      <c r="P782" s="59" t="s">
        <v>222</v>
      </c>
      <c r="Q782" s="60" t="s">
        <v>94</v>
      </c>
      <c r="R782" s="56" t="s">
        <v>321</v>
      </c>
      <c r="S782" s="61" t="s">
        <v>45</v>
      </c>
      <c r="T782" s="62" t="s">
        <v>1074</v>
      </c>
      <c r="U782" s="63" t="s">
        <v>25</v>
      </c>
      <c r="V782" s="63" t="s">
        <v>147</v>
      </c>
      <c r="W782" s="64">
        <v>2439</v>
      </c>
      <c r="X782" s="64">
        <v>4</v>
      </c>
      <c r="Y782" s="47"/>
      <c r="Z782" s="47"/>
    </row>
    <row r="783" spans="1:26" ht="24" x14ac:dyDescent="0.25">
      <c r="A783" s="53">
        <v>45982</v>
      </c>
      <c r="B783" s="54">
        <f t="shared" si="201"/>
        <v>21</v>
      </c>
      <c r="C783" s="55" t="str" cm="1">
        <f t="array" ref="C783">INDEX(Processing!$C$11:$C$22,MONTH('ALL ORDERS'!A783))</f>
        <v>NOV</v>
      </c>
      <c r="D783" s="54">
        <f t="shared" si="202"/>
        <v>2025</v>
      </c>
      <c r="E783" s="56" t="s">
        <v>47</v>
      </c>
      <c r="F783" s="56" t="s">
        <v>137</v>
      </c>
      <c r="G783" s="100">
        <v>3190</v>
      </c>
      <c r="H783" s="100">
        <v>0</v>
      </c>
      <c r="I783" s="57"/>
      <c r="J783" s="99">
        <f t="shared" si="197"/>
        <v>3190</v>
      </c>
      <c r="K783" s="53">
        <v>45982</v>
      </c>
      <c r="L783" s="54">
        <f t="shared" si="203"/>
        <v>21</v>
      </c>
      <c r="M783" s="55" t="str" cm="1">
        <f t="array" ref="M783">INDEX(Processing!$W$6:$W$17,MONTH('ALL ORDERS'!K783))</f>
        <v>November</v>
      </c>
      <c r="N783" s="54">
        <f t="shared" si="210"/>
        <v>2025</v>
      </c>
      <c r="O783" s="58">
        <v>0.41666666666666669</v>
      </c>
      <c r="P783" s="59" t="s">
        <v>350</v>
      </c>
      <c r="Q783" s="60" t="s">
        <v>91</v>
      </c>
      <c r="R783" s="56" t="s">
        <v>312</v>
      </c>
      <c r="S783" s="61" t="s">
        <v>45</v>
      </c>
      <c r="T783" s="70">
        <v>1900888990</v>
      </c>
      <c r="U783" s="63" t="s">
        <v>26</v>
      </c>
      <c r="V783" s="63" t="s">
        <v>147</v>
      </c>
      <c r="W783" s="64">
        <v>1867</v>
      </c>
      <c r="X783" s="64">
        <v>4</v>
      </c>
      <c r="Y783" s="47"/>
      <c r="Z783" s="47"/>
    </row>
    <row r="784" spans="1:26" ht="24" x14ac:dyDescent="0.25">
      <c r="A784" s="53">
        <v>45983</v>
      </c>
      <c r="B784" s="54">
        <f t="shared" si="201"/>
        <v>22</v>
      </c>
      <c r="C784" s="55" t="str" cm="1">
        <f t="array" ref="C784">INDEX(Processing!$C$11:$C$22,MONTH('ALL ORDERS'!A784))</f>
        <v>NOV</v>
      </c>
      <c r="D784" s="54">
        <f t="shared" si="202"/>
        <v>2025</v>
      </c>
      <c r="E784" s="56" t="s">
        <v>49</v>
      </c>
      <c r="F784" s="56" t="s">
        <v>131</v>
      </c>
      <c r="G784" s="100">
        <v>9000</v>
      </c>
      <c r="H784" s="100">
        <v>0</v>
      </c>
      <c r="I784" s="57"/>
      <c r="J784" s="99">
        <f t="shared" si="197"/>
        <v>9000</v>
      </c>
      <c r="K784" s="53">
        <v>45983</v>
      </c>
      <c r="L784" s="54">
        <f t="shared" si="203"/>
        <v>22</v>
      </c>
      <c r="M784" s="55" t="str" cm="1">
        <f t="array" ref="M784">INDEX(Processing!$W$6:$W$17,MONTH('ALL ORDERS'!K784))</f>
        <v>November</v>
      </c>
      <c r="N784" s="54">
        <f t="shared" si="210"/>
        <v>2025</v>
      </c>
      <c r="O784" s="58">
        <v>0.5</v>
      </c>
      <c r="P784" s="59" t="s">
        <v>349</v>
      </c>
      <c r="Q784" s="60" t="s">
        <v>94</v>
      </c>
      <c r="R784" s="56" t="s">
        <v>311</v>
      </c>
      <c r="S784" s="61" t="s">
        <v>43</v>
      </c>
      <c r="T784" s="62" t="s">
        <v>370</v>
      </c>
      <c r="U784" s="63" t="s">
        <v>27</v>
      </c>
      <c r="V784" s="63" t="s">
        <v>147</v>
      </c>
      <c r="W784" s="64">
        <v>3911</v>
      </c>
      <c r="X784" s="64">
        <v>4</v>
      </c>
      <c r="Y784" s="47"/>
      <c r="Z784" s="47"/>
    </row>
    <row r="785" spans="1:26" ht="24" x14ac:dyDescent="0.25">
      <c r="A785" s="53">
        <v>45984</v>
      </c>
      <c r="B785" s="54">
        <f t="shared" si="201"/>
        <v>23</v>
      </c>
      <c r="C785" s="55" t="str" cm="1">
        <f t="array" ref="C785">INDEX(Processing!$C$11:$C$22,MONTH('ALL ORDERS'!A785))</f>
        <v>NOV</v>
      </c>
      <c r="D785" s="54">
        <f t="shared" si="202"/>
        <v>2025</v>
      </c>
      <c r="E785" s="56" t="s">
        <v>49</v>
      </c>
      <c r="F785" s="56" t="s">
        <v>133</v>
      </c>
      <c r="G785" s="100">
        <v>0</v>
      </c>
      <c r="H785" s="100">
        <v>890</v>
      </c>
      <c r="I785" s="57"/>
      <c r="J785" s="99">
        <f t="shared" si="197"/>
        <v>890</v>
      </c>
      <c r="K785" s="53">
        <v>45984</v>
      </c>
      <c r="L785" s="54">
        <f t="shared" si="203"/>
        <v>23</v>
      </c>
      <c r="M785" s="55" t="str" cm="1">
        <f t="array" ref="M785">INDEX(Processing!$W$6:$W$17,MONTH('ALL ORDERS'!K785))</f>
        <v>November</v>
      </c>
      <c r="N785" s="54">
        <f t="shared" si="210"/>
        <v>2025</v>
      </c>
      <c r="O785" s="58">
        <v>0.66666666666666663</v>
      </c>
      <c r="P785" s="59" t="s">
        <v>339</v>
      </c>
      <c r="Q785" s="60" t="s">
        <v>94</v>
      </c>
      <c r="R785" s="56" t="s">
        <v>263</v>
      </c>
      <c r="S785" s="61" t="s">
        <v>44</v>
      </c>
      <c r="T785" s="62" t="s">
        <v>371</v>
      </c>
      <c r="U785" s="63" t="s">
        <v>23</v>
      </c>
      <c r="V785" s="63" t="s">
        <v>147</v>
      </c>
      <c r="W785" s="64">
        <v>5100</v>
      </c>
      <c r="X785" s="64">
        <v>4</v>
      </c>
      <c r="Y785" s="47"/>
      <c r="Z785" s="47"/>
    </row>
    <row r="786" spans="1:26" ht="24" x14ac:dyDescent="0.25">
      <c r="A786" s="53">
        <v>45985</v>
      </c>
      <c r="B786" s="54">
        <f t="shared" si="201"/>
        <v>24</v>
      </c>
      <c r="C786" s="55" t="str" cm="1">
        <f t="array" ref="C786">INDEX(Processing!$C$11:$C$22,MONTH('ALL ORDERS'!A786))</f>
        <v>NOV</v>
      </c>
      <c r="D786" s="54">
        <f t="shared" si="202"/>
        <v>2025</v>
      </c>
      <c r="E786" s="56" t="s">
        <v>50</v>
      </c>
      <c r="F786" s="56" t="s">
        <v>133</v>
      </c>
      <c r="G786" s="100">
        <v>0</v>
      </c>
      <c r="H786" s="100">
        <v>100</v>
      </c>
      <c r="I786" s="57"/>
      <c r="J786" s="99">
        <f t="shared" si="197"/>
        <v>100</v>
      </c>
      <c r="K786" s="53">
        <v>45985</v>
      </c>
      <c r="L786" s="54">
        <f t="shared" si="203"/>
        <v>24</v>
      </c>
      <c r="M786" s="55" t="str" cm="1">
        <f t="array" ref="M786">INDEX(Processing!$W$6:$W$17,MONTH('ALL ORDERS'!K786))</f>
        <v>November</v>
      </c>
      <c r="N786" s="54">
        <f t="shared" si="210"/>
        <v>2025</v>
      </c>
      <c r="O786" s="58">
        <v>0.75</v>
      </c>
      <c r="P786" s="59" t="s">
        <v>205</v>
      </c>
      <c r="Q786" s="60" t="s">
        <v>94</v>
      </c>
      <c r="R786" s="56" t="s">
        <v>292</v>
      </c>
      <c r="S786" s="61" t="s">
        <v>41</v>
      </c>
      <c r="T786" s="62" t="s">
        <v>372</v>
      </c>
      <c r="U786" s="63" t="s">
        <v>25</v>
      </c>
      <c r="V786" s="63" t="s">
        <v>148</v>
      </c>
      <c r="W786" s="64">
        <v>1475</v>
      </c>
      <c r="X786" s="64"/>
      <c r="Y786" s="47"/>
      <c r="Z786" s="47"/>
    </row>
    <row r="787" spans="1:26" ht="24" x14ac:dyDescent="0.25">
      <c r="A787" s="53">
        <v>45986</v>
      </c>
      <c r="B787" s="54">
        <f t="shared" si="201"/>
        <v>25</v>
      </c>
      <c r="C787" s="55" t="str" cm="1">
        <f t="array" ref="C787">INDEX(Processing!$C$11:$C$22,MONTH('ALL ORDERS'!A787))</f>
        <v>NOV</v>
      </c>
      <c r="D787" s="54">
        <f t="shared" si="202"/>
        <v>2025</v>
      </c>
      <c r="E787" s="56" t="s">
        <v>50</v>
      </c>
      <c r="F787" s="56" t="s">
        <v>134</v>
      </c>
      <c r="G787" s="100">
        <v>0</v>
      </c>
      <c r="H787" s="100">
        <v>5000</v>
      </c>
      <c r="I787" s="57"/>
      <c r="J787" s="99">
        <f t="shared" si="197"/>
        <v>5000</v>
      </c>
      <c r="K787" s="53">
        <v>45986</v>
      </c>
      <c r="L787" s="54">
        <f t="shared" si="203"/>
        <v>25</v>
      </c>
      <c r="M787" s="55" t="str" cm="1">
        <f t="array" ref="M787">INDEX(Processing!$W$6:$W$17,MONTH('ALL ORDERS'!K787))</f>
        <v>November</v>
      </c>
      <c r="N787" s="54">
        <f t="shared" si="210"/>
        <v>2025</v>
      </c>
      <c r="O787" s="58">
        <v>0.41666666666666669</v>
      </c>
      <c r="P787" s="59" t="s">
        <v>232</v>
      </c>
      <c r="Q787" s="60" t="s">
        <v>94</v>
      </c>
      <c r="R787" s="56" t="s">
        <v>332</v>
      </c>
      <c r="S787" s="61" t="s">
        <v>45</v>
      </c>
      <c r="T787" s="62" t="s">
        <v>373</v>
      </c>
      <c r="U787" s="63" t="s">
        <v>23</v>
      </c>
      <c r="V787" s="63" t="s">
        <v>147</v>
      </c>
      <c r="W787" s="64">
        <v>4213</v>
      </c>
      <c r="X787" s="64">
        <v>4</v>
      </c>
      <c r="Y787" s="47"/>
      <c r="Z787" s="47"/>
    </row>
    <row r="788" spans="1:26" ht="24" x14ac:dyDescent="0.25">
      <c r="A788" s="53">
        <v>45987</v>
      </c>
      <c r="B788" s="54">
        <f t="shared" si="201"/>
        <v>26</v>
      </c>
      <c r="C788" s="55" t="str" cm="1">
        <f t="array" ref="C788">INDEX(Processing!$C$11:$C$22,MONTH('ALL ORDERS'!A788))</f>
        <v>NOV</v>
      </c>
      <c r="D788" s="54">
        <f t="shared" si="202"/>
        <v>2025</v>
      </c>
      <c r="E788" s="56" t="s">
        <v>51</v>
      </c>
      <c r="F788" s="56" t="s">
        <v>134</v>
      </c>
      <c r="G788" s="100">
        <v>200</v>
      </c>
      <c r="H788" s="100">
        <v>0</v>
      </c>
      <c r="I788" s="57"/>
      <c r="J788" s="99">
        <f t="shared" si="197"/>
        <v>200</v>
      </c>
      <c r="K788" s="53">
        <v>45987</v>
      </c>
      <c r="L788" s="54">
        <f t="shared" si="203"/>
        <v>26</v>
      </c>
      <c r="M788" s="55" t="str" cm="1">
        <f t="array" ref="M788">INDEX(Processing!$W$6:$W$17,MONTH('ALL ORDERS'!K788))</f>
        <v>November</v>
      </c>
      <c r="N788" s="54">
        <f t="shared" si="210"/>
        <v>2025</v>
      </c>
      <c r="O788" s="58">
        <v>0.5</v>
      </c>
      <c r="P788" s="59" t="s">
        <v>344</v>
      </c>
      <c r="Q788" s="60" t="s">
        <v>90</v>
      </c>
      <c r="R788" s="56" t="s">
        <v>306</v>
      </c>
      <c r="S788" s="61" t="s">
        <v>42</v>
      </c>
      <c r="T788" s="62" t="s">
        <v>374</v>
      </c>
      <c r="U788" s="63" t="s">
        <v>26</v>
      </c>
      <c r="V788" s="63" t="s">
        <v>148</v>
      </c>
      <c r="W788" s="64">
        <v>4812</v>
      </c>
      <c r="X788" s="64"/>
      <c r="Y788" s="47"/>
      <c r="Z788" s="47"/>
    </row>
    <row r="789" spans="1:26" ht="24" x14ac:dyDescent="0.25">
      <c r="A789" s="53">
        <v>45990</v>
      </c>
      <c r="B789" s="54">
        <f t="shared" si="201"/>
        <v>29</v>
      </c>
      <c r="C789" s="55" t="str" cm="1">
        <f t="array" ref="C789">INDEX(Processing!$C$11:$C$22,MONTH('ALL ORDERS'!A789))</f>
        <v>NOV</v>
      </c>
      <c r="D789" s="54">
        <f t="shared" si="202"/>
        <v>2025</v>
      </c>
      <c r="E789" s="56" t="s">
        <v>47</v>
      </c>
      <c r="F789" s="56" t="s">
        <v>19</v>
      </c>
      <c r="G789" s="100">
        <v>0</v>
      </c>
      <c r="H789" s="100">
        <v>500</v>
      </c>
      <c r="I789" s="57"/>
      <c r="J789" s="99">
        <f t="shared" si="197"/>
        <v>500</v>
      </c>
      <c r="K789" s="53">
        <v>45990</v>
      </c>
      <c r="L789" s="54">
        <f t="shared" si="203"/>
        <v>29</v>
      </c>
      <c r="M789" s="55" t="str" cm="1">
        <f t="array" ref="M789">INDEX(Processing!$W$6:$W$17,MONTH('ALL ORDERS'!K789))</f>
        <v>November</v>
      </c>
      <c r="N789" s="54">
        <f t="shared" si="210"/>
        <v>2025</v>
      </c>
      <c r="O789" s="58">
        <v>0.66666666666666663</v>
      </c>
      <c r="P789" s="59" t="s">
        <v>181</v>
      </c>
      <c r="Q789" s="60" t="s">
        <v>90</v>
      </c>
      <c r="R789" s="56" t="s">
        <v>266</v>
      </c>
      <c r="S789" s="61" t="s">
        <v>42</v>
      </c>
      <c r="T789" s="62" t="s">
        <v>375</v>
      </c>
      <c r="U789" s="63" t="s">
        <v>25</v>
      </c>
      <c r="V789" s="63" t="s">
        <v>147</v>
      </c>
      <c r="W789" s="64">
        <v>1467</v>
      </c>
      <c r="X789" s="64">
        <v>4</v>
      </c>
      <c r="Y789" s="47"/>
      <c r="Z789" s="47"/>
    </row>
    <row r="790" spans="1:26" ht="24" x14ac:dyDescent="0.25">
      <c r="A790" s="53">
        <v>45992</v>
      </c>
      <c r="B790" s="54">
        <f t="shared" si="201"/>
        <v>1</v>
      </c>
      <c r="C790" s="55" t="str" cm="1">
        <f t="array" ref="C790">INDEX(Processing!$C$11:$C$22,MONTH('ALL ORDERS'!A790))</f>
        <v>DEC</v>
      </c>
      <c r="D790" s="54">
        <f t="shared" si="202"/>
        <v>2025</v>
      </c>
      <c r="E790" s="56" t="s">
        <v>51</v>
      </c>
      <c r="F790" s="56" t="s">
        <v>19</v>
      </c>
      <c r="G790" s="100">
        <v>4000</v>
      </c>
      <c r="H790" s="100">
        <v>0</v>
      </c>
      <c r="I790" s="57"/>
      <c r="J790" s="99">
        <f t="shared" ref="J790:J806" si="211">G790+H790</f>
        <v>4000</v>
      </c>
      <c r="K790" s="53">
        <v>45992</v>
      </c>
      <c r="L790" s="54">
        <f t="shared" si="203"/>
        <v>1</v>
      </c>
      <c r="M790" s="55" t="str" cm="1">
        <f t="array" ref="M790">INDEX(Processing!$W$6:$W$17,MONTH('ALL ORDERS'!K790))</f>
        <v>December</v>
      </c>
      <c r="N790" s="54">
        <f t="shared" si="210"/>
        <v>2025</v>
      </c>
      <c r="O790" s="58">
        <v>0.75</v>
      </c>
      <c r="P790" s="59" t="s">
        <v>183</v>
      </c>
      <c r="Q790" s="60" t="s">
        <v>91</v>
      </c>
      <c r="R790" s="56" t="s">
        <v>268</v>
      </c>
      <c r="S790" s="61" t="s">
        <v>41</v>
      </c>
      <c r="T790" s="62" t="s">
        <v>376</v>
      </c>
      <c r="U790" s="63" t="s">
        <v>24</v>
      </c>
      <c r="V790" s="63" t="s">
        <v>147</v>
      </c>
      <c r="W790" s="64">
        <v>4085</v>
      </c>
      <c r="X790" s="64">
        <v>4</v>
      </c>
      <c r="Y790" s="47"/>
      <c r="Z790" s="47"/>
    </row>
    <row r="791" spans="1:26" ht="24" x14ac:dyDescent="0.25">
      <c r="A791" s="53">
        <v>45992</v>
      </c>
      <c r="B791" s="54">
        <f t="shared" si="201"/>
        <v>1</v>
      </c>
      <c r="C791" s="55" t="str" cm="1">
        <f t="array" ref="C791">INDEX(Processing!$C$11:$C$22,MONTH('ALL ORDERS'!A791))</f>
        <v>DEC</v>
      </c>
      <c r="D791" s="54">
        <f t="shared" si="202"/>
        <v>2025</v>
      </c>
      <c r="E791" s="56" t="s">
        <v>51</v>
      </c>
      <c r="F791" s="56" t="s">
        <v>128</v>
      </c>
      <c r="G791" s="100">
        <v>0</v>
      </c>
      <c r="H791" s="100">
        <v>100</v>
      </c>
      <c r="I791" s="57"/>
      <c r="J791" s="99">
        <f t="shared" si="211"/>
        <v>100</v>
      </c>
      <c r="K791" s="53">
        <v>45992</v>
      </c>
      <c r="L791" s="54">
        <f t="shared" si="203"/>
        <v>1</v>
      </c>
      <c r="M791" s="55" t="str" cm="1">
        <f t="array" ref="M791">INDEX(Processing!$W$6:$W$17,MONTH('ALL ORDERS'!K791))</f>
        <v>December</v>
      </c>
      <c r="N791" s="54">
        <f t="shared" si="210"/>
        <v>2025</v>
      </c>
      <c r="O791" s="58">
        <v>0.41666666666666669</v>
      </c>
      <c r="P791" s="59" t="s">
        <v>211</v>
      </c>
      <c r="Q791" s="60" t="s">
        <v>94</v>
      </c>
      <c r="R791" s="56" t="s">
        <v>299</v>
      </c>
      <c r="S791" s="61" t="s">
        <v>41</v>
      </c>
      <c r="T791" s="62" t="s">
        <v>377</v>
      </c>
      <c r="U791" s="63" t="s">
        <v>25</v>
      </c>
      <c r="V791" s="63" t="s">
        <v>148</v>
      </c>
      <c r="W791" s="64">
        <v>3991</v>
      </c>
      <c r="X791" s="64"/>
      <c r="Y791" s="47"/>
      <c r="Z791" s="47"/>
    </row>
    <row r="792" spans="1:26" ht="24" x14ac:dyDescent="0.25">
      <c r="A792" s="53">
        <v>45992</v>
      </c>
      <c r="B792" s="54">
        <f t="shared" si="201"/>
        <v>1</v>
      </c>
      <c r="C792" s="55" t="str" cm="1">
        <f t="array" ref="C792">INDEX(Processing!$C$11:$C$22,MONTH('ALL ORDERS'!A792))</f>
        <v>DEC</v>
      </c>
      <c r="D792" s="54">
        <f t="shared" si="202"/>
        <v>2025</v>
      </c>
      <c r="E792" s="56" t="s">
        <v>50</v>
      </c>
      <c r="F792" s="56" t="s">
        <v>22</v>
      </c>
      <c r="G792" s="100">
        <v>1000</v>
      </c>
      <c r="H792" s="100">
        <v>0</v>
      </c>
      <c r="I792" s="57"/>
      <c r="J792" s="99">
        <f t="shared" si="211"/>
        <v>1000</v>
      </c>
      <c r="K792" s="53">
        <v>45992</v>
      </c>
      <c r="L792" s="54">
        <f t="shared" si="203"/>
        <v>1</v>
      </c>
      <c r="M792" s="55" t="str" cm="1">
        <f t="array" ref="M792">INDEX(Processing!$W$6:$W$17,MONTH('ALL ORDERS'!K792))</f>
        <v>December</v>
      </c>
      <c r="N792" s="54">
        <f t="shared" si="210"/>
        <v>2025</v>
      </c>
      <c r="O792" s="58">
        <v>0.5</v>
      </c>
      <c r="P792" s="59" t="s">
        <v>345</v>
      </c>
      <c r="Q792" s="60" t="s">
        <v>94</v>
      </c>
      <c r="R792" s="56" t="s">
        <v>307</v>
      </c>
      <c r="S792" s="61" t="s">
        <v>42</v>
      </c>
      <c r="T792" s="62" t="s">
        <v>378</v>
      </c>
      <c r="U792" s="63" t="s">
        <v>25</v>
      </c>
      <c r="V792" s="63" t="s">
        <v>147</v>
      </c>
      <c r="W792" s="64">
        <v>1710</v>
      </c>
      <c r="X792" s="64">
        <v>4</v>
      </c>
      <c r="Y792" s="47"/>
      <c r="Z792" s="47"/>
    </row>
    <row r="793" spans="1:26" ht="24" x14ac:dyDescent="0.25">
      <c r="A793" s="53">
        <v>45992</v>
      </c>
      <c r="B793" s="54">
        <f t="shared" si="201"/>
        <v>1</v>
      </c>
      <c r="C793" s="55" t="str" cm="1">
        <f t="array" ref="C793">INDEX(Processing!$C$11:$C$22,MONTH('ALL ORDERS'!A793))</f>
        <v>DEC</v>
      </c>
      <c r="D793" s="54">
        <f t="shared" si="202"/>
        <v>2025</v>
      </c>
      <c r="E793" s="56" t="s">
        <v>50</v>
      </c>
      <c r="F793" s="56" t="s">
        <v>127</v>
      </c>
      <c r="G793" s="100">
        <v>3000</v>
      </c>
      <c r="H793" s="100">
        <v>0</v>
      </c>
      <c r="I793" s="57"/>
      <c r="J793" s="99">
        <f t="shared" si="211"/>
        <v>3000</v>
      </c>
      <c r="K793" s="53">
        <v>45992</v>
      </c>
      <c r="L793" s="54">
        <f t="shared" si="203"/>
        <v>1</v>
      </c>
      <c r="M793" s="55" t="str" cm="1">
        <f t="array" ref="M793">INDEX(Processing!$W$6:$W$17,MONTH('ALL ORDERS'!K793))</f>
        <v>December</v>
      </c>
      <c r="N793" s="54">
        <f t="shared" si="210"/>
        <v>2025</v>
      </c>
      <c r="O793" s="58">
        <v>0.66666666666666663</v>
      </c>
      <c r="P793" s="59" t="s">
        <v>183</v>
      </c>
      <c r="Q793" s="60" t="s">
        <v>91</v>
      </c>
      <c r="R793" s="56" t="s">
        <v>268</v>
      </c>
      <c r="S793" s="61" t="s">
        <v>44</v>
      </c>
      <c r="T793" s="62" t="s">
        <v>379</v>
      </c>
      <c r="U793" s="63" t="s">
        <v>25</v>
      </c>
      <c r="V793" s="63" t="s">
        <v>146</v>
      </c>
      <c r="W793" s="64">
        <v>3201</v>
      </c>
      <c r="X793" s="64"/>
      <c r="Y793" s="47"/>
      <c r="Z793" s="47"/>
    </row>
    <row r="794" spans="1:26" ht="24" x14ac:dyDescent="0.25">
      <c r="A794" s="53">
        <v>45993</v>
      </c>
      <c r="B794" s="54">
        <f t="shared" ref="B794" si="212">DAY(A794)</f>
        <v>2</v>
      </c>
      <c r="C794" s="55" t="str" cm="1">
        <f t="array" ref="C794">INDEX(Processing!$C$11:$C$22,MONTH('ALL ORDERS'!A794))</f>
        <v>DEC</v>
      </c>
      <c r="D794" s="54">
        <f t="shared" ref="D794" si="213">YEAR(A794)</f>
        <v>2025</v>
      </c>
      <c r="E794" s="56" t="s">
        <v>50</v>
      </c>
      <c r="F794" s="56" t="s">
        <v>127</v>
      </c>
      <c r="G794" s="100">
        <v>19510</v>
      </c>
      <c r="H794" s="100">
        <v>0</v>
      </c>
      <c r="I794" s="57"/>
      <c r="J794" s="99">
        <f t="shared" si="211"/>
        <v>19510</v>
      </c>
      <c r="K794" s="53">
        <v>45993</v>
      </c>
      <c r="L794" s="54">
        <f t="shared" si="203"/>
        <v>2</v>
      </c>
      <c r="M794" s="55" t="str" cm="1">
        <f t="array" ref="M794">INDEX(Processing!$W$6:$W$17,MONTH('ALL ORDERS'!K794))</f>
        <v>December</v>
      </c>
      <c r="N794" s="54">
        <f t="shared" ref="N794" si="214">YEAR(K794)</f>
        <v>2025</v>
      </c>
      <c r="O794" s="58">
        <v>0.70833333333333304</v>
      </c>
      <c r="P794" s="59" t="s">
        <v>184</v>
      </c>
      <c r="Q794" s="60" t="s">
        <v>91</v>
      </c>
      <c r="R794" s="56" t="s">
        <v>1109</v>
      </c>
      <c r="S794" s="61" t="s">
        <v>44</v>
      </c>
      <c r="T794" s="62" t="s">
        <v>392</v>
      </c>
      <c r="U794" s="63" t="s">
        <v>25</v>
      </c>
      <c r="V794" s="63" t="s">
        <v>147</v>
      </c>
      <c r="W794" s="64">
        <v>2855</v>
      </c>
      <c r="X794" s="64">
        <v>5</v>
      </c>
      <c r="Y794" s="47"/>
      <c r="Z794" s="47"/>
    </row>
    <row r="795" spans="1:26" ht="24" x14ac:dyDescent="0.25">
      <c r="A795" s="53">
        <v>45993</v>
      </c>
      <c r="B795" s="54">
        <f t="shared" si="201"/>
        <v>2</v>
      </c>
      <c r="C795" s="55" t="str" cm="1">
        <f t="array" ref="C795">INDEX(Processing!$C$11:$C$22,MONTH('ALL ORDERS'!A795))</f>
        <v>DEC</v>
      </c>
      <c r="D795" s="54">
        <f t="shared" si="202"/>
        <v>2025</v>
      </c>
      <c r="E795" s="56" t="s">
        <v>48</v>
      </c>
      <c r="F795" s="56" t="s">
        <v>125</v>
      </c>
      <c r="G795" s="100">
        <v>5600</v>
      </c>
      <c r="H795" s="100">
        <v>20000</v>
      </c>
      <c r="I795" s="57"/>
      <c r="J795" s="99">
        <f t="shared" si="211"/>
        <v>25600</v>
      </c>
      <c r="K795" s="53">
        <v>45993</v>
      </c>
      <c r="L795" s="54">
        <f t="shared" si="203"/>
        <v>2</v>
      </c>
      <c r="M795" s="55" t="str" cm="1">
        <f t="array" ref="M795">INDEX(Processing!$W$6:$W$17,MONTH('ALL ORDERS'!K795))</f>
        <v>December</v>
      </c>
      <c r="N795" s="54">
        <f t="shared" si="210"/>
        <v>2025</v>
      </c>
      <c r="O795" s="58">
        <v>0.75</v>
      </c>
      <c r="P795" s="59" t="s">
        <v>184</v>
      </c>
      <c r="Q795" s="60" t="s">
        <v>94</v>
      </c>
      <c r="R795" s="56" t="s">
        <v>269</v>
      </c>
      <c r="S795" s="61" t="s">
        <v>41</v>
      </c>
      <c r="T795" s="62" t="s">
        <v>380</v>
      </c>
      <c r="U795" s="63" t="s">
        <v>23</v>
      </c>
      <c r="V795" s="63" t="s">
        <v>146</v>
      </c>
      <c r="W795" s="64">
        <v>2103</v>
      </c>
      <c r="X795" s="64"/>
      <c r="Y795" s="47"/>
      <c r="Z795" s="47"/>
    </row>
    <row r="796" spans="1:26" ht="24" x14ac:dyDescent="0.25">
      <c r="A796" s="53">
        <v>45994</v>
      </c>
      <c r="B796" s="54">
        <f t="shared" si="201"/>
        <v>3</v>
      </c>
      <c r="C796" s="55" t="str" cm="1">
        <f t="array" ref="C796">INDEX(Processing!$C$11:$C$22,MONTH('ALL ORDERS'!A796))</f>
        <v>DEC</v>
      </c>
      <c r="D796" s="54">
        <f t="shared" si="202"/>
        <v>2025</v>
      </c>
      <c r="E796" s="56" t="s">
        <v>47</v>
      </c>
      <c r="F796" s="56" t="s">
        <v>130</v>
      </c>
      <c r="G796" s="100">
        <v>20000</v>
      </c>
      <c r="H796" s="100">
        <v>2000</v>
      </c>
      <c r="I796" s="57"/>
      <c r="J796" s="99">
        <f t="shared" si="211"/>
        <v>22000</v>
      </c>
      <c r="K796" s="53">
        <v>45994</v>
      </c>
      <c r="L796" s="54">
        <f t="shared" si="203"/>
        <v>3</v>
      </c>
      <c r="M796" s="55" t="str" cm="1">
        <f t="array" ref="M796">INDEX(Processing!$W$6:$W$17,MONTH('ALL ORDERS'!K796))</f>
        <v>December</v>
      </c>
      <c r="N796" s="54">
        <f t="shared" si="210"/>
        <v>2025</v>
      </c>
      <c r="O796" s="58">
        <v>0.375</v>
      </c>
      <c r="P796" s="59" t="s">
        <v>338</v>
      </c>
      <c r="Q796" s="60" t="s">
        <v>94</v>
      </c>
      <c r="R796" s="56" t="s">
        <v>253</v>
      </c>
      <c r="S796" s="61" t="s">
        <v>43</v>
      </c>
      <c r="T796" s="70">
        <v>1900888990</v>
      </c>
      <c r="U796" s="63" t="s">
        <v>27</v>
      </c>
      <c r="V796" s="63" t="s">
        <v>147</v>
      </c>
      <c r="W796" s="64">
        <v>2465</v>
      </c>
      <c r="X796" s="64">
        <v>4</v>
      </c>
      <c r="Y796" s="47"/>
      <c r="Z796" s="47"/>
    </row>
    <row r="797" spans="1:26" ht="24" x14ac:dyDescent="0.25">
      <c r="A797" s="53">
        <v>45995</v>
      </c>
      <c r="B797" s="54">
        <f t="shared" si="201"/>
        <v>4</v>
      </c>
      <c r="C797" s="55" t="str" cm="1">
        <f t="array" ref="C797">INDEX(Processing!$C$11:$C$22,MONTH('ALL ORDERS'!A797))</f>
        <v>DEC</v>
      </c>
      <c r="D797" s="54">
        <f t="shared" si="202"/>
        <v>2025</v>
      </c>
      <c r="E797" s="56" t="s">
        <v>50</v>
      </c>
      <c r="F797" s="56" t="s">
        <v>134</v>
      </c>
      <c r="G797" s="100">
        <v>1000</v>
      </c>
      <c r="H797" s="100">
        <v>0</v>
      </c>
      <c r="I797" s="57">
        <v>0.15</v>
      </c>
      <c r="J797" s="99">
        <f t="shared" si="211"/>
        <v>1000</v>
      </c>
      <c r="K797" s="53">
        <v>45995</v>
      </c>
      <c r="L797" s="54">
        <f t="shared" si="203"/>
        <v>4</v>
      </c>
      <c r="M797" s="55" t="str" cm="1">
        <f t="array" ref="M797">INDEX(Processing!$W$6:$W$17,MONTH('ALL ORDERS'!K797))</f>
        <v>December</v>
      </c>
      <c r="N797" s="54">
        <f t="shared" si="210"/>
        <v>2025</v>
      </c>
      <c r="O797" s="58">
        <v>0.45833333333333331</v>
      </c>
      <c r="P797" s="59" t="s">
        <v>194</v>
      </c>
      <c r="Q797" s="60" t="s">
        <v>90</v>
      </c>
      <c r="R797" s="56" t="s">
        <v>280</v>
      </c>
      <c r="S797" s="61" t="s">
        <v>45</v>
      </c>
      <c r="T797" s="62" t="s">
        <v>383</v>
      </c>
      <c r="U797" s="63" t="s">
        <v>24</v>
      </c>
      <c r="V797" s="63" t="s">
        <v>147</v>
      </c>
      <c r="W797" s="64">
        <v>4128</v>
      </c>
      <c r="X797" s="64">
        <v>4</v>
      </c>
      <c r="Y797" s="47"/>
      <c r="Z797" s="47"/>
    </row>
    <row r="798" spans="1:26" ht="24" x14ac:dyDescent="0.25">
      <c r="A798" s="53">
        <v>45996</v>
      </c>
      <c r="B798" s="54">
        <f t="shared" si="201"/>
        <v>5</v>
      </c>
      <c r="C798" s="55" t="str" cm="1">
        <f t="array" ref="C798">INDEX(Processing!$C$11:$C$22,MONTH('ALL ORDERS'!A798))</f>
        <v>DEC</v>
      </c>
      <c r="D798" s="54">
        <f t="shared" si="202"/>
        <v>2025</v>
      </c>
      <c r="E798" s="56" t="s">
        <v>49</v>
      </c>
      <c r="F798" s="56" t="s">
        <v>137</v>
      </c>
      <c r="G798" s="100">
        <v>20000</v>
      </c>
      <c r="H798" s="100">
        <v>800</v>
      </c>
      <c r="I798" s="57">
        <v>0.15</v>
      </c>
      <c r="J798" s="99">
        <f t="shared" si="211"/>
        <v>20800</v>
      </c>
      <c r="K798" s="53">
        <v>45996</v>
      </c>
      <c r="L798" s="54">
        <f t="shared" si="203"/>
        <v>5</v>
      </c>
      <c r="M798" s="55" t="str" cm="1">
        <f t="array" ref="M798">INDEX(Processing!$W$6:$W$17,MONTH('ALL ORDERS'!K798))</f>
        <v>December</v>
      </c>
      <c r="N798" s="54">
        <f t="shared" si="210"/>
        <v>2025</v>
      </c>
      <c r="O798" s="58">
        <v>0.625</v>
      </c>
      <c r="P798" s="59" t="s">
        <v>162</v>
      </c>
      <c r="Q798" s="60" t="s">
        <v>94</v>
      </c>
      <c r="R798" s="56" t="s">
        <v>245</v>
      </c>
      <c r="S798" s="61" t="s">
        <v>42</v>
      </c>
      <c r="T798" s="62" t="s">
        <v>384</v>
      </c>
      <c r="U798" s="63" t="s">
        <v>24</v>
      </c>
      <c r="V798" s="63" t="s">
        <v>147</v>
      </c>
      <c r="W798" s="64">
        <v>2269</v>
      </c>
      <c r="X798" s="64">
        <v>4</v>
      </c>
      <c r="Y798" s="47"/>
      <c r="Z798" s="47"/>
    </row>
    <row r="799" spans="1:26" ht="24" x14ac:dyDescent="0.25">
      <c r="A799" s="53">
        <v>45996</v>
      </c>
      <c r="B799" s="54">
        <f t="shared" si="201"/>
        <v>5</v>
      </c>
      <c r="C799" s="55" t="str" cm="1">
        <f t="array" ref="C799">INDEX(Processing!$C$11:$C$22,MONTH('ALL ORDERS'!A799))</f>
        <v>DEC</v>
      </c>
      <c r="D799" s="54">
        <f t="shared" si="202"/>
        <v>2025</v>
      </c>
      <c r="E799" s="56" t="s">
        <v>48</v>
      </c>
      <c r="F799" s="56" t="s">
        <v>131</v>
      </c>
      <c r="G799" s="100">
        <v>0</v>
      </c>
      <c r="H799" s="100">
        <v>900</v>
      </c>
      <c r="I799" s="57">
        <v>0.15</v>
      </c>
      <c r="J799" s="99">
        <f t="shared" si="211"/>
        <v>900</v>
      </c>
      <c r="K799" s="53">
        <v>45996</v>
      </c>
      <c r="L799" s="54">
        <f t="shared" si="203"/>
        <v>5</v>
      </c>
      <c r="M799" s="55" t="str" cm="1">
        <f t="array" ref="M799">INDEX(Processing!$W$6:$W$17,MONTH('ALL ORDERS'!K799))</f>
        <v>December</v>
      </c>
      <c r="N799" s="54">
        <f t="shared" si="210"/>
        <v>2025</v>
      </c>
      <c r="O799" s="58">
        <v>0.45833333333333331</v>
      </c>
      <c r="P799" s="59" t="s">
        <v>173</v>
      </c>
      <c r="Q799" s="60" t="s">
        <v>90</v>
      </c>
      <c r="R799" s="56" t="s">
        <v>257</v>
      </c>
      <c r="S799" s="61" t="s">
        <v>41</v>
      </c>
      <c r="T799" s="62" t="s">
        <v>385</v>
      </c>
      <c r="U799" s="63" t="s">
        <v>26</v>
      </c>
      <c r="V799" s="63" t="s">
        <v>146</v>
      </c>
      <c r="W799" s="64">
        <v>1468</v>
      </c>
      <c r="X799" s="64"/>
      <c r="Y799" s="47"/>
      <c r="Z799" s="47"/>
    </row>
    <row r="800" spans="1:26" ht="24" x14ac:dyDescent="0.25">
      <c r="A800" s="53">
        <v>45992</v>
      </c>
      <c r="B800" s="54">
        <f t="shared" si="201"/>
        <v>1</v>
      </c>
      <c r="C800" s="55" t="str" cm="1">
        <f t="array" ref="C800">INDEX(Processing!$C$11:$C$22,MONTH('ALL ORDERS'!A800))</f>
        <v>DEC</v>
      </c>
      <c r="D800" s="54">
        <f t="shared" si="202"/>
        <v>2025</v>
      </c>
      <c r="E800" s="56" t="s">
        <v>50</v>
      </c>
      <c r="F800" s="56" t="s">
        <v>133</v>
      </c>
      <c r="G800" s="100">
        <v>9000</v>
      </c>
      <c r="H800" s="100">
        <v>0</v>
      </c>
      <c r="I800" s="57">
        <v>0.15</v>
      </c>
      <c r="J800" s="99">
        <f t="shared" si="211"/>
        <v>9000</v>
      </c>
      <c r="K800" s="53">
        <v>45992</v>
      </c>
      <c r="L800" s="54">
        <f t="shared" si="203"/>
        <v>1</v>
      </c>
      <c r="M800" s="55" t="str" cm="1">
        <f t="array" ref="M800">INDEX(Processing!$W$6:$W$17,MONTH('ALL ORDERS'!K800))</f>
        <v>December</v>
      </c>
      <c r="N800" s="54">
        <f t="shared" si="210"/>
        <v>2025</v>
      </c>
      <c r="O800" s="58">
        <v>0.41666666666666669</v>
      </c>
      <c r="P800" s="59" t="s">
        <v>188</v>
      </c>
      <c r="Q800" s="60" t="s">
        <v>94</v>
      </c>
      <c r="R800" s="56" t="s">
        <v>274</v>
      </c>
      <c r="S800" s="61" t="s">
        <v>42</v>
      </c>
      <c r="T800" s="62" t="s">
        <v>386</v>
      </c>
      <c r="U800" s="63" t="s">
        <v>26</v>
      </c>
      <c r="V800" s="63" t="s">
        <v>147</v>
      </c>
      <c r="W800" s="64">
        <v>3887</v>
      </c>
      <c r="X800" s="64">
        <v>4</v>
      </c>
      <c r="Y800" s="47"/>
      <c r="Z800" s="47"/>
    </row>
    <row r="801" spans="1:26" ht="24" x14ac:dyDescent="0.25">
      <c r="A801" s="53">
        <v>45992</v>
      </c>
      <c r="B801" s="54">
        <f t="shared" si="201"/>
        <v>1</v>
      </c>
      <c r="C801" s="55" t="str" cm="1">
        <f t="array" ref="C801">INDEX(Processing!$C$11:$C$22,MONTH('ALL ORDERS'!A801))</f>
        <v>DEC</v>
      </c>
      <c r="D801" s="54">
        <f t="shared" si="202"/>
        <v>2025</v>
      </c>
      <c r="E801" s="56" t="s">
        <v>47</v>
      </c>
      <c r="F801" s="56" t="s">
        <v>133</v>
      </c>
      <c r="G801" s="100">
        <v>0</v>
      </c>
      <c r="H801" s="100">
        <v>890</v>
      </c>
      <c r="I801" s="57">
        <v>0.15</v>
      </c>
      <c r="J801" s="99">
        <f t="shared" si="211"/>
        <v>890</v>
      </c>
      <c r="K801" s="53">
        <v>45992</v>
      </c>
      <c r="L801" s="54">
        <f t="shared" si="203"/>
        <v>1</v>
      </c>
      <c r="M801" s="55" t="str" cm="1">
        <f t="array" ref="M801">INDEX(Processing!$W$6:$W$17,MONTH('ALL ORDERS'!K801))</f>
        <v>December</v>
      </c>
      <c r="N801" s="54">
        <f t="shared" si="210"/>
        <v>2025</v>
      </c>
      <c r="O801" s="58">
        <v>0.5</v>
      </c>
      <c r="P801" s="59" t="s">
        <v>347</v>
      </c>
      <c r="Q801" s="60" t="s">
        <v>94</v>
      </c>
      <c r="R801" s="56" t="s">
        <v>309</v>
      </c>
      <c r="S801" s="61" t="s">
        <v>41</v>
      </c>
      <c r="T801" s="62" t="s">
        <v>387</v>
      </c>
      <c r="U801" s="63" t="s">
        <v>26</v>
      </c>
      <c r="V801" s="63" t="s">
        <v>146</v>
      </c>
      <c r="W801" s="64">
        <v>2891</v>
      </c>
      <c r="X801" s="64"/>
      <c r="Y801" s="47"/>
      <c r="Z801" s="47"/>
    </row>
    <row r="802" spans="1:26" ht="24" x14ac:dyDescent="0.25">
      <c r="A802" s="53">
        <v>45992</v>
      </c>
      <c r="B802" s="54">
        <f t="shared" si="201"/>
        <v>1</v>
      </c>
      <c r="C802" s="55" t="str" cm="1">
        <f t="array" ref="C802">INDEX(Processing!$C$11:$C$22,MONTH('ALL ORDERS'!A802))</f>
        <v>DEC</v>
      </c>
      <c r="D802" s="54">
        <f t="shared" si="202"/>
        <v>2025</v>
      </c>
      <c r="E802" s="56" t="s">
        <v>50</v>
      </c>
      <c r="F802" s="56" t="s">
        <v>134</v>
      </c>
      <c r="G802" s="100">
        <v>0</v>
      </c>
      <c r="H802" s="100">
        <v>100</v>
      </c>
      <c r="I802" s="57">
        <v>0.15</v>
      </c>
      <c r="J802" s="99">
        <f t="shared" si="211"/>
        <v>100</v>
      </c>
      <c r="K802" s="53">
        <v>45992</v>
      </c>
      <c r="L802" s="54">
        <f t="shared" si="203"/>
        <v>1</v>
      </c>
      <c r="M802" s="55" t="str" cm="1">
        <f t="array" ref="M802">INDEX(Processing!$W$6:$W$17,MONTH('ALL ORDERS'!K802))</f>
        <v>December</v>
      </c>
      <c r="N802" s="54">
        <f t="shared" si="210"/>
        <v>2025</v>
      </c>
      <c r="O802" s="58">
        <v>0.66666666666666663</v>
      </c>
      <c r="P802" s="59" t="s">
        <v>221</v>
      </c>
      <c r="Q802" s="60" t="s">
        <v>94</v>
      </c>
      <c r="R802" s="56" t="s">
        <v>320</v>
      </c>
      <c r="S802" s="61" t="s">
        <v>41</v>
      </c>
      <c r="T802" s="62" t="s">
        <v>388</v>
      </c>
      <c r="U802" s="63" t="s">
        <v>26</v>
      </c>
      <c r="V802" s="63" t="s">
        <v>148</v>
      </c>
      <c r="W802" s="64">
        <v>1360</v>
      </c>
      <c r="X802" s="64"/>
      <c r="Y802" s="47"/>
      <c r="Z802" s="47"/>
    </row>
    <row r="803" spans="1:26" ht="24" x14ac:dyDescent="0.25">
      <c r="A803" s="53">
        <v>45992</v>
      </c>
      <c r="B803" s="54">
        <f t="shared" si="201"/>
        <v>1</v>
      </c>
      <c r="C803" s="55" t="str" cm="1">
        <f t="array" ref="C803">INDEX(Processing!$C$11:$C$22,MONTH('ALL ORDERS'!A803))</f>
        <v>DEC</v>
      </c>
      <c r="D803" s="54">
        <f t="shared" si="202"/>
        <v>2025</v>
      </c>
      <c r="E803" s="56" t="s">
        <v>49</v>
      </c>
      <c r="F803" s="56" t="s">
        <v>134</v>
      </c>
      <c r="G803" s="100">
        <v>20000</v>
      </c>
      <c r="H803" s="100">
        <v>5000</v>
      </c>
      <c r="I803" s="57"/>
      <c r="J803" s="99">
        <f t="shared" si="211"/>
        <v>25000</v>
      </c>
      <c r="K803" s="53">
        <v>45992</v>
      </c>
      <c r="L803" s="54">
        <f t="shared" si="203"/>
        <v>1</v>
      </c>
      <c r="M803" s="55" t="str" cm="1">
        <f t="array" ref="M803">INDEX(Processing!$W$6:$W$17,MONTH('ALL ORDERS'!K803))</f>
        <v>December</v>
      </c>
      <c r="N803" s="54">
        <f t="shared" si="210"/>
        <v>2025</v>
      </c>
      <c r="O803" s="58">
        <v>0.66666666666666663</v>
      </c>
      <c r="P803" s="59" t="s">
        <v>163</v>
      </c>
      <c r="Q803" s="60" t="s">
        <v>94</v>
      </c>
      <c r="R803" s="56" t="s">
        <v>246</v>
      </c>
      <c r="S803" s="61" t="s">
        <v>44</v>
      </c>
      <c r="T803" s="62" t="s">
        <v>389</v>
      </c>
      <c r="U803" s="63" t="s">
        <v>24</v>
      </c>
      <c r="V803" s="63" t="s">
        <v>146</v>
      </c>
      <c r="W803" s="64">
        <v>2530</v>
      </c>
      <c r="X803" s="64"/>
      <c r="Y803" s="47"/>
      <c r="Z803" s="47"/>
    </row>
    <row r="804" spans="1:26" ht="24" x14ac:dyDescent="0.25">
      <c r="A804" s="53">
        <v>45992</v>
      </c>
      <c r="B804" s="54">
        <f t="shared" si="201"/>
        <v>1</v>
      </c>
      <c r="C804" s="55" t="str" cm="1">
        <f t="array" ref="C804">INDEX(Processing!$C$11:$C$22,MONTH('ALL ORDERS'!A804))</f>
        <v>DEC</v>
      </c>
      <c r="D804" s="54">
        <f t="shared" si="202"/>
        <v>2025</v>
      </c>
      <c r="E804" s="56" t="s">
        <v>50</v>
      </c>
      <c r="F804" s="56" t="s">
        <v>19</v>
      </c>
      <c r="G804" s="100">
        <v>200</v>
      </c>
      <c r="H804" s="100">
        <v>0</v>
      </c>
      <c r="I804" s="57"/>
      <c r="J804" s="99">
        <f t="shared" si="211"/>
        <v>200</v>
      </c>
      <c r="K804" s="53">
        <v>45992</v>
      </c>
      <c r="L804" s="54">
        <f t="shared" si="203"/>
        <v>1</v>
      </c>
      <c r="M804" s="55" t="str" cm="1">
        <f t="array" ref="M804">INDEX(Processing!$W$6:$W$17,MONTH('ALL ORDERS'!K804))</f>
        <v>December</v>
      </c>
      <c r="N804" s="54">
        <f t="shared" si="210"/>
        <v>2025</v>
      </c>
      <c r="O804" s="58">
        <v>0.75</v>
      </c>
      <c r="P804" s="59" t="s">
        <v>209</v>
      </c>
      <c r="Q804" s="60" t="s">
        <v>94</v>
      </c>
      <c r="R804" s="56" t="s">
        <v>297</v>
      </c>
      <c r="S804" s="61" t="s">
        <v>42</v>
      </c>
      <c r="T804" s="62" t="s">
        <v>390</v>
      </c>
      <c r="U804" s="63" t="s">
        <v>26</v>
      </c>
      <c r="V804" s="63" t="s">
        <v>147</v>
      </c>
      <c r="W804" s="64">
        <v>3972</v>
      </c>
      <c r="X804" s="64">
        <v>4</v>
      </c>
      <c r="Y804" s="47"/>
      <c r="Z804" s="47"/>
    </row>
    <row r="805" spans="1:26" ht="24" x14ac:dyDescent="0.25">
      <c r="A805" s="53">
        <v>45999</v>
      </c>
      <c r="B805" s="54">
        <f t="shared" si="201"/>
        <v>8</v>
      </c>
      <c r="C805" s="55" t="str" cm="1">
        <f t="array" ref="C805">INDEX(Processing!$C$11:$C$22,MONTH('ALL ORDERS'!A805))</f>
        <v>DEC</v>
      </c>
      <c r="D805" s="54">
        <f t="shared" si="202"/>
        <v>2025</v>
      </c>
      <c r="E805" s="56" t="s">
        <v>50</v>
      </c>
      <c r="F805" s="56" t="s">
        <v>138</v>
      </c>
      <c r="G805" s="100">
        <v>100</v>
      </c>
      <c r="H805" s="100">
        <v>0</v>
      </c>
      <c r="I805" s="57">
        <v>0.05</v>
      </c>
      <c r="J805" s="99">
        <f t="shared" si="211"/>
        <v>100</v>
      </c>
      <c r="K805" s="53">
        <v>45999</v>
      </c>
      <c r="L805" s="54">
        <f>DAY(K805)</f>
        <v>8</v>
      </c>
      <c r="M805" s="55" t="str" cm="1">
        <f t="array" ref="M805">INDEX(Processing!$W$6:$W$17,MONTH('ALL ORDERS'!K805))</f>
        <v>December</v>
      </c>
      <c r="N805" s="54">
        <f>YEAR(K805)</f>
        <v>2025</v>
      </c>
      <c r="O805" s="58">
        <v>0.58333333333333337</v>
      </c>
      <c r="P805" s="59" t="s">
        <v>205</v>
      </c>
      <c r="Q805" s="60" t="s">
        <v>94</v>
      </c>
      <c r="R805" s="56" t="s">
        <v>292</v>
      </c>
      <c r="S805" s="61" t="s">
        <v>45</v>
      </c>
      <c r="T805" s="62" t="s">
        <v>391</v>
      </c>
      <c r="U805" s="63" t="s">
        <v>25</v>
      </c>
      <c r="V805" s="63" t="s">
        <v>146</v>
      </c>
      <c r="W805" s="64">
        <v>3788</v>
      </c>
      <c r="X805" s="64"/>
      <c r="Y805" s="47"/>
      <c r="Z805" s="47"/>
    </row>
    <row r="806" spans="1:26" ht="24" x14ac:dyDescent="0.25">
      <c r="A806" s="53">
        <v>45999</v>
      </c>
      <c r="B806" s="54">
        <f t="shared" si="201"/>
        <v>8</v>
      </c>
      <c r="C806" s="55" t="str" cm="1">
        <f t="array" ref="C806">INDEX(Processing!$C$11:$C$22,MONTH('ALL ORDERS'!A806))</f>
        <v>DEC</v>
      </c>
      <c r="D806" s="54">
        <f t="shared" si="202"/>
        <v>2025</v>
      </c>
      <c r="E806" s="56" t="s">
        <v>50</v>
      </c>
      <c r="F806" s="56" t="s">
        <v>134</v>
      </c>
      <c r="G806" s="100">
        <v>0</v>
      </c>
      <c r="H806" s="100">
        <v>500</v>
      </c>
      <c r="I806" s="57">
        <v>0.15</v>
      </c>
      <c r="J806" s="99">
        <f t="shared" si="211"/>
        <v>500</v>
      </c>
      <c r="K806" s="53">
        <v>45999</v>
      </c>
      <c r="L806" s="54">
        <f t="shared" ref="L806" si="215">DAY(K806)</f>
        <v>8</v>
      </c>
      <c r="M806" s="55" t="str" cm="1">
        <f t="array" ref="M806">INDEX(Processing!$W$6:$W$17,MONTH('ALL ORDERS'!K806))</f>
        <v>December</v>
      </c>
      <c r="N806" s="54">
        <f t="shared" ref="N806" si="216">YEAR(K806)</f>
        <v>2025</v>
      </c>
      <c r="O806" s="58">
        <v>0.66666666666666663</v>
      </c>
      <c r="P806" s="59" t="s">
        <v>205</v>
      </c>
      <c r="Q806" s="60" t="s">
        <v>90</v>
      </c>
      <c r="R806" s="56" t="s">
        <v>292</v>
      </c>
      <c r="S806" s="61" t="s">
        <v>42</v>
      </c>
      <c r="T806" s="62" t="s">
        <v>371</v>
      </c>
      <c r="U806" s="63" t="s">
        <v>26</v>
      </c>
      <c r="V806" s="63" t="s">
        <v>146</v>
      </c>
      <c r="W806" s="64">
        <v>4681</v>
      </c>
      <c r="X806" s="64"/>
      <c r="Y806" s="47"/>
      <c r="Z806" s="47"/>
    </row>
    <row r="807" spans="1:26" ht="24" x14ac:dyDescent="0.25">
      <c r="A807" s="53">
        <v>46000</v>
      </c>
      <c r="B807" s="54">
        <f t="shared" ref="B807:B809" si="217">DAY(A807)</f>
        <v>9</v>
      </c>
      <c r="C807" s="55" t="str" cm="1">
        <f t="array" ref="C807">INDEX(Processing!$C$11:$C$22,MONTH('ALL ORDERS'!A807))</f>
        <v>DEC</v>
      </c>
      <c r="D807" s="54">
        <f t="shared" ref="D807:D809" si="218">YEAR(A807)</f>
        <v>2025</v>
      </c>
      <c r="E807" s="56" t="s">
        <v>49</v>
      </c>
      <c r="F807" s="56" t="s">
        <v>131</v>
      </c>
      <c r="G807" s="100">
        <v>0</v>
      </c>
      <c r="H807" s="100">
        <v>2300</v>
      </c>
      <c r="I807" s="57">
        <v>0.15</v>
      </c>
      <c r="J807" s="99">
        <f t="shared" ref="J807:J809" si="219">G807+H807</f>
        <v>2300</v>
      </c>
      <c r="K807" s="53">
        <v>46000</v>
      </c>
      <c r="L807" s="54">
        <f t="shared" ref="L807:L809" si="220">DAY(K807)</f>
        <v>9</v>
      </c>
      <c r="M807" s="55" t="str" cm="1">
        <f t="array" ref="M807">INDEX(Processing!$W$6:$W$17,MONTH('ALL ORDERS'!K807))</f>
        <v>December</v>
      </c>
      <c r="N807" s="54">
        <f t="shared" ref="N807:N809" si="221">YEAR(K807)</f>
        <v>2025</v>
      </c>
      <c r="O807" s="58">
        <v>0.70833333333333304</v>
      </c>
      <c r="P807" s="59" t="s">
        <v>232</v>
      </c>
      <c r="Q807" s="60" t="s">
        <v>91</v>
      </c>
      <c r="R807" s="56" t="s">
        <v>332</v>
      </c>
      <c r="S807" s="61" t="s">
        <v>44</v>
      </c>
      <c r="T807" s="62" t="s">
        <v>372</v>
      </c>
      <c r="U807" s="63" t="s">
        <v>23</v>
      </c>
      <c r="V807" s="63" t="s">
        <v>147</v>
      </c>
      <c r="W807" s="64">
        <v>4682</v>
      </c>
      <c r="X807" s="64">
        <v>5</v>
      </c>
    </row>
    <row r="808" spans="1:26" ht="24" x14ac:dyDescent="0.25">
      <c r="A808" s="53">
        <v>46001</v>
      </c>
      <c r="B808" s="54">
        <f t="shared" si="217"/>
        <v>10</v>
      </c>
      <c r="C808" s="55" t="str" cm="1">
        <f t="array" ref="C808">INDEX(Processing!$C$11:$C$22,MONTH('ALL ORDERS'!A808))</f>
        <v>DEC</v>
      </c>
      <c r="D808" s="54">
        <f t="shared" si="218"/>
        <v>2025</v>
      </c>
      <c r="E808" s="56" t="s">
        <v>51</v>
      </c>
      <c r="F808" s="56" t="s">
        <v>133</v>
      </c>
      <c r="G808" s="100">
        <v>0</v>
      </c>
      <c r="H808" s="100">
        <v>300</v>
      </c>
      <c r="I808" s="57">
        <v>0.05</v>
      </c>
      <c r="J808" s="99">
        <f t="shared" si="219"/>
        <v>300</v>
      </c>
      <c r="K808" s="53">
        <v>46001</v>
      </c>
      <c r="L808" s="54">
        <f t="shared" si="220"/>
        <v>10</v>
      </c>
      <c r="M808" s="55" t="str" cm="1">
        <f t="array" ref="M808">INDEX(Processing!$W$6:$W$17,MONTH('ALL ORDERS'!K808))</f>
        <v>December</v>
      </c>
      <c r="N808" s="54">
        <f t="shared" si="221"/>
        <v>2025</v>
      </c>
      <c r="O808" s="58">
        <v>0.75</v>
      </c>
      <c r="P808" s="59" t="s">
        <v>344</v>
      </c>
      <c r="Q808" s="60" t="s">
        <v>94</v>
      </c>
      <c r="R808" s="56" t="s">
        <v>306</v>
      </c>
      <c r="S808" s="61" t="s">
        <v>41</v>
      </c>
      <c r="T808" s="62" t="s">
        <v>373</v>
      </c>
      <c r="U808" s="63" t="s">
        <v>26</v>
      </c>
      <c r="V808" s="63" t="s">
        <v>146</v>
      </c>
      <c r="W808" s="64">
        <v>4683</v>
      </c>
      <c r="X808" s="64"/>
    </row>
    <row r="809" spans="1:26" ht="24" x14ac:dyDescent="0.25">
      <c r="A809" s="53">
        <v>46002</v>
      </c>
      <c r="B809" s="54">
        <f t="shared" si="217"/>
        <v>11</v>
      </c>
      <c r="C809" s="55" t="str" cm="1">
        <f t="array" ref="C809">INDEX(Processing!$C$11:$C$22,MONTH('ALL ORDERS'!A809))</f>
        <v>DEC</v>
      </c>
      <c r="D809" s="54">
        <f t="shared" si="218"/>
        <v>2025</v>
      </c>
      <c r="E809" s="56" t="s">
        <v>47</v>
      </c>
      <c r="F809" s="56" t="s">
        <v>138</v>
      </c>
      <c r="G809" s="100">
        <v>0</v>
      </c>
      <c r="H809" s="100">
        <v>700</v>
      </c>
      <c r="I809" s="57"/>
      <c r="J809" s="99">
        <f t="shared" si="219"/>
        <v>700</v>
      </c>
      <c r="K809" s="53">
        <v>46002</v>
      </c>
      <c r="L809" s="54">
        <f t="shared" si="220"/>
        <v>11</v>
      </c>
      <c r="M809" s="55" t="str" cm="1">
        <f t="array" ref="M809">INDEX(Processing!$W$6:$W$17,MONTH('ALL ORDERS'!K809))</f>
        <v>December</v>
      </c>
      <c r="N809" s="54">
        <f t="shared" si="221"/>
        <v>2025</v>
      </c>
      <c r="O809" s="58">
        <v>0.79166666666666696</v>
      </c>
      <c r="P809" s="59" t="s">
        <v>181</v>
      </c>
      <c r="Q809" s="60" t="s">
        <v>93</v>
      </c>
      <c r="R809" s="56" t="s">
        <v>266</v>
      </c>
      <c r="S809" s="61" t="s">
        <v>43</v>
      </c>
      <c r="T809" s="62" t="s">
        <v>374</v>
      </c>
      <c r="U809" s="63" t="s">
        <v>24</v>
      </c>
      <c r="V809" s="63" t="s">
        <v>146</v>
      </c>
      <c r="W809" s="64">
        <v>4684</v>
      </c>
      <c r="X809" s="64"/>
    </row>
    <row r="810" spans="1:26" ht="24" x14ac:dyDescent="0.25">
      <c r="A810" s="53">
        <v>46003</v>
      </c>
      <c r="B810" s="54">
        <f t="shared" ref="B810" si="222">DAY(A810)</f>
        <v>12</v>
      </c>
      <c r="C810" s="55" t="str" cm="1">
        <f t="array" ref="C810">INDEX(Processing!$C$11:$C$22,MONTH('ALL ORDERS'!A810))</f>
        <v>DEC</v>
      </c>
      <c r="D810" s="54">
        <f t="shared" ref="D810" si="223">YEAR(A810)</f>
        <v>2025</v>
      </c>
      <c r="E810" s="56" t="s">
        <v>47</v>
      </c>
      <c r="F810" s="56" t="s">
        <v>130</v>
      </c>
      <c r="G810" s="100">
        <v>0</v>
      </c>
      <c r="H810" s="100">
        <v>300</v>
      </c>
      <c r="I810" s="57">
        <v>0.1</v>
      </c>
      <c r="J810" s="99">
        <f t="shared" ref="J810" si="224">G810+H810</f>
        <v>300</v>
      </c>
      <c r="K810" s="53">
        <v>46003</v>
      </c>
      <c r="L810" s="54">
        <f t="shared" ref="L810" si="225">DAY(K810)</f>
        <v>12</v>
      </c>
      <c r="M810" s="55" t="str" cm="1">
        <f t="array" ref="M810">INDEX(Processing!$W$6:$W$17,MONTH('ALL ORDERS'!K810))</f>
        <v>December</v>
      </c>
      <c r="N810" s="54">
        <f t="shared" ref="N810" si="226">YEAR(K810)</f>
        <v>2025</v>
      </c>
      <c r="O810" s="58">
        <v>0.83333333333333404</v>
      </c>
      <c r="P810" s="59" t="s">
        <v>182</v>
      </c>
      <c r="Q810" s="60" t="s">
        <v>92</v>
      </c>
      <c r="R810" s="56" t="s">
        <v>1088</v>
      </c>
      <c r="S810" s="61" t="s">
        <v>45</v>
      </c>
      <c r="T810" s="62" t="s">
        <v>387</v>
      </c>
      <c r="U810" s="63" t="s">
        <v>24</v>
      </c>
      <c r="V810" s="63" t="s">
        <v>146</v>
      </c>
      <c r="W810" s="64">
        <v>4685</v>
      </c>
      <c r="X810" s="64"/>
    </row>
    <row r="811" spans="1:26" x14ac:dyDescent="0.25">
      <c r="A811" s="53">
        <f>ORDER!D9</f>
        <v>0</v>
      </c>
      <c r="B811" s="54">
        <f t="shared" ref="B811" si="227">DAY(A811)</f>
        <v>0</v>
      </c>
      <c r="C811" s="55" t="str" cm="1">
        <f t="array" ref="C811">INDEX(Processing!$C$11:$C$22,MONTH('ALL ORDERS'!A811))</f>
        <v>JAN</v>
      </c>
      <c r="D811" s="54">
        <f t="shared" ref="D811" si="228">YEAR(A811)</f>
        <v>1900</v>
      </c>
      <c r="E811" s="56" t="str">
        <f>ORDER!F1</f>
        <v>Jacob</v>
      </c>
      <c r="F811" s="56">
        <f>ORDER!D6</f>
        <v>0</v>
      </c>
      <c r="G811" s="100">
        <v>0</v>
      </c>
      <c r="H811" s="100">
        <f>ORDER!D18</f>
        <v>0</v>
      </c>
      <c r="I811" s="57">
        <f>ORDER!F15</f>
        <v>0</v>
      </c>
      <c r="J811" s="99">
        <f t="shared" ref="J811" si="229">G811+H811</f>
        <v>0</v>
      </c>
      <c r="K811" s="53">
        <f>ORDER!D9</f>
        <v>0</v>
      </c>
      <c r="L811" s="54">
        <f t="shared" ref="L811" si="230">DAY(K811)</f>
        <v>0</v>
      </c>
      <c r="M811" s="55" t="str" cm="1">
        <f t="array" ref="M811">INDEX(Processing!$W$6:$W$17,MONTH('ALL ORDERS'!K811))</f>
        <v>January</v>
      </c>
      <c r="N811" s="54">
        <f t="shared" ref="N811" si="231">YEAR(K811)</f>
        <v>1900</v>
      </c>
      <c r="O811" s="58">
        <f>ORDER!D12</f>
        <v>0</v>
      </c>
      <c r="P811" s="59">
        <f>ORDER!B6</f>
        <v>0</v>
      </c>
      <c r="Q811" s="60">
        <f>ORDER!B12</f>
        <v>0</v>
      </c>
      <c r="R811" s="56" t="str">
        <f>ORDER!B15</f>
        <v/>
      </c>
      <c r="S811" s="61">
        <f>ORDER!D15</f>
        <v>0</v>
      </c>
      <c r="T811" s="64" t="str">
        <f>ORDER!B9</f>
        <v/>
      </c>
      <c r="U811" s="63">
        <f>ORDER!B18</f>
        <v>0</v>
      </c>
      <c r="V811" s="63" t="s">
        <v>146</v>
      </c>
      <c r="W811" s="64">
        <v>1502</v>
      </c>
      <c r="X811" s="64"/>
    </row>
  </sheetData>
  <mergeCells count="1">
    <mergeCell ref="F2:Q2"/>
  </mergeCells>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FEFD3-5A24-4CFC-B35A-20E355DBD960}">
  <dimension ref="B1:K24"/>
  <sheetViews>
    <sheetView showRowColHeaders="0" workbookViewId="0">
      <selection activeCell="F6" sqref="F6"/>
    </sheetView>
  </sheetViews>
  <sheetFormatPr defaultColWidth="8.85546875" defaultRowHeight="15" x14ac:dyDescent="0.25"/>
  <cols>
    <col min="1" max="1" width="8.85546875" style="16"/>
    <col min="2" max="2" width="44.7109375" style="16" customWidth="1"/>
    <col min="3" max="3" width="3.42578125" style="16" customWidth="1"/>
    <col min="4" max="4" width="44.7109375" style="16" customWidth="1"/>
    <col min="5" max="5" width="3.42578125" style="16" customWidth="1"/>
    <col min="6" max="6" width="44.7109375" style="16" customWidth="1"/>
    <col min="7" max="9" width="8.85546875" style="16"/>
    <col min="10" max="10" width="6.28515625" style="16" customWidth="1"/>
    <col min="11" max="16384" width="8.85546875" style="16"/>
  </cols>
  <sheetData>
    <row r="1" spans="2:11" ht="70.900000000000006" customHeight="1" x14ac:dyDescent="0.25">
      <c r="F1" s="107" t="s">
        <v>51</v>
      </c>
      <c r="G1" s="115" t="s">
        <v>1165</v>
      </c>
      <c r="H1" s="116"/>
      <c r="I1" s="116"/>
      <c r="J1" s="116"/>
      <c r="K1" s="116"/>
    </row>
    <row r="2" spans="2:11" ht="14.45" customHeight="1" x14ac:dyDescent="0.25">
      <c r="C2" s="108"/>
    </row>
    <row r="3" spans="2:11" ht="30" customHeight="1" x14ac:dyDescent="0.35">
      <c r="B3" s="36" t="s">
        <v>110</v>
      </c>
      <c r="C3" s="34"/>
      <c r="D3" s="36" t="s">
        <v>111</v>
      </c>
      <c r="E3" s="34"/>
      <c r="F3" s="36" t="s">
        <v>112</v>
      </c>
    </row>
    <row r="4" spans="2:11" ht="14.45" customHeight="1" x14ac:dyDescent="0.25"/>
    <row r="5" spans="2:11" ht="30" customHeight="1" x14ac:dyDescent="0.3">
      <c r="B5" s="35" t="s">
        <v>102</v>
      </c>
      <c r="C5" s="35"/>
      <c r="D5" s="35" t="s">
        <v>103</v>
      </c>
      <c r="E5" s="35"/>
      <c r="F5" s="35" t="s">
        <v>104</v>
      </c>
    </row>
    <row r="6" spans="2:11" ht="30" customHeight="1" x14ac:dyDescent="0.25">
      <c r="B6" s="109"/>
      <c r="C6" s="19"/>
      <c r="D6" s="109"/>
      <c r="E6" s="19"/>
      <c r="F6" s="109"/>
    </row>
    <row r="7" spans="2:11" ht="14.45" customHeight="1" x14ac:dyDescent="0.25">
      <c r="B7" s="19"/>
      <c r="C7" s="19"/>
      <c r="D7" s="19"/>
      <c r="E7" s="19"/>
      <c r="F7" s="19"/>
    </row>
    <row r="8" spans="2:11" ht="30" customHeight="1" x14ac:dyDescent="0.3">
      <c r="B8" s="35" t="s">
        <v>52</v>
      </c>
      <c r="C8" s="35"/>
      <c r="D8" s="35" t="s">
        <v>118</v>
      </c>
      <c r="E8" s="35"/>
      <c r="F8" s="35" t="s">
        <v>107</v>
      </c>
    </row>
    <row r="9" spans="2:11" ht="30" customHeight="1" x14ac:dyDescent="0.25">
      <c r="B9" s="65" t="str">
        <f>IFERROR(INDEX('Customer Database'!F4:F103,MATCH(ORDER!B6,'Customer Database'!B4:B103,0)),"")</f>
        <v/>
      </c>
      <c r="C9" s="19"/>
      <c r="D9" s="110"/>
      <c r="E9" s="19"/>
      <c r="F9" s="67">
        <f>Processing!Q19</f>
        <v>0</v>
      </c>
    </row>
    <row r="10" spans="2:11" x14ac:dyDescent="0.25">
      <c r="B10" s="19"/>
      <c r="C10" s="19"/>
      <c r="D10" s="19"/>
      <c r="E10" s="19"/>
      <c r="F10" s="19"/>
    </row>
    <row r="11" spans="2:11" ht="30" customHeight="1" x14ac:dyDescent="0.3">
      <c r="B11" s="35" t="s">
        <v>89</v>
      </c>
      <c r="C11" s="35"/>
      <c r="D11" s="35" t="s">
        <v>119</v>
      </c>
      <c r="E11" s="35"/>
      <c r="F11" s="35" t="s">
        <v>108</v>
      </c>
    </row>
    <row r="12" spans="2:11" ht="30" customHeight="1" x14ac:dyDescent="0.25">
      <c r="B12" s="109"/>
      <c r="C12" s="19"/>
      <c r="D12" s="111"/>
      <c r="E12" s="19"/>
      <c r="F12" s="109"/>
    </row>
    <row r="13" spans="2:11" ht="14.45" customHeight="1" x14ac:dyDescent="0.25">
      <c r="B13" s="19"/>
      <c r="C13" s="19"/>
      <c r="D13" s="19"/>
      <c r="E13" s="19"/>
      <c r="F13" s="19"/>
    </row>
    <row r="14" spans="2:11" ht="30" customHeight="1" x14ac:dyDescent="0.3">
      <c r="B14" s="35" t="s">
        <v>105</v>
      </c>
      <c r="C14" s="35"/>
      <c r="D14" s="35" t="s">
        <v>59</v>
      </c>
      <c r="E14" s="35"/>
      <c r="F14" s="35" t="s">
        <v>109</v>
      </c>
    </row>
    <row r="15" spans="2:11" ht="30" customHeight="1" x14ac:dyDescent="0.25">
      <c r="B15" s="65" t="str">
        <f>IFERROR(INDEX('Customer Database'!D4:D103,MATCH(ORDER!B6,'Customer Database'!B4:B103,0)),"")</f>
        <v/>
      </c>
      <c r="C15" s="19"/>
      <c r="D15" s="109"/>
      <c r="E15" s="19"/>
      <c r="F15" s="112"/>
    </row>
    <row r="16" spans="2:11" x14ac:dyDescent="0.25">
      <c r="B16" s="19"/>
      <c r="C16" s="19"/>
      <c r="D16" s="19"/>
      <c r="E16" s="19"/>
      <c r="F16" s="19"/>
    </row>
    <row r="17" spans="2:6" ht="30" customHeight="1" x14ac:dyDescent="0.3">
      <c r="B17" s="35" t="s">
        <v>116</v>
      </c>
      <c r="C17" s="35"/>
      <c r="D17" s="35" t="s">
        <v>106</v>
      </c>
      <c r="E17" s="19"/>
      <c r="F17" s="19"/>
    </row>
    <row r="18" spans="2:6" ht="30" customHeight="1" x14ac:dyDescent="0.25">
      <c r="B18" s="109"/>
      <c r="C18" s="19"/>
      <c r="D18" s="67">
        <f>ROUND(F6*Processing!Q19*(1-F15),2)</f>
        <v>0</v>
      </c>
      <c r="E18" s="19"/>
    </row>
    <row r="19" spans="2:6" ht="14.45" customHeight="1" x14ac:dyDescent="0.25"/>
    <row r="23" spans="2:6" ht="14.45" customHeight="1" x14ac:dyDescent="0.25"/>
    <row r="24" spans="2:6" ht="14.45" customHeight="1" x14ac:dyDescent="0.25"/>
  </sheetData>
  <sheetProtection sheet="1" selectLockedCells="1"/>
  <mergeCells count="1">
    <mergeCell ref="G1:K1"/>
  </mergeCell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549B7444-3FEA-4E59-A7E9-E8684FD1B3EF}">
          <x14:formula1>
            <xm:f>Processing!$R$10:$R$15</xm:f>
          </x14:formula1>
          <xm:sqref>D15</xm:sqref>
        </x14:dataValidation>
        <x14:dataValidation type="list" allowBlank="1" showInputMessage="1" showErrorMessage="1" xr:uid="{C4F0C39F-8E53-4CCD-B707-DD41B2766CAA}">
          <x14:formula1>
            <xm:f>Processing!$R$18:$R$19</xm:f>
          </x14:formula1>
          <xm:sqref>F12</xm:sqref>
        </x14:dataValidation>
        <x14:dataValidation type="list" allowBlank="1" showInputMessage="1" xr:uid="{F2EEF45C-CF02-476E-8DB3-A47506DDCC5B}">
          <x14:formula1>
            <xm:f>Processing!$AA$2:$AA$25</xm:f>
          </x14:formula1>
          <xm:sqref>D12</xm:sqref>
        </x14:dataValidation>
        <x14:dataValidation type="list" allowBlank="1" showInputMessage="1" showErrorMessage="1" xr:uid="{EB5F3BCC-527C-4359-8980-3C5B1DE8497F}">
          <x14:formula1>
            <xm:f>Data!$B$4:$B$29</xm:f>
          </x14:formula1>
          <xm:sqref>D6</xm:sqref>
        </x14:dataValidation>
        <x14:dataValidation type="list" allowBlank="1" showInputMessage="1" xr:uid="{8AA4729E-F72F-42EC-AC57-1460B75CBC7B}">
          <x14:formula1>
            <xm:f>Data!$O$9:$O$12</xm:f>
          </x14:formula1>
          <xm:sqref>F15</xm:sqref>
        </x14:dataValidation>
        <x14:dataValidation type="list" allowBlank="1" showInputMessage="1" xr:uid="{6F7DB22B-6F26-48FF-B816-B7D3D094B469}">
          <x14:formula1>
            <xm:f>'Customer Database'!$B$4:$B$103</xm:f>
          </x14:formula1>
          <xm:sqref>B6</xm:sqref>
        </x14:dataValidation>
        <x14:dataValidation type="list" allowBlank="1" showInputMessage="1" xr:uid="{F886DC85-130F-4508-A911-DA973087FA6F}">
          <x14:formula1>
            <xm:f>Processing!$F$27:$F$31</xm:f>
          </x14:formula1>
          <xm:sqref>B12</xm:sqref>
        </x14:dataValidation>
        <x14:dataValidation type="list" allowBlank="1" showInputMessage="1" xr:uid="{F9AD223B-A50C-4647-886F-67A175A8E0DA}">
          <x14:formula1>
            <xm:f>Processing!$Z$2:$Z$32</xm:f>
          </x14:formula1>
          <xm:sqref>D9</xm:sqref>
        </x14:dataValidation>
        <x14:dataValidation type="list" allowBlank="1" showInputMessage="1" showErrorMessage="1" xr:uid="{326D0792-8CE4-4696-8ABB-E2746264DB49}">
          <x14:formula1>
            <xm:f>Processing!$S$10:$S$14</xm:f>
          </x14:formula1>
          <xm:sqref>F1</xm:sqref>
        </x14:dataValidation>
        <x14:dataValidation type="list" allowBlank="1" showInputMessage="1" xr:uid="{D654F9C6-B40A-4C2F-A2C6-EBFABA4DF147}">
          <x14:formula1>
            <xm:f>Processing!$O$2:$O$6</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D5F7-CBC7-4EDA-BC01-7BE79F9D9CC3}">
  <dimension ref="A3:T63"/>
  <sheetViews>
    <sheetView workbookViewId="0">
      <selection activeCell="D21" sqref="D21"/>
    </sheetView>
  </sheetViews>
  <sheetFormatPr defaultRowHeight="15" x14ac:dyDescent="0.25"/>
  <cols>
    <col min="1" max="1" width="13.140625" bestFit="1" customWidth="1"/>
    <col min="2" max="2" width="11.7109375" bestFit="1" customWidth="1"/>
    <col min="3" max="3" width="11.5703125" bestFit="1" customWidth="1"/>
    <col min="4" max="4" width="12" bestFit="1" customWidth="1"/>
    <col min="5" max="5" width="11.42578125" bestFit="1" customWidth="1"/>
    <col min="7" max="7" width="41.28515625" bestFit="1" customWidth="1"/>
    <col min="8" max="8" width="15.5703125" bestFit="1" customWidth="1"/>
    <col min="9" max="9" width="11.7109375" bestFit="1" customWidth="1"/>
    <col min="10" max="10" width="13.140625" bestFit="1" customWidth="1"/>
    <col min="11" max="11" width="20.140625" bestFit="1" customWidth="1"/>
    <col min="12" max="12" width="11.7109375" bestFit="1" customWidth="1"/>
    <col min="13" max="13" width="13.140625" bestFit="1" customWidth="1"/>
    <col min="14" max="14" width="16.42578125" bestFit="1" customWidth="1"/>
    <col min="15" max="15" width="15.7109375" bestFit="1" customWidth="1"/>
    <col min="16" max="16" width="13.140625" bestFit="1" customWidth="1"/>
    <col min="17" max="17" width="14.5703125" bestFit="1" customWidth="1"/>
    <col min="19" max="19" width="11.5703125" bestFit="1" customWidth="1"/>
    <col min="20" max="20" width="11.7109375" bestFit="1" customWidth="1"/>
  </cols>
  <sheetData>
    <row r="3" spans="1:5" x14ac:dyDescent="0.25">
      <c r="A3" s="72" t="s">
        <v>1075</v>
      </c>
      <c r="B3" t="s">
        <v>1078</v>
      </c>
      <c r="C3" t="s">
        <v>1079</v>
      </c>
      <c r="D3" t="s">
        <v>1110</v>
      </c>
      <c r="E3" t="s">
        <v>1150</v>
      </c>
    </row>
    <row r="4" spans="1:5" x14ac:dyDescent="0.25">
      <c r="A4" s="11" t="s">
        <v>0</v>
      </c>
      <c r="B4" s="212">
        <v>33820</v>
      </c>
      <c r="C4" s="212">
        <v>43780</v>
      </c>
      <c r="D4" s="212">
        <v>77600</v>
      </c>
      <c r="E4" s="212">
        <v>75137</v>
      </c>
    </row>
    <row r="5" spans="1:5" x14ac:dyDescent="0.25">
      <c r="A5" s="11" t="s">
        <v>1</v>
      </c>
      <c r="B5" s="212">
        <v>28020</v>
      </c>
      <c r="C5" s="212">
        <v>67080</v>
      </c>
      <c r="D5" s="212">
        <v>95100</v>
      </c>
      <c r="E5" s="212">
        <v>102667</v>
      </c>
    </row>
    <row r="6" spans="1:5" x14ac:dyDescent="0.25">
      <c r="A6" s="11" t="s">
        <v>2</v>
      </c>
      <c r="B6" s="212">
        <v>28020</v>
      </c>
      <c r="C6" s="212">
        <v>81580</v>
      </c>
      <c r="D6" s="212">
        <v>109600</v>
      </c>
      <c r="E6" s="212">
        <v>111307</v>
      </c>
    </row>
    <row r="7" spans="1:5" x14ac:dyDescent="0.25">
      <c r="A7" s="11" t="s">
        <v>3</v>
      </c>
      <c r="B7" s="212">
        <v>18020</v>
      </c>
      <c r="C7" s="212">
        <v>99080</v>
      </c>
      <c r="D7" s="212">
        <v>117100</v>
      </c>
      <c r="E7" s="212">
        <v>110749</v>
      </c>
    </row>
    <row r="8" spans="1:5" x14ac:dyDescent="0.25">
      <c r="A8" s="11" t="s">
        <v>4</v>
      </c>
      <c r="B8" s="212">
        <v>38290</v>
      </c>
      <c r="C8" s="212">
        <v>71110</v>
      </c>
      <c r="D8" s="212">
        <v>109400</v>
      </c>
      <c r="E8" s="212">
        <v>99947</v>
      </c>
    </row>
    <row r="9" spans="1:5" x14ac:dyDescent="0.25">
      <c r="A9" s="11" t="s">
        <v>5</v>
      </c>
      <c r="B9" s="212">
        <v>14300</v>
      </c>
      <c r="C9" s="212">
        <v>81300</v>
      </c>
      <c r="D9" s="212">
        <v>95600</v>
      </c>
      <c r="E9" s="212">
        <v>98003</v>
      </c>
    </row>
    <row r="10" spans="1:5" x14ac:dyDescent="0.25">
      <c r="A10" s="11" t="s">
        <v>6</v>
      </c>
      <c r="B10" s="212">
        <v>5600</v>
      </c>
      <c r="C10" s="212">
        <v>84100</v>
      </c>
      <c r="D10" s="212">
        <v>89700</v>
      </c>
      <c r="E10" s="212">
        <v>98707</v>
      </c>
    </row>
    <row r="11" spans="1:5" x14ac:dyDescent="0.25">
      <c r="A11" s="11" t="s">
        <v>7</v>
      </c>
      <c r="B11" s="212">
        <v>37130</v>
      </c>
      <c r="C11" s="212">
        <v>65470</v>
      </c>
      <c r="D11" s="212">
        <v>102600</v>
      </c>
      <c r="E11" s="212">
        <v>111153</v>
      </c>
    </row>
    <row r="12" spans="1:5" x14ac:dyDescent="0.25">
      <c r="A12" s="11" t="s">
        <v>8</v>
      </c>
      <c r="B12" s="212">
        <v>46650</v>
      </c>
      <c r="C12" s="212">
        <v>77850</v>
      </c>
      <c r="D12" s="212">
        <v>124500</v>
      </c>
      <c r="E12" s="212">
        <v>89309</v>
      </c>
    </row>
    <row r="13" spans="1:5" x14ac:dyDescent="0.25">
      <c r="A13" s="11" t="s">
        <v>9</v>
      </c>
      <c r="B13" s="212">
        <v>55900</v>
      </c>
      <c r="C13" s="212">
        <v>81300</v>
      </c>
      <c r="D13" s="212">
        <v>137200</v>
      </c>
      <c r="E13" s="212">
        <v>93153</v>
      </c>
    </row>
    <row r="14" spans="1:5" x14ac:dyDescent="0.25">
      <c r="A14" s="11" t="s">
        <v>10</v>
      </c>
      <c r="B14" s="212">
        <v>81000</v>
      </c>
      <c r="C14" s="212">
        <v>64000</v>
      </c>
      <c r="D14" s="212">
        <v>145000</v>
      </c>
      <c r="E14" s="212">
        <v>83973</v>
      </c>
    </row>
    <row r="15" spans="1:5" x14ac:dyDescent="0.25">
      <c r="A15" s="11" t="s">
        <v>11</v>
      </c>
      <c r="B15" s="212">
        <v>103410</v>
      </c>
      <c r="C15" s="212">
        <v>30290</v>
      </c>
      <c r="D15" s="212">
        <v>133700</v>
      </c>
      <c r="E15" s="212">
        <v>51384</v>
      </c>
    </row>
    <row r="16" spans="1:5" x14ac:dyDescent="0.25">
      <c r="A16" s="11" t="s">
        <v>1076</v>
      </c>
      <c r="B16" s="212">
        <v>490160</v>
      </c>
      <c r="C16" s="212">
        <v>846940</v>
      </c>
      <c r="D16" s="212">
        <v>1337100</v>
      </c>
      <c r="E16" s="212">
        <v>1125489</v>
      </c>
    </row>
    <row r="19" spans="1:20" x14ac:dyDescent="0.25">
      <c r="A19" s="72" t="s">
        <v>1075</v>
      </c>
      <c r="B19" t="s">
        <v>1078</v>
      </c>
      <c r="C19" t="s">
        <v>1079</v>
      </c>
      <c r="D19" t="s">
        <v>1110</v>
      </c>
      <c r="E19" t="s">
        <v>1150</v>
      </c>
      <c r="G19" s="72" t="s">
        <v>1075</v>
      </c>
      <c r="H19" t="s">
        <v>1110</v>
      </c>
      <c r="J19" s="72" t="s">
        <v>1075</v>
      </c>
      <c r="K19" t="s">
        <v>1118</v>
      </c>
      <c r="M19" s="72" t="s">
        <v>1075</v>
      </c>
      <c r="N19" t="s">
        <v>1139</v>
      </c>
      <c r="P19" s="72" t="s">
        <v>1075</v>
      </c>
      <c r="Q19" t="s">
        <v>1140</v>
      </c>
      <c r="S19" t="s">
        <v>1079</v>
      </c>
      <c r="T19" t="s">
        <v>1078</v>
      </c>
    </row>
    <row r="20" spans="1:20" x14ac:dyDescent="0.25">
      <c r="A20" s="11" t="s">
        <v>0</v>
      </c>
      <c r="B20" s="212">
        <v>33820</v>
      </c>
      <c r="C20" s="212">
        <v>43780</v>
      </c>
      <c r="D20" s="212">
        <v>77600</v>
      </c>
      <c r="E20" s="212">
        <v>75137</v>
      </c>
      <c r="G20" s="11" t="s">
        <v>50</v>
      </c>
      <c r="H20" s="212">
        <v>349080</v>
      </c>
      <c r="J20" s="11" t="s">
        <v>41</v>
      </c>
      <c r="K20" s="212">
        <v>86</v>
      </c>
      <c r="M20" s="11" t="s">
        <v>23</v>
      </c>
      <c r="N20" s="212">
        <v>47</v>
      </c>
      <c r="P20" s="11" t="s">
        <v>148</v>
      </c>
      <c r="Q20" s="212">
        <v>18</v>
      </c>
      <c r="S20" s="212">
        <v>846940</v>
      </c>
      <c r="T20" s="212">
        <v>490160</v>
      </c>
    </row>
    <row r="21" spans="1:20" x14ac:dyDescent="0.25">
      <c r="A21" s="11" t="s">
        <v>1</v>
      </c>
      <c r="B21" s="212">
        <v>28020</v>
      </c>
      <c r="C21" s="212">
        <v>67080</v>
      </c>
      <c r="D21" s="212">
        <v>95100</v>
      </c>
      <c r="E21" s="212">
        <v>102667</v>
      </c>
      <c r="G21" s="11" t="s">
        <v>47</v>
      </c>
      <c r="H21" s="212">
        <v>240940</v>
      </c>
      <c r="J21" s="11" t="s">
        <v>43</v>
      </c>
      <c r="K21" s="212">
        <v>73</v>
      </c>
      <c r="M21" s="11" t="s">
        <v>25</v>
      </c>
      <c r="N21" s="212">
        <v>98</v>
      </c>
      <c r="P21" s="11" t="s">
        <v>147</v>
      </c>
      <c r="Q21" s="212">
        <v>326</v>
      </c>
    </row>
    <row r="22" spans="1:20" x14ac:dyDescent="0.25">
      <c r="A22" s="11" t="s">
        <v>2</v>
      </c>
      <c r="B22" s="212">
        <v>28020</v>
      </c>
      <c r="C22" s="212">
        <v>81580</v>
      </c>
      <c r="D22" s="212">
        <v>109600</v>
      </c>
      <c r="E22" s="212">
        <v>111307</v>
      </c>
      <c r="G22" s="11" t="s">
        <v>51</v>
      </c>
      <c r="H22" s="212">
        <v>192980</v>
      </c>
      <c r="J22" s="11" t="s">
        <v>45</v>
      </c>
      <c r="K22" s="212">
        <v>37</v>
      </c>
      <c r="M22" s="11" t="s">
        <v>24</v>
      </c>
      <c r="N22" s="212">
        <v>79</v>
      </c>
      <c r="P22" s="11" t="s">
        <v>146</v>
      </c>
      <c r="Q22" s="212">
        <v>7</v>
      </c>
    </row>
    <row r="23" spans="1:20" x14ac:dyDescent="0.25">
      <c r="A23" s="11" t="s">
        <v>3</v>
      </c>
      <c r="B23" s="212">
        <v>18020</v>
      </c>
      <c r="C23" s="212">
        <v>99080</v>
      </c>
      <c r="D23" s="212">
        <v>117100</v>
      </c>
      <c r="E23" s="212">
        <v>110749</v>
      </c>
      <c r="G23" s="11" t="s">
        <v>48</v>
      </c>
      <c r="H23" s="212">
        <v>254780</v>
      </c>
      <c r="J23" s="11" t="s">
        <v>44</v>
      </c>
      <c r="K23" s="212">
        <v>33</v>
      </c>
      <c r="M23" s="11" t="s">
        <v>27</v>
      </c>
      <c r="N23" s="212">
        <v>42</v>
      </c>
      <c r="P23" s="11" t="s">
        <v>1076</v>
      </c>
      <c r="Q23" s="212">
        <v>351</v>
      </c>
    </row>
    <row r="24" spans="1:20" x14ac:dyDescent="0.25">
      <c r="A24" s="11" t="s">
        <v>4</v>
      </c>
      <c r="B24" s="212">
        <v>38290</v>
      </c>
      <c r="C24" s="212">
        <v>71110</v>
      </c>
      <c r="D24" s="212">
        <v>109400</v>
      </c>
      <c r="E24" s="212">
        <v>99947</v>
      </c>
      <c r="G24" s="11" t="s">
        <v>49</v>
      </c>
      <c r="H24" s="212">
        <v>299320</v>
      </c>
      <c r="J24" s="11" t="s">
        <v>42</v>
      </c>
      <c r="K24" s="212">
        <v>60</v>
      </c>
      <c r="M24" s="11" t="s">
        <v>26</v>
      </c>
      <c r="N24" s="212">
        <v>85</v>
      </c>
    </row>
    <row r="25" spans="1:20" x14ac:dyDescent="0.25">
      <c r="A25" s="11" t="s">
        <v>5</v>
      </c>
      <c r="B25" s="212">
        <v>14300</v>
      </c>
      <c r="C25" s="212">
        <v>81300</v>
      </c>
      <c r="D25" s="212">
        <v>95600</v>
      </c>
      <c r="E25" s="212">
        <v>98003</v>
      </c>
      <c r="G25" s="11" t="s">
        <v>1076</v>
      </c>
      <c r="H25" s="212">
        <v>1337100</v>
      </c>
      <c r="J25" s="11" t="s">
        <v>46</v>
      </c>
      <c r="K25" s="212">
        <v>37</v>
      </c>
      <c r="M25" s="11" t="s">
        <v>1076</v>
      </c>
      <c r="N25" s="212">
        <v>351</v>
      </c>
    </row>
    <row r="26" spans="1:20" x14ac:dyDescent="0.25">
      <c r="A26" s="11" t="s">
        <v>6</v>
      </c>
      <c r="B26" s="212">
        <v>5600</v>
      </c>
      <c r="C26" s="212">
        <v>84100</v>
      </c>
      <c r="D26" s="212">
        <v>89700</v>
      </c>
      <c r="E26" s="212">
        <v>98707</v>
      </c>
      <c r="J26" s="11" t="s">
        <v>1076</v>
      </c>
      <c r="K26" s="212">
        <v>326</v>
      </c>
    </row>
    <row r="27" spans="1:20" x14ac:dyDescent="0.25">
      <c r="A27" s="11" t="s">
        <v>7</v>
      </c>
      <c r="B27" s="212">
        <v>37130</v>
      </c>
      <c r="C27" s="212">
        <v>65470</v>
      </c>
      <c r="D27" s="212">
        <v>102600</v>
      </c>
      <c r="E27" s="212">
        <v>111153</v>
      </c>
    </row>
    <row r="28" spans="1:20" x14ac:dyDescent="0.25">
      <c r="A28" s="11" t="s">
        <v>8</v>
      </c>
      <c r="B28" s="212">
        <v>46650</v>
      </c>
      <c r="C28" s="212">
        <v>77850</v>
      </c>
      <c r="D28" s="212">
        <v>124500</v>
      </c>
      <c r="E28" s="212">
        <v>89309</v>
      </c>
    </row>
    <row r="29" spans="1:20" x14ac:dyDescent="0.25">
      <c r="A29" s="11" t="s">
        <v>9</v>
      </c>
      <c r="B29" s="212">
        <v>55900</v>
      </c>
      <c r="C29" s="212">
        <v>81300</v>
      </c>
      <c r="D29" s="212">
        <v>137200</v>
      </c>
      <c r="E29" s="212">
        <v>93153</v>
      </c>
    </row>
    <row r="30" spans="1:20" x14ac:dyDescent="0.25">
      <c r="A30" s="11" t="s">
        <v>10</v>
      </c>
      <c r="B30" s="212">
        <v>81000</v>
      </c>
      <c r="C30" s="212">
        <v>64000</v>
      </c>
      <c r="D30" s="212">
        <v>145000</v>
      </c>
      <c r="E30" s="212">
        <v>83973</v>
      </c>
    </row>
    <row r="31" spans="1:20" x14ac:dyDescent="0.25">
      <c r="A31" s="11" t="s">
        <v>11</v>
      </c>
      <c r="B31" s="212">
        <v>103410</v>
      </c>
      <c r="C31" s="212">
        <v>30290</v>
      </c>
      <c r="D31" s="212">
        <v>133700</v>
      </c>
      <c r="E31" s="212">
        <v>51384</v>
      </c>
    </row>
    <row r="32" spans="1:20" x14ac:dyDescent="0.25">
      <c r="A32" s="11" t="s">
        <v>1076</v>
      </c>
      <c r="B32" s="212">
        <v>490160</v>
      </c>
      <c r="C32" s="212">
        <v>846940</v>
      </c>
      <c r="D32" s="212">
        <v>1337100</v>
      </c>
      <c r="E32" s="212">
        <v>1125489</v>
      </c>
    </row>
    <row r="35" spans="1:8" x14ac:dyDescent="0.25">
      <c r="A35" s="72" t="s">
        <v>1075</v>
      </c>
    </row>
    <row r="36" spans="1:8" x14ac:dyDescent="0.25">
      <c r="A36" s="81">
        <v>2025</v>
      </c>
    </row>
    <row r="41" spans="1:8" x14ac:dyDescent="0.25">
      <c r="A41" s="72" t="s">
        <v>1075</v>
      </c>
      <c r="G41" s="72" t="s">
        <v>1075</v>
      </c>
      <c r="H41" t="s">
        <v>1143</v>
      </c>
    </row>
    <row r="42" spans="1:8" x14ac:dyDescent="0.25">
      <c r="A42" s="11" t="s">
        <v>0</v>
      </c>
      <c r="G42" s="11" t="s">
        <v>152</v>
      </c>
      <c r="H42" s="212">
        <v>2</v>
      </c>
    </row>
    <row r="43" spans="1:8" x14ac:dyDescent="0.25">
      <c r="A43" s="11" t="s">
        <v>1</v>
      </c>
      <c r="G43" s="11" t="s">
        <v>137</v>
      </c>
      <c r="H43" s="212">
        <v>27</v>
      </c>
    </row>
    <row r="44" spans="1:8" x14ac:dyDescent="0.25">
      <c r="A44" s="11" t="s">
        <v>2</v>
      </c>
      <c r="G44" s="11" t="s">
        <v>18</v>
      </c>
      <c r="H44" s="212">
        <v>1</v>
      </c>
    </row>
    <row r="45" spans="1:8" x14ac:dyDescent="0.25">
      <c r="A45" s="11" t="s">
        <v>3</v>
      </c>
      <c r="G45" s="11" t="s">
        <v>125</v>
      </c>
      <c r="H45" s="212">
        <v>22</v>
      </c>
    </row>
    <row r="46" spans="1:8" x14ac:dyDescent="0.25">
      <c r="A46" s="11" t="s">
        <v>4</v>
      </c>
      <c r="G46" s="11" t="s">
        <v>135</v>
      </c>
      <c r="H46" s="212">
        <v>3</v>
      </c>
    </row>
    <row r="47" spans="1:8" x14ac:dyDescent="0.25">
      <c r="A47" s="11" t="s">
        <v>5</v>
      </c>
      <c r="G47" s="11" t="s">
        <v>131</v>
      </c>
      <c r="H47" s="212">
        <v>24</v>
      </c>
    </row>
    <row r="48" spans="1:8" x14ac:dyDescent="0.25">
      <c r="A48" s="11" t="s">
        <v>6</v>
      </c>
      <c r="G48" s="11" t="s">
        <v>133</v>
      </c>
      <c r="H48" s="212">
        <v>49</v>
      </c>
    </row>
    <row r="49" spans="1:8" x14ac:dyDescent="0.25">
      <c r="A49" s="11" t="s">
        <v>7</v>
      </c>
      <c r="G49" s="11" t="s">
        <v>127</v>
      </c>
      <c r="H49" s="212">
        <v>26</v>
      </c>
    </row>
    <row r="50" spans="1:8" x14ac:dyDescent="0.25">
      <c r="A50" s="11" t="s">
        <v>8</v>
      </c>
      <c r="G50" s="11" t="s">
        <v>21</v>
      </c>
      <c r="H50" s="212">
        <v>1</v>
      </c>
    </row>
    <row r="51" spans="1:8" x14ac:dyDescent="0.25">
      <c r="A51" s="11" t="s">
        <v>9</v>
      </c>
      <c r="G51" s="11" t="s">
        <v>19</v>
      </c>
      <c r="H51" s="212">
        <v>49</v>
      </c>
    </row>
    <row r="52" spans="1:8" x14ac:dyDescent="0.25">
      <c r="A52" s="11" t="s">
        <v>10</v>
      </c>
      <c r="G52" s="11" t="s">
        <v>126</v>
      </c>
      <c r="H52" s="212">
        <v>1</v>
      </c>
    </row>
    <row r="53" spans="1:8" x14ac:dyDescent="0.25">
      <c r="A53" s="11" t="s">
        <v>11</v>
      </c>
      <c r="G53" s="11" t="s">
        <v>20</v>
      </c>
      <c r="H53" s="212">
        <v>1</v>
      </c>
    </row>
    <row r="54" spans="1:8" x14ac:dyDescent="0.25">
      <c r="G54" s="11" t="s">
        <v>128</v>
      </c>
      <c r="H54" s="212">
        <v>22</v>
      </c>
    </row>
    <row r="55" spans="1:8" x14ac:dyDescent="0.25">
      <c r="G55" s="11" t="s">
        <v>22</v>
      </c>
      <c r="H55" s="212">
        <v>25</v>
      </c>
    </row>
    <row r="56" spans="1:8" x14ac:dyDescent="0.25">
      <c r="G56" s="11" t="s">
        <v>138</v>
      </c>
      <c r="H56" s="212">
        <v>1</v>
      </c>
    </row>
    <row r="57" spans="1:8" x14ac:dyDescent="0.25">
      <c r="G57" s="11" t="s">
        <v>124</v>
      </c>
      <c r="H57" s="212">
        <v>1</v>
      </c>
    </row>
    <row r="58" spans="1:8" x14ac:dyDescent="0.25">
      <c r="G58" s="11" t="s">
        <v>121</v>
      </c>
      <c r="H58" s="212">
        <v>1</v>
      </c>
    </row>
    <row r="59" spans="1:8" x14ac:dyDescent="0.25">
      <c r="G59" s="11" t="s">
        <v>122</v>
      </c>
      <c r="H59" s="212">
        <v>1</v>
      </c>
    </row>
    <row r="60" spans="1:8" x14ac:dyDescent="0.25">
      <c r="G60" s="11" t="s">
        <v>130</v>
      </c>
      <c r="H60" s="212">
        <v>21</v>
      </c>
    </row>
    <row r="61" spans="1:8" x14ac:dyDescent="0.25">
      <c r="G61" s="11" t="s">
        <v>153</v>
      </c>
      <c r="H61" s="212">
        <v>1</v>
      </c>
    </row>
    <row r="62" spans="1:8" x14ac:dyDescent="0.25">
      <c r="G62" s="11" t="s">
        <v>134</v>
      </c>
      <c r="H62" s="212">
        <v>72</v>
      </c>
    </row>
    <row r="63" spans="1:8" x14ac:dyDescent="0.25">
      <c r="G63" s="11" t="s">
        <v>1076</v>
      </c>
      <c r="H63" s="212">
        <v>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5D084-02A1-4A94-A26B-A04F09756B6A}">
  <sheetPr codeName="Sheet3"/>
  <dimension ref="A1:AS198"/>
  <sheetViews>
    <sheetView showRowColHeaders="0" zoomScale="90" zoomScaleNormal="90" workbookViewId="0">
      <selection activeCell="B2" sqref="B2"/>
    </sheetView>
  </sheetViews>
  <sheetFormatPr defaultColWidth="8.85546875" defaultRowHeight="15" x14ac:dyDescent="0.25"/>
  <cols>
    <col min="1" max="21" width="8.85546875" style="1"/>
    <col min="22" max="22" width="10.7109375" style="1" customWidth="1"/>
    <col min="23" max="16384" width="8.85546875" style="1"/>
  </cols>
  <sheetData>
    <row r="1" spans="1:45"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x14ac:dyDescent="0.25">
      <c r="A4" s="2"/>
      <c r="X4" s="2"/>
      <c r="Y4" s="2"/>
      <c r="Z4" s="2"/>
      <c r="AA4" s="2"/>
      <c r="AB4" s="2"/>
      <c r="AC4" s="2"/>
      <c r="AD4" s="2"/>
      <c r="AE4" s="2"/>
      <c r="AF4" s="2"/>
      <c r="AG4" s="2"/>
      <c r="AH4" s="2"/>
      <c r="AI4" s="2"/>
      <c r="AJ4" s="2"/>
      <c r="AK4" s="2"/>
      <c r="AL4" s="2"/>
      <c r="AM4" s="2"/>
      <c r="AN4" s="2"/>
      <c r="AO4" s="2"/>
      <c r="AP4" s="2"/>
      <c r="AQ4" s="2"/>
      <c r="AR4" s="2"/>
      <c r="AS4" s="2"/>
    </row>
    <row r="5" spans="1:45" ht="14.45" customHeight="1" x14ac:dyDescent="0.3">
      <c r="A5" s="2"/>
      <c r="I5" s="118" t="str">
        <f>UPPER(Processing!L9)</f>
        <v>MASTERS</v>
      </c>
      <c r="J5" s="118"/>
      <c r="K5" s="118" t="s">
        <v>36</v>
      </c>
      <c r="L5" s="118"/>
      <c r="M5" s="118" t="s">
        <v>37</v>
      </c>
      <c r="N5" s="118"/>
      <c r="O5" s="118" t="s">
        <v>38</v>
      </c>
      <c r="P5" s="118"/>
      <c r="Q5" s="118" t="s">
        <v>39</v>
      </c>
      <c r="R5" s="118" t="s">
        <v>40</v>
      </c>
      <c r="S5" s="17"/>
      <c r="X5" s="2"/>
      <c r="Y5" s="2"/>
      <c r="Z5" s="2"/>
      <c r="AA5" s="2"/>
      <c r="AB5" s="2"/>
      <c r="AC5" s="2"/>
      <c r="AD5" s="2"/>
      <c r="AE5" s="2"/>
      <c r="AF5" s="2"/>
      <c r="AG5" s="2"/>
      <c r="AH5" s="2"/>
      <c r="AI5" s="2"/>
      <c r="AJ5" s="2"/>
      <c r="AK5" s="2"/>
      <c r="AL5" s="2"/>
      <c r="AM5" s="2"/>
      <c r="AN5" s="2"/>
      <c r="AO5" s="2"/>
      <c r="AP5" s="2"/>
      <c r="AQ5" s="2"/>
      <c r="AR5" s="2"/>
      <c r="AS5" s="2"/>
    </row>
    <row r="6" spans="1:45" ht="14.45" customHeight="1" x14ac:dyDescent="0.3">
      <c r="A6" s="2"/>
      <c r="I6" s="118"/>
      <c r="J6" s="118"/>
      <c r="K6" s="118"/>
      <c r="L6" s="118"/>
      <c r="M6" s="118"/>
      <c r="N6" s="118"/>
      <c r="O6" s="118"/>
      <c r="P6" s="118"/>
      <c r="Q6" s="118"/>
      <c r="R6" s="118"/>
      <c r="S6" s="17"/>
      <c r="X6" s="2"/>
      <c r="Y6" s="2"/>
      <c r="Z6" s="2"/>
      <c r="AA6" s="2"/>
      <c r="AB6" s="2"/>
      <c r="AC6" s="2"/>
      <c r="AD6" s="2"/>
      <c r="AE6" s="2"/>
      <c r="AF6" s="2"/>
      <c r="AG6" s="2"/>
      <c r="AH6" s="2"/>
      <c r="AI6" s="2"/>
      <c r="AJ6" s="2"/>
      <c r="AK6" s="2"/>
      <c r="AL6" s="2"/>
      <c r="AM6" s="2"/>
      <c r="AN6" s="2"/>
      <c r="AO6" s="2"/>
      <c r="AP6" s="2"/>
      <c r="AQ6" s="2"/>
      <c r="AR6" s="2"/>
      <c r="AS6" s="2"/>
    </row>
    <row r="7" spans="1:45" ht="14.45" customHeight="1" x14ac:dyDescent="0.25">
      <c r="A7" s="2"/>
      <c r="I7" s="127" t="s">
        <v>41</v>
      </c>
      <c r="J7" s="127"/>
      <c r="K7" s="126">
        <f>INDEX(Processing!$W$38:$W$48,MATCH(Personnel!I7,Processing!$S$38:$S$48,0),1)</f>
        <v>24200.000000000007</v>
      </c>
      <c r="L7" s="126"/>
      <c r="M7" s="127">
        <f>AVERAGE(KPI!$D$4:$D$39)</f>
        <v>4</v>
      </c>
      <c r="N7" s="127"/>
      <c r="O7" s="127">
        <f>INDEX(Processing!$O$18:$P$23,MATCH(Personnel!I7,Processing!$N$18:$N$23,0),1)</f>
        <v>86</v>
      </c>
      <c r="P7" s="127"/>
      <c r="Q7" s="119">
        <f>INDEX(Processing!$O$18:$P$23,MATCH(Personnel!I7,Processing!$N$18:$N$23,0),2)</f>
        <v>1.7916666666666667</v>
      </c>
      <c r="R7" s="121">
        <f>IF(Q7&gt;=100%,CHOOSE(SUM(Q7&gt;=100%,Q7&gt;130%),3%,5%),0%)</f>
        <v>0.05</v>
      </c>
      <c r="X7" s="2"/>
      <c r="Y7" s="2"/>
      <c r="Z7" s="2"/>
      <c r="AA7" s="2"/>
      <c r="AB7" s="2"/>
      <c r="AC7" s="2"/>
      <c r="AD7" s="2"/>
      <c r="AE7" s="2"/>
      <c r="AF7" s="2"/>
      <c r="AG7" s="2"/>
      <c r="AH7" s="2"/>
      <c r="AI7" s="2"/>
      <c r="AJ7" s="2"/>
      <c r="AK7" s="2"/>
      <c r="AL7" s="2"/>
      <c r="AM7" s="2"/>
      <c r="AN7" s="2"/>
      <c r="AO7" s="2"/>
      <c r="AP7" s="2"/>
      <c r="AQ7" s="2"/>
      <c r="AR7" s="2"/>
      <c r="AS7" s="2"/>
    </row>
    <row r="8" spans="1:45" ht="14.45" customHeight="1" x14ac:dyDescent="0.25">
      <c r="A8" s="2"/>
      <c r="I8" s="127"/>
      <c r="J8" s="127"/>
      <c r="K8" s="126"/>
      <c r="L8" s="126"/>
      <c r="M8" s="127"/>
      <c r="N8" s="127"/>
      <c r="O8" s="127"/>
      <c r="P8" s="127"/>
      <c r="Q8" s="119"/>
      <c r="R8" s="121"/>
      <c r="X8" s="2"/>
      <c r="Y8" s="2"/>
      <c r="Z8" s="2"/>
      <c r="AA8" s="2"/>
      <c r="AB8" s="2"/>
      <c r="AC8" s="2"/>
      <c r="AD8" s="2"/>
      <c r="AE8" s="2"/>
      <c r="AF8" s="2"/>
      <c r="AG8" s="2"/>
      <c r="AH8" s="2"/>
      <c r="AI8" s="2"/>
      <c r="AJ8" s="2"/>
      <c r="AK8" s="2"/>
      <c r="AL8" s="2"/>
      <c r="AM8" s="2"/>
      <c r="AN8" s="2"/>
      <c r="AO8" s="2"/>
      <c r="AP8" s="2"/>
      <c r="AQ8" s="2"/>
      <c r="AR8" s="2"/>
      <c r="AS8" s="2"/>
    </row>
    <row r="9" spans="1:45" ht="14.45" customHeight="1" x14ac:dyDescent="0.25">
      <c r="A9" s="2"/>
      <c r="I9" s="128" t="s">
        <v>42</v>
      </c>
      <c r="J9" s="128"/>
      <c r="K9" s="125">
        <f>INDEX(Processing!$W$38:$W$48,MATCH(Personnel!I9,Processing!$S$38:$S$48,0),1)</f>
        <v>24200.000000000007</v>
      </c>
      <c r="L9" s="125"/>
      <c r="M9" s="128">
        <f>AVERAGE(KPI!$D$4:$D$39)</f>
        <v>4</v>
      </c>
      <c r="N9" s="128"/>
      <c r="O9" s="128">
        <f>INDEX(Processing!$O$18:$P$23,MATCH(Personnel!I9,Processing!$N$18:$N$23,0),1)</f>
        <v>60</v>
      </c>
      <c r="P9" s="128"/>
      <c r="Q9" s="120">
        <f>INDEX(Processing!$O$18:$P$23,MATCH(Personnel!I9,Processing!$N$18:$N$23,0),2)</f>
        <v>1.25</v>
      </c>
      <c r="R9" s="123">
        <f>IF(Q9&gt;=100%,CHOOSE(SUM(Q9&gt;=100%,Q9&gt;130%),3%,5%),0%)</f>
        <v>0.03</v>
      </c>
      <c r="X9" s="2"/>
      <c r="Y9" s="2"/>
      <c r="Z9" s="2"/>
      <c r="AA9" s="2"/>
      <c r="AB9" s="2"/>
      <c r="AC9" s="2"/>
      <c r="AD9" s="2"/>
      <c r="AE9" s="2"/>
      <c r="AF9" s="2"/>
      <c r="AG9" s="2"/>
      <c r="AH9" s="2"/>
      <c r="AI9" s="2"/>
      <c r="AJ9" s="2"/>
      <c r="AK9" s="2"/>
      <c r="AL9" s="2"/>
      <c r="AM9" s="2"/>
      <c r="AN9" s="2"/>
      <c r="AO9" s="2"/>
      <c r="AP9" s="2"/>
      <c r="AQ9" s="2"/>
      <c r="AR9" s="2"/>
      <c r="AS9" s="2"/>
    </row>
    <row r="10" spans="1:45" ht="14.45" customHeight="1" x14ac:dyDescent="0.25">
      <c r="A10" s="2"/>
      <c r="I10" s="128"/>
      <c r="J10" s="128"/>
      <c r="K10" s="125"/>
      <c r="L10" s="125"/>
      <c r="M10" s="128"/>
      <c r="N10" s="128"/>
      <c r="O10" s="128"/>
      <c r="P10" s="128"/>
      <c r="Q10" s="120"/>
      <c r="R10" s="123"/>
      <c r="X10" s="2"/>
      <c r="Y10" s="2"/>
      <c r="Z10" s="2"/>
      <c r="AA10" s="2"/>
      <c r="AB10" s="2"/>
      <c r="AC10" s="2"/>
      <c r="AD10" s="2"/>
      <c r="AE10" s="2"/>
      <c r="AF10" s="2"/>
      <c r="AG10" s="2"/>
      <c r="AH10" s="2"/>
      <c r="AI10" s="2"/>
      <c r="AJ10" s="2"/>
      <c r="AK10" s="2"/>
      <c r="AL10" s="2"/>
      <c r="AM10" s="2"/>
      <c r="AN10" s="2"/>
      <c r="AO10" s="2"/>
      <c r="AP10" s="2"/>
      <c r="AQ10" s="2"/>
      <c r="AR10" s="2"/>
      <c r="AS10" s="2"/>
    </row>
    <row r="11" spans="1:45" ht="14.45" customHeight="1" x14ac:dyDescent="0.25">
      <c r="A11" s="2"/>
      <c r="I11" s="127" t="s">
        <v>43</v>
      </c>
      <c r="J11" s="127"/>
      <c r="K11" s="126">
        <f>INDEX(Processing!$W$38:$W$48,MATCH(Personnel!I11,Processing!$S$38:$S$48,0),1)</f>
        <v>24200.000000000007</v>
      </c>
      <c r="L11" s="126"/>
      <c r="M11" s="127">
        <f>AVERAGE(KPI!$D$4:$D$39)</f>
        <v>4</v>
      </c>
      <c r="N11" s="127"/>
      <c r="O11" s="127">
        <f>INDEX(Processing!$O$18:$P$23,MATCH(Personnel!I11,Processing!$N$18:$N$23,0),1)</f>
        <v>73</v>
      </c>
      <c r="P11" s="127"/>
      <c r="Q11" s="119">
        <f>INDEX(Processing!$O$18:$P$23,MATCH(Personnel!I11,Processing!$N$18:$N$23,0),2)</f>
        <v>1.5208333333333333</v>
      </c>
      <c r="R11" s="121">
        <f>IF(Q11&gt;=100%,CHOOSE(SUM(Q11&gt;=100%,Q11&gt;130%),3%,5%),0%)</f>
        <v>0.05</v>
      </c>
      <c r="X11" s="2"/>
      <c r="Y11" s="2"/>
      <c r="Z11" s="2"/>
      <c r="AA11" s="2"/>
      <c r="AB11" s="2"/>
      <c r="AC11" s="2"/>
      <c r="AD11" s="2"/>
      <c r="AE11" s="2"/>
      <c r="AF11" s="2"/>
      <c r="AG11" s="2"/>
      <c r="AH11" s="2"/>
      <c r="AI11" s="2"/>
      <c r="AJ11" s="2"/>
      <c r="AK11" s="2"/>
      <c r="AL11" s="2"/>
      <c r="AM11" s="2"/>
      <c r="AN11" s="2"/>
      <c r="AO11" s="2"/>
      <c r="AP11" s="2"/>
      <c r="AQ11" s="2"/>
      <c r="AR11" s="2"/>
      <c r="AS11" s="2"/>
    </row>
    <row r="12" spans="1:45" ht="14.45" customHeight="1" x14ac:dyDescent="0.25">
      <c r="A12" s="2"/>
      <c r="I12" s="127"/>
      <c r="J12" s="127"/>
      <c r="K12" s="126"/>
      <c r="L12" s="126"/>
      <c r="M12" s="127"/>
      <c r="N12" s="127"/>
      <c r="O12" s="127"/>
      <c r="P12" s="127"/>
      <c r="Q12" s="119"/>
      <c r="R12" s="121"/>
      <c r="X12" s="2"/>
      <c r="Y12" s="2"/>
      <c r="Z12" s="2"/>
      <c r="AA12" s="2"/>
      <c r="AB12" s="2"/>
      <c r="AC12" s="2"/>
      <c r="AD12" s="2"/>
      <c r="AE12" s="2"/>
      <c r="AF12" s="2"/>
      <c r="AG12" s="2"/>
      <c r="AH12" s="2"/>
      <c r="AI12" s="2"/>
      <c r="AJ12" s="2"/>
      <c r="AK12" s="2"/>
      <c r="AL12" s="2"/>
      <c r="AM12" s="2"/>
      <c r="AN12" s="2"/>
      <c r="AO12" s="2"/>
      <c r="AP12" s="2"/>
      <c r="AQ12" s="2"/>
      <c r="AR12" s="2"/>
      <c r="AS12" s="2"/>
    </row>
    <row r="13" spans="1:45" ht="14.45" customHeight="1" x14ac:dyDescent="0.25">
      <c r="A13" s="2"/>
      <c r="I13" s="128" t="s">
        <v>44</v>
      </c>
      <c r="J13" s="128"/>
      <c r="K13" s="125">
        <f>INDEX(Processing!$W$38:$W$48,MATCH(Personnel!I13,Processing!$S$38:$S$48,0),1)</f>
        <v>24200.000000000007</v>
      </c>
      <c r="L13" s="125"/>
      <c r="M13" s="128">
        <f>AVERAGE(KPI!$D$4:$D$39)</f>
        <v>4</v>
      </c>
      <c r="N13" s="128"/>
      <c r="O13" s="128">
        <f>INDEX(Processing!$O$18:$P$23,MATCH(Personnel!I13,Processing!$N$18:$N$23,0),1)</f>
        <v>33</v>
      </c>
      <c r="P13" s="128"/>
      <c r="Q13" s="120">
        <f>INDEX(Processing!$O$18:$P$23,MATCH(Personnel!I13,Processing!$N$18:$N$23,0),2)</f>
        <v>0.6875</v>
      </c>
      <c r="R13" s="123">
        <f>IF(Q13&gt;=100%,CHOOSE(SUM(Q13&gt;=100%,Q13&gt;130%),3%,5%),0%)</f>
        <v>0</v>
      </c>
      <c r="X13" s="2"/>
      <c r="Y13" s="2"/>
      <c r="Z13" s="2"/>
      <c r="AA13" s="2"/>
      <c r="AB13" s="2"/>
      <c r="AC13" s="2"/>
      <c r="AD13" s="2"/>
      <c r="AE13" s="2"/>
      <c r="AF13" s="2"/>
      <c r="AG13" s="2"/>
      <c r="AH13" s="2"/>
      <c r="AI13" s="2"/>
      <c r="AJ13" s="2"/>
      <c r="AK13" s="2"/>
      <c r="AL13" s="2"/>
      <c r="AM13" s="2"/>
      <c r="AN13" s="2"/>
      <c r="AO13" s="2"/>
      <c r="AP13" s="2"/>
      <c r="AQ13" s="2"/>
      <c r="AR13" s="2"/>
      <c r="AS13" s="2"/>
    </row>
    <row r="14" spans="1:45" ht="14.45" customHeight="1" x14ac:dyDescent="0.25">
      <c r="A14" s="2"/>
      <c r="I14" s="128"/>
      <c r="J14" s="128"/>
      <c r="K14" s="125"/>
      <c r="L14" s="125"/>
      <c r="M14" s="128"/>
      <c r="N14" s="128"/>
      <c r="O14" s="128"/>
      <c r="P14" s="128"/>
      <c r="Q14" s="120"/>
      <c r="R14" s="123"/>
      <c r="X14" s="2"/>
      <c r="Y14" s="2"/>
      <c r="Z14" s="2"/>
      <c r="AA14" s="2"/>
      <c r="AB14" s="2"/>
      <c r="AC14" s="2"/>
      <c r="AD14" s="2"/>
      <c r="AE14" s="2"/>
      <c r="AF14" s="2"/>
      <c r="AG14" s="2"/>
      <c r="AH14" s="2"/>
      <c r="AI14" s="2"/>
      <c r="AJ14" s="2"/>
      <c r="AK14" s="2"/>
      <c r="AL14" s="2"/>
      <c r="AM14" s="2"/>
      <c r="AN14" s="2"/>
      <c r="AO14" s="2"/>
      <c r="AP14" s="2"/>
      <c r="AQ14" s="2"/>
      <c r="AR14" s="2"/>
      <c r="AS14" s="2"/>
    </row>
    <row r="15" spans="1:45" ht="14.45" customHeight="1" x14ac:dyDescent="0.25">
      <c r="A15" s="2"/>
      <c r="I15" s="127" t="s">
        <v>45</v>
      </c>
      <c r="J15" s="127"/>
      <c r="K15" s="126">
        <f>INDEX(Processing!$W$38:$W$48,MATCH(Personnel!I15,Processing!$S$38:$S$48,0),1)</f>
        <v>24200.000000000007</v>
      </c>
      <c r="L15" s="126"/>
      <c r="M15" s="127">
        <f>AVERAGE(KPI!$D$4:$D$39)</f>
        <v>4</v>
      </c>
      <c r="N15" s="127"/>
      <c r="O15" s="127">
        <f>INDEX(Processing!$O$18:$P$23,MATCH(Personnel!I15,Processing!$N$18:$N$23,0),1)</f>
        <v>37</v>
      </c>
      <c r="P15" s="127"/>
      <c r="Q15" s="119">
        <f>INDEX(Processing!$O$18:$P$23,MATCH(Personnel!I15,Processing!$N$18:$N$23,0),2)</f>
        <v>0.77083333333333337</v>
      </c>
      <c r="R15" s="121">
        <f>IF(Q15&gt;=100%,CHOOSE(SUM(Q15&gt;=100%,Q15&gt;130%),3%,5%),0%)</f>
        <v>0</v>
      </c>
      <c r="X15" s="2"/>
      <c r="Y15" s="2"/>
      <c r="Z15" s="2"/>
      <c r="AA15" s="2"/>
      <c r="AB15" s="2"/>
      <c r="AC15" s="2"/>
      <c r="AD15" s="2"/>
      <c r="AE15" s="2"/>
      <c r="AF15" s="2"/>
      <c r="AG15" s="2"/>
      <c r="AH15" s="2"/>
      <c r="AI15" s="2"/>
      <c r="AJ15" s="2"/>
      <c r="AK15" s="2"/>
      <c r="AL15" s="2"/>
      <c r="AM15" s="2"/>
      <c r="AN15" s="2"/>
      <c r="AO15" s="2"/>
      <c r="AP15" s="2"/>
      <c r="AQ15" s="2"/>
      <c r="AR15" s="2"/>
      <c r="AS15" s="2"/>
    </row>
    <row r="16" spans="1:45" ht="14.45" customHeight="1" x14ac:dyDescent="0.25">
      <c r="A16" s="2"/>
      <c r="I16" s="127"/>
      <c r="J16" s="127"/>
      <c r="K16" s="126"/>
      <c r="L16" s="126"/>
      <c r="M16" s="127"/>
      <c r="N16" s="127"/>
      <c r="O16" s="127"/>
      <c r="P16" s="127"/>
      <c r="Q16" s="119"/>
      <c r="R16" s="121"/>
      <c r="X16" s="2"/>
      <c r="Y16" s="2"/>
      <c r="Z16" s="2"/>
      <c r="AA16" s="2"/>
      <c r="AB16" s="2"/>
      <c r="AC16" s="2"/>
      <c r="AD16" s="2"/>
      <c r="AE16" s="2"/>
      <c r="AF16" s="2"/>
      <c r="AG16" s="2"/>
      <c r="AH16" s="2"/>
      <c r="AI16" s="2"/>
      <c r="AJ16" s="2"/>
      <c r="AK16" s="2"/>
      <c r="AL16" s="2"/>
      <c r="AM16" s="2"/>
      <c r="AN16" s="2"/>
      <c r="AO16" s="2"/>
      <c r="AP16" s="2"/>
      <c r="AQ16" s="2"/>
      <c r="AR16" s="2"/>
      <c r="AS16" s="2"/>
    </row>
    <row r="17" spans="1:45" ht="14.45" customHeight="1" x14ac:dyDescent="0.25">
      <c r="A17" s="2"/>
      <c r="I17" s="128" t="s">
        <v>46</v>
      </c>
      <c r="J17" s="128"/>
      <c r="K17" s="125">
        <f>INDEX(Processing!$W$38:$W$48,MATCH(Personnel!I17,Processing!$S$38:$S$48,0),1)</f>
        <v>24200.000000000007</v>
      </c>
      <c r="L17" s="125"/>
      <c r="M17" s="128">
        <f>AVERAGE(KPI!$D$4:$D$39)</f>
        <v>4</v>
      </c>
      <c r="N17" s="128"/>
      <c r="O17" s="128">
        <f>INDEX(Processing!$O$18:$P$23,MATCH(Personnel!I17,Processing!$N$18:$N$23,0),1)</f>
        <v>37</v>
      </c>
      <c r="P17" s="128"/>
      <c r="Q17" s="120">
        <f>INDEX(Processing!$O$18:$P$23,MATCH(Personnel!I17,Processing!$N$18:$N$23,0),2)</f>
        <v>0.77083333333333337</v>
      </c>
      <c r="R17" s="123">
        <f>IF(Q17&gt;=100%,CHOOSE(SUM(Q17&gt;=100%,Q17&gt;130%),3%,5%),0%)</f>
        <v>0</v>
      </c>
      <c r="X17" s="2"/>
      <c r="Y17" s="2"/>
      <c r="Z17" s="2"/>
      <c r="AA17" s="2"/>
      <c r="AB17" s="2"/>
      <c r="AC17" s="2"/>
      <c r="AD17" s="2"/>
      <c r="AE17" s="2"/>
      <c r="AF17" s="2"/>
      <c r="AG17" s="2"/>
      <c r="AH17" s="2"/>
      <c r="AI17" s="2"/>
      <c r="AJ17" s="2"/>
      <c r="AK17" s="2"/>
      <c r="AL17" s="2"/>
      <c r="AM17" s="2"/>
      <c r="AN17" s="2"/>
      <c r="AO17" s="2"/>
      <c r="AP17" s="2"/>
      <c r="AQ17" s="2"/>
      <c r="AR17" s="2"/>
      <c r="AS17" s="2"/>
    </row>
    <row r="18" spans="1:45" ht="14.45" customHeight="1" x14ac:dyDescent="0.25">
      <c r="A18" s="2"/>
      <c r="I18" s="128"/>
      <c r="J18" s="128"/>
      <c r="K18" s="125"/>
      <c r="L18" s="125"/>
      <c r="M18" s="128"/>
      <c r="N18" s="128"/>
      <c r="O18" s="128"/>
      <c r="P18" s="128"/>
      <c r="Q18" s="120"/>
      <c r="R18" s="123"/>
      <c r="X18" s="2"/>
      <c r="Y18" s="2"/>
      <c r="Z18" s="2"/>
      <c r="AA18" s="2"/>
      <c r="AB18" s="2"/>
      <c r="AC18" s="2"/>
      <c r="AD18" s="2"/>
      <c r="AE18" s="2"/>
      <c r="AF18" s="2"/>
      <c r="AG18" s="2"/>
      <c r="AH18" s="2"/>
      <c r="AI18" s="2"/>
      <c r="AJ18" s="2"/>
      <c r="AK18" s="2"/>
      <c r="AL18" s="2"/>
      <c r="AM18" s="2"/>
      <c r="AN18" s="2"/>
      <c r="AO18" s="2"/>
      <c r="AP18" s="2"/>
      <c r="AQ18" s="2"/>
      <c r="AR18" s="2"/>
      <c r="AS18" s="2"/>
    </row>
    <row r="19" spans="1:45" ht="14.45" customHeight="1" x14ac:dyDescent="0.25">
      <c r="A19" s="2"/>
      <c r="I19" s="129"/>
      <c r="J19" s="129"/>
      <c r="K19" s="122"/>
      <c r="L19" s="122"/>
      <c r="M19" s="122"/>
      <c r="N19" s="122"/>
      <c r="O19" s="122"/>
      <c r="P19" s="122"/>
      <c r="Q19" s="122"/>
      <c r="R19" s="122"/>
      <c r="X19" s="2"/>
      <c r="Y19" s="2"/>
      <c r="Z19" s="2"/>
      <c r="AA19" s="2"/>
      <c r="AB19" s="2"/>
      <c r="AC19" s="2"/>
      <c r="AD19" s="2"/>
      <c r="AE19" s="2"/>
      <c r="AF19" s="2"/>
      <c r="AG19" s="2"/>
      <c r="AH19" s="2"/>
      <c r="AI19" s="2"/>
      <c r="AJ19" s="2"/>
      <c r="AK19" s="2"/>
      <c r="AL19" s="2"/>
      <c r="AM19" s="2"/>
      <c r="AN19" s="2"/>
      <c r="AO19" s="2"/>
      <c r="AP19" s="2"/>
      <c r="AQ19" s="2"/>
      <c r="AR19" s="2"/>
      <c r="AS19" s="2"/>
    </row>
    <row r="20" spans="1:45" ht="14.45" customHeight="1" x14ac:dyDescent="0.25">
      <c r="A20" s="2"/>
      <c r="I20" s="129"/>
      <c r="J20" s="129"/>
      <c r="K20" s="122"/>
      <c r="L20" s="122"/>
      <c r="M20" s="122"/>
      <c r="N20" s="122"/>
      <c r="O20" s="122"/>
      <c r="P20" s="122"/>
      <c r="Q20" s="122"/>
      <c r="R20" s="122"/>
      <c r="X20" s="2"/>
      <c r="Y20" s="2"/>
      <c r="Z20" s="2"/>
      <c r="AA20" s="2"/>
      <c r="AB20" s="2"/>
      <c r="AC20" s="2"/>
      <c r="AD20" s="2"/>
      <c r="AE20" s="2"/>
      <c r="AF20" s="2"/>
      <c r="AG20" s="2"/>
      <c r="AH20" s="2"/>
      <c r="AI20" s="2"/>
      <c r="AJ20" s="2"/>
      <c r="AK20" s="2"/>
      <c r="AL20" s="2"/>
      <c r="AM20" s="2"/>
      <c r="AN20" s="2"/>
      <c r="AO20" s="2"/>
      <c r="AP20" s="2"/>
      <c r="AQ20" s="2"/>
      <c r="AR20" s="2"/>
      <c r="AS20" s="2"/>
    </row>
    <row r="21" spans="1:45" ht="14.45" customHeight="1" x14ac:dyDescent="0.3">
      <c r="A21" s="2"/>
      <c r="I21" s="118" t="str">
        <f>UPPER(Processing!M9)</f>
        <v>MANAGERS</v>
      </c>
      <c r="J21" s="118"/>
      <c r="K21" s="118" t="s">
        <v>36</v>
      </c>
      <c r="L21" s="118"/>
      <c r="M21" s="118" t="s">
        <v>37</v>
      </c>
      <c r="N21" s="118"/>
      <c r="O21" s="118" t="s">
        <v>38</v>
      </c>
      <c r="P21" s="118"/>
      <c r="Q21" s="118" t="s">
        <v>39</v>
      </c>
      <c r="R21" s="118" t="s">
        <v>40</v>
      </c>
      <c r="S21" s="17"/>
      <c r="X21" s="2"/>
      <c r="Y21" s="2"/>
      <c r="Z21" s="2"/>
      <c r="AA21" s="2"/>
      <c r="AB21" s="2"/>
      <c r="AC21" s="2"/>
      <c r="AD21" s="2"/>
      <c r="AE21" s="2"/>
      <c r="AF21" s="2"/>
      <c r="AG21" s="2"/>
      <c r="AH21" s="2"/>
      <c r="AI21" s="2"/>
      <c r="AJ21" s="2"/>
      <c r="AK21" s="2"/>
      <c r="AL21" s="2"/>
      <c r="AM21" s="2"/>
      <c r="AN21" s="2"/>
      <c r="AO21" s="2"/>
      <c r="AP21" s="2"/>
      <c r="AQ21" s="2"/>
      <c r="AR21" s="2"/>
      <c r="AS21" s="2"/>
    </row>
    <row r="22" spans="1:45" ht="14.45" customHeight="1" x14ac:dyDescent="0.3">
      <c r="A22" s="2"/>
      <c r="I22" s="118"/>
      <c r="J22" s="118"/>
      <c r="K22" s="118"/>
      <c r="L22" s="118"/>
      <c r="M22" s="118"/>
      <c r="N22" s="118"/>
      <c r="O22" s="118"/>
      <c r="P22" s="118"/>
      <c r="Q22" s="118"/>
      <c r="R22" s="118"/>
      <c r="S22" s="17"/>
      <c r="X22" s="2"/>
      <c r="Y22" s="2"/>
      <c r="Z22" s="2"/>
      <c r="AA22" s="2"/>
      <c r="AB22" s="2"/>
      <c r="AC22" s="2"/>
      <c r="AD22" s="2"/>
      <c r="AE22" s="2"/>
      <c r="AF22" s="2"/>
      <c r="AG22" s="2"/>
      <c r="AH22" s="2"/>
      <c r="AI22" s="2"/>
      <c r="AJ22" s="2"/>
      <c r="AK22" s="2"/>
      <c r="AL22" s="2"/>
      <c r="AM22" s="2"/>
      <c r="AN22" s="2"/>
      <c r="AO22" s="2"/>
      <c r="AP22" s="2"/>
      <c r="AQ22" s="2"/>
      <c r="AR22" s="2"/>
      <c r="AS22" s="2"/>
    </row>
    <row r="23" spans="1:45" ht="14.45" customHeight="1" x14ac:dyDescent="0.25">
      <c r="A23" s="2"/>
      <c r="I23" s="127" t="s">
        <v>47</v>
      </c>
      <c r="J23" s="127"/>
      <c r="K23" s="126">
        <f>INDEX(Processing!$W$38:$W$48,MATCH(Personnel!I23,Processing!$S$38:$S$48,0),1)</f>
        <v>31900.000000000011</v>
      </c>
      <c r="L23" s="126"/>
      <c r="M23" s="126">
        <f>AVERAGE(KPI!$C$4:$C$39)</f>
        <v>15000</v>
      </c>
      <c r="N23" s="126"/>
      <c r="O23" s="126">
        <f>INDEX(Processing!$L$18:$M$22,MATCH(Personnel!I23,Processing!$K$18:$K$22,0),1)</f>
        <v>240940</v>
      </c>
      <c r="P23" s="126"/>
      <c r="Q23" s="119">
        <f>INDEX(Processing!$L$18:$M$22,MATCH(Personnel!I23,Processing!$K$18:$K$22,0),2)</f>
        <v>1.3385555555555555</v>
      </c>
      <c r="R23" s="121">
        <f>IF(Q23&gt;=100%,CHOOSE(SUM(Q23&gt;=100%,Q23&gt;130%),3%,5%),0%)</f>
        <v>0.05</v>
      </c>
      <c r="X23" s="2"/>
      <c r="Y23" s="2"/>
      <c r="Z23" s="2"/>
      <c r="AA23" s="2"/>
      <c r="AB23" s="2"/>
      <c r="AC23" s="2"/>
      <c r="AD23" s="2"/>
      <c r="AE23" s="2"/>
      <c r="AF23" s="2"/>
      <c r="AG23" s="2"/>
      <c r="AH23" s="2"/>
      <c r="AI23" s="2"/>
      <c r="AJ23" s="2"/>
      <c r="AK23" s="2"/>
      <c r="AL23" s="2"/>
      <c r="AM23" s="2"/>
      <c r="AN23" s="2"/>
      <c r="AO23" s="2"/>
      <c r="AP23" s="2"/>
      <c r="AQ23" s="2"/>
      <c r="AR23" s="2"/>
      <c r="AS23" s="2"/>
    </row>
    <row r="24" spans="1:45" ht="14.45" customHeight="1" x14ac:dyDescent="0.25">
      <c r="A24" s="2"/>
      <c r="I24" s="127"/>
      <c r="J24" s="127"/>
      <c r="K24" s="126"/>
      <c r="L24" s="126"/>
      <c r="M24" s="126"/>
      <c r="N24" s="126"/>
      <c r="O24" s="126"/>
      <c r="P24" s="126"/>
      <c r="Q24" s="119"/>
      <c r="R24" s="121"/>
      <c r="X24" s="2"/>
      <c r="Y24" s="2"/>
      <c r="Z24" s="2"/>
      <c r="AA24" s="2"/>
      <c r="AB24" s="2"/>
      <c r="AC24" s="2"/>
      <c r="AD24" s="2"/>
      <c r="AE24" s="2"/>
      <c r="AF24" s="2"/>
      <c r="AG24" s="2"/>
      <c r="AH24" s="2"/>
      <c r="AI24" s="2"/>
      <c r="AJ24" s="2"/>
      <c r="AK24" s="2"/>
      <c r="AL24" s="2"/>
      <c r="AM24" s="2"/>
      <c r="AN24" s="2"/>
      <c r="AO24" s="2"/>
      <c r="AP24" s="2"/>
      <c r="AQ24" s="2"/>
      <c r="AR24" s="2"/>
      <c r="AS24" s="2"/>
    </row>
    <row r="25" spans="1:45" ht="14.45" customHeight="1" x14ac:dyDescent="0.25">
      <c r="A25" s="2"/>
      <c r="I25" s="128" t="s">
        <v>48</v>
      </c>
      <c r="J25" s="128"/>
      <c r="K25" s="125">
        <f>INDEX(Processing!$W$38:$W$48,MATCH(Personnel!I25,Processing!$S$38:$S$48,0),1)</f>
        <v>31900.000000000011</v>
      </c>
      <c r="L25" s="125"/>
      <c r="M25" s="125">
        <f>AVERAGE(KPI!$C$4:$C$39)</f>
        <v>15000</v>
      </c>
      <c r="N25" s="125"/>
      <c r="O25" s="125">
        <f>INDEX(Processing!$L$18:$M$22,MATCH(Personnel!I25,Processing!$K$18:$K$22,0),1)</f>
        <v>254780</v>
      </c>
      <c r="P25" s="125"/>
      <c r="Q25" s="120">
        <f>INDEX(Processing!$L$18:$M$22,MATCH(Personnel!I25,Processing!$K$18:$K$22,0),2)</f>
        <v>1.4154444444444445</v>
      </c>
      <c r="R25" s="123">
        <f t="shared" ref="R25" si="0">IF(Q25&gt;=100%,CHOOSE(SUM(Q25&gt;=100%,Q25&gt;130%),3%,5%),0%)</f>
        <v>0.05</v>
      </c>
      <c r="X25" s="2"/>
      <c r="Y25" s="2"/>
      <c r="Z25" s="2"/>
      <c r="AA25" s="2"/>
      <c r="AB25" s="2"/>
      <c r="AC25" s="2"/>
      <c r="AD25" s="2"/>
      <c r="AE25" s="2"/>
      <c r="AF25" s="2"/>
      <c r="AG25" s="2"/>
      <c r="AH25" s="2"/>
      <c r="AI25" s="2"/>
      <c r="AJ25" s="2"/>
      <c r="AK25" s="2"/>
      <c r="AL25" s="2"/>
      <c r="AM25" s="2"/>
      <c r="AN25" s="2"/>
      <c r="AO25" s="2"/>
      <c r="AP25" s="2"/>
      <c r="AQ25" s="2"/>
      <c r="AR25" s="2"/>
      <c r="AS25" s="2"/>
    </row>
    <row r="26" spans="1:45" ht="14.45" customHeight="1" x14ac:dyDescent="0.25">
      <c r="A26" s="2"/>
      <c r="I26" s="128"/>
      <c r="J26" s="128"/>
      <c r="K26" s="125"/>
      <c r="L26" s="125"/>
      <c r="M26" s="125"/>
      <c r="N26" s="125"/>
      <c r="O26" s="125"/>
      <c r="P26" s="125"/>
      <c r="Q26" s="120"/>
      <c r="R26" s="123"/>
      <c r="X26" s="2"/>
      <c r="Y26" s="2"/>
      <c r="Z26" s="2"/>
      <c r="AA26" s="2"/>
      <c r="AB26" s="2"/>
      <c r="AC26" s="2"/>
      <c r="AD26" s="2"/>
      <c r="AE26" s="2"/>
      <c r="AF26" s="2"/>
      <c r="AG26" s="2"/>
      <c r="AH26" s="2"/>
      <c r="AI26" s="2"/>
      <c r="AJ26" s="2"/>
      <c r="AK26" s="2"/>
      <c r="AL26" s="2"/>
      <c r="AM26" s="2"/>
      <c r="AN26" s="2"/>
      <c r="AO26" s="2"/>
      <c r="AP26" s="2"/>
      <c r="AQ26" s="2"/>
      <c r="AR26" s="2"/>
      <c r="AS26" s="2"/>
    </row>
    <row r="27" spans="1:45" ht="14.45" customHeight="1" x14ac:dyDescent="0.25">
      <c r="A27" s="2"/>
      <c r="I27" s="127" t="s">
        <v>49</v>
      </c>
      <c r="J27" s="127"/>
      <c r="K27" s="126">
        <f>INDEX(Processing!$W$38:$W$48,MATCH(Personnel!I27,Processing!$S$38:$S$48,0),1)</f>
        <v>31900.000000000011</v>
      </c>
      <c r="L27" s="126"/>
      <c r="M27" s="126">
        <f>AVERAGE(KPI!$C$4:$C$39)</f>
        <v>15000</v>
      </c>
      <c r="N27" s="126"/>
      <c r="O27" s="126">
        <f>INDEX(Processing!$L$18:$M$22,MATCH(Personnel!I27,Processing!$K$18:$K$22,0),1)</f>
        <v>299320</v>
      </c>
      <c r="P27" s="126"/>
      <c r="Q27" s="119">
        <f>INDEX(Processing!$L$18:$M$22,MATCH(Personnel!I27,Processing!$K$18:$K$22,0),2)</f>
        <v>1.6628888888888889</v>
      </c>
      <c r="R27" s="121">
        <f t="shared" ref="R27" si="1">IF(Q27&gt;=100%,CHOOSE(SUM(Q27&gt;=100%,Q27&gt;130%),3%,5%),0%)</f>
        <v>0.05</v>
      </c>
      <c r="X27" s="2"/>
      <c r="Y27" s="2"/>
      <c r="Z27" s="2"/>
      <c r="AA27" s="2"/>
      <c r="AB27" s="2"/>
      <c r="AC27" s="2"/>
      <c r="AD27" s="2"/>
      <c r="AE27" s="2"/>
      <c r="AF27" s="2"/>
      <c r="AG27" s="2"/>
      <c r="AH27" s="2"/>
      <c r="AI27" s="2"/>
      <c r="AJ27" s="2"/>
      <c r="AK27" s="2"/>
      <c r="AL27" s="2"/>
      <c r="AM27" s="2"/>
      <c r="AN27" s="2"/>
      <c r="AO27" s="2"/>
      <c r="AP27" s="2"/>
      <c r="AQ27" s="2"/>
      <c r="AR27" s="2"/>
      <c r="AS27" s="2"/>
    </row>
    <row r="28" spans="1:45" ht="14.45" customHeight="1" x14ac:dyDescent="0.25">
      <c r="A28" s="2"/>
      <c r="I28" s="127"/>
      <c r="J28" s="127"/>
      <c r="K28" s="126"/>
      <c r="L28" s="126"/>
      <c r="M28" s="126"/>
      <c r="N28" s="126"/>
      <c r="O28" s="126"/>
      <c r="P28" s="126"/>
      <c r="Q28" s="119"/>
      <c r="R28" s="121"/>
      <c r="X28" s="2"/>
      <c r="Y28" s="2"/>
      <c r="Z28" s="2"/>
      <c r="AA28" s="2"/>
      <c r="AB28" s="2"/>
      <c r="AC28" s="2"/>
      <c r="AD28" s="2"/>
      <c r="AE28" s="2"/>
      <c r="AF28" s="2"/>
      <c r="AG28" s="2"/>
      <c r="AH28" s="2"/>
      <c r="AI28" s="2"/>
      <c r="AJ28" s="2"/>
      <c r="AK28" s="2"/>
      <c r="AL28" s="2"/>
      <c r="AM28" s="2"/>
      <c r="AN28" s="2"/>
      <c r="AO28" s="2"/>
      <c r="AP28" s="2"/>
      <c r="AQ28" s="2"/>
      <c r="AR28" s="2"/>
      <c r="AS28" s="2"/>
    </row>
    <row r="29" spans="1:45" ht="14.45" customHeight="1" x14ac:dyDescent="0.25">
      <c r="A29" s="2"/>
      <c r="I29" s="128" t="s">
        <v>50</v>
      </c>
      <c r="J29" s="128"/>
      <c r="K29" s="125">
        <f>INDEX(Processing!$W$38:$W$48,MATCH(Personnel!I29,Processing!$S$38:$S$48,0),1)</f>
        <v>31900.000000000011</v>
      </c>
      <c r="L29" s="125"/>
      <c r="M29" s="125">
        <f>AVERAGE(KPI!$C$4:$C$39)</f>
        <v>15000</v>
      </c>
      <c r="N29" s="125"/>
      <c r="O29" s="125">
        <f>INDEX(Processing!$L$18:$M$22,MATCH(Personnel!I29,Processing!$K$18:$K$22,0),1)</f>
        <v>349080</v>
      </c>
      <c r="P29" s="125"/>
      <c r="Q29" s="120">
        <f>INDEX(Processing!$L$18:$M$22,MATCH(Personnel!I29,Processing!$K$18:$K$22,0),2)</f>
        <v>1.9393333333333334</v>
      </c>
      <c r="R29" s="123">
        <f t="shared" ref="R29" si="2">IF(Q29&gt;=100%,CHOOSE(SUM(Q29&gt;=100%,Q29&gt;130%),3%,5%),0%)</f>
        <v>0.05</v>
      </c>
      <c r="X29" s="2"/>
      <c r="Y29" s="2"/>
      <c r="Z29" s="2"/>
      <c r="AA29" s="2"/>
      <c r="AB29" s="2"/>
      <c r="AC29" s="2"/>
      <c r="AD29" s="2"/>
      <c r="AE29" s="2"/>
      <c r="AF29" s="2"/>
      <c r="AG29" s="2"/>
      <c r="AH29" s="2"/>
      <c r="AI29" s="2"/>
      <c r="AJ29" s="2"/>
      <c r="AK29" s="2"/>
      <c r="AL29" s="2"/>
      <c r="AM29" s="2"/>
      <c r="AN29" s="2"/>
      <c r="AO29" s="2"/>
      <c r="AP29" s="2"/>
      <c r="AQ29" s="2"/>
      <c r="AR29" s="2"/>
      <c r="AS29" s="2"/>
    </row>
    <row r="30" spans="1:45" ht="14.45" customHeight="1" x14ac:dyDescent="0.25">
      <c r="A30" s="2"/>
      <c r="I30" s="128"/>
      <c r="J30" s="128"/>
      <c r="K30" s="125"/>
      <c r="L30" s="125"/>
      <c r="M30" s="125"/>
      <c r="N30" s="125"/>
      <c r="O30" s="125"/>
      <c r="P30" s="125"/>
      <c r="Q30" s="120"/>
      <c r="R30" s="123"/>
      <c r="X30" s="2"/>
      <c r="Y30" s="2"/>
      <c r="Z30" s="2"/>
      <c r="AA30" s="2"/>
      <c r="AB30" s="2"/>
      <c r="AC30" s="2"/>
      <c r="AD30" s="2"/>
      <c r="AE30" s="2"/>
      <c r="AF30" s="2"/>
      <c r="AG30" s="2"/>
      <c r="AH30" s="2"/>
      <c r="AI30" s="2"/>
      <c r="AJ30" s="2"/>
      <c r="AK30" s="2"/>
      <c r="AL30" s="2"/>
      <c r="AM30" s="2"/>
      <c r="AN30" s="2"/>
      <c r="AO30" s="2"/>
      <c r="AP30" s="2"/>
      <c r="AQ30" s="2"/>
      <c r="AR30" s="2"/>
      <c r="AS30" s="2"/>
    </row>
    <row r="31" spans="1:45" ht="14.45" customHeight="1" x14ac:dyDescent="0.25">
      <c r="A31" s="2"/>
      <c r="I31" s="127" t="s">
        <v>51</v>
      </c>
      <c r="J31" s="127"/>
      <c r="K31" s="126">
        <f>INDEX(Processing!$W$38:$W$48,MATCH(Personnel!I31,Processing!$S$38:$S$48,0),1)</f>
        <v>31900.000000000011</v>
      </c>
      <c r="L31" s="126"/>
      <c r="M31" s="126">
        <f>AVERAGE(KPI!$C$4:$C$39)</f>
        <v>15000</v>
      </c>
      <c r="N31" s="126"/>
      <c r="O31" s="126">
        <f>INDEX(Processing!$L$18:$M$22,MATCH(Personnel!I31,Processing!$K$18:$K$22,0),1)</f>
        <v>192980</v>
      </c>
      <c r="P31" s="126"/>
      <c r="Q31" s="119">
        <f>INDEX(Processing!$L$18:$M$22,MATCH(Personnel!I31,Processing!$K$18:$K$22,0),2)</f>
        <v>1.072111111111111</v>
      </c>
      <c r="R31" s="121">
        <f t="shared" ref="R31" si="3">IF(Q31&gt;=100%,CHOOSE(SUM(Q31&gt;=100%,Q31&gt;130%),3%,5%),0%)</f>
        <v>0.03</v>
      </c>
      <c r="X31" s="2"/>
      <c r="Y31" s="2"/>
      <c r="Z31" s="2"/>
      <c r="AA31" s="2"/>
      <c r="AB31" s="2"/>
      <c r="AC31" s="2"/>
      <c r="AD31" s="2"/>
      <c r="AE31" s="2"/>
      <c r="AF31" s="2"/>
      <c r="AG31" s="2"/>
      <c r="AH31" s="2"/>
      <c r="AI31" s="2"/>
      <c r="AJ31" s="2"/>
      <c r="AK31" s="2"/>
      <c r="AL31" s="2"/>
      <c r="AM31" s="2"/>
      <c r="AN31" s="2"/>
      <c r="AO31" s="2"/>
      <c r="AP31" s="2"/>
      <c r="AQ31" s="2"/>
      <c r="AR31" s="2"/>
      <c r="AS31" s="2"/>
    </row>
    <row r="32" spans="1:45" ht="14.45" customHeight="1" x14ac:dyDescent="0.25">
      <c r="A32" s="2"/>
      <c r="I32" s="127"/>
      <c r="J32" s="127"/>
      <c r="K32" s="126"/>
      <c r="L32" s="126"/>
      <c r="M32" s="126"/>
      <c r="N32" s="126"/>
      <c r="O32" s="126"/>
      <c r="P32" s="126"/>
      <c r="Q32" s="119"/>
      <c r="R32" s="121"/>
      <c r="X32" s="2"/>
      <c r="Y32" s="2"/>
      <c r="Z32" s="2"/>
      <c r="AA32" s="2"/>
      <c r="AB32" s="2"/>
      <c r="AC32" s="2"/>
      <c r="AD32" s="2"/>
      <c r="AE32" s="2"/>
      <c r="AF32" s="2"/>
      <c r="AG32" s="2"/>
      <c r="AH32" s="2"/>
      <c r="AI32" s="2"/>
      <c r="AJ32" s="2"/>
      <c r="AK32" s="2"/>
      <c r="AL32" s="2"/>
      <c r="AM32" s="2"/>
      <c r="AN32" s="2"/>
      <c r="AO32" s="2"/>
      <c r="AP32" s="2"/>
      <c r="AQ32" s="2"/>
      <c r="AR32" s="2"/>
      <c r="AS32" s="2"/>
    </row>
    <row r="33" spans="1:45" ht="14.45" customHeight="1" x14ac:dyDescent="0.25">
      <c r="A33" s="2"/>
      <c r="I33" s="129"/>
      <c r="J33" s="129"/>
      <c r="K33" s="124"/>
      <c r="L33" s="124"/>
      <c r="M33" s="124"/>
      <c r="N33" s="124"/>
      <c r="O33" s="124"/>
      <c r="P33" s="124"/>
      <c r="Q33" s="117"/>
      <c r="R33" s="117"/>
      <c r="X33" s="2"/>
      <c r="Y33" s="2"/>
      <c r="Z33" s="2"/>
      <c r="AA33" s="2"/>
      <c r="AB33" s="2"/>
      <c r="AC33" s="2"/>
      <c r="AD33" s="2"/>
      <c r="AE33" s="2"/>
      <c r="AF33" s="2"/>
      <c r="AG33" s="2"/>
      <c r="AH33" s="2"/>
      <c r="AI33" s="2"/>
      <c r="AJ33" s="2"/>
      <c r="AK33" s="2"/>
      <c r="AL33" s="2"/>
      <c r="AM33" s="2"/>
      <c r="AN33" s="2"/>
      <c r="AO33" s="2"/>
      <c r="AP33" s="2"/>
      <c r="AQ33" s="2"/>
      <c r="AR33" s="2"/>
      <c r="AS33" s="2"/>
    </row>
    <row r="34" spans="1:45" ht="14.45" customHeight="1" x14ac:dyDescent="0.25">
      <c r="A34" s="2"/>
      <c r="I34" s="129"/>
      <c r="J34" s="129"/>
      <c r="K34" s="124"/>
      <c r="L34" s="124"/>
      <c r="M34" s="124"/>
      <c r="N34" s="124"/>
      <c r="O34" s="124"/>
      <c r="P34" s="124"/>
      <c r="Q34" s="117"/>
      <c r="R34" s="117"/>
      <c r="X34" s="2"/>
      <c r="Y34" s="2"/>
      <c r="Z34" s="2"/>
      <c r="AA34" s="2"/>
      <c r="AB34" s="2"/>
      <c r="AC34" s="2"/>
      <c r="AD34" s="2"/>
      <c r="AE34" s="2"/>
      <c r="AF34" s="2"/>
      <c r="AG34" s="2"/>
      <c r="AH34" s="2"/>
      <c r="AI34" s="2"/>
      <c r="AJ34" s="2"/>
      <c r="AK34" s="2"/>
      <c r="AL34" s="2"/>
      <c r="AM34" s="2"/>
      <c r="AN34" s="2"/>
      <c r="AO34" s="2"/>
      <c r="AP34" s="2"/>
      <c r="AQ34" s="2"/>
      <c r="AR34" s="2"/>
      <c r="AS34" s="2"/>
    </row>
    <row r="35" spans="1:45" ht="14.4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ht="14.4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ht="14.4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ht="14.4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ht="14.4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ht="14.4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ht="14.4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ht="14.4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sheetData>
  <sheetProtection sheet="1" objects="1" scenarios="1"/>
  <mergeCells count="90">
    <mergeCell ref="I5:J6"/>
    <mergeCell ref="K5:L6"/>
    <mergeCell ref="M5:N6"/>
    <mergeCell ref="O5:P6"/>
    <mergeCell ref="Q5:Q6"/>
    <mergeCell ref="I25:J26"/>
    <mergeCell ref="I27:J28"/>
    <mergeCell ref="I29:J30"/>
    <mergeCell ref="I7:J8"/>
    <mergeCell ref="I9:J10"/>
    <mergeCell ref="I11:J12"/>
    <mergeCell ref="I13:J14"/>
    <mergeCell ref="I15:J16"/>
    <mergeCell ref="I17:J18"/>
    <mergeCell ref="R7:R8"/>
    <mergeCell ref="R9:R10"/>
    <mergeCell ref="Q9:Q10"/>
    <mergeCell ref="I31:J32"/>
    <mergeCell ref="I33:J34"/>
    <mergeCell ref="K7:L8"/>
    <mergeCell ref="K9:L10"/>
    <mergeCell ref="K11:L12"/>
    <mergeCell ref="K13:L14"/>
    <mergeCell ref="K15:L16"/>
    <mergeCell ref="K17:L18"/>
    <mergeCell ref="K29:L30"/>
    <mergeCell ref="K33:L34"/>
    <mergeCell ref="I19:J20"/>
    <mergeCell ref="I21:J22"/>
    <mergeCell ref="I23:J24"/>
    <mergeCell ref="M7:N8"/>
    <mergeCell ref="O7:P8"/>
    <mergeCell ref="M9:N10"/>
    <mergeCell ref="O9:P10"/>
    <mergeCell ref="Q7:Q8"/>
    <mergeCell ref="M11:N12"/>
    <mergeCell ref="O11:P12"/>
    <mergeCell ref="M13:N14"/>
    <mergeCell ref="O13:P14"/>
    <mergeCell ref="R11:R12"/>
    <mergeCell ref="R13:R14"/>
    <mergeCell ref="Q11:Q12"/>
    <mergeCell ref="Q13:Q14"/>
    <mergeCell ref="M15:N16"/>
    <mergeCell ref="O15:P16"/>
    <mergeCell ref="M17:N18"/>
    <mergeCell ref="O17:P18"/>
    <mergeCell ref="R15:R16"/>
    <mergeCell ref="R17:R18"/>
    <mergeCell ref="Q15:Q16"/>
    <mergeCell ref="Q17:Q18"/>
    <mergeCell ref="K19:L20"/>
    <mergeCell ref="M19:N20"/>
    <mergeCell ref="O19:P20"/>
    <mergeCell ref="Q19:Q20"/>
    <mergeCell ref="K21:L22"/>
    <mergeCell ref="M21:N22"/>
    <mergeCell ref="O21:P22"/>
    <mergeCell ref="O23:P24"/>
    <mergeCell ref="K25:L26"/>
    <mergeCell ref="M25:N26"/>
    <mergeCell ref="O25:P26"/>
    <mergeCell ref="K27:L28"/>
    <mergeCell ref="M27:N28"/>
    <mergeCell ref="O27:P28"/>
    <mergeCell ref="K23:L24"/>
    <mergeCell ref="M23:N24"/>
    <mergeCell ref="M33:N34"/>
    <mergeCell ref="O33:P34"/>
    <mergeCell ref="M29:N30"/>
    <mergeCell ref="O29:P30"/>
    <mergeCell ref="K31:L32"/>
    <mergeCell ref="M31:N32"/>
    <mergeCell ref="O31:P32"/>
    <mergeCell ref="R33:R34"/>
    <mergeCell ref="R5:R6"/>
    <mergeCell ref="Q21:Q22"/>
    <mergeCell ref="Q23:Q24"/>
    <mergeCell ref="Q25:Q26"/>
    <mergeCell ref="Q27:Q28"/>
    <mergeCell ref="Q29:Q30"/>
    <mergeCell ref="Q33:Q34"/>
    <mergeCell ref="Q31:Q32"/>
    <mergeCell ref="R31:R32"/>
    <mergeCell ref="R19:R20"/>
    <mergeCell ref="R21:R22"/>
    <mergeCell ref="R23:R24"/>
    <mergeCell ref="R25:R26"/>
    <mergeCell ref="R27:R28"/>
    <mergeCell ref="R29:R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7BF94-1838-441E-A940-1EF03F2337D6}">
  <sheetPr codeName="Sheet5"/>
  <dimension ref="A1:AU68"/>
  <sheetViews>
    <sheetView showRowColHeaders="0" zoomScaleNormal="100" workbookViewId="0">
      <selection activeCell="B2" sqref="B2"/>
    </sheetView>
  </sheetViews>
  <sheetFormatPr defaultRowHeight="15" x14ac:dyDescent="0.25"/>
  <cols>
    <col min="1" max="1" width="40.7109375" customWidth="1"/>
    <col min="6" max="6" width="10.28515625" bestFit="1" customWidth="1"/>
    <col min="15" max="15" width="10.28515625" customWidth="1"/>
    <col min="18" max="18" width="12" bestFit="1" customWidth="1"/>
    <col min="20" max="20" width="12.85546875" customWidth="1"/>
    <col min="23" max="23" width="11.140625" bestFit="1" customWidth="1"/>
    <col min="26" max="26" width="13.7109375" bestFit="1" customWidth="1"/>
  </cols>
  <sheetData>
    <row r="1" spans="1:47" x14ac:dyDescent="0.25">
      <c r="D1" t="s">
        <v>1141</v>
      </c>
      <c r="I1" s="6" t="s">
        <v>1142</v>
      </c>
      <c r="K1" s="8" t="s">
        <v>17</v>
      </c>
      <c r="L1">
        <f>MAX(J2:J6)*0.05</f>
        <v>3.6</v>
      </c>
      <c r="O1" s="6" t="s">
        <v>369</v>
      </c>
      <c r="S1" s="6" t="s">
        <v>28</v>
      </c>
      <c r="T1" t="s">
        <v>29</v>
      </c>
      <c r="W1" t="s">
        <v>68</v>
      </c>
      <c r="X1" t="s">
        <v>81</v>
      </c>
      <c r="Z1" s="6" t="s">
        <v>117</v>
      </c>
      <c r="AA1" s="9" t="s">
        <v>95</v>
      </c>
      <c r="AC1" s="84">
        <v>1</v>
      </c>
      <c r="AD1" t="str">
        <f>K18</f>
        <v>Isabella</v>
      </c>
      <c r="AE1" s="4">
        <f>M18</f>
        <v>1.3385555555555555</v>
      </c>
      <c r="AF1" t="str" cm="1">
        <f t="array" ref="AF1">INDEX($AD$1:$AD$5,SMALL(IF($AE$1:$AE$5=AG1,ROW($AE$1:$AE$5)),COUNTIF($AG$1:AG1,AG1)))</f>
        <v>Charlotte</v>
      </c>
      <c r="AG1" s="4">
        <f>LARGE($AE$1:$AE$5,AC1)</f>
        <v>1.9393333333333334</v>
      </c>
      <c r="AI1" s="84">
        <v>1</v>
      </c>
      <c r="AJ1" t="str">
        <f t="shared" ref="AJ1:AJ6" si="0">N18</f>
        <v>Jack</v>
      </c>
      <c r="AK1" s="4">
        <f t="shared" ref="AK1:AK6" si="1">P18</f>
        <v>1.7916666666666667</v>
      </c>
      <c r="AL1" t="str" cm="1">
        <f t="array" ref="AL1">INDEX($AJ$1:$AJ$6,SMALL(IF($AK$1:$AK$6=AM1,ROW($AK$1:$AK$6)),COUNTIF($AM$1:AM1,AM1)))</f>
        <v>Jack</v>
      </c>
      <c r="AM1" s="4">
        <f>LARGE($AK$1:$AK$6,AI1)</f>
        <v>1.7916666666666667</v>
      </c>
      <c r="AO1">
        <v>1</v>
      </c>
      <c r="AP1" t="str">
        <f>B38</f>
        <v>Dismantling the balcony block</v>
      </c>
      <c r="AQ1">
        <f>C38</f>
        <v>1</v>
      </c>
      <c r="AR1" t="str" cm="1">
        <f t="array" ref="AR1">INDEX($AP$1:$AP$26,SMALL(IF($AQ$1:$AQ$26=AS1,ROW($AQ$1:$AQ$26)),COUNTIF($AS$1:AS1,AS1)))</f>
        <v>Wallpapering ceilings</v>
      </c>
      <c r="AS1">
        <f>LARGE($AQ$1:$AQ$26,AO1)</f>
        <v>72</v>
      </c>
      <c r="AT1">
        <f>$AU$1</f>
        <v>2.16</v>
      </c>
      <c r="AU1">
        <f>MAX(AS1:AS26)*0.03</f>
        <v>2.16</v>
      </c>
    </row>
    <row r="2" spans="1:47" x14ac:dyDescent="0.25">
      <c r="A2" s="82" t="s">
        <v>358</v>
      </c>
      <c r="B2" s="3">
        <f>D2/D4</f>
        <v>0.36658439907261986</v>
      </c>
      <c r="C2" s="4">
        <f>1-B2</f>
        <v>0.63341560092738014</v>
      </c>
      <c r="D2">
        <f>GETPIVOTDATA("Sum of Cash",Control!$S$19)</f>
        <v>490160</v>
      </c>
      <c r="I2" s="10" t="str">
        <f>AR1</f>
        <v>Wallpapering ceilings</v>
      </c>
      <c r="J2" s="10">
        <f>AS1</f>
        <v>72</v>
      </c>
      <c r="K2">
        <f>$L$1</f>
        <v>3.6</v>
      </c>
      <c r="L2" s="11" t="str">
        <f t="shared" ref="L2:L6" si="2">LEFT(I2,18)&amp;"…"</f>
        <v>Wallpapering ceili…</v>
      </c>
      <c r="O2" t="str">
        <f>Data!M8</f>
        <v>Facebook</v>
      </c>
      <c r="P2" s="3">
        <f>Q2/$Q$7</f>
        <v>0.13390313390313391</v>
      </c>
      <c r="Q2">
        <f>IFERROR(GETPIVOTDATA(""&amp;$O$1,Control!$M$19,""&amp;$O$1,""&amp;O2),0)</f>
        <v>47</v>
      </c>
      <c r="S2" t="str">
        <f>O2&amp;T1&amp;O3&amp;T1&amp;O4&amp;CHAR(10)&amp;CHAR(10)&amp;O5&amp;T1&amp;O6</f>
        <v>Facebook        Reddit        Instagram
YouTube        WhatsApp</v>
      </c>
      <c r="W2" s="30">
        <f ca="1">TODAY()</f>
        <v>46283</v>
      </c>
      <c r="Y2">
        <v>1</v>
      </c>
      <c r="Z2" s="38">
        <f ca="1">DATE(YEAR($W$2),MONTH($W$2),Y2)</f>
        <v>46266</v>
      </c>
      <c r="AA2" s="37">
        <v>4.1666666666666664E-2</v>
      </c>
      <c r="AC2" s="84">
        <v>2</v>
      </c>
      <c r="AD2" t="str">
        <f t="shared" ref="AD2:AD5" si="3">K19</f>
        <v>Joseph</v>
      </c>
      <c r="AE2" s="4">
        <f t="shared" ref="AE2:AE5" si="4">M19</f>
        <v>1.4154444444444445</v>
      </c>
      <c r="AF2" t="str" cm="1">
        <f t="array" ref="AF2">INDEX($AD$1:$AD$5,SMALL(IF($AE$1:$AE$5=AG2,ROW($AE$1:$AE$5)),COUNTIF($AG$1:AG2,AG2)))</f>
        <v>Liam</v>
      </c>
      <c r="AG2" s="4">
        <f t="shared" ref="AG2:AG5" si="5">LARGE($AE$1:$AE$5,AC2)</f>
        <v>1.6628888888888889</v>
      </c>
      <c r="AI2" s="84">
        <v>2</v>
      </c>
      <c r="AJ2" t="str">
        <f t="shared" si="0"/>
        <v>William</v>
      </c>
      <c r="AK2" s="4">
        <f t="shared" si="1"/>
        <v>1.25</v>
      </c>
      <c r="AL2" t="str" cm="1">
        <f t="array" ref="AL2">INDEX($AJ$1:$AJ$6,SMALL(IF($AK$1:$AK$6=AM2,ROW($AK$1:$AK$6)),COUNTIF($AM$1:AM2,AM2)))</f>
        <v>James</v>
      </c>
      <c r="AM2" s="4">
        <f t="shared" ref="AM2:AM6" si="6">LARGE($AK$1:$AK$6,AI2)</f>
        <v>1.5208333333333333</v>
      </c>
      <c r="AO2">
        <v>2</v>
      </c>
      <c r="AP2" t="str">
        <f t="shared" ref="AP2:AP26" si="7">B39</f>
        <v>Laying parquet boards with glue</v>
      </c>
      <c r="AQ2">
        <f t="shared" ref="AQ2:AQ26" si="8">C39</f>
        <v>49</v>
      </c>
      <c r="AR2" t="str" cm="1">
        <f t="array" ref="AR2">INDEX($AP$1:$AP$26,SMALL(IF($AQ$1:$AQ$26=AS2,ROW($AQ$1:$AQ$26)),COUNTIF($AS$1:AS2,AS2)))</f>
        <v>Laying parquet boards with glue</v>
      </c>
      <c r="AS2">
        <f t="shared" ref="AS2:AS26" si="9">LARGE($AQ$1:$AQ$26,AO2)</f>
        <v>49</v>
      </c>
      <c r="AT2">
        <f t="shared" ref="AT2:AT26" si="10">$AU$1</f>
        <v>2.16</v>
      </c>
    </row>
    <row r="3" spans="1:47" x14ac:dyDescent="0.25">
      <c r="A3" s="82" t="s">
        <v>1077</v>
      </c>
      <c r="B3" s="3">
        <f>D3/D4</f>
        <v>0.63341560092738014</v>
      </c>
      <c r="C3" s="4">
        <f>1-B3</f>
        <v>0.36658439907261986</v>
      </c>
      <c r="D3">
        <f>GETPIVOTDATA("Sum of Card",Control!$S$19)</f>
        <v>846940</v>
      </c>
      <c r="I3" s="10" t="str">
        <f t="shared" ref="I3:J6" si="11">AR2</f>
        <v>Laying parquet boards with glue</v>
      </c>
      <c r="J3" s="10">
        <f t="shared" si="11"/>
        <v>49</v>
      </c>
      <c r="K3">
        <f t="shared" ref="K3:K6" si="12">$L$1</f>
        <v>3.6</v>
      </c>
      <c r="L3" s="11" t="str">
        <f t="shared" si="2"/>
        <v>Laying parquet boa…</v>
      </c>
      <c r="O3" t="str">
        <f>Data!M9</f>
        <v>Reddit</v>
      </c>
      <c r="P3" s="3">
        <f t="shared" ref="P3:P6" si="13">Q3/$Q$7</f>
        <v>0.22507122507122507</v>
      </c>
      <c r="Q3">
        <f>IFERROR(GETPIVOTDATA(""&amp;$O$1,Control!$M$19,""&amp;$O$1,""&amp;O3),0)</f>
        <v>79</v>
      </c>
      <c r="W3" t="str" cm="1">
        <f t="array" aca="1" ref="W3" ca="1">INDEX(W6:W17,MONTH(W2))&amp;X1&amp;DAY(W2)&amp;X1&amp;YEAR(W2)</f>
        <v>September 18 2026</v>
      </c>
      <c r="Y3">
        <v>2</v>
      </c>
      <c r="Z3" s="38">
        <f t="shared" ref="Z3:Z32" ca="1" si="14">DATE(YEAR($W$2),MONTH($W$2),Y3)</f>
        <v>46267</v>
      </c>
      <c r="AA3" s="37">
        <v>8.3333333333333301E-2</v>
      </c>
      <c r="AC3" s="84">
        <v>3</v>
      </c>
      <c r="AD3" t="str">
        <f t="shared" si="3"/>
        <v>Liam</v>
      </c>
      <c r="AE3" s="4">
        <f t="shared" si="4"/>
        <v>1.6628888888888889</v>
      </c>
      <c r="AF3" t="str" cm="1">
        <f t="array" ref="AF3">INDEX($AD$1:$AD$5,SMALL(IF($AE$1:$AE$5=AG3,ROW($AE$1:$AE$5)),COUNTIF($AG$1:AG3,AG3)))</f>
        <v>Joseph</v>
      </c>
      <c r="AG3" s="4">
        <f t="shared" si="5"/>
        <v>1.4154444444444445</v>
      </c>
      <c r="AI3" s="84">
        <v>3</v>
      </c>
      <c r="AJ3" t="str">
        <f t="shared" si="0"/>
        <v>James</v>
      </c>
      <c r="AK3" s="4">
        <f t="shared" si="1"/>
        <v>1.5208333333333333</v>
      </c>
      <c r="AL3" t="str" cm="1">
        <f t="array" ref="AL3">INDEX($AJ$1:$AJ$6,SMALL(IF($AK$1:$AK$6=AM3,ROW($AK$1:$AK$6)),COUNTIF($AM$1:AM3,AM3)))</f>
        <v>William</v>
      </c>
      <c r="AM3" s="4">
        <f t="shared" si="6"/>
        <v>1.25</v>
      </c>
      <c r="AO3">
        <v>3</v>
      </c>
      <c r="AP3" t="str">
        <f t="shared" si="7"/>
        <v>Laying quartz vinyl tiles on a substrate</v>
      </c>
      <c r="AQ3">
        <f t="shared" si="8"/>
        <v>1</v>
      </c>
      <c r="AR3" t="str" cm="1">
        <f t="array" ref="AR3">INDEX($AP$1:$AP$26,SMALL(IF($AQ$1:$AQ$26=AS3,ROW($AQ$1:$AQ$26)),COUNTIF($AS$1:AS3,AS3)))</f>
        <v>Installation of slatted ceilings</v>
      </c>
      <c r="AS3">
        <f t="shared" si="9"/>
        <v>49</v>
      </c>
      <c r="AT3">
        <f t="shared" si="10"/>
        <v>2.16</v>
      </c>
    </row>
    <row r="4" spans="1:47" x14ac:dyDescent="0.25">
      <c r="B4" t="s">
        <v>364</v>
      </c>
      <c r="D4">
        <f>SUM(D2:D3)</f>
        <v>1337100</v>
      </c>
      <c r="I4" s="10" t="str">
        <f t="shared" si="11"/>
        <v>Installation of slatted ceilings</v>
      </c>
      <c r="J4" s="10">
        <f t="shared" si="11"/>
        <v>49</v>
      </c>
      <c r="K4">
        <f t="shared" si="12"/>
        <v>3.6</v>
      </c>
      <c r="L4" s="11" t="str">
        <f t="shared" si="2"/>
        <v>Installation of sl…</v>
      </c>
      <c r="O4" t="str">
        <f>Data!M10</f>
        <v>Instagram</v>
      </c>
      <c r="P4" s="3">
        <f t="shared" si="13"/>
        <v>0.27920227920227919</v>
      </c>
      <c r="Q4">
        <f>IFERROR(GETPIVOTDATA(""&amp;$O$1,Control!$M$19,""&amp;$O$1,""&amp;O4),0)</f>
        <v>98</v>
      </c>
      <c r="W4" t="str" cm="1">
        <f t="array" aca="1" ref="W4" ca="1">INDEX(X6:X12,WEEKDAY(W2))</f>
        <v>Friday</v>
      </c>
      <c r="Y4">
        <v>3</v>
      </c>
      <c r="Z4" s="38">
        <f t="shared" ca="1" si="14"/>
        <v>46268</v>
      </c>
      <c r="AA4" s="37">
        <v>0.125</v>
      </c>
      <c r="AC4" s="84">
        <v>4</v>
      </c>
      <c r="AD4" t="str">
        <f t="shared" si="3"/>
        <v>Charlotte</v>
      </c>
      <c r="AE4" s="4">
        <f t="shared" si="4"/>
        <v>1.9393333333333334</v>
      </c>
      <c r="AF4" t="str" cm="1">
        <f t="array" ref="AF4">INDEX($AD$1:$AD$5,SMALL(IF($AE$1:$AE$5=AG4,ROW($AE$1:$AE$5)),COUNTIF($AG$1:AG4,AG4)))</f>
        <v>Isabella</v>
      </c>
      <c r="AG4" s="4">
        <f t="shared" si="5"/>
        <v>1.3385555555555555</v>
      </c>
      <c r="AI4" s="84">
        <v>4</v>
      </c>
      <c r="AJ4" t="str">
        <f t="shared" si="0"/>
        <v>Oliver</v>
      </c>
      <c r="AK4" s="4">
        <f t="shared" si="1"/>
        <v>0.6875</v>
      </c>
      <c r="AL4" t="str" cm="1">
        <f t="array" ref="AL4">INDEX($AJ$1:$AJ$6,SMALL(IF($AK$1:$AK$6=AM4,ROW($AK$1:$AK$6)),COUNTIF($AM$1:AM4,AM4)))</f>
        <v>Lucas</v>
      </c>
      <c r="AM4" s="4">
        <f t="shared" si="6"/>
        <v>0.77083333333333337</v>
      </c>
      <c r="AO4">
        <v>4</v>
      </c>
      <c r="AP4" t="str">
        <f t="shared" si="7"/>
        <v>Laying parquet boards on a substrate</v>
      </c>
      <c r="AQ4">
        <f t="shared" si="8"/>
        <v>1</v>
      </c>
      <c r="AR4" t="str" cm="1">
        <f t="array" ref="AR4">INDEX($AP$1:$AP$26,SMALL(IF($AQ$1:$AQ$26=AS4,ROW($AQ$1:$AQ$26)),COUNTIF($AS$1:AS4,AS4)))</f>
        <v>Cutting and installation of additional corners</v>
      </c>
      <c r="AS4">
        <f t="shared" si="9"/>
        <v>27</v>
      </c>
      <c r="AT4">
        <f t="shared" si="10"/>
        <v>2.16</v>
      </c>
    </row>
    <row r="5" spans="1:47" x14ac:dyDescent="0.25">
      <c r="B5" s="6" t="s">
        <v>147</v>
      </c>
      <c r="C5">
        <f>IFERROR(GETPIVOTDATA("Status",Control!$P$19,""&amp;$B$4,""&amp;B5),0)</f>
        <v>326</v>
      </c>
      <c r="I5" s="10" t="str">
        <f t="shared" si="11"/>
        <v>Cutting and installation of additional corners</v>
      </c>
      <c r="J5" s="10">
        <f t="shared" si="11"/>
        <v>27</v>
      </c>
      <c r="K5">
        <f t="shared" si="12"/>
        <v>3.6</v>
      </c>
      <c r="L5" s="11" t="str">
        <f t="shared" si="2"/>
        <v>Cutting and instal…</v>
      </c>
      <c r="O5" t="str">
        <f>Data!M11</f>
        <v>YouTube</v>
      </c>
      <c r="P5" s="3">
        <f t="shared" si="13"/>
        <v>0.24216524216524216</v>
      </c>
      <c r="Q5">
        <f>IFERROR(GETPIVOTDATA(""&amp;$O$1,Control!$M$19,""&amp;$O$1,""&amp;O5),0)</f>
        <v>85</v>
      </c>
      <c r="Y5">
        <v>4</v>
      </c>
      <c r="Z5" s="38">
        <f t="shared" ca="1" si="14"/>
        <v>46269</v>
      </c>
      <c r="AA5" s="37">
        <v>0.16666666666666699</v>
      </c>
      <c r="AC5" s="84">
        <v>5</v>
      </c>
      <c r="AD5" t="str">
        <f t="shared" si="3"/>
        <v>Jacob</v>
      </c>
      <c r="AE5" s="4">
        <f t="shared" si="4"/>
        <v>1.072111111111111</v>
      </c>
      <c r="AF5" t="str" cm="1">
        <f t="array" ref="AF5">INDEX($AD$1:$AD$5,SMALL(IF($AE$1:$AE$5=AG5,ROW($AE$1:$AE$5)),COUNTIF($AG$1:AG5,AG5)))</f>
        <v>Jacob</v>
      </c>
      <c r="AG5" s="4">
        <f t="shared" si="5"/>
        <v>1.072111111111111</v>
      </c>
      <c r="AI5" s="84">
        <v>5</v>
      </c>
      <c r="AJ5" t="str">
        <f t="shared" si="0"/>
        <v>Lucas</v>
      </c>
      <c r="AK5" s="4">
        <f t="shared" si="1"/>
        <v>0.77083333333333337</v>
      </c>
      <c r="AL5" t="str" cm="1">
        <f t="array" ref="AL5">INDEX($AJ$1:$AJ$6,SMALL(IF($AK$1:$AK$6=AM5,ROW($AK$1:$AK$6)),COUNTIF($AM$1:AM5,AM5)))</f>
        <v>Sofia</v>
      </c>
      <c r="AM5" s="4">
        <f t="shared" si="6"/>
        <v>0.77083333333333337</v>
      </c>
      <c r="AO5">
        <v>5</v>
      </c>
      <c r="AP5" t="str">
        <f t="shared" si="7"/>
        <v>Laying solid boards</v>
      </c>
      <c r="AQ5">
        <f t="shared" si="8"/>
        <v>25</v>
      </c>
      <c r="AR5" t="str" cm="1">
        <f t="array" ref="AR5">INDEX($AP$1:$AP$26,SMALL(IF($AQ$1:$AQ$26=AS5,ROW($AQ$1:$AQ$26)),COUNTIF($AS$1:AS5,AS5)))</f>
        <v>Laying linoleum with glue</v>
      </c>
      <c r="AS5">
        <f t="shared" si="9"/>
        <v>26</v>
      </c>
      <c r="AT5">
        <f t="shared" si="10"/>
        <v>2.16</v>
      </c>
    </row>
    <row r="6" spans="1:47" x14ac:dyDescent="0.25">
      <c r="B6" s="6" t="s">
        <v>148</v>
      </c>
      <c r="C6">
        <f>IFERROR(GETPIVOTDATA("Status",Control!$P$19,""&amp;$B$4,""&amp;B6),0)</f>
        <v>18</v>
      </c>
      <c r="I6" s="10" t="str">
        <f t="shared" si="11"/>
        <v>Laying linoleum with glue</v>
      </c>
      <c r="J6" s="10">
        <f t="shared" si="11"/>
        <v>26</v>
      </c>
      <c r="K6">
        <f t="shared" si="12"/>
        <v>3.6</v>
      </c>
      <c r="L6" s="11" t="str">
        <f t="shared" si="2"/>
        <v>Laying linoleum wi…</v>
      </c>
      <c r="O6" t="str">
        <f>Data!M12</f>
        <v>WhatsApp</v>
      </c>
      <c r="P6" s="3">
        <f t="shared" si="13"/>
        <v>0.11965811965811966</v>
      </c>
      <c r="Q6">
        <f>IFERROR(GETPIVOTDATA(""&amp;$O$1,Control!$M$19,""&amp;$O$1,""&amp;O6),0)</f>
        <v>42</v>
      </c>
      <c r="W6" t="s">
        <v>69</v>
      </c>
      <c r="X6" t="s">
        <v>82</v>
      </c>
      <c r="Y6">
        <v>5</v>
      </c>
      <c r="Z6" s="38">
        <f t="shared" ca="1" si="14"/>
        <v>46270</v>
      </c>
      <c r="AA6" s="37">
        <v>0.20833333333333301</v>
      </c>
      <c r="AB6" t="s">
        <v>1120</v>
      </c>
      <c r="AI6" s="84">
        <v>6</v>
      </c>
      <c r="AJ6" t="str">
        <f t="shared" si="0"/>
        <v>Sofia</v>
      </c>
      <c r="AK6" s="4">
        <f t="shared" si="1"/>
        <v>0.77083333333333337</v>
      </c>
      <c r="AL6" t="str" cm="1">
        <f t="array" ref="AL6">INDEX($AJ$1:$AJ$6,SMALL(IF($AK$1:$AK$6=AM6,ROW($AK$1:$AK$6)),COUNTIF($AM$1:AM6,AM6)))</f>
        <v>Oliver</v>
      </c>
      <c r="AM6" s="4">
        <f t="shared" si="6"/>
        <v>0.6875</v>
      </c>
      <c r="AO6">
        <v>6</v>
      </c>
      <c r="AP6" t="str">
        <f t="shared" si="7"/>
        <v>Installation of ceiling plinth</v>
      </c>
      <c r="AQ6">
        <f t="shared" si="8"/>
        <v>3</v>
      </c>
      <c r="AR6" t="str" cm="1">
        <f t="array" ref="AR6">INDEX($AP$1:$AP$26,SMALL(IF($AQ$1:$AQ$26=AS6,ROW($AQ$1:$AQ$26)),COUNTIF($AS$1:AS6,AS6)))</f>
        <v>Laying solid boards</v>
      </c>
      <c r="AS6">
        <f t="shared" si="9"/>
        <v>25</v>
      </c>
      <c r="AT6">
        <f t="shared" si="10"/>
        <v>2.16</v>
      </c>
    </row>
    <row r="7" spans="1:47" x14ac:dyDescent="0.25">
      <c r="B7" s="6" t="s">
        <v>146</v>
      </c>
      <c r="C7">
        <f>IFERROR(GETPIVOTDATA("Status",Control!$P$19,""&amp;$B$4,""&amp;B7),0)</f>
        <v>7</v>
      </c>
      <c r="I7" s="82" t="s">
        <v>30</v>
      </c>
      <c r="J7" s="85">
        <f>SUM(J2:J6)</f>
        <v>223</v>
      </c>
      <c r="L7" s="11"/>
      <c r="Q7">
        <f>SUM(Q2:Q6)</f>
        <v>351</v>
      </c>
      <c r="W7" t="s">
        <v>70</v>
      </c>
      <c r="X7" t="s">
        <v>83</v>
      </c>
      <c r="Y7">
        <v>6</v>
      </c>
      <c r="Z7" s="38">
        <f t="shared" ca="1" si="14"/>
        <v>46271</v>
      </c>
      <c r="AA7" s="37">
        <v>0.25</v>
      </c>
      <c r="AH7" t="s">
        <v>1119</v>
      </c>
      <c r="AO7">
        <v>7</v>
      </c>
      <c r="AP7" t="str">
        <f t="shared" si="7"/>
        <v>Cutting and installation of additional corners</v>
      </c>
      <c r="AQ7">
        <f t="shared" si="8"/>
        <v>27</v>
      </c>
      <c r="AR7" t="str" cm="1">
        <f t="array" ref="AR7">INDEX($AP$1:$AP$26,SMALL(IF($AQ$1:$AQ$26=AS7,ROW($AQ$1:$AQ$26)),COUNTIF($AS$1:AS7,AS7)))</f>
        <v>Installation of PVC skirting boards</v>
      </c>
      <c r="AS7">
        <f t="shared" si="9"/>
        <v>24</v>
      </c>
      <c r="AT7">
        <f t="shared" si="10"/>
        <v>2.16</v>
      </c>
    </row>
    <row r="8" spans="1:47" x14ac:dyDescent="0.25">
      <c r="L8" t="s">
        <v>1115</v>
      </c>
      <c r="N8" s="13">
        <v>0.1</v>
      </c>
      <c r="O8" s="13">
        <v>0.03</v>
      </c>
      <c r="R8" t="s">
        <v>113</v>
      </c>
      <c r="W8" t="s">
        <v>71</v>
      </c>
      <c r="X8" t="s">
        <v>84</v>
      </c>
      <c r="Y8">
        <v>7</v>
      </c>
      <c r="Z8" s="38">
        <f t="shared" ca="1" si="14"/>
        <v>46272</v>
      </c>
      <c r="AA8" s="37">
        <v>0.29166666666666702</v>
      </c>
      <c r="AO8">
        <v>8</v>
      </c>
      <c r="AP8" t="str">
        <f t="shared" si="7"/>
        <v>Dismantling the balcony block</v>
      </c>
      <c r="AQ8">
        <f t="shared" si="8"/>
        <v>1</v>
      </c>
      <c r="AR8" t="str" cm="1">
        <f t="array" ref="AR8">INDEX($AP$1:$AP$26,SMALL(IF($AQ$1:$AQ$26=AS8,ROW($AQ$1:$AQ$26)),COUNTIF($AS$1:AS8,AS8)))</f>
        <v>Dismantling the window block</v>
      </c>
      <c r="AS8">
        <f t="shared" si="9"/>
        <v>22</v>
      </c>
      <c r="AT8">
        <f t="shared" si="10"/>
        <v>2.16</v>
      </c>
    </row>
    <row r="9" spans="1:47" x14ac:dyDescent="0.25">
      <c r="E9" s="7">
        <f>MAX(D11:D22)*0.05</f>
        <v>7250</v>
      </c>
      <c r="H9">
        <f>MAX(D11:D22)*0.5</f>
        <v>72500</v>
      </c>
      <c r="K9" s="15" t="s">
        <v>34</v>
      </c>
      <c r="L9" s="9" t="str">
        <f>T10&amp;"s"</f>
        <v>Masters</v>
      </c>
      <c r="M9" s="9" t="str">
        <f>T11&amp;"s"</f>
        <v>Managers</v>
      </c>
      <c r="N9" s="14" t="s">
        <v>32</v>
      </c>
      <c r="O9" s="8" t="s">
        <v>33</v>
      </c>
      <c r="P9" s="15" t="s">
        <v>1121</v>
      </c>
      <c r="R9" s="6" t="str">
        <f>L9</f>
        <v>Masters</v>
      </c>
      <c r="S9" s="6" t="str">
        <f>M9</f>
        <v>Managers</v>
      </c>
      <c r="T9" s="6" t="s">
        <v>58</v>
      </c>
      <c r="U9" s="6" t="s">
        <v>64</v>
      </c>
      <c r="W9" t="s">
        <v>72</v>
      </c>
      <c r="X9" t="s">
        <v>85</v>
      </c>
      <c r="Y9">
        <v>8</v>
      </c>
      <c r="Z9" s="38">
        <f t="shared" ca="1" si="14"/>
        <v>46273</v>
      </c>
      <c r="AA9" s="37">
        <v>0.33333333333333298</v>
      </c>
      <c r="AO9">
        <v>9</v>
      </c>
      <c r="AP9" t="str">
        <f t="shared" si="7"/>
        <v>Removing the front door</v>
      </c>
      <c r="AQ9">
        <f t="shared" si="8"/>
        <v>1</v>
      </c>
      <c r="AR9" t="str" cm="1">
        <f t="array" ref="AR9">INDEX($AP$1:$AP$26,SMALL(IF($AQ$1:$AQ$26=AS9,ROW($AQ$1:$AQ$26)),COUNTIF($AS$1:AS9,AS9)))</f>
        <v>Laying quartz vinyl tiles with glue</v>
      </c>
      <c r="AS9">
        <f t="shared" si="9"/>
        <v>22</v>
      </c>
      <c r="AT9">
        <f t="shared" si="10"/>
        <v>2.16</v>
      </c>
    </row>
    <row r="10" spans="1:47" x14ac:dyDescent="0.25">
      <c r="B10" s="6" t="s">
        <v>14</v>
      </c>
      <c r="C10" s="9" t="s">
        <v>12</v>
      </c>
      <c r="D10" s="9" t="s">
        <v>30</v>
      </c>
      <c r="E10" s="8" t="s">
        <v>17</v>
      </c>
      <c r="F10" s="9" t="s">
        <v>15</v>
      </c>
      <c r="G10" s="9" t="s">
        <v>16</v>
      </c>
      <c r="H10" s="9" t="s">
        <v>35</v>
      </c>
      <c r="I10" s="9" t="s">
        <v>1149</v>
      </c>
      <c r="J10" s="12">
        <f>SUM(K10:O10)</f>
        <v>0.87010542303225236</v>
      </c>
      <c r="K10" s="4">
        <f>0.5-L10</f>
        <v>0.2401054230322523</v>
      </c>
      <c r="L10" s="3">
        <f>AG1/$L$15/2</f>
        <v>0.2598945769677477</v>
      </c>
      <c r="M10" s="3">
        <f>AM1/$L$15/2</f>
        <v>0.24010542303225232</v>
      </c>
      <c r="N10">
        <f>$N$8</f>
        <v>0.1</v>
      </c>
      <c r="O10">
        <f>$O$8</f>
        <v>0.03</v>
      </c>
      <c r="P10" s="4" cm="1">
        <f t="array" ref="P10">MAX($J$10:$J$14-J10)</f>
        <v>0</v>
      </c>
      <c r="R10" t="str">
        <f>Data!E4</f>
        <v>Jack</v>
      </c>
      <c r="S10" t="str">
        <f>Data!H4</f>
        <v>Isabella</v>
      </c>
      <c r="T10" t="str">
        <f>Data!K4</f>
        <v>Master</v>
      </c>
      <c r="U10" t="s">
        <v>67</v>
      </c>
      <c r="W10" t="s">
        <v>73</v>
      </c>
      <c r="X10" t="s">
        <v>86</v>
      </c>
      <c r="Y10">
        <v>9</v>
      </c>
      <c r="Z10" s="38">
        <f t="shared" ca="1" si="14"/>
        <v>46274</v>
      </c>
      <c r="AA10" s="37">
        <v>0.375</v>
      </c>
      <c r="AO10">
        <v>10</v>
      </c>
      <c r="AP10" t="str">
        <f t="shared" si="7"/>
        <v>Removing the shower tray</v>
      </c>
      <c r="AQ10">
        <f t="shared" si="8"/>
        <v>1</v>
      </c>
      <c r="AR10" t="str" cm="1">
        <f t="array" ref="AR10">INDEX($AP$1:$AP$26,SMALL(IF($AQ$1:$AQ$26=AS10,ROW($AQ$1:$AQ$26)),COUNTIF($AS$1:AS10,AS10)))</f>
        <v>Threshold installation</v>
      </c>
      <c r="AS10">
        <f t="shared" si="9"/>
        <v>21</v>
      </c>
      <c r="AT10">
        <f t="shared" si="10"/>
        <v>2.16</v>
      </c>
    </row>
    <row r="11" spans="1:47" x14ac:dyDescent="0.25">
      <c r="B11">
        <v>1</v>
      </c>
      <c r="C11" t="s">
        <v>0</v>
      </c>
      <c r="D11">
        <f>GETPIVOTDATA(""&amp;$D$10,Control!$A$3,""&amp;$C$10,""&amp;C11)</f>
        <v>77600</v>
      </c>
      <c r="E11">
        <f t="shared" ref="E11:E22" si="15">$E$9</f>
        <v>7250</v>
      </c>
      <c r="F11">
        <f>IFERROR(GETPIVOTDATA(""&amp;$D$10,Control!$A$19,""&amp;$C$10,""&amp;C11),0)</f>
        <v>77600</v>
      </c>
      <c r="G11">
        <f>IF(F11&gt;0,E11,0)</f>
        <v>7250</v>
      </c>
      <c r="H11">
        <f>D11+$H$9</f>
        <v>150100</v>
      </c>
      <c r="I11">
        <f>GETPIVOTDATA(""&amp;$I$10,Control!$A$3,""&amp;$C$10,""&amp;C11)</f>
        <v>75137</v>
      </c>
      <c r="J11" s="12">
        <f t="shared" ref="J11:J14" si="16">SUM(K11:O11)</f>
        <v>0.83381041722505134</v>
      </c>
      <c r="K11" s="4">
        <f t="shared" ref="K11:K14" si="17">0.5-L11</f>
        <v>0.27715238690848443</v>
      </c>
      <c r="L11" s="3">
        <f t="shared" ref="L11:L14" si="18">AG2/$L$15/2</f>
        <v>0.22284761309151555</v>
      </c>
      <c r="M11" s="3">
        <f t="shared" ref="M11:M14" si="19">AM2/$L$15/2</f>
        <v>0.20381041722505136</v>
      </c>
      <c r="N11">
        <f>$N$8</f>
        <v>0.1</v>
      </c>
      <c r="O11">
        <f>$O$8</f>
        <v>0.03</v>
      </c>
      <c r="P11" s="4" cm="1">
        <f t="array" ref="P11">MAX($J$10:$J$14-J11)</f>
        <v>3.629500580720102E-2</v>
      </c>
      <c r="R11" t="str">
        <f>Data!E5</f>
        <v>William</v>
      </c>
      <c r="S11" t="str">
        <f>Data!H5</f>
        <v>Joseph</v>
      </c>
      <c r="T11" t="str">
        <f>Data!K5</f>
        <v>Manager</v>
      </c>
      <c r="W11" t="s">
        <v>74</v>
      </c>
      <c r="X11" t="s">
        <v>87</v>
      </c>
      <c r="Y11">
        <v>10</v>
      </c>
      <c r="Z11" s="38">
        <f t="shared" ca="1" si="14"/>
        <v>46275</v>
      </c>
      <c r="AA11" s="37">
        <v>0.41666666666666702</v>
      </c>
      <c r="AO11">
        <v>11</v>
      </c>
      <c r="AP11" t="str">
        <f t="shared" si="7"/>
        <v>Removing the sink</v>
      </c>
      <c r="AQ11">
        <f t="shared" si="8"/>
        <v>0</v>
      </c>
      <c r="AR11" t="str" cm="1">
        <f t="array" ref="AR11">INDEX($AP$1:$AP$26,SMALL(IF($AQ$1:$AQ$26=AS11,ROW($AQ$1:$AQ$26)),COUNTIF($AS$1:AS11,AS11)))</f>
        <v>Installation of ceiling plinth</v>
      </c>
      <c r="AS11">
        <f t="shared" si="9"/>
        <v>3</v>
      </c>
      <c r="AT11">
        <f t="shared" si="10"/>
        <v>2.16</v>
      </c>
    </row>
    <row r="12" spans="1:47" x14ac:dyDescent="0.25">
      <c r="B12">
        <v>2</v>
      </c>
      <c r="C12" t="s">
        <v>1</v>
      </c>
      <c r="D12">
        <f>GETPIVOTDATA(""&amp;$D$10,Control!$A$3,""&amp;$C$10,""&amp;C12)</f>
        <v>95100</v>
      </c>
      <c r="E12">
        <f t="shared" si="15"/>
        <v>7250</v>
      </c>
      <c r="F12">
        <f>IFERROR(GETPIVOTDATA(""&amp;$D$10,Control!$A$19,""&amp;$C$10,""&amp;C12),0)</f>
        <v>95100</v>
      </c>
      <c r="G12">
        <f t="shared" ref="G12:G22" si="20">IF(F12&gt;0,E12,0)</f>
        <v>7250</v>
      </c>
      <c r="H12">
        <f t="shared" ref="H12:H22" si="21">D12+$H$9</f>
        <v>167600</v>
      </c>
      <c r="I12">
        <f>GETPIVOTDATA(""&amp;$I$10,Control!$A$3,""&amp;$C$10,""&amp;C12)</f>
        <v>102667</v>
      </c>
      <c r="J12" s="12">
        <f t="shared" si="16"/>
        <v>0.79751541141785043</v>
      </c>
      <c r="K12" s="4">
        <f t="shared" si="17"/>
        <v>0.31031299323982253</v>
      </c>
      <c r="L12" s="3">
        <f t="shared" si="18"/>
        <v>0.1896870067601775</v>
      </c>
      <c r="M12" s="3">
        <f t="shared" si="19"/>
        <v>0.16751541141785045</v>
      </c>
      <c r="N12">
        <f>$N$8</f>
        <v>0.1</v>
      </c>
      <c r="O12">
        <f>$O$8</f>
        <v>0.03</v>
      </c>
      <c r="P12" s="4" cm="1">
        <f t="array" ref="P12">MAX($J$10:$J$14-J12)</f>
        <v>7.2590011614401928E-2</v>
      </c>
      <c r="R12" t="str">
        <f>Data!E6</f>
        <v>James</v>
      </c>
      <c r="S12" t="str">
        <f>Data!H6</f>
        <v>Liam</v>
      </c>
      <c r="W12" t="s">
        <v>75</v>
      </c>
      <c r="X12" t="s">
        <v>88</v>
      </c>
      <c r="Y12">
        <v>11</v>
      </c>
      <c r="Z12" s="38">
        <f t="shared" ca="1" si="14"/>
        <v>46276</v>
      </c>
      <c r="AA12" s="37">
        <v>0.45833333333333298</v>
      </c>
      <c r="AO12">
        <v>12</v>
      </c>
      <c r="AP12" t="str">
        <f t="shared" si="7"/>
        <v>Dismantling the window block</v>
      </c>
      <c r="AQ12">
        <f t="shared" si="8"/>
        <v>22</v>
      </c>
      <c r="AR12" t="str" cm="1">
        <f t="array" ref="AR12">INDEX($AP$1:$AP$26,SMALL(IF($AQ$1:$AQ$26=AS12,ROW($AQ$1:$AQ$26)),COUNTIF($AS$1:AS12,AS12)))</f>
        <v>Application of decorative plaster</v>
      </c>
      <c r="AS12">
        <f t="shared" si="9"/>
        <v>2</v>
      </c>
      <c r="AT12">
        <f t="shared" si="10"/>
        <v>2.16</v>
      </c>
    </row>
    <row r="13" spans="1:47" x14ac:dyDescent="0.25">
      <c r="B13">
        <v>3</v>
      </c>
      <c r="C13" t="s">
        <v>2</v>
      </c>
      <c r="D13">
        <f>GETPIVOTDATA(""&amp;$D$10,Control!$A$3,""&amp;$C$10,""&amp;C13)</f>
        <v>109600</v>
      </c>
      <c r="E13">
        <f t="shared" si="15"/>
        <v>7250</v>
      </c>
      <c r="F13">
        <f>IFERROR(GETPIVOTDATA(""&amp;$D$10,Control!$A$19,""&amp;$C$10,""&amp;C13),0)</f>
        <v>109600</v>
      </c>
      <c r="G13">
        <f t="shared" si="20"/>
        <v>7250</v>
      </c>
      <c r="H13">
        <f t="shared" si="21"/>
        <v>182100</v>
      </c>
      <c r="I13">
        <f>GETPIVOTDATA(""&amp;$I$10,Control!$A$3,""&amp;$C$10,""&amp;C13)</f>
        <v>111307</v>
      </c>
      <c r="J13" s="12">
        <f t="shared" si="16"/>
        <v>0.73330117037434117</v>
      </c>
      <c r="K13" s="4">
        <f t="shared" si="17"/>
        <v>0.32061705232436943</v>
      </c>
      <c r="L13" s="3">
        <f t="shared" si="18"/>
        <v>0.17938294767563059</v>
      </c>
      <c r="M13" s="3">
        <f t="shared" si="19"/>
        <v>0.10330117037434111</v>
      </c>
      <c r="N13">
        <f>$N$8</f>
        <v>0.1</v>
      </c>
      <c r="O13">
        <f>$O$8</f>
        <v>0.03</v>
      </c>
      <c r="P13" s="4" cm="1">
        <f t="array" ref="P13">MAX($J$10:$J$14-J13)</f>
        <v>0.13680425265791119</v>
      </c>
      <c r="R13" t="str">
        <f>Data!E7</f>
        <v>Oliver</v>
      </c>
      <c r="S13" t="str">
        <f>Data!H7</f>
        <v>Charlotte</v>
      </c>
      <c r="W13" t="s">
        <v>76</v>
      </c>
      <c r="Y13">
        <v>12</v>
      </c>
      <c r="Z13" s="38">
        <f t="shared" ca="1" si="14"/>
        <v>46277</v>
      </c>
      <c r="AA13" s="37">
        <v>0.5</v>
      </c>
      <c r="AO13">
        <v>13</v>
      </c>
      <c r="AP13" t="str">
        <f t="shared" si="7"/>
        <v>Laying ceramic tiles, porcelain tiles on the floor with grout</v>
      </c>
      <c r="AQ13">
        <f t="shared" si="8"/>
        <v>0</v>
      </c>
      <c r="AR13" t="str" cm="1">
        <f t="array" ref="AR13">INDEX($AP$1:$AP$26,SMALL(IF($AQ$1:$AQ$26=AS13,ROW($AQ$1:$AQ$26)),COUNTIF($AS$1:AS13,AS13)))</f>
        <v>Dismantling the balcony block</v>
      </c>
      <c r="AS13">
        <f t="shared" si="9"/>
        <v>1</v>
      </c>
      <c r="AT13">
        <f t="shared" si="10"/>
        <v>2.16</v>
      </c>
    </row>
    <row r="14" spans="1:47" x14ac:dyDescent="0.25">
      <c r="B14">
        <v>4</v>
      </c>
      <c r="C14" t="s">
        <v>3</v>
      </c>
      <c r="D14">
        <f>GETPIVOTDATA(""&amp;$D$10,Control!$A$3,""&amp;$C$10,""&amp;C14)</f>
        <v>117100</v>
      </c>
      <c r="E14">
        <f t="shared" si="15"/>
        <v>7250</v>
      </c>
      <c r="F14">
        <f>IFERROR(GETPIVOTDATA(""&amp;$D$10,Control!$A$19,""&amp;$C$10,""&amp;C14),0)</f>
        <v>117100</v>
      </c>
      <c r="G14">
        <f t="shared" si="20"/>
        <v>7250</v>
      </c>
      <c r="H14">
        <f t="shared" si="21"/>
        <v>189600</v>
      </c>
      <c r="I14">
        <f>GETPIVOTDATA(""&amp;$I$10,Control!$A$3,""&amp;$C$10,""&amp;C14)</f>
        <v>110749</v>
      </c>
      <c r="J14" s="12">
        <f t="shared" si="16"/>
        <v>0.73330117037434117</v>
      </c>
      <c r="K14" s="4">
        <f t="shared" si="17"/>
        <v>0.35632389290925881</v>
      </c>
      <c r="L14" s="3">
        <f t="shared" si="18"/>
        <v>0.14367610709074122</v>
      </c>
      <c r="M14" s="3">
        <f t="shared" si="19"/>
        <v>0.10330117037434111</v>
      </c>
      <c r="N14">
        <f>$N$8</f>
        <v>0.1</v>
      </c>
      <c r="O14">
        <f>$O$8</f>
        <v>0.03</v>
      </c>
      <c r="P14" s="4" cm="1">
        <f t="array" ref="P14">MAX($J$10:$J$14-J14)</f>
        <v>0.13680425265791119</v>
      </c>
      <c r="R14" t="str">
        <f>Data!E8</f>
        <v>Lucas</v>
      </c>
      <c r="S14" t="str">
        <f>Data!H8</f>
        <v>Jacob</v>
      </c>
      <c r="W14" t="s">
        <v>77</v>
      </c>
      <c r="Y14">
        <v>13</v>
      </c>
      <c r="Z14" s="38">
        <f t="shared" ca="1" si="14"/>
        <v>46278</v>
      </c>
      <c r="AA14" s="37">
        <v>0.54166666666666696</v>
      </c>
      <c r="AO14">
        <v>14</v>
      </c>
      <c r="AP14" t="str">
        <f t="shared" si="7"/>
        <v>Application of decorative plaster</v>
      </c>
      <c r="AQ14">
        <f t="shared" si="8"/>
        <v>2</v>
      </c>
      <c r="AR14" t="str" cm="1">
        <f t="array" ref="AR14">INDEX($AP$1:$AP$26,SMALL(IF($AQ$1:$AQ$26=AS14,ROW($AQ$1:$AQ$26)),COUNTIF($AS$1:AS14,AS14)))</f>
        <v>Laying quartz vinyl tiles on a substrate</v>
      </c>
      <c r="AS14">
        <f t="shared" si="9"/>
        <v>1</v>
      </c>
      <c r="AT14">
        <f t="shared" si="10"/>
        <v>2.16</v>
      </c>
    </row>
    <row r="15" spans="1:47" x14ac:dyDescent="0.25">
      <c r="B15">
        <v>5</v>
      </c>
      <c r="C15" t="s">
        <v>4</v>
      </c>
      <c r="D15">
        <f>GETPIVOTDATA(""&amp;$D$10,Control!$A$3,""&amp;$C$10,""&amp;C15)</f>
        <v>109400</v>
      </c>
      <c r="E15">
        <f t="shared" si="15"/>
        <v>7250</v>
      </c>
      <c r="F15">
        <f>IFERROR(GETPIVOTDATA(""&amp;$D$10,Control!$A$19,""&amp;$C$10,""&amp;C15),0)</f>
        <v>109400</v>
      </c>
      <c r="G15">
        <f t="shared" si="20"/>
        <v>7250</v>
      </c>
      <c r="H15">
        <f t="shared" si="21"/>
        <v>181900</v>
      </c>
      <c r="I15">
        <f>GETPIVOTDATA(""&amp;$I$10,Control!$A$3,""&amp;$C$10,""&amp;C15)</f>
        <v>99947</v>
      </c>
      <c r="L15" s="4">
        <f>MAX(AG1:AG5)+MAX(AM1:AM6)</f>
        <v>3.7309999999999999</v>
      </c>
      <c r="R15" t="str">
        <f>Data!E9</f>
        <v>Sofia</v>
      </c>
      <c r="W15" t="s">
        <v>78</v>
      </c>
      <c r="Y15">
        <v>14</v>
      </c>
      <c r="Z15" s="38">
        <f t="shared" ca="1" si="14"/>
        <v>46279</v>
      </c>
      <c r="AA15" s="37">
        <v>0.58333333333333304</v>
      </c>
      <c r="AO15">
        <v>15</v>
      </c>
      <c r="AP15" t="str">
        <f t="shared" si="7"/>
        <v>Wallpapering</v>
      </c>
      <c r="AQ15">
        <f t="shared" si="8"/>
        <v>1</v>
      </c>
      <c r="AR15" t="str" cm="1">
        <f t="array" ref="AR15">INDEX($AP$1:$AP$26,SMALL(IF($AQ$1:$AQ$26=AS15,ROW($AQ$1:$AQ$26)),COUNTIF($AS$1:AS15,AS15)))</f>
        <v>Laying parquet boards on a substrate</v>
      </c>
      <c r="AS15">
        <f t="shared" si="9"/>
        <v>1</v>
      </c>
      <c r="AT15">
        <f t="shared" si="10"/>
        <v>2.16</v>
      </c>
    </row>
    <row r="16" spans="1:47" x14ac:dyDescent="0.25">
      <c r="B16">
        <v>6</v>
      </c>
      <c r="C16" t="s">
        <v>5</v>
      </c>
      <c r="D16">
        <f>GETPIVOTDATA(""&amp;$D$10,Control!$A$3,""&amp;$C$10,""&amp;C16)</f>
        <v>95600</v>
      </c>
      <c r="E16">
        <f t="shared" si="15"/>
        <v>7250</v>
      </c>
      <c r="F16">
        <f>IFERROR(GETPIVOTDATA(""&amp;$D$10,Control!$A$19,""&amp;$C$10,""&amp;C16),0)</f>
        <v>95600</v>
      </c>
      <c r="G16">
        <f t="shared" si="20"/>
        <v>7250</v>
      </c>
      <c r="H16">
        <f t="shared" si="21"/>
        <v>168100</v>
      </c>
      <c r="I16">
        <f>GETPIVOTDATA(""&amp;$I$10,Control!$A$3,""&amp;$C$10,""&amp;C16)</f>
        <v>98003</v>
      </c>
      <c r="W16" t="s">
        <v>79</v>
      </c>
      <c r="Y16">
        <v>15</v>
      </c>
      <c r="Z16" s="38">
        <f t="shared" ca="1" si="14"/>
        <v>46280</v>
      </c>
      <c r="AA16" s="37">
        <v>0.625</v>
      </c>
      <c r="AO16">
        <v>16</v>
      </c>
      <c r="AP16" t="str">
        <f t="shared" si="7"/>
        <v>Laying plywood in 1 layer</v>
      </c>
      <c r="AQ16">
        <f t="shared" si="8"/>
        <v>1</v>
      </c>
      <c r="AR16" t="str" cm="1">
        <f t="array" ref="AR16">INDEX($AP$1:$AP$26,SMALL(IF($AQ$1:$AQ$26=AS16,ROW($AQ$1:$AQ$26)),COUNTIF($AS$1:AS16,AS16)))</f>
        <v>Dismantling the balcony block</v>
      </c>
      <c r="AS16">
        <f t="shared" si="9"/>
        <v>1</v>
      </c>
      <c r="AT16">
        <f t="shared" si="10"/>
        <v>2.16</v>
      </c>
    </row>
    <row r="17" spans="2:46" x14ac:dyDescent="0.25">
      <c r="B17">
        <v>7</v>
      </c>
      <c r="C17" t="s">
        <v>6</v>
      </c>
      <c r="D17">
        <f>GETPIVOTDATA(""&amp;$D$10,Control!$A$3,""&amp;$C$10,""&amp;C17)</f>
        <v>89700</v>
      </c>
      <c r="E17">
        <f t="shared" si="15"/>
        <v>7250</v>
      </c>
      <c r="F17">
        <f>IFERROR(GETPIVOTDATA(""&amp;$D$10,Control!$A$19,""&amp;$C$10,""&amp;C17),0)</f>
        <v>89700</v>
      </c>
      <c r="G17">
        <f t="shared" si="20"/>
        <v>7250</v>
      </c>
      <c r="H17">
        <f t="shared" si="21"/>
        <v>162200</v>
      </c>
      <c r="I17">
        <f>GETPIVOTDATA(""&amp;$I$10,Control!$A$3,""&amp;$C$10,""&amp;C17)</f>
        <v>98707</v>
      </c>
      <c r="K17" s="6" t="str">
        <f>T11</f>
        <v>Manager</v>
      </c>
      <c r="L17" s="6" t="s">
        <v>30</v>
      </c>
      <c r="M17" s="9" t="s">
        <v>1115</v>
      </c>
      <c r="N17" s="6" t="str">
        <f>T10</f>
        <v>Master</v>
      </c>
      <c r="O17" s="6" t="s">
        <v>365</v>
      </c>
      <c r="P17" s="9" t="s">
        <v>1115</v>
      </c>
      <c r="Q17" t="s">
        <v>366</v>
      </c>
      <c r="R17" s="6" t="s">
        <v>108</v>
      </c>
      <c r="W17" t="s">
        <v>80</v>
      </c>
      <c r="Y17">
        <v>16</v>
      </c>
      <c r="Z17" s="38">
        <f t="shared" ca="1" si="14"/>
        <v>46281</v>
      </c>
      <c r="AA17" s="37">
        <v>0.66666666666666696</v>
      </c>
      <c r="AO17">
        <v>17</v>
      </c>
      <c r="AP17" t="str">
        <f t="shared" si="7"/>
        <v>Laying linoleum with glue</v>
      </c>
      <c r="AQ17">
        <f t="shared" si="8"/>
        <v>26</v>
      </c>
      <c r="AR17" t="str" cm="1">
        <f t="array" ref="AR17">INDEX($AP$1:$AP$26,SMALL(IF($AQ$1:$AQ$26=AS17,ROW($AQ$1:$AQ$26)),COUNTIF($AS$1:AS17,AS17)))</f>
        <v>Removing the front door</v>
      </c>
      <c r="AS17">
        <f t="shared" si="9"/>
        <v>1</v>
      </c>
      <c r="AT17">
        <f t="shared" si="10"/>
        <v>2.16</v>
      </c>
    </row>
    <row r="18" spans="2:46" x14ac:dyDescent="0.25">
      <c r="B18">
        <v>8</v>
      </c>
      <c r="C18" t="s">
        <v>7</v>
      </c>
      <c r="D18">
        <f>GETPIVOTDATA(""&amp;$D$10,Control!$A$3,""&amp;$C$10,""&amp;C18)</f>
        <v>102600</v>
      </c>
      <c r="E18">
        <f t="shared" si="15"/>
        <v>7250</v>
      </c>
      <c r="F18">
        <f>IFERROR(GETPIVOTDATA(""&amp;$D$10,Control!$A$19,""&amp;$C$10,""&amp;C18),0)</f>
        <v>102600</v>
      </c>
      <c r="G18">
        <f t="shared" si="20"/>
        <v>7250</v>
      </c>
      <c r="H18">
        <f t="shared" si="21"/>
        <v>175100</v>
      </c>
      <c r="I18">
        <f>GETPIVOTDATA(""&amp;$I$10,Control!$A$3,""&amp;$C$10,""&amp;C18)</f>
        <v>111153</v>
      </c>
      <c r="K18" t="str">
        <f>S10</f>
        <v>Isabella</v>
      </c>
      <c r="L18">
        <f>IFERROR(GETPIVOTDATA(""&amp;$L$17,Control!$G$19,""&amp;$K$17,""&amp;K18),0)</f>
        <v>240940</v>
      </c>
      <c r="M18" s="3">
        <f>L18/$L$31</f>
        <v>1.3385555555555555</v>
      </c>
      <c r="N18" t="str">
        <f t="shared" ref="N18:N23" si="22">R10</f>
        <v>Jack</v>
      </c>
      <c r="O18">
        <f>IFERROR(GETPIVOTDATA(""&amp;$O$17,Control!$J$19,""&amp;$N$17,""&amp;N18),0)</f>
        <v>86</v>
      </c>
      <c r="P18" s="3">
        <f>O18/$N$31</f>
        <v>1.7916666666666667</v>
      </c>
      <c r="Q18" s="6" t="s">
        <v>367</v>
      </c>
      <c r="R18" t="str">
        <f>Data!M4</f>
        <v>Cash Money</v>
      </c>
      <c r="Y18">
        <v>17</v>
      </c>
      <c r="Z18" s="38">
        <f t="shared" ca="1" si="14"/>
        <v>46282</v>
      </c>
      <c r="AA18" s="37">
        <v>0.70833333333333304</v>
      </c>
      <c r="AO18">
        <v>18</v>
      </c>
      <c r="AP18" t="str">
        <f t="shared" si="7"/>
        <v>Removing the shower cabin</v>
      </c>
      <c r="AQ18">
        <f t="shared" si="8"/>
        <v>1</v>
      </c>
      <c r="AR18" t="str" cm="1">
        <f t="array" ref="AR18">INDEX($AP$1:$AP$26,SMALL(IF($AQ$1:$AQ$26=AS18,ROW($AQ$1:$AQ$26)),COUNTIF($AS$1:AS18,AS18)))</f>
        <v>Removing the shower tray</v>
      </c>
      <c r="AS18">
        <f t="shared" si="9"/>
        <v>1</v>
      </c>
      <c r="AT18">
        <f t="shared" si="10"/>
        <v>2.16</v>
      </c>
    </row>
    <row r="19" spans="2:46" x14ac:dyDescent="0.25">
      <c r="B19">
        <v>9</v>
      </c>
      <c r="C19" t="s">
        <v>8</v>
      </c>
      <c r="D19">
        <f>GETPIVOTDATA(""&amp;$D$10,Control!$A$3,""&amp;$C$10,""&amp;C19)</f>
        <v>124500</v>
      </c>
      <c r="E19">
        <f t="shared" si="15"/>
        <v>7250</v>
      </c>
      <c r="F19">
        <f>IFERROR(GETPIVOTDATA(""&amp;$D$10,Control!$A$19,""&amp;$C$10,""&amp;C19),0)</f>
        <v>124500</v>
      </c>
      <c r="G19">
        <f t="shared" si="20"/>
        <v>7250</v>
      </c>
      <c r="H19">
        <f t="shared" si="21"/>
        <v>197000</v>
      </c>
      <c r="I19">
        <f>GETPIVOTDATA(""&amp;$I$10,Control!$A$3,""&amp;$C$10,""&amp;C19)</f>
        <v>89309</v>
      </c>
      <c r="K19" t="str">
        <f t="shared" ref="K19:K22" si="23">S11</f>
        <v>Joseph</v>
      </c>
      <c r="L19">
        <f>IFERROR(GETPIVOTDATA(""&amp;$L$17,Control!$G$19,""&amp;$K$17,""&amp;K19),0)</f>
        <v>254780</v>
      </c>
      <c r="M19" s="3">
        <f>L19/$L$31</f>
        <v>1.4154444444444445</v>
      </c>
      <c r="N19" t="str">
        <f t="shared" si="22"/>
        <v>William</v>
      </c>
      <c r="O19">
        <f>IFERROR(GETPIVOTDATA(""&amp;$O$17,Control!$J$19,""&amp;$N$17,""&amp;N19),0)</f>
        <v>60</v>
      </c>
      <c r="P19" s="3">
        <f t="shared" ref="P19:P23" si="24">O19/$N$31</f>
        <v>1.25</v>
      </c>
      <c r="Q19">
        <f>INDEX(Data!$C$4:$C$30,MATCH(ORDER!$D$6,Data!$B$4:$B$30,0))</f>
        <v>0</v>
      </c>
      <c r="R19" t="str">
        <f>Data!M5</f>
        <v>Credit Cards</v>
      </c>
      <c r="Y19">
        <v>18</v>
      </c>
      <c r="Z19" s="38">
        <f t="shared" ca="1" si="14"/>
        <v>46283</v>
      </c>
      <c r="AA19" s="37">
        <v>0.75</v>
      </c>
      <c r="AO19">
        <v>19</v>
      </c>
      <c r="AP19" t="str">
        <f t="shared" si="7"/>
        <v>Installation of thermal vapor barrier of the ceiling</v>
      </c>
      <c r="AQ19">
        <f t="shared" si="8"/>
        <v>0</v>
      </c>
      <c r="AR19" t="str" cm="1">
        <f t="array" ref="AR19">INDEX($AP$1:$AP$26,SMALL(IF($AQ$1:$AQ$26=AS19,ROW($AQ$1:$AQ$26)),COUNTIF($AS$1:AS19,AS19)))</f>
        <v>Wallpapering</v>
      </c>
      <c r="AS19">
        <f t="shared" si="9"/>
        <v>1</v>
      </c>
      <c r="AT19">
        <f t="shared" si="10"/>
        <v>2.16</v>
      </c>
    </row>
    <row r="20" spans="2:46" x14ac:dyDescent="0.25">
      <c r="B20">
        <v>10</v>
      </c>
      <c r="C20" t="s">
        <v>9</v>
      </c>
      <c r="D20">
        <f>GETPIVOTDATA(""&amp;$D$10,Control!$A$3,""&amp;$C$10,""&amp;C20)</f>
        <v>137200</v>
      </c>
      <c r="E20">
        <f t="shared" si="15"/>
        <v>7250</v>
      </c>
      <c r="F20">
        <f>IFERROR(GETPIVOTDATA(""&amp;$D$10,Control!$A$19,""&amp;$C$10,""&amp;C20),0)</f>
        <v>137200</v>
      </c>
      <c r="G20">
        <f t="shared" si="20"/>
        <v>7250</v>
      </c>
      <c r="H20">
        <f t="shared" si="21"/>
        <v>209700</v>
      </c>
      <c r="I20">
        <f>GETPIVOTDATA(""&amp;$I$10,Control!$A$3,""&amp;$C$10,""&amp;C20)</f>
        <v>93153</v>
      </c>
      <c r="K20" t="str">
        <f t="shared" si="23"/>
        <v>Liam</v>
      </c>
      <c r="L20">
        <f>IFERROR(GETPIVOTDATA(""&amp;$L$17,Control!$G$19,""&amp;$K$17,""&amp;K20),0)</f>
        <v>299320</v>
      </c>
      <c r="M20" s="3">
        <f>L20/$L$31</f>
        <v>1.6628888888888889</v>
      </c>
      <c r="N20" t="str">
        <f t="shared" si="22"/>
        <v>James</v>
      </c>
      <c r="O20">
        <f>IFERROR(GETPIVOTDATA(""&amp;$O$17,Control!$J$19,""&amp;$N$17,""&amp;N20),0)</f>
        <v>73</v>
      </c>
      <c r="P20" s="3">
        <f t="shared" si="24"/>
        <v>1.5208333333333333</v>
      </c>
      <c r="Q20" t="str">
        <f>IF(ORDER!F6&gt;0,ORDER!F6*Processing!Q19,"Error: Enetr Count")</f>
        <v>Error: Enetr Count</v>
      </c>
      <c r="Y20">
        <v>19</v>
      </c>
      <c r="Z20" s="38">
        <f t="shared" ca="1" si="14"/>
        <v>46284</v>
      </c>
      <c r="AA20" s="37">
        <v>0.79166666666666696</v>
      </c>
      <c r="AO20">
        <v>20</v>
      </c>
      <c r="AP20" t="str">
        <f t="shared" si="7"/>
        <v>Laying quartz vinyl tiles with glue</v>
      </c>
      <c r="AQ20">
        <f t="shared" si="8"/>
        <v>22</v>
      </c>
      <c r="AR20" t="str" cm="1">
        <f t="array" ref="AR20">INDEX($AP$1:$AP$26,SMALL(IF($AQ$1:$AQ$26=AS20,ROW($AQ$1:$AQ$26)),COUNTIF($AS$1:AS20,AS20)))</f>
        <v>Laying plywood in 1 layer</v>
      </c>
      <c r="AS20">
        <f t="shared" si="9"/>
        <v>1</v>
      </c>
      <c r="AT20">
        <f t="shared" si="10"/>
        <v>2.16</v>
      </c>
    </row>
    <row r="21" spans="2:46" x14ac:dyDescent="0.25">
      <c r="B21">
        <v>11</v>
      </c>
      <c r="C21" t="s">
        <v>10</v>
      </c>
      <c r="D21">
        <f>GETPIVOTDATA(""&amp;$D$10,Control!$A$3,""&amp;$C$10,""&amp;C21)</f>
        <v>145000</v>
      </c>
      <c r="E21">
        <f t="shared" si="15"/>
        <v>7250</v>
      </c>
      <c r="F21">
        <f>IFERROR(GETPIVOTDATA(""&amp;$D$10,Control!$A$19,""&amp;$C$10,""&amp;C21),0)</f>
        <v>145000</v>
      </c>
      <c r="G21">
        <f t="shared" si="20"/>
        <v>7250</v>
      </c>
      <c r="H21">
        <f t="shared" si="21"/>
        <v>217500</v>
      </c>
      <c r="I21">
        <f>GETPIVOTDATA(""&amp;$I$10,Control!$A$3,""&amp;$C$10,""&amp;C21)</f>
        <v>83973</v>
      </c>
      <c r="K21" t="str">
        <f t="shared" si="23"/>
        <v>Charlotte</v>
      </c>
      <c r="L21">
        <f>IFERROR(GETPIVOTDATA(""&amp;$L$17,Control!$G$19,""&amp;$K$17,""&amp;K21),0)</f>
        <v>349080</v>
      </c>
      <c r="M21" s="3">
        <f>L21/$L$31</f>
        <v>1.9393333333333334</v>
      </c>
      <c r="N21" t="str">
        <f t="shared" si="22"/>
        <v>Oliver</v>
      </c>
      <c r="O21">
        <f>IFERROR(GETPIVOTDATA(""&amp;$O$17,Control!$J$19,""&amp;$N$17,""&amp;N21),0)</f>
        <v>33</v>
      </c>
      <c r="P21" s="3">
        <f t="shared" si="24"/>
        <v>0.6875</v>
      </c>
      <c r="Y21">
        <v>20</v>
      </c>
      <c r="Z21" s="38">
        <f t="shared" ca="1" si="14"/>
        <v>46285</v>
      </c>
      <c r="AA21" s="37">
        <v>0.83333333333333404</v>
      </c>
      <c r="AO21">
        <v>21</v>
      </c>
      <c r="AP21" t="str">
        <f t="shared" si="7"/>
        <v>Threshold installation</v>
      </c>
      <c r="AQ21">
        <f t="shared" si="8"/>
        <v>21</v>
      </c>
      <c r="AR21" t="str" cm="1">
        <f t="array" ref="AR21">INDEX($AP$1:$AP$26,SMALL(IF($AQ$1:$AQ$26=AS21,ROW($AQ$1:$AQ$26)),COUNTIF($AS$1:AS21,AS21)))</f>
        <v>Removing the shower cabin</v>
      </c>
      <c r="AS21">
        <f t="shared" si="9"/>
        <v>1</v>
      </c>
      <c r="AT21">
        <f t="shared" si="10"/>
        <v>2.16</v>
      </c>
    </row>
    <row r="22" spans="2:46" x14ac:dyDescent="0.25">
      <c r="B22">
        <v>12</v>
      </c>
      <c r="C22" t="s">
        <v>11</v>
      </c>
      <c r="D22">
        <f>GETPIVOTDATA(""&amp;$D$10,Control!$A$3,""&amp;$C$10,""&amp;C22)</f>
        <v>133700</v>
      </c>
      <c r="E22">
        <f t="shared" si="15"/>
        <v>7250</v>
      </c>
      <c r="F22">
        <f>IFERROR(GETPIVOTDATA(""&amp;$D$10,Control!$A$19,""&amp;$C$10,""&amp;C22),0)</f>
        <v>133700</v>
      </c>
      <c r="G22">
        <f t="shared" si="20"/>
        <v>7250</v>
      </c>
      <c r="H22">
        <f t="shared" si="21"/>
        <v>206200</v>
      </c>
      <c r="I22">
        <f>GETPIVOTDATA(""&amp;$I$10,Control!$A$3,""&amp;$C$10,""&amp;C22)</f>
        <v>51384</v>
      </c>
      <c r="K22" t="str">
        <f t="shared" si="23"/>
        <v>Jacob</v>
      </c>
      <c r="L22">
        <f>IFERROR(GETPIVOTDATA(""&amp;$L$17,Control!$G$19,""&amp;$K$17,""&amp;K22),0)</f>
        <v>192980</v>
      </c>
      <c r="M22" s="3">
        <f>L22/$L$31</f>
        <v>1.072111111111111</v>
      </c>
      <c r="N22" t="str">
        <f t="shared" si="22"/>
        <v>Lucas</v>
      </c>
      <c r="O22">
        <f>IFERROR(GETPIVOTDATA(""&amp;$O$17,Control!$J$19,""&amp;$N$17,""&amp;N22),0)</f>
        <v>37</v>
      </c>
      <c r="P22" s="3">
        <f t="shared" si="24"/>
        <v>0.77083333333333337</v>
      </c>
      <c r="Y22">
        <v>21</v>
      </c>
      <c r="Z22" s="38">
        <f t="shared" ca="1" si="14"/>
        <v>46286</v>
      </c>
      <c r="AA22" s="37">
        <v>0.875</v>
      </c>
      <c r="AO22">
        <v>22</v>
      </c>
      <c r="AP22" t="str">
        <f t="shared" si="7"/>
        <v>Production and installation of suspended ceilings (matte, glossy)</v>
      </c>
      <c r="AQ22">
        <f t="shared" si="8"/>
        <v>0</v>
      </c>
      <c r="AR22" t="str" cm="1">
        <f t="array" ref="AR22">INDEX($AP$1:$AP$26,SMALL(IF($AQ$1:$AQ$26=AS22,ROW($AQ$1:$AQ$26)),COUNTIF($AS$1:AS22,AS22)))</f>
        <v>Removing an interior door</v>
      </c>
      <c r="AS22">
        <f t="shared" si="9"/>
        <v>1</v>
      </c>
      <c r="AT22">
        <f t="shared" si="10"/>
        <v>2.16</v>
      </c>
    </row>
    <row r="23" spans="2:46" x14ac:dyDescent="0.25">
      <c r="N23" t="str">
        <f t="shared" si="22"/>
        <v>Sofia</v>
      </c>
      <c r="O23">
        <f>IFERROR(GETPIVOTDATA(""&amp;$O$17,Control!$J$19,""&amp;$N$17,""&amp;N23),0)</f>
        <v>37</v>
      </c>
      <c r="P23" s="3">
        <f t="shared" si="24"/>
        <v>0.77083333333333337</v>
      </c>
      <c r="Y23">
        <v>22</v>
      </c>
      <c r="Z23" s="38">
        <f t="shared" ca="1" si="14"/>
        <v>46287</v>
      </c>
      <c r="AA23" s="37">
        <v>0.91666666666666696</v>
      </c>
      <c r="AO23">
        <v>23</v>
      </c>
      <c r="AP23" t="str">
        <f t="shared" si="7"/>
        <v>Wallpapering ceilings</v>
      </c>
      <c r="AQ23">
        <f t="shared" si="8"/>
        <v>72</v>
      </c>
      <c r="AR23" t="str" cm="1">
        <f t="array" ref="AR23">INDEX($AP$1:$AP$26,SMALL(IF($AQ$1:$AQ$26=AS23,ROW($AQ$1:$AQ$26)),COUNTIF($AS$1:AS23,AS23)))</f>
        <v>Removing the sink</v>
      </c>
      <c r="AS23">
        <f t="shared" si="9"/>
        <v>0</v>
      </c>
      <c r="AT23">
        <f t="shared" si="10"/>
        <v>2.16</v>
      </c>
    </row>
    <row r="24" spans="2:46" x14ac:dyDescent="0.25">
      <c r="Y24">
        <v>23</v>
      </c>
      <c r="Z24" s="38">
        <f t="shared" ca="1" si="14"/>
        <v>46288</v>
      </c>
      <c r="AA24" s="37">
        <v>0.95833333333333404</v>
      </c>
      <c r="AO24">
        <v>24</v>
      </c>
      <c r="AP24" t="str">
        <f t="shared" si="7"/>
        <v>Installation of PVC skirting boards</v>
      </c>
      <c r="AQ24">
        <f t="shared" si="8"/>
        <v>24</v>
      </c>
      <c r="AR24" t="str" cm="1">
        <f t="array" ref="AR24">INDEX($AP$1:$AP$26,SMALL(IF($AQ$1:$AQ$26=AS24,ROW($AQ$1:$AQ$26)),COUNTIF($AS$1:AS24,AS24)))</f>
        <v>Laying ceramic tiles, porcelain tiles on the floor with grout</v>
      </c>
      <c r="AS24">
        <f t="shared" si="9"/>
        <v>0</v>
      </c>
      <c r="AT24">
        <f t="shared" si="10"/>
        <v>2.16</v>
      </c>
    </row>
    <row r="25" spans="2:46" x14ac:dyDescent="0.25">
      <c r="F25" s="130" t="s">
        <v>356</v>
      </c>
      <c r="G25" s="130"/>
      <c r="H25" s="130"/>
      <c r="Y25">
        <v>24</v>
      </c>
      <c r="Z25" s="38">
        <f t="shared" ca="1" si="14"/>
        <v>46289</v>
      </c>
      <c r="AA25" s="37">
        <v>1</v>
      </c>
      <c r="AO25">
        <v>25</v>
      </c>
      <c r="AP25" t="str">
        <f t="shared" si="7"/>
        <v>Installation of slatted ceilings</v>
      </c>
      <c r="AQ25">
        <f t="shared" si="8"/>
        <v>49</v>
      </c>
      <c r="AR25" t="str" cm="1">
        <f t="array" ref="AR25">INDEX($AP$1:$AP$26,SMALL(IF($AQ$1:$AQ$26=AS25,ROW($AQ$1:$AQ$26)),COUNTIF($AS$1:AS25,AS25)))</f>
        <v>Installation of thermal vapor barrier of the ceiling</v>
      </c>
      <c r="AS25">
        <f t="shared" si="9"/>
        <v>0</v>
      </c>
      <c r="AT25">
        <f t="shared" si="10"/>
        <v>2.16</v>
      </c>
    </row>
    <row r="26" spans="2:46" x14ac:dyDescent="0.25">
      <c r="F26" s="8" t="s">
        <v>89</v>
      </c>
      <c r="G26" s="8" t="s">
        <v>1163</v>
      </c>
      <c r="H26" s="8" t="s">
        <v>1162</v>
      </c>
      <c r="R26" s="9" t="s">
        <v>1146</v>
      </c>
      <c r="S26" s="9" t="s">
        <v>1145</v>
      </c>
      <c r="Y26">
        <v>25</v>
      </c>
      <c r="Z26" s="38">
        <f t="shared" ca="1" si="14"/>
        <v>46290</v>
      </c>
      <c r="AA26" s="37"/>
      <c r="AO26">
        <v>26</v>
      </c>
      <c r="AP26" t="str">
        <f t="shared" si="7"/>
        <v>Removing an interior door</v>
      </c>
      <c r="AQ26">
        <f t="shared" si="8"/>
        <v>1</v>
      </c>
      <c r="AR26" t="str" cm="1">
        <f t="array" ref="AR26">INDEX($AP$1:$AP$26,SMALL(IF($AQ$1:$AQ$26=AS26,ROW($AQ$1:$AQ$26)),COUNTIF($AS$1:AS26,AS26)))</f>
        <v>Production and installation of suspended ceilings (matte, glossy)</v>
      </c>
      <c r="AS26">
        <f t="shared" si="9"/>
        <v>0</v>
      </c>
      <c r="AT26">
        <f t="shared" si="10"/>
        <v>2.16</v>
      </c>
    </row>
    <row r="27" spans="2:46" x14ac:dyDescent="0.25">
      <c r="F27" s="13" t="str">
        <f>Data!Q4</f>
        <v>New York</v>
      </c>
      <c r="G27" s="13">
        <f>100-H27</f>
        <v>72</v>
      </c>
      <c r="H27" s="13">
        <v>28.000000000000004</v>
      </c>
      <c r="Q27" s="6" t="s">
        <v>1144</v>
      </c>
      <c r="R27" s="86">
        <f>T28-T29</f>
        <v>211611</v>
      </c>
      <c r="S27" s="87">
        <f>R27/T28</f>
        <v>0.15826116221673772</v>
      </c>
      <c r="T27" s="88">
        <f>1-S27</f>
        <v>0.84173883778326231</v>
      </c>
      <c r="U27" s="6" t="s">
        <v>1147</v>
      </c>
      <c r="Y27">
        <v>26</v>
      </c>
      <c r="Z27" s="38">
        <f t="shared" ca="1" si="14"/>
        <v>46291</v>
      </c>
      <c r="AA27" s="37"/>
    </row>
    <row r="28" spans="2:46" x14ac:dyDescent="0.25">
      <c r="F28" s="13" t="str">
        <f>Data!Q5</f>
        <v>Miami</v>
      </c>
      <c r="G28" s="13">
        <f t="shared" ref="G28:G31" si="25">100-H28</f>
        <v>100</v>
      </c>
      <c r="H28" s="13">
        <v>0</v>
      </c>
      <c r="Q28" s="9" t="s">
        <v>1146</v>
      </c>
      <c r="R28">
        <f>GETPIVOTDATA("Sum of Cash",Control!$S$19)</f>
        <v>490160</v>
      </c>
      <c r="S28">
        <f>GETPIVOTDATA("Sum of Card",Control!$S$19)</f>
        <v>846940</v>
      </c>
      <c r="T28" s="86">
        <f>GETPIVOTDATA("Sum of Total",Control!$A$19)</f>
        <v>1337100</v>
      </c>
      <c r="U28" s="6" t="s">
        <v>1148</v>
      </c>
      <c r="Y28">
        <v>27</v>
      </c>
      <c r="Z28" s="38">
        <f t="shared" ca="1" si="14"/>
        <v>46292</v>
      </c>
      <c r="AA28" s="37"/>
    </row>
    <row r="29" spans="2:46" x14ac:dyDescent="0.25">
      <c r="F29" s="13" t="str">
        <f>Data!Q6</f>
        <v>Chikago</v>
      </c>
      <c r="G29" s="13">
        <f t="shared" si="25"/>
        <v>28</v>
      </c>
      <c r="H29" s="13">
        <v>72</v>
      </c>
      <c r="Q29" s="9"/>
      <c r="R29" s="3"/>
      <c r="S29" s="3"/>
      <c r="T29" s="86">
        <f>GETPIVOTDATA("Sum of Cost",Control!$A$19)</f>
        <v>1125489</v>
      </c>
      <c r="U29" s="6" t="s">
        <v>1151</v>
      </c>
      <c r="Y29">
        <v>28</v>
      </c>
      <c r="Z29" s="38">
        <f t="shared" ca="1" si="14"/>
        <v>46293</v>
      </c>
      <c r="AA29" s="37"/>
    </row>
    <row r="30" spans="2:46" x14ac:dyDescent="0.25">
      <c r="F30" s="13" t="str">
        <f>Data!Q7</f>
        <v>Dallas</v>
      </c>
      <c r="G30" s="13">
        <f t="shared" si="25"/>
        <v>10</v>
      </c>
      <c r="H30" s="13">
        <v>90</v>
      </c>
      <c r="L30" s="6" t="s">
        <v>1116</v>
      </c>
      <c r="N30" s="6" t="s">
        <v>1116</v>
      </c>
      <c r="Y30">
        <v>29</v>
      </c>
      <c r="Z30" s="38">
        <f t="shared" ca="1" si="14"/>
        <v>46294</v>
      </c>
      <c r="AA30" s="37"/>
    </row>
    <row r="31" spans="2:46" x14ac:dyDescent="0.25">
      <c r="F31" s="13" t="str">
        <f>Data!Q8</f>
        <v>New Orleans</v>
      </c>
      <c r="G31" s="13">
        <f t="shared" si="25"/>
        <v>75</v>
      </c>
      <c r="H31" s="13">
        <v>25</v>
      </c>
      <c r="L31">
        <f>DSUM(KPI!A3:G39,L32,J32:K68)</f>
        <v>180000</v>
      </c>
      <c r="N31">
        <f>DSUM(KPI!A3:G39,N32,J32:K68)</f>
        <v>48</v>
      </c>
      <c r="Y31">
        <v>30</v>
      </c>
      <c r="Z31" s="38">
        <f t="shared" ca="1" si="14"/>
        <v>46295</v>
      </c>
      <c r="AA31" s="37"/>
    </row>
    <row r="32" spans="2:46" x14ac:dyDescent="0.25">
      <c r="J32" t="s">
        <v>13</v>
      </c>
      <c r="K32" t="s">
        <v>12</v>
      </c>
      <c r="L32" t="s">
        <v>1111</v>
      </c>
      <c r="N32" t="s">
        <v>1112</v>
      </c>
      <c r="P32" t="s">
        <v>13</v>
      </c>
      <c r="Y32">
        <v>31</v>
      </c>
      <c r="Z32" s="38">
        <f t="shared" ca="1" si="14"/>
        <v>46296</v>
      </c>
      <c r="AA32" s="37"/>
    </row>
    <row r="33" spans="2:36" x14ac:dyDescent="0.25">
      <c r="J33" s="83">
        <f>Control!$A$36</f>
        <v>2025</v>
      </c>
      <c r="K33" t="str">
        <f>Control!A42</f>
        <v>JAN</v>
      </c>
      <c r="P33" s="83">
        <f>Control!A36</f>
        <v>2025</v>
      </c>
      <c r="Z33" s="30"/>
    </row>
    <row r="34" spans="2:36" x14ac:dyDescent="0.25">
      <c r="J34" s="83">
        <f>Control!$A$36</f>
        <v>2025</v>
      </c>
      <c r="K34" t="str">
        <f>Control!A43</f>
        <v>FEB</v>
      </c>
      <c r="P34" s="83">
        <f>Control!A37</f>
        <v>0</v>
      </c>
      <c r="Q34" s="131" t="s">
        <v>36</v>
      </c>
      <c r="R34" s="131"/>
      <c r="S34" s="131"/>
      <c r="T34" s="131"/>
      <c r="U34" s="131"/>
      <c r="V34" s="131"/>
      <c r="W34" s="131"/>
    </row>
    <row r="35" spans="2:36" x14ac:dyDescent="0.25">
      <c r="J35" s="83">
        <f>Control!$A$36</f>
        <v>2025</v>
      </c>
      <c r="K35" t="str">
        <f>Control!A44</f>
        <v>MAR</v>
      </c>
      <c r="P35" s="83">
        <f>Control!A38</f>
        <v>0</v>
      </c>
      <c r="Q35" s="6"/>
      <c r="R35" s="6"/>
      <c r="S35" s="6"/>
      <c r="T35">
        <v>1</v>
      </c>
      <c r="U35">
        <v>2</v>
      </c>
      <c r="V35">
        <v>3</v>
      </c>
    </row>
    <row r="36" spans="2:36" x14ac:dyDescent="0.25">
      <c r="J36" s="83">
        <f>Control!$A$36</f>
        <v>2025</v>
      </c>
      <c r="K36" t="str">
        <f>Control!A45</f>
        <v>APR</v>
      </c>
      <c r="T36" t="e">
        <f>IF(IFERROR(MATCH(T37,$P$33:$P$35,0),0),T35,NA())</f>
        <v>#N/A</v>
      </c>
      <c r="U36" t="e">
        <f t="shared" ref="U36:V36" si="26">IF(IFERROR(MATCH(U37,$P$33:$P$35,0),0),U35,NA())</f>
        <v>#N/A</v>
      </c>
      <c r="V36">
        <f t="shared" si="26"/>
        <v>3</v>
      </c>
    </row>
    <row r="37" spans="2:36" x14ac:dyDescent="0.25">
      <c r="B37" s="6" t="s">
        <v>103</v>
      </c>
      <c r="J37" s="83">
        <f>Control!$A$36</f>
        <v>2025</v>
      </c>
      <c r="K37" t="str">
        <f>Control!A46</f>
        <v>MAY</v>
      </c>
      <c r="Q37" t="s">
        <v>1153</v>
      </c>
      <c r="R37" t="s">
        <v>1152</v>
      </c>
      <c r="S37" t="s">
        <v>1154</v>
      </c>
      <c r="T37">
        <v>2023</v>
      </c>
      <c r="U37">
        <v>2024</v>
      </c>
      <c r="V37">
        <v>2025</v>
      </c>
      <c r="W37" s="6" t="s">
        <v>30</v>
      </c>
      <c r="X37">
        <f>SUM(W38:W48)</f>
        <v>304700.00000000006</v>
      </c>
      <c r="Y37" s="6" t="s">
        <v>1156</v>
      </c>
      <c r="Z37" s="6" t="s">
        <v>1157</v>
      </c>
      <c r="AA37" s="6">
        <v>1</v>
      </c>
      <c r="AB37" s="6">
        <v>2</v>
      </c>
      <c r="AC37" s="6">
        <v>3</v>
      </c>
      <c r="AD37" s="6">
        <v>4</v>
      </c>
      <c r="AE37" s="6">
        <v>5</v>
      </c>
      <c r="AF37" s="6">
        <v>6</v>
      </c>
      <c r="AG37" s="6">
        <v>7</v>
      </c>
      <c r="AH37" s="6">
        <v>8</v>
      </c>
      <c r="AI37" s="6">
        <v>9</v>
      </c>
      <c r="AJ37" s="6">
        <v>10</v>
      </c>
    </row>
    <row r="38" spans="2:36" x14ac:dyDescent="0.25">
      <c r="B38" s="10" t="str">
        <f>Data!B4</f>
        <v>Dismantling the balcony block</v>
      </c>
      <c r="C38">
        <f>IFERROR(GETPIVOTDATA(""&amp;$B$37,Control!$G$41,""&amp;$B$37,""&amp;B38),0)</f>
        <v>1</v>
      </c>
      <c r="J38" s="83">
        <f>Control!$A$36</f>
        <v>2025</v>
      </c>
      <c r="K38" t="str">
        <f>Control!A47</f>
        <v>JUN</v>
      </c>
      <c r="Q38" s="83" cm="1">
        <f t="array" ref="Q38">SUM(1/COUNTIF(J33:J68,J33:J68))-1</f>
        <v>1.0000000000000018</v>
      </c>
      <c r="R38" cm="1">
        <f t="array" ref="R38">SUM(1/COUNTIF(K33:K68,K33:K68))-1</f>
        <v>11.000000000000004</v>
      </c>
      <c r="S38" t="str">
        <f>'Employee Database'!B4</f>
        <v>Jack</v>
      </c>
      <c r="T38" cm="1">
        <f t="array" ref="T38">IFERROR(INDEX('Employee Database'!$F$4:$H$14,MATCH(Processing!$S38,'Employee Database'!$B$4:$B$14,0),T$36)*$R$38,0)</f>
        <v>0</v>
      </c>
      <c r="U38" cm="1">
        <f t="array" ref="U38">IFERROR(INDEX('Employee Database'!$F$4:$H$14,MATCH(Processing!$S38,'Employee Database'!$B$4:$B$14,0),U$36)*$R$38,0)</f>
        <v>0</v>
      </c>
      <c r="V38" cm="1">
        <f t="array" ref="V38">IFERROR(INDEX('Employee Database'!$F$4:$H$14,MATCH(Processing!$S38,'Employee Database'!$B$4:$B$14,0),V$36)*$R$38,0)</f>
        <v>24200.000000000007</v>
      </c>
      <c r="W38">
        <f>SUM(T38:V38)</f>
        <v>24200.000000000007</v>
      </c>
      <c r="X38" s="3" t="e" vm="1">
        <f ca="1">INDEX(_xlfn.VSTACK($P$18:$P$23,$M$18:$M$22),MATCH(S38,$S$38:$S$48,0),1)</f>
        <v>#NAME?</v>
      </c>
      <c r="Y38" t="e" vm="2">
        <f ca="1">IF(X38&gt;100%,CHOOSE(SUM(X38&gt;=100%,X38&gt;130%),3%,5%)*W38+W38,W38)</f>
        <v>#NAME?</v>
      </c>
      <c r="Z38" t="e">
        <f ca="1">ROUND(COUNTIF($X$38:$X$48,"&gt;=100%")/COUNT($X$38:$X$48),1)*10</f>
        <v>#DIV/0!</v>
      </c>
      <c r="AA38" t="e">
        <f ca="1">IF($Z$38&lt;AA37,0,0.5)</f>
        <v>#DIV/0!</v>
      </c>
      <c r="AB38" t="e">
        <f t="shared" ref="AB38:AJ38" ca="1" si="27">IF($Z$38&lt;AB37,0,0.5)</f>
        <v>#DIV/0!</v>
      </c>
      <c r="AC38" t="e">
        <f t="shared" ca="1" si="27"/>
        <v>#DIV/0!</v>
      </c>
      <c r="AD38" t="e">
        <f t="shared" ca="1" si="27"/>
        <v>#DIV/0!</v>
      </c>
      <c r="AE38" t="e">
        <f t="shared" ca="1" si="27"/>
        <v>#DIV/0!</v>
      </c>
      <c r="AF38" t="e">
        <f t="shared" ca="1" si="27"/>
        <v>#DIV/0!</v>
      </c>
      <c r="AG38" t="e">
        <f t="shared" ca="1" si="27"/>
        <v>#DIV/0!</v>
      </c>
      <c r="AH38" t="e">
        <f t="shared" ca="1" si="27"/>
        <v>#DIV/0!</v>
      </c>
      <c r="AI38" t="e">
        <f t="shared" ca="1" si="27"/>
        <v>#DIV/0!</v>
      </c>
      <c r="AJ38" t="e">
        <f t="shared" ca="1" si="27"/>
        <v>#DIV/0!</v>
      </c>
    </row>
    <row r="39" spans="2:36" x14ac:dyDescent="0.25">
      <c r="B39" s="10" t="str">
        <f>Data!B5</f>
        <v>Laying parquet boards with glue</v>
      </c>
      <c r="C39">
        <f>IFERROR(GETPIVOTDATA(""&amp;$B$37,Control!$G$41,""&amp;$B$37,""&amp;B39),0)</f>
        <v>49</v>
      </c>
      <c r="J39" s="83">
        <f>Control!$A$36</f>
        <v>2025</v>
      </c>
      <c r="K39" t="str">
        <f>Control!A48</f>
        <v>JUL</v>
      </c>
      <c r="Q39" s="83"/>
      <c r="S39" t="str">
        <f>'Employee Database'!B5</f>
        <v>William</v>
      </c>
      <c r="T39" cm="1">
        <f t="array" ref="T39">IFERROR(INDEX('Employee Database'!$F$4:$H$14,MATCH(Processing!$S39,'Employee Database'!$B$4:$B$14,0),T$36)*$R$38,0)</f>
        <v>0</v>
      </c>
      <c r="U39" cm="1">
        <f t="array" ref="U39">IFERROR(INDEX('Employee Database'!$F$4:$H$14,MATCH(Processing!$S39,'Employee Database'!$B$4:$B$14,0),U$36)*$R$38,0)</f>
        <v>0</v>
      </c>
      <c r="V39" cm="1">
        <f t="array" ref="V39">IFERROR(INDEX('Employee Database'!$F$4:$H$14,MATCH(Processing!$S39,'Employee Database'!$B$4:$B$14,0),V$36)*$R$38,0)</f>
        <v>24200.000000000007</v>
      </c>
      <c r="W39">
        <f t="shared" ref="W39:W48" si="28">SUM(T39:V39)</f>
        <v>24200.000000000007</v>
      </c>
      <c r="X39" s="3" t="e" vm="1">
        <f t="shared" ref="X39:X48" ca="1" si="29">INDEX(_xlfn.VSTACK($P$18:$P$23,$M$18:$M$22),MATCH(S39,$S$38:$S$48,0),1)</f>
        <v>#NAME?</v>
      </c>
      <c r="Y39" t="e" vm="2">
        <f t="shared" ref="Y39:Y48" ca="1" si="30">IF(X39&gt;100%,CHOOSE(SUM(X39&gt;=100%,X39&gt;130%),3%,5%)*W39+W39,W39)</f>
        <v>#NAME?</v>
      </c>
    </row>
    <row r="40" spans="2:36" x14ac:dyDescent="0.25">
      <c r="B40" s="10" t="str">
        <f>Data!B6</f>
        <v>Laying quartz vinyl tiles on a substrate</v>
      </c>
      <c r="C40">
        <f>IFERROR(GETPIVOTDATA(""&amp;$B$37,Control!$G$41,""&amp;$B$37,""&amp;B40),0)</f>
        <v>1</v>
      </c>
      <c r="J40" s="83">
        <f>Control!$A$36</f>
        <v>2025</v>
      </c>
      <c r="K40" t="str">
        <f>Control!A49</f>
        <v>AUG</v>
      </c>
      <c r="Q40" s="83"/>
      <c r="S40" t="str">
        <f>'Employee Database'!B6</f>
        <v>James</v>
      </c>
      <c r="T40" cm="1">
        <f t="array" ref="T40">IFERROR(INDEX('Employee Database'!$F$4:$H$14,MATCH(Processing!$S40,'Employee Database'!$B$4:$B$14,0),T$36)*$R$38,0)</f>
        <v>0</v>
      </c>
      <c r="U40" cm="1">
        <f t="array" ref="U40">IFERROR(INDEX('Employee Database'!$F$4:$H$14,MATCH(Processing!$S40,'Employee Database'!$B$4:$B$14,0),U$36)*$R$38,0)</f>
        <v>0</v>
      </c>
      <c r="V40" cm="1">
        <f t="array" ref="V40">IFERROR(INDEX('Employee Database'!$F$4:$H$14,MATCH(Processing!$S40,'Employee Database'!$B$4:$B$14,0),V$36)*$R$38,0)</f>
        <v>24200.000000000007</v>
      </c>
      <c r="W40">
        <f t="shared" si="28"/>
        <v>24200.000000000007</v>
      </c>
      <c r="X40" s="3" t="e" vm="1">
        <f t="shared" ca="1" si="29"/>
        <v>#NAME?</v>
      </c>
      <c r="Y40" t="e" vm="2">
        <f t="shared" ca="1" si="30"/>
        <v>#NAME?</v>
      </c>
    </row>
    <row r="41" spans="2:36" x14ac:dyDescent="0.25">
      <c r="B41" s="10" t="str">
        <f>Data!B7</f>
        <v>Laying parquet boards on a substrate</v>
      </c>
      <c r="C41">
        <f>IFERROR(GETPIVOTDATA(""&amp;$B$37,Control!$G$41,""&amp;$B$37,""&amp;B41),0)</f>
        <v>1</v>
      </c>
      <c r="J41" s="83">
        <f>Control!$A$36</f>
        <v>2025</v>
      </c>
      <c r="K41" t="str">
        <f>Control!A50</f>
        <v>SEP</v>
      </c>
      <c r="S41" t="str">
        <f>'Employee Database'!B7</f>
        <v>Isabella</v>
      </c>
      <c r="T41" cm="1">
        <f t="array" ref="T41">IFERROR(INDEX('Employee Database'!$F$4:$H$14,MATCH(Processing!$S41,'Employee Database'!$B$4:$B$14,0),T$36)*$R$38,0)</f>
        <v>0</v>
      </c>
      <c r="U41" cm="1">
        <f t="array" ref="U41">IFERROR(INDEX('Employee Database'!$F$4:$H$14,MATCH(Processing!$S41,'Employee Database'!$B$4:$B$14,0),U$36)*$R$38,0)</f>
        <v>0</v>
      </c>
      <c r="V41" cm="1">
        <f t="array" ref="V41">IFERROR(INDEX('Employee Database'!$F$4:$H$14,MATCH(Processing!$S41,'Employee Database'!$B$4:$B$14,0),V$36)*$R$38,0)</f>
        <v>31900.000000000011</v>
      </c>
      <c r="W41">
        <f t="shared" si="28"/>
        <v>31900.000000000011</v>
      </c>
      <c r="X41" s="3" t="e" vm="1">
        <f t="shared" ca="1" si="29"/>
        <v>#NAME?</v>
      </c>
      <c r="Y41" t="e" vm="2">
        <f t="shared" ca="1" si="30"/>
        <v>#NAME?</v>
      </c>
    </row>
    <row r="42" spans="2:36" x14ac:dyDescent="0.25">
      <c r="B42" s="10" t="str">
        <f>Data!B8</f>
        <v>Laying solid boards</v>
      </c>
      <c r="C42">
        <f>IFERROR(GETPIVOTDATA(""&amp;$B$37,Control!$G$41,""&amp;$B$37,""&amp;B42),0)</f>
        <v>25</v>
      </c>
      <c r="J42" s="83">
        <f>Control!$A$36</f>
        <v>2025</v>
      </c>
      <c r="K42" t="str">
        <f>Control!A51</f>
        <v>OCT</v>
      </c>
      <c r="S42" t="str">
        <f>'Employee Database'!B8</f>
        <v>Joseph</v>
      </c>
      <c r="T42" cm="1">
        <f t="array" ref="T42">IFERROR(INDEX('Employee Database'!$F$4:$H$14,MATCH(Processing!$S42,'Employee Database'!$B$4:$B$14,0),T$36)*$R$38,0)</f>
        <v>0</v>
      </c>
      <c r="U42" cm="1">
        <f t="array" ref="U42">IFERROR(INDEX('Employee Database'!$F$4:$H$14,MATCH(Processing!$S42,'Employee Database'!$B$4:$B$14,0),U$36)*$R$38,0)</f>
        <v>0</v>
      </c>
      <c r="V42" cm="1">
        <f t="array" ref="V42">IFERROR(INDEX('Employee Database'!$F$4:$H$14,MATCH(Processing!$S42,'Employee Database'!$B$4:$B$14,0),V$36)*$R$38,0)</f>
        <v>31900.000000000011</v>
      </c>
      <c r="W42">
        <f t="shared" si="28"/>
        <v>31900.000000000011</v>
      </c>
      <c r="X42" s="3" t="e" vm="1">
        <f t="shared" ca="1" si="29"/>
        <v>#NAME?</v>
      </c>
      <c r="Y42" t="e" vm="2">
        <f t="shared" ca="1" si="30"/>
        <v>#NAME?</v>
      </c>
    </row>
    <row r="43" spans="2:36" x14ac:dyDescent="0.25">
      <c r="B43" s="10" t="str">
        <f>Data!B9</f>
        <v>Installation of ceiling plinth</v>
      </c>
      <c r="C43">
        <f>IFERROR(GETPIVOTDATA(""&amp;$B$37,Control!$G$41,""&amp;$B$37,""&amp;B43),0)</f>
        <v>3</v>
      </c>
      <c r="J43" s="83">
        <f>Control!$A$36</f>
        <v>2025</v>
      </c>
      <c r="K43" t="str">
        <f>Control!A52</f>
        <v>NOV</v>
      </c>
      <c r="S43" t="str">
        <f>'Employee Database'!B9</f>
        <v>Liam</v>
      </c>
      <c r="T43" cm="1">
        <f t="array" ref="T43">IFERROR(INDEX('Employee Database'!$F$4:$H$14,MATCH(Processing!$S43,'Employee Database'!$B$4:$B$14,0),T$36)*$R$38,0)</f>
        <v>0</v>
      </c>
      <c r="U43" cm="1">
        <f t="array" ref="U43">IFERROR(INDEX('Employee Database'!$F$4:$H$14,MATCH(Processing!$S43,'Employee Database'!$B$4:$B$14,0),U$36)*$R$38,0)</f>
        <v>0</v>
      </c>
      <c r="V43" cm="1">
        <f t="array" ref="V43">IFERROR(INDEX('Employee Database'!$F$4:$H$14,MATCH(Processing!$S43,'Employee Database'!$B$4:$B$14,0),V$36)*$R$38,0)</f>
        <v>31900.000000000011</v>
      </c>
      <c r="W43">
        <f t="shared" si="28"/>
        <v>31900.000000000011</v>
      </c>
      <c r="X43" s="3" t="e" vm="1">
        <f t="shared" ca="1" si="29"/>
        <v>#NAME?</v>
      </c>
      <c r="Y43" t="e" vm="2">
        <f t="shared" ca="1" si="30"/>
        <v>#NAME?</v>
      </c>
    </row>
    <row r="44" spans="2:36" x14ac:dyDescent="0.25">
      <c r="B44" s="10" t="str">
        <f>Data!B10</f>
        <v>Cutting and installation of additional corners</v>
      </c>
      <c r="C44">
        <f>IFERROR(GETPIVOTDATA(""&amp;$B$37,Control!$G$41,""&amp;$B$37,""&amp;B44),0)</f>
        <v>27</v>
      </c>
      <c r="J44" s="83">
        <f>Control!$A$36</f>
        <v>2025</v>
      </c>
      <c r="K44" t="str">
        <f>Control!A53</f>
        <v>DEC</v>
      </c>
      <c r="S44" t="str">
        <f>'Employee Database'!B10</f>
        <v>Oliver</v>
      </c>
      <c r="T44" cm="1">
        <f t="array" ref="T44">IFERROR(INDEX('Employee Database'!$F$4:$H$14,MATCH(Processing!$S44,'Employee Database'!$B$4:$B$14,0),T$36)*$R$38,0)</f>
        <v>0</v>
      </c>
      <c r="U44" cm="1">
        <f t="array" ref="U44">IFERROR(INDEX('Employee Database'!$F$4:$H$14,MATCH(Processing!$S44,'Employee Database'!$B$4:$B$14,0),U$36)*$R$38,0)</f>
        <v>0</v>
      </c>
      <c r="V44" cm="1">
        <f t="array" ref="V44">IFERROR(INDEX('Employee Database'!$F$4:$H$14,MATCH(Processing!$S44,'Employee Database'!$B$4:$B$14,0),V$36)*$R$38,0)</f>
        <v>24200.000000000007</v>
      </c>
      <c r="W44">
        <f t="shared" si="28"/>
        <v>24200.000000000007</v>
      </c>
      <c r="X44" s="3" t="e" vm="1">
        <f t="shared" ca="1" si="29"/>
        <v>#NAME?</v>
      </c>
      <c r="Y44" t="e" vm="2">
        <f t="shared" ca="1" si="30"/>
        <v>#NAME?</v>
      </c>
    </row>
    <row r="45" spans="2:36" x14ac:dyDescent="0.25">
      <c r="B45" s="10" t="str">
        <f>Data!B11</f>
        <v>Dismantling the balcony block</v>
      </c>
      <c r="C45">
        <f>IFERROR(GETPIVOTDATA(""&amp;$B$37,Control!$G$41,""&amp;$B$37,""&amp;B45),0)</f>
        <v>1</v>
      </c>
      <c r="J45" s="83">
        <f>Control!$A$37</f>
        <v>0</v>
      </c>
      <c r="K45" t="str">
        <f>Control!A42</f>
        <v>JAN</v>
      </c>
      <c r="S45" t="str">
        <f>'Employee Database'!B11</f>
        <v>Lucas</v>
      </c>
      <c r="T45" cm="1">
        <f t="array" ref="T45">IFERROR(INDEX('Employee Database'!$F$4:$H$14,MATCH(Processing!$S45,'Employee Database'!$B$4:$B$14,0),T$36)*$R$38,0)</f>
        <v>0</v>
      </c>
      <c r="U45" cm="1">
        <f t="array" ref="U45">IFERROR(INDEX('Employee Database'!$F$4:$H$14,MATCH(Processing!$S45,'Employee Database'!$B$4:$B$14,0),U$36)*$R$38,0)</f>
        <v>0</v>
      </c>
      <c r="V45" cm="1">
        <f t="array" ref="V45">IFERROR(INDEX('Employee Database'!$F$4:$H$14,MATCH(Processing!$S45,'Employee Database'!$B$4:$B$14,0),V$36)*$R$38,0)</f>
        <v>24200.000000000007</v>
      </c>
      <c r="W45">
        <f t="shared" si="28"/>
        <v>24200.000000000007</v>
      </c>
      <c r="X45" s="3" t="e" vm="1">
        <f t="shared" ca="1" si="29"/>
        <v>#NAME?</v>
      </c>
      <c r="Y45" t="e" vm="2">
        <f t="shared" ca="1" si="30"/>
        <v>#NAME?</v>
      </c>
    </row>
    <row r="46" spans="2:36" x14ac:dyDescent="0.25">
      <c r="B46" s="10" t="str">
        <f>Data!B12</f>
        <v>Removing the front door</v>
      </c>
      <c r="C46">
        <f>IFERROR(GETPIVOTDATA(""&amp;$B$37,Control!$G$41,""&amp;$B$37,""&amp;B46),0)</f>
        <v>1</v>
      </c>
      <c r="J46" s="83">
        <f>Control!$A$37</f>
        <v>0</v>
      </c>
      <c r="K46" t="str">
        <f>Control!A43</f>
        <v>FEB</v>
      </c>
      <c r="S46" t="str">
        <f>'Employee Database'!B12</f>
        <v>Sofia</v>
      </c>
      <c r="T46" cm="1">
        <f t="array" ref="T46">IFERROR(INDEX('Employee Database'!$F$4:$H$14,MATCH(Processing!$S46,'Employee Database'!$B$4:$B$14,0),T$36)*$R$38,0)</f>
        <v>0</v>
      </c>
      <c r="U46" cm="1">
        <f t="array" ref="U46">IFERROR(INDEX('Employee Database'!$F$4:$H$14,MATCH(Processing!$S46,'Employee Database'!$B$4:$B$14,0),U$36)*$R$38,0)</f>
        <v>0</v>
      </c>
      <c r="V46" cm="1">
        <f t="array" ref="V46">IFERROR(INDEX('Employee Database'!$F$4:$H$14,MATCH(Processing!$S46,'Employee Database'!$B$4:$B$14,0),V$36)*$R$38,0)</f>
        <v>24200.000000000007</v>
      </c>
      <c r="W46">
        <f t="shared" si="28"/>
        <v>24200.000000000007</v>
      </c>
      <c r="X46" s="3" t="e" vm="1">
        <f t="shared" ca="1" si="29"/>
        <v>#NAME?</v>
      </c>
      <c r="Y46" t="e" vm="2">
        <f t="shared" ca="1" si="30"/>
        <v>#NAME?</v>
      </c>
    </row>
    <row r="47" spans="2:36" x14ac:dyDescent="0.25">
      <c r="B47" s="10" t="str">
        <f>Data!B13</f>
        <v>Removing the shower tray</v>
      </c>
      <c r="C47">
        <f>IFERROR(GETPIVOTDATA(""&amp;$B$37,Control!$G$41,""&amp;$B$37,""&amp;B47),0)</f>
        <v>1</v>
      </c>
      <c r="J47" s="83">
        <f>Control!$A$37</f>
        <v>0</v>
      </c>
      <c r="K47" t="str">
        <f>Control!A44</f>
        <v>MAR</v>
      </c>
      <c r="S47" t="str">
        <f>'Employee Database'!B13</f>
        <v>Charlotte</v>
      </c>
      <c r="T47" cm="1">
        <f t="array" ref="T47">IFERROR(INDEX('Employee Database'!$F$4:$H$14,MATCH(Processing!$S47,'Employee Database'!$B$4:$B$14,0),T$36)*$R$38,0)</f>
        <v>0</v>
      </c>
      <c r="U47" cm="1">
        <f t="array" ref="U47">IFERROR(INDEX('Employee Database'!$F$4:$H$14,MATCH(Processing!$S47,'Employee Database'!$B$4:$B$14,0),U$36)*$R$38,0)</f>
        <v>0</v>
      </c>
      <c r="V47" cm="1">
        <f t="array" ref="V47">IFERROR(INDEX('Employee Database'!$F$4:$H$14,MATCH(Processing!$S47,'Employee Database'!$B$4:$B$14,0),V$36)*$R$38,0)</f>
        <v>31900.000000000011</v>
      </c>
      <c r="W47">
        <f t="shared" si="28"/>
        <v>31900.000000000011</v>
      </c>
      <c r="X47" s="3" t="e" vm="1">
        <f t="shared" ca="1" si="29"/>
        <v>#NAME?</v>
      </c>
      <c r="Y47" t="e" vm="2">
        <f t="shared" ca="1" si="30"/>
        <v>#NAME?</v>
      </c>
    </row>
    <row r="48" spans="2:36" x14ac:dyDescent="0.25">
      <c r="B48" s="10" t="str">
        <f>Data!B14</f>
        <v>Removing the sink</v>
      </c>
      <c r="C48">
        <f>IFERROR(GETPIVOTDATA(""&amp;$B$37,Control!$G$41,""&amp;$B$37,""&amp;B48),0)</f>
        <v>0</v>
      </c>
      <c r="J48" s="83">
        <f>Control!$A$37</f>
        <v>0</v>
      </c>
      <c r="K48" t="str">
        <f>Control!A45</f>
        <v>APR</v>
      </c>
      <c r="S48" t="str">
        <f>'Employee Database'!B14</f>
        <v>Jacob</v>
      </c>
      <c r="T48" cm="1">
        <f t="array" ref="T48">IFERROR(INDEX('Employee Database'!$F$4:$H$14,MATCH(Processing!$S48,'Employee Database'!$B$4:$B$14,0),T$36)*$R$38,0)</f>
        <v>0</v>
      </c>
      <c r="U48" cm="1">
        <f t="array" ref="U48">IFERROR(INDEX('Employee Database'!$F$4:$H$14,MATCH(Processing!$S48,'Employee Database'!$B$4:$B$14,0),U$36)*$R$38,0)</f>
        <v>0</v>
      </c>
      <c r="V48" cm="1">
        <f t="array" ref="V48">IFERROR(INDEX('Employee Database'!$F$4:$H$14,MATCH(Processing!$S48,'Employee Database'!$B$4:$B$14,0),V$36)*$R$38,0)</f>
        <v>31900.000000000011</v>
      </c>
      <c r="W48">
        <f t="shared" si="28"/>
        <v>31900.000000000011</v>
      </c>
      <c r="X48" s="3" t="e" vm="1">
        <f t="shared" ca="1" si="29"/>
        <v>#NAME?</v>
      </c>
      <c r="Y48" t="e" vm="2">
        <f t="shared" ca="1" si="30"/>
        <v>#NAME?</v>
      </c>
    </row>
    <row r="49" spans="2:23" x14ac:dyDescent="0.25">
      <c r="B49" s="10" t="str">
        <f>Data!B15</f>
        <v>Dismantling the window block</v>
      </c>
      <c r="C49">
        <f>IFERROR(GETPIVOTDATA(""&amp;$B$37,Control!$G$41,""&amp;$B$37,""&amp;B49),0)</f>
        <v>22</v>
      </c>
      <c r="J49" s="83">
        <f>Control!$A$37</f>
        <v>0</v>
      </c>
      <c r="K49" t="str">
        <f>Control!A46</f>
        <v>MAY</v>
      </c>
      <c r="W49" s="98" t="e" vm="2">
        <f ca="1">SUM(Y38:Y48)</f>
        <v>#NAME?</v>
      </c>
    </row>
    <row r="50" spans="2:23" x14ac:dyDescent="0.25">
      <c r="B50" s="10" t="str">
        <f>Data!B16</f>
        <v>Laying ceramic tiles, porcelain tiles on the floor with grout</v>
      </c>
      <c r="C50">
        <f>IFERROR(GETPIVOTDATA(""&amp;$B$37,Control!$G$41,""&amp;$B$37,""&amp;B50),0)</f>
        <v>0</v>
      </c>
      <c r="J50" s="83">
        <f>Control!$A$37</f>
        <v>0</v>
      </c>
      <c r="K50" t="str">
        <f>Control!A47</f>
        <v>JUN</v>
      </c>
    </row>
    <row r="51" spans="2:23" x14ac:dyDescent="0.25">
      <c r="B51" s="10" t="str">
        <f>Data!B17</f>
        <v>Application of decorative plaster</v>
      </c>
      <c r="C51">
        <f>IFERROR(GETPIVOTDATA(""&amp;$B$37,Control!$G$41,""&amp;$B$37,""&amp;B51),0)</f>
        <v>2</v>
      </c>
      <c r="J51" s="83">
        <f>Control!$A$37</f>
        <v>0</v>
      </c>
      <c r="K51" t="str">
        <f>Control!A48</f>
        <v>JUL</v>
      </c>
      <c r="V51" t="s">
        <v>1164</v>
      </c>
    </row>
    <row r="52" spans="2:23" x14ac:dyDescent="0.25">
      <c r="B52" s="10" t="str">
        <f>Data!B18</f>
        <v>Wallpapering</v>
      </c>
      <c r="C52">
        <f>IFERROR(GETPIVOTDATA(""&amp;$B$37,Control!$G$41,""&amp;$B$37,""&amp;B52),0)</f>
        <v>1</v>
      </c>
      <c r="J52" s="83">
        <f>Control!$A$37</f>
        <v>0</v>
      </c>
      <c r="K52" t="str">
        <f>Control!A49</f>
        <v>AUG</v>
      </c>
      <c r="V52" s="106">
        <f>SUM('ALL ORDERS'!J806:J810)</f>
        <v>4100</v>
      </c>
    </row>
    <row r="53" spans="2:23" x14ac:dyDescent="0.25">
      <c r="B53" s="10" t="str">
        <f>Data!B19</f>
        <v>Laying plywood in 1 layer</v>
      </c>
      <c r="C53">
        <f>IFERROR(GETPIVOTDATA(""&amp;$B$37,Control!$G$41,""&amp;$B$37,""&amp;B53),0)</f>
        <v>1</v>
      </c>
      <c r="J53" s="83">
        <f>Control!$A$37</f>
        <v>0</v>
      </c>
      <c r="K53" t="str">
        <f>Control!A50</f>
        <v>SEP</v>
      </c>
    </row>
    <row r="54" spans="2:23" x14ac:dyDescent="0.25">
      <c r="B54" s="10" t="str">
        <f>Data!B20</f>
        <v>Laying linoleum with glue</v>
      </c>
      <c r="C54">
        <f>IFERROR(GETPIVOTDATA(""&amp;$B$37,Control!$G$41,""&amp;$B$37,""&amp;B54),0)</f>
        <v>26</v>
      </c>
      <c r="J54" s="83">
        <f>Control!$A$37</f>
        <v>0</v>
      </c>
      <c r="K54" t="str">
        <f>Control!A51</f>
        <v>OCT</v>
      </c>
    </row>
    <row r="55" spans="2:23" x14ac:dyDescent="0.25">
      <c r="B55" s="10" t="str">
        <f>Data!B21</f>
        <v>Removing the shower cabin</v>
      </c>
      <c r="C55">
        <f>IFERROR(GETPIVOTDATA(""&amp;$B$37,Control!$G$41,""&amp;$B$37,""&amp;B55),0)</f>
        <v>1</v>
      </c>
      <c r="J55" s="83">
        <f>Control!$A$37</f>
        <v>0</v>
      </c>
      <c r="K55" t="str">
        <f>Control!A52</f>
        <v>NOV</v>
      </c>
    </row>
    <row r="56" spans="2:23" x14ac:dyDescent="0.25">
      <c r="B56" s="10" t="str">
        <f>Data!B22</f>
        <v>Installation of thermal vapor barrier of the ceiling</v>
      </c>
      <c r="C56">
        <f>IFERROR(GETPIVOTDATA(""&amp;$B$37,Control!$G$41,""&amp;$B$37,""&amp;B56),0)</f>
        <v>0</v>
      </c>
      <c r="J56" s="83">
        <f>Control!$A$37</f>
        <v>0</v>
      </c>
      <c r="K56" t="str">
        <f>Control!A53</f>
        <v>DEC</v>
      </c>
    </row>
    <row r="57" spans="2:23" x14ac:dyDescent="0.25">
      <c r="B57" s="10" t="str">
        <f>Data!B23</f>
        <v>Laying quartz vinyl tiles with glue</v>
      </c>
      <c r="C57">
        <f>IFERROR(GETPIVOTDATA(""&amp;$B$37,Control!$G$41,""&amp;$B$37,""&amp;B57),0)</f>
        <v>22</v>
      </c>
      <c r="J57" s="83">
        <f>Control!$A$38</f>
        <v>0</v>
      </c>
      <c r="K57" t="str">
        <f>Control!A42</f>
        <v>JAN</v>
      </c>
    </row>
    <row r="58" spans="2:23" x14ac:dyDescent="0.25">
      <c r="B58" s="10" t="str">
        <f>Data!B24</f>
        <v>Threshold installation</v>
      </c>
      <c r="C58">
        <f>IFERROR(GETPIVOTDATA(""&amp;$B$37,Control!$G$41,""&amp;$B$37,""&amp;B58),0)</f>
        <v>21</v>
      </c>
      <c r="J58" s="83">
        <f>Control!$A$38</f>
        <v>0</v>
      </c>
      <c r="K58" t="str">
        <f>Control!A43</f>
        <v>FEB</v>
      </c>
    </row>
    <row r="59" spans="2:23" x14ac:dyDescent="0.25">
      <c r="B59" s="10" t="str">
        <f>Data!B25</f>
        <v>Production and installation of suspended ceilings (matte, glossy)</v>
      </c>
      <c r="C59">
        <f>IFERROR(GETPIVOTDATA(""&amp;$B$37,Control!$G$41,""&amp;$B$37,""&amp;B59),0)</f>
        <v>0</v>
      </c>
      <c r="J59" s="83">
        <f>Control!$A$38</f>
        <v>0</v>
      </c>
      <c r="K59" t="str">
        <f>Control!A44</f>
        <v>MAR</v>
      </c>
    </row>
    <row r="60" spans="2:23" x14ac:dyDescent="0.25">
      <c r="B60" s="10" t="str">
        <f>Data!B26</f>
        <v>Wallpapering ceilings</v>
      </c>
      <c r="C60">
        <f>IFERROR(GETPIVOTDATA(""&amp;$B$37,Control!$G$41,""&amp;$B$37,""&amp;B60),0)</f>
        <v>72</v>
      </c>
      <c r="J60" s="83">
        <f>Control!$A$38</f>
        <v>0</v>
      </c>
      <c r="K60" t="str">
        <f>Control!A45</f>
        <v>APR</v>
      </c>
    </row>
    <row r="61" spans="2:23" x14ac:dyDescent="0.25">
      <c r="B61" s="10" t="str">
        <f>Data!B27</f>
        <v>Installation of PVC skirting boards</v>
      </c>
      <c r="C61">
        <f>IFERROR(GETPIVOTDATA(""&amp;$B$37,Control!$G$41,""&amp;$B$37,""&amp;B61),0)</f>
        <v>24</v>
      </c>
      <c r="J61" s="83">
        <f>Control!$A$38</f>
        <v>0</v>
      </c>
      <c r="K61" t="str">
        <f>Control!A46</f>
        <v>MAY</v>
      </c>
    </row>
    <row r="62" spans="2:23" x14ac:dyDescent="0.25">
      <c r="B62" s="10" t="str">
        <f>Data!B28</f>
        <v>Installation of slatted ceilings</v>
      </c>
      <c r="C62">
        <f>IFERROR(GETPIVOTDATA(""&amp;$B$37,Control!$G$41,""&amp;$B$37,""&amp;B62),0)</f>
        <v>49</v>
      </c>
      <c r="J62" s="83">
        <f>Control!$A$38</f>
        <v>0</v>
      </c>
      <c r="K62" t="str">
        <f>Control!A47</f>
        <v>JUN</v>
      </c>
    </row>
    <row r="63" spans="2:23" x14ac:dyDescent="0.25">
      <c r="B63" s="10" t="str">
        <f>Data!B29</f>
        <v>Removing an interior door</v>
      </c>
      <c r="C63">
        <f>IFERROR(GETPIVOTDATA(""&amp;$B$37,Control!$G$41,""&amp;$B$37,""&amp;B63),0)</f>
        <v>1</v>
      </c>
      <c r="J63" s="83">
        <f>Control!$A$38</f>
        <v>0</v>
      </c>
      <c r="K63" t="str">
        <f>Control!A48</f>
        <v>JUL</v>
      </c>
    </row>
    <row r="64" spans="2:23" x14ac:dyDescent="0.25">
      <c r="J64" s="83">
        <f>Control!$A$38</f>
        <v>0</v>
      </c>
      <c r="K64" t="str">
        <f>Control!A49</f>
        <v>AUG</v>
      </c>
    </row>
    <row r="65" spans="10:11" x14ac:dyDescent="0.25">
      <c r="J65" s="83">
        <f>Control!$A$38</f>
        <v>0</v>
      </c>
      <c r="K65" t="str">
        <f>Control!A50</f>
        <v>SEP</v>
      </c>
    </row>
    <row r="66" spans="10:11" x14ac:dyDescent="0.25">
      <c r="J66" s="83">
        <f>Control!$A$38</f>
        <v>0</v>
      </c>
      <c r="K66" t="str">
        <f>Control!A51</f>
        <v>OCT</v>
      </c>
    </row>
    <row r="67" spans="10:11" x14ac:dyDescent="0.25">
      <c r="J67" s="83">
        <f>Control!$A$38</f>
        <v>0</v>
      </c>
      <c r="K67" t="str">
        <f>Control!A52</f>
        <v>NOV</v>
      </c>
    </row>
    <row r="68" spans="10:11" x14ac:dyDescent="0.25">
      <c r="J68" s="83">
        <f>Control!$A$38</f>
        <v>0</v>
      </c>
      <c r="K68" t="str">
        <f>Control!A53</f>
        <v>DEC</v>
      </c>
    </row>
  </sheetData>
  <sortState xmlns:xlrd2="http://schemas.microsoft.com/office/spreadsheetml/2017/richdata2" ref="M10:M14">
    <sortCondition descending="1" ref="M10:M14"/>
  </sortState>
  <mergeCells count="2">
    <mergeCell ref="F25:H25"/>
    <mergeCell ref="Q34:W34"/>
  </mergeCells>
  <phoneticPr fontId="4"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7727-5B0D-4648-9C38-2AEC1160A684}">
  <dimension ref="A1:AS198"/>
  <sheetViews>
    <sheetView showRowColHeaders="0" zoomScale="90" zoomScaleNormal="90" workbookViewId="0">
      <selection activeCell="B2" sqref="B2"/>
    </sheetView>
  </sheetViews>
  <sheetFormatPr defaultColWidth="8.85546875" defaultRowHeight="15" x14ac:dyDescent="0.25"/>
  <cols>
    <col min="1" max="21" width="8.85546875" style="1"/>
    <col min="22" max="22" width="10.7109375" style="1" customWidth="1"/>
    <col min="23" max="16384" width="8.85546875" style="1"/>
  </cols>
  <sheetData>
    <row r="1" spans="1:45"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x14ac:dyDescent="0.25">
      <c r="A2" s="2"/>
      <c r="B2" s="2"/>
      <c r="C2" s="71">
        <f ca="1">NOW()-TODAY()</f>
        <v>0.66658449074020609</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x14ac:dyDescent="0.25">
      <c r="A4" s="2"/>
      <c r="X4" s="2"/>
      <c r="Y4" s="2"/>
      <c r="Z4" s="2"/>
      <c r="AA4" s="2"/>
      <c r="AB4" s="2"/>
      <c r="AC4" s="2"/>
      <c r="AD4" s="2"/>
      <c r="AE4" s="2"/>
      <c r="AF4" s="2"/>
      <c r="AG4" s="2"/>
      <c r="AH4" s="2"/>
      <c r="AI4" s="2"/>
      <c r="AJ4" s="2"/>
      <c r="AK4" s="2"/>
      <c r="AL4" s="2"/>
      <c r="AM4" s="2"/>
      <c r="AN4" s="2"/>
      <c r="AO4" s="2"/>
      <c r="AP4" s="2"/>
      <c r="AQ4" s="2"/>
      <c r="AR4" s="2"/>
      <c r="AS4" s="2"/>
    </row>
    <row r="5" spans="1:45" ht="14.45" customHeight="1" x14ac:dyDescent="0.3">
      <c r="A5" s="2"/>
      <c r="S5" s="17"/>
      <c r="X5" s="2"/>
      <c r="Y5" s="2"/>
      <c r="Z5" s="2"/>
      <c r="AA5" s="2"/>
      <c r="AB5" s="2"/>
      <c r="AC5" s="2"/>
      <c r="AD5" s="2"/>
      <c r="AE5" s="2"/>
      <c r="AF5" s="2"/>
      <c r="AG5" s="2"/>
      <c r="AH5" s="2"/>
      <c r="AI5" s="2"/>
      <c r="AJ5" s="2"/>
      <c r="AK5" s="2"/>
      <c r="AL5" s="2"/>
      <c r="AM5" s="2"/>
      <c r="AN5" s="2"/>
      <c r="AO5" s="2"/>
      <c r="AP5" s="2"/>
      <c r="AQ5" s="2"/>
      <c r="AR5" s="2"/>
      <c r="AS5" s="2"/>
    </row>
    <row r="6" spans="1:45" ht="14.45" customHeight="1" x14ac:dyDescent="0.3">
      <c r="A6" s="2"/>
      <c r="S6" s="17"/>
      <c r="X6" s="2"/>
      <c r="Y6" s="2"/>
      <c r="Z6" s="2"/>
      <c r="AA6" s="2"/>
      <c r="AB6" s="2"/>
      <c r="AC6" s="2"/>
      <c r="AD6" s="2"/>
      <c r="AE6" s="2"/>
      <c r="AF6" s="2"/>
      <c r="AG6" s="2"/>
      <c r="AH6" s="2"/>
      <c r="AI6" s="2"/>
      <c r="AJ6" s="2"/>
      <c r="AK6" s="2"/>
      <c r="AL6" s="2"/>
      <c r="AM6" s="2"/>
      <c r="AN6" s="2"/>
      <c r="AO6" s="2"/>
      <c r="AP6" s="2"/>
      <c r="AQ6" s="2"/>
      <c r="AR6" s="2"/>
      <c r="AS6" s="2"/>
    </row>
    <row r="7" spans="1:45" ht="14.45" customHeight="1" x14ac:dyDescent="0.25">
      <c r="A7" s="2"/>
      <c r="X7" s="2"/>
      <c r="Y7" s="2"/>
      <c r="Z7" s="2"/>
      <c r="AA7" s="2"/>
      <c r="AB7" s="2"/>
      <c r="AC7" s="2"/>
      <c r="AD7" s="2"/>
      <c r="AE7" s="2"/>
      <c r="AF7" s="2"/>
      <c r="AG7" s="2"/>
      <c r="AH7" s="2"/>
      <c r="AI7" s="2"/>
      <c r="AJ7" s="2"/>
      <c r="AK7" s="2"/>
      <c r="AL7" s="2"/>
      <c r="AM7" s="2"/>
      <c r="AN7" s="2"/>
      <c r="AO7" s="2"/>
      <c r="AP7" s="2"/>
      <c r="AQ7" s="2"/>
      <c r="AR7" s="2"/>
      <c r="AS7" s="2"/>
    </row>
    <row r="8" spans="1:45" ht="14.45" customHeight="1" x14ac:dyDescent="0.25">
      <c r="A8" s="2"/>
      <c r="X8" s="2"/>
      <c r="Y8" s="2"/>
      <c r="Z8" s="2"/>
      <c r="AA8" s="2"/>
      <c r="AB8" s="2"/>
      <c r="AC8" s="2"/>
      <c r="AD8" s="2"/>
      <c r="AE8" s="2"/>
      <c r="AF8" s="2"/>
      <c r="AG8" s="2"/>
      <c r="AH8" s="2"/>
      <c r="AI8" s="2"/>
      <c r="AJ8" s="2"/>
      <c r="AK8" s="2"/>
      <c r="AL8" s="2"/>
      <c r="AM8" s="2"/>
      <c r="AN8" s="2"/>
      <c r="AO8" s="2"/>
      <c r="AP8" s="2"/>
      <c r="AQ8" s="2"/>
      <c r="AR8" s="2"/>
      <c r="AS8" s="2"/>
    </row>
    <row r="9" spans="1:45" ht="14.45" customHeight="1" x14ac:dyDescent="0.25">
      <c r="A9" s="2"/>
      <c r="X9" s="2"/>
      <c r="Y9" s="2"/>
      <c r="Z9" s="2"/>
      <c r="AA9" s="2"/>
      <c r="AB9" s="2"/>
      <c r="AC9" s="2"/>
      <c r="AD9" s="2"/>
      <c r="AE9" s="2"/>
      <c r="AF9" s="2"/>
      <c r="AG9" s="2"/>
      <c r="AH9" s="2"/>
      <c r="AI9" s="2"/>
      <c r="AJ9" s="2"/>
      <c r="AK9" s="2"/>
      <c r="AL9" s="2"/>
      <c r="AM9" s="2"/>
      <c r="AN9" s="2"/>
      <c r="AO9" s="2"/>
      <c r="AP9" s="2"/>
      <c r="AQ9" s="2"/>
      <c r="AR9" s="2"/>
      <c r="AS9" s="2"/>
    </row>
    <row r="10" spans="1:45" ht="14.45" customHeight="1" x14ac:dyDescent="0.25">
      <c r="A10" s="2"/>
      <c r="X10" s="2"/>
      <c r="Y10" s="2"/>
      <c r="Z10" s="2"/>
      <c r="AA10" s="2"/>
      <c r="AB10" s="2"/>
      <c r="AC10" s="2"/>
      <c r="AD10" s="2"/>
      <c r="AE10" s="2"/>
      <c r="AF10" s="2"/>
      <c r="AG10" s="2"/>
      <c r="AH10" s="2"/>
      <c r="AI10" s="2"/>
      <c r="AJ10" s="2"/>
      <c r="AK10" s="2"/>
      <c r="AL10" s="2"/>
      <c r="AM10" s="2"/>
      <c r="AN10" s="2"/>
      <c r="AO10" s="2"/>
      <c r="AP10" s="2"/>
      <c r="AQ10" s="2"/>
      <c r="AR10" s="2"/>
      <c r="AS10" s="2"/>
    </row>
    <row r="11" spans="1:45" ht="14.45" customHeight="1" x14ac:dyDescent="0.25">
      <c r="A11" s="2"/>
      <c r="X11" s="2"/>
      <c r="Y11" s="2"/>
      <c r="Z11" s="2"/>
      <c r="AA11" s="2"/>
      <c r="AB11" s="2"/>
      <c r="AC11" s="2"/>
      <c r="AD11" s="2"/>
      <c r="AE11" s="2"/>
      <c r="AF11" s="2"/>
      <c r="AG11" s="2"/>
      <c r="AH11" s="2"/>
      <c r="AI11" s="2"/>
      <c r="AJ11" s="2"/>
      <c r="AK11" s="2"/>
      <c r="AL11" s="2"/>
      <c r="AM11" s="2"/>
      <c r="AN11" s="2"/>
      <c r="AO11" s="2"/>
      <c r="AP11" s="2"/>
      <c r="AQ11" s="2"/>
      <c r="AR11" s="2"/>
      <c r="AS11" s="2"/>
    </row>
    <row r="12" spans="1:45" ht="14.45" customHeight="1" x14ac:dyDescent="0.25">
      <c r="A12" s="2"/>
      <c r="X12" s="2"/>
      <c r="Y12" s="2"/>
      <c r="Z12" s="2"/>
      <c r="AA12" s="2"/>
      <c r="AB12" s="2"/>
      <c r="AC12" s="2"/>
      <c r="AD12" s="2"/>
      <c r="AE12" s="2"/>
      <c r="AF12" s="2"/>
      <c r="AG12" s="2"/>
      <c r="AH12" s="2"/>
      <c r="AI12" s="2"/>
      <c r="AJ12" s="2"/>
      <c r="AK12" s="2"/>
      <c r="AL12" s="2"/>
      <c r="AM12" s="2"/>
      <c r="AN12" s="2"/>
      <c r="AO12" s="2"/>
      <c r="AP12" s="2"/>
      <c r="AQ12" s="2"/>
      <c r="AR12" s="2"/>
      <c r="AS12" s="2"/>
    </row>
    <row r="13" spans="1:45" ht="14.45" customHeight="1" x14ac:dyDescent="0.25">
      <c r="A13" s="2"/>
      <c r="X13" s="2"/>
      <c r="Y13" s="2"/>
      <c r="Z13" s="2"/>
      <c r="AA13" s="2"/>
      <c r="AB13" s="2"/>
      <c r="AC13" s="2"/>
      <c r="AD13" s="2"/>
      <c r="AE13" s="2"/>
      <c r="AF13" s="2"/>
      <c r="AG13" s="2"/>
      <c r="AH13" s="2"/>
      <c r="AI13" s="2"/>
      <c r="AJ13" s="2"/>
      <c r="AK13" s="2"/>
      <c r="AL13" s="2"/>
      <c r="AM13" s="2"/>
      <c r="AN13" s="2"/>
      <c r="AO13" s="2"/>
      <c r="AP13" s="2"/>
      <c r="AQ13" s="2"/>
      <c r="AR13" s="2"/>
      <c r="AS13" s="2"/>
    </row>
    <row r="14" spans="1:45" ht="14.45" customHeight="1" x14ac:dyDescent="0.25">
      <c r="A14" s="2"/>
      <c r="E14" s="156" t="s">
        <v>99</v>
      </c>
      <c r="F14" s="156"/>
      <c r="G14" s="156" t="s">
        <v>98</v>
      </c>
      <c r="H14" s="156"/>
      <c r="I14" s="156" t="s">
        <v>97</v>
      </c>
      <c r="J14" s="156" t="s">
        <v>96</v>
      </c>
      <c r="K14" s="156"/>
      <c r="L14" s="156"/>
      <c r="M14" s="156"/>
      <c r="N14" s="157" t="s">
        <v>100</v>
      </c>
      <c r="O14" s="132" t="s">
        <v>101</v>
      </c>
      <c r="P14" s="132"/>
      <c r="X14" s="2"/>
      <c r="Y14" s="2"/>
      <c r="Z14" s="2"/>
      <c r="AA14" s="2"/>
      <c r="AB14" s="2"/>
      <c r="AC14" s="2"/>
      <c r="AD14" s="2"/>
      <c r="AE14" s="2"/>
      <c r="AF14" s="2"/>
      <c r="AG14" s="2"/>
      <c r="AH14" s="2"/>
      <c r="AI14" s="2"/>
      <c r="AJ14" s="2"/>
      <c r="AK14" s="2"/>
      <c r="AL14" s="2"/>
      <c r="AM14" s="2"/>
      <c r="AN14" s="2"/>
      <c r="AO14" s="2"/>
      <c r="AP14" s="2"/>
      <c r="AQ14" s="2"/>
      <c r="AR14" s="2"/>
      <c r="AS14" s="2"/>
    </row>
    <row r="15" spans="1:45" ht="14.45" customHeight="1" x14ac:dyDescent="0.25">
      <c r="A15" s="2"/>
      <c r="E15" s="156"/>
      <c r="F15" s="156"/>
      <c r="G15" s="156"/>
      <c r="H15" s="156"/>
      <c r="I15" s="156"/>
      <c r="J15" s="156"/>
      <c r="K15" s="156"/>
      <c r="L15" s="156"/>
      <c r="M15" s="156"/>
      <c r="N15" s="157"/>
      <c r="O15" s="132"/>
      <c r="P15" s="132"/>
      <c r="X15" s="2"/>
      <c r="Y15" s="2"/>
      <c r="Z15" s="2"/>
      <c r="AA15" s="2"/>
      <c r="AB15" s="2"/>
      <c r="AC15" s="2"/>
      <c r="AD15" s="2"/>
      <c r="AE15" s="2"/>
      <c r="AF15" s="2"/>
      <c r="AG15" s="2"/>
      <c r="AH15" s="2"/>
      <c r="AI15" s="2"/>
      <c r="AJ15" s="2"/>
      <c r="AK15" s="2"/>
      <c r="AL15" s="2"/>
      <c r="AM15" s="2"/>
      <c r="AN15" s="2"/>
      <c r="AO15" s="2"/>
      <c r="AP15" s="2"/>
      <c r="AQ15" s="2"/>
      <c r="AR15" s="2"/>
      <c r="AS15" s="2"/>
    </row>
    <row r="16" spans="1:45" ht="14.45" customHeight="1" x14ac:dyDescent="0.25">
      <c r="A16" s="2"/>
      <c r="E16" s="31"/>
      <c r="F16" s="31"/>
      <c r="G16" s="31"/>
      <c r="H16" s="31"/>
      <c r="I16" s="31"/>
      <c r="J16" s="31"/>
      <c r="K16" s="31"/>
      <c r="L16" s="31"/>
      <c r="M16" s="31"/>
      <c r="N16" s="31"/>
      <c r="O16" s="31"/>
      <c r="P16" s="31"/>
      <c r="X16" s="2"/>
      <c r="Y16" s="2"/>
      <c r="Z16" s="2"/>
      <c r="AA16" s="2"/>
      <c r="AB16" s="2"/>
      <c r="AC16" s="2"/>
      <c r="AD16" s="2"/>
      <c r="AE16" s="2"/>
      <c r="AF16" s="2"/>
      <c r="AG16" s="2"/>
      <c r="AH16" s="2"/>
      <c r="AI16" s="2"/>
      <c r="AJ16" s="2"/>
      <c r="AK16" s="2"/>
      <c r="AL16" s="2"/>
      <c r="AM16" s="2"/>
      <c r="AN16" s="2"/>
      <c r="AO16" s="2"/>
      <c r="AP16" s="2"/>
      <c r="AQ16" s="2"/>
      <c r="AR16" s="2"/>
      <c r="AS16" s="2"/>
    </row>
    <row r="17" spans="1:45" ht="14.45" customHeight="1" x14ac:dyDescent="0.25">
      <c r="A17" s="2"/>
      <c r="D17" s="145" t="b">
        <f t="shared" ref="D17:D32" si="0">E17&gt;0</f>
        <v>1</v>
      </c>
      <c r="E17" s="138" t="str">
        <f>'ALL ORDERS'!P806</f>
        <v>Client 56</v>
      </c>
      <c r="F17" s="138"/>
      <c r="G17" s="147" t="str">
        <f>'ALL ORDERS'!T806</f>
        <v>(917) 555-5678</v>
      </c>
      <c r="H17" s="138"/>
      <c r="I17" s="148">
        <f>'ALL ORDERS'!O806</f>
        <v>0.66666666666666663</v>
      </c>
      <c r="J17" s="135" t="str">
        <f>'ALL ORDERS'!R806</f>
        <v>456 Willow Lane, Unit 55BBB</v>
      </c>
      <c r="K17" s="135"/>
      <c r="L17" s="135"/>
      <c r="M17" s="135"/>
      <c r="N17" s="138" t="str">
        <f>'ALL ORDERS'!S806</f>
        <v>William</v>
      </c>
      <c r="O17" s="137">
        <f>'ALL ORDERS'!J806</f>
        <v>500</v>
      </c>
      <c r="P17" s="137"/>
      <c r="X17" s="2"/>
      <c r="Y17" s="2"/>
      <c r="Z17" s="2"/>
      <c r="AA17" s="2"/>
      <c r="AB17" s="2"/>
      <c r="AC17" s="2"/>
      <c r="AD17" s="2"/>
      <c r="AE17" s="2"/>
      <c r="AF17" s="2"/>
      <c r="AG17" s="2"/>
      <c r="AH17" s="2"/>
      <c r="AI17" s="2"/>
      <c r="AJ17" s="2"/>
      <c r="AK17" s="2"/>
      <c r="AL17" s="2"/>
      <c r="AM17" s="2"/>
      <c r="AN17" s="2"/>
      <c r="AO17" s="2"/>
      <c r="AP17" s="2"/>
      <c r="AQ17" s="2"/>
      <c r="AR17" s="2"/>
      <c r="AS17" s="2"/>
    </row>
    <row r="18" spans="1:45" ht="14.45" customHeight="1" x14ac:dyDescent="0.25">
      <c r="A18" s="2"/>
      <c r="D18" s="145"/>
      <c r="E18" s="138"/>
      <c r="F18" s="138"/>
      <c r="G18" s="138"/>
      <c r="H18" s="138"/>
      <c r="I18" s="138"/>
      <c r="J18" s="135"/>
      <c r="K18" s="135"/>
      <c r="L18" s="135"/>
      <c r="M18" s="135"/>
      <c r="N18" s="138"/>
      <c r="O18" s="137"/>
      <c r="P18" s="137"/>
      <c r="X18" s="2"/>
      <c r="Y18" s="2"/>
      <c r="Z18" s="2"/>
      <c r="AA18" s="2"/>
      <c r="AB18" s="2"/>
      <c r="AC18" s="2"/>
      <c r="AD18" s="2"/>
      <c r="AE18" s="2"/>
      <c r="AF18" s="2"/>
      <c r="AG18" s="2"/>
      <c r="AH18" s="2"/>
      <c r="AI18" s="2"/>
      <c r="AJ18" s="2"/>
      <c r="AK18" s="2"/>
      <c r="AL18" s="2"/>
      <c r="AM18" s="2"/>
      <c r="AN18" s="2"/>
      <c r="AO18" s="2"/>
      <c r="AP18" s="2"/>
      <c r="AQ18" s="2"/>
      <c r="AR18" s="2"/>
      <c r="AS18" s="2"/>
    </row>
    <row r="19" spans="1:45" ht="14.45" customHeight="1" x14ac:dyDescent="0.25">
      <c r="A19" s="2"/>
      <c r="D19" s="33"/>
      <c r="E19" s="144" t="str">
        <f>'ALL ORDERS'!P807</f>
        <v>Client 96</v>
      </c>
      <c r="F19" s="144"/>
      <c r="G19" s="154" t="str">
        <f>'ALL ORDERS'!T807</f>
        <v>(718) 555-8765</v>
      </c>
      <c r="H19" s="144"/>
      <c r="I19" s="155">
        <f>'ALL ORDERS'!O807</f>
        <v>0.70833333333333304</v>
      </c>
      <c r="J19" s="133" t="str">
        <f>'ALL ORDERS'!R807</f>
        <v>210 Oak Lane, Apt. 95PPPP</v>
      </c>
      <c r="K19" s="133"/>
      <c r="L19" s="133"/>
      <c r="M19" s="133"/>
      <c r="N19" s="144" t="str">
        <f>'ALL ORDERS'!S807</f>
        <v>Oliver</v>
      </c>
      <c r="O19" s="141">
        <f>'ALL ORDERS'!J807</f>
        <v>2300</v>
      </c>
      <c r="P19" s="141"/>
      <c r="X19" s="2"/>
      <c r="Y19" s="2"/>
      <c r="Z19" s="2"/>
      <c r="AA19" s="2"/>
      <c r="AB19" s="2"/>
      <c r="AC19" s="2"/>
      <c r="AD19" s="2"/>
      <c r="AE19" s="2"/>
      <c r="AF19" s="2"/>
      <c r="AG19" s="2"/>
      <c r="AH19" s="2"/>
      <c r="AI19" s="2"/>
      <c r="AJ19" s="2"/>
      <c r="AK19" s="2"/>
      <c r="AL19" s="2"/>
      <c r="AM19" s="2"/>
      <c r="AN19" s="2"/>
      <c r="AO19" s="2"/>
      <c r="AP19" s="2"/>
      <c r="AQ19" s="2"/>
      <c r="AR19" s="2"/>
      <c r="AS19" s="2"/>
    </row>
    <row r="20" spans="1:45" ht="14.45" customHeight="1" x14ac:dyDescent="0.25">
      <c r="A20" s="2"/>
      <c r="D20" s="33"/>
      <c r="E20" s="144"/>
      <c r="F20" s="144"/>
      <c r="G20" s="144"/>
      <c r="H20" s="144"/>
      <c r="I20" s="144"/>
      <c r="J20" s="133"/>
      <c r="K20" s="133"/>
      <c r="L20" s="133"/>
      <c r="M20" s="133"/>
      <c r="N20" s="144"/>
      <c r="O20" s="141"/>
      <c r="P20" s="141"/>
      <c r="X20" s="2"/>
      <c r="Y20" s="2"/>
      <c r="Z20" s="2"/>
      <c r="AA20" s="2"/>
      <c r="AB20" s="2"/>
      <c r="AC20" s="2"/>
      <c r="AD20" s="2"/>
      <c r="AE20" s="2"/>
      <c r="AF20" s="2"/>
      <c r="AG20" s="2"/>
      <c r="AH20" s="2"/>
      <c r="AI20" s="2"/>
      <c r="AJ20" s="2"/>
      <c r="AK20" s="2"/>
      <c r="AL20" s="2"/>
      <c r="AM20" s="2"/>
      <c r="AN20" s="2"/>
      <c r="AO20" s="2"/>
      <c r="AP20" s="2"/>
      <c r="AQ20" s="2"/>
      <c r="AR20" s="2"/>
      <c r="AS20" s="2"/>
    </row>
    <row r="21" spans="1:45" ht="14.45" customHeight="1" x14ac:dyDescent="0.3">
      <c r="A21" s="2"/>
      <c r="D21" s="33"/>
      <c r="E21" s="144"/>
      <c r="F21" s="144"/>
      <c r="G21" s="144"/>
      <c r="H21" s="144"/>
      <c r="I21" s="144"/>
      <c r="J21" s="133"/>
      <c r="K21" s="133"/>
      <c r="L21" s="133"/>
      <c r="M21" s="133"/>
      <c r="N21" s="144"/>
      <c r="O21" s="141"/>
      <c r="P21" s="141"/>
      <c r="S21" s="17"/>
      <c r="X21" s="2"/>
      <c r="Y21" s="2"/>
      <c r="Z21" s="2"/>
      <c r="AA21" s="2"/>
      <c r="AB21" s="2"/>
      <c r="AC21" s="2"/>
      <c r="AD21" s="2"/>
      <c r="AE21" s="2"/>
      <c r="AF21" s="2"/>
      <c r="AG21" s="2"/>
      <c r="AH21" s="2"/>
      <c r="AI21" s="2"/>
      <c r="AJ21" s="2"/>
      <c r="AK21" s="2"/>
      <c r="AL21" s="2"/>
      <c r="AM21" s="2"/>
      <c r="AN21" s="2"/>
      <c r="AO21" s="2"/>
      <c r="AP21" s="2"/>
      <c r="AQ21" s="2"/>
      <c r="AR21" s="2"/>
      <c r="AS21" s="2"/>
    </row>
    <row r="22" spans="1:45" ht="14.45" customHeight="1" x14ac:dyDescent="0.3">
      <c r="A22" s="2"/>
      <c r="D22" s="145" t="b">
        <f t="shared" si="0"/>
        <v>1</v>
      </c>
      <c r="E22" s="138" t="str">
        <f>'ALL ORDERS'!P808</f>
        <v>Client 70</v>
      </c>
      <c r="F22" s="138"/>
      <c r="G22" s="147" t="str">
        <f>'ALL ORDERS'!T806</f>
        <v>(917) 555-5678</v>
      </c>
      <c r="H22" s="138"/>
      <c r="I22" s="148">
        <f>'ALL ORDERS'!O808</f>
        <v>0.75</v>
      </c>
      <c r="J22" s="135" t="str">
        <f>'ALL ORDERS'!R808</f>
        <v>678 Spruce Street, Suite 69PPP</v>
      </c>
      <c r="K22" s="135"/>
      <c r="L22" s="135"/>
      <c r="M22" s="135"/>
      <c r="N22" s="138" t="str">
        <f>'ALL ORDERS'!S808</f>
        <v>Jack</v>
      </c>
      <c r="O22" s="137">
        <f>'ALL ORDERS'!J808</f>
        <v>300</v>
      </c>
      <c r="P22" s="137"/>
      <c r="S22" s="17"/>
      <c r="X22" s="2"/>
      <c r="Y22" s="2"/>
      <c r="Z22" s="2"/>
      <c r="AA22" s="2"/>
      <c r="AB22" s="2"/>
      <c r="AC22" s="2"/>
      <c r="AD22" s="2"/>
      <c r="AE22" s="2"/>
      <c r="AF22" s="2"/>
      <c r="AG22" s="2"/>
      <c r="AH22" s="2"/>
      <c r="AI22" s="2"/>
      <c r="AJ22" s="2"/>
      <c r="AK22" s="2"/>
      <c r="AL22" s="2"/>
      <c r="AM22" s="2"/>
      <c r="AN22" s="2"/>
      <c r="AO22" s="2"/>
      <c r="AP22" s="2"/>
      <c r="AQ22" s="2"/>
      <c r="AR22" s="2"/>
      <c r="AS22" s="2"/>
    </row>
    <row r="23" spans="1:45" ht="14.45" customHeight="1" x14ac:dyDescent="0.25">
      <c r="A23" s="2"/>
      <c r="D23" s="145"/>
      <c r="E23" s="138"/>
      <c r="F23" s="138"/>
      <c r="G23" s="138"/>
      <c r="H23" s="138"/>
      <c r="I23" s="138"/>
      <c r="J23" s="135"/>
      <c r="K23" s="135"/>
      <c r="L23" s="135"/>
      <c r="M23" s="135"/>
      <c r="N23" s="138"/>
      <c r="O23" s="137"/>
      <c r="P23" s="137"/>
      <c r="X23" s="2"/>
      <c r="Y23" s="2"/>
      <c r="Z23" s="2"/>
      <c r="AA23" s="2"/>
      <c r="AB23" s="2"/>
      <c r="AC23" s="2"/>
      <c r="AD23" s="2"/>
      <c r="AE23" s="2"/>
      <c r="AF23" s="2"/>
      <c r="AG23" s="2"/>
      <c r="AH23" s="2"/>
      <c r="AI23" s="2"/>
      <c r="AJ23" s="2"/>
      <c r="AK23" s="2"/>
      <c r="AL23" s="2"/>
      <c r="AM23" s="2"/>
      <c r="AN23" s="2"/>
      <c r="AO23" s="2"/>
      <c r="AP23" s="2"/>
      <c r="AQ23" s="2"/>
      <c r="AR23" s="2"/>
      <c r="AS23" s="2"/>
    </row>
    <row r="24" spans="1:45" ht="14.45" customHeight="1" x14ac:dyDescent="0.25">
      <c r="A24" s="2"/>
      <c r="D24" s="33"/>
      <c r="E24" s="143" t="str">
        <f>'ALL ORDERS'!P809</f>
        <v>Client 30</v>
      </c>
      <c r="F24" s="143"/>
      <c r="G24" s="150" t="str">
        <f>'ALL ORDERS'!T809</f>
        <v>(212) 555-7890</v>
      </c>
      <c r="H24" s="143"/>
      <c r="I24" s="149">
        <f>'ALL ORDERS'!O809</f>
        <v>0.79166666666666696</v>
      </c>
      <c r="J24" s="134" t="str">
        <f>'ALL ORDERS'!R809</f>
        <v>654 Magnolia Lane, Apt. 29BB</v>
      </c>
      <c r="K24" s="134"/>
      <c r="L24" s="134"/>
      <c r="M24" s="134"/>
      <c r="N24" s="143" t="str">
        <f>'ALL ORDERS'!S809</f>
        <v>James</v>
      </c>
      <c r="O24" s="142">
        <f>'ALL ORDERS'!J809</f>
        <v>700</v>
      </c>
      <c r="P24" s="142"/>
      <c r="X24" s="2"/>
      <c r="Y24" s="2"/>
      <c r="Z24" s="2"/>
      <c r="AA24" s="2"/>
      <c r="AB24" s="2"/>
      <c r="AC24" s="2"/>
      <c r="AD24" s="2"/>
      <c r="AE24" s="2"/>
      <c r="AF24" s="2"/>
      <c r="AG24" s="2"/>
      <c r="AH24" s="2"/>
      <c r="AI24" s="2"/>
      <c r="AJ24" s="2"/>
      <c r="AK24" s="2"/>
      <c r="AL24" s="2"/>
      <c r="AM24" s="2"/>
      <c r="AN24" s="2"/>
      <c r="AO24" s="2"/>
      <c r="AP24" s="2"/>
      <c r="AQ24" s="2"/>
      <c r="AR24" s="2"/>
      <c r="AS24" s="2"/>
    </row>
    <row r="25" spans="1:45" ht="14.45" customHeight="1" x14ac:dyDescent="0.25">
      <c r="A25" s="2"/>
      <c r="D25" s="33"/>
      <c r="E25" s="143"/>
      <c r="F25" s="143"/>
      <c r="G25" s="143"/>
      <c r="H25" s="143"/>
      <c r="I25" s="143"/>
      <c r="J25" s="134"/>
      <c r="K25" s="134"/>
      <c r="L25" s="134"/>
      <c r="M25" s="134"/>
      <c r="N25" s="143"/>
      <c r="O25" s="142"/>
      <c r="P25" s="142"/>
      <c r="X25" s="2"/>
      <c r="Y25" s="2"/>
      <c r="Z25" s="2"/>
      <c r="AA25" s="2"/>
      <c r="AB25" s="2"/>
      <c r="AC25" s="2"/>
      <c r="AD25" s="2"/>
      <c r="AE25" s="2"/>
      <c r="AF25" s="2"/>
      <c r="AG25" s="2"/>
      <c r="AH25" s="2"/>
      <c r="AI25" s="2"/>
      <c r="AJ25" s="2"/>
      <c r="AK25" s="2"/>
      <c r="AL25" s="2"/>
      <c r="AM25" s="2"/>
      <c r="AN25" s="2"/>
      <c r="AO25" s="2"/>
      <c r="AP25" s="2"/>
      <c r="AQ25" s="2"/>
      <c r="AR25" s="2"/>
      <c r="AS25" s="2"/>
    </row>
    <row r="26" spans="1:45" ht="14.45" customHeight="1" x14ac:dyDescent="0.25">
      <c r="A26" s="2"/>
      <c r="D26" s="33"/>
      <c r="E26" s="143"/>
      <c r="F26" s="143"/>
      <c r="G26" s="143"/>
      <c r="H26" s="143"/>
      <c r="I26" s="143"/>
      <c r="J26" s="134"/>
      <c r="K26" s="134"/>
      <c r="L26" s="134"/>
      <c r="M26" s="134"/>
      <c r="N26" s="143"/>
      <c r="O26" s="142"/>
      <c r="P26" s="142"/>
      <c r="X26" s="2"/>
      <c r="Y26" s="2"/>
      <c r="Z26" s="2"/>
      <c r="AA26" s="2"/>
      <c r="AB26" s="2"/>
      <c r="AC26" s="2"/>
      <c r="AD26" s="2"/>
      <c r="AE26" s="2"/>
      <c r="AF26" s="2"/>
      <c r="AG26" s="2"/>
      <c r="AH26" s="2"/>
      <c r="AI26" s="2"/>
      <c r="AJ26" s="2"/>
      <c r="AK26" s="2"/>
      <c r="AL26" s="2"/>
      <c r="AM26" s="2"/>
      <c r="AN26" s="2"/>
      <c r="AO26" s="2"/>
      <c r="AP26" s="2"/>
      <c r="AQ26" s="2"/>
      <c r="AR26" s="2"/>
      <c r="AS26" s="2"/>
    </row>
    <row r="27" spans="1:45" ht="14.45" customHeight="1" x14ac:dyDescent="0.25">
      <c r="A27" s="2"/>
      <c r="D27" s="145" t="b">
        <f t="shared" si="0"/>
        <v>1</v>
      </c>
      <c r="E27" s="139" t="str">
        <f>'ALL ORDERS'!P810</f>
        <v>Client 31</v>
      </c>
      <c r="F27" s="139"/>
      <c r="G27" s="158" t="str">
        <f>'ALL ORDERS'!T810</f>
        <v>(212) 555-7891</v>
      </c>
      <c r="H27" s="139"/>
      <c r="I27" s="151">
        <f>'ALL ORDERS'!O810</f>
        <v>0.83333333333333404</v>
      </c>
      <c r="J27" s="136" t="str">
        <f>'ALL ORDERS'!R810</f>
        <v>655 Magnolia Lane, Apt. 29BB</v>
      </c>
      <c r="K27" s="136"/>
      <c r="L27" s="136"/>
      <c r="M27" s="136"/>
      <c r="N27" s="139" t="str">
        <f>'ALL ORDERS'!S810</f>
        <v>Lucas</v>
      </c>
      <c r="O27" s="140">
        <f>'ALL ORDERS'!J810</f>
        <v>300</v>
      </c>
      <c r="P27" s="140"/>
      <c r="X27" s="2"/>
      <c r="Y27" s="2"/>
      <c r="Z27" s="2"/>
      <c r="AA27" s="2"/>
      <c r="AB27" s="2"/>
      <c r="AC27" s="2"/>
      <c r="AD27" s="2"/>
      <c r="AE27" s="2"/>
      <c r="AF27" s="2"/>
      <c r="AG27" s="2"/>
      <c r="AH27" s="2"/>
      <c r="AI27" s="2"/>
      <c r="AJ27" s="2"/>
      <c r="AK27" s="2"/>
      <c r="AL27" s="2"/>
      <c r="AM27" s="2"/>
      <c r="AN27" s="2"/>
      <c r="AO27" s="2"/>
      <c r="AP27" s="2"/>
      <c r="AQ27" s="2"/>
      <c r="AR27" s="2"/>
      <c r="AS27" s="2"/>
    </row>
    <row r="28" spans="1:45" ht="14.45" customHeight="1" x14ac:dyDescent="0.25">
      <c r="A28" s="2"/>
      <c r="D28" s="145"/>
      <c r="E28" s="139"/>
      <c r="F28" s="139"/>
      <c r="G28" s="139"/>
      <c r="H28" s="139"/>
      <c r="I28" s="139"/>
      <c r="J28" s="136"/>
      <c r="K28" s="136"/>
      <c r="L28" s="136"/>
      <c r="M28" s="136"/>
      <c r="N28" s="139"/>
      <c r="O28" s="140"/>
      <c r="P28" s="140"/>
      <c r="X28" s="2"/>
      <c r="Y28" s="2"/>
      <c r="Z28" s="2"/>
      <c r="AA28" s="2"/>
      <c r="AB28" s="2"/>
      <c r="AC28" s="2"/>
      <c r="AD28" s="2"/>
      <c r="AE28" s="2"/>
      <c r="AF28" s="2"/>
      <c r="AG28" s="2"/>
      <c r="AH28" s="2"/>
      <c r="AI28" s="2"/>
      <c r="AJ28" s="2"/>
      <c r="AK28" s="2"/>
      <c r="AL28" s="2"/>
      <c r="AM28" s="2"/>
      <c r="AN28" s="2"/>
      <c r="AO28" s="2"/>
      <c r="AP28" s="2"/>
      <c r="AQ28" s="2"/>
      <c r="AR28" s="2"/>
      <c r="AS28" s="2"/>
    </row>
    <row r="29" spans="1:45" ht="14.45" customHeight="1" x14ac:dyDescent="0.25">
      <c r="A29" s="2"/>
      <c r="D29" s="33"/>
      <c r="E29" s="152"/>
      <c r="F29" s="152"/>
      <c r="G29" s="152"/>
      <c r="H29" s="152"/>
      <c r="I29" s="153"/>
      <c r="J29" s="152"/>
      <c r="K29" s="152"/>
      <c r="L29" s="152"/>
      <c r="M29" s="152"/>
      <c r="N29" s="152"/>
      <c r="O29" s="160"/>
      <c r="P29" s="160"/>
      <c r="X29" s="2"/>
      <c r="Y29" s="2"/>
      <c r="Z29" s="2"/>
      <c r="AA29" s="2"/>
      <c r="AB29" s="2"/>
      <c r="AC29" s="2"/>
      <c r="AD29" s="2"/>
      <c r="AE29" s="2"/>
      <c r="AF29" s="2"/>
      <c r="AG29" s="2"/>
      <c r="AH29" s="2"/>
      <c r="AI29" s="2"/>
      <c r="AJ29" s="2"/>
      <c r="AK29" s="2"/>
      <c r="AL29" s="2"/>
      <c r="AM29" s="2"/>
      <c r="AN29" s="2"/>
      <c r="AO29" s="2"/>
      <c r="AP29" s="2"/>
      <c r="AQ29" s="2"/>
      <c r="AR29" s="2"/>
      <c r="AS29" s="2"/>
    </row>
    <row r="30" spans="1:45" ht="14.45" customHeight="1" x14ac:dyDescent="0.25">
      <c r="A30" s="2"/>
      <c r="D30" s="33"/>
      <c r="E30" s="152"/>
      <c r="F30" s="152"/>
      <c r="G30" s="152"/>
      <c r="H30" s="152"/>
      <c r="I30" s="153"/>
      <c r="J30" s="152"/>
      <c r="K30" s="152"/>
      <c r="L30" s="152"/>
      <c r="M30" s="152"/>
      <c r="N30" s="152"/>
      <c r="O30" s="160"/>
      <c r="P30" s="160"/>
      <c r="X30" s="2"/>
      <c r="Y30" s="2"/>
      <c r="Z30" s="2"/>
      <c r="AA30" s="2"/>
      <c r="AB30" s="2"/>
      <c r="AC30" s="2"/>
      <c r="AD30" s="2"/>
      <c r="AE30" s="2"/>
      <c r="AF30" s="2"/>
      <c r="AG30" s="2"/>
      <c r="AH30" s="2"/>
      <c r="AI30" s="2"/>
      <c r="AJ30" s="2"/>
      <c r="AK30" s="2"/>
      <c r="AL30" s="2"/>
      <c r="AM30" s="2"/>
      <c r="AN30" s="2"/>
      <c r="AO30" s="2"/>
      <c r="AP30" s="2"/>
      <c r="AQ30" s="2"/>
      <c r="AR30" s="2"/>
      <c r="AS30" s="2"/>
    </row>
    <row r="31" spans="1:45" ht="14.45" customHeight="1" x14ac:dyDescent="0.25">
      <c r="A31" s="2"/>
      <c r="D31" s="33"/>
      <c r="E31" s="152"/>
      <c r="F31" s="152"/>
      <c r="G31" s="152"/>
      <c r="H31" s="152"/>
      <c r="I31" s="153"/>
      <c r="J31" s="152"/>
      <c r="K31" s="152"/>
      <c r="L31" s="152"/>
      <c r="M31" s="152"/>
      <c r="N31" s="152"/>
      <c r="O31" s="160"/>
      <c r="P31" s="160"/>
      <c r="X31" s="2"/>
      <c r="Y31" s="2"/>
      <c r="Z31" s="2"/>
      <c r="AA31" s="2"/>
      <c r="AB31" s="2"/>
      <c r="AC31" s="2"/>
      <c r="AD31" s="2"/>
      <c r="AE31" s="2"/>
      <c r="AF31" s="2"/>
      <c r="AG31" s="2"/>
      <c r="AH31" s="2"/>
      <c r="AI31" s="2"/>
      <c r="AJ31" s="2"/>
      <c r="AK31" s="2"/>
      <c r="AL31" s="2"/>
      <c r="AM31" s="2"/>
      <c r="AN31" s="2"/>
      <c r="AO31" s="2"/>
      <c r="AP31" s="2"/>
      <c r="AQ31" s="2"/>
      <c r="AR31" s="2"/>
      <c r="AS31" s="2"/>
    </row>
    <row r="32" spans="1:45" ht="14.45" customHeight="1" x14ac:dyDescent="0.25">
      <c r="A32" s="2"/>
      <c r="D32" s="145" t="b">
        <f t="shared" si="0"/>
        <v>0</v>
      </c>
      <c r="E32" s="146"/>
      <c r="F32" s="146"/>
      <c r="G32" s="146"/>
      <c r="H32" s="146"/>
      <c r="I32" s="146"/>
      <c r="J32" s="146"/>
      <c r="K32" s="146"/>
      <c r="L32" s="146"/>
      <c r="M32" s="146"/>
      <c r="N32" s="146"/>
      <c r="O32" s="159"/>
      <c r="P32" s="159"/>
      <c r="X32" s="2"/>
      <c r="Y32" s="2"/>
      <c r="Z32" s="2"/>
      <c r="AA32" s="2"/>
      <c r="AB32" s="2"/>
      <c r="AC32" s="2"/>
      <c r="AD32" s="2"/>
      <c r="AE32" s="2"/>
      <c r="AF32" s="2"/>
      <c r="AG32" s="2"/>
      <c r="AH32" s="2"/>
      <c r="AI32" s="2"/>
      <c r="AJ32" s="2"/>
      <c r="AK32" s="2"/>
      <c r="AL32" s="2"/>
      <c r="AM32" s="2"/>
      <c r="AN32" s="2"/>
      <c r="AO32" s="2"/>
      <c r="AP32" s="2"/>
      <c r="AQ32" s="2"/>
      <c r="AR32" s="2"/>
      <c r="AS32" s="2"/>
    </row>
    <row r="33" spans="1:45" ht="14.45" customHeight="1" x14ac:dyDescent="0.25">
      <c r="A33" s="2"/>
      <c r="D33" s="145"/>
      <c r="E33" s="146"/>
      <c r="F33" s="146"/>
      <c r="G33" s="146"/>
      <c r="H33" s="146"/>
      <c r="I33" s="146"/>
      <c r="J33" s="146"/>
      <c r="K33" s="146"/>
      <c r="L33" s="146"/>
      <c r="M33" s="146"/>
      <c r="N33" s="146"/>
      <c r="O33" s="159"/>
      <c r="P33" s="159"/>
      <c r="R33" s="117"/>
      <c r="X33" s="2"/>
      <c r="Y33" s="2"/>
      <c r="Z33" s="2"/>
      <c r="AA33" s="2"/>
      <c r="AB33" s="2"/>
      <c r="AC33" s="2"/>
      <c r="AD33" s="2"/>
      <c r="AE33" s="2"/>
      <c r="AF33" s="2"/>
      <c r="AG33" s="2"/>
      <c r="AH33" s="2"/>
      <c r="AI33" s="2"/>
      <c r="AJ33" s="2"/>
      <c r="AK33" s="2"/>
      <c r="AL33" s="2"/>
      <c r="AM33" s="2"/>
      <c r="AN33" s="2"/>
      <c r="AO33" s="2"/>
      <c r="AP33" s="2"/>
      <c r="AQ33" s="2"/>
      <c r="AR33" s="2"/>
      <c r="AS33" s="2"/>
    </row>
    <row r="34" spans="1:45" ht="14.45" customHeight="1" x14ac:dyDescent="0.25">
      <c r="A34" s="2"/>
      <c r="E34" s="31"/>
      <c r="F34" s="31"/>
      <c r="G34" s="31"/>
      <c r="H34" s="31"/>
      <c r="I34" s="31"/>
      <c r="J34" s="31"/>
      <c r="K34" s="31"/>
      <c r="L34" s="31"/>
      <c r="M34" s="31"/>
      <c r="N34" s="31"/>
      <c r="O34" s="31"/>
      <c r="P34" s="31"/>
      <c r="R34" s="117"/>
      <c r="X34" s="2"/>
      <c r="Y34" s="2"/>
      <c r="Z34" s="2"/>
      <c r="AA34" s="2"/>
      <c r="AB34" s="2"/>
      <c r="AC34" s="2"/>
      <c r="AD34" s="2"/>
      <c r="AE34" s="2"/>
      <c r="AF34" s="2"/>
      <c r="AG34" s="2"/>
      <c r="AH34" s="2"/>
      <c r="AI34" s="2"/>
      <c r="AJ34" s="2"/>
      <c r="AK34" s="2"/>
      <c r="AL34" s="2"/>
      <c r="AM34" s="2"/>
      <c r="AN34" s="2"/>
      <c r="AO34" s="2"/>
      <c r="AP34" s="2"/>
      <c r="AQ34" s="2"/>
      <c r="AR34" s="2"/>
      <c r="AS34" s="2"/>
    </row>
    <row r="35" spans="1:45" ht="14.45" customHeight="1" x14ac:dyDescent="0.3">
      <c r="A35" s="2"/>
      <c r="B35" s="2"/>
      <c r="C35" s="2"/>
      <c r="K35" s="18"/>
      <c r="L35" s="18"/>
      <c r="M35" s="18"/>
      <c r="N35" s="18"/>
      <c r="O35" s="18"/>
      <c r="P35" s="18"/>
      <c r="R35" s="32"/>
      <c r="S35" s="32"/>
      <c r="T35" s="32"/>
      <c r="U35" s="32"/>
      <c r="V35" s="32"/>
      <c r="W35" s="32"/>
      <c r="X35" s="2"/>
      <c r="Y35" s="2"/>
      <c r="Z35" s="2"/>
      <c r="AA35" s="2"/>
      <c r="AB35" s="2"/>
      <c r="AC35" s="2"/>
      <c r="AD35" s="2"/>
      <c r="AE35" s="2"/>
      <c r="AF35" s="2"/>
      <c r="AG35" s="2"/>
      <c r="AH35" s="2"/>
      <c r="AI35" s="2"/>
      <c r="AJ35" s="2"/>
      <c r="AK35" s="2"/>
      <c r="AL35" s="2"/>
      <c r="AM35" s="2"/>
      <c r="AN35" s="2"/>
      <c r="AO35" s="2"/>
      <c r="AP35" s="2"/>
      <c r="AQ35" s="2"/>
      <c r="AR35" s="2"/>
      <c r="AS35" s="2"/>
    </row>
    <row r="36" spans="1:45" ht="14.4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ht="14.4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ht="14.4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ht="14.4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ht="14.4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ht="14.4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ht="14.4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sheetData>
  <sheetProtection sheet="1" objects="1" scenarios="1"/>
  <mergeCells count="53">
    <mergeCell ref="R33:R34"/>
    <mergeCell ref="E32:F33"/>
    <mergeCell ref="G32:H33"/>
    <mergeCell ref="E27:F28"/>
    <mergeCell ref="G27:H28"/>
    <mergeCell ref="J32:M33"/>
    <mergeCell ref="N32:N33"/>
    <mergeCell ref="O32:P33"/>
    <mergeCell ref="J29:M31"/>
    <mergeCell ref="N29:N31"/>
    <mergeCell ref="O29:P31"/>
    <mergeCell ref="E14:F15"/>
    <mergeCell ref="G14:H15"/>
    <mergeCell ref="I14:I15"/>
    <mergeCell ref="J14:M15"/>
    <mergeCell ref="N14:N15"/>
    <mergeCell ref="D17:D18"/>
    <mergeCell ref="D22:D23"/>
    <mergeCell ref="I27:I28"/>
    <mergeCell ref="E29:F31"/>
    <mergeCell ref="G29:H31"/>
    <mergeCell ref="I29:I31"/>
    <mergeCell ref="E19:F21"/>
    <mergeCell ref="E17:F18"/>
    <mergeCell ref="G17:H18"/>
    <mergeCell ref="G19:H21"/>
    <mergeCell ref="I17:I18"/>
    <mergeCell ref="I19:I21"/>
    <mergeCell ref="D32:D33"/>
    <mergeCell ref="I32:I33"/>
    <mergeCell ref="E22:F23"/>
    <mergeCell ref="G22:H23"/>
    <mergeCell ref="I22:I23"/>
    <mergeCell ref="I24:I26"/>
    <mergeCell ref="D27:D28"/>
    <mergeCell ref="E24:F26"/>
    <mergeCell ref="G24:H26"/>
    <mergeCell ref="J27:M28"/>
    <mergeCell ref="O17:P18"/>
    <mergeCell ref="N17:N18"/>
    <mergeCell ref="N22:N23"/>
    <mergeCell ref="O22:P23"/>
    <mergeCell ref="N27:N28"/>
    <mergeCell ref="O27:P28"/>
    <mergeCell ref="O19:P21"/>
    <mergeCell ref="O24:P26"/>
    <mergeCell ref="N24:N26"/>
    <mergeCell ref="N19:N21"/>
    <mergeCell ref="O14:P15"/>
    <mergeCell ref="J19:M21"/>
    <mergeCell ref="J24:M26"/>
    <mergeCell ref="J17:M18"/>
    <mergeCell ref="J22:M23"/>
  </mergeCells>
  <conditionalFormatting sqref="E17:J17 N17:O17 E18:I18 E19:J19 O19 E20:I21 E22:J22 N22:O22 E23:I26 J24 N24:O24 E27:J27 N27:O27 E28:I31 J29 N29:O29 E32:J32 N32:O32 E33:I33">
    <cfRule type="expression" dxfId="1" priority="1">
      <formula>$D17</formula>
    </cfRule>
  </conditionalFormatting>
  <conditionalFormatting sqref="N19">
    <cfRule type="expression" dxfId="0" priority="3">
      <formula>$D20</formula>
    </cfRule>
  </conditionalFormatting>
  <pageMargins left="0.7" right="0.7" top="0.75" bottom="0.75" header="0.3" footer="0.3"/>
  <drawing r:id="rId1"/>
  <extLst>
    <ext xmlns:x15="http://schemas.microsoft.com/office/spreadsheetml/2010/11/main" uri="{F7C9EE02-42E1-4005-9D12-6889AFFD525C}">
      <x15:webExtensions xmlns:xm="http://schemas.microsoft.com/office/excel/2006/main">
        <x15:webExtension appRef="{507C5134-53A9-4B6A-BEC1-AD9DDA2FFD6D}">
          <xm:f>Processing!$F$26:$H$31</xm:f>
        </x15:webExtension>
      </x15:webExtens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45D9B-0476-400D-9F95-FCAFBF86172B}">
  <dimension ref="A2:Q30"/>
  <sheetViews>
    <sheetView showRowColHeaders="0" zoomScaleNormal="100" workbookViewId="0">
      <pane xSplit="1" topLeftCell="B1" activePane="topRight" state="frozen"/>
      <selection pane="topRight"/>
    </sheetView>
  </sheetViews>
  <sheetFormatPr defaultColWidth="8.85546875" defaultRowHeight="15" x14ac:dyDescent="0.25"/>
  <cols>
    <col min="1" max="1" width="35" style="2" customWidth="1"/>
    <col min="2" max="2" width="103.5703125" style="16" customWidth="1"/>
    <col min="3" max="3" width="16.28515625" style="16" customWidth="1"/>
    <col min="4" max="4" width="6" style="16" customWidth="1"/>
    <col min="5" max="5" width="17.5703125" style="16" customWidth="1"/>
    <col min="6" max="6" width="20.28515625" style="16" bestFit="1" customWidth="1"/>
    <col min="7" max="7" width="4.7109375" style="16" customWidth="1"/>
    <col min="8" max="8" width="17.140625" style="16" bestFit="1" customWidth="1"/>
    <col min="9" max="9" width="20.28515625" style="16" bestFit="1" customWidth="1"/>
    <col min="10" max="10" width="4.7109375" style="16" customWidth="1"/>
    <col min="11" max="11" width="20.5703125" style="16" customWidth="1"/>
    <col min="12" max="12" width="4.7109375" style="16" customWidth="1"/>
    <col min="13" max="13" width="28.28515625" style="16" bestFit="1" customWidth="1"/>
    <col min="14" max="14" width="4.7109375" style="16" customWidth="1"/>
    <col min="15" max="15" width="14.85546875" style="16" bestFit="1" customWidth="1"/>
    <col min="16" max="16" width="8.85546875" style="16"/>
    <col min="17" max="17" width="17" style="16" bestFit="1" customWidth="1"/>
    <col min="18" max="16384" width="8.85546875" style="16"/>
  </cols>
  <sheetData>
    <row r="2" spans="2:17" ht="42.6" customHeight="1" x14ac:dyDescent="0.25">
      <c r="E2" s="161" t="s">
        <v>145</v>
      </c>
      <c r="F2" s="161"/>
      <c r="G2" s="161"/>
      <c r="H2" s="161"/>
      <c r="I2" s="161"/>
      <c r="J2" s="48"/>
      <c r="K2" s="48"/>
      <c r="M2" s="161" t="s">
        <v>150</v>
      </c>
      <c r="N2" s="161"/>
      <c r="O2" s="161"/>
    </row>
    <row r="3" spans="2:17" ht="30.6" customHeight="1" x14ac:dyDescent="0.25">
      <c r="B3" s="50" t="s">
        <v>120</v>
      </c>
      <c r="C3" s="40" t="s">
        <v>139</v>
      </c>
      <c r="E3" s="40" t="s">
        <v>141</v>
      </c>
      <c r="F3" s="40" t="s">
        <v>98</v>
      </c>
      <c r="H3" s="40" t="s">
        <v>142</v>
      </c>
      <c r="I3" s="40" t="s">
        <v>98</v>
      </c>
      <c r="K3" s="40" t="s">
        <v>143</v>
      </c>
      <c r="M3" s="40" t="s">
        <v>140</v>
      </c>
      <c r="O3" s="40" t="s">
        <v>144</v>
      </c>
      <c r="Q3" s="40" t="s">
        <v>357</v>
      </c>
    </row>
    <row r="4" spans="2:17" ht="18.75" x14ac:dyDescent="0.3">
      <c r="B4" s="51" t="s">
        <v>18</v>
      </c>
      <c r="C4" s="39">
        <v>2500</v>
      </c>
      <c r="D4" s="49"/>
      <c r="E4" s="41" t="s">
        <v>41</v>
      </c>
      <c r="F4" s="41" t="s">
        <v>375</v>
      </c>
      <c r="H4" s="41" t="s">
        <v>47</v>
      </c>
      <c r="I4" s="41" t="s">
        <v>370</v>
      </c>
      <c r="K4" s="41" t="s">
        <v>59</v>
      </c>
      <c r="M4" s="41" t="s">
        <v>114</v>
      </c>
      <c r="O4" s="41" t="s">
        <v>146</v>
      </c>
      <c r="Q4" s="41" t="s">
        <v>90</v>
      </c>
    </row>
    <row r="5" spans="2:17" ht="18.75" x14ac:dyDescent="0.3">
      <c r="B5" s="51" t="s">
        <v>19</v>
      </c>
      <c r="C5" s="39">
        <v>3400</v>
      </c>
      <c r="D5" s="49"/>
      <c r="E5" s="41" t="s">
        <v>42</v>
      </c>
      <c r="F5" s="41" t="s">
        <v>376</v>
      </c>
      <c r="H5" s="41" t="s">
        <v>48</v>
      </c>
      <c r="I5" s="41" t="s">
        <v>371</v>
      </c>
      <c r="K5" s="41" t="s">
        <v>31</v>
      </c>
      <c r="M5" s="41" t="s">
        <v>115</v>
      </c>
      <c r="O5" s="41" t="s">
        <v>147</v>
      </c>
      <c r="Q5" s="41" t="s">
        <v>91</v>
      </c>
    </row>
    <row r="6" spans="2:17" ht="18.75" x14ac:dyDescent="0.3">
      <c r="B6" s="51" t="s">
        <v>20</v>
      </c>
      <c r="C6" s="39">
        <v>1200</v>
      </c>
      <c r="D6" s="49"/>
      <c r="E6" s="41" t="s">
        <v>43</v>
      </c>
      <c r="F6" s="41" t="s">
        <v>377</v>
      </c>
      <c r="H6" s="41" t="s">
        <v>49</v>
      </c>
      <c r="I6" s="41" t="s">
        <v>372</v>
      </c>
      <c r="O6" s="41" t="s">
        <v>148</v>
      </c>
      <c r="Q6" s="41" t="s">
        <v>94</v>
      </c>
    </row>
    <row r="7" spans="2:17" ht="20.25" x14ac:dyDescent="0.3">
      <c r="B7" s="51" t="s">
        <v>21</v>
      </c>
      <c r="C7" s="39">
        <v>500</v>
      </c>
      <c r="D7" s="49"/>
      <c r="E7" s="41" t="s">
        <v>44</v>
      </c>
      <c r="F7" s="41" t="s">
        <v>378</v>
      </c>
      <c r="H7" s="41" t="s">
        <v>50</v>
      </c>
      <c r="I7" s="41" t="s">
        <v>373</v>
      </c>
      <c r="K7" s="40" t="s">
        <v>144</v>
      </c>
      <c r="M7" s="40" t="s">
        <v>149</v>
      </c>
      <c r="Q7" s="41" t="s">
        <v>93</v>
      </c>
    </row>
    <row r="8" spans="2:17" ht="20.25" x14ac:dyDescent="0.3">
      <c r="B8" s="51" t="s">
        <v>22</v>
      </c>
      <c r="C8" s="39">
        <v>560</v>
      </c>
      <c r="D8" s="49"/>
      <c r="E8" s="41" t="s">
        <v>45</v>
      </c>
      <c r="F8" s="41" t="s">
        <v>379</v>
      </c>
      <c r="H8" s="41" t="s">
        <v>51</v>
      </c>
      <c r="I8" s="41" t="s">
        <v>374</v>
      </c>
      <c r="K8" s="41" t="s">
        <v>67</v>
      </c>
      <c r="M8" s="41" t="s">
        <v>23</v>
      </c>
      <c r="O8" s="40" t="s">
        <v>368</v>
      </c>
      <c r="Q8" s="41" t="s">
        <v>92</v>
      </c>
    </row>
    <row r="9" spans="2:17" ht="18.75" x14ac:dyDescent="0.3">
      <c r="B9" s="51" t="s">
        <v>135</v>
      </c>
      <c r="C9" s="39">
        <v>670</v>
      </c>
      <c r="D9" s="49"/>
      <c r="E9" s="41" t="s">
        <v>46</v>
      </c>
      <c r="F9" s="41" t="s">
        <v>380</v>
      </c>
      <c r="M9" s="41" t="s">
        <v>24</v>
      </c>
      <c r="O9" s="66">
        <v>0.05</v>
      </c>
    </row>
    <row r="10" spans="2:17" ht="18.75" x14ac:dyDescent="0.3">
      <c r="B10" s="51" t="s">
        <v>137</v>
      </c>
      <c r="C10" s="39">
        <v>740</v>
      </c>
      <c r="D10" s="49"/>
      <c r="M10" s="41" t="s">
        <v>25</v>
      </c>
      <c r="O10" s="66">
        <v>0.1</v>
      </c>
    </row>
    <row r="11" spans="2:17" ht="18.75" x14ac:dyDescent="0.3">
      <c r="B11" s="51" t="s">
        <v>18</v>
      </c>
      <c r="C11" s="39">
        <v>1450</v>
      </c>
      <c r="D11" s="49"/>
      <c r="M11" s="41" t="s">
        <v>26</v>
      </c>
      <c r="O11" s="66">
        <v>0.15</v>
      </c>
    </row>
    <row r="12" spans="2:17" ht="18.75" x14ac:dyDescent="0.3">
      <c r="B12" s="51" t="s">
        <v>124</v>
      </c>
      <c r="C12" s="39">
        <v>800</v>
      </c>
      <c r="D12" s="49"/>
      <c r="M12" s="41" t="s">
        <v>27</v>
      </c>
      <c r="O12" s="66"/>
    </row>
    <row r="13" spans="2:17" ht="18.75" x14ac:dyDescent="0.3">
      <c r="B13" s="51" t="s">
        <v>122</v>
      </c>
      <c r="C13" s="39">
        <v>980</v>
      </c>
      <c r="D13" s="49"/>
    </row>
    <row r="14" spans="2:17" ht="18.75" x14ac:dyDescent="0.3">
      <c r="B14" s="51" t="s">
        <v>123</v>
      </c>
      <c r="C14" s="39">
        <v>1400</v>
      </c>
      <c r="D14" s="49"/>
    </row>
    <row r="15" spans="2:17" ht="18.75" x14ac:dyDescent="0.3">
      <c r="B15" s="51" t="s">
        <v>125</v>
      </c>
      <c r="C15" s="39">
        <v>2400</v>
      </c>
      <c r="D15" s="49"/>
    </row>
    <row r="16" spans="2:17" ht="18.75" x14ac:dyDescent="0.3">
      <c r="B16" s="51" t="s">
        <v>129</v>
      </c>
      <c r="C16" s="39">
        <v>3200</v>
      </c>
      <c r="D16" s="49"/>
    </row>
    <row r="17" spans="2:4" ht="18.75" x14ac:dyDescent="0.3">
      <c r="B17" s="51" t="s">
        <v>152</v>
      </c>
      <c r="C17" s="39">
        <v>4300</v>
      </c>
      <c r="D17" s="49"/>
    </row>
    <row r="18" spans="2:4" ht="18.75" x14ac:dyDescent="0.3">
      <c r="B18" s="51" t="s">
        <v>153</v>
      </c>
      <c r="C18" s="39">
        <v>5300</v>
      </c>
      <c r="D18" s="49"/>
    </row>
    <row r="19" spans="2:4" ht="18.75" x14ac:dyDescent="0.3">
      <c r="B19" s="51" t="s">
        <v>126</v>
      </c>
      <c r="C19" s="39">
        <v>2000</v>
      </c>
      <c r="D19" s="49"/>
    </row>
    <row r="20" spans="2:4" ht="18.75" x14ac:dyDescent="0.3">
      <c r="B20" s="51" t="s">
        <v>127</v>
      </c>
      <c r="C20" s="39">
        <v>1200</v>
      </c>
      <c r="D20" s="49"/>
    </row>
    <row r="21" spans="2:4" ht="18.75" x14ac:dyDescent="0.3">
      <c r="B21" s="51" t="s">
        <v>121</v>
      </c>
      <c r="C21" s="39">
        <v>200</v>
      </c>
      <c r="D21" s="49"/>
    </row>
    <row r="22" spans="2:4" ht="18.75" x14ac:dyDescent="0.3">
      <c r="B22" s="51" t="s">
        <v>132</v>
      </c>
      <c r="C22" s="39">
        <v>4500</v>
      </c>
      <c r="D22" s="49"/>
    </row>
    <row r="23" spans="2:4" ht="18.75" x14ac:dyDescent="0.3">
      <c r="B23" s="51" t="s">
        <v>128</v>
      </c>
      <c r="C23" s="39">
        <v>250</v>
      </c>
      <c r="D23" s="49"/>
    </row>
    <row r="24" spans="2:4" ht="18.75" x14ac:dyDescent="0.3">
      <c r="B24" s="51" t="s">
        <v>130</v>
      </c>
      <c r="C24" s="39">
        <v>600</v>
      </c>
      <c r="D24" s="49"/>
    </row>
    <row r="25" spans="2:4" ht="18.75" x14ac:dyDescent="0.3">
      <c r="B25" s="51" t="s">
        <v>136</v>
      </c>
      <c r="C25" s="39">
        <v>500</v>
      </c>
      <c r="D25" s="49"/>
    </row>
    <row r="26" spans="2:4" ht="18.75" x14ac:dyDescent="0.3">
      <c r="B26" s="51" t="s">
        <v>134</v>
      </c>
      <c r="C26" s="39">
        <v>500</v>
      </c>
      <c r="D26" s="49"/>
    </row>
    <row r="27" spans="2:4" ht="18.75" x14ac:dyDescent="0.3">
      <c r="B27" s="51" t="s">
        <v>131</v>
      </c>
      <c r="C27" s="39">
        <v>2300</v>
      </c>
      <c r="D27" s="49"/>
    </row>
    <row r="28" spans="2:4" ht="18.75" x14ac:dyDescent="0.3">
      <c r="B28" s="51" t="s">
        <v>133</v>
      </c>
      <c r="C28" s="39">
        <v>300</v>
      </c>
      <c r="D28" s="49"/>
    </row>
    <row r="29" spans="2:4" ht="18.75" x14ac:dyDescent="0.3">
      <c r="B29" s="51" t="s">
        <v>138</v>
      </c>
      <c r="C29" s="39">
        <v>700</v>
      </c>
      <c r="D29" s="49"/>
    </row>
    <row r="30" spans="2:4" x14ac:dyDescent="0.25">
      <c r="B30" s="16">
        <v>0</v>
      </c>
    </row>
  </sheetData>
  <sheetProtection sheet="1" objects="1" scenarios="1"/>
  <mergeCells count="2">
    <mergeCell ref="E2:I2"/>
    <mergeCell ref="M2:O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67018-3372-4072-9BE5-1570037C0B38}">
  <dimension ref="B2:K17"/>
  <sheetViews>
    <sheetView showRowColHeaders="0" workbookViewId="0">
      <pane xSplit="17" ySplit="3" topLeftCell="R4" activePane="bottomRight" state="frozen"/>
      <selection pane="topRight" activeCell="R1" sqref="R1"/>
      <selection pane="bottomLeft" activeCell="A4" sqref="A4"/>
      <selection pane="bottomRight"/>
    </sheetView>
  </sheetViews>
  <sheetFormatPr defaultColWidth="8.85546875" defaultRowHeight="15" x14ac:dyDescent="0.25"/>
  <cols>
    <col min="1" max="1" width="8.85546875" style="16"/>
    <col min="2" max="2" width="7" style="16" customWidth="1"/>
    <col min="3" max="3" width="23.7109375" style="16" customWidth="1"/>
    <col min="4" max="4" width="16.7109375" style="16" customWidth="1"/>
    <col min="5" max="5" width="13.28515625" style="16" customWidth="1"/>
    <col min="6" max="7" width="16.7109375" style="16" customWidth="1"/>
    <col min="8" max="11" width="12.7109375" style="16" customWidth="1"/>
    <col min="12" max="16" width="8.85546875" style="16"/>
    <col min="17" max="17" width="10.7109375" style="16" customWidth="1"/>
    <col min="18" max="16384" width="8.85546875" style="16"/>
  </cols>
  <sheetData>
    <row r="2" spans="2:11" ht="36.6" customHeight="1" x14ac:dyDescent="0.3">
      <c r="C2" s="27" t="s">
        <v>65</v>
      </c>
      <c r="D2" s="28"/>
      <c r="E2" s="28"/>
      <c r="F2" s="28"/>
      <c r="G2" s="28"/>
      <c r="H2" s="28"/>
      <c r="I2" s="162" t="s">
        <v>36</v>
      </c>
      <c r="J2" s="162"/>
      <c r="K2" s="162"/>
    </row>
    <row r="3" spans="2:11" s="19" customFormat="1" ht="37.9" customHeight="1" x14ac:dyDescent="0.25">
      <c r="B3" s="21" t="s">
        <v>66</v>
      </c>
      <c r="C3" s="21" t="s">
        <v>62</v>
      </c>
      <c r="D3" s="21" t="s">
        <v>53</v>
      </c>
      <c r="E3" s="21" t="s">
        <v>58</v>
      </c>
      <c r="F3" s="21" t="s">
        <v>57</v>
      </c>
      <c r="G3" s="22" t="s">
        <v>63</v>
      </c>
      <c r="H3" s="21" t="s">
        <v>64</v>
      </c>
      <c r="I3" s="21">
        <v>2023</v>
      </c>
      <c r="J3" s="21">
        <v>2024</v>
      </c>
      <c r="K3" s="21">
        <v>2025</v>
      </c>
    </row>
    <row r="4" spans="2:11" ht="18.75" x14ac:dyDescent="0.3">
      <c r="B4" s="29">
        <v>1</v>
      </c>
      <c r="C4" s="23" t="s">
        <v>47</v>
      </c>
      <c r="D4" s="43">
        <v>33765</v>
      </c>
      <c r="E4" s="23" t="s">
        <v>31</v>
      </c>
      <c r="F4" s="43">
        <v>45165</v>
      </c>
      <c r="G4" s="26"/>
      <c r="H4" s="105"/>
      <c r="I4" s="25">
        <v>10000</v>
      </c>
      <c r="J4" s="25">
        <v>12000</v>
      </c>
      <c r="K4" s="25">
        <v>15000</v>
      </c>
    </row>
    <row r="5" spans="2:11" ht="18.75" x14ac:dyDescent="0.3">
      <c r="B5" s="29">
        <v>2</v>
      </c>
      <c r="C5" s="23" t="s">
        <v>48</v>
      </c>
      <c r="D5" s="43">
        <v>27666</v>
      </c>
      <c r="E5" s="23" t="s">
        <v>31</v>
      </c>
      <c r="F5" s="43">
        <v>45165</v>
      </c>
      <c r="G5" s="26"/>
      <c r="H5" s="105"/>
      <c r="I5" s="25">
        <v>10000</v>
      </c>
      <c r="J5" s="25">
        <v>12000</v>
      </c>
      <c r="K5" s="25">
        <v>15000</v>
      </c>
    </row>
    <row r="6" spans="2:11" ht="18.75" x14ac:dyDescent="0.3">
      <c r="B6" s="29">
        <v>3</v>
      </c>
      <c r="C6" s="23" t="s">
        <v>49</v>
      </c>
      <c r="D6" s="43">
        <v>25521</v>
      </c>
      <c r="E6" s="23" t="s">
        <v>31</v>
      </c>
      <c r="F6" s="43">
        <v>45180</v>
      </c>
      <c r="G6" s="26"/>
      <c r="H6" s="105"/>
      <c r="I6" s="25">
        <v>10000</v>
      </c>
      <c r="J6" s="25">
        <v>12000</v>
      </c>
      <c r="K6" s="25">
        <v>15000</v>
      </c>
    </row>
    <row r="7" spans="2:11" ht="18.75" x14ac:dyDescent="0.3">
      <c r="B7" s="29">
        <v>4</v>
      </c>
      <c r="C7" s="23" t="s">
        <v>60</v>
      </c>
      <c r="D7" s="43">
        <v>34094</v>
      </c>
      <c r="E7" s="23" t="s">
        <v>31</v>
      </c>
      <c r="F7" s="43">
        <v>45180</v>
      </c>
      <c r="G7" s="24">
        <v>45536</v>
      </c>
      <c r="H7" s="105" t="s">
        <v>67</v>
      </c>
      <c r="I7" s="25">
        <v>10000</v>
      </c>
      <c r="J7" s="25">
        <v>12000</v>
      </c>
      <c r="K7" s="25">
        <v>15000</v>
      </c>
    </row>
    <row r="8" spans="2:11" ht="18.75" x14ac:dyDescent="0.3">
      <c r="B8" s="29">
        <v>5</v>
      </c>
      <c r="C8" s="23" t="s">
        <v>42</v>
      </c>
      <c r="D8" s="43">
        <v>30177</v>
      </c>
      <c r="E8" s="23" t="s">
        <v>59</v>
      </c>
      <c r="F8" s="43">
        <v>45180</v>
      </c>
      <c r="G8" s="26"/>
      <c r="H8" s="105"/>
      <c r="I8" s="25">
        <v>10000</v>
      </c>
      <c r="J8" s="25">
        <v>12000</v>
      </c>
      <c r="K8" s="25">
        <v>15000</v>
      </c>
    </row>
    <row r="9" spans="2:11" ht="18.75" x14ac:dyDescent="0.3">
      <c r="B9" s="29">
        <v>6</v>
      </c>
      <c r="C9" s="23" t="s">
        <v>43</v>
      </c>
      <c r="D9" s="43">
        <v>35906</v>
      </c>
      <c r="E9" s="23" t="s">
        <v>59</v>
      </c>
      <c r="F9" s="43">
        <v>45180</v>
      </c>
      <c r="G9" s="26"/>
      <c r="H9" s="105"/>
      <c r="I9" s="25">
        <v>8000</v>
      </c>
      <c r="J9" s="25">
        <v>10000</v>
      </c>
      <c r="K9" s="25">
        <v>12000</v>
      </c>
    </row>
    <row r="10" spans="2:11" ht="18.75" x14ac:dyDescent="0.3">
      <c r="B10" s="29">
        <v>7</v>
      </c>
      <c r="C10" s="23" t="s">
        <v>44</v>
      </c>
      <c r="D10" s="43">
        <v>30371</v>
      </c>
      <c r="E10" s="23" t="s">
        <v>59</v>
      </c>
      <c r="F10" s="43">
        <v>45571</v>
      </c>
      <c r="G10" s="26"/>
      <c r="H10" s="105"/>
      <c r="I10" s="25">
        <v>12000</v>
      </c>
      <c r="J10" s="25">
        <v>15000</v>
      </c>
      <c r="K10" s="25">
        <v>18000</v>
      </c>
    </row>
    <row r="11" spans="2:11" ht="18.75" x14ac:dyDescent="0.3">
      <c r="B11" s="29">
        <v>8</v>
      </c>
      <c r="C11" s="23" t="s">
        <v>45</v>
      </c>
      <c r="D11" s="43">
        <v>35436</v>
      </c>
      <c r="E11" s="23" t="s">
        <v>59</v>
      </c>
      <c r="F11" s="43">
        <v>45165</v>
      </c>
      <c r="G11" s="26"/>
      <c r="H11" s="105"/>
      <c r="I11" s="25">
        <v>12000</v>
      </c>
      <c r="J11" s="25">
        <v>15000</v>
      </c>
      <c r="K11" s="25">
        <v>18000</v>
      </c>
    </row>
    <row r="12" spans="2:11" ht="18.75" x14ac:dyDescent="0.3">
      <c r="B12" s="29">
        <v>9</v>
      </c>
      <c r="C12" s="23" t="s">
        <v>50</v>
      </c>
      <c r="D12" s="43">
        <v>33756</v>
      </c>
      <c r="E12" s="23" t="s">
        <v>31</v>
      </c>
      <c r="F12" s="43">
        <v>45165</v>
      </c>
      <c r="G12" s="26"/>
      <c r="H12" s="105"/>
      <c r="I12" s="25">
        <v>12000</v>
      </c>
      <c r="J12" s="25">
        <v>15000</v>
      </c>
      <c r="K12" s="25">
        <v>18000</v>
      </c>
    </row>
    <row r="13" spans="2:11" ht="18.75" x14ac:dyDescent="0.3">
      <c r="B13" s="29">
        <v>10</v>
      </c>
      <c r="C13" s="23" t="s">
        <v>51</v>
      </c>
      <c r="D13" s="43">
        <v>32109</v>
      </c>
      <c r="E13" s="23" t="s">
        <v>31</v>
      </c>
      <c r="F13" s="43">
        <v>45165</v>
      </c>
      <c r="G13" s="26"/>
      <c r="H13" s="105"/>
      <c r="I13" s="25">
        <v>12000</v>
      </c>
      <c r="J13" s="25">
        <v>15000</v>
      </c>
      <c r="K13" s="25">
        <v>18000</v>
      </c>
    </row>
    <row r="14" spans="2:11" ht="18.75" x14ac:dyDescent="0.3">
      <c r="B14" s="29">
        <v>11</v>
      </c>
      <c r="C14" s="23" t="s">
        <v>61</v>
      </c>
      <c r="D14" s="43">
        <v>34230</v>
      </c>
      <c r="E14" s="23" t="s">
        <v>31</v>
      </c>
      <c r="F14" s="43">
        <v>45165</v>
      </c>
      <c r="G14" s="24">
        <v>45521</v>
      </c>
      <c r="H14" s="105" t="s">
        <v>67</v>
      </c>
      <c r="I14" s="25">
        <v>12000</v>
      </c>
      <c r="J14" s="25">
        <v>15000</v>
      </c>
      <c r="K14" s="25">
        <v>18000</v>
      </c>
    </row>
    <row r="15" spans="2:11" ht="18.75" x14ac:dyDescent="0.3">
      <c r="B15" s="29">
        <v>12</v>
      </c>
      <c r="C15" s="23" t="s">
        <v>41</v>
      </c>
      <c r="D15" s="43">
        <v>35683</v>
      </c>
      <c r="E15" s="23" t="s">
        <v>59</v>
      </c>
      <c r="F15" s="43">
        <v>45538</v>
      </c>
      <c r="G15" s="26"/>
      <c r="H15" s="105"/>
      <c r="I15" s="25">
        <v>10000</v>
      </c>
      <c r="J15" s="25">
        <v>10000</v>
      </c>
      <c r="K15" s="25">
        <v>16000</v>
      </c>
    </row>
    <row r="16" spans="2:11" ht="18.75" x14ac:dyDescent="0.3">
      <c r="B16" s="29">
        <v>13</v>
      </c>
      <c r="C16" s="23" t="s">
        <v>46</v>
      </c>
      <c r="D16" s="43">
        <v>33003</v>
      </c>
      <c r="E16" s="23" t="s">
        <v>59</v>
      </c>
      <c r="F16" s="43">
        <v>45538</v>
      </c>
      <c r="G16" s="26"/>
      <c r="H16" s="105"/>
      <c r="I16" s="25">
        <v>10000</v>
      </c>
      <c r="J16" s="25">
        <v>10000</v>
      </c>
      <c r="K16" s="25">
        <v>14000</v>
      </c>
    </row>
    <row r="17" spans="4:4" x14ac:dyDescent="0.25">
      <c r="D17" s="20"/>
    </row>
  </sheetData>
  <sheetProtection sheet="1" objects="1" scenarios="1"/>
  <mergeCells count="1">
    <mergeCell ref="I2:K2"/>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1861616-5917-40B9-A2C6-7EF9D3B9EF73}">
          <x14:formula1>
            <xm:f>Processing!$U$10:$U$11</xm:f>
          </x14:formula1>
          <xm:sqref>H4:H16</xm:sqref>
        </x14:dataValidation>
        <x14:dataValidation type="list" allowBlank="1" showInputMessage="1" showErrorMessage="1" xr:uid="{6B07C8DE-88C6-4075-AF9F-0A95F5EE79BA}">
          <x14:formula1>
            <xm:f>Processing!$T$10:$T$11</xm:f>
          </x14:formula1>
          <xm:sqref>E4:E16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2204F-3223-43D2-9409-811910D04071}">
  <dimension ref="D2:N3"/>
  <sheetViews>
    <sheetView showRowColHeaders="0" workbookViewId="0"/>
  </sheetViews>
  <sheetFormatPr defaultColWidth="8.85546875" defaultRowHeight="15" x14ac:dyDescent="0.25"/>
  <cols>
    <col min="1" max="1" width="8.85546875" style="16"/>
    <col min="2" max="2" width="10.140625" style="16" customWidth="1"/>
    <col min="3" max="3" width="16.7109375" style="16" customWidth="1"/>
    <col min="4" max="4" width="13.28515625" style="16" customWidth="1"/>
    <col min="5" max="6" width="16.7109375" style="16" customWidth="1"/>
    <col min="7" max="10" width="12.7109375" style="16" customWidth="1"/>
    <col min="11" max="15" width="8.85546875" style="16"/>
    <col min="16" max="16" width="10.7109375" style="16" customWidth="1"/>
    <col min="17" max="16384" width="8.85546875" style="16"/>
  </cols>
  <sheetData>
    <row r="2" spans="4:14" ht="36.6" customHeight="1" x14ac:dyDescent="0.25"/>
    <row r="3" spans="4:14" s="19" customFormat="1" ht="37.9" customHeight="1" x14ac:dyDescent="0.4">
      <c r="D3" s="163">
        <f>Processing!$T$28</f>
        <v>1337100</v>
      </c>
      <c r="E3" s="163"/>
      <c r="F3" s="102"/>
      <c r="G3" s="102" t="s">
        <v>1158</v>
      </c>
      <c r="H3" s="102"/>
      <c r="I3" s="102"/>
      <c r="K3" s="164">
        <f>Processing!$T$29</f>
        <v>1125489</v>
      </c>
      <c r="L3" s="164"/>
      <c r="M3" s="164"/>
      <c r="N3" s="103"/>
    </row>
  </sheetData>
  <sheetProtection sheet="1" objects="1" scenarios="1"/>
  <mergeCells count="2">
    <mergeCell ref="D3:E3"/>
    <mergeCell ref="K3: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19F32-6369-40C0-B647-3B1037BA2584}">
  <dimension ref="E2:O3"/>
  <sheetViews>
    <sheetView showRowColHeaders="0" workbookViewId="0"/>
  </sheetViews>
  <sheetFormatPr defaultColWidth="8.85546875" defaultRowHeight="15" x14ac:dyDescent="0.25"/>
  <cols>
    <col min="1" max="1" width="8.85546875" style="16"/>
    <col min="2" max="2" width="7" style="16" customWidth="1"/>
    <col min="3" max="3" width="23.7109375" style="16" customWidth="1"/>
    <col min="4" max="4" width="16.7109375" style="16" customWidth="1"/>
    <col min="5" max="5" width="13.28515625" style="16" customWidth="1"/>
    <col min="6" max="7" width="16.7109375" style="16" customWidth="1"/>
    <col min="8" max="11" width="12.7109375" style="16" customWidth="1"/>
    <col min="12" max="16" width="8.85546875" style="16"/>
    <col min="17" max="17" width="10.7109375" style="16" customWidth="1"/>
    <col min="18" max="16384" width="8.85546875" style="16"/>
  </cols>
  <sheetData>
    <row r="2" spans="5:15" ht="36.6" customHeight="1" x14ac:dyDescent="0.25">
      <c r="G2" s="104" t="s">
        <v>1159</v>
      </c>
    </row>
    <row r="3" spans="5:15" s="19" customFormat="1" ht="37.9" customHeight="1" x14ac:dyDescent="0.4">
      <c r="E3" s="163"/>
      <c r="F3" s="163"/>
      <c r="I3" s="102"/>
      <c r="J3" s="102"/>
      <c r="L3" s="164"/>
      <c r="M3" s="164"/>
      <c r="N3" s="164"/>
      <c r="O3" s="103"/>
    </row>
  </sheetData>
  <sheetProtection sheet="1" objects="1" scenarios="1"/>
  <mergeCells count="2">
    <mergeCell ref="E3:F3"/>
    <mergeCell ref="L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EECB-C7E0-4A33-AA11-A42EB6EAC890}">
  <sheetPr codeName="Sheet4"/>
  <dimension ref="C1:M24"/>
  <sheetViews>
    <sheetView showRowColHeaders="0" topLeftCell="A7" workbookViewId="0">
      <selection activeCell="K18" sqref="K18:M19"/>
    </sheetView>
  </sheetViews>
  <sheetFormatPr defaultColWidth="8.85546875" defaultRowHeight="15" x14ac:dyDescent="0.25"/>
  <cols>
    <col min="1" max="9" width="8.85546875" style="16"/>
    <col min="10" max="10" width="6.28515625" style="16" customWidth="1"/>
    <col min="11" max="16384" width="8.85546875" style="16"/>
  </cols>
  <sheetData>
    <row r="1" spans="3:13" ht="70.900000000000006" customHeight="1" x14ac:dyDescent="0.25"/>
    <row r="2" spans="3:13" ht="14.45" customHeight="1" x14ac:dyDescent="0.25"/>
    <row r="3" spans="3:13" ht="14.45" customHeight="1" x14ac:dyDescent="0.25"/>
    <row r="4" spans="3:13" ht="14.45" customHeight="1" x14ac:dyDescent="0.25"/>
    <row r="6" spans="3:13" ht="14.45" customHeight="1" x14ac:dyDescent="0.25">
      <c r="C6" s="165" t="s">
        <v>381</v>
      </c>
      <c r="D6" s="165"/>
      <c r="E6" s="165"/>
      <c r="F6" s="165"/>
      <c r="G6" s="165"/>
      <c r="H6" s="165"/>
      <c r="I6" s="165"/>
      <c r="K6" s="167" t="s">
        <v>52</v>
      </c>
      <c r="L6" s="167"/>
      <c r="M6" s="167"/>
    </row>
    <row r="7" spans="3:13" ht="14.45" customHeight="1" x14ac:dyDescent="0.25">
      <c r="C7" s="166"/>
      <c r="D7" s="166"/>
      <c r="E7" s="166"/>
      <c r="F7" s="166"/>
      <c r="G7" s="166"/>
      <c r="H7" s="166"/>
      <c r="I7" s="166"/>
      <c r="K7" s="167"/>
      <c r="L7" s="167"/>
      <c r="M7" s="167"/>
    </row>
    <row r="8" spans="3:13" ht="14.45" customHeight="1" x14ac:dyDescent="0.25">
      <c r="C8" s="168" t="s">
        <v>1166</v>
      </c>
      <c r="D8" s="169"/>
      <c r="E8" s="169"/>
      <c r="F8" s="169"/>
      <c r="G8" s="169"/>
      <c r="H8" s="169"/>
      <c r="I8" s="170"/>
      <c r="K8" s="180">
        <v>151515</v>
      </c>
      <c r="L8" s="181"/>
      <c r="M8" s="182"/>
    </row>
    <row r="9" spans="3:13" ht="14.45" customHeight="1" x14ac:dyDescent="0.25">
      <c r="C9" s="171"/>
      <c r="D9" s="172"/>
      <c r="E9" s="172"/>
      <c r="F9" s="172"/>
      <c r="G9" s="172"/>
      <c r="H9" s="172"/>
      <c r="I9" s="173"/>
      <c r="K9" s="183"/>
      <c r="L9" s="184"/>
      <c r="M9" s="185"/>
    </row>
    <row r="11" spans="3:13" x14ac:dyDescent="0.25">
      <c r="C11" s="165" t="s">
        <v>53</v>
      </c>
      <c r="D11" s="165"/>
      <c r="E11" s="165"/>
      <c r="F11" s="165"/>
      <c r="G11" s="165"/>
      <c r="H11" s="165"/>
      <c r="I11" s="165"/>
      <c r="K11" s="167" t="s">
        <v>54</v>
      </c>
      <c r="L11" s="167"/>
      <c r="M11" s="167"/>
    </row>
    <row r="12" spans="3:13" x14ac:dyDescent="0.25">
      <c r="C12" s="165"/>
      <c r="D12" s="165"/>
      <c r="E12" s="165"/>
      <c r="F12" s="165"/>
      <c r="G12" s="165"/>
      <c r="H12" s="165"/>
      <c r="I12" s="165"/>
      <c r="K12" s="167"/>
      <c r="L12" s="167"/>
      <c r="M12" s="167"/>
    </row>
    <row r="13" spans="3:13" ht="14.45" customHeight="1" x14ac:dyDescent="0.25">
      <c r="C13" s="198">
        <v>35920</v>
      </c>
      <c r="D13" s="199"/>
      <c r="E13" s="199"/>
      <c r="F13" s="199"/>
      <c r="G13" s="199"/>
      <c r="H13" s="199"/>
      <c r="I13" s="200"/>
      <c r="K13" s="186">
        <f ca="1">IF(ISBLANK(C13),0,YEAR(TODAY())-YEAR(C13))</f>
        <v>28</v>
      </c>
      <c r="L13" s="187"/>
      <c r="M13" s="188"/>
    </row>
    <row r="14" spans="3:13" ht="14.45" customHeight="1" x14ac:dyDescent="0.25">
      <c r="C14" s="201"/>
      <c r="D14" s="202"/>
      <c r="E14" s="202"/>
      <c r="F14" s="202"/>
      <c r="G14" s="202"/>
      <c r="H14" s="202"/>
      <c r="I14" s="203"/>
      <c r="K14" s="189"/>
      <c r="L14" s="190"/>
      <c r="M14" s="191"/>
    </row>
    <row r="16" spans="3:13" x14ac:dyDescent="0.25">
      <c r="C16" s="165" t="s">
        <v>55</v>
      </c>
      <c r="D16" s="165"/>
      <c r="E16" s="165"/>
      <c r="F16" s="165"/>
      <c r="G16" s="165"/>
      <c r="H16" s="165"/>
      <c r="I16" s="165"/>
      <c r="K16" s="167" t="s">
        <v>56</v>
      </c>
      <c r="L16" s="167"/>
      <c r="M16" s="167"/>
    </row>
    <row r="17" spans="3:13" x14ac:dyDescent="0.25">
      <c r="C17" s="165"/>
      <c r="D17" s="165"/>
      <c r="E17" s="165"/>
      <c r="F17" s="165"/>
      <c r="G17" s="165"/>
      <c r="H17" s="165"/>
      <c r="I17" s="165"/>
      <c r="K17" s="167"/>
      <c r="L17" s="167"/>
      <c r="M17" s="167"/>
    </row>
    <row r="18" spans="3:13" ht="14.45" customHeight="1" x14ac:dyDescent="0.25">
      <c r="C18" s="168" t="s">
        <v>31</v>
      </c>
      <c r="D18" s="169"/>
      <c r="E18" s="169"/>
      <c r="F18" s="169"/>
      <c r="G18" s="169"/>
      <c r="H18" s="169"/>
      <c r="I18" s="170"/>
      <c r="K18" s="192">
        <v>3000</v>
      </c>
      <c r="L18" s="193"/>
      <c r="M18" s="194"/>
    </row>
    <row r="19" spans="3:13" ht="14.45" customHeight="1" x14ac:dyDescent="0.25">
      <c r="C19" s="171"/>
      <c r="D19" s="172"/>
      <c r="E19" s="172"/>
      <c r="F19" s="172"/>
      <c r="G19" s="172"/>
      <c r="H19" s="172"/>
      <c r="I19" s="173"/>
      <c r="K19" s="195"/>
      <c r="L19" s="196"/>
      <c r="M19" s="197"/>
    </row>
    <row r="21" spans="3:13" x14ac:dyDescent="0.25">
      <c r="C21" s="165" t="s">
        <v>57</v>
      </c>
      <c r="D21" s="165"/>
      <c r="E21" s="165"/>
      <c r="F21" s="165"/>
      <c r="G21" s="165"/>
      <c r="H21" s="165"/>
      <c r="I21" s="165"/>
      <c r="K21" s="146"/>
      <c r="L21" s="146"/>
      <c r="M21" s="146"/>
    </row>
    <row r="22" spans="3:13" x14ac:dyDescent="0.25">
      <c r="C22" s="165"/>
      <c r="D22" s="165"/>
      <c r="E22" s="165"/>
      <c r="F22" s="165"/>
      <c r="G22" s="165"/>
      <c r="H22" s="165"/>
      <c r="I22" s="165"/>
      <c r="K22" s="146"/>
      <c r="L22" s="146"/>
      <c r="M22" s="146"/>
    </row>
    <row r="23" spans="3:13" ht="14.45" customHeight="1" x14ac:dyDescent="0.25">
      <c r="C23" s="174">
        <f ca="1">TODAY()</f>
        <v>46283</v>
      </c>
      <c r="D23" s="175"/>
      <c r="E23" s="175"/>
      <c r="F23" s="175"/>
      <c r="G23" s="175"/>
      <c r="H23" s="175"/>
      <c r="I23" s="176"/>
      <c r="K23" s="146"/>
      <c r="L23" s="146"/>
      <c r="M23" s="146"/>
    </row>
    <row r="24" spans="3:13" ht="14.45" customHeight="1" x14ac:dyDescent="0.25">
      <c r="C24" s="177"/>
      <c r="D24" s="178"/>
      <c r="E24" s="178"/>
      <c r="F24" s="178"/>
      <c r="G24" s="178"/>
      <c r="H24" s="178"/>
      <c r="I24" s="179"/>
      <c r="K24" s="146"/>
      <c r="L24" s="146"/>
      <c r="M24" s="146"/>
    </row>
  </sheetData>
  <mergeCells count="16">
    <mergeCell ref="C23:I24"/>
    <mergeCell ref="K8:M9"/>
    <mergeCell ref="K13:M14"/>
    <mergeCell ref="K18:M19"/>
    <mergeCell ref="K23:M24"/>
    <mergeCell ref="C8:I9"/>
    <mergeCell ref="C13:I14"/>
    <mergeCell ref="C6:I7"/>
    <mergeCell ref="C11:I12"/>
    <mergeCell ref="C16:I17"/>
    <mergeCell ref="C21:I22"/>
    <mergeCell ref="K6:M7"/>
    <mergeCell ref="K11:M12"/>
    <mergeCell ref="K16:M17"/>
    <mergeCell ref="K21:M22"/>
    <mergeCell ref="C18:I1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FE6D276-8C8C-41F6-908E-DB6B3A9A13DC}">
          <x14:formula1>
            <xm:f>Processing!$T$10:$T$11</xm:f>
          </x14:formula1>
          <xm:sqref>C18:I19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0E551-D1C1-4968-BCAA-08D940544649}">
  <dimension ref="A2:K103"/>
  <sheetViews>
    <sheetView showRowColHeaders="0" workbookViewId="0">
      <pane ySplit="3" topLeftCell="A4" activePane="bottomLeft" state="frozen"/>
      <selection pane="bottomLeft" activeCell="H4" sqref="H4:H78"/>
    </sheetView>
  </sheetViews>
  <sheetFormatPr defaultColWidth="8.85546875" defaultRowHeight="15" x14ac:dyDescent="0.25"/>
  <cols>
    <col min="1" max="1" width="14.7109375" style="31" customWidth="1"/>
    <col min="2" max="2" width="11.28515625" style="31" customWidth="1"/>
    <col min="3" max="3" width="11.28515625" style="68" customWidth="1"/>
    <col min="4" max="4" width="28.140625" style="31" bestFit="1" customWidth="1"/>
    <col min="5" max="5" width="11.28515625" style="31" customWidth="1"/>
    <col min="6" max="6" width="12.7109375" style="31" customWidth="1"/>
    <col min="7" max="9" width="11.28515625" style="31" customWidth="1"/>
    <col min="10" max="10" width="10.140625" style="31" bestFit="1" customWidth="1"/>
    <col min="11" max="16384" width="8.85546875" style="31"/>
  </cols>
  <sheetData>
    <row r="2" spans="1:11" ht="30.6" customHeight="1" x14ac:dyDescent="0.25"/>
    <row r="3" spans="1:11" ht="34.15" customHeight="1" x14ac:dyDescent="0.25">
      <c r="A3" s="44" t="s">
        <v>382</v>
      </c>
      <c r="B3" s="44" t="s">
        <v>154</v>
      </c>
      <c r="C3" s="44" t="s">
        <v>89</v>
      </c>
      <c r="D3" s="44" t="s">
        <v>105</v>
      </c>
      <c r="E3" s="44" t="s">
        <v>59</v>
      </c>
      <c r="F3" s="46" t="s">
        <v>52</v>
      </c>
      <c r="G3" s="44" t="s">
        <v>369</v>
      </c>
      <c r="H3" s="45" t="s">
        <v>109</v>
      </c>
      <c r="I3" s="44" t="s">
        <v>31</v>
      </c>
    </row>
    <row r="4" spans="1:11" x14ac:dyDescent="0.25">
      <c r="A4" s="53">
        <v>44927</v>
      </c>
      <c r="B4" s="59" t="s">
        <v>155</v>
      </c>
      <c r="C4" s="69" t="s">
        <v>94</v>
      </c>
      <c r="D4" s="56" t="s">
        <v>237</v>
      </c>
      <c r="E4" s="61" t="s">
        <v>41</v>
      </c>
      <c r="F4" s="62" t="s">
        <v>393</v>
      </c>
      <c r="G4" s="63" t="s">
        <v>24</v>
      </c>
      <c r="H4" s="57"/>
      <c r="I4" s="56" t="s">
        <v>47</v>
      </c>
      <c r="J4" s="52"/>
    </row>
    <row r="5" spans="1:11" x14ac:dyDescent="0.25">
      <c r="A5" s="53">
        <v>44928</v>
      </c>
      <c r="B5" s="59" t="s">
        <v>156</v>
      </c>
      <c r="C5" s="69" t="s">
        <v>94</v>
      </c>
      <c r="D5" s="56" t="s">
        <v>238</v>
      </c>
      <c r="E5" s="61" t="s">
        <v>42</v>
      </c>
      <c r="F5" s="62" t="s">
        <v>394</v>
      </c>
      <c r="G5" s="63" t="s">
        <v>24</v>
      </c>
      <c r="H5" s="57"/>
      <c r="I5" s="56" t="s">
        <v>48</v>
      </c>
      <c r="J5" s="52"/>
    </row>
    <row r="6" spans="1:11" x14ac:dyDescent="0.25">
      <c r="A6" s="53">
        <v>44929</v>
      </c>
      <c r="B6" s="59" t="s">
        <v>157</v>
      </c>
      <c r="C6" s="69" t="s">
        <v>90</v>
      </c>
      <c r="D6" s="56" t="s">
        <v>239</v>
      </c>
      <c r="E6" s="61" t="s">
        <v>43</v>
      </c>
      <c r="F6" s="62" t="s">
        <v>395</v>
      </c>
      <c r="G6" s="63" t="s">
        <v>23</v>
      </c>
      <c r="H6" s="57"/>
      <c r="I6" s="56" t="s">
        <v>49</v>
      </c>
      <c r="J6" s="52"/>
    </row>
    <row r="7" spans="1:11" x14ac:dyDescent="0.25">
      <c r="A7" s="53">
        <v>44930</v>
      </c>
      <c r="B7" s="59" t="s">
        <v>158</v>
      </c>
      <c r="C7" s="69" t="s">
        <v>94</v>
      </c>
      <c r="D7" s="56" t="s">
        <v>240</v>
      </c>
      <c r="E7" s="61" t="s">
        <v>44</v>
      </c>
      <c r="F7" s="62" t="s">
        <v>396</v>
      </c>
      <c r="G7" s="63" t="s">
        <v>24</v>
      </c>
      <c r="H7" s="57"/>
      <c r="I7" s="56" t="s">
        <v>47</v>
      </c>
      <c r="J7" s="52"/>
    </row>
    <row r="8" spans="1:11" x14ac:dyDescent="0.25">
      <c r="A8" s="53">
        <v>44931</v>
      </c>
      <c r="B8" s="59" t="s">
        <v>159</v>
      </c>
      <c r="C8" s="69" t="s">
        <v>94</v>
      </c>
      <c r="D8" s="56" t="s">
        <v>241</v>
      </c>
      <c r="E8" s="61" t="s">
        <v>43</v>
      </c>
      <c r="F8" s="62" t="s">
        <v>397</v>
      </c>
      <c r="G8" s="63" t="s">
        <v>24</v>
      </c>
      <c r="H8" s="57"/>
      <c r="I8" s="56" t="s">
        <v>50</v>
      </c>
      <c r="J8" s="52"/>
    </row>
    <row r="9" spans="1:11" x14ac:dyDescent="0.25">
      <c r="A9" s="53">
        <v>44958</v>
      </c>
      <c r="B9" s="59" t="s">
        <v>160</v>
      </c>
      <c r="C9" s="69" t="s">
        <v>94</v>
      </c>
      <c r="D9" s="56" t="s">
        <v>242</v>
      </c>
      <c r="E9" s="61" t="s">
        <v>45</v>
      </c>
      <c r="F9" s="62" t="s">
        <v>398</v>
      </c>
      <c r="G9" s="63" t="s">
        <v>24</v>
      </c>
      <c r="H9" s="57">
        <v>0.05</v>
      </c>
      <c r="I9" s="56" t="s">
        <v>48</v>
      </c>
      <c r="J9" s="52"/>
      <c r="K9" s="47"/>
    </row>
    <row r="10" spans="1:11" x14ac:dyDescent="0.25">
      <c r="A10" s="53">
        <v>44959</v>
      </c>
      <c r="B10" s="59" t="s">
        <v>337</v>
      </c>
      <c r="C10" s="69" t="s">
        <v>94</v>
      </c>
      <c r="D10" s="56" t="s">
        <v>243</v>
      </c>
      <c r="E10" s="61" t="s">
        <v>44</v>
      </c>
      <c r="F10" s="62" t="s">
        <v>399</v>
      </c>
      <c r="G10" s="63" t="s">
        <v>23</v>
      </c>
      <c r="H10" s="57"/>
      <c r="I10" s="56" t="s">
        <v>51</v>
      </c>
      <c r="J10" s="52"/>
      <c r="K10" s="47"/>
    </row>
    <row r="11" spans="1:11" x14ac:dyDescent="0.25">
      <c r="A11" s="53">
        <v>44960</v>
      </c>
      <c r="B11" s="59" t="s">
        <v>161</v>
      </c>
      <c r="C11" s="69" t="s">
        <v>90</v>
      </c>
      <c r="D11" s="56" t="s">
        <v>244</v>
      </c>
      <c r="E11" s="61" t="s">
        <v>41</v>
      </c>
      <c r="F11" s="62" t="s">
        <v>400</v>
      </c>
      <c r="G11" s="63" t="s">
        <v>24</v>
      </c>
      <c r="H11" s="57"/>
      <c r="I11" s="56" t="s">
        <v>49</v>
      </c>
      <c r="J11" s="52"/>
      <c r="K11" s="47"/>
    </row>
    <row r="12" spans="1:11" x14ac:dyDescent="0.25">
      <c r="A12" s="53">
        <v>44986</v>
      </c>
      <c r="B12" s="59" t="s">
        <v>162</v>
      </c>
      <c r="C12" s="69" t="s">
        <v>94</v>
      </c>
      <c r="D12" s="56" t="s">
        <v>245</v>
      </c>
      <c r="E12" s="61" t="s">
        <v>44</v>
      </c>
      <c r="F12" s="62" t="s">
        <v>401</v>
      </c>
      <c r="G12" s="63" t="s">
        <v>24</v>
      </c>
      <c r="H12" s="57"/>
      <c r="I12" s="56" t="s">
        <v>47</v>
      </c>
      <c r="J12" s="52"/>
      <c r="K12" s="47"/>
    </row>
    <row r="13" spans="1:11" x14ac:dyDescent="0.25">
      <c r="A13" s="53">
        <v>44987</v>
      </c>
      <c r="B13" s="59" t="s">
        <v>163</v>
      </c>
      <c r="C13" s="69" t="s">
        <v>94</v>
      </c>
      <c r="D13" s="56" t="s">
        <v>246</v>
      </c>
      <c r="E13" s="61" t="s">
        <v>43</v>
      </c>
      <c r="F13" s="62" t="s">
        <v>402</v>
      </c>
      <c r="G13" s="63" t="s">
        <v>24</v>
      </c>
      <c r="H13" s="57"/>
      <c r="I13" s="56" t="s">
        <v>50</v>
      </c>
      <c r="J13" s="52"/>
    </row>
    <row r="14" spans="1:11" x14ac:dyDescent="0.25">
      <c r="A14" s="53">
        <v>44988</v>
      </c>
      <c r="B14" s="59" t="s">
        <v>164</v>
      </c>
      <c r="C14" s="69" t="s">
        <v>94</v>
      </c>
      <c r="D14" s="56" t="s">
        <v>247</v>
      </c>
      <c r="E14" s="61" t="s">
        <v>45</v>
      </c>
      <c r="F14" s="70">
        <v>60900888990</v>
      </c>
      <c r="G14" s="63" t="s">
        <v>23</v>
      </c>
      <c r="H14" s="57">
        <v>0.1</v>
      </c>
      <c r="I14" s="56" t="s">
        <v>47</v>
      </c>
      <c r="J14" s="52"/>
    </row>
    <row r="15" spans="1:11" x14ac:dyDescent="0.25">
      <c r="A15" s="53">
        <v>44989</v>
      </c>
      <c r="B15" s="59" t="s">
        <v>165</v>
      </c>
      <c r="C15" s="69" t="s">
        <v>90</v>
      </c>
      <c r="D15" s="56" t="s">
        <v>248</v>
      </c>
      <c r="E15" s="61" t="s">
        <v>44</v>
      </c>
      <c r="F15" s="62" t="s">
        <v>403</v>
      </c>
      <c r="G15" s="63" t="s">
        <v>24</v>
      </c>
      <c r="H15" s="57"/>
      <c r="I15" s="56" t="s">
        <v>51</v>
      </c>
      <c r="J15" s="52"/>
    </row>
    <row r="16" spans="1:11" x14ac:dyDescent="0.25">
      <c r="A16" s="53">
        <v>44990</v>
      </c>
      <c r="B16" s="59" t="s">
        <v>166</v>
      </c>
      <c r="C16" s="69" t="s">
        <v>94</v>
      </c>
      <c r="D16" s="56" t="s">
        <v>249</v>
      </c>
      <c r="E16" s="61" t="s">
        <v>41</v>
      </c>
      <c r="F16" s="62" t="s">
        <v>404</v>
      </c>
      <c r="G16" s="63" t="s">
        <v>24</v>
      </c>
      <c r="H16" s="57"/>
      <c r="I16" s="56" t="s">
        <v>47</v>
      </c>
      <c r="J16" s="52"/>
    </row>
    <row r="17" spans="1:10" x14ac:dyDescent="0.25">
      <c r="A17" s="53">
        <v>45017</v>
      </c>
      <c r="B17" s="59" t="s">
        <v>167</v>
      </c>
      <c r="C17" s="69" t="s">
        <v>91</v>
      </c>
      <c r="D17" s="56" t="s">
        <v>250</v>
      </c>
      <c r="E17" s="61" t="s">
        <v>43</v>
      </c>
      <c r="F17" s="62" t="s">
        <v>405</v>
      </c>
      <c r="G17" s="63" t="s">
        <v>24</v>
      </c>
      <c r="H17" s="57"/>
      <c r="I17" s="56" t="s">
        <v>50</v>
      </c>
      <c r="J17" s="52"/>
    </row>
    <row r="18" spans="1:10" x14ac:dyDescent="0.25">
      <c r="A18" s="53">
        <v>45018</v>
      </c>
      <c r="B18" s="59" t="s">
        <v>168</v>
      </c>
      <c r="C18" s="69" t="s">
        <v>94</v>
      </c>
      <c r="D18" s="56" t="s">
        <v>251</v>
      </c>
      <c r="E18" s="61" t="s">
        <v>45</v>
      </c>
      <c r="F18" s="62" t="s">
        <v>406</v>
      </c>
      <c r="G18" s="63" t="s">
        <v>24</v>
      </c>
      <c r="H18" s="57">
        <v>0.15</v>
      </c>
      <c r="I18" s="56" t="s">
        <v>47</v>
      </c>
      <c r="J18" s="52"/>
    </row>
    <row r="19" spans="1:10" x14ac:dyDescent="0.25">
      <c r="A19" s="53">
        <v>45047</v>
      </c>
      <c r="B19" s="59" t="s">
        <v>169</v>
      </c>
      <c r="C19" s="69" t="s">
        <v>94</v>
      </c>
      <c r="D19" s="56" t="s">
        <v>252</v>
      </c>
      <c r="E19" s="61" t="s">
        <v>44</v>
      </c>
      <c r="F19" s="62" t="s">
        <v>407</v>
      </c>
      <c r="G19" s="63" t="s">
        <v>23</v>
      </c>
      <c r="H19" s="57">
        <v>0.05</v>
      </c>
      <c r="I19" s="56" t="s">
        <v>47</v>
      </c>
      <c r="J19" s="52"/>
    </row>
    <row r="20" spans="1:10" x14ac:dyDescent="0.25">
      <c r="A20" s="53">
        <v>45048</v>
      </c>
      <c r="B20" s="59" t="s">
        <v>338</v>
      </c>
      <c r="C20" s="69" t="s">
        <v>94</v>
      </c>
      <c r="D20" s="56" t="s">
        <v>253</v>
      </c>
      <c r="E20" s="61" t="s">
        <v>41</v>
      </c>
      <c r="F20" s="62" t="s">
        <v>408</v>
      </c>
      <c r="G20" s="63" t="s">
        <v>24</v>
      </c>
      <c r="H20" s="57"/>
      <c r="I20" s="56" t="s">
        <v>48</v>
      </c>
      <c r="J20" s="52"/>
    </row>
    <row r="21" spans="1:10" x14ac:dyDescent="0.25">
      <c r="A21" s="53">
        <v>45049</v>
      </c>
      <c r="B21" s="59" t="s">
        <v>170</v>
      </c>
      <c r="C21" s="69" t="s">
        <v>94</v>
      </c>
      <c r="D21" s="56" t="s">
        <v>254</v>
      </c>
      <c r="E21" s="61" t="s">
        <v>43</v>
      </c>
      <c r="F21" s="62" t="s">
        <v>409</v>
      </c>
      <c r="G21" s="63" t="s">
        <v>24</v>
      </c>
      <c r="H21" s="57"/>
      <c r="I21" s="56" t="s">
        <v>49</v>
      </c>
      <c r="J21" s="52"/>
    </row>
    <row r="22" spans="1:10" x14ac:dyDescent="0.25">
      <c r="A22" s="53">
        <v>45078</v>
      </c>
      <c r="B22" s="59" t="s">
        <v>171</v>
      </c>
      <c r="C22" s="69" t="s">
        <v>94</v>
      </c>
      <c r="D22" s="56" t="s">
        <v>255</v>
      </c>
      <c r="E22" s="61" t="s">
        <v>44</v>
      </c>
      <c r="F22" s="62" t="s">
        <v>410</v>
      </c>
      <c r="G22" s="63" t="s">
        <v>23</v>
      </c>
      <c r="H22" s="57"/>
      <c r="I22" s="56" t="s">
        <v>47</v>
      </c>
      <c r="J22" s="52"/>
    </row>
    <row r="23" spans="1:10" x14ac:dyDescent="0.25">
      <c r="A23" s="53">
        <v>44927</v>
      </c>
      <c r="B23" s="59" t="s">
        <v>172</v>
      </c>
      <c r="C23" s="69" t="s">
        <v>94</v>
      </c>
      <c r="D23" s="56" t="s">
        <v>256</v>
      </c>
      <c r="E23" s="61" t="s">
        <v>43</v>
      </c>
      <c r="F23" s="62" t="s">
        <v>411</v>
      </c>
      <c r="G23" s="63" t="s">
        <v>24</v>
      </c>
      <c r="H23" s="57"/>
      <c r="I23" s="56" t="s">
        <v>50</v>
      </c>
      <c r="J23" s="52"/>
    </row>
    <row r="24" spans="1:10" x14ac:dyDescent="0.25">
      <c r="A24" s="53">
        <v>44928</v>
      </c>
      <c r="B24" s="59" t="s">
        <v>173</v>
      </c>
      <c r="C24" s="69" t="s">
        <v>90</v>
      </c>
      <c r="D24" s="56" t="s">
        <v>257</v>
      </c>
      <c r="E24" s="61" t="s">
        <v>45</v>
      </c>
      <c r="F24" s="62" t="s">
        <v>412</v>
      </c>
      <c r="G24" s="63" t="s">
        <v>24</v>
      </c>
      <c r="H24" s="57"/>
      <c r="I24" s="56" t="s">
        <v>51</v>
      </c>
      <c r="J24" s="52"/>
    </row>
    <row r="25" spans="1:10" x14ac:dyDescent="0.25">
      <c r="A25" s="53">
        <v>44929</v>
      </c>
      <c r="B25" s="59" t="s">
        <v>174</v>
      </c>
      <c r="C25" s="69" t="s">
        <v>94</v>
      </c>
      <c r="D25" s="56" t="s">
        <v>258</v>
      </c>
      <c r="E25" s="61" t="s">
        <v>44</v>
      </c>
      <c r="F25" s="62" t="s">
        <v>413</v>
      </c>
      <c r="G25" s="63" t="s">
        <v>23</v>
      </c>
      <c r="H25" s="57">
        <v>0.05</v>
      </c>
      <c r="I25" s="56" t="s">
        <v>48</v>
      </c>
      <c r="J25" s="52"/>
    </row>
    <row r="26" spans="1:10" x14ac:dyDescent="0.25">
      <c r="A26" s="53">
        <v>44930</v>
      </c>
      <c r="B26" s="59" t="s">
        <v>175</v>
      </c>
      <c r="C26" s="69" t="s">
        <v>94</v>
      </c>
      <c r="D26" s="56" t="s">
        <v>259</v>
      </c>
      <c r="E26" s="61" t="s">
        <v>41</v>
      </c>
      <c r="F26" s="70">
        <v>59900888990</v>
      </c>
      <c r="G26" s="63" t="s">
        <v>24</v>
      </c>
      <c r="H26" s="57"/>
      <c r="I26" s="56" t="s">
        <v>49</v>
      </c>
      <c r="J26" s="52"/>
    </row>
    <row r="27" spans="1:10" x14ac:dyDescent="0.25">
      <c r="A27" s="53">
        <v>45139</v>
      </c>
      <c r="B27" s="59" t="s">
        <v>176</v>
      </c>
      <c r="C27" s="69" t="s">
        <v>94</v>
      </c>
      <c r="D27" s="56" t="s">
        <v>260</v>
      </c>
      <c r="E27" s="61" t="s">
        <v>44</v>
      </c>
      <c r="F27" s="62" t="s">
        <v>414</v>
      </c>
      <c r="G27" s="63" t="s">
        <v>24</v>
      </c>
      <c r="H27" s="57"/>
      <c r="I27" s="56" t="s">
        <v>47</v>
      </c>
      <c r="J27" s="52"/>
    </row>
    <row r="28" spans="1:10" x14ac:dyDescent="0.25">
      <c r="A28" s="53">
        <v>45170</v>
      </c>
      <c r="B28" s="59" t="s">
        <v>177</v>
      </c>
      <c r="C28" s="69" t="s">
        <v>93</v>
      </c>
      <c r="D28" s="56" t="s">
        <v>261</v>
      </c>
      <c r="E28" s="61" t="s">
        <v>43</v>
      </c>
      <c r="F28" s="62" t="s">
        <v>415</v>
      </c>
      <c r="G28" s="63" t="s">
        <v>24</v>
      </c>
      <c r="H28" s="57"/>
      <c r="I28" s="56" t="s">
        <v>50</v>
      </c>
      <c r="J28" s="52"/>
    </row>
    <row r="29" spans="1:10" x14ac:dyDescent="0.25">
      <c r="A29" s="53">
        <v>45200</v>
      </c>
      <c r="B29" s="59" t="s">
        <v>178</v>
      </c>
      <c r="C29" s="69" t="s">
        <v>90</v>
      </c>
      <c r="D29" s="56" t="s">
        <v>262</v>
      </c>
      <c r="E29" s="61" t="s">
        <v>45</v>
      </c>
      <c r="F29" s="62" t="s">
        <v>416</v>
      </c>
      <c r="G29" s="63" t="s">
        <v>23</v>
      </c>
      <c r="H29" s="57">
        <v>0.1</v>
      </c>
      <c r="I29" s="56" t="s">
        <v>47</v>
      </c>
      <c r="J29" s="52"/>
    </row>
    <row r="30" spans="1:10" x14ac:dyDescent="0.25">
      <c r="A30" s="53">
        <v>45231</v>
      </c>
      <c r="B30" s="59" t="s">
        <v>339</v>
      </c>
      <c r="C30" s="69" t="s">
        <v>94</v>
      </c>
      <c r="D30" s="56" t="s">
        <v>263</v>
      </c>
      <c r="E30" s="61" t="s">
        <v>44</v>
      </c>
      <c r="F30" s="62" t="s">
        <v>417</v>
      </c>
      <c r="G30" s="63" t="s">
        <v>24</v>
      </c>
      <c r="H30" s="57">
        <v>0.1</v>
      </c>
      <c r="I30" s="56" t="s">
        <v>48</v>
      </c>
      <c r="J30" s="52"/>
    </row>
    <row r="31" spans="1:10" x14ac:dyDescent="0.25">
      <c r="A31" s="53">
        <v>45232</v>
      </c>
      <c r="B31" s="59" t="s">
        <v>179</v>
      </c>
      <c r="C31" s="69" t="s">
        <v>94</v>
      </c>
      <c r="D31" s="56" t="s">
        <v>264</v>
      </c>
      <c r="E31" s="61" t="s">
        <v>41</v>
      </c>
      <c r="F31" s="62" t="s">
        <v>418</v>
      </c>
      <c r="G31" s="63" t="s">
        <v>24</v>
      </c>
      <c r="H31" s="57"/>
      <c r="I31" s="56" t="s">
        <v>47</v>
      </c>
      <c r="J31" s="52"/>
    </row>
    <row r="32" spans="1:10" x14ac:dyDescent="0.25">
      <c r="A32" s="53">
        <v>45233</v>
      </c>
      <c r="B32" s="59" t="s">
        <v>180</v>
      </c>
      <c r="C32" s="69" t="s">
        <v>94</v>
      </c>
      <c r="D32" s="56" t="s">
        <v>265</v>
      </c>
      <c r="E32" s="61" t="s">
        <v>43</v>
      </c>
      <c r="F32" s="62" t="s">
        <v>419</v>
      </c>
      <c r="G32" s="63" t="s">
        <v>23</v>
      </c>
      <c r="H32" s="57"/>
      <c r="I32" s="56" t="s">
        <v>50</v>
      </c>
      <c r="J32" s="52"/>
    </row>
    <row r="33" spans="1:10" x14ac:dyDescent="0.25">
      <c r="A33" s="53">
        <v>45234</v>
      </c>
      <c r="B33" s="59" t="s">
        <v>181</v>
      </c>
      <c r="C33" s="69" t="s">
        <v>90</v>
      </c>
      <c r="D33" s="56" t="s">
        <v>266</v>
      </c>
      <c r="E33" s="61" t="s">
        <v>45</v>
      </c>
      <c r="F33" s="62" t="s">
        <v>420</v>
      </c>
      <c r="G33" s="63" t="s">
        <v>24</v>
      </c>
      <c r="H33" s="57"/>
      <c r="I33" s="56" t="s">
        <v>47</v>
      </c>
      <c r="J33" s="52"/>
    </row>
    <row r="34" spans="1:10" x14ac:dyDescent="0.25">
      <c r="A34" s="53">
        <v>45261</v>
      </c>
      <c r="B34" s="59" t="s">
        <v>182</v>
      </c>
      <c r="C34" s="69" t="s">
        <v>94</v>
      </c>
      <c r="D34" s="56" t="s">
        <v>267</v>
      </c>
      <c r="E34" s="61" t="s">
        <v>44</v>
      </c>
      <c r="F34" s="62" t="s">
        <v>421</v>
      </c>
      <c r="G34" s="63" t="s">
        <v>26</v>
      </c>
      <c r="H34" s="57">
        <v>0.15</v>
      </c>
      <c r="I34" s="56" t="s">
        <v>51</v>
      </c>
      <c r="J34" s="52"/>
    </row>
    <row r="35" spans="1:10" x14ac:dyDescent="0.25">
      <c r="A35" s="53">
        <v>45261</v>
      </c>
      <c r="B35" s="59" t="s">
        <v>183</v>
      </c>
      <c r="C35" s="69" t="s">
        <v>91</v>
      </c>
      <c r="D35" s="56" t="s">
        <v>268</v>
      </c>
      <c r="E35" s="61" t="s">
        <v>41</v>
      </c>
      <c r="F35" s="62" t="s">
        <v>422</v>
      </c>
      <c r="G35" s="63" t="s">
        <v>24</v>
      </c>
      <c r="H35" s="57">
        <v>0.15</v>
      </c>
      <c r="I35" s="56" t="s">
        <v>49</v>
      </c>
      <c r="J35" s="52"/>
    </row>
    <row r="36" spans="1:10" x14ac:dyDescent="0.25">
      <c r="A36" s="53">
        <v>45261</v>
      </c>
      <c r="B36" s="59" t="s">
        <v>184</v>
      </c>
      <c r="C36" s="69" t="s">
        <v>94</v>
      </c>
      <c r="D36" s="56" t="s">
        <v>269</v>
      </c>
      <c r="E36" s="61" t="s">
        <v>42</v>
      </c>
      <c r="F36" s="62" t="s">
        <v>423</v>
      </c>
      <c r="G36" s="63" t="s">
        <v>24</v>
      </c>
      <c r="H36" s="57"/>
      <c r="I36" s="56" t="s">
        <v>47</v>
      </c>
      <c r="J36" s="52"/>
    </row>
    <row r="37" spans="1:10" x14ac:dyDescent="0.25">
      <c r="A37" s="53">
        <v>45262</v>
      </c>
      <c r="B37" s="59" t="s">
        <v>185</v>
      </c>
      <c r="C37" s="69" t="s">
        <v>94</v>
      </c>
      <c r="D37" s="56" t="s">
        <v>270</v>
      </c>
      <c r="E37" s="61" t="s">
        <v>41</v>
      </c>
      <c r="F37" s="62" t="s">
        <v>424</v>
      </c>
      <c r="G37" s="63" t="s">
        <v>24</v>
      </c>
      <c r="H37" s="57"/>
      <c r="I37" s="56" t="s">
        <v>47</v>
      </c>
      <c r="J37" s="52"/>
    </row>
    <row r="38" spans="1:10" x14ac:dyDescent="0.25">
      <c r="A38" s="53">
        <v>45262</v>
      </c>
      <c r="B38" s="59" t="s">
        <v>186</v>
      </c>
      <c r="C38" s="69" t="s">
        <v>91</v>
      </c>
      <c r="D38" s="56" t="s">
        <v>271</v>
      </c>
      <c r="E38" s="61" t="s">
        <v>43</v>
      </c>
      <c r="F38" s="70">
        <v>58900888990</v>
      </c>
      <c r="G38" s="63" t="s">
        <v>26</v>
      </c>
      <c r="H38" s="57"/>
      <c r="I38" s="56" t="s">
        <v>50</v>
      </c>
      <c r="J38" s="52"/>
    </row>
    <row r="39" spans="1:10" x14ac:dyDescent="0.25">
      <c r="A39" s="53">
        <v>45262</v>
      </c>
      <c r="B39" s="59" t="s">
        <v>187</v>
      </c>
      <c r="C39" s="69" t="s">
        <v>94</v>
      </c>
      <c r="D39" s="56" t="s">
        <v>272</v>
      </c>
      <c r="E39" s="61" t="s">
        <v>45</v>
      </c>
      <c r="F39" s="62" t="s">
        <v>425</v>
      </c>
      <c r="G39" s="63" t="s">
        <v>26</v>
      </c>
      <c r="H39" s="57"/>
      <c r="I39" s="56" t="s">
        <v>47</v>
      </c>
      <c r="J39" s="52"/>
    </row>
    <row r="40" spans="1:10" x14ac:dyDescent="0.25">
      <c r="A40" s="53">
        <v>45263</v>
      </c>
      <c r="B40" s="59" t="s">
        <v>340</v>
      </c>
      <c r="C40" s="69" t="e">
        <v>#N/A</v>
      </c>
      <c r="D40" s="56" t="s">
        <v>273</v>
      </c>
      <c r="E40" s="61" t="s">
        <v>44</v>
      </c>
      <c r="F40" s="62" t="s">
        <v>426</v>
      </c>
      <c r="G40" s="63" t="s">
        <v>24</v>
      </c>
      <c r="H40" s="57"/>
      <c r="I40" s="56" t="s">
        <v>48</v>
      </c>
      <c r="J40" s="52"/>
    </row>
    <row r="41" spans="1:10" x14ac:dyDescent="0.25">
      <c r="A41" s="53">
        <v>45263</v>
      </c>
      <c r="B41" s="59" t="s">
        <v>188</v>
      </c>
      <c r="C41" s="69" t="s">
        <v>94</v>
      </c>
      <c r="D41" s="56" t="s">
        <v>274</v>
      </c>
      <c r="E41" s="61" t="s">
        <v>41</v>
      </c>
      <c r="F41" s="62" t="s">
        <v>427</v>
      </c>
      <c r="G41" s="63" t="s">
        <v>26</v>
      </c>
      <c r="H41" s="57"/>
      <c r="I41" s="56" t="s">
        <v>49</v>
      </c>
      <c r="J41" s="52"/>
    </row>
    <row r="42" spans="1:10" x14ac:dyDescent="0.25">
      <c r="A42" s="53">
        <v>45263</v>
      </c>
      <c r="B42" s="59" t="s">
        <v>189</v>
      </c>
      <c r="C42" s="69" t="s">
        <v>90</v>
      </c>
      <c r="D42" s="56" t="s">
        <v>275</v>
      </c>
      <c r="E42" s="61" t="s">
        <v>41</v>
      </c>
      <c r="F42" s="62" t="s">
        <v>428</v>
      </c>
      <c r="G42" s="63" t="s">
        <v>27</v>
      </c>
      <c r="H42" s="57"/>
      <c r="I42" s="56" t="s">
        <v>48</v>
      </c>
      <c r="J42" s="52"/>
    </row>
    <row r="43" spans="1:10" x14ac:dyDescent="0.25">
      <c r="A43" s="53">
        <v>45264</v>
      </c>
      <c r="B43" s="59" t="s">
        <v>190</v>
      </c>
      <c r="C43" s="69" t="s">
        <v>94</v>
      </c>
      <c r="D43" s="56" t="s">
        <v>276</v>
      </c>
      <c r="E43" s="61" t="s">
        <v>42</v>
      </c>
      <c r="F43" s="62" t="s">
        <v>429</v>
      </c>
      <c r="G43" s="63" t="s">
        <v>23</v>
      </c>
      <c r="H43" s="57">
        <v>0.15</v>
      </c>
      <c r="I43" s="56" t="s">
        <v>49</v>
      </c>
      <c r="J43" s="52"/>
    </row>
    <row r="44" spans="1:10" x14ac:dyDescent="0.25">
      <c r="A44" s="53">
        <v>45265</v>
      </c>
      <c r="B44" s="59" t="s">
        <v>191</v>
      </c>
      <c r="C44" s="69" t="s">
        <v>94</v>
      </c>
      <c r="D44" s="56" t="s">
        <v>277</v>
      </c>
      <c r="E44" s="61" t="s">
        <v>43</v>
      </c>
      <c r="F44" s="62" t="s">
        <v>430</v>
      </c>
      <c r="G44" s="63" t="s">
        <v>25</v>
      </c>
      <c r="H44" s="57">
        <v>0.15</v>
      </c>
      <c r="I44" s="56" t="s">
        <v>47</v>
      </c>
      <c r="J44" s="52"/>
    </row>
    <row r="45" spans="1:10" x14ac:dyDescent="0.25">
      <c r="A45" s="53">
        <v>45266</v>
      </c>
      <c r="B45" s="59" t="s">
        <v>192</v>
      </c>
      <c r="C45" s="69" t="s">
        <v>94</v>
      </c>
      <c r="D45" s="56" t="s">
        <v>278</v>
      </c>
      <c r="E45" s="61" t="s">
        <v>45</v>
      </c>
      <c r="F45" s="62" t="s">
        <v>431</v>
      </c>
      <c r="G45" s="63" t="s">
        <v>23</v>
      </c>
      <c r="H45" s="57">
        <v>0.15</v>
      </c>
      <c r="I45" s="56" t="s">
        <v>50</v>
      </c>
      <c r="J45" s="52"/>
    </row>
    <row r="46" spans="1:10" x14ac:dyDescent="0.25">
      <c r="A46" s="53">
        <v>45261</v>
      </c>
      <c r="B46" s="59" t="s">
        <v>193</v>
      </c>
      <c r="C46" s="69" t="s">
        <v>94</v>
      </c>
      <c r="D46" s="56" t="s">
        <v>279</v>
      </c>
      <c r="E46" s="61" t="s">
        <v>45</v>
      </c>
      <c r="F46" s="62" t="s">
        <v>432</v>
      </c>
      <c r="G46" s="63" t="s">
        <v>25</v>
      </c>
      <c r="H46" s="57">
        <v>0.15</v>
      </c>
      <c r="I46" s="56" t="s">
        <v>47</v>
      </c>
      <c r="J46" s="52"/>
    </row>
    <row r="47" spans="1:10" x14ac:dyDescent="0.25">
      <c r="A47" s="53">
        <v>45261</v>
      </c>
      <c r="B47" s="59" t="s">
        <v>194</v>
      </c>
      <c r="C47" s="69" t="s">
        <v>90</v>
      </c>
      <c r="D47" s="56" t="s">
        <v>280</v>
      </c>
      <c r="E47" s="61" t="s">
        <v>41</v>
      </c>
      <c r="F47" s="62" t="s">
        <v>433</v>
      </c>
      <c r="G47" s="63" t="s">
        <v>24</v>
      </c>
      <c r="H47" s="57"/>
      <c r="I47" s="56" t="s">
        <v>51</v>
      </c>
      <c r="J47" s="52"/>
    </row>
    <row r="48" spans="1:10" x14ac:dyDescent="0.25">
      <c r="A48" s="53">
        <v>45261</v>
      </c>
      <c r="B48" s="59" t="s">
        <v>195</v>
      </c>
      <c r="C48" s="69" t="s">
        <v>94</v>
      </c>
      <c r="D48" s="56" t="s">
        <v>281</v>
      </c>
      <c r="E48" s="61" t="s">
        <v>41</v>
      </c>
      <c r="F48" s="62" t="s">
        <v>434</v>
      </c>
      <c r="G48" s="63" t="s">
        <v>24</v>
      </c>
      <c r="H48" s="57"/>
      <c r="I48" s="56" t="s">
        <v>47</v>
      </c>
      <c r="J48" s="52"/>
    </row>
    <row r="49" spans="1:10" x14ac:dyDescent="0.25">
      <c r="A49" s="53">
        <v>45261</v>
      </c>
      <c r="B49" s="59" t="s">
        <v>196</v>
      </c>
      <c r="C49" s="69" t="s">
        <v>90</v>
      </c>
      <c r="D49" s="56" t="s">
        <v>282</v>
      </c>
      <c r="E49" s="61" t="s">
        <v>42</v>
      </c>
      <c r="F49" s="62" t="s">
        <v>435</v>
      </c>
      <c r="G49" s="63" t="s">
        <v>26</v>
      </c>
      <c r="H49" s="57"/>
      <c r="I49" s="56" t="s">
        <v>50</v>
      </c>
      <c r="J49" s="52"/>
    </row>
    <row r="50" spans="1:10" x14ac:dyDescent="0.25">
      <c r="A50" s="53">
        <v>45268</v>
      </c>
      <c r="B50" s="59" t="s">
        <v>341</v>
      </c>
      <c r="C50" s="69" t="s">
        <v>94</v>
      </c>
      <c r="D50" s="56" t="s">
        <v>283</v>
      </c>
      <c r="E50" s="61" t="s">
        <v>41</v>
      </c>
      <c r="F50" s="70">
        <v>57900888990</v>
      </c>
      <c r="G50" s="63" t="s">
        <v>25</v>
      </c>
      <c r="H50" s="57"/>
      <c r="I50" s="56" t="s">
        <v>47</v>
      </c>
      <c r="J50" s="52"/>
    </row>
    <row r="51" spans="1:10" x14ac:dyDescent="0.25">
      <c r="A51" s="53">
        <v>45269</v>
      </c>
      <c r="B51" s="59" t="s">
        <v>197</v>
      </c>
      <c r="C51" s="69" t="s">
        <v>94</v>
      </c>
      <c r="D51" s="56" t="s">
        <v>284</v>
      </c>
      <c r="E51" s="61" t="s">
        <v>43</v>
      </c>
      <c r="F51" s="62" t="s">
        <v>436</v>
      </c>
      <c r="G51" s="63" t="s">
        <v>23</v>
      </c>
      <c r="H51" s="57"/>
      <c r="I51" s="56" t="s">
        <v>48</v>
      </c>
      <c r="J51" s="52"/>
    </row>
    <row r="52" spans="1:10" x14ac:dyDescent="0.25">
      <c r="A52" s="53">
        <v>45270</v>
      </c>
      <c r="B52" s="59" t="s">
        <v>198</v>
      </c>
      <c r="C52" s="69" t="s">
        <v>94</v>
      </c>
      <c r="D52" s="56" t="s">
        <v>285</v>
      </c>
      <c r="E52" s="61" t="s">
        <v>45</v>
      </c>
      <c r="F52" s="62" t="s">
        <v>437</v>
      </c>
      <c r="G52" s="63" t="s">
        <v>27</v>
      </c>
      <c r="H52" s="57"/>
      <c r="I52" s="56" t="s">
        <v>49</v>
      </c>
      <c r="J52" s="52"/>
    </row>
    <row r="53" spans="1:10" x14ac:dyDescent="0.25">
      <c r="A53" s="53">
        <v>45271</v>
      </c>
      <c r="B53" s="59" t="s">
        <v>199</v>
      </c>
      <c r="C53" s="69" t="s">
        <v>90</v>
      </c>
      <c r="D53" s="56" t="s">
        <v>286</v>
      </c>
      <c r="E53" s="61" t="s">
        <v>44</v>
      </c>
      <c r="F53" s="62" t="s">
        <v>438</v>
      </c>
      <c r="G53" s="63" t="s">
        <v>24</v>
      </c>
      <c r="H53" s="57"/>
      <c r="I53" s="56" t="s">
        <v>47</v>
      </c>
      <c r="J53" s="52"/>
    </row>
    <row r="54" spans="1:10" x14ac:dyDescent="0.25">
      <c r="A54" s="53">
        <v>45272</v>
      </c>
      <c r="B54" s="59" t="s">
        <v>200</v>
      </c>
      <c r="C54" s="69" t="s">
        <v>94</v>
      </c>
      <c r="D54" s="56" t="s">
        <v>287</v>
      </c>
      <c r="E54" s="61" t="s">
        <v>41</v>
      </c>
      <c r="F54" s="62" t="s">
        <v>439</v>
      </c>
      <c r="G54" s="63" t="s">
        <v>26</v>
      </c>
      <c r="H54" s="57"/>
      <c r="I54" s="56" t="s">
        <v>47</v>
      </c>
      <c r="J54" s="52"/>
    </row>
    <row r="55" spans="1:10" x14ac:dyDescent="0.25">
      <c r="A55" s="53">
        <v>45273</v>
      </c>
      <c r="B55" s="59" t="s">
        <v>201</v>
      </c>
      <c r="C55" s="69" t="s">
        <v>94</v>
      </c>
      <c r="D55" s="56" t="s">
        <v>288</v>
      </c>
      <c r="E55" s="61" t="s">
        <v>41</v>
      </c>
      <c r="F55" s="62" t="s">
        <v>440</v>
      </c>
      <c r="G55" s="63" t="s">
        <v>26</v>
      </c>
      <c r="H55" s="57"/>
      <c r="I55" s="56" t="s">
        <v>50</v>
      </c>
      <c r="J55" s="52"/>
    </row>
    <row r="56" spans="1:10" x14ac:dyDescent="0.25">
      <c r="A56" s="53">
        <v>45273</v>
      </c>
      <c r="B56" s="59" t="s">
        <v>202</v>
      </c>
      <c r="C56" s="69" t="s">
        <v>94</v>
      </c>
      <c r="D56" s="56" t="s">
        <v>289</v>
      </c>
      <c r="E56" s="61" t="s">
        <v>42</v>
      </c>
      <c r="F56" s="62" t="s">
        <v>441</v>
      </c>
      <c r="G56" s="63" t="s">
        <v>24</v>
      </c>
      <c r="H56" s="57"/>
      <c r="I56" s="56" t="s">
        <v>47</v>
      </c>
      <c r="J56" s="52"/>
    </row>
    <row r="57" spans="1:10" x14ac:dyDescent="0.25">
      <c r="A57" s="53">
        <v>45273</v>
      </c>
      <c r="B57" s="59" t="s">
        <v>203</v>
      </c>
      <c r="C57" s="69" t="s">
        <v>94</v>
      </c>
      <c r="D57" s="56" t="s">
        <v>290</v>
      </c>
      <c r="E57" s="61" t="s">
        <v>43</v>
      </c>
      <c r="F57" s="62" t="s">
        <v>442</v>
      </c>
      <c r="G57" s="63" t="s">
        <v>24</v>
      </c>
      <c r="H57" s="57"/>
      <c r="I57" s="56" t="s">
        <v>51</v>
      </c>
      <c r="J57" s="52"/>
    </row>
    <row r="58" spans="1:10" x14ac:dyDescent="0.25">
      <c r="A58" s="53">
        <v>45273</v>
      </c>
      <c r="B58" s="59" t="s">
        <v>204</v>
      </c>
      <c r="C58" s="69" t="s">
        <v>94</v>
      </c>
      <c r="D58" s="56" t="s">
        <v>291</v>
      </c>
      <c r="E58" s="61" t="s">
        <v>45</v>
      </c>
      <c r="F58" s="62" t="s">
        <v>443</v>
      </c>
      <c r="G58" s="63" t="s">
        <v>24</v>
      </c>
      <c r="H58" s="57">
        <v>0.15</v>
      </c>
      <c r="I58" s="56" t="s">
        <v>49</v>
      </c>
      <c r="J58" s="52"/>
    </row>
    <row r="59" spans="1:10" x14ac:dyDescent="0.25">
      <c r="A59" s="53">
        <v>45274</v>
      </c>
      <c r="B59" s="59" t="s">
        <v>205</v>
      </c>
      <c r="C59" s="69" t="s">
        <v>94</v>
      </c>
      <c r="D59" s="56" t="s">
        <v>292</v>
      </c>
      <c r="E59" s="61" t="s">
        <v>41</v>
      </c>
      <c r="F59" s="62" t="s">
        <v>444</v>
      </c>
      <c r="G59" s="63" t="s">
        <v>26</v>
      </c>
      <c r="H59" s="57"/>
      <c r="I59" s="56" t="s">
        <v>47</v>
      </c>
      <c r="J59" s="52"/>
    </row>
    <row r="60" spans="1:10" x14ac:dyDescent="0.25">
      <c r="A60" s="53">
        <v>45275</v>
      </c>
      <c r="B60" s="59" t="s">
        <v>342</v>
      </c>
      <c r="C60" s="69" t="s">
        <v>90</v>
      </c>
      <c r="D60" s="56" t="s">
        <v>293</v>
      </c>
      <c r="E60" s="61" t="s">
        <v>41</v>
      </c>
      <c r="F60" s="62" t="s">
        <v>445</v>
      </c>
      <c r="G60" s="63" t="s">
        <v>26</v>
      </c>
      <c r="H60" s="57"/>
      <c r="I60" s="56" t="s">
        <v>47</v>
      </c>
      <c r="J60" s="52"/>
    </row>
    <row r="61" spans="1:10" x14ac:dyDescent="0.25">
      <c r="A61" s="53">
        <v>45276</v>
      </c>
      <c r="B61" s="59" t="s">
        <v>206</v>
      </c>
      <c r="C61" s="69" t="s">
        <v>94</v>
      </c>
      <c r="D61" s="56" t="s">
        <v>294</v>
      </c>
      <c r="E61" s="61" t="s">
        <v>41</v>
      </c>
      <c r="F61" s="62" t="s">
        <v>446</v>
      </c>
      <c r="G61" s="63" t="s">
        <v>24</v>
      </c>
      <c r="H61" s="57"/>
      <c r="I61" s="56" t="s">
        <v>50</v>
      </c>
      <c r="J61" s="52"/>
    </row>
    <row r="62" spans="1:10" x14ac:dyDescent="0.25">
      <c r="A62" s="53">
        <v>45271</v>
      </c>
      <c r="B62" s="59" t="s">
        <v>207</v>
      </c>
      <c r="C62" s="69" t="s">
        <v>94</v>
      </c>
      <c r="D62" s="56" t="s">
        <v>295</v>
      </c>
      <c r="E62" s="61" t="s">
        <v>42</v>
      </c>
      <c r="F62" s="70">
        <v>56900888990</v>
      </c>
      <c r="G62" s="63" t="s">
        <v>26</v>
      </c>
      <c r="H62" s="57"/>
      <c r="I62" s="56" t="s">
        <v>47</v>
      </c>
      <c r="J62" s="52"/>
    </row>
    <row r="63" spans="1:10" x14ac:dyDescent="0.25">
      <c r="A63" s="53">
        <v>45278</v>
      </c>
      <c r="B63" s="59" t="s">
        <v>208</v>
      </c>
      <c r="C63" s="69" t="s">
        <v>94</v>
      </c>
      <c r="D63" s="56" t="s">
        <v>296</v>
      </c>
      <c r="E63" s="61" t="s">
        <v>41</v>
      </c>
      <c r="F63" s="62" t="s">
        <v>447</v>
      </c>
      <c r="G63" s="63" t="s">
        <v>27</v>
      </c>
      <c r="H63" s="57"/>
      <c r="I63" s="56" t="s">
        <v>48</v>
      </c>
      <c r="J63" s="52"/>
    </row>
    <row r="64" spans="1:10" x14ac:dyDescent="0.25">
      <c r="A64" s="53">
        <v>45279</v>
      </c>
      <c r="B64" s="59" t="s">
        <v>209</v>
      </c>
      <c r="C64" s="69" t="s">
        <v>94</v>
      </c>
      <c r="D64" s="56" t="s">
        <v>297</v>
      </c>
      <c r="E64" s="61" t="s">
        <v>43</v>
      </c>
      <c r="F64" s="62" t="s">
        <v>448</v>
      </c>
      <c r="G64" s="63" t="s">
        <v>23</v>
      </c>
      <c r="H64" s="57">
        <v>0.15</v>
      </c>
      <c r="I64" s="56" t="s">
        <v>49</v>
      </c>
      <c r="J64" s="52"/>
    </row>
    <row r="65" spans="1:10" x14ac:dyDescent="0.25">
      <c r="A65" s="53">
        <v>45279</v>
      </c>
      <c r="B65" s="59" t="s">
        <v>210</v>
      </c>
      <c r="C65" s="69" t="s">
        <v>90</v>
      </c>
      <c r="D65" s="56" t="s">
        <v>298</v>
      </c>
      <c r="E65" s="61" t="s">
        <v>45</v>
      </c>
      <c r="F65" s="62" t="s">
        <v>449</v>
      </c>
      <c r="G65" s="63" t="s">
        <v>25</v>
      </c>
      <c r="H65" s="57"/>
      <c r="I65" s="56" t="s">
        <v>47</v>
      </c>
      <c r="J65" s="52"/>
    </row>
    <row r="66" spans="1:10" x14ac:dyDescent="0.25">
      <c r="A66" s="53">
        <v>45280</v>
      </c>
      <c r="B66" s="59" t="s">
        <v>211</v>
      </c>
      <c r="C66" s="69" t="s">
        <v>94</v>
      </c>
      <c r="D66" s="56" t="s">
        <v>299</v>
      </c>
      <c r="E66" s="61" t="s">
        <v>44</v>
      </c>
      <c r="F66" s="62" t="s">
        <v>450</v>
      </c>
      <c r="G66" s="63" t="s">
        <v>23</v>
      </c>
      <c r="H66" s="57"/>
      <c r="I66" s="56" t="s">
        <v>50</v>
      </c>
      <c r="J66" s="52"/>
    </row>
    <row r="67" spans="1:10" x14ac:dyDescent="0.25">
      <c r="A67" s="53">
        <v>45281</v>
      </c>
      <c r="B67" s="59" t="s">
        <v>212</v>
      </c>
      <c r="C67" s="69" t="s">
        <v>94</v>
      </c>
      <c r="D67" s="56" t="s">
        <v>300</v>
      </c>
      <c r="E67" s="61" t="s">
        <v>41</v>
      </c>
      <c r="F67" s="62" t="s">
        <v>451</v>
      </c>
      <c r="G67" s="63" t="s">
        <v>26</v>
      </c>
      <c r="H67" s="57"/>
      <c r="I67" s="56" t="s">
        <v>51</v>
      </c>
      <c r="J67" s="52"/>
    </row>
    <row r="68" spans="1:10" x14ac:dyDescent="0.25">
      <c r="A68" s="53">
        <v>45282</v>
      </c>
      <c r="B68" s="59" t="s">
        <v>213</v>
      </c>
      <c r="C68" s="69" t="s">
        <v>90</v>
      </c>
      <c r="D68" s="56" t="s">
        <v>301</v>
      </c>
      <c r="E68" s="61" t="s">
        <v>41</v>
      </c>
      <c r="F68" s="62" t="s">
        <v>452</v>
      </c>
      <c r="G68" s="63" t="s">
        <v>24</v>
      </c>
      <c r="H68" s="57"/>
      <c r="I68" s="56" t="s">
        <v>48</v>
      </c>
      <c r="J68" s="52"/>
    </row>
    <row r="69" spans="1:10" x14ac:dyDescent="0.25">
      <c r="A69" s="53">
        <v>45283</v>
      </c>
      <c r="B69" s="59" t="s">
        <v>214</v>
      </c>
      <c r="C69" s="69" t="s">
        <v>94</v>
      </c>
      <c r="D69" s="56" t="s">
        <v>302</v>
      </c>
      <c r="E69" s="61" t="s">
        <v>42</v>
      </c>
      <c r="F69" s="62" t="s">
        <v>453</v>
      </c>
      <c r="G69" s="63" t="s">
        <v>24</v>
      </c>
      <c r="H69" s="57"/>
      <c r="I69" s="56" t="s">
        <v>47</v>
      </c>
      <c r="J69" s="52"/>
    </row>
    <row r="70" spans="1:10" x14ac:dyDescent="0.25">
      <c r="A70" s="53">
        <v>45283</v>
      </c>
      <c r="B70" s="59" t="s">
        <v>343</v>
      </c>
      <c r="C70" s="69" t="s">
        <v>94</v>
      </c>
      <c r="D70" s="56" t="s">
        <v>303</v>
      </c>
      <c r="E70" s="61" t="s">
        <v>43</v>
      </c>
      <c r="F70" s="62" t="s">
        <v>454</v>
      </c>
      <c r="G70" s="63" t="s">
        <v>26</v>
      </c>
      <c r="H70" s="57"/>
      <c r="I70" s="56" t="s">
        <v>50</v>
      </c>
      <c r="J70" s="52"/>
    </row>
    <row r="71" spans="1:10" x14ac:dyDescent="0.25">
      <c r="A71" s="53">
        <v>45283</v>
      </c>
      <c r="B71" s="59" t="s">
        <v>215</v>
      </c>
      <c r="C71" s="69" t="s">
        <v>94</v>
      </c>
      <c r="D71" s="56" t="s">
        <v>304</v>
      </c>
      <c r="E71" s="61" t="s">
        <v>45</v>
      </c>
      <c r="F71" s="62" t="s">
        <v>455</v>
      </c>
      <c r="G71" s="63" t="s">
        <v>25</v>
      </c>
      <c r="H71" s="57"/>
      <c r="I71" s="56" t="s">
        <v>47</v>
      </c>
      <c r="J71" s="52"/>
    </row>
    <row r="72" spans="1:10" x14ac:dyDescent="0.25">
      <c r="A72" s="53">
        <v>45284</v>
      </c>
      <c r="B72" s="59" t="s">
        <v>216</v>
      </c>
      <c r="C72" s="69" t="s">
        <v>94</v>
      </c>
      <c r="D72" s="56" t="s">
        <v>305</v>
      </c>
      <c r="E72" s="61" t="s">
        <v>41</v>
      </c>
      <c r="F72" s="62" t="s">
        <v>456</v>
      </c>
      <c r="G72" s="63" t="s">
        <v>23</v>
      </c>
      <c r="H72" s="57"/>
      <c r="I72" s="56" t="s">
        <v>51</v>
      </c>
      <c r="J72" s="52"/>
    </row>
    <row r="73" spans="1:10" x14ac:dyDescent="0.25">
      <c r="A73" s="53">
        <v>45285</v>
      </c>
      <c r="B73" s="59" t="s">
        <v>344</v>
      </c>
      <c r="C73" s="69" t="s">
        <v>90</v>
      </c>
      <c r="D73" s="56" t="s">
        <v>306</v>
      </c>
      <c r="E73" s="61" t="s">
        <v>41</v>
      </c>
      <c r="F73" s="62" t="s">
        <v>457</v>
      </c>
      <c r="G73" s="63" t="s">
        <v>27</v>
      </c>
      <c r="H73" s="57"/>
      <c r="I73" s="56" t="s">
        <v>49</v>
      </c>
      <c r="J73" s="52"/>
    </row>
    <row r="74" spans="1:10" x14ac:dyDescent="0.25">
      <c r="A74" s="53">
        <v>45286</v>
      </c>
      <c r="B74" s="59" t="s">
        <v>345</v>
      </c>
      <c r="C74" s="69" t="s">
        <v>94</v>
      </c>
      <c r="D74" s="56" t="s">
        <v>307</v>
      </c>
      <c r="E74" s="61" t="s">
        <v>41</v>
      </c>
      <c r="F74" s="70">
        <v>55900888990</v>
      </c>
      <c r="G74" s="63" t="s">
        <v>24</v>
      </c>
      <c r="H74" s="57"/>
      <c r="I74" s="56" t="s">
        <v>47</v>
      </c>
      <c r="J74" s="52"/>
    </row>
    <row r="75" spans="1:10" x14ac:dyDescent="0.25">
      <c r="A75" s="53">
        <v>45281</v>
      </c>
      <c r="B75" s="59" t="s">
        <v>346</v>
      </c>
      <c r="C75" s="69" t="s">
        <v>94</v>
      </c>
      <c r="D75" s="56" t="s">
        <v>308</v>
      </c>
      <c r="E75" s="61" t="s">
        <v>42</v>
      </c>
      <c r="F75" s="62" t="s">
        <v>458</v>
      </c>
      <c r="G75" s="63" t="s">
        <v>26</v>
      </c>
      <c r="H75" s="57"/>
      <c r="I75" s="56" t="s">
        <v>50</v>
      </c>
      <c r="J75" s="52"/>
    </row>
    <row r="76" spans="1:10" x14ac:dyDescent="0.25">
      <c r="A76" s="53">
        <v>45288</v>
      </c>
      <c r="B76" s="59" t="s">
        <v>347</v>
      </c>
      <c r="C76" s="69" t="s">
        <v>94</v>
      </c>
      <c r="D76" s="56" t="s">
        <v>309</v>
      </c>
      <c r="E76" s="61" t="s">
        <v>41</v>
      </c>
      <c r="F76" s="62" t="s">
        <v>459</v>
      </c>
      <c r="G76" s="63" t="s">
        <v>26</v>
      </c>
      <c r="H76" s="57"/>
      <c r="I76" s="56" t="s">
        <v>48</v>
      </c>
      <c r="J76" s="52"/>
    </row>
    <row r="77" spans="1:10" x14ac:dyDescent="0.25">
      <c r="A77" s="53">
        <v>45288</v>
      </c>
      <c r="B77" s="59" t="s">
        <v>348</v>
      </c>
      <c r="C77" s="69" t="s">
        <v>90</v>
      </c>
      <c r="D77" s="56" t="s">
        <v>310</v>
      </c>
      <c r="E77" s="61" t="s">
        <v>43</v>
      </c>
      <c r="F77" s="62" t="s">
        <v>460</v>
      </c>
      <c r="G77" s="63" t="s">
        <v>24</v>
      </c>
      <c r="H77" s="57"/>
      <c r="I77" s="56" t="s">
        <v>47</v>
      </c>
      <c r="J77" s="52"/>
    </row>
    <row r="78" spans="1:10" x14ac:dyDescent="0.25">
      <c r="A78" s="53">
        <v>45288</v>
      </c>
      <c r="B78" s="59" t="s">
        <v>349</v>
      </c>
      <c r="C78" s="69" t="s">
        <v>94</v>
      </c>
      <c r="D78" s="56" t="s">
        <v>311</v>
      </c>
      <c r="E78" s="61" t="s">
        <v>45</v>
      </c>
      <c r="F78" s="62" t="s">
        <v>461</v>
      </c>
      <c r="G78" s="63" t="s">
        <v>24</v>
      </c>
      <c r="H78" s="57">
        <v>0.15</v>
      </c>
      <c r="I78" s="56" t="s">
        <v>50</v>
      </c>
      <c r="J78" s="52"/>
    </row>
    <row r="79" spans="1:10" x14ac:dyDescent="0.25">
      <c r="A79" s="53">
        <v>45301</v>
      </c>
      <c r="B79" s="59" t="s">
        <v>350</v>
      </c>
      <c r="C79" s="69" t="s">
        <v>91</v>
      </c>
      <c r="D79" s="56" t="s">
        <v>312</v>
      </c>
      <c r="E79" s="61" t="s">
        <v>44</v>
      </c>
      <c r="F79" s="62" t="s">
        <v>462</v>
      </c>
      <c r="G79" s="63" t="s">
        <v>24</v>
      </c>
      <c r="H79" s="57"/>
      <c r="I79" s="56" t="s">
        <v>47</v>
      </c>
      <c r="J79" s="52"/>
    </row>
    <row r="80" spans="1:10" x14ac:dyDescent="0.25">
      <c r="A80" s="53">
        <v>45302</v>
      </c>
      <c r="B80" s="59" t="s">
        <v>351</v>
      </c>
      <c r="C80" s="69" t="s">
        <v>94</v>
      </c>
      <c r="D80" s="56" t="s">
        <v>313</v>
      </c>
      <c r="E80" s="61" t="s">
        <v>42</v>
      </c>
      <c r="F80" s="62" t="s">
        <v>463</v>
      </c>
      <c r="G80" s="63" t="s">
        <v>26</v>
      </c>
      <c r="H80" s="57"/>
      <c r="I80" s="56" t="s">
        <v>51</v>
      </c>
      <c r="J80" s="52"/>
    </row>
    <row r="81" spans="1:10" x14ac:dyDescent="0.25">
      <c r="A81" s="53">
        <v>45303</v>
      </c>
      <c r="B81" s="59" t="s">
        <v>352</v>
      </c>
      <c r="C81" s="69" t="s">
        <v>94</v>
      </c>
      <c r="D81" s="56" t="s">
        <v>314</v>
      </c>
      <c r="E81" s="61" t="s">
        <v>41</v>
      </c>
      <c r="F81" s="62" t="s">
        <v>464</v>
      </c>
      <c r="G81" s="63" t="s">
        <v>26</v>
      </c>
      <c r="H81" s="57"/>
      <c r="I81" s="56" t="s">
        <v>49</v>
      </c>
      <c r="J81" s="52"/>
    </row>
    <row r="82" spans="1:10" x14ac:dyDescent="0.25">
      <c r="A82" s="53">
        <v>45304</v>
      </c>
      <c r="B82" s="59" t="s">
        <v>353</v>
      </c>
      <c r="C82" s="69" t="s">
        <v>91</v>
      </c>
      <c r="D82" s="56" t="s">
        <v>315</v>
      </c>
      <c r="E82" s="61" t="s">
        <v>41</v>
      </c>
      <c r="F82" s="62" t="s">
        <v>465</v>
      </c>
      <c r="G82" s="63" t="s">
        <v>24</v>
      </c>
      <c r="H82" s="57"/>
      <c r="I82" s="56" t="s">
        <v>47</v>
      </c>
      <c r="J82" s="52"/>
    </row>
    <row r="83" spans="1:10" x14ac:dyDescent="0.25">
      <c r="A83" s="53">
        <v>45304</v>
      </c>
      <c r="B83" s="59" t="s">
        <v>217</v>
      </c>
      <c r="C83" s="69" t="s">
        <v>94</v>
      </c>
      <c r="D83" s="56" t="s">
        <v>316</v>
      </c>
      <c r="E83" s="61" t="s">
        <v>42</v>
      </c>
      <c r="F83" s="62" t="s">
        <v>466</v>
      </c>
      <c r="G83" s="63" t="s">
        <v>26</v>
      </c>
      <c r="H83" s="57"/>
      <c r="I83" s="56" t="s">
        <v>50</v>
      </c>
      <c r="J83" s="52"/>
    </row>
    <row r="84" spans="1:10" x14ac:dyDescent="0.25">
      <c r="A84" s="53">
        <v>45304</v>
      </c>
      <c r="B84" s="59" t="s">
        <v>218</v>
      </c>
      <c r="C84" s="69" t="e">
        <v>#N/A</v>
      </c>
      <c r="D84" s="56" t="s">
        <v>317</v>
      </c>
      <c r="E84" s="61" t="s">
        <v>42</v>
      </c>
      <c r="F84" s="62" t="s">
        <v>467</v>
      </c>
      <c r="G84" s="63" t="s">
        <v>27</v>
      </c>
      <c r="H84" s="57"/>
      <c r="I84" s="56" t="s">
        <v>48</v>
      </c>
      <c r="J84" s="52"/>
    </row>
    <row r="85" spans="1:10" x14ac:dyDescent="0.25">
      <c r="A85" s="53">
        <v>45307</v>
      </c>
      <c r="B85" s="59" t="s">
        <v>219</v>
      </c>
      <c r="C85" s="69" t="s">
        <v>94</v>
      </c>
      <c r="D85" s="56" t="s">
        <v>318</v>
      </c>
      <c r="E85" s="61" t="s">
        <v>41</v>
      </c>
      <c r="F85" s="62" t="s">
        <v>468</v>
      </c>
      <c r="G85" s="63" t="s">
        <v>23</v>
      </c>
      <c r="H85" s="57"/>
      <c r="I85" s="56" t="s">
        <v>51</v>
      </c>
      <c r="J85" s="52"/>
    </row>
    <row r="86" spans="1:10" x14ac:dyDescent="0.25">
      <c r="A86" s="53">
        <v>45307</v>
      </c>
      <c r="B86" s="59" t="s">
        <v>220</v>
      </c>
      <c r="C86" s="69" t="s">
        <v>90</v>
      </c>
      <c r="D86" s="56" t="s">
        <v>319</v>
      </c>
      <c r="E86" s="61" t="s">
        <v>43</v>
      </c>
      <c r="F86" s="70">
        <v>54900888990</v>
      </c>
      <c r="G86" s="63" t="s">
        <v>25</v>
      </c>
      <c r="H86" s="57">
        <v>0.15</v>
      </c>
      <c r="I86" s="56" t="s">
        <v>49</v>
      </c>
      <c r="J86" s="52"/>
    </row>
    <row r="87" spans="1:10" x14ac:dyDescent="0.25">
      <c r="A87" s="53">
        <v>45309</v>
      </c>
      <c r="B87" s="59" t="s">
        <v>221</v>
      </c>
      <c r="C87" s="69" t="s">
        <v>94</v>
      </c>
      <c r="D87" s="56" t="s">
        <v>320</v>
      </c>
      <c r="E87" s="61" t="s">
        <v>45</v>
      </c>
      <c r="F87" s="62" t="s">
        <v>469</v>
      </c>
      <c r="G87" s="63" t="s">
        <v>23</v>
      </c>
      <c r="H87" s="57"/>
      <c r="I87" s="56" t="s">
        <v>47</v>
      </c>
      <c r="J87" s="52"/>
    </row>
    <row r="88" spans="1:10" x14ac:dyDescent="0.25">
      <c r="A88" s="53">
        <v>45310</v>
      </c>
      <c r="B88" s="59" t="s">
        <v>222</v>
      </c>
      <c r="C88" s="69" t="s">
        <v>94</v>
      </c>
      <c r="D88" s="56" t="s">
        <v>321</v>
      </c>
      <c r="E88" s="61" t="s">
        <v>44</v>
      </c>
      <c r="F88" s="62" t="s">
        <v>470</v>
      </c>
      <c r="G88" s="63" t="s">
        <v>26</v>
      </c>
      <c r="H88" s="57"/>
      <c r="I88" s="56" t="s">
        <v>50</v>
      </c>
      <c r="J88" s="52"/>
    </row>
    <row r="89" spans="1:10" x14ac:dyDescent="0.25">
      <c r="A89" s="53">
        <v>45311</v>
      </c>
      <c r="B89" s="59" t="s">
        <v>223</v>
      </c>
      <c r="C89" s="69" t="s">
        <v>94</v>
      </c>
      <c r="D89" s="56" t="s">
        <v>322</v>
      </c>
      <c r="E89" s="61" t="s">
        <v>41</v>
      </c>
      <c r="F89" s="62" t="s">
        <v>471</v>
      </c>
      <c r="G89" s="63" t="s">
        <v>24</v>
      </c>
      <c r="H89" s="57"/>
      <c r="I89" s="56" t="s">
        <v>47</v>
      </c>
      <c r="J89" s="52"/>
    </row>
    <row r="90" spans="1:10" x14ac:dyDescent="0.25">
      <c r="A90" s="53">
        <v>45311</v>
      </c>
      <c r="B90" s="59" t="s">
        <v>354</v>
      </c>
      <c r="C90" s="69" t="s">
        <v>94</v>
      </c>
      <c r="D90" s="56" t="s">
        <v>323</v>
      </c>
      <c r="E90" s="61" t="s">
        <v>41</v>
      </c>
      <c r="F90" s="62" t="s">
        <v>472</v>
      </c>
      <c r="G90" s="63" t="s">
        <v>24</v>
      </c>
      <c r="H90" s="57"/>
      <c r="I90" s="56" t="s">
        <v>48</v>
      </c>
      <c r="J90" s="52"/>
    </row>
    <row r="91" spans="1:10" x14ac:dyDescent="0.25">
      <c r="A91" s="53">
        <v>45311</v>
      </c>
      <c r="B91" s="59" t="s">
        <v>224</v>
      </c>
      <c r="C91" s="69" t="s">
        <v>90</v>
      </c>
      <c r="D91" s="56" t="s">
        <v>324</v>
      </c>
      <c r="E91" s="61" t="s">
        <v>42</v>
      </c>
      <c r="F91" s="62" t="s">
        <v>473</v>
      </c>
      <c r="G91" s="63" t="s">
        <v>26</v>
      </c>
      <c r="H91" s="57"/>
      <c r="I91" s="56" t="s">
        <v>49</v>
      </c>
      <c r="J91" s="52"/>
    </row>
    <row r="92" spans="1:10" x14ac:dyDescent="0.25">
      <c r="A92" s="53">
        <v>45314</v>
      </c>
      <c r="B92" s="59" t="s">
        <v>225</v>
      </c>
      <c r="C92" s="69" t="s">
        <v>94</v>
      </c>
      <c r="D92" s="56" t="s">
        <v>325</v>
      </c>
      <c r="E92" s="61" t="s">
        <v>43</v>
      </c>
      <c r="F92" s="62" t="s">
        <v>474</v>
      </c>
      <c r="G92" s="63" t="s">
        <v>25</v>
      </c>
      <c r="H92" s="57"/>
      <c r="I92" s="56" t="s">
        <v>47</v>
      </c>
      <c r="J92" s="52"/>
    </row>
    <row r="93" spans="1:10" x14ac:dyDescent="0.25">
      <c r="A93" s="53">
        <v>45314</v>
      </c>
      <c r="B93" s="59" t="s">
        <v>226</v>
      </c>
      <c r="C93" s="69" t="s">
        <v>94</v>
      </c>
      <c r="D93" s="56" t="s">
        <v>326</v>
      </c>
      <c r="E93" s="61" t="s">
        <v>45</v>
      </c>
      <c r="F93" s="62" t="s">
        <v>475</v>
      </c>
      <c r="G93" s="63" t="s">
        <v>23</v>
      </c>
      <c r="H93" s="57"/>
      <c r="I93" s="56" t="s">
        <v>50</v>
      </c>
      <c r="J93" s="52"/>
    </row>
    <row r="94" spans="1:10" x14ac:dyDescent="0.25">
      <c r="A94" s="53">
        <v>45316</v>
      </c>
      <c r="B94" s="59" t="s">
        <v>227</v>
      </c>
      <c r="C94" s="69" t="s">
        <v>94</v>
      </c>
      <c r="D94" s="56" t="s">
        <v>327</v>
      </c>
      <c r="E94" s="61" t="s">
        <v>42</v>
      </c>
      <c r="F94" s="62" t="s">
        <v>476</v>
      </c>
      <c r="G94" s="63" t="s">
        <v>27</v>
      </c>
      <c r="H94" s="57"/>
      <c r="I94" s="56" t="s">
        <v>51</v>
      </c>
      <c r="J94" s="52"/>
    </row>
    <row r="95" spans="1:10" x14ac:dyDescent="0.25">
      <c r="A95" s="53">
        <v>45317</v>
      </c>
      <c r="B95" s="59" t="s">
        <v>228</v>
      </c>
      <c r="C95" s="69" t="s">
        <v>90</v>
      </c>
      <c r="D95" s="56" t="s">
        <v>328</v>
      </c>
      <c r="E95" s="61" t="s">
        <v>41</v>
      </c>
      <c r="F95" s="62" t="s">
        <v>477</v>
      </c>
      <c r="G95" s="63" t="s">
        <v>24</v>
      </c>
      <c r="H95" s="57">
        <v>0.15</v>
      </c>
      <c r="I95" s="56" t="s">
        <v>48</v>
      </c>
      <c r="J95" s="52"/>
    </row>
    <row r="96" spans="1:10" x14ac:dyDescent="0.25">
      <c r="A96" s="53">
        <v>45312</v>
      </c>
      <c r="B96" s="59" t="s">
        <v>229</v>
      </c>
      <c r="C96" s="69" t="s">
        <v>94</v>
      </c>
      <c r="D96" s="56" t="s">
        <v>329</v>
      </c>
      <c r="E96" s="61" t="s">
        <v>42</v>
      </c>
      <c r="F96" s="62" t="s">
        <v>478</v>
      </c>
      <c r="G96" s="63" t="s">
        <v>26</v>
      </c>
      <c r="H96" s="57"/>
      <c r="I96" s="56" t="s">
        <v>49</v>
      </c>
      <c r="J96" s="52"/>
    </row>
    <row r="97" spans="1:10" x14ac:dyDescent="0.25">
      <c r="A97" s="53">
        <v>45312</v>
      </c>
      <c r="B97" s="59" t="s">
        <v>230</v>
      </c>
      <c r="C97" s="69" t="s">
        <v>90</v>
      </c>
      <c r="D97" s="56" t="s">
        <v>330</v>
      </c>
      <c r="E97" s="61" t="s">
        <v>42</v>
      </c>
      <c r="F97" s="62" t="s">
        <v>479</v>
      </c>
      <c r="G97" s="63" t="s">
        <v>24</v>
      </c>
      <c r="H97" s="57"/>
      <c r="I97" s="56" t="s">
        <v>47</v>
      </c>
      <c r="J97" s="52"/>
    </row>
    <row r="98" spans="1:10" x14ac:dyDescent="0.25">
      <c r="A98" s="53">
        <v>45312</v>
      </c>
      <c r="B98" s="59" t="s">
        <v>231</v>
      </c>
      <c r="C98" s="69" t="s">
        <v>94</v>
      </c>
      <c r="D98" s="56" t="s">
        <v>331</v>
      </c>
      <c r="E98" s="61" t="s">
        <v>41</v>
      </c>
      <c r="F98" s="70">
        <v>53900888990</v>
      </c>
      <c r="G98" s="63" t="s">
        <v>24</v>
      </c>
      <c r="H98" s="57"/>
      <c r="I98" s="56" t="s">
        <v>50</v>
      </c>
      <c r="J98" s="52"/>
    </row>
    <row r="99" spans="1:10" x14ac:dyDescent="0.25">
      <c r="A99" s="53">
        <v>45321</v>
      </c>
      <c r="B99" s="59" t="s">
        <v>232</v>
      </c>
      <c r="C99" s="69" t="s">
        <v>94</v>
      </c>
      <c r="D99" s="56" t="s">
        <v>332</v>
      </c>
      <c r="E99" s="61" t="s">
        <v>43</v>
      </c>
      <c r="F99" s="62" t="s">
        <v>480</v>
      </c>
      <c r="G99" s="63" t="s">
        <v>24</v>
      </c>
      <c r="H99" s="57"/>
      <c r="I99" s="56" t="s">
        <v>47</v>
      </c>
      <c r="J99" s="52"/>
    </row>
    <row r="100" spans="1:10" x14ac:dyDescent="0.25">
      <c r="A100" s="53">
        <v>45322</v>
      </c>
      <c r="B100" s="59" t="s">
        <v>355</v>
      </c>
      <c r="C100" s="69" t="s">
        <v>92</v>
      </c>
      <c r="D100" s="56" t="s">
        <v>333</v>
      </c>
      <c r="E100" s="61" t="s">
        <v>45</v>
      </c>
      <c r="F100" s="62" t="s">
        <v>481</v>
      </c>
      <c r="G100" s="63" t="s">
        <v>26</v>
      </c>
      <c r="H100" s="57">
        <v>0.15</v>
      </c>
      <c r="I100" s="56" t="s">
        <v>51</v>
      </c>
      <c r="J100" s="52"/>
    </row>
    <row r="101" spans="1:10" x14ac:dyDescent="0.25">
      <c r="A101" s="53">
        <v>45323</v>
      </c>
      <c r="B101" s="59" t="s">
        <v>233</v>
      </c>
      <c r="C101" s="69" t="s">
        <v>94</v>
      </c>
      <c r="D101" s="56" t="s">
        <v>334</v>
      </c>
      <c r="E101" s="61" t="s">
        <v>44</v>
      </c>
      <c r="F101" s="62" t="s">
        <v>482</v>
      </c>
      <c r="G101" s="63" t="s">
        <v>26</v>
      </c>
      <c r="H101" s="57"/>
      <c r="I101" s="56" t="s">
        <v>49</v>
      </c>
      <c r="J101" s="52"/>
    </row>
    <row r="102" spans="1:10" x14ac:dyDescent="0.25">
      <c r="A102" s="53">
        <v>45323</v>
      </c>
      <c r="B102" s="59" t="s">
        <v>234</v>
      </c>
      <c r="C102" s="69" t="s">
        <v>94</v>
      </c>
      <c r="D102" s="56" t="s">
        <v>335</v>
      </c>
      <c r="E102" s="61" t="s">
        <v>42</v>
      </c>
      <c r="F102" s="62" t="s">
        <v>483</v>
      </c>
      <c r="G102" s="63" t="s">
        <v>24</v>
      </c>
      <c r="H102" s="57"/>
      <c r="I102" s="56" t="s">
        <v>47</v>
      </c>
      <c r="J102" s="52"/>
    </row>
    <row r="103" spans="1:10" x14ac:dyDescent="0.25">
      <c r="A103" s="53">
        <v>45325</v>
      </c>
      <c r="B103" s="59" t="s">
        <v>235</v>
      </c>
      <c r="C103" s="69" t="s">
        <v>94</v>
      </c>
      <c r="D103" s="56" t="s">
        <v>336</v>
      </c>
      <c r="E103" s="61" t="s">
        <v>41</v>
      </c>
      <c r="F103" s="62" t="s">
        <v>484</v>
      </c>
      <c r="G103" s="63" t="s">
        <v>26</v>
      </c>
      <c r="H103" s="57"/>
      <c r="I103" s="56" t="s">
        <v>50</v>
      </c>
      <c r="J103" s="52"/>
    </row>
  </sheetData>
  <phoneticPr fontId="4"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3786-4797-4595-B7F4-E827DC443E53}">
  <dimension ref="A2:K768"/>
  <sheetViews>
    <sheetView showRowColHeaders="0" workbookViewId="0">
      <pane ySplit="3" topLeftCell="A4" activePane="bottomLeft" state="frozen"/>
      <selection pane="bottomLeft" activeCell="A4" sqref="A4"/>
    </sheetView>
  </sheetViews>
  <sheetFormatPr defaultColWidth="8.85546875" defaultRowHeight="15" x14ac:dyDescent="0.25"/>
  <cols>
    <col min="1" max="1" width="20.42578125" style="31" customWidth="1"/>
    <col min="2" max="3" width="23" style="31" customWidth="1"/>
    <col min="4" max="4" width="18" style="31" customWidth="1"/>
    <col min="5" max="9" width="23" style="31" customWidth="1"/>
    <col min="10" max="10" width="10.140625" style="31" bestFit="1" customWidth="1"/>
    <col min="11" max="16384" width="8.85546875" style="31"/>
  </cols>
  <sheetData>
    <row r="2" spans="1:11" ht="30.6" customHeight="1" x14ac:dyDescent="0.25">
      <c r="C2" s="207" t="s">
        <v>1161</v>
      </c>
      <c r="D2" s="207"/>
      <c r="E2" s="208"/>
      <c r="F2" s="204" t="s">
        <v>36</v>
      </c>
      <c r="G2" s="205"/>
      <c r="H2" s="206"/>
    </row>
    <row r="3" spans="1:11" ht="34.15" customHeight="1" x14ac:dyDescent="0.25">
      <c r="A3" s="40" t="s">
        <v>57</v>
      </c>
      <c r="B3" s="40" t="s">
        <v>62</v>
      </c>
      <c r="C3" s="40" t="s">
        <v>53</v>
      </c>
      <c r="D3" s="40" t="s">
        <v>54</v>
      </c>
      <c r="E3" s="40" t="s">
        <v>55</v>
      </c>
      <c r="F3" s="40">
        <v>2023</v>
      </c>
      <c r="G3" s="40">
        <v>2024</v>
      </c>
      <c r="H3" s="40">
        <v>2025</v>
      </c>
      <c r="I3" s="40" t="s">
        <v>52</v>
      </c>
    </row>
    <row r="4" spans="1:11" ht="18.75" x14ac:dyDescent="0.3">
      <c r="A4" s="113">
        <v>44896</v>
      </c>
      <c r="B4" s="41" t="s">
        <v>41</v>
      </c>
      <c r="C4" s="89">
        <v>30296</v>
      </c>
      <c r="D4" s="96">
        <v>41</v>
      </c>
      <c r="E4" s="41" t="s">
        <v>59</v>
      </c>
      <c r="F4" s="97">
        <v>1800</v>
      </c>
      <c r="G4" s="97">
        <v>2000</v>
      </c>
      <c r="H4" s="97">
        <v>2200</v>
      </c>
      <c r="I4" s="41" t="s">
        <v>375</v>
      </c>
      <c r="J4" s="52"/>
    </row>
    <row r="5" spans="1:11" ht="18.75" x14ac:dyDescent="0.3">
      <c r="A5" s="113">
        <v>44896</v>
      </c>
      <c r="B5" s="41" t="s">
        <v>42</v>
      </c>
      <c r="C5" s="89">
        <v>28471</v>
      </c>
      <c r="D5" s="96">
        <v>46</v>
      </c>
      <c r="E5" s="41" t="s">
        <v>59</v>
      </c>
      <c r="F5" s="97">
        <v>1800</v>
      </c>
      <c r="G5" s="97">
        <v>2000</v>
      </c>
      <c r="H5" s="97">
        <v>2200</v>
      </c>
      <c r="I5" s="41" t="s">
        <v>376</v>
      </c>
      <c r="J5" s="52"/>
    </row>
    <row r="6" spans="1:11" ht="18.75" x14ac:dyDescent="0.3">
      <c r="A6" s="113">
        <v>44912</v>
      </c>
      <c r="B6" s="41" t="s">
        <v>43</v>
      </c>
      <c r="C6" s="89">
        <v>32137</v>
      </c>
      <c r="D6" s="96">
        <v>36</v>
      </c>
      <c r="E6" s="41" t="s">
        <v>59</v>
      </c>
      <c r="F6" s="97">
        <v>1800</v>
      </c>
      <c r="G6" s="97">
        <v>2000</v>
      </c>
      <c r="H6" s="97">
        <v>2200</v>
      </c>
      <c r="I6" s="41" t="s">
        <v>377</v>
      </c>
      <c r="J6" s="52"/>
    </row>
    <row r="7" spans="1:11" ht="18.75" x14ac:dyDescent="0.3">
      <c r="A7" s="113">
        <v>44913</v>
      </c>
      <c r="B7" s="41" t="s">
        <v>47</v>
      </c>
      <c r="C7" s="89">
        <v>30678</v>
      </c>
      <c r="D7" s="96">
        <v>40</v>
      </c>
      <c r="E7" s="41" t="s">
        <v>31</v>
      </c>
      <c r="F7" s="97">
        <v>2500</v>
      </c>
      <c r="G7" s="97">
        <v>2700</v>
      </c>
      <c r="H7" s="97">
        <v>2900</v>
      </c>
      <c r="I7" s="41" t="s">
        <v>370</v>
      </c>
      <c r="J7" s="52"/>
    </row>
    <row r="8" spans="1:11" ht="18.75" x14ac:dyDescent="0.3">
      <c r="A8" s="113">
        <v>44914</v>
      </c>
      <c r="B8" s="41" t="s">
        <v>48</v>
      </c>
      <c r="C8" s="89">
        <v>34694</v>
      </c>
      <c r="D8" s="96">
        <v>29</v>
      </c>
      <c r="E8" s="41" t="s">
        <v>31</v>
      </c>
      <c r="F8" s="97">
        <v>2500</v>
      </c>
      <c r="G8" s="97">
        <v>2700</v>
      </c>
      <c r="H8" s="97">
        <v>2900</v>
      </c>
      <c r="I8" s="41" t="s">
        <v>371</v>
      </c>
      <c r="J8" s="52"/>
    </row>
    <row r="9" spans="1:11" ht="18.75" x14ac:dyDescent="0.3">
      <c r="A9" s="113">
        <v>44911</v>
      </c>
      <c r="B9" s="41" t="s">
        <v>49</v>
      </c>
      <c r="C9" s="89">
        <v>33596</v>
      </c>
      <c r="D9" s="96">
        <v>32</v>
      </c>
      <c r="E9" s="41" t="s">
        <v>31</v>
      </c>
      <c r="F9" s="97">
        <v>2500</v>
      </c>
      <c r="G9" s="97">
        <v>2700</v>
      </c>
      <c r="H9" s="97">
        <v>2900</v>
      </c>
      <c r="I9" s="41" t="s">
        <v>372</v>
      </c>
      <c r="J9" s="52"/>
      <c r="K9" s="47"/>
    </row>
    <row r="10" spans="1:11" ht="18.75" x14ac:dyDescent="0.3">
      <c r="A10" s="113">
        <v>44915</v>
      </c>
      <c r="B10" s="41" t="s">
        <v>44</v>
      </c>
      <c r="C10" s="89">
        <v>32140</v>
      </c>
      <c r="D10" s="96">
        <v>36</v>
      </c>
      <c r="E10" s="41" t="s">
        <v>59</v>
      </c>
      <c r="F10" s="97">
        <v>1800</v>
      </c>
      <c r="G10" s="97">
        <v>2000</v>
      </c>
      <c r="H10" s="97">
        <v>2200</v>
      </c>
      <c r="I10" s="41" t="s">
        <v>378</v>
      </c>
      <c r="J10" s="52"/>
      <c r="K10" s="47"/>
    </row>
    <row r="11" spans="1:11" ht="18.75" x14ac:dyDescent="0.3">
      <c r="A11" s="113">
        <v>44917</v>
      </c>
      <c r="B11" s="41" t="s">
        <v>45</v>
      </c>
      <c r="C11" s="89">
        <v>31412</v>
      </c>
      <c r="D11" s="96">
        <v>38</v>
      </c>
      <c r="E11" s="41" t="s">
        <v>59</v>
      </c>
      <c r="F11" s="97">
        <v>1800</v>
      </c>
      <c r="G11" s="97">
        <v>2000</v>
      </c>
      <c r="H11" s="97">
        <v>2200</v>
      </c>
      <c r="I11" s="41" t="s">
        <v>379</v>
      </c>
      <c r="J11" s="52"/>
      <c r="K11" s="47"/>
    </row>
    <row r="12" spans="1:11" ht="18.75" x14ac:dyDescent="0.3">
      <c r="A12" s="113">
        <v>44918</v>
      </c>
      <c r="B12" s="41" t="s">
        <v>46</v>
      </c>
      <c r="C12" s="89">
        <v>32873</v>
      </c>
      <c r="D12" s="96">
        <v>34</v>
      </c>
      <c r="E12" s="41" t="s">
        <v>59</v>
      </c>
      <c r="F12" s="97">
        <v>1800</v>
      </c>
      <c r="G12" s="97">
        <v>2000</v>
      </c>
      <c r="H12" s="97">
        <v>2200</v>
      </c>
      <c r="I12" s="41" t="s">
        <v>380</v>
      </c>
      <c r="J12" s="52"/>
      <c r="K12" s="47"/>
    </row>
    <row r="13" spans="1:11" ht="18.75" x14ac:dyDescent="0.3">
      <c r="A13" s="113">
        <v>44925</v>
      </c>
      <c r="B13" s="41" t="s">
        <v>50</v>
      </c>
      <c r="C13" s="89">
        <v>32150</v>
      </c>
      <c r="D13" s="96">
        <v>35</v>
      </c>
      <c r="E13" s="41" t="s">
        <v>31</v>
      </c>
      <c r="F13" s="97">
        <v>2500</v>
      </c>
      <c r="G13" s="97">
        <v>2700</v>
      </c>
      <c r="H13" s="97">
        <v>2900</v>
      </c>
      <c r="I13" s="41" t="s">
        <v>373</v>
      </c>
      <c r="J13" s="52"/>
    </row>
    <row r="14" spans="1:11" ht="18.75" x14ac:dyDescent="0.3">
      <c r="A14" s="113">
        <v>44925</v>
      </c>
      <c r="B14" s="41" t="s">
        <v>51</v>
      </c>
      <c r="C14" s="89">
        <v>29595</v>
      </c>
      <c r="D14" s="96">
        <v>42</v>
      </c>
      <c r="E14" s="41" t="s">
        <v>31</v>
      </c>
      <c r="F14" s="97">
        <v>2500</v>
      </c>
      <c r="G14" s="97">
        <v>2700</v>
      </c>
      <c r="H14" s="97">
        <v>2900</v>
      </c>
      <c r="I14" s="41" t="s">
        <v>374</v>
      </c>
      <c r="J14" s="52"/>
    </row>
    <row r="15" spans="1:11" ht="18.75" x14ac:dyDescent="0.3">
      <c r="A15" s="113">
        <f ca="1">ADDEMPLOYEES!C23</f>
        <v>46283</v>
      </c>
      <c r="B15" s="41" t="str">
        <f>ADDEMPLOYEES!C8</f>
        <v>Joy</v>
      </c>
      <c r="C15" s="89">
        <f>ADDEMPLOYEES!C13</f>
        <v>35920</v>
      </c>
      <c r="D15" s="96">
        <f ca="1">ADDEMPLOYEES!K13</f>
        <v>28</v>
      </c>
      <c r="E15" s="41" t="str">
        <f>ADDEMPLOYEES!C18</f>
        <v>Manager</v>
      </c>
      <c r="F15" s="97">
        <f>ADDEMPLOYEES!K18</f>
        <v>3000</v>
      </c>
      <c r="G15" s="97"/>
      <c r="H15" s="97"/>
      <c r="I15" s="41">
        <f>ADDEMPLOYEES!K8</f>
        <v>151515</v>
      </c>
      <c r="J15" s="52"/>
    </row>
    <row r="16" spans="1:11" x14ac:dyDescent="0.25">
      <c r="A16" s="90"/>
      <c r="B16" s="90"/>
      <c r="C16" s="91"/>
      <c r="D16" s="92"/>
      <c r="E16" s="93"/>
      <c r="F16" s="93"/>
      <c r="G16" s="93"/>
      <c r="H16" s="94"/>
      <c r="I16" s="95"/>
      <c r="J16" s="52"/>
    </row>
    <row r="17" spans="1:10" x14ac:dyDescent="0.25">
      <c r="A17" s="53"/>
      <c r="B17" s="53"/>
      <c r="C17" s="56"/>
      <c r="D17" s="57"/>
      <c r="E17" s="59"/>
      <c r="F17" s="59"/>
      <c r="G17" s="59"/>
      <c r="H17" s="60"/>
      <c r="I17" s="61"/>
      <c r="J17" s="52"/>
    </row>
    <row r="18" spans="1:10" x14ac:dyDescent="0.25">
      <c r="A18" s="53"/>
      <c r="B18" s="53"/>
      <c r="C18" s="56"/>
      <c r="D18" s="57"/>
      <c r="E18" s="59"/>
      <c r="F18" s="59"/>
      <c r="G18" s="59"/>
      <c r="H18" s="60"/>
      <c r="I18" s="61"/>
      <c r="J18" s="52"/>
    </row>
    <row r="19" spans="1:10" x14ac:dyDescent="0.25">
      <c r="A19" s="53"/>
      <c r="B19" s="53"/>
      <c r="C19" s="56"/>
      <c r="D19" s="57"/>
      <c r="E19" s="59"/>
      <c r="F19" s="59"/>
      <c r="G19" s="59"/>
      <c r="H19" s="60"/>
      <c r="I19" s="61"/>
      <c r="J19" s="52"/>
    </row>
    <row r="20" spans="1:10" x14ac:dyDescent="0.25">
      <c r="A20" s="53"/>
      <c r="B20" s="53"/>
      <c r="C20" s="56"/>
      <c r="D20" s="57"/>
      <c r="E20" s="59"/>
      <c r="F20" s="59"/>
      <c r="G20" s="59"/>
      <c r="H20" s="60"/>
      <c r="I20" s="61"/>
      <c r="J20" s="52"/>
    </row>
    <row r="21" spans="1:10" x14ac:dyDescent="0.25">
      <c r="A21" s="53"/>
      <c r="B21" s="53"/>
      <c r="C21" s="56"/>
      <c r="D21" s="57"/>
      <c r="E21" s="59"/>
      <c r="F21" s="59"/>
      <c r="G21" s="59"/>
      <c r="H21" s="60"/>
      <c r="I21" s="61"/>
      <c r="J21" s="52"/>
    </row>
    <row r="22" spans="1:10" x14ac:dyDescent="0.25">
      <c r="A22" s="53"/>
      <c r="B22" s="53"/>
      <c r="C22" s="56"/>
      <c r="D22" s="57"/>
      <c r="E22" s="59"/>
      <c r="F22" s="59"/>
      <c r="G22" s="59"/>
      <c r="H22" s="60"/>
      <c r="I22" s="61"/>
      <c r="J22" s="52"/>
    </row>
    <row r="23" spans="1:10" x14ac:dyDescent="0.25">
      <c r="A23" s="53"/>
      <c r="B23" s="53"/>
      <c r="C23" s="56"/>
      <c r="D23" s="57"/>
      <c r="E23" s="59"/>
      <c r="F23" s="59"/>
      <c r="G23" s="59"/>
      <c r="H23" s="60"/>
      <c r="I23" s="61"/>
      <c r="J23" s="52"/>
    </row>
    <row r="24" spans="1:10" x14ac:dyDescent="0.25">
      <c r="A24" s="53"/>
      <c r="B24" s="53"/>
      <c r="C24" s="56"/>
      <c r="D24" s="57"/>
      <c r="E24" s="59"/>
      <c r="F24" s="59"/>
      <c r="G24" s="59"/>
      <c r="H24" s="60"/>
      <c r="I24" s="61"/>
      <c r="J24" s="52"/>
    </row>
    <row r="25" spans="1:10" x14ac:dyDescent="0.25">
      <c r="A25" s="53"/>
      <c r="B25" s="53"/>
      <c r="C25" s="56"/>
      <c r="D25" s="57"/>
      <c r="E25" s="59"/>
      <c r="F25" s="59"/>
      <c r="G25" s="59"/>
      <c r="H25" s="60"/>
      <c r="I25" s="61"/>
      <c r="J25" s="52"/>
    </row>
    <row r="26" spans="1:10" x14ac:dyDescent="0.25">
      <c r="A26" s="53"/>
      <c r="B26" s="53"/>
      <c r="C26" s="56"/>
      <c r="D26" s="57"/>
      <c r="E26" s="59"/>
      <c r="F26" s="59"/>
      <c r="G26" s="59"/>
      <c r="H26" s="60"/>
      <c r="I26" s="61"/>
      <c r="J26" s="52"/>
    </row>
    <row r="27" spans="1:10" x14ac:dyDescent="0.25">
      <c r="A27" s="53"/>
      <c r="B27" s="53"/>
      <c r="C27" s="56"/>
      <c r="D27" s="57"/>
      <c r="E27" s="59"/>
      <c r="F27" s="59"/>
      <c r="G27" s="59"/>
      <c r="H27" s="60"/>
      <c r="I27" s="61"/>
      <c r="J27" s="52"/>
    </row>
    <row r="28" spans="1:10" x14ac:dyDescent="0.25">
      <c r="A28" s="53"/>
      <c r="B28" s="53"/>
      <c r="C28" s="56"/>
      <c r="D28" s="57"/>
      <c r="E28" s="59"/>
      <c r="F28" s="59"/>
      <c r="G28" s="59"/>
      <c r="H28" s="60"/>
      <c r="I28" s="61"/>
      <c r="J28" s="52"/>
    </row>
    <row r="29" spans="1:10" x14ac:dyDescent="0.25">
      <c r="A29" s="53"/>
      <c r="B29" s="53"/>
      <c r="C29" s="56"/>
      <c r="D29" s="57"/>
      <c r="E29" s="59"/>
      <c r="F29" s="59"/>
      <c r="G29" s="59"/>
      <c r="H29" s="60"/>
      <c r="I29" s="61"/>
      <c r="J29" s="52"/>
    </row>
    <row r="30" spans="1:10" x14ac:dyDescent="0.25">
      <c r="A30" s="53"/>
      <c r="B30" s="53"/>
      <c r="C30" s="56"/>
      <c r="D30" s="57"/>
      <c r="E30" s="59"/>
      <c r="F30" s="59"/>
      <c r="G30" s="59"/>
      <c r="H30" s="60"/>
      <c r="I30" s="61"/>
      <c r="J30" s="52"/>
    </row>
    <row r="31" spans="1:10" x14ac:dyDescent="0.25">
      <c r="A31" s="53"/>
      <c r="B31" s="53"/>
      <c r="C31" s="56"/>
      <c r="D31" s="57"/>
      <c r="E31" s="59"/>
      <c r="F31" s="59"/>
      <c r="G31" s="59"/>
      <c r="H31" s="60"/>
      <c r="I31" s="61"/>
      <c r="J31" s="52"/>
    </row>
    <row r="32" spans="1:10" x14ac:dyDescent="0.25">
      <c r="A32" s="53"/>
      <c r="B32" s="53"/>
      <c r="C32" s="56"/>
      <c r="D32" s="57"/>
      <c r="E32" s="59"/>
      <c r="F32" s="59"/>
      <c r="G32" s="59"/>
      <c r="H32" s="60"/>
      <c r="I32" s="61"/>
      <c r="J32" s="52"/>
    </row>
    <row r="33" spans="1:10" x14ac:dyDescent="0.25">
      <c r="A33" s="53"/>
      <c r="B33" s="53"/>
      <c r="C33" s="56"/>
      <c r="D33" s="57"/>
      <c r="E33" s="59"/>
      <c r="F33" s="59"/>
      <c r="G33" s="59"/>
      <c r="H33" s="60"/>
      <c r="I33" s="61"/>
      <c r="J33" s="52"/>
    </row>
    <row r="34" spans="1:10" x14ac:dyDescent="0.25">
      <c r="A34" s="53"/>
      <c r="B34" s="53"/>
      <c r="C34" s="56"/>
      <c r="D34" s="57"/>
      <c r="E34" s="59"/>
      <c r="F34" s="59"/>
      <c r="G34" s="59"/>
      <c r="H34" s="60"/>
      <c r="I34" s="61"/>
      <c r="J34" s="52"/>
    </row>
    <row r="35" spans="1:10" x14ac:dyDescent="0.25">
      <c r="A35" s="53"/>
      <c r="B35" s="53"/>
      <c r="C35" s="56"/>
      <c r="D35" s="57"/>
      <c r="E35" s="59"/>
      <c r="F35" s="59"/>
      <c r="G35" s="59"/>
      <c r="H35" s="60"/>
      <c r="I35" s="61"/>
      <c r="J35" s="52"/>
    </row>
    <row r="36" spans="1:10" x14ac:dyDescent="0.25">
      <c r="A36" s="53"/>
      <c r="B36" s="53"/>
      <c r="C36" s="56"/>
      <c r="D36" s="57"/>
      <c r="E36" s="59"/>
      <c r="F36" s="59"/>
      <c r="G36" s="59"/>
      <c r="H36" s="60"/>
      <c r="I36" s="61"/>
      <c r="J36" s="52"/>
    </row>
    <row r="37" spans="1:10" x14ac:dyDescent="0.25">
      <c r="A37" s="53"/>
      <c r="B37" s="53"/>
      <c r="C37" s="56"/>
      <c r="D37" s="57"/>
      <c r="E37" s="59"/>
      <c r="F37" s="59"/>
      <c r="G37" s="59"/>
      <c r="H37" s="60"/>
      <c r="I37" s="61"/>
      <c r="J37" s="52"/>
    </row>
    <row r="38" spans="1:10" x14ac:dyDescent="0.25">
      <c r="A38" s="53"/>
      <c r="B38" s="53"/>
      <c r="C38" s="56"/>
      <c r="D38" s="57"/>
      <c r="E38" s="59"/>
      <c r="F38" s="59"/>
      <c r="G38" s="59"/>
      <c r="H38" s="60"/>
      <c r="I38" s="61"/>
      <c r="J38" s="52"/>
    </row>
    <row r="39" spans="1:10" x14ac:dyDescent="0.25">
      <c r="A39" s="53"/>
      <c r="B39" s="53"/>
      <c r="C39" s="56"/>
      <c r="D39" s="57"/>
      <c r="E39" s="59"/>
      <c r="F39" s="59"/>
      <c r="G39" s="59"/>
      <c r="H39" s="60"/>
      <c r="I39" s="61"/>
      <c r="J39" s="52"/>
    </row>
    <row r="40" spans="1:10" x14ac:dyDescent="0.25">
      <c r="A40" s="53"/>
      <c r="B40" s="53"/>
      <c r="C40" s="56"/>
      <c r="D40" s="57"/>
      <c r="E40" s="59"/>
      <c r="F40" s="59"/>
      <c r="G40" s="59"/>
      <c r="H40" s="60"/>
      <c r="I40" s="61"/>
      <c r="J40" s="52"/>
    </row>
    <row r="41" spans="1:10" x14ac:dyDescent="0.25">
      <c r="A41" s="53"/>
      <c r="B41" s="53"/>
      <c r="C41" s="56"/>
      <c r="D41" s="57"/>
      <c r="E41" s="59"/>
      <c r="F41" s="59"/>
      <c r="G41" s="59"/>
      <c r="H41" s="60"/>
      <c r="I41" s="61"/>
      <c r="J41" s="52"/>
    </row>
    <row r="42" spans="1:10" x14ac:dyDescent="0.25">
      <c r="A42" s="53"/>
      <c r="B42" s="53"/>
      <c r="C42" s="56"/>
      <c r="D42" s="57"/>
      <c r="E42" s="59"/>
      <c r="F42" s="59"/>
      <c r="G42" s="59"/>
      <c r="H42" s="60"/>
      <c r="I42" s="61"/>
      <c r="J42" s="52"/>
    </row>
    <row r="43" spans="1:10" x14ac:dyDescent="0.25">
      <c r="A43" s="53"/>
      <c r="B43" s="53"/>
      <c r="C43" s="56"/>
      <c r="D43" s="57"/>
      <c r="E43" s="59"/>
      <c r="F43" s="59"/>
      <c r="G43" s="59"/>
      <c r="H43" s="60"/>
      <c r="I43" s="61"/>
      <c r="J43" s="52"/>
    </row>
    <row r="44" spans="1:10" x14ac:dyDescent="0.25">
      <c r="A44" s="53"/>
      <c r="B44" s="53"/>
      <c r="C44" s="56"/>
      <c r="D44" s="57"/>
      <c r="E44" s="59"/>
      <c r="F44" s="59"/>
      <c r="G44" s="59"/>
      <c r="H44" s="60"/>
      <c r="I44" s="61"/>
      <c r="J44" s="52"/>
    </row>
    <row r="45" spans="1:10" x14ac:dyDescent="0.25">
      <c r="A45" s="53"/>
      <c r="B45" s="53"/>
      <c r="C45" s="56"/>
      <c r="D45" s="57"/>
      <c r="E45" s="59"/>
      <c r="F45" s="59"/>
      <c r="G45" s="59"/>
      <c r="H45" s="60"/>
      <c r="I45" s="61"/>
      <c r="J45" s="52"/>
    </row>
    <row r="46" spans="1:10" x14ac:dyDescent="0.25">
      <c r="A46" s="53"/>
      <c r="B46" s="53"/>
      <c r="C46" s="56"/>
      <c r="D46" s="57"/>
      <c r="E46" s="59"/>
      <c r="F46" s="59"/>
      <c r="G46" s="59"/>
      <c r="H46" s="60"/>
      <c r="I46" s="61"/>
      <c r="J46" s="52"/>
    </row>
    <row r="47" spans="1:10" x14ac:dyDescent="0.25">
      <c r="A47" s="53"/>
      <c r="B47" s="53"/>
      <c r="C47" s="56"/>
      <c r="D47" s="57"/>
      <c r="E47" s="59"/>
      <c r="F47" s="59"/>
      <c r="G47" s="59"/>
      <c r="H47" s="60"/>
      <c r="I47" s="61"/>
      <c r="J47" s="52"/>
    </row>
    <row r="48" spans="1:10" x14ac:dyDescent="0.25">
      <c r="A48" s="53"/>
      <c r="B48" s="53"/>
      <c r="C48" s="56"/>
      <c r="D48" s="57"/>
      <c r="E48" s="59"/>
      <c r="F48" s="59"/>
      <c r="G48" s="59"/>
      <c r="H48" s="60"/>
      <c r="I48" s="61"/>
      <c r="J48" s="52"/>
    </row>
    <row r="49" spans="1:10" x14ac:dyDescent="0.25">
      <c r="A49" s="53"/>
      <c r="B49" s="53"/>
      <c r="C49" s="56"/>
      <c r="D49" s="57"/>
      <c r="E49" s="59"/>
      <c r="F49" s="59"/>
      <c r="G49" s="59"/>
      <c r="H49" s="60"/>
      <c r="I49" s="61"/>
      <c r="J49" s="52"/>
    </row>
    <row r="50" spans="1:10" x14ac:dyDescent="0.25">
      <c r="A50" s="53"/>
      <c r="B50" s="53"/>
      <c r="C50" s="56"/>
      <c r="D50" s="57"/>
      <c r="E50" s="59"/>
      <c r="F50" s="59"/>
      <c r="G50" s="59"/>
      <c r="H50" s="60"/>
      <c r="I50" s="61"/>
      <c r="J50" s="52"/>
    </row>
    <row r="51" spans="1:10" x14ac:dyDescent="0.25">
      <c r="A51" s="53"/>
      <c r="B51" s="53"/>
      <c r="C51" s="56"/>
      <c r="D51" s="57"/>
      <c r="E51" s="59"/>
      <c r="F51" s="59"/>
      <c r="G51" s="59"/>
      <c r="H51" s="60"/>
      <c r="I51" s="61"/>
      <c r="J51" s="52"/>
    </row>
    <row r="52" spans="1:10" x14ac:dyDescent="0.25">
      <c r="A52" s="53"/>
      <c r="B52" s="53"/>
      <c r="C52" s="56"/>
      <c r="D52" s="57"/>
      <c r="E52" s="59"/>
      <c r="F52" s="59"/>
      <c r="G52" s="59"/>
      <c r="H52" s="60"/>
      <c r="I52" s="61"/>
      <c r="J52" s="52"/>
    </row>
    <row r="53" spans="1:10" x14ac:dyDescent="0.25">
      <c r="A53" s="53"/>
      <c r="B53" s="53"/>
      <c r="C53" s="56"/>
      <c r="D53" s="57"/>
      <c r="E53" s="59"/>
      <c r="F53" s="59"/>
      <c r="G53" s="59"/>
      <c r="H53" s="60"/>
      <c r="I53" s="61"/>
      <c r="J53" s="52"/>
    </row>
    <row r="54" spans="1:10" x14ac:dyDescent="0.25">
      <c r="A54" s="53"/>
      <c r="B54" s="53"/>
      <c r="C54" s="56"/>
      <c r="D54" s="57"/>
      <c r="E54" s="59"/>
      <c r="F54" s="59"/>
      <c r="G54" s="59"/>
      <c r="H54" s="60"/>
      <c r="I54" s="61"/>
      <c r="J54" s="52"/>
    </row>
    <row r="55" spans="1:10" x14ac:dyDescent="0.25">
      <c r="A55" s="53"/>
      <c r="B55" s="53"/>
      <c r="C55" s="56"/>
      <c r="D55" s="57"/>
      <c r="E55" s="59"/>
      <c r="F55" s="59"/>
      <c r="G55" s="59"/>
      <c r="H55" s="60"/>
      <c r="I55" s="61"/>
      <c r="J55" s="52"/>
    </row>
    <row r="56" spans="1:10" x14ac:dyDescent="0.25">
      <c r="A56" s="53"/>
      <c r="B56" s="53"/>
      <c r="C56" s="56"/>
      <c r="D56" s="57"/>
      <c r="E56" s="59"/>
      <c r="F56" s="59"/>
      <c r="G56" s="59"/>
      <c r="H56" s="60"/>
      <c r="I56" s="61"/>
      <c r="J56" s="52"/>
    </row>
    <row r="57" spans="1:10" x14ac:dyDescent="0.25">
      <c r="A57" s="53"/>
      <c r="B57" s="53"/>
      <c r="C57" s="56"/>
      <c r="D57" s="57"/>
      <c r="E57" s="59"/>
      <c r="F57" s="59"/>
      <c r="G57" s="59"/>
      <c r="H57" s="60"/>
      <c r="I57" s="61"/>
      <c r="J57" s="52"/>
    </row>
    <row r="58" spans="1:10" x14ac:dyDescent="0.25">
      <c r="A58" s="53"/>
      <c r="B58" s="53"/>
      <c r="C58" s="56"/>
      <c r="D58" s="57"/>
      <c r="E58" s="59"/>
      <c r="F58" s="59"/>
      <c r="G58" s="59"/>
      <c r="H58" s="60"/>
      <c r="I58" s="61"/>
      <c r="J58" s="52"/>
    </row>
    <row r="59" spans="1:10" x14ac:dyDescent="0.25">
      <c r="A59" s="53"/>
      <c r="B59" s="53"/>
      <c r="C59" s="56"/>
      <c r="D59" s="57"/>
      <c r="E59" s="59"/>
      <c r="F59" s="59"/>
      <c r="G59" s="59"/>
      <c r="H59" s="60"/>
      <c r="I59" s="61"/>
      <c r="J59" s="52"/>
    </row>
    <row r="60" spans="1:10" x14ac:dyDescent="0.25">
      <c r="A60" s="53"/>
      <c r="B60" s="53"/>
      <c r="C60" s="56"/>
      <c r="D60" s="57"/>
      <c r="E60" s="59"/>
      <c r="F60" s="59"/>
      <c r="G60" s="59"/>
      <c r="H60" s="60"/>
      <c r="I60" s="61"/>
      <c r="J60" s="52"/>
    </row>
    <row r="61" spans="1:10" x14ac:dyDescent="0.25">
      <c r="A61" s="53"/>
      <c r="B61" s="53"/>
      <c r="C61" s="56"/>
      <c r="D61" s="57"/>
      <c r="E61" s="59"/>
      <c r="F61" s="59"/>
      <c r="G61" s="59"/>
      <c r="H61" s="60"/>
      <c r="I61" s="61"/>
      <c r="J61" s="52"/>
    </row>
    <row r="62" spans="1:10" x14ac:dyDescent="0.25">
      <c r="A62" s="53"/>
      <c r="B62" s="53"/>
      <c r="C62" s="56"/>
      <c r="D62" s="57"/>
      <c r="E62" s="59"/>
      <c r="F62" s="59"/>
      <c r="G62" s="59"/>
      <c r="H62" s="60"/>
      <c r="I62" s="61"/>
      <c r="J62" s="52"/>
    </row>
    <row r="63" spans="1:10" x14ac:dyDescent="0.25">
      <c r="A63" s="53"/>
      <c r="B63" s="53"/>
      <c r="C63" s="56"/>
      <c r="D63" s="57"/>
      <c r="E63" s="59"/>
      <c r="F63" s="59"/>
      <c r="G63" s="59"/>
      <c r="H63" s="60"/>
      <c r="I63" s="61"/>
      <c r="J63" s="52"/>
    </row>
    <row r="64" spans="1:10" x14ac:dyDescent="0.25">
      <c r="A64" s="53"/>
      <c r="B64" s="53"/>
      <c r="C64" s="56"/>
      <c r="D64" s="57"/>
      <c r="E64" s="59"/>
      <c r="F64" s="59"/>
      <c r="G64" s="59"/>
      <c r="H64" s="60"/>
      <c r="I64" s="61"/>
      <c r="J64" s="52"/>
    </row>
    <row r="65" spans="1:10" x14ac:dyDescent="0.25">
      <c r="A65" s="53"/>
      <c r="B65" s="53"/>
      <c r="C65" s="56"/>
      <c r="D65" s="57"/>
      <c r="E65" s="59"/>
      <c r="F65" s="59"/>
      <c r="G65" s="59"/>
      <c r="H65" s="60"/>
      <c r="I65" s="61"/>
      <c r="J65" s="52"/>
    </row>
    <row r="66" spans="1:10" x14ac:dyDescent="0.25">
      <c r="A66" s="53"/>
      <c r="B66" s="53"/>
      <c r="C66" s="56"/>
      <c r="D66" s="57"/>
      <c r="E66" s="59"/>
      <c r="F66" s="59"/>
      <c r="G66" s="59"/>
      <c r="H66" s="60"/>
      <c r="I66" s="61"/>
      <c r="J66" s="52"/>
    </row>
    <row r="67" spans="1:10" x14ac:dyDescent="0.25">
      <c r="A67" s="53"/>
      <c r="B67" s="53"/>
      <c r="C67" s="56"/>
      <c r="D67" s="57"/>
      <c r="E67" s="59"/>
      <c r="F67" s="59"/>
      <c r="G67" s="59"/>
      <c r="H67" s="60"/>
      <c r="I67" s="61"/>
      <c r="J67" s="52"/>
    </row>
    <row r="68" spans="1:10" x14ac:dyDescent="0.25">
      <c r="A68" s="53"/>
      <c r="B68" s="53"/>
      <c r="C68" s="56"/>
      <c r="D68" s="57"/>
      <c r="E68" s="59"/>
      <c r="F68" s="59"/>
      <c r="G68" s="59"/>
      <c r="H68" s="60"/>
      <c r="I68" s="61"/>
      <c r="J68" s="52"/>
    </row>
    <row r="69" spans="1:10" x14ac:dyDescent="0.25">
      <c r="A69" s="53"/>
      <c r="B69" s="53"/>
      <c r="C69" s="56"/>
      <c r="D69" s="57"/>
      <c r="E69" s="59"/>
      <c r="F69" s="59"/>
      <c r="G69" s="59"/>
      <c r="H69" s="60"/>
      <c r="I69" s="61"/>
      <c r="J69" s="52"/>
    </row>
    <row r="70" spans="1:10" x14ac:dyDescent="0.25">
      <c r="A70" s="53"/>
      <c r="B70" s="53"/>
      <c r="C70" s="56"/>
      <c r="D70" s="57"/>
      <c r="E70" s="59"/>
      <c r="F70" s="59"/>
      <c r="G70" s="59"/>
      <c r="H70" s="60"/>
      <c r="I70" s="61"/>
      <c r="J70" s="52"/>
    </row>
    <row r="71" spans="1:10" x14ac:dyDescent="0.25">
      <c r="A71" s="53"/>
      <c r="B71" s="53"/>
      <c r="C71" s="56"/>
      <c r="D71" s="57"/>
      <c r="E71" s="59"/>
      <c r="F71" s="59"/>
      <c r="G71" s="59"/>
      <c r="H71" s="60"/>
      <c r="I71" s="61"/>
      <c r="J71" s="52"/>
    </row>
    <row r="72" spans="1:10" x14ac:dyDescent="0.25">
      <c r="A72" s="53"/>
      <c r="B72" s="53"/>
      <c r="C72" s="56"/>
      <c r="D72" s="57"/>
      <c r="E72" s="59"/>
      <c r="F72" s="59"/>
      <c r="G72" s="59"/>
      <c r="H72" s="60"/>
      <c r="I72" s="61"/>
      <c r="J72" s="52"/>
    </row>
    <row r="73" spans="1:10" x14ac:dyDescent="0.25">
      <c r="A73" s="53"/>
      <c r="B73" s="53"/>
      <c r="C73" s="56"/>
      <c r="D73" s="57"/>
      <c r="E73" s="59"/>
      <c r="F73" s="59"/>
      <c r="G73" s="59"/>
      <c r="H73" s="60"/>
      <c r="I73" s="61"/>
      <c r="J73" s="52"/>
    </row>
    <row r="74" spans="1:10" x14ac:dyDescent="0.25">
      <c r="A74" s="53"/>
      <c r="B74" s="53"/>
      <c r="C74" s="56"/>
      <c r="D74" s="57"/>
      <c r="E74" s="59"/>
      <c r="F74" s="59"/>
      <c r="G74" s="59"/>
      <c r="H74" s="60"/>
      <c r="I74" s="61"/>
      <c r="J74" s="52"/>
    </row>
    <row r="75" spans="1:10" x14ac:dyDescent="0.25">
      <c r="A75" s="53"/>
      <c r="B75" s="53"/>
      <c r="C75" s="56"/>
      <c r="D75" s="57"/>
      <c r="E75" s="59"/>
      <c r="F75" s="59"/>
      <c r="G75" s="59"/>
      <c r="H75" s="60"/>
      <c r="I75" s="61"/>
      <c r="J75" s="52"/>
    </row>
    <row r="76" spans="1:10" x14ac:dyDescent="0.25">
      <c r="A76" s="53"/>
      <c r="B76" s="53"/>
      <c r="C76" s="56"/>
      <c r="D76" s="57"/>
      <c r="E76" s="59"/>
      <c r="F76" s="59"/>
      <c r="G76" s="59"/>
      <c r="H76" s="60"/>
      <c r="I76" s="61"/>
      <c r="J76" s="52"/>
    </row>
    <row r="77" spans="1:10" x14ac:dyDescent="0.25">
      <c r="A77" s="53"/>
      <c r="B77" s="53"/>
      <c r="C77" s="56"/>
      <c r="D77" s="57"/>
      <c r="E77" s="59"/>
      <c r="F77" s="59"/>
      <c r="G77" s="59"/>
      <c r="H77" s="60"/>
      <c r="I77" s="61"/>
      <c r="J77" s="52"/>
    </row>
    <row r="78" spans="1:10" x14ac:dyDescent="0.25">
      <c r="A78" s="53"/>
      <c r="B78" s="53"/>
      <c r="C78" s="56"/>
      <c r="D78" s="57"/>
      <c r="E78" s="59"/>
      <c r="F78" s="59"/>
      <c r="G78" s="59"/>
      <c r="H78" s="60"/>
      <c r="I78" s="61"/>
      <c r="J78" s="52"/>
    </row>
    <row r="79" spans="1:10" x14ac:dyDescent="0.25">
      <c r="A79" s="53"/>
      <c r="B79" s="53"/>
      <c r="C79" s="56"/>
      <c r="D79" s="57"/>
      <c r="E79" s="59"/>
      <c r="F79" s="59"/>
      <c r="G79" s="59"/>
      <c r="H79" s="60"/>
      <c r="I79" s="61"/>
      <c r="J79" s="52"/>
    </row>
    <row r="80" spans="1:10" x14ac:dyDescent="0.25">
      <c r="A80" s="53"/>
      <c r="B80" s="53"/>
      <c r="C80" s="56"/>
      <c r="D80" s="57"/>
      <c r="E80" s="59"/>
      <c r="F80" s="59"/>
      <c r="G80" s="59"/>
      <c r="H80" s="60"/>
      <c r="I80" s="61"/>
      <c r="J80" s="52"/>
    </row>
    <row r="81" spans="1:10" x14ac:dyDescent="0.25">
      <c r="A81" s="53"/>
      <c r="B81" s="53"/>
      <c r="C81" s="56"/>
      <c r="D81" s="57"/>
      <c r="E81" s="59"/>
      <c r="F81" s="59"/>
      <c r="G81" s="59"/>
      <c r="H81" s="60"/>
      <c r="I81" s="61"/>
      <c r="J81" s="52"/>
    </row>
    <row r="82" spans="1:10" x14ac:dyDescent="0.25">
      <c r="A82" s="53"/>
      <c r="B82" s="53"/>
      <c r="C82" s="56"/>
      <c r="D82" s="57"/>
      <c r="E82" s="59"/>
      <c r="F82" s="59"/>
      <c r="G82" s="59"/>
      <c r="H82" s="60"/>
      <c r="I82" s="61"/>
      <c r="J82" s="52"/>
    </row>
    <row r="83" spans="1:10" x14ac:dyDescent="0.25">
      <c r="A83" s="53"/>
      <c r="B83" s="53"/>
      <c r="C83" s="56"/>
      <c r="D83" s="57"/>
      <c r="E83" s="59"/>
      <c r="F83" s="59"/>
      <c r="G83" s="59"/>
      <c r="H83" s="60"/>
      <c r="I83" s="61"/>
      <c r="J83" s="52"/>
    </row>
    <row r="84" spans="1:10" x14ac:dyDescent="0.25">
      <c r="A84" s="53"/>
      <c r="B84" s="53"/>
      <c r="C84" s="56"/>
      <c r="D84" s="57"/>
      <c r="E84" s="59"/>
      <c r="F84" s="59"/>
      <c r="G84" s="59"/>
      <c r="H84" s="60"/>
      <c r="I84" s="61"/>
      <c r="J84" s="52"/>
    </row>
    <row r="85" spans="1:10" x14ac:dyDescent="0.25">
      <c r="A85" s="53"/>
      <c r="B85" s="53"/>
      <c r="C85" s="56"/>
      <c r="D85" s="57"/>
      <c r="E85" s="59"/>
      <c r="F85" s="59"/>
      <c r="G85" s="59"/>
      <c r="H85" s="60"/>
      <c r="I85" s="61"/>
      <c r="J85" s="52"/>
    </row>
    <row r="86" spans="1:10" x14ac:dyDescent="0.25">
      <c r="A86" s="53"/>
      <c r="B86" s="53"/>
      <c r="C86" s="56"/>
      <c r="D86" s="57"/>
      <c r="E86" s="59"/>
      <c r="F86" s="59"/>
      <c r="G86" s="59"/>
      <c r="H86" s="60"/>
      <c r="I86" s="61"/>
      <c r="J86" s="52"/>
    </row>
    <row r="87" spans="1:10" x14ac:dyDescent="0.25">
      <c r="A87" s="53"/>
      <c r="B87" s="53"/>
      <c r="C87" s="56"/>
      <c r="D87" s="57"/>
      <c r="E87" s="59"/>
      <c r="F87" s="59"/>
      <c r="G87" s="59"/>
      <c r="H87" s="60"/>
      <c r="I87" s="61"/>
      <c r="J87" s="52"/>
    </row>
    <row r="88" spans="1:10" x14ac:dyDescent="0.25">
      <c r="A88" s="53"/>
      <c r="B88" s="53"/>
      <c r="C88" s="56"/>
      <c r="D88" s="57"/>
      <c r="E88" s="59"/>
      <c r="F88" s="59"/>
      <c r="G88" s="59"/>
      <c r="H88" s="60"/>
      <c r="I88" s="61"/>
      <c r="J88" s="52"/>
    </row>
    <row r="89" spans="1:10" x14ac:dyDescent="0.25">
      <c r="A89" s="53"/>
      <c r="B89" s="53"/>
      <c r="C89" s="56"/>
      <c r="D89" s="57"/>
      <c r="E89" s="59"/>
      <c r="F89" s="59"/>
      <c r="G89" s="59"/>
      <c r="H89" s="60"/>
      <c r="I89" s="61"/>
      <c r="J89" s="52"/>
    </row>
    <row r="90" spans="1:10" x14ac:dyDescent="0.25">
      <c r="A90" s="53"/>
      <c r="B90" s="53"/>
      <c r="C90" s="56"/>
      <c r="D90" s="57"/>
      <c r="E90" s="59"/>
      <c r="F90" s="59"/>
      <c r="G90" s="59"/>
      <c r="H90" s="60"/>
      <c r="I90" s="61"/>
      <c r="J90" s="52"/>
    </row>
    <row r="91" spans="1:10" x14ac:dyDescent="0.25">
      <c r="A91" s="53"/>
      <c r="B91" s="53"/>
      <c r="C91" s="56"/>
      <c r="D91" s="57"/>
      <c r="E91" s="59"/>
      <c r="F91" s="59"/>
      <c r="G91" s="59"/>
      <c r="H91" s="60"/>
      <c r="I91" s="61"/>
      <c r="J91" s="52"/>
    </row>
    <row r="92" spans="1:10" x14ac:dyDescent="0.25">
      <c r="A92" s="53"/>
      <c r="B92" s="53"/>
      <c r="C92" s="56"/>
      <c r="D92" s="57"/>
      <c r="E92" s="59"/>
      <c r="F92" s="59"/>
      <c r="G92" s="59"/>
      <c r="H92" s="60"/>
      <c r="I92" s="61"/>
      <c r="J92" s="52"/>
    </row>
    <row r="93" spans="1:10" x14ac:dyDescent="0.25">
      <c r="A93" s="53"/>
      <c r="B93" s="53"/>
      <c r="C93" s="56"/>
      <c r="D93" s="57"/>
      <c r="E93" s="59"/>
      <c r="F93" s="59"/>
      <c r="G93" s="59"/>
      <c r="H93" s="60"/>
      <c r="I93" s="61"/>
      <c r="J93" s="52"/>
    </row>
    <row r="94" spans="1:10" x14ac:dyDescent="0.25">
      <c r="A94" s="53"/>
      <c r="B94" s="53"/>
      <c r="C94" s="56"/>
      <c r="D94" s="57"/>
      <c r="E94" s="59"/>
      <c r="F94" s="59"/>
      <c r="G94" s="59"/>
      <c r="H94" s="60"/>
      <c r="I94" s="61"/>
      <c r="J94" s="52"/>
    </row>
    <row r="95" spans="1:10" x14ac:dyDescent="0.25">
      <c r="A95" s="53"/>
      <c r="B95" s="53"/>
      <c r="C95" s="56"/>
      <c r="D95" s="57"/>
      <c r="E95" s="59"/>
      <c r="F95" s="59"/>
      <c r="G95" s="59"/>
      <c r="H95" s="60"/>
      <c r="I95" s="61"/>
      <c r="J95" s="52"/>
    </row>
    <row r="96" spans="1:10" x14ac:dyDescent="0.25">
      <c r="A96" s="53"/>
      <c r="B96" s="53"/>
      <c r="C96" s="56"/>
      <c r="D96" s="57"/>
      <c r="E96" s="59"/>
      <c r="F96" s="59"/>
      <c r="G96" s="59"/>
      <c r="H96" s="60"/>
      <c r="I96" s="61"/>
      <c r="J96" s="52"/>
    </row>
    <row r="97" spans="1:10" x14ac:dyDescent="0.25">
      <c r="A97" s="53"/>
      <c r="B97" s="53"/>
      <c r="C97" s="56"/>
      <c r="D97" s="57"/>
      <c r="E97" s="59"/>
      <c r="F97" s="59"/>
      <c r="G97" s="59"/>
      <c r="H97" s="60"/>
      <c r="I97" s="61"/>
      <c r="J97" s="52"/>
    </row>
    <row r="98" spans="1:10" x14ac:dyDescent="0.25">
      <c r="A98" s="53"/>
      <c r="B98" s="53"/>
      <c r="C98" s="56"/>
      <c r="D98" s="57"/>
      <c r="E98" s="59"/>
      <c r="F98" s="59"/>
      <c r="G98" s="59"/>
      <c r="H98" s="60"/>
      <c r="I98" s="61"/>
      <c r="J98" s="52"/>
    </row>
    <row r="99" spans="1:10" x14ac:dyDescent="0.25">
      <c r="A99" s="53"/>
      <c r="B99" s="53"/>
      <c r="C99" s="56"/>
      <c r="D99" s="57"/>
      <c r="E99" s="59"/>
      <c r="F99" s="59"/>
      <c r="G99" s="59"/>
      <c r="H99" s="60"/>
      <c r="I99" s="61"/>
      <c r="J99" s="52"/>
    </row>
    <row r="100" spans="1:10" x14ac:dyDescent="0.25">
      <c r="A100" s="53"/>
      <c r="B100" s="53"/>
      <c r="C100" s="56"/>
      <c r="D100" s="57"/>
      <c r="E100" s="59"/>
      <c r="F100" s="59"/>
      <c r="G100" s="59"/>
      <c r="H100" s="60"/>
      <c r="I100" s="61"/>
      <c r="J100" s="52"/>
    </row>
    <row r="101" spans="1:10" x14ac:dyDescent="0.25">
      <c r="A101" s="53"/>
      <c r="B101" s="53"/>
      <c r="C101" s="56"/>
      <c r="D101" s="57"/>
      <c r="E101" s="59"/>
      <c r="F101" s="59"/>
      <c r="G101" s="59"/>
      <c r="H101" s="60"/>
      <c r="I101" s="61"/>
      <c r="J101" s="52"/>
    </row>
    <row r="102" spans="1:10" x14ac:dyDescent="0.25">
      <c r="A102" s="53"/>
      <c r="B102" s="53"/>
      <c r="C102" s="56"/>
      <c r="D102" s="57"/>
      <c r="E102" s="59"/>
      <c r="F102" s="59"/>
      <c r="G102" s="59"/>
      <c r="H102" s="60"/>
      <c r="I102" s="61"/>
      <c r="J102" s="52"/>
    </row>
    <row r="103" spans="1:10" x14ac:dyDescent="0.25">
      <c r="A103" s="53"/>
      <c r="B103" s="53"/>
      <c r="C103" s="56"/>
      <c r="D103" s="57"/>
      <c r="E103" s="59"/>
      <c r="F103" s="59"/>
      <c r="G103" s="59"/>
      <c r="H103" s="60"/>
      <c r="I103" s="61"/>
      <c r="J103" s="52"/>
    </row>
    <row r="104" spans="1:10" x14ac:dyDescent="0.25">
      <c r="A104" s="53"/>
      <c r="B104" s="53"/>
      <c r="C104" s="56"/>
      <c r="D104" s="57"/>
      <c r="E104" s="59"/>
      <c r="F104" s="59"/>
      <c r="G104" s="59"/>
      <c r="H104" s="60"/>
      <c r="I104" s="61"/>
      <c r="J104" s="52"/>
    </row>
    <row r="105" spans="1:10" x14ac:dyDescent="0.25">
      <c r="A105" s="53"/>
      <c r="B105" s="53"/>
      <c r="C105" s="56"/>
      <c r="D105" s="57"/>
      <c r="E105" s="59"/>
      <c r="F105" s="59"/>
      <c r="G105" s="59"/>
      <c r="H105" s="60"/>
      <c r="I105" s="61"/>
      <c r="J105" s="52"/>
    </row>
    <row r="106" spans="1:10" x14ac:dyDescent="0.25">
      <c r="A106" s="53"/>
      <c r="B106" s="53"/>
      <c r="C106" s="56"/>
      <c r="D106" s="57"/>
      <c r="E106" s="59"/>
      <c r="F106" s="59"/>
      <c r="G106" s="59"/>
      <c r="H106" s="60"/>
      <c r="I106" s="61"/>
      <c r="J106" s="52"/>
    </row>
    <row r="107" spans="1:10" x14ac:dyDescent="0.25">
      <c r="A107" s="53"/>
      <c r="B107" s="53"/>
      <c r="C107" s="56"/>
      <c r="D107" s="57"/>
      <c r="E107" s="59"/>
      <c r="F107" s="59"/>
      <c r="G107" s="59"/>
      <c r="H107" s="60"/>
      <c r="I107" s="61"/>
      <c r="J107" s="52"/>
    </row>
    <row r="108" spans="1:10" x14ac:dyDescent="0.25">
      <c r="A108" s="53"/>
      <c r="B108" s="53"/>
      <c r="C108" s="56"/>
      <c r="D108" s="57"/>
      <c r="E108" s="59"/>
      <c r="F108" s="59"/>
      <c r="G108" s="59"/>
      <c r="H108" s="60"/>
      <c r="I108" s="61"/>
      <c r="J108" s="52"/>
    </row>
    <row r="109" spans="1:10" x14ac:dyDescent="0.25">
      <c r="A109" s="53"/>
      <c r="B109" s="53"/>
      <c r="C109" s="56"/>
      <c r="D109" s="57"/>
      <c r="E109" s="59"/>
      <c r="F109" s="59"/>
      <c r="G109" s="59"/>
      <c r="H109" s="60"/>
      <c r="I109" s="61"/>
      <c r="J109" s="52"/>
    </row>
    <row r="110" spans="1:10" x14ac:dyDescent="0.25">
      <c r="A110" s="53"/>
      <c r="B110" s="53"/>
      <c r="C110" s="56"/>
      <c r="D110" s="57"/>
      <c r="E110" s="59"/>
      <c r="F110" s="59"/>
      <c r="G110" s="59"/>
      <c r="H110" s="60"/>
      <c r="I110" s="61"/>
      <c r="J110" s="52"/>
    </row>
    <row r="111" spans="1:10" x14ac:dyDescent="0.25">
      <c r="A111" s="53"/>
      <c r="B111" s="53"/>
      <c r="C111" s="56"/>
      <c r="D111" s="57"/>
      <c r="E111" s="59"/>
      <c r="F111" s="59"/>
      <c r="G111" s="59"/>
      <c r="H111" s="60"/>
      <c r="I111" s="61"/>
      <c r="J111" s="52"/>
    </row>
    <row r="112" spans="1:10" x14ac:dyDescent="0.25">
      <c r="A112" s="53"/>
      <c r="B112" s="53"/>
      <c r="C112" s="56"/>
      <c r="D112" s="57"/>
      <c r="E112" s="59"/>
      <c r="F112" s="59"/>
      <c r="G112" s="59"/>
      <c r="H112" s="60"/>
      <c r="I112" s="61"/>
      <c r="J112" s="52"/>
    </row>
    <row r="113" spans="1:10" x14ac:dyDescent="0.25">
      <c r="A113" s="53"/>
      <c r="B113" s="53"/>
      <c r="C113" s="56"/>
      <c r="D113" s="57"/>
      <c r="E113" s="59"/>
      <c r="F113" s="59"/>
      <c r="G113" s="59"/>
      <c r="H113" s="60"/>
      <c r="I113" s="61"/>
      <c r="J113" s="52"/>
    </row>
    <row r="114" spans="1:10" x14ac:dyDescent="0.25">
      <c r="A114" s="53"/>
      <c r="B114" s="53"/>
      <c r="C114" s="56"/>
      <c r="D114" s="57"/>
      <c r="E114" s="59"/>
      <c r="F114" s="59"/>
      <c r="G114" s="59"/>
      <c r="H114" s="60"/>
      <c r="I114" s="61"/>
      <c r="J114" s="52"/>
    </row>
    <row r="115" spans="1:10" x14ac:dyDescent="0.25">
      <c r="A115" s="53"/>
      <c r="B115" s="53"/>
      <c r="C115" s="56"/>
      <c r="D115" s="57"/>
      <c r="E115" s="59"/>
      <c r="F115" s="59"/>
      <c r="G115" s="59"/>
      <c r="H115" s="60"/>
      <c r="I115" s="61"/>
      <c r="J115" s="52"/>
    </row>
    <row r="116" spans="1:10" x14ac:dyDescent="0.25">
      <c r="A116" s="53"/>
      <c r="B116" s="53"/>
      <c r="C116" s="56"/>
      <c r="D116" s="57"/>
      <c r="E116" s="59"/>
      <c r="F116" s="59"/>
      <c r="G116" s="59"/>
      <c r="H116" s="60"/>
      <c r="I116" s="61"/>
      <c r="J116" s="52"/>
    </row>
    <row r="117" spans="1:10" x14ac:dyDescent="0.25">
      <c r="A117" s="53"/>
      <c r="B117" s="53"/>
      <c r="C117" s="56"/>
      <c r="D117" s="57"/>
      <c r="E117" s="59"/>
      <c r="F117" s="59"/>
      <c r="G117" s="59"/>
      <c r="H117" s="60"/>
      <c r="I117" s="61"/>
      <c r="J117" s="52"/>
    </row>
    <row r="118" spans="1:10" x14ac:dyDescent="0.25">
      <c r="A118" s="53"/>
      <c r="B118" s="53"/>
      <c r="C118" s="56"/>
      <c r="D118" s="57"/>
      <c r="E118" s="59"/>
      <c r="F118" s="59"/>
      <c r="G118" s="59"/>
      <c r="H118" s="60"/>
      <c r="I118" s="61"/>
      <c r="J118" s="52"/>
    </row>
    <row r="119" spans="1:10" x14ac:dyDescent="0.25">
      <c r="A119" s="53"/>
      <c r="B119" s="53"/>
      <c r="C119" s="56"/>
      <c r="D119" s="57"/>
      <c r="E119" s="59"/>
      <c r="F119" s="59"/>
      <c r="G119" s="59"/>
      <c r="H119" s="60"/>
      <c r="I119" s="61"/>
      <c r="J119" s="52"/>
    </row>
    <row r="120" spans="1:10" x14ac:dyDescent="0.25">
      <c r="A120" s="53"/>
      <c r="B120" s="53"/>
      <c r="C120" s="56"/>
      <c r="D120" s="57"/>
      <c r="E120" s="59"/>
      <c r="F120" s="59"/>
      <c r="G120" s="59"/>
      <c r="H120" s="60"/>
      <c r="I120" s="61"/>
      <c r="J120" s="52"/>
    </row>
    <row r="121" spans="1:10" x14ac:dyDescent="0.25">
      <c r="A121" s="53"/>
      <c r="B121" s="53"/>
      <c r="C121" s="56"/>
      <c r="D121" s="57"/>
      <c r="E121" s="59"/>
      <c r="F121" s="59"/>
      <c r="G121" s="59"/>
      <c r="H121" s="60"/>
      <c r="I121" s="61"/>
      <c r="J121" s="52"/>
    </row>
    <row r="122" spans="1:10" x14ac:dyDescent="0.25">
      <c r="A122" s="53"/>
      <c r="B122" s="53"/>
      <c r="C122" s="56"/>
      <c r="D122" s="57"/>
      <c r="E122" s="59"/>
      <c r="F122" s="59"/>
      <c r="G122" s="59"/>
      <c r="H122" s="60"/>
      <c r="I122" s="61"/>
      <c r="J122" s="52"/>
    </row>
    <row r="123" spans="1:10" x14ac:dyDescent="0.25">
      <c r="A123" s="53"/>
      <c r="B123" s="53"/>
      <c r="C123" s="56"/>
      <c r="D123" s="57"/>
      <c r="E123" s="59"/>
      <c r="F123" s="59"/>
      <c r="G123" s="59"/>
      <c r="H123" s="60"/>
      <c r="I123" s="61"/>
      <c r="J123" s="52"/>
    </row>
    <row r="124" spans="1:10" x14ac:dyDescent="0.25">
      <c r="A124" s="53"/>
      <c r="B124" s="53"/>
      <c r="C124" s="56"/>
      <c r="D124" s="57"/>
      <c r="E124" s="59"/>
      <c r="F124" s="59"/>
      <c r="G124" s="59"/>
      <c r="H124" s="60"/>
      <c r="I124" s="61"/>
      <c r="J124" s="52"/>
    </row>
    <row r="125" spans="1:10" x14ac:dyDescent="0.25">
      <c r="A125" s="53"/>
      <c r="B125" s="53"/>
      <c r="C125" s="56"/>
      <c r="D125" s="57"/>
      <c r="E125" s="59"/>
      <c r="F125" s="59"/>
      <c r="G125" s="59"/>
      <c r="H125" s="60"/>
      <c r="I125" s="61"/>
      <c r="J125" s="52"/>
    </row>
    <row r="126" spans="1:10" x14ac:dyDescent="0.25">
      <c r="A126" s="53"/>
      <c r="B126" s="53"/>
      <c r="C126" s="56"/>
      <c r="D126" s="57"/>
      <c r="E126" s="59"/>
      <c r="F126" s="59"/>
      <c r="G126" s="59"/>
      <c r="H126" s="60"/>
      <c r="I126" s="61"/>
      <c r="J126" s="52"/>
    </row>
    <row r="127" spans="1:10" x14ac:dyDescent="0.25">
      <c r="A127" s="53"/>
      <c r="B127" s="53"/>
      <c r="C127" s="56"/>
      <c r="D127" s="57"/>
      <c r="E127" s="59"/>
      <c r="F127" s="59"/>
      <c r="G127" s="59"/>
      <c r="H127" s="60"/>
      <c r="I127" s="61"/>
      <c r="J127" s="52"/>
    </row>
    <row r="128" spans="1:10" x14ac:dyDescent="0.25">
      <c r="A128" s="53"/>
      <c r="B128" s="53"/>
      <c r="C128" s="56"/>
      <c r="D128" s="57"/>
      <c r="E128" s="59"/>
      <c r="F128" s="59"/>
      <c r="G128" s="59"/>
      <c r="H128" s="60"/>
      <c r="I128" s="61"/>
      <c r="J128" s="52"/>
    </row>
    <row r="129" spans="1:10" x14ac:dyDescent="0.25">
      <c r="A129" s="53"/>
      <c r="B129" s="53"/>
      <c r="C129" s="56"/>
      <c r="D129" s="57"/>
      <c r="E129" s="59"/>
      <c r="F129" s="59"/>
      <c r="G129" s="59"/>
      <c r="H129" s="60"/>
      <c r="I129" s="61"/>
      <c r="J129" s="52"/>
    </row>
    <row r="130" spans="1:10" x14ac:dyDescent="0.25">
      <c r="A130" s="53"/>
      <c r="B130" s="53"/>
      <c r="C130" s="56"/>
      <c r="D130" s="57"/>
      <c r="E130" s="59"/>
      <c r="F130" s="59"/>
      <c r="G130" s="59"/>
      <c r="H130" s="60"/>
      <c r="I130" s="61"/>
      <c r="J130" s="52"/>
    </row>
    <row r="131" spans="1:10" x14ac:dyDescent="0.25">
      <c r="A131" s="53"/>
      <c r="B131" s="53"/>
      <c r="C131" s="56"/>
      <c r="D131" s="57"/>
      <c r="E131" s="59"/>
      <c r="F131" s="59"/>
      <c r="G131" s="59"/>
      <c r="H131" s="60"/>
      <c r="I131" s="61"/>
      <c r="J131" s="52"/>
    </row>
    <row r="132" spans="1:10" x14ac:dyDescent="0.25">
      <c r="A132" s="53"/>
      <c r="B132" s="53"/>
      <c r="C132" s="56"/>
      <c r="D132" s="57"/>
      <c r="E132" s="59"/>
      <c r="F132" s="59"/>
      <c r="G132" s="59"/>
      <c r="H132" s="60"/>
      <c r="I132" s="61"/>
      <c r="J132" s="52"/>
    </row>
    <row r="133" spans="1:10" x14ac:dyDescent="0.25">
      <c r="A133" s="53"/>
      <c r="B133" s="53"/>
      <c r="C133" s="56"/>
      <c r="D133" s="57"/>
      <c r="E133" s="59"/>
      <c r="F133" s="59"/>
      <c r="G133" s="59"/>
      <c r="H133" s="60"/>
      <c r="I133" s="61"/>
      <c r="J133" s="52"/>
    </row>
    <row r="134" spans="1:10" x14ac:dyDescent="0.25">
      <c r="A134" s="53"/>
      <c r="B134" s="53"/>
      <c r="C134" s="56"/>
      <c r="D134" s="57"/>
      <c r="E134" s="59"/>
      <c r="F134" s="59"/>
      <c r="G134" s="59"/>
      <c r="H134" s="60"/>
      <c r="I134" s="61"/>
      <c r="J134" s="52"/>
    </row>
    <row r="135" spans="1:10" x14ac:dyDescent="0.25">
      <c r="A135" s="53"/>
      <c r="B135" s="53"/>
      <c r="C135" s="56"/>
      <c r="D135" s="57"/>
      <c r="E135" s="59"/>
      <c r="F135" s="59"/>
      <c r="G135" s="59"/>
      <c r="H135" s="60"/>
      <c r="I135" s="61"/>
      <c r="J135" s="52"/>
    </row>
    <row r="136" spans="1:10" x14ac:dyDescent="0.25">
      <c r="A136" s="53"/>
      <c r="B136" s="53"/>
      <c r="C136" s="56"/>
      <c r="D136" s="57"/>
      <c r="E136" s="59"/>
      <c r="F136" s="59"/>
      <c r="G136" s="59"/>
      <c r="H136" s="60"/>
      <c r="I136" s="61"/>
      <c r="J136" s="52"/>
    </row>
    <row r="137" spans="1:10" x14ac:dyDescent="0.25">
      <c r="A137" s="53"/>
      <c r="B137" s="53"/>
      <c r="C137" s="56"/>
      <c r="D137" s="57"/>
      <c r="E137" s="59"/>
      <c r="F137" s="59"/>
      <c r="G137" s="59"/>
      <c r="H137" s="60"/>
      <c r="I137" s="61"/>
      <c r="J137" s="52"/>
    </row>
    <row r="138" spans="1:10" x14ac:dyDescent="0.25">
      <c r="A138" s="53"/>
      <c r="B138" s="53"/>
      <c r="C138" s="56"/>
      <c r="D138" s="57"/>
      <c r="E138" s="59"/>
      <c r="F138" s="59"/>
      <c r="G138" s="59"/>
      <c r="H138" s="60"/>
      <c r="I138" s="61"/>
      <c r="J138" s="52"/>
    </row>
    <row r="139" spans="1:10" x14ac:dyDescent="0.25">
      <c r="A139" s="53"/>
      <c r="B139" s="53"/>
      <c r="C139" s="56"/>
      <c r="D139" s="57"/>
      <c r="E139" s="59"/>
      <c r="F139" s="59"/>
      <c r="G139" s="59"/>
      <c r="H139" s="60"/>
      <c r="I139" s="61"/>
      <c r="J139" s="52"/>
    </row>
    <row r="140" spans="1:10" x14ac:dyDescent="0.25">
      <c r="A140" s="53"/>
      <c r="B140" s="53"/>
      <c r="C140" s="56"/>
      <c r="D140" s="57"/>
      <c r="E140" s="59"/>
      <c r="F140" s="59"/>
      <c r="G140" s="59"/>
      <c r="H140" s="60"/>
      <c r="I140" s="61"/>
      <c r="J140" s="52"/>
    </row>
    <row r="141" spans="1:10" x14ac:dyDescent="0.25">
      <c r="A141" s="53"/>
      <c r="B141" s="53"/>
      <c r="C141" s="56"/>
      <c r="D141" s="57"/>
      <c r="E141" s="59"/>
      <c r="F141" s="59"/>
      <c r="G141" s="59"/>
      <c r="H141" s="60"/>
      <c r="I141" s="61"/>
      <c r="J141" s="52"/>
    </row>
    <row r="142" spans="1:10" x14ac:dyDescent="0.25">
      <c r="A142" s="53"/>
      <c r="B142" s="53"/>
      <c r="C142" s="56"/>
      <c r="D142" s="57"/>
      <c r="E142" s="59"/>
      <c r="F142" s="59"/>
      <c r="G142" s="59"/>
      <c r="H142" s="60"/>
      <c r="I142" s="61"/>
      <c r="J142" s="52"/>
    </row>
    <row r="143" spans="1:10" x14ac:dyDescent="0.25">
      <c r="A143" s="53"/>
      <c r="B143" s="53"/>
      <c r="C143" s="56"/>
      <c r="D143" s="57"/>
      <c r="E143" s="59"/>
      <c r="F143" s="59"/>
      <c r="G143" s="59"/>
      <c r="H143" s="60"/>
      <c r="I143" s="61"/>
      <c r="J143" s="52"/>
    </row>
    <row r="144" spans="1:10" x14ac:dyDescent="0.25">
      <c r="A144" s="53"/>
      <c r="B144" s="53"/>
      <c r="C144" s="56"/>
      <c r="D144" s="57"/>
      <c r="E144" s="59"/>
      <c r="F144" s="59"/>
      <c r="G144" s="59"/>
      <c r="H144" s="60"/>
      <c r="I144" s="61"/>
      <c r="J144" s="52"/>
    </row>
    <row r="145" spans="1:10" x14ac:dyDescent="0.25">
      <c r="A145" s="53"/>
      <c r="B145" s="53"/>
      <c r="C145" s="56"/>
      <c r="D145" s="57"/>
      <c r="E145" s="59"/>
      <c r="F145" s="59"/>
      <c r="G145" s="59"/>
      <c r="H145" s="60"/>
      <c r="I145" s="61"/>
      <c r="J145" s="52"/>
    </row>
    <row r="146" spans="1:10" x14ac:dyDescent="0.25">
      <c r="A146" s="53"/>
      <c r="B146" s="53"/>
      <c r="C146" s="56"/>
      <c r="D146" s="57"/>
      <c r="E146" s="59"/>
      <c r="F146" s="59"/>
      <c r="G146" s="59"/>
      <c r="H146" s="60"/>
      <c r="I146" s="61"/>
      <c r="J146" s="52"/>
    </row>
    <row r="147" spans="1:10" x14ac:dyDescent="0.25">
      <c r="A147" s="53"/>
      <c r="B147" s="53"/>
      <c r="C147" s="56"/>
      <c r="D147" s="57"/>
      <c r="E147" s="59"/>
      <c r="F147" s="59"/>
      <c r="G147" s="59"/>
      <c r="H147" s="60"/>
      <c r="I147" s="61"/>
      <c r="J147" s="52"/>
    </row>
    <row r="148" spans="1:10" x14ac:dyDescent="0.25">
      <c r="A148" s="53"/>
      <c r="B148" s="53"/>
      <c r="C148" s="56"/>
      <c r="D148" s="57"/>
      <c r="E148" s="59"/>
      <c r="F148" s="59"/>
      <c r="G148" s="59"/>
      <c r="H148" s="60"/>
      <c r="I148" s="61"/>
      <c r="J148" s="52"/>
    </row>
    <row r="149" spans="1:10" x14ac:dyDescent="0.25">
      <c r="A149" s="53"/>
      <c r="B149" s="53"/>
      <c r="C149" s="56"/>
      <c r="D149" s="57"/>
      <c r="E149" s="59"/>
      <c r="F149" s="59"/>
      <c r="G149" s="59"/>
      <c r="H149" s="60"/>
      <c r="I149" s="61"/>
      <c r="J149" s="52"/>
    </row>
    <row r="150" spans="1:10" x14ac:dyDescent="0.25">
      <c r="A150" s="53"/>
      <c r="B150" s="53"/>
      <c r="C150" s="56"/>
      <c r="D150" s="57"/>
      <c r="E150" s="59"/>
      <c r="F150" s="59"/>
      <c r="G150" s="59"/>
      <c r="H150" s="60"/>
      <c r="I150" s="61"/>
      <c r="J150" s="52"/>
    </row>
    <row r="151" spans="1:10" x14ac:dyDescent="0.25">
      <c r="A151" s="53"/>
      <c r="B151" s="53"/>
      <c r="C151" s="56"/>
      <c r="D151" s="57"/>
      <c r="E151" s="59"/>
      <c r="F151" s="59"/>
      <c r="G151" s="59"/>
      <c r="H151" s="60"/>
      <c r="I151" s="61"/>
      <c r="J151" s="52"/>
    </row>
    <row r="152" spans="1:10" x14ac:dyDescent="0.25">
      <c r="A152" s="53"/>
      <c r="B152" s="53"/>
      <c r="C152" s="56"/>
      <c r="D152" s="57"/>
      <c r="E152" s="59"/>
      <c r="F152" s="59"/>
      <c r="G152" s="59"/>
      <c r="H152" s="60"/>
      <c r="I152" s="61"/>
      <c r="J152" s="52"/>
    </row>
    <row r="153" spans="1:10" x14ac:dyDescent="0.25">
      <c r="A153" s="53"/>
      <c r="B153" s="53"/>
      <c r="C153" s="56"/>
      <c r="D153" s="57"/>
      <c r="E153" s="59"/>
      <c r="F153" s="59"/>
      <c r="G153" s="59"/>
      <c r="H153" s="60"/>
      <c r="I153" s="61"/>
      <c r="J153" s="52"/>
    </row>
    <row r="154" spans="1:10" x14ac:dyDescent="0.25">
      <c r="A154" s="53"/>
      <c r="B154" s="53"/>
      <c r="C154" s="56"/>
      <c r="D154" s="57"/>
      <c r="E154" s="59"/>
      <c r="F154" s="59"/>
      <c r="G154" s="59"/>
      <c r="H154" s="60"/>
      <c r="I154" s="61"/>
      <c r="J154" s="52"/>
    </row>
    <row r="155" spans="1:10" x14ac:dyDescent="0.25">
      <c r="A155" s="53"/>
      <c r="B155" s="53"/>
      <c r="C155" s="56"/>
      <c r="D155" s="57"/>
      <c r="E155" s="59"/>
      <c r="F155" s="59"/>
      <c r="G155" s="59"/>
      <c r="H155" s="60"/>
      <c r="I155" s="61"/>
      <c r="J155" s="52"/>
    </row>
    <row r="156" spans="1:10" x14ac:dyDescent="0.25">
      <c r="A156" s="53"/>
      <c r="B156" s="53"/>
      <c r="C156" s="56"/>
      <c r="D156" s="57"/>
      <c r="E156" s="59"/>
      <c r="F156" s="59"/>
      <c r="G156" s="59"/>
      <c r="H156" s="60"/>
      <c r="I156" s="61"/>
      <c r="J156" s="52"/>
    </row>
    <row r="157" spans="1:10" x14ac:dyDescent="0.25">
      <c r="A157" s="53"/>
      <c r="B157" s="53"/>
      <c r="C157" s="56"/>
      <c r="D157" s="57"/>
      <c r="E157" s="59"/>
      <c r="F157" s="59"/>
      <c r="G157" s="59"/>
      <c r="H157" s="60"/>
      <c r="I157" s="61"/>
      <c r="J157" s="52"/>
    </row>
    <row r="158" spans="1:10" x14ac:dyDescent="0.25">
      <c r="A158" s="53"/>
      <c r="B158" s="53"/>
      <c r="C158" s="56"/>
      <c r="D158" s="57"/>
      <c r="E158" s="59"/>
      <c r="F158" s="59"/>
      <c r="G158" s="59"/>
      <c r="H158" s="60"/>
      <c r="I158" s="61"/>
      <c r="J158" s="52"/>
    </row>
    <row r="159" spans="1:10" x14ac:dyDescent="0.25">
      <c r="A159" s="53"/>
      <c r="B159" s="53"/>
      <c r="C159" s="56"/>
      <c r="D159" s="57"/>
      <c r="E159" s="59"/>
      <c r="F159" s="59"/>
      <c r="G159" s="59"/>
      <c r="H159" s="60"/>
      <c r="I159" s="61"/>
      <c r="J159" s="52"/>
    </row>
    <row r="160" spans="1:10" x14ac:dyDescent="0.25">
      <c r="A160" s="53"/>
      <c r="B160" s="53"/>
      <c r="C160" s="56"/>
      <c r="D160" s="57"/>
      <c r="E160" s="59"/>
      <c r="F160" s="59"/>
      <c r="G160" s="59"/>
      <c r="H160" s="60"/>
      <c r="I160" s="61"/>
      <c r="J160" s="52"/>
    </row>
    <row r="161" spans="1:10" x14ac:dyDescent="0.25">
      <c r="A161" s="53"/>
      <c r="B161" s="53"/>
      <c r="C161" s="56"/>
      <c r="D161" s="57"/>
      <c r="E161" s="59"/>
      <c r="F161" s="59"/>
      <c r="G161" s="59"/>
      <c r="H161" s="60"/>
      <c r="I161" s="61"/>
      <c r="J161" s="52"/>
    </row>
    <row r="162" spans="1:10" x14ac:dyDescent="0.25">
      <c r="A162" s="53"/>
      <c r="B162" s="53"/>
      <c r="C162" s="56"/>
      <c r="D162" s="57"/>
      <c r="E162" s="59"/>
      <c r="F162" s="59"/>
      <c r="G162" s="59"/>
      <c r="H162" s="60"/>
      <c r="I162" s="61"/>
      <c r="J162" s="52"/>
    </row>
    <row r="163" spans="1:10" x14ac:dyDescent="0.25">
      <c r="A163" s="53"/>
      <c r="B163" s="53"/>
      <c r="C163" s="56"/>
      <c r="D163" s="57"/>
      <c r="E163" s="59"/>
      <c r="F163" s="59"/>
      <c r="G163" s="59"/>
      <c r="H163" s="60"/>
      <c r="I163" s="61"/>
      <c r="J163" s="52"/>
    </row>
    <row r="164" spans="1:10" x14ac:dyDescent="0.25">
      <c r="A164" s="53"/>
      <c r="B164" s="53"/>
      <c r="C164" s="56"/>
      <c r="D164" s="57"/>
      <c r="E164" s="59"/>
      <c r="F164" s="59"/>
      <c r="G164" s="59"/>
      <c r="H164" s="60"/>
      <c r="I164" s="61"/>
      <c r="J164" s="52"/>
    </row>
    <row r="165" spans="1:10" x14ac:dyDescent="0.25">
      <c r="A165" s="53"/>
      <c r="B165" s="53"/>
      <c r="C165" s="56"/>
      <c r="D165" s="57"/>
      <c r="E165" s="59"/>
      <c r="F165" s="59"/>
      <c r="G165" s="59"/>
      <c r="H165" s="60"/>
      <c r="I165" s="61"/>
      <c r="J165" s="52"/>
    </row>
    <row r="166" spans="1:10" x14ac:dyDescent="0.25">
      <c r="A166" s="53"/>
      <c r="B166" s="53"/>
      <c r="C166" s="56"/>
      <c r="D166" s="57"/>
      <c r="E166" s="59"/>
      <c r="F166" s="59"/>
      <c r="G166" s="59"/>
      <c r="H166" s="60"/>
      <c r="I166" s="61"/>
      <c r="J166" s="52"/>
    </row>
    <row r="167" spans="1:10" x14ac:dyDescent="0.25">
      <c r="A167" s="53"/>
      <c r="B167" s="53"/>
      <c r="C167" s="56"/>
      <c r="D167" s="57"/>
      <c r="E167" s="59"/>
      <c r="F167" s="59"/>
      <c r="G167" s="59"/>
      <c r="H167" s="60"/>
      <c r="I167" s="61"/>
      <c r="J167" s="52"/>
    </row>
    <row r="168" spans="1:10" x14ac:dyDescent="0.25">
      <c r="A168" s="53"/>
      <c r="B168" s="53"/>
      <c r="C168" s="56"/>
      <c r="D168" s="57"/>
      <c r="E168" s="59"/>
      <c r="F168" s="59"/>
      <c r="G168" s="59"/>
      <c r="H168" s="60"/>
      <c r="I168" s="61"/>
      <c r="J168" s="52"/>
    </row>
    <row r="169" spans="1:10" x14ac:dyDescent="0.25">
      <c r="A169" s="53"/>
      <c r="B169" s="53"/>
      <c r="C169" s="56"/>
      <c r="D169" s="57"/>
      <c r="E169" s="59"/>
      <c r="F169" s="59"/>
      <c r="G169" s="59"/>
      <c r="H169" s="60"/>
      <c r="I169" s="61"/>
      <c r="J169" s="52"/>
    </row>
    <row r="170" spans="1:10" x14ac:dyDescent="0.25">
      <c r="A170" s="53"/>
      <c r="B170" s="53"/>
      <c r="C170" s="56"/>
      <c r="D170" s="57"/>
      <c r="E170" s="59"/>
      <c r="F170" s="59"/>
      <c r="G170" s="59"/>
      <c r="H170" s="60"/>
      <c r="I170" s="61"/>
      <c r="J170" s="52"/>
    </row>
    <row r="171" spans="1:10" x14ac:dyDescent="0.25">
      <c r="A171" s="53"/>
      <c r="B171" s="53"/>
      <c r="C171" s="56"/>
      <c r="D171" s="57"/>
      <c r="E171" s="59"/>
      <c r="F171" s="59"/>
      <c r="G171" s="59"/>
      <c r="H171" s="60"/>
      <c r="I171" s="61"/>
      <c r="J171" s="52"/>
    </row>
    <row r="172" spans="1:10" x14ac:dyDescent="0.25">
      <c r="A172" s="53"/>
      <c r="B172" s="53"/>
      <c r="C172" s="56"/>
      <c r="D172" s="57"/>
      <c r="E172" s="59"/>
      <c r="F172" s="59"/>
      <c r="G172" s="59"/>
      <c r="H172" s="60"/>
      <c r="I172" s="61"/>
      <c r="J172" s="52"/>
    </row>
    <row r="173" spans="1:10" x14ac:dyDescent="0.25">
      <c r="A173" s="53"/>
      <c r="B173" s="53"/>
      <c r="C173" s="56"/>
      <c r="D173" s="57"/>
      <c r="E173" s="59"/>
      <c r="F173" s="59"/>
      <c r="G173" s="59"/>
      <c r="H173" s="60"/>
      <c r="I173" s="61"/>
      <c r="J173" s="52"/>
    </row>
    <row r="174" spans="1:10" x14ac:dyDescent="0.25">
      <c r="A174" s="53"/>
      <c r="B174" s="53"/>
      <c r="C174" s="56"/>
      <c r="D174" s="57"/>
      <c r="E174" s="59"/>
      <c r="F174" s="59"/>
      <c r="G174" s="59"/>
      <c r="H174" s="60"/>
      <c r="I174" s="61"/>
      <c r="J174" s="52"/>
    </row>
    <row r="175" spans="1:10" x14ac:dyDescent="0.25">
      <c r="A175" s="53"/>
      <c r="B175" s="53"/>
      <c r="C175" s="56"/>
      <c r="D175" s="57"/>
      <c r="E175" s="59"/>
      <c r="F175" s="59"/>
      <c r="G175" s="59"/>
      <c r="H175" s="60"/>
      <c r="I175" s="61"/>
      <c r="J175" s="52"/>
    </row>
    <row r="176" spans="1:10" x14ac:dyDescent="0.25">
      <c r="A176" s="53"/>
      <c r="B176" s="53"/>
      <c r="C176" s="56"/>
      <c r="D176" s="57"/>
      <c r="E176" s="59"/>
      <c r="F176" s="59"/>
      <c r="G176" s="59"/>
      <c r="H176" s="60"/>
      <c r="I176" s="61"/>
      <c r="J176" s="52"/>
    </row>
    <row r="177" spans="1:10" x14ac:dyDescent="0.25">
      <c r="A177" s="53"/>
      <c r="B177" s="53"/>
      <c r="C177" s="56"/>
      <c r="D177" s="57"/>
      <c r="E177" s="59"/>
      <c r="F177" s="59"/>
      <c r="G177" s="59"/>
      <c r="H177" s="60"/>
      <c r="I177" s="61"/>
      <c r="J177" s="52"/>
    </row>
    <row r="178" spans="1:10" x14ac:dyDescent="0.25">
      <c r="A178" s="53"/>
      <c r="B178" s="53"/>
      <c r="C178" s="56"/>
      <c r="D178" s="57"/>
      <c r="E178" s="59"/>
      <c r="F178" s="59"/>
      <c r="G178" s="59"/>
      <c r="H178" s="60"/>
      <c r="I178" s="61"/>
      <c r="J178" s="52"/>
    </row>
    <row r="179" spans="1:10" x14ac:dyDescent="0.25">
      <c r="A179" s="53"/>
      <c r="B179" s="53"/>
      <c r="C179" s="56"/>
      <c r="D179" s="57"/>
      <c r="E179" s="59"/>
      <c r="F179" s="59"/>
      <c r="G179" s="59"/>
      <c r="H179" s="60"/>
      <c r="I179" s="61"/>
      <c r="J179" s="52"/>
    </row>
    <row r="180" spans="1:10" x14ac:dyDescent="0.25">
      <c r="A180" s="53"/>
      <c r="B180" s="53"/>
      <c r="C180" s="56"/>
      <c r="D180" s="57"/>
      <c r="E180" s="59"/>
      <c r="F180" s="59"/>
      <c r="G180" s="59"/>
      <c r="H180" s="60"/>
      <c r="I180" s="61"/>
      <c r="J180" s="52"/>
    </row>
    <row r="181" spans="1:10" x14ac:dyDescent="0.25">
      <c r="A181" s="53"/>
      <c r="B181" s="53"/>
      <c r="C181" s="56"/>
      <c r="D181" s="57"/>
      <c r="E181" s="59"/>
      <c r="F181" s="59"/>
      <c r="G181" s="59"/>
      <c r="H181" s="60"/>
      <c r="I181" s="61"/>
      <c r="J181" s="52"/>
    </row>
    <row r="182" spans="1:10" x14ac:dyDescent="0.25">
      <c r="A182" s="53"/>
      <c r="B182" s="53"/>
      <c r="C182" s="56"/>
      <c r="D182" s="57"/>
      <c r="E182" s="59"/>
      <c r="F182" s="59"/>
      <c r="G182" s="59"/>
      <c r="H182" s="60"/>
      <c r="I182" s="61"/>
      <c r="J182" s="52"/>
    </row>
    <row r="183" spans="1:10" x14ac:dyDescent="0.25">
      <c r="A183" s="53"/>
      <c r="B183" s="53"/>
      <c r="C183" s="56"/>
      <c r="D183" s="57"/>
      <c r="E183" s="59"/>
      <c r="F183" s="59"/>
      <c r="G183" s="59"/>
      <c r="H183" s="60"/>
      <c r="I183" s="61"/>
      <c r="J183" s="52"/>
    </row>
    <row r="184" spans="1:10" x14ac:dyDescent="0.25">
      <c r="A184" s="53"/>
      <c r="B184" s="53"/>
      <c r="C184" s="56"/>
      <c r="D184" s="57"/>
      <c r="E184" s="59"/>
      <c r="F184" s="59"/>
      <c r="G184" s="59"/>
      <c r="H184" s="60"/>
      <c r="I184" s="61"/>
      <c r="J184" s="52"/>
    </row>
    <row r="185" spans="1:10" x14ac:dyDescent="0.25">
      <c r="A185" s="53"/>
      <c r="B185" s="53"/>
      <c r="C185" s="56"/>
      <c r="D185" s="57"/>
      <c r="E185" s="59"/>
      <c r="F185" s="59"/>
      <c r="G185" s="59"/>
      <c r="H185" s="60"/>
      <c r="I185" s="61"/>
      <c r="J185" s="52"/>
    </row>
    <row r="186" spans="1:10" x14ac:dyDescent="0.25">
      <c r="A186" s="53"/>
      <c r="B186" s="53"/>
      <c r="C186" s="56"/>
      <c r="D186" s="57"/>
      <c r="E186" s="59"/>
      <c r="F186" s="59"/>
      <c r="G186" s="59"/>
      <c r="H186" s="60"/>
      <c r="I186" s="61"/>
      <c r="J186" s="52"/>
    </row>
    <row r="187" spans="1:10" x14ac:dyDescent="0.25">
      <c r="A187" s="53"/>
      <c r="B187" s="53"/>
      <c r="C187" s="56"/>
      <c r="D187" s="57"/>
      <c r="E187" s="59"/>
      <c r="F187" s="59"/>
      <c r="G187" s="59"/>
      <c r="H187" s="60"/>
      <c r="I187" s="61"/>
      <c r="J187" s="52"/>
    </row>
    <row r="188" spans="1:10" x14ac:dyDescent="0.25">
      <c r="A188" s="53"/>
      <c r="B188" s="53"/>
      <c r="C188" s="56"/>
      <c r="D188" s="57"/>
      <c r="E188" s="59"/>
      <c r="F188" s="59"/>
      <c r="G188" s="59"/>
      <c r="H188" s="60"/>
      <c r="I188" s="61"/>
      <c r="J188" s="52"/>
    </row>
    <row r="189" spans="1:10" x14ac:dyDescent="0.25">
      <c r="A189" s="53"/>
      <c r="B189" s="53"/>
      <c r="C189" s="56"/>
      <c r="D189" s="57"/>
      <c r="E189" s="59"/>
      <c r="F189" s="59"/>
      <c r="G189" s="59"/>
      <c r="H189" s="60"/>
      <c r="I189" s="61"/>
      <c r="J189" s="52"/>
    </row>
    <row r="190" spans="1:10" x14ac:dyDescent="0.25">
      <c r="A190" s="53"/>
      <c r="B190" s="53"/>
      <c r="C190" s="56"/>
      <c r="D190" s="57"/>
      <c r="E190" s="59"/>
      <c r="F190" s="59"/>
      <c r="G190" s="59"/>
      <c r="H190" s="60"/>
      <c r="I190" s="61"/>
      <c r="J190" s="52"/>
    </row>
    <row r="191" spans="1:10" x14ac:dyDescent="0.25">
      <c r="A191" s="53"/>
      <c r="B191" s="53"/>
      <c r="C191" s="56"/>
      <c r="D191" s="57"/>
      <c r="E191" s="59"/>
      <c r="F191" s="59"/>
      <c r="G191" s="59"/>
      <c r="H191" s="60"/>
      <c r="I191" s="61"/>
      <c r="J191" s="52"/>
    </row>
    <row r="192" spans="1:10" x14ac:dyDescent="0.25">
      <c r="A192" s="53"/>
      <c r="B192" s="53"/>
      <c r="C192" s="56"/>
      <c r="D192" s="57"/>
      <c r="E192" s="59"/>
      <c r="F192" s="59"/>
      <c r="G192" s="59"/>
      <c r="H192" s="60"/>
      <c r="I192" s="61"/>
      <c r="J192" s="52"/>
    </row>
    <row r="193" spans="1:10" x14ac:dyDescent="0.25">
      <c r="A193" s="53"/>
      <c r="B193" s="53"/>
      <c r="C193" s="56"/>
      <c r="D193" s="57"/>
      <c r="E193" s="59"/>
      <c r="F193" s="59"/>
      <c r="G193" s="59"/>
      <c r="H193" s="60"/>
      <c r="I193" s="61"/>
      <c r="J193" s="52"/>
    </row>
    <row r="194" spans="1:10" x14ac:dyDescent="0.25">
      <c r="A194" s="53"/>
      <c r="B194" s="53"/>
      <c r="C194" s="56"/>
      <c r="D194" s="57"/>
      <c r="E194" s="59"/>
      <c r="F194" s="59"/>
      <c r="G194" s="59"/>
      <c r="H194" s="60"/>
      <c r="I194" s="61"/>
      <c r="J194" s="52"/>
    </row>
    <row r="195" spans="1:10" x14ac:dyDescent="0.25">
      <c r="A195" s="53"/>
      <c r="B195" s="53"/>
      <c r="C195" s="56"/>
      <c r="D195" s="57"/>
      <c r="E195" s="59"/>
      <c r="F195" s="59"/>
      <c r="G195" s="59"/>
      <c r="H195" s="60"/>
      <c r="I195" s="61"/>
      <c r="J195" s="52"/>
    </row>
    <row r="196" spans="1:10" x14ac:dyDescent="0.25">
      <c r="A196" s="53"/>
      <c r="B196" s="53"/>
      <c r="C196" s="56"/>
      <c r="D196" s="57"/>
      <c r="E196" s="59"/>
      <c r="F196" s="59"/>
      <c r="G196" s="59"/>
      <c r="H196" s="60"/>
      <c r="I196" s="61"/>
      <c r="J196" s="52"/>
    </row>
    <row r="197" spans="1:10" x14ac:dyDescent="0.25">
      <c r="A197" s="53"/>
      <c r="B197" s="53"/>
      <c r="C197" s="56"/>
      <c r="D197" s="57"/>
      <c r="E197" s="59"/>
      <c r="F197" s="59"/>
      <c r="G197" s="59"/>
      <c r="H197" s="60"/>
      <c r="I197" s="61"/>
      <c r="J197" s="52"/>
    </row>
    <row r="198" spans="1:10" x14ac:dyDescent="0.25">
      <c r="A198" s="53"/>
      <c r="B198" s="53"/>
      <c r="C198" s="56"/>
      <c r="D198" s="57"/>
      <c r="E198" s="59"/>
      <c r="F198" s="59"/>
      <c r="G198" s="59"/>
      <c r="H198" s="60"/>
      <c r="I198" s="61"/>
      <c r="J198" s="52"/>
    </row>
    <row r="199" spans="1:10" x14ac:dyDescent="0.25">
      <c r="A199" s="53"/>
      <c r="B199" s="53"/>
      <c r="C199" s="56"/>
      <c r="D199" s="57"/>
      <c r="E199" s="59"/>
      <c r="F199" s="59"/>
      <c r="G199" s="59"/>
      <c r="H199" s="60"/>
      <c r="I199" s="61"/>
      <c r="J199" s="52"/>
    </row>
    <row r="200" spans="1:10" x14ac:dyDescent="0.25">
      <c r="A200" s="53"/>
      <c r="B200" s="53"/>
      <c r="C200" s="56"/>
      <c r="D200" s="57"/>
      <c r="E200" s="59"/>
      <c r="F200" s="59"/>
      <c r="G200" s="59"/>
      <c r="H200" s="60"/>
      <c r="I200" s="61"/>
      <c r="J200" s="52"/>
    </row>
    <row r="201" spans="1:10" x14ac:dyDescent="0.25">
      <c r="A201" s="53"/>
      <c r="B201" s="53"/>
      <c r="C201" s="56"/>
      <c r="D201" s="57"/>
      <c r="E201" s="59"/>
      <c r="F201" s="59"/>
      <c r="G201" s="59"/>
      <c r="H201" s="60"/>
      <c r="I201" s="61"/>
      <c r="J201" s="52"/>
    </row>
    <row r="202" spans="1:10" x14ac:dyDescent="0.25">
      <c r="A202" s="53"/>
      <c r="B202" s="53"/>
      <c r="C202" s="56"/>
      <c r="D202" s="57"/>
      <c r="E202" s="59"/>
      <c r="F202" s="59"/>
      <c r="G202" s="59"/>
      <c r="H202" s="60"/>
      <c r="I202" s="61"/>
      <c r="J202" s="52"/>
    </row>
    <row r="203" spans="1:10" x14ac:dyDescent="0.25">
      <c r="A203" s="53"/>
      <c r="B203" s="53"/>
      <c r="C203" s="56"/>
      <c r="D203" s="57"/>
      <c r="E203" s="59"/>
      <c r="F203" s="59"/>
      <c r="G203" s="59"/>
      <c r="H203" s="60"/>
      <c r="I203" s="61"/>
      <c r="J203" s="52"/>
    </row>
    <row r="204" spans="1:10" x14ac:dyDescent="0.25">
      <c r="A204" s="53"/>
      <c r="B204" s="53"/>
      <c r="C204" s="56"/>
      <c r="D204" s="57"/>
      <c r="E204" s="59"/>
      <c r="F204" s="59"/>
      <c r="G204" s="59"/>
      <c r="H204" s="60"/>
      <c r="I204" s="61"/>
      <c r="J204" s="52"/>
    </row>
    <row r="205" spans="1:10" x14ac:dyDescent="0.25">
      <c r="A205" s="53"/>
      <c r="B205" s="53"/>
      <c r="C205" s="56"/>
      <c r="D205" s="57"/>
      <c r="E205" s="59"/>
      <c r="F205" s="59"/>
      <c r="G205" s="59"/>
      <c r="H205" s="60"/>
      <c r="I205" s="61"/>
      <c r="J205" s="52"/>
    </row>
    <row r="206" spans="1:10" x14ac:dyDescent="0.25">
      <c r="A206" s="53"/>
      <c r="B206" s="53"/>
      <c r="C206" s="56"/>
      <c r="D206" s="57"/>
      <c r="E206" s="59"/>
      <c r="F206" s="59"/>
      <c r="G206" s="59"/>
      <c r="H206" s="60"/>
      <c r="I206" s="61"/>
      <c r="J206" s="52"/>
    </row>
    <row r="207" spans="1:10" x14ac:dyDescent="0.25">
      <c r="A207" s="53"/>
      <c r="B207" s="53"/>
      <c r="C207" s="56"/>
      <c r="D207" s="57"/>
      <c r="E207" s="59"/>
      <c r="F207" s="59"/>
      <c r="G207" s="59"/>
      <c r="H207" s="60"/>
      <c r="I207" s="61"/>
      <c r="J207" s="52"/>
    </row>
    <row r="208" spans="1:10" x14ac:dyDescent="0.25">
      <c r="A208" s="53"/>
      <c r="B208" s="53"/>
      <c r="C208" s="56"/>
      <c r="D208" s="57"/>
      <c r="E208" s="59"/>
      <c r="F208" s="59"/>
      <c r="G208" s="59"/>
      <c r="H208" s="60"/>
      <c r="I208" s="61"/>
      <c r="J208" s="52"/>
    </row>
    <row r="209" spans="1:10" x14ac:dyDescent="0.25">
      <c r="A209" s="53"/>
      <c r="B209" s="53"/>
      <c r="C209" s="56"/>
      <c r="D209" s="57"/>
      <c r="E209" s="59"/>
      <c r="F209" s="59"/>
      <c r="G209" s="59"/>
      <c r="H209" s="60"/>
      <c r="I209" s="61"/>
      <c r="J209" s="52"/>
    </row>
    <row r="210" spans="1:10" x14ac:dyDescent="0.25">
      <c r="A210" s="53"/>
      <c r="B210" s="53"/>
      <c r="C210" s="56"/>
      <c r="D210" s="57"/>
      <c r="E210" s="59"/>
      <c r="F210" s="59"/>
      <c r="G210" s="59"/>
      <c r="H210" s="60"/>
      <c r="I210" s="61"/>
      <c r="J210" s="52"/>
    </row>
    <row r="211" spans="1:10" x14ac:dyDescent="0.25">
      <c r="A211" s="53"/>
      <c r="B211" s="53"/>
      <c r="C211" s="56"/>
      <c r="D211" s="57"/>
      <c r="E211" s="59"/>
      <c r="F211" s="59"/>
      <c r="G211" s="59"/>
      <c r="H211" s="60"/>
      <c r="I211" s="61"/>
      <c r="J211" s="52"/>
    </row>
    <row r="212" spans="1:10" x14ac:dyDescent="0.25">
      <c r="A212" s="53"/>
      <c r="B212" s="53"/>
      <c r="C212" s="56"/>
      <c r="D212" s="57"/>
      <c r="E212" s="59"/>
      <c r="F212" s="59"/>
      <c r="G212" s="59"/>
      <c r="H212" s="60"/>
      <c r="I212" s="61"/>
      <c r="J212" s="52"/>
    </row>
    <row r="213" spans="1:10" x14ac:dyDescent="0.25">
      <c r="A213" s="53"/>
      <c r="B213" s="53"/>
      <c r="C213" s="56"/>
      <c r="D213" s="57"/>
      <c r="E213" s="59"/>
      <c r="F213" s="59"/>
      <c r="G213" s="59"/>
      <c r="H213" s="60"/>
      <c r="I213" s="61"/>
      <c r="J213" s="52"/>
    </row>
    <row r="214" spans="1:10" x14ac:dyDescent="0.25">
      <c r="A214" s="53"/>
      <c r="B214" s="53"/>
      <c r="C214" s="56"/>
      <c r="D214" s="57"/>
      <c r="E214" s="59"/>
      <c r="F214" s="59"/>
      <c r="G214" s="59"/>
      <c r="H214" s="60"/>
      <c r="I214" s="61"/>
      <c r="J214" s="52"/>
    </row>
    <row r="215" spans="1:10" x14ac:dyDescent="0.25">
      <c r="A215" s="53"/>
      <c r="B215" s="53"/>
      <c r="C215" s="56"/>
      <c r="D215" s="57"/>
      <c r="E215" s="59"/>
      <c r="F215" s="59"/>
      <c r="G215" s="59"/>
      <c r="H215" s="60"/>
      <c r="I215" s="61"/>
      <c r="J215" s="52"/>
    </row>
    <row r="216" spans="1:10" x14ac:dyDescent="0.25">
      <c r="A216" s="53"/>
      <c r="B216" s="53"/>
      <c r="C216" s="56"/>
      <c r="D216" s="57"/>
      <c r="E216" s="59"/>
      <c r="F216" s="59"/>
      <c r="G216" s="59"/>
      <c r="H216" s="60"/>
      <c r="I216" s="61"/>
      <c r="J216" s="52"/>
    </row>
    <row r="217" spans="1:10" x14ac:dyDescent="0.25">
      <c r="A217" s="53"/>
      <c r="B217" s="53"/>
      <c r="C217" s="56"/>
      <c r="D217" s="57"/>
      <c r="E217" s="59"/>
      <c r="F217" s="59"/>
      <c r="G217" s="59"/>
      <c r="H217" s="60"/>
      <c r="I217" s="61"/>
      <c r="J217" s="52"/>
    </row>
    <row r="218" spans="1:10" x14ac:dyDescent="0.25">
      <c r="A218" s="53"/>
      <c r="B218" s="53"/>
      <c r="C218" s="56"/>
      <c r="D218" s="57"/>
      <c r="E218" s="59"/>
      <c r="F218" s="59"/>
      <c r="G218" s="59"/>
      <c r="H218" s="60"/>
      <c r="I218" s="61"/>
      <c r="J218" s="52"/>
    </row>
    <row r="219" spans="1:10" x14ac:dyDescent="0.25">
      <c r="A219" s="53"/>
      <c r="B219" s="53"/>
      <c r="C219" s="56"/>
      <c r="D219" s="57"/>
      <c r="E219" s="59"/>
      <c r="F219" s="59"/>
      <c r="G219" s="59"/>
      <c r="H219" s="60"/>
      <c r="I219" s="61"/>
      <c r="J219" s="52"/>
    </row>
    <row r="220" spans="1:10" x14ac:dyDescent="0.25">
      <c r="A220" s="53"/>
      <c r="B220" s="53"/>
      <c r="C220" s="56"/>
      <c r="D220" s="57"/>
      <c r="E220" s="59"/>
      <c r="F220" s="59"/>
      <c r="G220" s="59"/>
      <c r="H220" s="60"/>
      <c r="I220" s="61"/>
      <c r="J220" s="52"/>
    </row>
    <row r="221" spans="1:10" x14ac:dyDescent="0.25">
      <c r="A221" s="53"/>
      <c r="B221" s="53"/>
      <c r="C221" s="56"/>
      <c r="D221" s="57"/>
      <c r="E221" s="59"/>
      <c r="F221" s="59"/>
      <c r="G221" s="59"/>
      <c r="H221" s="60"/>
      <c r="I221" s="61"/>
      <c r="J221" s="52"/>
    </row>
    <row r="222" spans="1:10" x14ac:dyDescent="0.25">
      <c r="A222" s="53"/>
      <c r="B222" s="53"/>
      <c r="C222" s="56"/>
      <c r="D222" s="57"/>
      <c r="E222" s="59"/>
      <c r="F222" s="59"/>
      <c r="G222" s="59"/>
      <c r="H222" s="60"/>
      <c r="I222" s="61"/>
      <c r="J222" s="52"/>
    </row>
    <row r="223" spans="1:10" x14ac:dyDescent="0.25">
      <c r="A223" s="53"/>
      <c r="B223" s="53"/>
      <c r="C223" s="56"/>
      <c r="D223" s="57"/>
      <c r="E223" s="59"/>
      <c r="F223" s="59"/>
      <c r="G223" s="59"/>
      <c r="H223" s="60"/>
      <c r="I223" s="61"/>
      <c r="J223" s="52"/>
    </row>
    <row r="224" spans="1:10" x14ac:dyDescent="0.25">
      <c r="A224" s="53"/>
      <c r="B224" s="53"/>
      <c r="C224" s="56"/>
      <c r="D224" s="57"/>
      <c r="E224" s="59"/>
      <c r="F224" s="59"/>
      <c r="G224" s="59"/>
      <c r="H224" s="60"/>
      <c r="I224" s="61"/>
      <c r="J224" s="52"/>
    </row>
    <row r="225" spans="1:10" x14ac:dyDescent="0.25">
      <c r="A225" s="53"/>
      <c r="B225" s="53"/>
      <c r="C225" s="56"/>
      <c r="D225" s="57"/>
      <c r="E225" s="59"/>
      <c r="F225" s="59"/>
      <c r="G225" s="59"/>
      <c r="H225" s="60"/>
      <c r="I225" s="61"/>
      <c r="J225" s="52"/>
    </row>
    <row r="226" spans="1:10" x14ac:dyDescent="0.25">
      <c r="A226" s="53"/>
      <c r="B226" s="53"/>
      <c r="C226" s="56"/>
      <c r="D226" s="57"/>
      <c r="E226" s="59"/>
      <c r="F226" s="59"/>
      <c r="G226" s="59"/>
      <c r="H226" s="60"/>
      <c r="I226" s="61"/>
      <c r="J226" s="52"/>
    </row>
    <row r="227" spans="1:10" x14ac:dyDescent="0.25">
      <c r="A227" s="53"/>
      <c r="B227" s="53"/>
      <c r="C227" s="56"/>
      <c r="D227" s="57"/>
      <c r="E227" s="59"/>
      <c r="F227" s="59"/>
      <c r="G227" s="59"/>
      <c r="H227" s="60"/>
      <c r="I227" s="61"/>
      <c r="J227" s="52"/>
    </row>
    <row r="228" spans="1:10" x14ac:dyDescent="0.25">
      <c r="A228" s="53"/>
      <c r="B228" s="53"/>
      <c r="C228" s="56"/>
      <c r="D228" s="57"/>
      <c r="E228" s="59"/>
      <c r="F228" s="59"/>
      <c r="G228" s="59"/>
      <c r="H228" s="60"/>
      <c r="I228" s="61"/>
      <c r="J228" s="52"/>
    </row>
    <row r="229" spans="1:10" x14ac:dyDescent="0.25">
      <c r="A229" s="53"/>
      <c r="B229" s="53"/>
      <c r="C229" s="56"/>
      <c r="D229" s="57"/>
      <c r="E229" s="59"/>
      <c r="F229" s="59"/>
      <c r="G229" s="59"/>
      <c r="H229" s="60"/>
      <c r="I229" s="61"/>
      <c r="J229" s="52"/>
    </row>
    <row r="230" spans="1:10" x14ac:dyDescent="0.25">
      <c r="A230" s="53"/>
      <c r="B230" s="53"/>
      <c r="C230" s="56"/>
      <c r="D230" s="57"/>
      <c r="E230" s="59"/>
      <c r="F230" s="59"/>
      <c r="G230" s="59"/>
      <c r="H230" s="60"/>
      <c r="I230" s="61"/>
      <c r="J230" s="52"/>
    </row>
    <row r="231" spans="1:10" x14ac:dyDescent="0.25">
      <c r="A231" s="53"/>
      <c r="B231" s="53"/>
      <c r="C231" s="56"/>
      <c r="D231" s="57"/>
      <c r="E231" s="59"/>
      <c r="F231" s="59"/>
      <c r="G231" s="59"/>
      <c r="H231" s="60"/>
      <c r="I231" s="61"/>
      <c r="J231" s="52"/>
    </row>
    <row r="232" spans="1:10" x14ac:dyDescent="0.25">
      <c r="A232" s="53"/>
      <c r="B232" s="53"/>
      <c r="C232" s="56"/>
      <c r="D232" s="57"/>
      <c r="E232" s="59"/>
      <c r="F232" s="59"/>
      <c r="G232" s="59"/>
      <c r="H232" s="60"/>
      <c r="I232" s="61"/>
      <c r="J232" s="52"/>
    </row>
    <row r="233" spans="1:10" x14ac:dyDescent="0.25">
      <c r="A233" s="53"/>
      <c r="B233" s="53"/>
      <c r="C233" s="56"/>
      <c r="D233" s="57"/>
      <c r="E233" s="59"/>
      <c r="F233" s="59"/>
      <c r="G233" s="59"/>
      <c r="H233" s="60"/>
      <c r="I233" s="61"/>
      <c r="J233" s="52"/>
    </row>
    <row r="234" spans="1:10" x14ac:dyDescent="0.25">
      <c r="A234" s="53"/>
      <c r="B234" s="53"/>
      <c r="C234" s="56"/>
      <c r="D234" s="57"/>
      <c r="E234" s="59"/>
      <c r="F234" s="59"/>
      <c r="G234" s="59"/>
      <c r="H234" s="60"/>
      <c r="I234" s="61"/>
      <c r="J234" s="52"/>
    </row>
    <row r="235" spans="1:10" x14ac:dyDescent="0.25">
      <c r="A235" s="53"/>
      <c r="B235" s="53"/>
      <c r="C235" s="56"/>
      <c r="D235" s="57"/>
      <c r="E235" s="59"/>
      <c r="F235" s="59"/>
      <c r="G235" s="59"/>
      <c r="H235" s="60"/>
      <c r="I235" s="61"/>
      <c r="J235" s="52"/>
    </row>
    <row r="236" spans="1:10" x14ac:dyDescent="0.25">
      <c r="A236" s="53"/>
      <c r="B236" s="53"/>
      <c r="C236" s="56"/>
      <c r="D236" s="57"/>
      <c r="E236" s="59"/>
      <c r="F236" s="59"/>
      <c r="G236" s="59"/>
      <c r="H236" s="60"/>
      <c r="I236" s="61"/>
      <c r="J236" s="52"/>
    </row>
    <row r="237" spans="1:10" x14ac:dyDescent="0.25">
      <c r="A237" s="53"/>
      <c r="B237" s="53"/>
      <c r="C237" s="56"/>
      <c r="D237" s="57"/>
      <c r="E237" s="59"/>
      <c r="F237" s="59"/>
      <c r="G237" s="59"/>
      <c r="H237" s="60"/>
      <c r="I237" s="61"/>
      <c r="J237" s="52"/>
    </row>
    <row r="238" spans="1:10" x14ac:dyDescent="0.25">
      <c r="A238" s="53"/>
      <c r="B238" s="53"/>
      <c r="C238" s="56"/>
      <c r="D238" s="57"/>
      <c r="E238" s="59"/>
      <c r="F238" s="59"/>
      <c r="G238" s="59"/>
      <c r="H238" s="60"/>
      <c r="I238" s="61"/>
      <c r="J238" s="52"/>
    </row>
    <row r="239" spans="1:10" x14ac:dyDescent="0.25">
      <c r="A239" s="53"/>
      <c r="B239" s="53"/>
      <c r="C239" s="56"/>
      <c r="D239" s="57"/>
      <c r="E239" s="59"/>
      <c r="F239" s="59"/>
      <c r="G239" s="59"/>
      <c r="H239" s="60"/>
      <c r="I239" s="61"/>
      <c r="J239" s="52"/>
    </row>
    <row r="240" spans="1:10" x14ac:dyDescent="0.25">
      <c r="A240" s="53"/>
      <c r="B240" s="53"/>
      <c r="C240" s="56"/>
      <c r="D240" s="57"/>
      <c r="E240" s="59"/>
      <c r="F240" s="59"/>
      <c r="G240" s="59"/>
      <c r="H240" s="60"/>
      <c r="I240" s="61"/>
      <c r="J240" s="52"/>
    </row>
    <row r="241" spans="1:10" x14ac:dyDescent="0.25">
      <c r="A241" s="53"/>
      <c r="B241" s="53"/>
      <c r="C241" s="56"/>
      <c r="D241" s="57"/>
      <c r="E241" s="59"/>
      <c r="F241" s="59"/>
      <c r="G241" s="59"/>
      <c r="H241" s="60"/>
      <c r="I241" s="61"/>
      <c r="J241" s="52"/>
    </row>
    <row r="242" spans="1:10" x14ac:dyDescent="0.25">
      <c r="A242" s="53"/>
      <c r="B242" s="53"/>
      <c r="C242" s="56"/>
      <c r="D242" s="57"/>
      <c r="E242" s="59"/>
      <c r="F242" s="59"/>
      <c r="G242" s="59"/>
      <c r="H242" s="60"/>
      <c r="I242" s="61"/>
      <c r="J242" s="52"/>
    </row>
    <row r="243" spans="1:10" x14ac:dyDescent="0.25">
      <c r="A243" s="53"/>
      <c r="B243" s="53"/>
      <c r="C243" s="56"/>
      <c r="D243" s="57"/>
      <c r="E243" s="59"/>
      <c r="F243" s="59"/>
      <c r="G243" s="59"/>
      <c r="H243" s="60"/>
      <c r="I243" s="61"/>
      <c r="J243" s="52"/>
    </row>
    <row r="244" spans="1:10" x14ac:dyDescent="0.25">
      <c r="A244" s="53"/>
      <c r="B244" s="53"/>
      <c r="C244" s="56"/>
      <c r="D244" s="57"/>
      <c r="E244" s="59"/>
      <c r="F244" s="59"/>
      <c r="G244" s="59"/>
      <c r="H244" s="60"/>
      <c r="I244" s="61"/>
      <c r="J244" s="52"/>
    </row>
    <row r="245" spans="1:10" x14ac:dyDescent="0.25">
      <c r="A245" s="53"/>
      <c r="B245" s="53"/>
      <c r="C245" s="56"/>
      <c r="D245" s="57"/>
      <c r="E245" s="59"/>
      <c r="F245" s="59"/>
      <c r="G245" s="59"/>
      <c r="H245" s="60"/>
      <c r="I245" s="61"/>
      <c r="J245" s="52"/>
    </row>
    <row r="246" spans="1:10" x14ac:dyDescent="0.25">
      <c r="A246" s="53"/>
      <c r="B246" s="53"/>
      <c r="C246" s="56"/>
      <c r="D246" s="57"/>
      <c r="E246" s="59"/>
      <c r="F246" s="59"/>
      <c r="G246" s="59"/>
      <c r="H246" s="60"/>
      <c r="I246" s="61"/>
      <c r="J246" s="52"/>
    </row>
    <row r="247" spans="1:10" x14ac:dyDescent="0.25">
      <c r="A247" s="53"/>
      <c r="B247" s="53"/>
      <c r="C247" s="56"/>
      <c r="D247" s="57"/>
      <c r="E247" s="59"/>
      <c r="F247" s="59"/>
      <c r="G247" s="59"/>
      <c r="H247" s="60"/>
      <c r="I247" s="61"/>
      <c r="J247" s="52"/>
    </row>
    <row r="248" spans="1:10" x14ac:dyDescent="0.25">
      <c r="A248" s="53"/>
      <c r="B248" s="53"/>
      <c r="C248" s="56"/>
      <c r="D248" s="57"/>
      <c r="E248" s="59"/>
      <c r="F248" s="59"/>
      <c r="G248" s="59"/>
      <c r="H248" s="60"/>
      <c r="I248" s="61"/>
      <c r="J248" s="52"/>
    </row>
    <row r="249" spans="1:10" x14ac:dyDescent="0.25">
      <c r="A249" s="53"/>
      <c r="B249" s="53"/>
      <c r="C249" s="56"/>
      <c r="D249" s="57"/>
      <c r="E249" s="59"/>
      <c r="F249" s="59"/>
      <c r="G249" s="59"/>
      <c r="H249" s="60"/>
      <c r="I249" s="61"/>
      <c r="J249" s="52"/>
    </row>
    <row r="250" spans="1:10" x14ac:dyDescent="0.25">
      <c r="A250" s="53"/>
      <c r="B250" s="53"/>
      <c r="C250" s="56"/>
      <c r="D250" s="57"/>
      <c r="E250" s="59"/>
      <c r="F250" s="59"/>
      <c r="G250" s="59"/>
      <c r="H250" s="60"/>
      <c r="I250" s="61"/>
      <c r="J250" s="52"/>
    </row>
    <row r="251" spans="1:10" x14ac:dyDescent="0.25">
      <c r="A251" s="53"/>
      <c r="B251" s="53"/>
      <c r="C251" s="56"/>
      <c r="D251" s="57"/>
      <c r="E251" s="59"/>
      <c r="F251" s="59"/>
      <c r="G251" s="59"/>
      <c r="H251" s="60"/>
      <c r="I251" s="61"/>
      <c r="J251" s="52"/>
    </row>
    <row r="252" spans="1:10" x14ac:dyDescent="0.25">
      <c r="A252" s="53"/>
      <c r="B252" s="53"/>
      <c r="C252" s="56"/>
      <c r="D252" s="57"/>
      <c r="E252" s="59"/>
      <c r="F252" s="59"/>
      <c r="G252" s="59"/>
      <c r="H252" s="60"/>
      <c r="I252" s="61"/>
      <c r="J252" s="52"/>
    </row>
    <row r="253" spans="1:10" x14ac:dyDescent="0.25">
      <c r="A253" s="53"/>
      <c r="B253" s="53"/>
      <c r="C253" s="56"/>
      <c r="D253" s="57"/>
      <c r="E253" s="59"/>
      <c r="F253" s="59"/>
      <c r="G253" s="59"/>
      <c r="H253" s="60"/>
      <c r="I253" s="61"/>
      <c r="J253" s="52"/>
    </row>
    <row r="254" spans="1:10" x14ac:dyDescent="0.25">
      <c r="A254" s="53"/>
      <c r="B254" s="53"/>
      <c r="C254" s="56"/>
      <c r="D254" s="57"/>
      <c r="E254" s="59"/>
      <c r="F254" s="59"/>
      <c r="G254" s="59"/>
      <c r="H254" s="60"/>
      <c r="I254" s="61"/>
      <c r="J254" s="52"/>
    </row>
    <row r="255" spans="1:10" x14ac:dyDescent="0.25">
      <c r="A255" s="53"/>
      <c r="B255" s="53"/>
      <c r="C255" s="56"/>
      <c r="D255" s="57"/>
      <c r="E255" s="59"/>
      <c r="F255" s="59"/>
      <c r="G255" s="59"/>
      <c r="H255" s="60"/>
      <c r="I255" s="61"/>
      <c r="J255" s="52"/>
    </row>
    <row r="256" spans="1:10" x14ac:dyDescent="0.25">
      <c r="A256" s="53"/>
      <c r="B256" s="53"/>
      <c r="C256" s="56"/>
      <c r="D256" s="57"/>
      <c r="E256" s="59"/>
      <c r="F256" s="59"/>
      <c r="G256" s="59"/>
      <c r="H256" s="60"/>
      <c r="I256" s="61"/>
      <c r="J256" s="52"/>
    </row>
    <row r="257" spans="1:10" x14ac:dyDescent="0.25">
      <c r="A257" s="53"/>
      <c r="B257" s="53"/>
      <c r="C257" s="56"/>
      <c r="D257" s="57"/>
      <c r="E257" s="59"/>
      <c r="F257" s="59"/>
      <c r="G257" s="59"/>
      <c r="H257" s="60"/>
      <c r="I257" s="61"/>
      <c r="J257" s="52"/>
    </row>
    <row r="258" spans="1:10" x14ac:dyDescent="0.25">
      <c r="A258" s="53"/>
      <c r="B258" s="53"/>
      <c r="C258" s="56"/>
      <c r="D258" s="57"/>
      <c r="E258" s="59"/>
      <c r="F258" s="59"/>
      <c r="G258" s="59"/>
      <c r="H258" s="60"/>
      <c r="I258" s="61"/>
      <c r="J258" s="52"/>
    </row>
    <row r="259" spans="1:10" x14ac:dyDescent="0.25">
      <c r="A259" s="53"/>
      <c r="B259" s="53"/>
      <c r="C259" s="56"/>
      <c r="D259" s="57"/>
      <c r="E259" s="59"/>
      <c r="F259" s="59"/>
      <c r="G259" s="59"/>
      <c r="H259" s="60"/>
      <c r="I259" s="61"/>
      <c r="J259" s="52"/>
    </row>
    <row r="260" spans="1:10" x14ac:dyDescent="0.25">
      <c r="A260" s="53"/>
      <c r="B260" s="53"/>
      <c r="C260" s="56"/>
      <c r="D260" s="57"/>
      <c r="E260" s="59"/>
      <c r="F260" s="59"/>
      <c r="G260" s="59"/>
      <c r="H260" s="60"/>
      <c r="I260" s="61"/>
      <c r="J260" s="52"/>
    </row>
    <row r="261" spans="1:10" x14ac:dyDescent="0.25">
      <c r="A261" s="53"/>
      <c r="B261" s="53"/>
      <c r="C261" s="56"/>
      <c r="D261" s="57"/>
      <c r="E261" s="59"/>
      <c r="F261" s="59"/>
      <c r="G261" s="59"/>
      <c r="H261" s="60"/>
      <c r="I261" s="61"/>
      <c r="J261" s="52"/>
    </row>
    <row r="262" spans="1:10" x14ac:dyDescent="0.25">
      <c r="A262" s="53"/>
      <c r="B262" s="53"/>
      <c r="C262" s="56"/>
      <c r="D262" s="57"/>
      <c r="E262" s="59"/>
      <c r="F262" s="59"/>
      <c r="G262" s="59"/>
      <c r="H262" s="60"/>
      <c r="I262" s="61"/>
      <c r="J262" s="52"/>
    </row>
    <row r="263" spans="1:10" x14ac:dyDescent="0.25">
      <c r="A263" s="53"/>
      <c r="B263" s="53"/>
      <c r="C263" s="56"/>
      <c r="D263" s="57"/>
      <c r="E263" s="59"/>
      <c r="F263" s="59"/>
      <c r="G263" s="59"/>
      <c r="H263" s="60"/>
      <c r="I263" s="61"/>
      <c r="J263" s="52"/>
    </row>
    <row r="264" spans="1:10" x14ac:dyDescent="0.25">
      <c r="A264" s="53"/>
      <c r="B264" s="53"/>
      <c r="C264" s="56"/>
      <c r="D264" s="57"/>
      <c r="E264" s="59"/>
      <c r="F264" s="59"/>
      <c r="G264" s="59"/>
      <c r="H264" s="60"/>
      <c r="I264" s="61"/>
      <c r="J264" s="52"/>
    </row>
    <row r="265" spans="1:10" x14ac:dyDescent="0.25">
      <c r="A265" s="53"/>
      <c r="B265" s="53"/>
      <c r="C265" s="56"/>
      <c r="D265" s="57"/>
      <c r="E265" s="59"/>
      <c r="F265" s="59"/>
      <c r="G265" s="59"/>
      <c r="H265" s="60"/>
      <c r="I265" s="61"/>
      <c r="J265" s="52"/>
    </row>
    <row r="266" spans="1:10" x14ac:dyDescent="0.25">
      <c r="A266" s="53"/>
      <c r="B266" s="53"/>
      <c r="C266" s="56"/>
      <c r="D266" s="57"/>
      <c r="E266" s="59"/>
      <c r="F266" s="59"/>
      <c r="G266" s="59"/>
      <c r="H266" s="60"/>
      <c r="I266" s="61"/>
      <c r="J266" s="52"/>
    </row>
    <row r="267" spans="1:10" x14ac:dyDescent="0.25">
      <c r="A267" s="53"/>
      <c r="B267" s="53"/>
      <c r="C267" s="56"/>
      <c r="D267" s="57"/>
      <c r="E267" s="59"/>
      <c r="F267" s="59"/>
      <c r="G267" s="59"/>
      <c r="H267" s="60"/>
      <c r="I267" s="61"/>
      <c r="J267" s="52"/>
    </row>
    <row r="268" spans="1:10" x14ac:dyDescent="0.25">
      <c r="A268" s="53"/>
      <c r="B268" s="53"/>
      <c r="C268" s="56"/>
      <c r="D268" s="57"/>
      <c r="E268" s="59"/>
      <c r="F268" s="59"/>
      <c r="G268" s="59"/>
      <c r="H268" s="60"/>
      <c r="I268" s="61"/>
      <c r="J268" s="52"/>
    </row>
    <row r="269" spans="1:10" x14ac:dyDescent="0.25">
      <c r="A269" s="53"/>
      <c r="B269" s="53"/>
      <c r="C269" s="56"/>
      <c r="D269" s="57"/>
      <c r="E269" s="59"/>
      <c r="F269" s="59"/>
      <c r="G269" s="59"/>
      <c r="H269" s="60"/>
      <c r="I269" s="61"/>
      <c r="J269" s="52"/>
    </row>
    <row r="270" spans="1:10" x14ac:dyDescent="0.25">
      <c r="A270" s="53"/>
      <c r="B270" s="53"/>
      <c r="C270" s="56"/>
      <c r="D270" s="57"/>
      <c r="E270" s="59"/>
      <c r="F270" s="59"/>
      <c r="G270" s="59"/>
      <c r="H270" s="60"/>
      <c r="I270" s="61"/>
      <c r="J270" s="52"/>
    </row>
    <row r="271" spans="1:10" x14ac:dyDescent="0.25">
      <c r="A271" s="53"/>
      <c r="B271" s="53"/>
      <c r="C271" s="56"/>
      <c r="D271" s="57"/>
      <c r="E271" s="59"/>
      <c r="F271" s="59"/>
      <c r="G271" s="59"/>
      <c r="H271" s="60"/>
      <c r="I271" s="61"/>
      <c r="J271" s="52"/>
    </row>
    <row r="272" spans="1:10" x14ac:dyDescent="0.25">
      <c r="A272" s="53"/>
      <c r="B272" s="53"/>
      <c r="C272" s="56"/>
      <c r="D272" s="57"/>
      <c r="E272" s="59"/>
      <c r="F272" s="59"/>
      <c r="G272" s="59"/>
      <c r="H272" s="60"/>
      <c r="I272" s="61"/>
      <c r="J272" s="52"/>
    </row>
    <row r="273" spans="1:10" x14ac:dyDescent="0.25">
      <c r="A273" s="53"/>
      <c r="B273" s="53"/>
      <c r="C273" s="56"/>
      <c r="D273" s="57"/>
      <c r="E273" s="59"/>
      <c r="F273" s="59"/>
      <c r="G273" s="59"/>
      <c r="H273" s="60"/>
      <c r="I273" s="61"/>
      <c r="J273" s="52"/>
    </row>
    <row r="274" spans="1:10" x14ac:dyDescent="0.25">
      <c r="A274" s="53"/>
      <c r="B274" s="53"/>
      <c r="C274" s="56"/>
      <c r="D274" s="57"/>
      <c r="E274" s="59"/>
      <c r="F274" s="59"/>
      <c r="G274" s="59"/>
      <c r="H274" s="60"/>
      <c r="I274" s="61"/>
      <c r="J274" s="52"/>
    </row>
    <row r="275" spans="1:10" x14ac:dyDescent="0.25">
      <c r="A275" s="53"/>
      <c r="B275" s="53"/>
      <c r="C275" s="56"/>
      <c r="D275" s="57"/>
      <c r="E275" s="59"/>
      <c r="F275" s="59"/>
      <c r="G275" s="59"/>
      <c r="H275" s="60"/>
      <c r="I275" s="61"/>
      <c r="J275" s="52"/>
    </row>
    <row r="276" spans="1:10" x14ac:dyDescent="0.25">
      <c r="A276" s="53"/>
      <c r="B276" s="53"/>
      <c r="C276" s="56"/>
      <c r="D276" s="57"/>
      <c r="E276" s="59"/>
      <c r="F276" s="59"/>
      <c r="G276" s="59"/>
      <c r="H276" s="60"/>
      <c r="I276" s="61"/>
      <c r="J276" s="52"/>
    </row>
    <row r="277" spans="1:10" x14ac:dyDescent="0.25">
      <c r="A277" s="53"/>
      <c r="B277" s="53"/>
      <c r="C277" s="56"/>
      <c r="D277" s="57"/>
      <c r="E277" s="59"/>
      <c r="F277" s="59"/>
      <c r="G277" s="59"/>
      <c r="H277" s="60"/>
      <c r="I277" s="61"/>
      <c r="J277" s="52"/>
    </row>
    <row r="278" spans="1:10" x14ac:dyDescent="0.25">
      <c r="A278" s="53"/>
      <c r="B278" s="53"/>
      <c r="C278" s="56"/>
      <c r="D278" s="57"/>
      <c r="E278" s="59"/>
      <c r="F278" s="59"/>
      <c r="G278" s="59"/>
      <c r="H278" s="60"/>
      <c r="I278" s="61"/>
      <c r="J278" s="52"/>
    </row>
    <row r="279" spans="1:10" x14ac:dyDescent="0.25">
      <c r="A279" s="53"/>
      <c r="B279" s="53"/>
      <c r="C279" s="56"/>
      <c r="D279" s="57"/>
      <c r="E279" s="59"/>
      <c r="F279" s="59"/>
      <c r="G279" s="59"/>
      <c r="H279" s="60"/>
      <c r="I279" s="61"/>
      <c r="J279" s="52"/>
    </row>
    <row r="280" spans="1:10" x14ac:dyDescent="0.25">
      <c r="A280" s="53"/>
      <c r="B280" s="53"/>
      <c r="C280" s="56"/>
      <c r="D280" s="57"/>
      <c r="E280" s="59"/>
      <c r="F280" s="59"/>
      <c r="G280" s="59"/>
      <c r="H280" s="60"/>
      <c r="I280" s="61"/>
      <c r="J280" s="52"/>
    </row>
    <row r="281" spans="1:10" x14ac:dyDescent="0.25">
      <c r="A281" s="53"/>
      <c r="B281" s="53"/>
      <c r="C281" s="56"/>
      <c r="D281" s="57"/>
      <c r="E281" s="59"/>
      <c r="F281" s="59"/>
      <c r="G281" s="59"/>
      <c r="H281" s="60"/>
      <c r="I281" s="61"/>
      <c r="J281" s="52"/>
    </row>
    <row r="282" spans="1:10" x14ac:dyDescent="0.25">
      <c r="A282" s="53"/>
      <c r="B282" s="53"/>
      <c r="C282" s="56"/>
      <c r="D282" s="57"/>
      <c r="E282" s="59"/>
      <c r="F282" s="59"/>
      <c r="G282" s="59"/>
      <c r="H282" s="60"/>
      <c r="I282" s="61"/>
      <c r="J282" s="52"/>
    </row>
    <row r="283" spans="1:10" x14ac:dyDescent="0.25">
      <c r="A283" s="53"/>
      <c r="B283" s="53"/>
      <c r="C283" s="56"/>
      <c r="D283" s="57"/>
      <c r="E283" s="59"/>
      <c r="F283" s="59"/>
      <c r="G283" s="59"/>
      <c r="H283" s="60"/>
      <c r="I283" s="61"/>
      <c r="J283" s="52"/>
    </row>
    <row r="284" spans="1:10" x14ac:dyDescent="0.25">
      <c r="A284" s="53"/>
      <c r="B284" s="53"/>
      <c r="C284" s="56"/>
      <c r="D284" s="57"/>
      <c r="E284" s="59"/>
      <c r="F284" s="59"/>
      <c r="G284" s="59"/>
      <c r="H284" s="60"/>
      <c r="I284" s="61"/>
      <c r="J284" s="52"/>
    </row>
    <row r="285" spans="1:10" x14ac:dyDescent="0.25">
      <c r="A285" s="53"/>
      <c r="B285" s="53"/>
      <c r="C285" s="56"/>
      <c r="D285" s="57"/>
      <c r="E285" s="59"/>
      <c r="F285" s="59"/>
      <c r="G285" s="59"/>
      <c r="H285" s="60"/>
      <c r="I285" s="61"/>
      <c r="J285" s="52"/>
    </row>
    <row r="286" spans="1:10" x14ac:dyDescent="0.25">
      <c r="A286" s="53"/>
      <c r="B286" s="53"/>
      <c r="C286" s="56"/>
      <c r="D286" s="57"/>
      <c r="E286" s="59"/>
      <c r="F286" s="59"/>
      <c r="G286" s="59"/>
      <c r="H286" s="60"/>
      <c r="I286" s="61"/>
      <c r="J286" s="52"/>
    </row>
    <row r="287" spans="1:10" x14ac:dyDescent="0.25">
      <c r="A287" s="53"/>
      <c r="B287" s="53"/>
      <c r="C287" s="56"/>
      <c r="D287" s="57"/>
      <c r="E287" s="59"/>
      <c r="F287" s="59"/>
      <c r="G287" s="59"/>
      <c r="H287" s="60"/>
      <c r="I287" s="61"/>
      <c r="J287" s="52"/>
    </row>
    <row r="288" spans="1:10" x14ac:dyDescent="0.25">
      <c r="A288" s="53"/>
      <c r="B288" s="53"/>
      <c r="C288" s="56"/>
      <c r="D288" s="57"/>
      <c r="E288" s="59"/>
      <c r="F288" s="59"/>
      <c r="G288" s="59"/>
      <c r="H288" s="60"/>
      <c r="I288" s="61"/>
      <c r="J288" s="52"/>
    </row>
    <row r="289" spans="1:10" x14ac:dyDescent="0.25">
      <c r="A289" s="53"/>
      <c r="B289" s="53"/>
      <c r="C289" s="56"/>
      <c r="D289" s="57"/>
      <c r="E289" s="59"/>
      <c r="F289" s="59"/>
      <c r="G289" s="59"/>
      <c r="H289" s="60"/>
      <c r="I289" s="61"/>
      <c r="J289" s="52"/>
    </row>
    <row r="290" spans="1:10" x14ac:dyDescent="0.25">
      <c r="A290" s="53"/>
      <c r="B290" s="53"/>
      <c r="C290" s="56"/>
      <c r="D290" s="57"/>
      <c r="E290" s="59"/>
      <c r="F290" s="59"/>
      <c r="G290" s="59"/>
      <c r="H290" s="60"/>
      <c r="I290" s="61"/>
      <c r="J290" s="52"/>
    </row>
    <row r="291" spans="1:10" x14ac:dyDescent="0.25">
      <c r="A291" s="53"/>
      <c r="B291" s="53"/>
      <c r="C291" s="56"/>
      <c r="D291" s="57"/>
      <c r="E291" s="59"/>
      <c r="F291" s="59"/>
      <c r="G291" s="59"/>
      <c r="H291" s="60"/>
      <c r="I291" s="61"/>
      <c r="J291" s="52"/>
    </row>
    <row r="292" spans="1:10" x14ac:dyDescent="0.25">
      <c r="A292" s="53"/>
      <c r="B292" s="53"/>
      <c r="C292" s="56"/>
      <c r="D292" s="57"/>
      <c r="E292" s="59"/>
      <c r="F292" s="59"/>
      <c r="G292" s="59"/>
      <c r="H292" s="60"/>
      <c r="I292" s="61"/>
      <c r="J292" s="52"/>
    </row>
    <row r="293" spans="1:10" x14ac:dyDescent="0.25">
      <c r="A293" s="53"/>
      <c r="B293" s="53"/>
      <c r="C293" s="56"/>
      <c r="D293" s="57"/>
      <c r="E293" s="59"/>
      <c r="F293" s="59"/>
      <c r="G293" s="59"/>
      <c r="H293" s="60"/>
      <c r="I293" s="61"/>
      <c r="J293" s="52"/>
    </row>
    <row r="294" spans="1:10" x14ac:dyDescent="0.25">
      <c r="A294" s="53"/>
      <c r="B294" s="53"/>
      <c r="C294" s="56"/>
      <c r="D294" s="57"/>
      <c r="E294" s="59"/>
      <c r="F294" s="59"/>
      <c r="G294" s="59"/>
      <c r="H294" s="60"/>
      <c r="I294" s="61"/>
      <c r="J294" s="52"/>
    </row>
    <row r="295" spans="1:10" x14ac:dyDescent="0.25">
      <c r="A295" s="53"/>
      <c r="B295" s="53"/>
      <c r="C295" s="56"/>
      <c r="D295" s="57"/>
      <c r="E295" s="59"/>
      <c r="F295" s="59"/>
      <c r="G295" s="59"/>
      <c r="H295" s="60"/>
      <c r="I295" s="61"/>
      <c r="J295" s="52"/>
    </row>
    <row r="296" spans="1:10" x14ac:dyDescent="0.25">
      <c r="A296" s="53"/>
      <c r="B296" s="53"/>
      <c r="C296" s="56"/>
      <c r="D296" s="57"/>
      <c r="E296" s="59"/>
      <c r="F296" s="59"/>
      <c r="G296" s="59"/>
      <c r="H296" s="60"/>
      <c r="I296" s="61"/>
      <c r="J296" s="52"/>
    </row>
    <row r="297" spans="1:10" x14ac:dyDescent="0.25">
      <c r="A297" s="53"/>
      <c r="B297" s="53"/>
      <c r="C297" s="56"/>
      <c r="D297" s="57"/>
      <c r="E297" s="59"/>
      <c r="F297" s="59"/>
      <c r="G297" s="59"/>
      <c r="H297" s="60"/>
      <c r="I297" s="61"/>
      <c r="J297" s="52"/>
    </row>
    <row r="298" spans="1:10" x14ac:dyDescent="0.25">
      <c r="A298" s="53"/>
      <c r="B298" s="53"/>
      <c r="C298" s="56"/>
      <c r="D298" s="57"/>
      <c r="E298" s="59"/>
      <c r="F298" s="59"/>
      <c r="G298" s="59"/>
      <c r="H298" s="60"/>
      <c r="I298" s="61"/>
      <c r="J298" s="52"/>
    </row>
    <row r="299" spans="1:10" x14ac:dyDescent="0.25">
      <c r="A299" s="53"/>
      <c r="B299" s="53"/>
      <c r="C299" s="56"/>
      <c r="D299" s="57"/>
      <c r="E299" s="59"/>
      <c r="F299" s="59"/>
      <c r="G299" s="59"/>
      <c r="H299" s="60"/>
      <c r="I299" s="61"/>
      <c r="J299" s="52"/>
    </row>
    <row r="300" spans="1:10" x14ac:dyDescent="0.25">
      <c r="A300" s="53"/>
      <c r="B300" s="53"/>
      <c r="C300" s="56"/>
      <c r="D300" s="57"/>
      <c r="E300" s="59"/>
      <c r="F300" s="59"/>
      <c r="G300" s="59"/>
      <c r="H300" s="60"/>
      <c r="I300" s="61"/>
      <c r="J300" s="52"/>
    </row>
    <row r="301" spans="1:10" x14ac:dyDescent="0.25">
      <c r="A301" s="53"/>
      <c r="B301" s="53"/>
      <c r="C301" s="56"/>
      <c r="D301" s="57"/>
      <c r="E301" s="59"/>
      <c r="F301" s="59"/>
      <c r="G301" s="59"/>
      <c r="H301" s="60"/>
      <c r="I301" s="61"/>
      <c r="J301" s="52"/>
    </row>
    <row r="302" spans="1:10" x14ac:dyDescent="0.25">
      <c r="A302" s="53"/>
      <c r="B302" s="53"/>
      <c r="C302" s="56"/>
      <c r="D302" s="57"/>
      <c r="E302" s="59"/>
      <c r="F302" s="59"/>
      <c r="G302" s="59"/>
      <c r="H302" s="60"/>
      <c r="I302" s="61"/>
      <c r="J302" s="52"/>
    </row>
    <row r="303" spans="1:10" x14ac:dyDescent="0.25">
      <c r="A303" s="53"/>
      <c r="B303" s="53"/>
      <c r="C303" s="56"/>
      <c r="D303" s="57"/>
      <c r="E303" s="59"/>
      <c r="F303" s="59"/>
      <c r="G303" s="59"/>
      <c r="H303" s="60"/>
      <c r="I303" s="61"/>
      <c r="J303" s="52"/>
    </row>
    <row r="304" spans="1:10" x14ac:dyDescent="0.25">
      <c r="A304" s="53"/>
      <c r="B304" s="53"/>
      <c r="C304" s="56"/>
      <c r="D304" s="57"/>
      <c r="E304" s="59"/>
      <c r="F304" s="59"/>
      <c r="G304" s="59"/>
      <c r="H304" s="60"/>
      <c r="I304" s="61"/>
      <c r="J304" s="52"/>
    </row>
    <row r="305" spans="1:10" x14ac:dyDescent="0.25">
      <c r="A305" s="53"/>
      <c r="B305" s="53"/>
      <c r="C305" s="56"/>
      <c r="D305" s="57"/>
      <c r="E305" s="59"/>
      <c r="F305" s="59"/>
      <c r="G305" s="59"/>
      <c r="H305" s="60"/>
      <c r="I305" s="61"/>
      <c r="J305" s="52"/>
    </row>
    <row r="306" spans="1:10" x14ac:dyDescent="0.25">
      <c r="A306" s="53"/>
      <c r="B306" s="53"/>
      <c r="C306" s="56"/>
      <c r="D306" s="57"/>
      <c r="E306" s="59"/>
      <c r="F306" s="59"/>
      <c r="G306" s="59"/>
      <c r="H306" s="60"/>
      <c r="I306" s="61"/>
      <c r="J306" s="52"/>
    </row>
    <row r="307" spans="1:10" x14ac:dyDescent="0.25">
      <c r="A307" s="53"/>
      <c r="B307" s="53"/>
      <c r="C307" s="56"/>
      <c r="D307" s="57"/>
      <c r="E307" s="59"/>
      <c r="F307" s="59"/>
      <c r="G307" s="59"/>
      <c r="H307" s="60"/>
      <c r="I307" s="61"/>
      <c r="J307" s="52"/>
    </row>
    <row r="308" spans="1:10" x14ac:dyDescent="0.25">
      <c r="A308" s="53"/>
      <c r="B308" s="53"/>
      <c r="C308" s="56"/>
      <c r="D308" s="57"/>
      <c r="E308" s="59"/>
      <c r="F308" s="59"/>
      <c r="G308" s="59"/>
      <c r="H308" s="60"/>
      <c r="I308" s="61"/>
      <c r="J308" s="52"/>
    </row>
    <row r="309" spans="1:10" x14ac:dyDescent="0.25">
      <c r="A309" s="53"/>
      <c r="B309" s="53"/>
      <c r="C309" s="56"/>
      <c r="D309" s="57"/>
      <c r="E309" s="59"/>
      <c r="F309" s="59"/>
      <c r="G309" s="59"/>
      <c r="H309" s="60"/>
      <c r="I309" s="61"/>
      <c r="J309" s="52"/>
    </row>
    <row r="310" spans="1:10" x14ac:dyDescent="0.25">
      <c r="A310" s="53"/>
      <c r="B310" s="53"/>
      <c r="C310" s="56"/>
      <c r="D310" s="57"/>
      <c r="E310" s="59"/>
      <c r="F310" s="59"/>
      <c r="G310" s="59"/>
      <c r="H310" s="60"/>
      <c r="I310" s="61"/>
      <c r="J310" s="52"/>
    </row>
    <row r="311" spans="1:10" x14ac:dyDescent="0.25">
      <c r="A311" s="53"/>
      <c r="B311" s="53"/>
      <c r="C311" s="56"/>
      <c r="D311" s="57"/>
      <c r="E311" s="59"/>
      <c r="F311" s="59"/>
      <c r="G311" s="59"/>
      <c r="H311" s="60"/>
      <c r="I311" s="61"/>
      <c r="J311" s="52"/>
    </row>
    <row r="312" spans="1:10" x14ac:dyDescent="0.25">
      <c r="A312" s="53"/>
      <c r="B312" s="53"/>
      <c r="C312" s="56"/>
      <c r="D312" s="57"/>
      <c r="E312" s="59"/>
      <c r="F312" s="59"/>
      <c r="G312" s="59"/>
      <c r="H312" s="60"/>
      <c r="I312" s="61"/>
      <c r="J312" s="52"/>
    </row>
    <row r="313" spans="1:10" x14ac:dyDescent="0.25">
      <c r="A313" s="53"/>
      <c r="B313" s="53"/>
      <c r="C313" s="56"/>
      <c r="D313" s="57"/>
      <c r="E313" s="59"/>
      <c r="F313" s="59"/>
      <c r="G313" s="59"/>
      <c r="H313" s="60"/>
      <c r="I313" s="61"/>
      <c r="J313" s="52"/>
    </row>
    <row r="314" spans="1:10" x14ac:dyDescent="0.25">
      <c r="A314" s="53"/>
      <c r="B314" s="53"/>
      <c r="C314" s="56"/>
      <c r="D314" s="57"/>
      <c r="E314" s="59"/>
      <c r="F314" s="59"/>
      <c r="G314" s="59"/>
      <c r="H314" s="60"/>
      <c r="I314" s="61"/>
      <c r="J314" s="52"/>
    </row>
    <row r="315" spans="1:10" x14ac:dyDescent="0.25">
      <c r="A315" s="53"/>
      <c r="B315" s="53"/>
      <c r="C315" s="56"/>
      <c r="D315" s="57"/>
      <c r="E315" s="59"/>
      <c r="F315" s="59"/>
      <c r="G315" s="59"/>
      <c r="H315" s="60"/>
      <c r="I315" s="61"/>
      <c r="J315" s="52"/>
    </row>
    <row r="316" spans="1:10" x14ac:dyDescent="0.25">
      <c r="A316" s="53"/>
      <c r="B316" s="53"/>
      <c r="C316" s="56"/>
      <c r="D316" s="57"/>
      <c r="E316" s="59"/>
      <c r="F316" s="59"/>
      <c r="G316" s="59"/>
      <c r="H316" s="60"/>
      <c r="I316" s="61"/>
      <c r="J316" s="52"/>
    </row>
    <row r="317" spans="1:10" x14ac:dyDescent="0.25">
      <c r="A317" s="53"/>
      <c r="B317" s="53"/>
      <c r="C317" s="56"/>
      <c r="D317" s="57"/>
      <c r="E317" s="59"/>
      <c r="F317" s="59"/>
      <c r="G317" s="59"/>
      <c r="H317" s="60"/>
      <c r="I317" s="61"/>
      <c r="J317" s="52"/>
    </row>
    <row r="318" spans="1:10" x14ac:dyDescent="0.25">
      <c r="A318" s="53"/>
      <c r="B318" s="53"/>
      <c r="C318" s="56"/>
      <c r="D318" s="57"/>
      <c r="E318" s="59"/>
      <c r="F318" s="59"/>
      <c r="G318" s="59"/>
      <c r="H318" s="60"/>
      <c r="I318" s="61"/>
      <c r="J318" s="52"/>
    </row>
    <row r="319" spans="1:10" x14ac:dyDescent="0.25">
      <c r="A319" s="53"/>
      <c r="B319" s="53"/>
      <c r="C319" s="56"/>
      <c r="D319" s="57"/>
      <c r="E319" s="59"/>
      <c r="F319" s="59"/>
      <c r="G319" s="59"/>
      <c r="H319" s="60"/>
      <c r="I319" s="61"/>
      <c r="J319" s="52"/>
    </row>
    <row r="320" spans="1:10" x14ac:dyDescent="0.25">
      <c r="A320" s="53"/>
      <c r="B320" s="53"/>
      <c r="C320" s="56"/>
      <c r="D320" s="57"/>
      <c r="E320" s="59"/>
      <c r="F320" s="59"/>
      <c r="G320" s="59"/>
      <c r="H320" s="60"/>
      <c r="I320" s="61"/>
      <c r="J320" s="52"/>
    </row>
    <row r="321" spans="1:10" x14ac:dyDescent="0.25">
      <c r="A321" s="53"/>
      <c r="B321" s="53"/>
      <c r="C321" s="56"/>
      <c r="D321" s="57"/>
      <c r="E321" s="59"/>
      <c r="F321" s="59"/>
      <c r="G321" s="59"/>
      <c r="H321" s="60"/>
      <c r="I321" s="61"/>
      <c r="J321" s="52"/>
    </row>
    <row r="322" spans="1:10" x14ac:dyDescent="0.25">
      <c r="A322" s="53"/>
      <c r="B322" s="53"/>
      <c r="C322" s="56"/>
      <c r="D322" s="57"/>
      <c r="E322" s="59"/>
      <c r="F322" s="59"/>
      <c r="G322" s="59"/>
      <c r="H322" s="60"/>
      <c r="I322" s="61"/>
      <c r="J322" s="52"/>
    </row>
    <row r="323" spans="1:10" x14ac:dyDescent="0.25">
      <c r="A323" s="53"/>
      <c r="B323" s="53"/>
      <c r="C323" s="56"/>
      <c r="D323" s="57"/>
      <c r="E323" s="59"/>
      <c r="F323" s="59"/>
      <c r="G323" s="59"/>
      <c r="H323" s="60"/>
      <c r="I323" s="61"/>
      <c r="J323" s="52"/>
    </row>
    <row r="324" spans="1:10" x14ac:dyDescent="0.25">
      <c r="A324" s="53"/>
      <c r="B324" s="53"/>
      <c r="C324" s="56"/>
      <c r="D324" s="57"/>
      <c r="E324" s="59"/>
      <c r="F324" s="59"/>
      <c r="G324" s="59"/>
      <c r="H324" s="60"/>
      <c r="I324" s="61"/>
      <c r="J324" s="52"/>
    </row>
    <row r="325" spans="1:10" x14ac:dyDescent="0.25">
      <c r="A325" s="53"/>
      <c r="B325" s="53"/>
      <c r="C325" s="56"/>
      <c r="D325" s="57"/>
      <c r="E325" s="59"/>
      <c r="F325" s="59"/>
      <c r="G325" s="59"/>
      <c r="H325" s="60"/>
      <c r="I325" s="61"/>
      <c r="J325" s="52"/>
    </row>
    <row r="326" spans="1:10" x14ac:dyDescent="0.25">
      <c r="A326" s="53"/>
      <c r="B326" s="53"/>
      <c r="C326" s="56"/>
      <c r="D326" s="57"/>
      <c r="E326" s="59"/>
      <c r="F326" s="59"/>
      <c r="G326" s="59"/>
      <c r="H326" s="60"/>
      <c r="I326" s="61"/>
      <c r="J326" s="52"/>
    </row>
    <row r="327" spans="1:10" x14ac:dyDescent="0.25">
      <c r="A327" s="53"/>
      <c r="B327" s="53"/>
      <c r="C327" s="56"/>
      <c r="D327" s="57"/>
      <c r="E327" s="59"/>
      <c r="F327" s="59"/>
      <c r="G327" s="59"/>
      <c r="H327" s="60"/>
      <c r="I327" s="61"/>
      <c r="J327" s="52"/>
    </row>
    <row r="328" spans="1:10" x14ac:dyDescent="0.25">
      <c r="A328" s="53"/>
      <c r="B328" s="53"/>
      <c r="C328" s="56"/>
      <c r="D328" s="57"/>
      <c r="E328" s="59"/>
      <c r="F328" s="59"/>
      <c r="G328" s="59"/>
      <c r="H328" s="60"/>
      <c r="I328" s="61"/>
      <c r="J328" s="52"/>
    </row>
    <row r="329" spans="1:10" x14ac:dyDescent="0.25">
      <c r="A329" s="53"/>
      <c r="B329" s="53"/>
      <c r="C329" s="56"/>
      <c r="D329" s="57"/>
      <c r="E329" s="59"/>
      <c r="F329" s="59"/>
      <c r="G329" s="59"/>
      <c r="H329" s="60"/>
      <c r="I329" s="61"/>
      <c r="J329" s="52"/>
    </row>
    <row r="330" spans="1:10" x14ac:dyDescent="0.25">
      <c r="A330" s="53"/>
      <c r="B330" s="53"/>
      <c r="C330" s="56"/>
      <c r="D330" s="57"/>
      <c r="E330" s="59"/>
      <c r="F330" s="59"/>
      <c r="G330" s="59"/>
      <c r="H330" s="60"/>
      <c r="I330" s="61"/>
      <c r="J330" s="52"/>
    </row>
    <row r="331" spans="1:10" x14ac:dyDescent="0.25">
      <c r="A331" s="53"/>
      <c r="B331" s="53"/>
      <c r="C331" s="56"/>
      <c r="D331" s="57"/>
      <c r="E331" s="59"/>
      <c r="F331" s="59"/>
      <c r="G331" s="59"/>
      <c r="H331" s="60"/>
      <c r="I331" s="61"/>
      <c r="J331" s="52"/>
    </row>
    <row r="332" spans="1:10" x14ac:dyDescent="0.25">
      <c r="A332" s="53"/>
      <c r="B332" s="53"/>
      <c r="C332" s="56"/>
      <c r="D332" s="57"/>
      <c r="E332" s="59"/>
      <c r="F332" s="59"/>
      <c r="G332" s="59"/>
      <c r="H332" s="60"/>
      <c r="I332" s="61"/>
      <c r="J332" s="52"/>
    </row>
    <row r="333" spans="1:10" x14ac:dyDescent="0.25">
      <c r="A333" s="53"/>
      <c r="B333" s="53"/>
      <c r="C333" s="56"/>
      <c r="D333" s="57"/>
      <c r="E333" s="59"/>
      <c r="F333" s="59"/>
      <c r="G333" s="59"/>
      <c r="H333" s="60"/>
      <c r="I333" s="61"/>
      <c r="J333" s="52"/>
    </row>
    <row r="334" spans="1:10" x14ac:dyDescent="0.25">
      <c r="A334" s="53"/>
      <c r="B334" s="53"/>
      <c r="C334" s="56"/>
      <c r="D334" s="57"/>
      <c r="E334" s="59"/>
      <c r="F334" s="59"/>
      <c r="G334" s="59"/>
      <c r="H334" s="60"/>
      <c r="I334" s="61"/>
      <c r="J334" s="52"/>
    </row>
    <row r="335" spans="1:10" x14ac:dyDescent="0.25">
      <c r="A335" s="53"/>
      <c r="B335" s="53"/>
      <c r="C335" s="56"/>
      <c r="D335" s="57"/>
      <c r="E335" s="59"/>
      <c r="F335" s="59"/>
      <c r="G335" s="59"/>
      <c r="H335" s="60"/>
      <c r="I335" s="61"/>
      <c r="J335" s="52"/>
    </row>
    <row r="336" spans="1:10" x14ac:dyDescent="0.25">
      <c r="A336" s="53"/>
      <c r="B336" s="53"/>
      <c r="C336" s="56"/>
      <c r="D336" s="57"/>
      <c r="E336" s="59"/>
      <c r="F336" s="59"/>
      <c r="G336" s="59"/>
      <c r="H336" s="60"/>
      <c r="I336" s="61"/>
      <c r="J336" s="52"/>
    </row>
    <row r="337" spans="1:10" x14ac:dyDescent="0.25">
      <c r="A337" s="53"/>
      <c r="B337" s="53"/>
      <c r="C337" s="56"/>
      <c r="D337" s="57"/>
      <c r="E337" s="59"/>
      <c r="F337" s="59"/>
      <c r="G337" s="59"/>
      <c r="H337" s="60"/>
      <c r="I337" s="61"/>
      <c r="J337" s="52"/>
    </row>
    <row r="338" spans="1:10" x14ac:dyDescent="0.25">
      <c r="A338" s="53"/>
      <c r="B338" s="53"/>
      <c r="C338" s="56"/>
      <c r="D338" s="57"/>
      <c r="E338" s="59"/>
      <c r="F338" s="59"/>
      <c r="G338" s="59"/>
      <c r="H338" s="60"/>
      <c r="I338" s="61"/>
      <c r="J338" s="52"/>
    </row>
    <row r="339" spans="1:10" x14ac:dyDescent="0.25">
      <c r="A339" s="53"/>
      <c r="B339" s="53"/>
      <c r="C339" s="56"/>
      <c r="D339" s="57"/>
      <c r="E339" s="59"/>
      <c r="F339" s="59"/>
      <c r="G339" s="59"/>
      <c r="H339" s="60"/>
      <c r="I339" s="61"/>
      <c r="J339" s="52"/>
    </row>
    <row r="340" spans="1:10" x14ac:dyDescent="0.25">
      <c r="A340" s="53"/>
      <c r="B340" s="53"/>
      <c r="C340" s="56"/>
      <c r="D340" s="57"/>
      <c r="E340" s="59"/>
      <c r="F340" s="59"/>
      <c r="G340" s="59"/>
      <c r="H340" s="60"/>
      <c r="I340" s="61"/>
      <c r="J340" s="52"/>
    </row>
    <row r="341" spans="1:10" x14ac:dyDescent="0.25">
      <c r="A341" s="53"/>
      <c r="B341" s="53"/>
      <c r="C341" s="56"/>
      <c r="D341" s="57"/>
      <c r="E341" s="59"/>
      <c r="F341" s="59"/>
      <c r="G341" s="59"/>
      <c r="H341" s="60"/>
      <c r="I341" s="61"/>
      <c r="J341" s="52"/>
    </row>
    <row r="342" spans="1:10" x14ac:dyDescent="0.25">
      <c r="A342" s="53"/>
      <c r="B342" s="53"/>
      <c r="C342" s="56"/>
      <c r="D342" s="57"/>
      <c r="E342" s="59"/>
      <c r="F342" s="59"/>
      <c r="G342" s="59"/>
      <c r="H342" s="60"/>
      <c r="I342" s="61"/>
      <c r="J342" s="52"/>
    </row>
    <row r="343" spans="1:10" x14ac:dyDescent="0.25">
      <c r="A343" s="53"/>
      <c r="B343" s="53"/>
      <c r="C343" s="56"/>
      <c r="D343" s="57"/>
      <c r="E343" s="59"/>
      <c r="F343" s="59"/>
      <c r="G343" s="59"/>
      <c r="H343" s="60"/>
      <c r="I343" s="61"/>
      <c r="J343" s="52"/>
    </row>
    <row r="344" spans="1:10" x14ac:dyDescent="0.25">
      <c r="A344" s="53"/>
      <c r="B344" s="53"/>
      <c r="C344" s="56"/>
      <c r="D344" s="57"/>
      <c r="E344" s="59"/>
      <c r="F344" s="59"/>
      <c r="G344" s="59"/>
      <c r="H344" s="60"/>
      <c r="I344" s="61"/>
      <c r="J344" s="52"/>
    </row>
    <row r="345" spans="1:10" x14ac:dyDescent="0.25">
      <c r="A345" s="53"/>
      <c r="B345" s="53"/>
      <c r="C345" s="56"/>
      <c r="D345" s="57"/>
      <c r="E345" s="59"/>
      <c r="F345" s="59"/>
      <c r="G345" s="59"/>
      <c r="H345" s="60"/>
      <c r="I345" s="61"/>
      <c r="J345" s="52"/>
    </row>
    <row r="346" spans="1:10" x14ac:dyDescent="0.25">
      <c r="A346" s="53"/>
      <c r="B346" s="53"/>
      <c r="C346" s="56"/>
      <c r="D346" s="57"/>
      <c r="E346" s="59"/>
      <c r="F346" s="59"/>
      <c r="G346" s="59"/>
      <c r="H346" s="60"/>
      <c r="I346" s="61"/>
      <c r="J346" s="52"/>
    </row>
    <row r="347" spans="1:10" x14ac:dyDescent="0.25">
      <c r="A347" s="53"/>
      <c r="B347" s="53"/>
      <c r="C347" s="56"/>
      <c r="D347" s="57"/>
      <c r="E347" s="59"/>
      <c r="F347" s="59"/>
      <c r="G347" s="59"/>
      <c r="H347" s="60"/>
      <c r="I347" s="61"/>
      <c r="J347" s="52"/>
    </row>
    <row r="348" spans="1:10" x14ac:dyDescent="0.25">
      <c r="A348" s="53"/>
      <c r="B348" s="53"/>
      <c r="C348" s="56"/>
      <c r="D348" s="57"/>
      <c r="E348" s="59"/>
      <c r="F348" s="59"/>
      <c r="G348" s="59"/>
      <c r="H348" s="60"/>
      <c r="I348" s="61"/>
      <c r="J348" s="52"/>
    </row>
    <row r="349" spans="1:10" x14ac:dyDescent="0.25">
      <c r="A349" s="53"/>
      <c r="B349" s="53"/>
      <c r="C349" s="56"/>
      <c r="D349" s="57"/>
      <c r="E349" s="59"/>
      <c r="F349" s="59"/>
      <c r="G349" s="59"/>
      <c r="H349" s="60"/>
      <c r="I349" s="61"/>
      <c r="J349" s="52"/>
    </row>
    <row r="350" spans="1:10" x14ac:dyDescent="0.25">
      <c r="A350" s="53"/>
      <c r="B350" s="53"/>
      <c r="C350" s="56"/>
      <c r="D350" s="57"/>
      <c r="E350" s="59"/>
      <c r="F350" s="59"/>
      <c r="G350" s="59"/>
      <c r="H350" s="60"/>
      <c r="I350" s="61"/>
      <c r="J350" s="52"/>
    </row>
    <row r="351" spans="1:10" x14ac:dyDescent="0.25">
      <c r="A351" s="53"/>
      <c r="B351" s="53"/>
      <c r="C351" s="56"/>
      <c r="D351" s="57"/>
      <c r="E351" s="59"/>
      <c r="F351" s="59"/>
      <c r="G351" s="59"/>
      <c r="H351" s="60"/>
      <c r="I351" s="61"/>
      <c r="J351" s="52"/>
    </row>
    <row r="352" spans="1:10" x14ac:dyDescent="0.25">
      <c r="A352" s="53"/>
      <c r="B352" s="53"/>
      <c r="C352" s="56"/>
      <c r="D352" s="57"/>
      <c r="E352" s="59"/>
      <c r="F352" s="59"/>
      <c r="G352" s="59"/>
      <c r="H352" s="60"/>
      <c r="I352" s="61"/>
      <c r="J352" s="52"/>
    </row>
    <row r="353" spans="1:10" x14ac:dyDescent="0.25">
      <c r="A353" s="53"/>
      <c r="B353" s="53"/>
      <c r="C353" s="56"/>
      <c r="D353" s="57"/>
      <c r="E353" s="59"/>
      <c r="F353" s="59"/>
      <c r="G353" s="59"/>
      <c r="H353" s="60"/>
      <c r="I353" s="61"/>
      <c r="J353" s="52"/>
    </row>
    <row r="354" spans="1:10" x14ac:dyDescent="0.25">
      <c r="A354" s="53"/>
      <c r="B354" s="53"/>
      <c r="C354" s="56"/>
      <c r="D354" s="57"/>
      <c r="E354" s="59"/>
      <c r="F354" s="59"/>
      <c r="G354" s="59"/>
      <c r="H354" s="60"/>
      <c r="I354" s="61"/>
      <c r="J354" s="52"/>
    </row>
    <row r="355" spans="1:10" x14ac:dyDescent="0.25">
      <c r="A355" s="53"/>
      <c r="B355" s="53"/>
      <c r="C355" s="56"/>
      <c r="D355" s="57"/>
      <c r="E355" s="59"/>
      <c r="F355" s="59"/>
      <c r="G355" s="59"/>
      <c r="H355" s="60"/>
      <c r="I355" s="61"/>
      <c r="J355" s="52"/>
    </row>
    <row r="356" spans="1:10" x14ac:dyDescent="0.25">
      <c r="A356" s="53"/>
      <c r="B356" s="53"/>
      <c r="C356" s="56"/>
      <c r="D356" s="57"/>
      <c r="E356" s="59"/>
      <c r="F356" s="59"/>
      <c r="G356" s="59"/>
      <c r="H356" s="60"/>
      <c r="I356" s="61"/>
      <c r="J356" s="52"/>
    </row>
    <row r="357" spans="1:10" x14ac:dyDescent="0.25">
      <c r="A357" s="53"/>
      <c r="B357" s="53"/>
      <c r="C357" s="56"/>
      <c r="D357" s="57"/>
      <c r="E357" s="59"/>
      <c r="F357" s="59"/>
      <c r="G357" s="59"/>
      <c r="H357" s="60"/>
      <c r="I357" s="61"/>
      <c r="J357" s="52"/>
    </row>
    <row r="358" spans="1:10" x14ac:dyDescent="0.25">
      <c r="A358" s="53"/>
      <c r="B358" s="53"/>
      <c r="C358" s="56"/>
      <c r="D358" s="57"/>
      <c r="E358" s="59"/>
      <c r="F358" s="59"/>
      <c r="G358" s="59"/>
      <c r="H358" s="60"/>
      <c r="I358" s="61"/>
      <c r="J358" s="52"/>
    </row>
    <row r="359" spans="1:10" x14ac:dyDescent="0.25">
      <c r="A359" s="53"/>
      <c r="B359" s="53"/>
      <c r="C359" s="56"/>
      <c r="D359" s="57"/>
      <c r="E359" s="59"/>
      <c r="F359" s="59"/>
      <c r="G359" s="59"/>
      <c r="H359" s="60"/>
      <c r="I359" s="61"/>
      <c r="J359" s="52"/>
    </row>
    <row r="360" spans="1:10" x14ac:dyDescent="0.25">
      <c r="A360" s="53"/>
      <c r="B360" s="53"/>
      <c r="C360" s="56"/>
      <c r="D360" s="57"/>
      <c r="E360" s="59"/>
      <c r="F360" s="59"/>
      <c r="G360" s="59"/>
      <c r="H360" s="60"/>
      <c r="I360" s="61"/>
      <c r="J360" s="52"/>
    </row>
    <row r="361" spans="1:10" x14ac:dyDescent="0.25">
      <c r="A361" s="53"/>
      <c r="B361" s="53"/>
      <c r="C361" s="56"/>
      <c r="D361" s="57"/>
      <c r="E361" s="59"/>
      <c r="F361" s="59"/>
      <c r="G361" s="59"/>
      <c r="H361" s="60"/>
      <c r="I361" s="61"/>
      <c r="J361" s="52"/>
    </row>
    <row r="362" spans="1:10" x14ac:dyDescent="0.25">
      <c r="A362" s="53"/>
      <c r="B362" s="53"/>
      <c r="C362" s="56"/>
      <c r="D362" s="57"/>
      <c r="E362" s="59"/>
      <c r="F362" s="59"/>
      <c r="G362" s="59"/>
      <c r="H362" s="60"/>
      <c r="I362" s="61"/>
      <c r="J362" s="52"/>
    </row>
    <row r="363" spans="1:10" x14ac:dyDescent="0.25">
      <c r="A363" s="53"/>
      <c r="B363" s="53"/>
      <c r="C363" s="56"/>
      <c r="D363" s="57"/>
      <c r="E363" s="59"/>
      <c r="F363" s="59"/>
      <c r="G363" s="59"/>
      <c r="H363" s="60"/>
      <c r="I363" s="61"/>
      <c r="J363" s="52"/>
    </row>
    <row r="364" spans="1:10" x14ac:dyDescent="0.25">
      <c r="A364" s="53"/>
      <c r="B364" s="53"/>
      <c r="C364" s="56"/>
      <c r="D364" s="57"/>
      <c r="E364" s="59"/>
      <c r="F364" s="59"/>
      <c r="G364" s="59"/>
      <c r="H364" s="60"/>
      <c r="I364" s="61"/>
      <c r="J364" s="52"/>
    </row>
    <row r="365" spans="1:10" x14ac:dyDescent="0.25">
      <c r="A365" s="53"/>
      <c r="B365" s="53"/>
      <c r="C365" s="56"/>
      <c r="D365" s="57"/>
      <c r="E365" s="59"/>
      <c r="F365" s="59"/>
      <c r="G365" s="59"/>
      <c r="H365" s="60"/>
      <c r="I365" s="61"/>
      <c r="J365" s="52"/>
    </row>
    <row r="366" spans="1:10" x14ac:dyDescent="0.25">
      <c r="A366" s="53"/>
      <c r="B366" s="53"/>
      <c r="C366" s="56"/>
      <c r="D366" s="57"/>
      <c r="E366" s="59"/>
      <c r="F366" s="59"/>
      <c r="G366" s="59"/>
      <c r="H366" s="60"/>
      <c r="I366" s="61"/>
      <c r="J366" s="52"/>
    </row>
    <row r="367" spans="1:10" x14ac:dyDescent="0.25">
      <c r="A367" s="53"/>
      <c r="B367" s="53"/>
      <c r="C367" s="56"/>
      <c r="D367" s="57"/>
      <c r="E367" s="59"/>
      <c r="F367" s="59"/>
      <c r="G367" s="59"/>
      <c r="H367" s="60"/>
      <c r="I367" s="61"/>
      <c r="J367" s="52"/>
    </row>
    <row r="368" spans="1:10" x14ac:dyDescent="0.25">
      <c r="A368" s="53"/>
      <c r="B368" s="53"/>
      <c r="C368" s="56"/>
      <c r="D368" s="57"/>
      <c r="E368" s="59"/>
      <c r="F368" s="59"/>
      <c r="G368" s="59"/>
      <c r="H368" s="60"/>
      <c r="I368" s="61"/>
      <c r="J368" s="52"/>
    </row>
    <row r="369" spans="1:10" x14ac:dyDescent="0.25">
      <c r="A369" s="53"/>
      <c r="B369" s="53"/>
      <c r="C369" s="56"/>
      <c r="D369" s="57"/>
      <c r="E369" s="59"/>
      <c r="F369" s="59"/>
      <c r="G369" s="59"/>
      <c r="H369" s="60"/>
      <c r="I369" s="61"/>
      <c r="J369" s="52"/>
    </row>
    <row r="370" spans="1:10" x14ac:dyDescent="0.25">
      <c r="A370" s="53"/>
      <c r="B370" s="53"/>
      <c r="C370" s="56"/>
      <c r="D370" s="57"/>
      <c r="E370" s="59"/>
      <c r="F370" s="59"/>
      <c r="G370" s="59"/>
      <c r="H370" s="60"/>
      <c r="I370" s="61"/>
      <c r="J370" s="52"/>
    </row>
    <row r="371" spans="1:10" x14ac:dyDescent="0.25">
      <c r="A371" s="53"/>
      <c r="B371" s="53"/>
      <c r="C371" s="56"/>
      <c r="D371" s="57"/>
      <c r="E371" s="59"/>
      <c r="F371" s="59"/>
      <c r="G371" s="59"/>
      <c r="H371" s="60"/>
      <c r="I371" s="61"/>
      <c r="J371" s="52"/>
    </row>
    <row r="372" spans="1:10" x14ac:dyDescent="0.25">
      <c r="A372" s="53"/>
      <c r="B372" s="53"/>
      <c r="C372" s="56"/>
      <c r="D372" s="57"/>
      <c r="E372" s="59"/>
      <c r="F372" s="59"/>
      <c r="G372" s="59"/>
      <c r="H372" s="60"/>
      <c r="I372" s="61"/>
      <c r="J372" s="52"/>
    </row>
    <row r="373" spans="1:10" x14ac:dyDescent="0.25">
      <c r="A373" s="53"/>
      <c r="B373" s="53"/>
      <c r="C373" s="56"/>
      <c r="D373" s="57"/>
      <c r="E373" s="59"/>
      <c r="F373" s="59"/>
      <c r="G373" s="59"/>
      <c r="H373" s="60"/>
      <c r="I373" s="61"/>
      <c r="J373" s="52"/>
    </row>
    <row r="374" spans="1:10" x14ac:dyDescent="0.25">
      <c r="A374" s="53"/>
      <c r="B374" s="53"/>
      <c r="C374" s="56"/>
      <c r="D374" s="57"/>
      <c r="E374" s="59"/>
      <c r="F374" s="59"/>
      <c r="G374" s="59"/>
      <c r="H374" s="60"/>
      <c r="I374" s="61"/>
      <c r="J374" s="52"/>
    </row>
    <row r="375" spans="1:10" x14ac:dyDescent="0.25">
      <c r="A375" s="53"/>
      <c r="B375" s="53"/>
      <c r="C375" s="56"/>
      <c r="D375" s="57"/>
      <c r="E375" s="59"/>
      <c r="F375" s="59"/>
      <c r="G375" s="59"/>
      <c r="H375" s="60"/>
      <c r="I375" s="61"/>
      <c r="J375" s="52"/>
    </row>
    <row r="376" spans="1:10" x14ac:dyDescent="0.25">
      <c r="A376" s="53"/>
      <c r="B376" s="53"/>
      <c r="C376" s="56"/>
      <c r="D376" s="57"/>
      <c r="E376" s="59"/>
      <c r="F376" s="59"/>
      <c r="G376" s="59"/>
      <c r="H376" s="60"/>
      <c r="I376" s="61"/>
      <c r="J376" s="52"/>
    </row>
    <row r="377" spans="1:10" x14ac:dyDescent="0.25">
      <c r="A377" s="53"/>
      <c r="B377" s="53"/>
      <c r="C377" s="56"/>
      <c r="D377" s="57"/>
      <c r="E377" s="59"/>
      <c r="F377" s="59"/>
      <c r="G377" s="59"/>
      <c r="H377" s="60"/>
      <c r="I377" s="61"/>
      <c r="J377" s="52"/>
    </row>
    <row r="378" spans="1:10" x14ac:dyDescent="0.25">
      <c r="A378" s="53"/>
      <c r="B378" s="53"/>
      <c r="C378" s="56"/>
      <c r="D378" s="57"/>
      <c r="E378" s="59"/>
      <c r="F378" s="59"/>
      <c r="G378" s="59"/>
      <c r="H378" s="60"/>
      <c r="I378" s="61"/>
      <c r="J378" s="52"/>
    </row>
    <row r="379" spans="1:10" x14ac:dyDescent="0.25">
      <c r="A379" s="53"/>
      <c r="B379" s="53"/>
      <c r="C379" s="56"/>
      <c r="D379" s="57"/>
      <c r="E379" s="59"/>
      <c r="F379" s="59"/>
      <c r="G379" s="59"/>
      <c r="H379" s="60"/>
      <c r="I379" s="61"/>
      <c r="J379" s="52"/>
    </row>
    <row r="380" spans="1:10" x14ac:dyDescent="0.25">
      <c r="A380" s="53"/>
      <c r="B380" s="53"/>
      <c r="C380" s="56"/>
      <c r="D380" s="57"/>
      <c r="E380" s="59"/>
      <c r="F380" s="59"/>
      <c r="G380" s="59"/>
      <c r="H380" s="60"/>
      <c r="I380" s="61"/>
      <c r="J380" s="52"/>
    </row>
    <row r="381" spans="1:10" x14ac:dyDescent="0.25">
      <c r="A381" s="53"/>
      <c r="B381" s="53"/>
      <c r="C381" s="56"/>
      <c r="D381" s="57"/>
      <c r="E381" s="59"/>
      <c r="F381" s="59"/>
      <c r="G381" s="59"/>
      <c r="H381" s="60"/>
      <c r="I381" s="61"/>
      <c r="J381" s="52"/>
    </row>
    <row r="382" spans="1:10" x14ac:dyDescent="0.25">
      <c r="A382" s="53"/>
      <c r="B382" s="53"/>
      <c r="C382" s="56"/>
      <c r="D382" s="57"/>
      <c r="E382" s="59"/>
      <c r="F382" s="59"/>
      <c r="G382" s="59"/>
      <c r="H382" s="60"/>
      <c r="I382" s="61"/>
      <c r="J382" s="52"/>
    </row>
    <row r="383" spans="1:10" x14ac:dyDescent="0.25">
      <c r="A383" s="53"/>
      <c r="B383" s="53"/>
      <c r="C383" s="56"/>
      <c r="D383" s="57"/>
      <c r="E383" s="59"/>
      <c r="F383" s="59"/>
      <c r="G383" s="59"/>
      <c r="H383" s="60"/>
      <c r="I383" s="61"/>
      <c r="J383" s="52"/>
    </row>
    <row r="384" spans="1:10" x14ac:dyDescent="0.25">
      <c r="A384" s="53"/>
      <c r="B384" s="53"/>
      <c r="C384" s="56"/>
      <c r="D384" s="57"/>
      <c r="E384" s="59"/>
      <c r="F384" s="59"/>
      <c r="G384" s="59"/>
      <c r="H384" s="60"/>
      <c r="I384" s="61"/>
      <c r="J384" s="52"/>
    </row>
    <row r="385" spans="1:10" x14ac:dyDescent="0.25">
      <c r="A385" s="53"/>
      <c r="B385" s="53"/>
      <c r="C385" s="56"/>
      <c r="D385" s="57"/>
      <c r="E385" s="59"/>
      <c r="F385" s="59"/>
      <c r="G385" s="59"/>
      <c r="H385" s="60"/>
      <c r="I385" s="61"/>
      <c r="J385" s="52"/>
    </row>
    <row r="386" spans="1:10" x14ac:dyDescent="0.25">
      <c r="A386" s="53"/>
      <c r="B386" s="53"/>
      <c r="C386" s="56"/>
      <c r="D386" s="57"/>
      <c r="E386" s="59"/>
      <c r="F386" s="59"/>
      <c r="G386" s="59"/>
      <c r="H386" s="60"/>
      <c r="I386" s="61"/>
      <c r="J386" s="52"/>
    </row>
    <row r="387" spans="1:10" x14ac:dyDescent="0.25">
      <c r="A387" s="53"/>
      <c r="B387" s="53"/>
      <c r="C387" s="56"/>
      <c r="D387" s="57"/>
      <c r="E387" s="59"/>
      <c r="F387" s="59"/>
      <c r="G387" s="59"/>
      <c r="H387" s="60"/>
      <c r="I387" s="61"/>
      <c r="J387" s="52"/>
    </row>
    <row r="388" spans="1:10" x14ac:dyDescent="0.25">
      <c r="A388" s="53"/>
      <c r="B388" s="53"/>
      <c r="C388" s="56"/>
      <c r="D388" s="57"/>
      <c r="E388" s="59"/>
      <c r="F388" s="59"/>
      <c r="G388" s="59"/>
      <c r="H388" s="60"/>
      <c r="I388" s="61"/>
      <c r="J388" s="52"/>
    </row>
    <row r="389" spans="1:10" x14ac:dyDescent="0.25">
      <c r="A389" s="53"/>
      <c r="B389" s="53"/>
      <c r="C389" s="56"/>
      <c r="D389" s="57"/>
      <c r="E389" s="59"/>
      <c r="F389" s="59"/>
      <c r="G389" s="59"/>
      <c r="H389" s="60"/>
      <c r="I389" s="61"/>
      <c r="J389" s="52"/>
    </row>
    <row r="390" spans="1:10" x14ac:dyDescent="0.25">
      <c r="A390" s="53"/>
      <c r="B390" s="53"/>
      <c r="C390" s="56"/>
      <c r="D390" s="57"/>
      <c r="E390" s="59"/>
      <c r="F390" s="59"/>
      <c r="G390" s="59"/>
      <c r="H390" s="60"/>
      <c r="I390" s="61"/>
      <c r="J390" s="52"/>
    </row>
    <row r="391" spans="1:10" x14ac:dyDescent="0.25">
      <c r="A391" s="53"/>
      <c r="B391" s="53"/>
      <c r="C391" s="56"/>
      <c r="D391" s="57"/>
      <c r="E391" s="59"/>
      <c r="F391" s="59"/>
      <c r="G391" s="59"/>
      <c r="H391" s="60"/>
      <c r="I391" s="61"/>
      <c r="J391" s="52"/>
    </row>
    <row r="392" spans="1:10" x14ac:dyDescent="0.25">
      <c r="A392" s="53"/>
      <c r="B392" s="53"/>
      <c r="C392" s="56"/>
      <c r="D392" s="57"/>
      <c r="E392" s="59"/>
      <c r="F392" s="59"/>
      <c r="G392" s="59"/>
      <c r="H392" s="60"/>
      <c r="I392" s="61"/>
      <c r="J392" s="52"/>
    </row>
    <row r="393" spans="1:10" x14ac:dyDescent="0.25">
      <c r="A393" s="53"/>
      <c r="B393" s="53"/>
      <c r="C393" s="56"/>
      <c r="D393" s="57"/>
      <c r="E393" s="59"/>
      <c r="F393" s="59"/>
      <c r="G393" s="59"/>
      <c r="H393" s="60"/>
      <c r="I393" s="61"/>
      <c r="J393" s="52"/>
    </row>
    <row r="394" spans="1:10" x14ac:dyDescent="0.25">
      <c r="A394" s="53"/>
      <c r="B394" s="53"/>
      <c r="C394" s="56"/>
      <c r="D394" s="57"/>
      <c r="E394" s="59"/>
      <c r="F394" s="59"/>
      <c r="G394" s="59"/>
      <c r="H394" s="60"/>
      <c r="I394" s="61"/>
      <c r="J394" s="52"/>
    </row>
    <row r="395" spans="1:10" x14ac:dyDescent="0.25">
      <c r="A395" s="53"/>
      <c r="B395" s="53"/>
      <c r="C395" s="56"/>
      <c r="D395" s="57"/>
      <c r="E395" s="59"/>
      <c r="F395" s="59"/>
      <c r="G395" s="59"/>
      <c r="H395" s="60"/>
      <c r="I395" s="61"/>
      <c r="J395" s="52"/>
    </row>
    <row r="396" spans="1:10" x14ac:dyDescent="0.25">
      <c r="A396" s="53"/>
      <c r="B396" s="53"/>
      <c r="C396" s="56"/>
      <c r="D396" s="57"/>
      <c r="E396" s="59"/>
      <c r="F396" s="59"/>
      <c r="G396" s="59"/>
      <c r="H396" s="60"/>
      <c r="I396" s="61"/>
      <c r="J396" s="52"/>
    </row>
    <row r="397" spans="1:10" x14ac:dyDescent="0.25">
      <c r="A397" s="53"/>
      <c r="B397" s="53"/>
      <c r="C397" s="56"/>
      <c r="D397" s="57"/>
      <c r="E397" s="59"/>
      <c r="F397" s="59"/>
      <c r="G397" s="59"/>
      <c r="H397" s="60"/>
      <c r="I397" s="61"/>
      <c r="J397" s="52"/>
    </row>
    <row r="398" spans="1:10" x14ac:dyDescent="0.25">
      <c r="A398" s="53"/>
      <c r="B398" s="53"/>
      <c r="C398" s="56"/>
      <c r="D398" s="57"/>
      <c r="E398" s="59"/>
      <c r="F398" s="59"/>
      <c r="G398" s="59"/>
      <c r="H398" s="60"/>
      <c r="I398" s="61"/>
      <c r="J398" s="52"/>
    </row>
    <row r="399" spans="1:10" x14ac:dyDescent="0.25">
      <c r="A399" s="53"/>
      <c r="B399" s="53"/>
      <c r="C399" s="56"/>
      <c r="D399" s="57"/>
      <c r="E399" s="59"/>
      <c r="F399" s="59"/>
      <c r="G399" s="59"/>
      <c r="H399" s="60"/>
      <c r="I399" s="61"/>
      <c r="J399" s="52"/>
    </row>
    <row r="400" spans="1:10" x14ac:dyDescent="0.25">
      <c r="A400" s="53"/>
      <c r="B400" s="53"/>
      <c r="C400" s="56"/>
      <c r="D400" s="57"/>
      <c r="E400" s="59"/>
      <c r="F400" s="59"/>
      <c r="G400" s="59"/>
      <c r="H400" s="60"/>
      <c r="I400" s="61"/>
      <c r="J400" s="52"/>
    </row>
    <row r="401" spans="1:10" x14ac:dyDescent="0.25">
      <c r="A401" s="53"/>
      <c r="B401" s="53"/>
      <c r="C401" s="56"/>
      <c r="D401" s="57"/>
      <c r="E401" s="59"/>
      <c r="F401" s="59"/>
      <c r="G401" s="59"/>
      <c r="H401" s="60"/>
      <c r="I401" s="61"/>
      <c r="J401" s="52"/>
    </row>
    <row r="402" spans="1:10" x14ac:dyDescent="0.25">
      <c r="A402" s="53"/>
      <c r="B402" s="53"/>
      <c r="C402" s="56"/>
      <c r="D402" s="57"/>
      <c r="E402" s="59"/>
      <c r="F402" s="59"/>
      <c r="G402" s="59"/>
      <c r="H402" s="60"/>
      <c r="I402" s="61"/>
      <c r="J402" s="52"/>
    </row>
    <row r="403" spans="1:10" x14ac:dyDescent="0.25">
      <c r="A403" s="53"/>
      <c r="B403" s="53"/>
      <c r="C403" s="56"/>
      <c r="D403" s="57"/>
      <c r="E403" s="59"/>
      <c r="F403" s="59"/>
      <c r="G403" s="59"/>
      <c r="H403" s="60"/>
      <c r="I403" s="61"/>
      <c r="J403" s="52"/>
    </row>
    <row r="404" spans="1:10" x14ac:dyDescent="0.25">
      <c r="A404" s="53"/>
      <c r="B404" s="53"/>
      <c r="C404" s="56"/>
      <c r="D404" s="57"/>
      <c r="E404" s="59"/>
      <c r="F404" s="59"/>
      <c r="G404" s="59"/>
      <c r="H404" s="60"/>
      <c r="I404" s="61"/>
      <c r="J404" s="52"/>
    </row>
    <row r="405" spans="1:10" x14ac:dyDescent="0.25">
      <c r="A405" s="53"/>
      <c r="B405" s="53"/>
      <c r="C405" s="56"/>
      <c r="D405" s="57"/>
      <c r="E405" s="59"/>
      <c r="F405" s="59"/>
      <c r="G405" s="59"/>
      <c r="H405" s="60"/>
      <c r="I405" s="61"/>
      <c r="J405" s="52"/>
    </row>
    <row r="406" spans="1:10" x14ac:dyDescent="0.25">
      <c r="A406" s="53"/>
      <c r="B406" s="53"/>
      <c r="C406" s="56"/>
      <c r="D406" s="57"/>
      <c r="E406" s="59"/>
      <c r="F406" s="59"/>
      <c r="G406" s="59"/>
      <c r="H406" s="60"/>
      <c r="I406" s="61"/>
      <c r="J406" s="52"/>
    </row>
    <row r="407" spans="1:10" x14ac:dyDescent="0.25">
      <c r="A407" s="53"/>
      <c r="B407" s="53"/>
      <c r="C407" s="56"/>
      <c r="D407" s="57"/>
      <c r="E407" s="59"/>
      <c r="F407" s="59"/>
      <c r="G407" s="59"/>
      <c r="H407" s="60"/>
      <c r="I407" s="61"/>
      <c r="J407" s="52"/>
    </row>
    <row r="408" spans="1:10" x14ac:dyDescent="0.25">
      <c r="A408" s="53"/>
      <c r="B408" s="53"/>
      <c r="C408" s="56"/>
      <c r="D408" s="57"/>
      <c r="E408" s="59"/>
      <c r="F408" s="59"/>
      <c r="G408" s="59"/>
      <c r="H408" s="60"/>
      <c r="I408" s="61"/>
      <c r="J408" s="52"/>
    </row>
    <row r="409" spans="1:10" x14ac:dyDescent="0.25">
      <c r="A409" s="53"/>
      <c r="B409" s="53"/>
      <c r="C409" s="56"/>
      <c r="D409" s="57"/>
      <c r="E409" s="59"/>
      <c r="F409" s="59"/>
      <c r="G409" s="59"/>
      <c r="H409" s="60"/>
      <c r="I409" s="61"/>
      <c r="J409" s="52"/>
    </row>
    <row r="410" spans="1:10" x14ac:dyDescent="0.25">
      <c r="A410" s="53"/>
      <c r="B410" s="53"/>
      <c r="C410" s="56"/>
      <c r="D410" s="57"/>
      <c r="E410" s="59"/>
      <c r="F410" s="59"/>
      <c r="G410" s="59"/>
      <c r="H410" s="60"/>
      <c r="I410" s="61"/>
      <c r="J410" s="52"/>
    </row>
    <row r="411" spans="1:10" x14ac:dyDescent="0.25">
      <c r="A411" s="53"/>
      <c r="B411" s="53"/>
      <c r="C411" s="56"/>
      <c r="D411" s="57"/>
      <c r="E411" s="59"/>
      <c r="F411" s="59"/>
      <c r="G411" s="59"/>
      <c r="H411" s="60"/>
      <c r="I411" s="61"/>
      <c r="J411" s="52"/>
    </row>
    <row r="412" spans="1:10" x14ac:dyDescent="0.25">
      <c r="A412" s="53"/>
      <c r="B412" s="53"/>
      <c r="C412" s="56"/>
      <c r="D412" s="57"/>
      <c r="E412" s="59"/>
      <c r="F412" s="59"/>
      <c r="G412" s="59"/>
      <c r="H412" s="60"/>
      <c r="I412" s="61"/>
      <c r="J412" s="52"/>
    </row>
    <row r="413" spans="1:10" x14ac:dyDescent="0.25">
      <c r="A413" s="53"/>
      <c r="B413" s="53"/>
      <c r="C413" s="56"/>
      <c r="D413" s="57"/>
      <c r="E413" s="59"/>
      <c r="F413" s="59"/>
      <c r="G413" s="59"/>
      <c r="H413" s="60"/>
      <c r="I413" s="61"/>
      <c r="J413" s="52"/>
    </row>
    <row r="414" spans="1:10" x14ac:dyDescent="0.25">
      <c r="A414" s="53"/>
      <c r="B414" s="53"/>
      <c r="C414" s="56"/>
      <c r="D414" s="57"/>
      <c r="E414" s="59"/>
      <c r="F414" s="59"/>
      <c r="G414" s="59"/>
      <c r="H414" s="60"/>
      <c r="I414" s="61"/>
      <c r="J414" s="52"/>
    </row>
    <row r="415" spans="1:10" x14ac:dyDescent="0.25">
      <c r="A415" s="53"/>
      <c r="B415" s="53"/>
      <c r="C415" s="56"/>
      <c r="D415" s="57"/>
      <c r="E415" s="59"/>
      <c r="F415" s="59"/>
      <c r="G415" s="59"/>
      <c r="H415" s="60"/>
      <c r="I415" s="61"/>
      <c r="J415" s="52"/>
    </row>
    <row r="416" spans="1:10" x14ac:dyDescent="0.25">
      <c r="A416" s="53"/>
      <c r="B416" s="53"/>
      <c r="C416" s="56"/>
      <c r="D416" s="57"/>
      <c r="E416" s="59"/>
      <c r="F416" s="59"/>
      <c r="G416" s="59"/>
      <c r="H416" s="60"/>
      <c r="I416" s="61"/>
      <c r="J416" s="52"/>
    </row>
    <row r="417" spans="1:10" x14ac:dyDescent="0.25">
      <c r="A417" s="53"/>
      <c r="B417" s="53"/>
      <c r="C417" s="56"/>
      <c r="D417" s="57"/>
      <c r="E417" s="59"/>
      <c r="F417" s="59"/>
      <c r="G417" s="59"/>
      <c r="H417" s="60"/>
      <c r="I417" s="61"/>
      <c r="J417" s="52"/>
    </row>
    <row r="418" spans="1:10" x14ac:dyDescent="0.25">
      <c r="A418" s="53"/>
      <c r="B418" s="53"/>
      <c r="C418" s="56"/>
      <c r="D418" s="57"/>
      <c r="E418" s="59"/>
      <c r="F418" s="59"/>
      <c r="G418" s="59"/>
      <c r="H418" s="60"/>
      <c r="I418" s="61"/>
      <c r="J418" s="52"/>
    </row>
    <row r="419" spans="1:10" x14ac:dyDescent="0.25">
      <c r="A419" s="53"/>
      <c r="B419" s="53"/>
      <c r="C419" s="56"/>
      <c r="D419" s="57"/>
      <c r="E419" s="59"/>
      <c r="F419" s="59"/>
      <c r="G419" s="59"/>
      <c r="H419" s="60"/>
      <c r="I419" s="61"/>
      <c r="J419" s="52"/>
    </row>
    <row r="420" spans="1:10" x14ac:dyDescent="0.25">
      <c r="A420" s="53"/>
      <c r="B420" s="53"/>
      <c r="C420" s="56"/>
      <c r="D420" s="57"/>
      <c r="E420" s="59"/>
      <c r="F420" s="59"/>
      <c r="G420" s="59"/>
      <c r="H420" s="60"/>
      <c r="I420" s="61"/>
      <c r="J420" s="52"/>
    </row>
    <row r="421" spans="1:10" x14ac:dyDescent="0.25">
      <c r="A421" s="53"/>
      <c r="B421" s="53"/>
      <c r="C421" s="56"/>
      <c r="D421" s="57"/>
      <c r="E421" s="59"/>
      <c r="F421" s="59"/>
      <c r="G421" s="59"/>
      <c r="H421" s="60"/>
      <c r="I421" s="61"/>
      <c r="J421" s="52"/>
    </row>
    <row r="422" spans="1:10" x14ac:dyDescent="0.25">
      <c r="A422" s="53"/>
      <c r="B422" s="53"/>
      <c r="C422" s="56"/>
      <c r="D422" s="57"/>
      <c r="E422" s="59"/>
      <c r="F422" s="59"/>
      <c r="G422" s="59"/>
      <c r="H422" s="60"/>
      <c r="I422" s="61"/>
      <c r="J422" s="52"/>
    </row>
    <row r="423" spans="1:10" x14ac:dyDescent="0.25">
      <c r="A423" s="53"/>
      <c r="B423" s="53"/>
      <c r="C423" s="56"/>
      <c r="D423" s="57"/>
      <c r="E423" s="59"/>
      <c r="F423" s="59"/>
      <c r="G423" s="59"/>
      <c r="H423" s="60"/>
      <c r="I423" s="61"/>
      <c r="J423" s="52"/>
    </row>
    <row r="424" spans="1:10" x14ac:dyDescent="0.25">
      <c r="A424" s="53"/>
      <c r="B424" s="53"/>
      <c r="C424" s="56"/>
      <c r="D424" s="57"/>
      <c r="E424" s="59"/>
      <c r="F424" s="59"/>
      <c r="G424" s="59"/>
      <c r="H424" s="60"/>
      <c r="I424" s="61"/>
      <c r="J424" s="52"/>
    </row>
    <row r="425" spans="1:10" x14ac:dyDescent="0.25">
      <c r="A425" s="53"/>
      <c r="B425" s="53"/>
      <c r="C425" s="56"/>
      <c r="D425" s="57"/>
      <c r="E425" s="59"/>
      <c r="F425" s="59"/>
      <c r="G425" s="59"/>
      <c r="H425" s="60"/>
      <c r="I425" s="61"/>
      <c r="J425" s="52"/>
    </row>
    <row r="426" spans="1:10" x14ac:dyDescent="0.25">
      <c r="A426" s="53"/>
      <c r="B426" s="53"/>
      <c r="C426" s="56"/>
      <c r="D426" s="57"/>
      <c r="E426" s="59"/>
      <c r="F426" s="59"/>
      <c r="G426" s="59"/>
      <c r="H426" s="60"/>
      <c r="I426" s="61"/>
      <c r="J426" s="52"/>
    </row>
    <row r="427" spans="1:10" x14ac:dyDescent="0.25">
      <c r="A427" s="53"/>
      <c r="B427" s="53"/>
      <c r="C427" s="56"/>
      <c r="D427" s="57"/>
      <c r="E427" s="59"/>
      <c r="F427" s="59"/>
      <c r="G427" s="59"/>
      <c r="H427" s="60"/>
      <c r="I427" s="61"/>
      <c r="J427" s="52"/>
    </row>
    <row r="428" spans="1:10" x14ac:dyDescent="0.25">
      <c r="A428" s="53"/>
      <c r="B428" s="53"/>
      <c r="C428" s="56"/>
      <c r="D428" s="57"/>
      <c r="E428" s="59"/>
      <c r="F428" s="59"/>
      <c r="G428" s="59"/>
      <c r="H428" s="60"/>
      <c r="I428" s="61"/>
      <c r="J428" s="52"/>
    </row>
    <row r="429" spans="1:10" x14ac:dyDescent="0.25">
      <c r="A429" s="53"/>
      <c r="B429" s="53"/>
      <c r="C429" s="56"/>
      <c r="D429" s="57"/>
      <c r="E429" s="59"/>
      <c r="F429" s="59"/>
      <c r="G429" s="59"/>
      <c r="H429" s="60"/>
      <c r="I429" s="61"/>
      <c r="J429" s="52"/>
    </row>
    <row r="430" spans="1:10" x14ac:dyDescent="0.25">
      <c r="A430" s="53"/>
      <c r="B430" s="53"/>
      <c r="C430" s="56"/>
      <c r="D430" s="57"/>
      <c r="E430" s="59"/>
      <c r="F430" s="59"/>
      <c r="G430" s="59"/>
      <c r="H430" s="60"/>
      <c r="I430" s="61"/>
      <c r="J430" s="52"/>
    </row>
    <row r="431" spans="1:10" x14ac:dyDescent="0.25">
      <c r="A431" s="53"/>
      <c r="B431" s="53"/>
      <c r="C431" s="56"/>
      <c r="D431" s="57"/>
      <c r="E431" s="59"/>
      <c r="F431" s="59"/>
      <c r="G431" s="59"/>
      <c r="H431" s="60"/>
      <c r="I431" s="61"/>
      <c r="J431" s="52"/>
    </row>
    <row r="432" spans="1:10" x14ac:dyDescent="0.25">
      <c r="A432" s="53"/>
      <c r="B432" s="53"/>
      <c r="C432" s="56"/>
      <c r="D432" s="57"/>
      <c r="E432" s="59"/>
      <c r="F432" s="59"/>
      <c r="G432" s="59"/>
      <c r="H432" s="60"/>
      <c r="I432" s="61"/>
      <c r="J432" s="52"/>
    </row>
    <row r="433" spans="1:10" x14ac:dyDescent="0.25">
      <c r="A433" s="53"/>
      <c r="B433" s="53"/>
      <c r="C433" s="56"/>
      <c r="D433" s="57"/>
      <c r="E433" s="59"/>
      <c r="F433" s="59"/>
      <c r="G433" s="59"/>
      <c r="H433" s="60"/>
      <c r="I433" s="61"/>
      <c r="J433" s="52"/>
    </row>
    <row r="434" spans="1:10" x14ac:dyDescent="0.25">
      <c r="A434" s="53"/>
      <c r="B434" s="53"/>
      <c r="C434" s="56"/>
      <c r="D434" s="57"/>
      <c r="E434" s="59"/>
      <c r="F434" s="59"/>
      <c r="G434" s="59"/>
      <c r="H434" s="60"/>
      <c r="I434" s="61"/>
      <c r="J434" s="52"/>
    </row>
    <row r="435" spans="1:10" x14ac:dyDescent="0.25">
      <c r="A435" s="53"/>
      <c r="B435" s="53"/>
      <c r="C435" s="56"/>
      <c r="D435" s="57"/>
      <c r="E435" s="59"/>
      <c r="F435" s="59"/>
      <c r="G435" s="59"/>
      <c r="H435" s="60"/>
      <c r="I435" s="61"/>
      <c r="J435" s="52"/>
    </row>
    <row r="436" spans="1:10" x14ac:dyDescent="0.25">
      <c r="A436" s="53"/>
      <c r="B436" s="53"/>
      <c r="C436" s="56"/>
      <c r="D436" s="57"/>
      <c r="E436" s="59"/>
      <c r="F436" s="59"/>
      <c r="G436" s="59"/>
      <c r="H436" s="60"/>
      <c r="I436" s="61"/>
      <c r="J436" s="52"/>
    </row>
    <row r="437" spans="1:10" x14ac:dyDescent="0.25">
      <c r="A437" s="53"/>
      <c r="B437" s="53"/>
      <c r="C437" s="56"/>
      <c r="D437" s="57"/>
      <c r="E437" s="59"/>
      <c r="F437" s="59"/>
      <c r="G437" s="59"/>
      <c r="H437" s="60"/>
      <c r="I437" s="61"/>
      <c r="J437" s="52"/>
    </row>
    <row r="438" spans="1:10" x14ac:dyDescent="0.25">
      <c r="A438" s="53"/>
      <c r="B438" s="53"/>
      <c r="C438" s="56"/>
      <c r="D438" s="57"/>
      <c r="E438" s="59"/>
      <c r="F438" s="59"/>
      <c r="G438" s="59"/>
      <c r="H438" s="60"/>
      <c r="I438" s="61"/>
      <c r="J438" s="52"/>
    </row>
    <row r="439" spans="1:10" x14ac:dyDescent="0.25">
      <c r="A439" s="53"/>
      <c r="B439" s="53"/>
      <c r="C439" s="56"/>
      <c r="D439" s="57"/>
      <c r="E439" s="59"/>
      <c r="F439" s="59"/>
      <c r="G439" s="59"/>
      <c r="H439" s="60"/>
      <c r="I439" s="61"/>
      <c r="J439" s="52"/>
    </row>
    <row r="440" spans="1:10" x14ac:dyDescent="0.25">
      <c r="A440" s="53"/>
      <c r="B440" s="53"/>
      <c r="C440" s="56"/>
      <c r="D440" s="57"/>
      <c r="E440" s="59"/>
      <c r="F440" s="59"/>
      <c r="G440" s="59"/>
      <c r="H440" s="60"/>
      <c r="I440" s="61"/>
      <c r="J440" s="52"/>
    </row>
    <row r="441" spans="1:10" x14ac:dyDescent="0.25">
      <c r="A441" s="53"/>
      <c r="B441" s="53"/>
      <c r="C441" s="56"/>
      <c r="D441" s="57"/>
      <c r="E441" s="59"/>
      <c r="F441" s="59"/>
      <c r="G441" s="59"/>
      <c r="H441" s="60"/>
      <c r="I441" s="61"/>
      <c r="J441" s="52"/>
    </row>
    <row r="442" spans="1:10" x14ac:dyDescent="0.25">
      <c r="A442" s="53"/>
      <c r="B442" s="53"/>
      <c r="C442" s="56"/>
      <c r="D442" s="57"/>
      <c r="E442" s="59"/>
      <c r="F442" s="59"/>
      <c r="G442" s="59"/>
      <c r="H442" s="60"/>
      <c r="I442" s="61"/>
      <c r="J442" s="52"/>
    </row>
    <row r="443" spans="1:10" x14ac:dyDescent="0.25">
      <c r="A443" s="53"/>
      <c r="B443" s="53"/>
      <c r="C443" s="56"/>
      <c r="D443" s="57"/>
      <c r="E443" s="59"/>
      <c r="F443" s="59"/>
      <c r="G443" s="59"/>
      <c r="H443" s="60"/>
      <c r="I443" s="61"/>
      <c r="J443" s="52"/>
    </row>
    <row r="444" spans="1:10" x14ac:dyDescent="0.25">
      <c r="A444" s="53"/>
      <c r="B444" s="53"/>
      <c r="C444" s="56"/>
      <c r="D444" s="57"/>
      <c r="E444" s="59"/>
      <c r="F444" s="59"/>
      <c r="G444" s="59"/>
      <c r="H444" s="60"/>
      <c r="I444" s="61"/>
      <c r="J444" s="52"/>
    </row>
    <row r="445" spans="1:10" x14ac:dyDescent="0.25">
      <c r="A445" s="53"/>
      <c r="B445" s="53"/>
      <c r="C445" s="56"/>
      <c r="D445" s="57"/>
      <c r="E445" s="59"/>
      <c r="F445" s="59"/>
      <c r="G445" s="59"/>
      <c r="H445" s="60"/>
      <c r="I445" s="61"/>
      <c r="J445" s="52"/>
    </row>
    <row r="446" spans="1:10" x14ac:dyDescent="0.25">
      <c r="A446" s="53"/>
      <c r="B446" s="53"/>
      <c r="C446" s="56"/>
      <c r="D446" s="57"/>
      <c r="E446" s="59"/>
      <c r="F446" s="59"/>
      <c r="G446" s="59"/>
      <c r="H446" s="60"/>
      <c r="I446" s="61"/>
      <c r="J446" s="52"/>
    </row>
    <row r="447" spans="1:10" x14ac:dyDescent="0.25">
      <c r="A447" s="53"/>
      <c r="B447" s="53"/>
      <c r="C447" s="56"/>
      <c r="D447" s="57"/>
      <c r="E447" s="59"/>
      <c r="F447" s="59"/>
      <c r="G447" s="59"/>
      <c r="H447" s="60"/>
      <c r="I447" s="61"/>
      <c r="J447" s="52"/>
    </row>
    <row r="448" spans="1:10" x14ac:dyDescent="0.25">
      <c r="A448" s="53"/>
      <c r="B448" s="53"/>
      <c r="C448" s="56"/>
      <c r="D448" s="57"/>
      <c r="E448" s="59"/>
      <c r="F448" s="59"/>
      <c r="G448" s="59"/>
      <c r="H448" s="60"/>
      <c r="I448" s="61"/>
      <c r="J448" s="52"/>
    </row>
    <row r="449" spans="1:10" x14ac:dyDescent="0.25">
      <c r="A449" s="53"/>
      <c r="B449" s="53"/>
      <c r="C449" s="56"/>
      <c r="D449" s="57"/>
      <c r="E449" s="59"/>
      <c r="F449" s="59"/>
      <c r="G449" s="59"/>
      <c r="H449" s="60"/>
      <c r="I449" s="61"/>
      <c r="J449" s="52"/>
    </row>
    <row r="450" spans="1:10" x14ac:dyDescent="0.25">
      <c r="A450" s="53"/>
      <c r="B450" s="53"/>
      <c r="C450" s="56"/>
      <c r="D450" s="57"/>
      <c r="E450" s="59"/>
      <c r="F450" s="59"/>
      <c r="G450" s="59"/>
      <c r="H450" s="60"/>
      <c r="I450" s="61"/>
      <c r="J450" s="52"/>
    </row>
    <row r="451" spans="1:10" x14ac:dyDescent="0.25">
      <c r="A451" s="53"/>
      <c r="B451" s="53"/>
      <c r="C451" s="56"/>
      <c r="D451" s="57"/>
      <c r="E451" s="59"/>
      <c r="F451" s="59"/>
      <c r="G451" s="59"/>
      <c r="H451" s="60"/>
      <c r="I451" s="61"/>
      <c r="J451" s="52"/>
    </row>
    <row r="452" spans="1:10" x14ac:dyDescent="0.25">
      <c r="A452" s="53"/>
      <c r="B452" s="53"/>
      <c r="C452" s="56"/>
      <c r="D452" s="57"/>
      <c r="E452" s="59"/>
      <c r="F452" s="59"/>
      <c r="G452" s="59"/>
      <c r="H452" s="60"/>
      <c r="I452" s="61"/>
      <c r="J452" s="52"/>
    </row>
    <row r="453" spans="1:10" x14ac:dyDescent="0.25">
      <c r="A453" s="53"/>
      <c r="B453" s="53"/>
      <c r="C453" s="56"/>
      <c r="D453" s="57"/>
      <c r="E453" s="59"/>
      <c r="F453" s="59"/>
      <c r="G453" s="59"/>
      <c r="H453" s="60"/>
      <c r="I453" s="61"/>
      <c r="J453" s="52"/>
    </row>
    <row r="454" spans="1:10" x14ac:dyDescent="0.25">
      <c r="A454" s="53"/>
      <c r="B454" s="53"/>
      <c r="C454" s="56"/>
      <c r="D454" s="57"/>
      <c r="E454" s="59"/>
      <c r="F454" s="59"/>
      <c r="G454" s="59"/>
      <c r="H454" s="60"/>
      <c r="I454" s="61"/>
      <c r="J454" s="52"/>
    </row>
    <row r="455" spans="1:10" x14ac:dyDescent="0.25">
      <c r="A455" s="53"/>
      <c r="B455" s="53"/>
      <c r="C455" s="56"/>
      <c r="D455" s="57"/>
      <c r="E455" s="59"/>
      <c r="F455" s="59"/>
      <c r="G455" s="59"/>
      <c r="H455" s="60"/>
      <c r="I455" s="61"/>
      <c r="J455" s="52"/>
    </row>
    <row r="456" spans="1:10" x14ac:dyDescent="0.25">
      <c r="A456" s="53"/>
      <c r="B456" s="53"/>
      <c r="C456" s="56"/>
      <c r="D456" s="57"/>
      <c r="E456" s="59"/>
      <c r="F456" s="59"/>
      <c r="G456" s="59"/>
      <c r="H456" s="60"/>
      <c r="I456" s="61"/>
      <c r="J456" s="52"/>
    </row>
    <row r="457" spans="1:10" x14ac:dyDescent="0.25">
      <c r="A457" s="53"/>
      <c r="B457" s="53"/>
      <c r="C457" s="56"/>
      <c r="D457" s="57"/>
      <c r="E457" s="59"/>
      <c r="F457" s="59"/>
      <c r="G457" s="59"/>
      <c r="H457" s="60"/>
      <c r="I457" s="61"/>
      <c r="J457" s="52"/>
    </row>
    <row r="458" spans="1:10" x14ac:dyDescent="0.25">
      <c r="A458" s="53"/>
      <c r="B458" s="53"/>
      <c r="C458" s="56"/>
      <c r="D458" s="57"/>
      <c r="E458" s="59"/>
      <c r="F458" s="59"/>
      <c r="G458" s="59"/>
      <c r="H458" s="60"/>
      <c r="I458" s="61"/>
      <c r="J458" s="52"/>
    </row>
    <row r="459" spans="1:10" x14ac:dyDescent="0.25">
      <c r="A459" s="53"/>
      <c r="B459" s="53"/>
      <c r="C459" s="56"/>
      <c r="D459" s="57"/>
      <c r="E459" s="59"/>
      <c r="F459" s="59"/>
      <c r="G459" s="59"/>
      <c r="H459" s="60"/>
      <c r="I459" s="61"/>
      <c r="J459" s="52"/>
    </row>
    <row r="460" spans="1:10" x14ac:dyDescent="0.25">
      <c r="A460" s="53"/>
      <c r="B460" s="53"/>
      <c r="C460" s="56"/>
      <c r="D460" s="57"/>
      <c r="E460" s="59"/>
      <c r="F460" s="59"/>
      <c r="G460" s="59"/>
      <c r="H460" s="60"/>
      <c r="I460" s="61"/>
      <c r="J460" s="52"/>
    </row>
    <row r="461" spans="1:10" x14ac:dyDescent="0.25">
      <c r="A461" s="53"/>
      <c r="B461" s="53"/>
      <c r="C461" s="56"/>
      <c r="D461" s="57"/>
      <c r="E461" s="59"/>
      <c r="F461" s="59"/>
      <c r="G461" s="59"/>
      <c r="H461" s="60"/>
      <c r="I461" s="61"/>
      <c r="J461" s="52"/>
    </row>
    <row r="462" spans="1:10" x14ac:dyDescent="0.25">
      <c r="A462" s="53"/>
      <c r="B462" s="53"/>
      <c r="C462" s="56"/>
      <c r="D462" s="57"/>
      <c r="E462" s="59"/>
      <c r="F462" s="59"/>
      <c r="G462" s="59"/>
      <c r="H462" s="60"/>
      <c r="I462" s="61"/>
      <c r="J462" s="52"/>
    </row>
    <row r="463" spans="1:10" x14ac:dyDescent="0.25">
      <c r="A463" s="53"/>
      <c r="B463" s="53"/>
      <c r="C463" s="56"/>
      <c r="D463" s="57"/>
      <c r="E463" s="59"/>
      <c r="F463" s="59"/>
      <c r="G463" s="59"/>
      <c r="H463" s="60"/>
      <c r="I463" s="61"/>
      <c r="J463" s="52"/>
    </row>
    <row r="464" spans="1:10" x14ac:dyDescent="0.25">
      <c r="A464" s="53"/>
      <c r="B464" s="53"/>
      <c r="C464" s="56"/>
      <c r="D464" s="57"/>
      <c r="E464" s="59"/>
      <c r="F464" s="59"/>
      <c r="G464" s="59"/>
      <c r="H464" s="60"/>
      <c r="I464" s="61"/>
      <c r="J464" s="52"/>
    </row>
    <row r="465" spans="1:10" x14ac:dyDescent="0.25">
      <c r="A465" s="53"/>
      <c r="B465" s="53"/>
      <c r="C465" s="56"/>
      <c r="D465" s="57"/>
      <c r="E465" s="59"/>
      <c r="F465" s="59"/>
      <c r="G465" s="59"/>
      <c r="H465" s="60"/>
      <c r="I465" s="61"/>
      <c r="J465" s="52"/>
    </row>
    <row r="466" spans="1:10" x14ac:dyDescent="0.25">
      <c r="A466" s="53"/>
      <c r="B466" s="53"/>
      <c r="C466" s="56"/>
      <c r="D466" s="57"/>
      <c r="E466" s="59"/>
      <c r="F466" s="59"/>
      <c r="G466" s="59"/>
      <c r="H466" s="60"/>
      <c r="I466" s="61"/>
      <c r="J466" s="52"/>
    </row>
    <row r="467" spans="1:10" x14ac:dyDescent="0.25">
      <c r="A467" s="53"/>
      <c r="B467" s="53"/>
      <c r="C467" s="56"/>
      <c r="D467" s="57"/>
      <c r="E467" s="59"/>
      <c r="F467" s="59"/>
      <c r="G467" s="59"/>
      <c r="H467" s="60"/>
      <c r="I467" s="61"/>
      <c r="J467" s="52"/>
    </row>
    <row r="468" spans="1:10" x14ac:dyDescent="0.25">
      <c r="A468" s="53"/>
      <c r="B468" s="53"/>
      <c r="C468" s="56"/>
      <c r="D468" s="57"/>
      <c r="E468" s="59"/>
      <c r="F468" s="59"/>
      <c r="G468" s="59"/>
      <c r="H468" s="60"/>
      <c r="I468" s="61"/>
      <c r="J468" s="52"/>
    </row>
    <row r="469" spans="1:10" x14ac:dyDescent="0.25">
      <c r="A469" s="53"/>
      <c r="B469" s="53"/>
      <c r="C469" s="56"/>
      <c r="D469" s="57"/>
      <c r="E469" s="59"/>
      <c r="F469" s="59"/>
      <c r="G469" s="59"/>
      <c r="H469" s="60"/>
      <c r="I469" s="61"/>
      <c r="J469" s="52"/>
    </row>
    <row r="470" spans="1:10" x14ac:dyDescent="0.25">
      <c r="A470" s="53"/>
      <c r="B470" s="53"/>
      <c r="C470" s="56"/>
      <c r="D470" s="57"/>
      <c r="E470" s="59"/>
      <c r="F470" s="59"/>
      <c r="G470" s="59"/>
      <c r="H470" s="60"/>
      <c r="I470" s="61"/>
      <c r="J470" s="52"/>
    </row>
    <row r="471" spans="1:10" x14ac:dyDescent="0.25">
      <c r="A471" s="53"/>
      <c r="B471" s="53"/>
      <c r="C471" s="56"/>
      <c r="D471" s="57"/>
      <c r="E471" s="59"/>
      <c r="F471" s="59"/>
      <c r="G471" s="59"/>
      <c r="H471" s="60"/>
      <c r="I471" s="61"/>
      <c r="J471" s="52"/>
    </row>
    <row r="472" spans="1:10" x14ac:dyDescent="0.25">
      <c r="A472" s="53"/>
      <c r="B472" s="53"/>
      <c r="C472" s="56"/>
      <c r="D472" s="57"/>
      <c r="E472" s="59"/>
      <c r="F472" s="59"/>
      <c r="G472" s="59"/>
      <c r="H472" s="60"/>
      <c r="I472" s="61"/>
      <c r="J472" s="52"/>
    </row>
    <row r="473" spans="1:10" x14ac:dyDescent="0.25">
      <c r="A473" s="53"/>
      <c r="B473" s="53"/>
      <c r="C473" s="56"/>
      <c r="D473" s="57"/>
      <c r="E473" s="59"/>
      <c r="F473" s="59"/>
      <c r="G473" s="59"/>
      <c r="H473" s="60"/>
      <c r="I473" s="61"/>
      <c r="J473" s="52"/>
    </row>
    <row r="474" spans="1:10" x14ac:dyDescent="0.25">
      <c r="A474" s="53"/>
      <c r="B474" s="53"/>
      <c r="C474" s="56"/>
      <c r="D474" s="57"/>
      <c r="E474" s="59"/>
      <c r="F474" s="59"/>
      <c r="G474" s="59"/>
      <c r="H474" s="60"/>
      <c r="I474" s="61"/>
      <c r="J474" s="52"/>
    </row>
    <row r="475" spans="1:10" x14ac:dyDescent="0.25">
      <c r="A475" s="53"/>
      <c r="B475" s="53"/>
      <c r="C475" s="56"/>
      <c r="D475" s="57"/>
      <c r="E475" s="59"/>
      <c r="F475" s="59"/>
      <c r="G475" s="59"/>
      <c r="H475" s="60"/>
      <c r="I475" s="61"/>
      <c r="J475" s="52"/>
    </row>
    <row r="476" spans="1:10" x14ac:dyDescent="0.25">
      <c r="A476" s="53"/>
      <c r="B476" s="53"/>
      <c r="C476" s="56"/>
      <c r="D476" s="57"/>
      <c r="E476" s="59"/>
      <c r="F476" s="59"/>
      <c r="G476" s="59"/>
      <c r="H476" s="60"/>
      <c r="I476" s="61"/>
      <c r="J476" s="52"/>
    </row>
    <row r="477" spans="1:10" x14ac:dyDescent="0.25">
      <c r="A477" s="53"/>
      <c r="B477" s="53"/>
      <c r="C477" s="56"/>
      <c r="D477" s="57"/>
      <c r="E477" s="59"/>
      <c r="F477" s="59"/>
      <c r="G477" s="59"/>
      <c r="H477" s="60"/>
      <c r="I477" s="61"/>
      <c r="J477" s="52"/>
    </row>
    <row r="478" spans="1:10" x14ac:dyDescent="0.25">
      <c r="A478" s="53"/>
      <c r="B478" s="53"/>
      <c r="C478" s="56"/>
      <c r="D478" s="57"/>
      <c r="E478" s="59"/>
      <c r="F478" s="59"/>
      <c r="G478" s="59"/>
      <c r="H478" s="60"/>
      <c r="I478" s="61"/>
      <c r="J478" s="52"/>
    </row>
    <row r="479" spans="1:10" x14ac:dyDescent="0.25">
      <c r="A479" s="53"/>
      <c r="B479" s="53"/>
      <c r="C479" s="56"/>
      <c r="D479" s="57"/>
      <c r="E479" s="59"/>
      <c r="F479" s="59"/>
      <c r="G479" s="59"/>
      <c r="H479" s="60"/>
      <c r="I479" s="61"/>
      <c r="J479" s="52"/>
    </row>
    <row r="480" spans="1:10" x14ac:dyDescent="0.25">
      <c r="A480" s="53"/>
      <c r="B480" s="53"/>
      <c r="C480" s="56"/>
      <c r="D480" s="57"/>
      <c r="E480" s="59"/>
      <c r="F480" s="59"/>
      <c r="G480" s="59"/>
      <c r="H480" s="60"/>
      <c r="I480" s="61"/>
      <c r="J480" s="52"/>
    </row>
    <row r="481" spans="1:10" x14ac:dyDescent="0.25">
      <c r="A481" s="53"/>
      <c r="B481" s="53"/>
      <c r="C481" s="56"/>
      <c r="D481" s="57"/>
      <c r="E481" s="59"/>
      <c r="F481" s="59"/>
      <c r="G481" s="59"/>
      <c r="H481" s="60"/>
      <c r="I481" s="61"/>
      <c r="J481" s="52"/>
    </row>
    <row r="482" spans="1:10" x14ac:dyDescent="0.25">
      <c r="A482" s="53"/>
      <c r="B482" s="53"/>
      <c r="C482" s="56"/>
      <c r="D482" s="57"/>
      <c r="E482" s="59"/>
      <c r="F482" s="59"/>
      <c r="G482" s="59"/>
      <c r="H482" s="60"/>
      <c r="I482" s="61"/>
      <c r="J482" s="52"/>
    </row>
    <row r="483" spans="1:10" x14ac:dyDescent="0.25">
      <c r="A483" s="53"/>
      <c r="B483" s="53"/>
      <c r="C483" s="56"/>
      <c r="D483" s="57"/>
      <c r="E483" s="59"/>
      <c r="F483" s="59"/>
      <c r="G483" s="59"/>
      <c r="H483" s="60"/>
      <c r="I483" s="61"/>
      <c r="J483" s="52"/>
    </row>
    <row r="484" spans="1:10" x14ac:dyDescent="0.25">
      <c r="A484" s="53"/>
      <c r="B484" s="53"/>
      <c r="C484" s="56"/>
      <c r="D484" s="57"/>
      <c r="E484" s="59"/>
      <c r="F484" s="59"/>
      <c r="G484" s="59"/>
      <c r="H484" s="60"/>
      <c r="I484" s="61"/>
      <c r="J484" s="52"/>
    </row>
    <row r="485" spans="1:10" x14ac:dyDescent="0.25">
      <c r="A485" s="53"/>
      <c r="B485" s="53"/>
      <c r="C485" s="56"/>
      <c r="D485" s="57"/>
      <c r="E485" s="59"/>
      <c r="F485" s="59"/>
      <c r="G485" s="59"/>
      <c r="H485" s="60"/>
      <c r="I485" s="61"/>
      <c r="J485" s="52"/>
    </row>
    <row r="486" spans="1:10" x14ac:dyDescent="0.25">
      <c r="A486" s="53"/>
      <c r="B486" s="53"/>
      <c r="C486" s="56"/>
      <c r="D486" s="57"/>
      <c r="E486" s="59"/>
      <c r="F486" s="59"/>
      <c r="G486" s="59"/>
      <c r="H486" s="60"/>
      <c r="I486" s="61"/>
      <c r="J486" s="52"/>
    </row>
    <row r="487" spans="1:10" x14ac:dyDescent="0.25">
      <c r="A487" s="53"/>
      <c r="B487" s="53"/>
      <c r="C487" s="56"/>
      <c r="D487" s="57"/>
      <c r="E487" s="59"/>
      <c r="F487" s="59"/>
      <c r="G487" s="59"/>
      <c r="H487" s="60"/>
      <c r="I487" s="61"/>
      <c r="J487" s="52"/>
    </row>
    <row r="488" spans="1:10" x14ac:dyDescent="0.25">
      <c r="A488" s="53"/>
      <c r="B488" s="53"/>
      <c r="C488" s="56"/>
      <c r="D488" s="57"/>
      <c r="E488" s="59"/>
      <c r="F488" s="59"/>
      <c r="G488" s="59"/>
      <c r="H488" s="60"/>
      <c r="I488" s="61"/>
      <c r="J488" s="52"/>
    </row>
    <row r="489" spans="1:10" x14ac:dyDescent="0.25">
      <c r="A489" s="53"/>
      <c r="B489" s="53"/>
      <c r="C489" s="56"/>
      <c r="D489" s="57"/>
      <c r="E489" s="59"/>
      <c r="F489" s="59"/>
      <c r="G489" s="59"/>
      <c r="H489" s="60"/>
      <c r="I489" s="61"/>
      <c r="J489" s="52"/>
    </row>
    <row r="490" spans="1:10" x14ac:dyDescent="0.25">
      <c r="A490" s="53"/>
      <c r="B490" s="53"/>
      <c r="C490" s="56"/>
      <c r="D490" s="57"/>
      <c r="E490" s="59"/>
      <c r="F490" s="59"/>
      <c r="G490" s="59"/>
      <c r="H490" s="60"/>
      <c r="I490" s="61"/>
      <c r="J490" s="52"/>
    </row>
    <row r="491" spans="1:10" x14ac:dyDescent="0.25">
      <c r="A491" s="53"/>
      <c r="B491" s="53"/>
      <c r="C491" s="56"/>
      <c r="D491" s="57"/>
      <c r="E491" s="59"/>
      <c r="F491" s="59"/>
      <c r="G491" s="59"/>
      <c r="H491" s="60"/>
      <c r="I491" s="61"/>
      <c r="J491" s="52"/>
    </row>
    <row r="492" spans="1:10" x14ac:dyDescent="0.25">
      <c r="A492" s="53"/>
      <c r="B492" s="53"/>
      <c r="C492" s="56"/>
      <c r="D492" s="57"/>
      <c r="E492" s="59"/>
      <c r="F492" s="59"/>
      <c r="G492" s="59"/>
      <c r="H492" s="60"/>
      <c r="I492" s="61"/>
      <c r="J492" s="52"/>
    </row>
    <row r="493" spans="1:10" x14ac:dyDescent="0.25">
      <c r="A493" s="53"/>
      <c r="B493" s="53"/>
      <c r="C493" s="56"/>
      <c r="D493" s="57"/>
      <c r="E493" s="59"/>
      <c r="F493" s="59"/>
      <c r="G493" s="59"/>
      <c r="H493" s="60"/>
      <c r="I493" s="61"/>
      <c r="J493" s="52"/>
    </row>
    <row r="494" spans="1:10" x14ac:dyDescent="0.25">
      <c r="A494" s="53"/>
      <c r="B494" s="53"/>
      <c r="C494" s="56"/>
      <c r="D494" s="57"/>
      <c r="E494" s="59"/>
      <c r="F494" s="59"/>
      <c r="G494" s="59"/>
      <c r="H494" s="60"/>
      <c r="I494" s="61"/>
      <c r="J494" s="52"/>
    </row>
    <row r="495" spans="1:10" x14ac:dyDescent="0.25">
      <c r="A495" s="53"/>
      <c r="B495" s="53"/>
      <c r="C495" s="56"/>
      <c r="D495" s="57"/>
      <c r="E495" s="59"/>
      <c r="F495" s="59"/>
      <c r="G495" s="59"/>
      <c r="H495" s="60"/>
      <c r="I495" s="61"/>
      <c r="J495" s="52"/>
    </row>
    <row r="496" spans="1:10" x14ac:dyDescent="0.25">
      <c r="A496" s="53"/>
      <c r="B496" s="53"/>
      <c r="C496" s="56"/>
      <c r="D496" s="57"/>
      <c r="E496" s="59"/>
      <c r="F496" s="59"/>
      <c r="G496" s="59"/>
      <c r="H496" s="60"/>
      <c r="I496" s="61"/>
      <c r="J496" s="52"/>
    </row>
    <row r="497" spans="1:10" x14ac:dyDescent="0.25">
      <c r="A497" s="53"/>
      <c r="B497" s="53"/>
      <c r="C497" s="56"/>
      <c r="D497" s="57"/>
      <c r="E497" s="59"/>
      <c r="F497" s="59"/>
      <c r="G497" s="59"/>
      <c r="H497" s="60"/>
      <c r="I497" s="61"/>
      <c r="J497" s="52"/>
    </row>
    <row r="498" spans="1:10" x14ac:dyDescent="0.25">
      <c r="A498" s="53"/>
      <c r="B498" s="53"/>
      <c r="C498" s="56"/>
      <c r="D498" s="57"/>
      <c r="E498" s="59"/>
      <c r="F498" s="59"/>
      <c r="G498" s="59"/>
      <c r="H498" s="60"/>
      <c r="I498" s="61"/>
      <c r="J498" s="52"/>
    </row>
    <row r="499" spans="1:10" x14ac:dyDescent="0.25">
      <c r="A499" s="53"/>
      <c r="B499" s="53"/>
      <c r="C499" s="56"/>
      <c r="D499" s="57"/>
      <c r="E499" s="59"/>
      <c r="F499" s="59"/>
      <c r="G499" s="59"/>
      <c r="H499" s="60"/>
      <c r="I499" s="61"/>
      <c r="J499" s="52"/>
    </row>
    <row r="500" spans="1:10" x14ac:dyDescent="0.25">
      <c r="A500" s="53"/>
      <c r="B500" s="53"/>
      <c r="C500" s="56"/>
      <c r="D500" s="57"/>
      <c r="E500" s="59"/>
      <c r="F500" s="59"/>
      <c r="G500" s="59"/>
      <c r="H500" s="60"/>
      <c r="I500" s="61"/>
      <c r="J500" s="52"/>
    </row>
    <row r="501" spans="1:10" x14ac:dyDescent="0.25">
      <c r="A501" s="53"/>
      <c r="B501" s="53"/>
      <c r="C501" s="56"/>
      <c r="D501" s="57"/>
      <c r="E501" s="59"/>
      <c r="F501" s="59"/>
      <c r="G501" s="59"/>
      <c r="H501" s="60"/>
      <c r="I501" s="61"/>
      <c r="J501" s="52"/>
    </row>
    <row r="502" spans="1:10" x14ac:dyDescent="0.25">
      <c r="A502" s="53"/>
      <c r="B502" s="53"/>
      <c r="C502" s="56"/>
      <c r="D502" s="57"/>
      <c r="E502" s="59"/>
      <c r="F502" s="59"/>
      <c r="G502" s="59"/>
      <c r="H502" s="60"/>
      <c r="I502" s="61"/>
      <c r="J502" s="52"/>
    </row>
    <row r="503" spans="1:10" x14ac:dyDescent="0.25">
      <c r="A503" s="53"/>
      <c r="B503" s="53"/>
      <c r="C503" s="56"/>
      <c r="D503" s="57"/>
      <c r="E503" s="59"/>
      <c r="F503" s="59"/>
      <c r="G503" s="59"/>
      <c r="H503" s="60"/>
      <c r="I503" s="61"/>
      <c r="J503" s="52"/>
    </row>
    <row r="504" spans="1:10" x14ac:dyDescent="0.25">
      <c r="A504" s="53"/>
      <c r="B504" s="53"/>
      <c r="C504" s="56"/>
      <c r="D504" s="57"/>
      <c r="E504" s="59"/>
      <c r="F504" s="59"/>
      <c r="G504" s="59"/>
      <c r="H504" s="60"/>
      <c r="I504" s="61"/>
      <c r="J504" s="52"/>
    </row>
    <row r="505" spans="1:10" x14ac:dyDescent="0.25">
      <c r="A505" s="53"/>
      <c r="B505" s="53"/>
      <c r="C505" s="56"/>
      <c r="D505" s="57"/>
      <c r="E505" s="59"/>
      <c r="F505" s="59"/>
      <c r="G505" s="59"/>
      <c r="H505" s="60"/>
      <c r="I505" s="61"/>
      <c r="J505" s="52"/>
    </row>
    <row r="506" spans="1:10" x14ac:dyDescent="0.25">
      <c r="A506" s="53"/>
      <c r="B506" s="53"/>
      <c r="C506" s="56"/>
      <c r="D506" s="57"/>
      <c r="E506" s="59"/>
      <c r="F506" s="59"/>
      <c r="G506" s="59"/>
      <c r="H506" s="60"/>
      <c r="I506" s="61"/>
      <c r="J506" s="52"/>
    </row>
    <row r="507" spans="1:10" x14ac:dyDescent="0.25">
      <c r="A507" s="53"/>
      <c r="B507" s="53"/>
      <c r="C507" s="56"/>
      <c r="D507" s="57"/>
      <c r="E507" s="59"/>
      <c r="F507" s="59"/>
      <c r="G507" s="59"/>
      <c r="H507" s="60"/>
      <c r="I507" s="61"/>
      <c r="J507" s="52"/>
    </row>
    <row r="508" spans="1:10" x14ac:dyDescent="0.25">
      <c r="A508" s="53"/>
      <c r="B508" s="53"/>
      <c r="C508" s="56"/>
      <c r="D508" s="57"/>
      <c r="E508" s="59"/>
      <c r="F508" s="59"/>
      <c r="G508" s="59"/>
      <c r="H508" s="60"/>
      <c r="I508" s="61"/>
      <c r="J508" s="52"/>
    </row>
    <row r="509" spans="1:10" x14ac:dyDescent="0.25">
      <c r="A509" s="53"/>
      <c r="B509" s="53"/>
      <c r="C509" s="56"/>
      <c r="D509" s="57"/>
      <c r="E509" s="59"/>
      <c r="F509" s="59"/>
      <c r="G509" s="59"/>
      <c r="H509" s="60"/>
      <c r="I509" s="61"/>
      <c r="J509" s="52"/>
    </row>
    <row r="510" spans="1:10" x14ac:dyDescent="0.25">
      <c r="A510" s="53"/>
      <c r="B510" s="53"/>
      <c r="C510" s="56"/>
      <c r="D510" s="57"/>
      <c r="E510" s="59"/>
      <c r="F510" s="59"/>
      <c r="G510" s="59"/>
      <c r="H510" s="60"/>
      <c r="I510" s="61"/>
      <c r="J510" s="52"/>
    </row>
    <row r="511" spans="1:10" x14ac:dyDescent="0.25">
      <c r="A511" s="53"/>
      <c r="B511" s="53"/>
      <c r="C511" s="56"/>
      <c r="D511" s="57"/>
      <c r="E511" s="59"/>
      <c r="F511" s="59"/>
      <c r="G511" s="59"/>
      <c r="H511" s="60"/>
      <c r="I511" s="61"/>
      <c r="J511" s="52"/>
    </row>
    <row r="512" spans="1:10" x14ac:dyDescent="0.25">
      <c r="A512" s="53"/>
      <c r="B512" s="53"/>
      <c r="C512" s="56"/>
      <c r="D512" s="57"/>
      <c r="E512" s="59"/>
      <c r="F512" s="59"/>
      <c r="G512" s="59"/>
      <c r="H512" s="60"/>
      <c r="I512" s="61"/>
      <c r="J512" s="52"/>
    </row>
    <row r="513" spans="1:10" x14ac:dyDescent="0.25">
      <c r="A513" s="53"/>
      <c r="B513" s="53"/>
      <c r="C513" s="56"/>
      <c r="D513" s="57"/>
      <c r="E513" s="59"/>
      <c r="F513" s="59"/>
      <c r="G513" s="59"/>
      <c r="H513" s="60"/>
      <c r="I513" s="61"/>
      <c r="J513" s="52"/>
    </row>
    <row r="514" spans="1:10" x14ac:dyDescent="0.25">
      <c r="A514" s="53"/>
      <c r="B514" s="53"/>
      <c r="C514" s="56"/>
      <c r="D514" s="57"/>
      <c r="E514" s="59"/>
      <c r="F514" s="59"/>
      <c r="G514" s="59"/>
      <c r="H514" s="60"/>
      <c r="I514" s="61"/>
      <c r="J514" s="52"/>
    </row>
    <row r="515" spans="1:10" x14ac:dyDescent="0.25">
      <c r="A515" s="53"/>
      <c r="B515" s="53"/>
      <c r="C515" s="56"/>
      <c r="D515" s="57"/>
      <c r="E515" s="59"/>
      <c r="F515" s="59"/>
      <c r="G515" s="59"/>
      <c r="H515" s="60"/>
      <c r="I515" s="61"/>
      <c r="J515" s="52"/>
    </row>
    <row r="516" spans="1:10" x14ac:dyDescent="0.25">
      <c r="A516" s="53"/>
      <c r="B516" s="53"/>
      <c r="C516" s="56"/>
      <c r="D516" s="57"/>
      <c r="E516" s="59"/>
      <c r="F516" s="59"/>
      <c r="G516" s="59"/>
      <c r="H516" s="60"/>
      <c r="I516" s="61"/>
      <c r="J516" s="52"/>
    </row>
    <row r="517" spans="1:10" x14ac:dyDescent="0.25">
      <c r="A517" s="53"/>
      <c r="B517" s="53"/>
      <c r="C517" s="56"/>
      <c r="D517" s="57"/>
      <c r="E517" s="59"/>
      <c r="F517" s="59"/>
      <c r="G517" s="59"/>
      <c r="H517" s="60"/>
      <c r="I517" s="61"/>
      <c r="J517" s="52"/>
    </row>
    <row r="518" spans="1:10" x14ac:dyDescent="0.25">
      <c r="A518" s="53"/>
      <c r="B518" s="53"/>
      <c r="C518" s="56"/>
      <c r="D518" s="57"/>
      <c r="E518" s="59"/>
      <c r="F518" s="59"/>
      <c r="G518" s="59"/>
      <c r="H518" s="60"/>
      <c r="I518" s="61"/>
      <c r="J518" s="52"/>
    </row>
    <row r="519" spans="1:10" x14ac:dyDescent="0.25">
      <c r="A519" s="53"/>
      <c r="B519" s="53"/>
      <c r="C519" s="56"/>
      <c r="D519" s="57"/>
      <c r="E519" s="59"/>
      <c r="F519" s="59"/>
      <c r="G519" s="59"/>
      <c r="H519" s="60"/>
      <c r="I519" s="61"/>
      <c r="J519" s="52"/>
    </row>
    <row r="520" spans="1:10" x14ac:dyDescent="0.25">
      <c r="A520" s="53"/>
      <c r="B520" s="53"/>
      <c r="C520" s="56"/>
      <c r="D520" s="57"/>
      <c r="E520" s="59"/>
      <c r="F520" s="59"/>
      <c r="G520" s="59"/>
      <c r="H520" s="60"/>
      <c r="I520" s="61"/>
      <c r="J520" s="52"/>
    </row>
    <row r="521" spans="1:10" x14ac:dyDescent="0.25">
      <c r="A521" s="53"/>
      <c r="B521" s="53"/>
      <c r="C521" s="56"/>
      <c r="D521" s="57"/>
      <c r="E521" s="59"/>
      <c r="F521" s="59"/>
      <c r="G521" s="59"/>
      <c r="H521" s="60"/>
      <c r="I521" s="61"/>
      <c r="J521" s="52"/>
    </row>
    <row r="522" spans="1:10" x14ac:dyDescent="0.25">
      <c r="A522" s="53"/>
      <c r="B522" s="53"/>
      <c r="C522" s="56"/>
      <c r="D522" s="57"/>
      <c r="E522" s="59"/>
      <c r="F522" s="59"/>
      <c r="G522" s="59"/>
      <c r="H522" s="60"/>
      <c r="I522" s="61"/>
      <c r="J522" s="52"/>
    </row>
    <row r="523" spans="1:10" x14ac:dyDescent="0.25">
      <c r="A523" s="53"/>
      <c r="B523" s="53"/>
      <c r="C523" s="56"/>
      <c r="D523" s="57"/>
      <c r="E523" s="59"/>
      <c r="F523" s="59"/>
      <c r="G523" s="59"/>
      <c r="H523" s="60"/>
      <c r="I523" s="61"/>
      <c r="J523" s="52"/>
    </row>
    <row r="524" spans="1:10" x14ac:dyDescent="0.25">
      <c r="A524" s="53"/>
      <c r="B524" s="53"/>
      <c r="C524" s="56"/>
      <c r="D524" s="57"/>
      <c r="E524" s="59"/>
      <c r="F524" s="59"/>
      <c r="G524" s="59"/>
      <c r="H524" s="60"/>
      <c r="I524" s="61"/>
      <c r="J524" s="52"/>
    </row>
    <row r="525" spans="1:10" x14ac:dyDescent="0.25">
      <c r="A525" s="53"/>
      <c r="B525" s="53"/>
      <c r="C525" s="56"/>
      <c r="D525" s="57"/>
      <c r="E525" s="59"/>
      <c r="F525" s="59"/>
      <c r="G525" s="59"/>
      <c r="H525" s="60"/>
      <c r="I525" s="61"/>
      <c r="J525" s="52"/>
    </row>
    <row r="526" spans="1:10" x14ac:dyDescent="0.25">
      <c r="A526" s="53"/>
      <c r="B526" s="53"/>
      <c r="C526" s="56"/>
      <c r="D526" s="57"/>
      <c r="E526" s="59"/>
      <c r="F526" s="59"/>
      <c r="G526" s="59"/>
      <c r="H526" s="60"/>
      <c r="I526" s="61"/>
      <c r="J526" s="52"/>
    </row>
    <row r="527" spans="1:10" x14ac:dyDescent="0.25">
      <c r="A527" s="53"/>
      <c r="B527" s="53"/>
      <c r="C527" s="56"/>
      <c r="D527" s="57"/>
      <c r="E527" s="59"/>
      <c r="F527" s="59"/>
      <c r="G527" s="59"/>
      <c r="H527" s="60"/>
      <c r="I527" s="61"/>
      <c r="J527" s="52"/>
    </row>
    <row r="528" spans="1:10" x14ac:dyDescent="0.25">
      <c r="A528" s="53"/>
      <c r="B528" s="53"/>
      <c r="C528" s="56"/>
      <c r="D528" s="57"/>
      <c r="E528" s="59"/>
      <c r="F528" s="59"/>
      <c r="G528" s="59"/>
      <c r="H528" s="60"/>
      <c r="I528" s="61"/>
      <c r="J528" s="52"/>
    </row>
    <row r="529" spans="1:10" x14ac:dyDescent="0.25">
      <c r="A529" s="53"/>
      <c r="B529" s="53"/>
      <c r="C529" s="56"/>
      <c r="D529" s="57"/>
      <c r="E529" s="59"/>
      <c r="F529" s="59"/>
      <c r="G529" s="59"/>
      <c r="H529" s="60"/>
      <c r="I529" s="61"/>
      <c r="J529" s="52"/>
    </row>
    <row r="530" spans="1:10" x14ac:dyDescent="0.25">
      <c r="A530" s="53"/>
      <c r="B530" s="53"/>
      <c r="C530" s="56"/>
      <c r="D530" s="57"/>
      <c r="E530" s="59"/>
      <c r="F530" s="59"/>
      <c r="G530" s="59"/>
      <c r="H530" s="60"/>
      <c r="I530" s="61"/>
      <c r="J530" s="52"/>
    </row>
    <row r="531" spans="1:10" x14ac:dyDescent="0.25">
      <c r="A531" s="53"/>
      <c r="B531" s="53"/>
      <c r="C531" s="56"/>
      <c r="D531" s="57"/>
      <c r="E531" s="59"/>
      <c r="F531" s="59"/>
      <c r="G531" s="59"/>
      <c r="H531" s="60"/>
      <c r="I531" s="61"/>
      <c r="J531" s="52"/>
    </row>
    <row r="532" spans="1:10" x14ac:dyDescent="0.25">
      <c r="A532" s="53"/>
      <c r="B532" s="53"/>
      <c r="C532" s="56"/>
      <c r="D532" s="57"/>
      <c r="E532" s="59"/>
      <c r="F532" s="59"/>
      <c r="G532" s="59"/>
      <c r="H532" s="60"/>
      <c r="I532" s="61"/>
      <c r="J532" s="52"/>
    </row>
    <row r="533" spans="1:10" x14ac:dyDescent="0.25">
      <c r="A533" s="53"/>
      <c r="B533" s="53"/>
      <c r="C533" s="56"/>
      <c r="D533" s="57"/>
      <c r="E533" s="59"/>
      <c r="F533" s="59"/>
      <c r="G533" s="59"/>
      <c r="H533" s="60"/>
      <c r="I533" s="61"/>
      <c r="J533" s="52"/>
    </row>
    <row r="534" spans="1:10" x14ac:dyDescent="0.25">
      <c r="A534" s="53"/>
      <c r="B534" s="53"/>
      <c r="C534" s="56"/>
      <c r="D534" s="57"/>
      <c r="E534" s="59"/>
      <c r="F534" s="59"/>
      <c r="G534" s="59"/>
      <c r="H534" s="60"/>
      <c r="I534" s="61"/>
      <c r="J534" s="52"/>
    </row>
    <row r="535" spans="1:10" x14ac:dyDescent="0.25">
      <c r="A535" s="53"/>
      <c r="B535" s="53"/>
      <c r="C535" s="56"/>
      <c r="D535" s="57"/>
      <c r="E535" s="59"/>
      <c r="F535" s="59"/>
      <c r="G535" s="59"/>
      <c r="H535" s="60"/>
      <c r="I535" s="61"/>
      <c r="J535" s="52"/>
    </row>
    <row r="536" spans="1:10" x14ac:dyDescent="0.25">
      <c r="A536" s="53"/>
      <c r="B536" s="53"/>
      <c r="C536" s="56"/>
      <c r="D536" s="57"/>
      <c r="E536" s="59"/>
      <c r="F536" s="59"/>
      <c r="G536" s="59"/>
      <c r="H536" s="60"/>
      <c r="I536" s="61"/>
      <c r="J536" s="52"/>
    </row>
    <row r="537" spans="1:10" x14ac:dyDescent="0.25">
      <c r="A537" s="53"/>
      <c r="B537" s="53"/>
      <c r="C537" s="56"/>
      <c r="D537" s="57"/>
      <c r="E537" s="59"/>
      <c r="F537" s="59"/>
      <c r="G537" s="59"/>
      <c r="H537" s="60"/>
      <c r="I537" s="61"/>
      <c r="J537" s="52"/>
    </row>
    <row r="538" spans="1:10" x14ac:dyDescent="0.25">
      <c r="A538" s="53"/>
      <c r="B538" s="53"/>
      <c r="C538" s="56"/>
      <c r="D538" s="57"/>
      <c r="E538" s="59"/>
      <c r="F538" s="59"/>
      <c r="G538" s="59"/>
      <c r="H538" s="60"/>
      <c r="I538" s="61"/>
      <c r="J538" s="52"/>
    </row>
    <row r="539" spans="1:10" x14ac:dyDescent="0.25">
      <c r="A539" s="53"/>
      <c r="B539" s="53"/>
      <c r="C539" s="56"/>
      <c r="D539" s="57"/>
      <c r="E539" s="59"/>
      <c r="F539" s="59"/>
      <c r="G539" s="59"/>
      <c r="H539" s="60"/>
      <c r="I539" s="61"/>
      <c r="J539" s="52"/>
    </row>
    <row r="540" spans="1:10" x14ac:dyDescent="0.25">
      <c r="A540" s="53"/>
      <c r="B540" s="53"/>
      <c r="C540" s="56"/>
      <c r="D540" s="57"/>
      <c r="E540" s="59"/>
      <c r="F540" s="59"/>
      <c r="G540" s="59"/>
      <c r="H540" s="60"/>
      <c r="I540" s="61"/>
      <c r="J540" s="52"/>
    </row>
    <row r="541" spans="1:10" x14ac:dyDescent="0.25">
      <c r="A541" s="53"/>
      <c r="B541" s="53"/>
      <c r="C541" s="56"/>
      <c r="D541" s="57"/>
      <c r="E541" s="59"/>
      <c r="F541" s="59"/>
      <c r="G541" s="59"/>
      <c r="H541" s="60"/>
      <c r="I541" s="61"/>
      <c r="J541" s="52"/>
    </row>
    <row r="542" spans="1:10" x14ac:dyDescent="0.25">
      <c r="A542" s="53"/>
      <c r="B542" s="53"/>
      <c r="C542" s="56"/>
      <c r="D542" s="57"/>
      <c r="E542" s="59"/>
      <c r="F542" s="59"/>
      <c r="G542" s="59"/>
      <c r="H542" s="60"/>
      <c r="I542" s="61"/>
      <c r="J542" s="52"/>
    </row>
    <row r="543" spans="1:10" x14ac:dyDescent="0.25">
      <c r="A543" s="53"/>
      <c r="B543" s="53"/>
      <c r="C543" s="56"/>
      <c r="D543" s="57"/>
      <c r="E543" s="59"/>
      <c r="F543" s="59"/>
      <c r="G543" s="59"/>
      <c r="H543" s="60"/>
      <c r="I543" s="61"/>
      <c r="J543" s="52"/>
    </row>
    <row r="544" spans="1:10" x14ac:dyDescent="0.25">
      <c r="A544" s="53"/>
      <c r="B544" s="53"/>
      <c r="C544" s="56"/>
      <c r="D544" s="57"/>
      <c r="E544" s="59"/>
      <c r="F544" s="59"/>
      <c r="G544" s="59"/>
      <c r="H544" s="60"/>
      <c r="I544" s="61"/>
      <c r="J544" s="52"/>
    </row>
    <row r="545" spans="1:10" x14ac:dyDescent="0.25">
      <c r="A545" s="53"/>
      <c r="B545" s="53"/>
      <c r="C545" s="56"/>
      <c r="D545" s="57"/>
      <c r="E545" s="59"/>
      <c r="F545" s="59"/>
      <c r="G545" s="59"/>
      <c r="H545" s="60"/>
      <c r="I545" s="61"/>
      <c r="J545" s="52"/>
    </row>
    <row r="546" spans="1:10" x14ac:dyDescent="0.25">
      <c r="A546" s="53"/>
      <c r="B546" s="53"/>
      <c r="C546" s="56"/>
      <c r="D546" s="57"/>
      <c r="E546" s="59"/>
      <c r="F546" s="59"/>
      <c r="G546" s="59"/>
      <c r="H546" s="60"/>
      <c r="I546" s="61"/>
      <c r="J546" s="52"/>
    </row>
    <row r="547" spans="1:10" x14ac:dyDescent="0.25">
      <c r="A547" s="53"/>
      <c r="B547" s="53"/>
      <c r="C547" s="56"/>
      <c r="D547" s="57"/>
      <c r="E547" s="59"/>
      <c r="F547" s="59"/>
      <c r="G547" s="59"/>
      <c r="H547" s="60"/>
      <c r="I547" s="61"/>
      <c r="J547" s="52"/>
    </row>
    <row r="548" spans="1:10" x14ac:dyDescent="0.25">
      <c r="A548" s="53"/>
      <c r="B548" s="53"/>
      <c r="C548" s="56"/>
      <c r="D548" s="57"/>
      <c r="E548" s="59"/>
      <c r="F548" s="59"/>
      <c r="G548" s="59"/>
      <c r="H548" s="60"/>
      <c r="I548" s="61"/>
      <c r="J548" s="52"/>
    </row>
    <row r="549" spans="1:10" x14ac:dyDescent="0.25">
      <c r="A549" s="53"/>
      <c r="B549" s="53"/>
      <c r="C549" s="56"/>
      <c r="D549" s="57"/>
      <c r="E549" s="59"/>
      <c r="F549" s="59"/>
      <c r="G549" s="59"/>
      <c r="H549" s="60"/>
      <c r="I549" s="61"/>
      <c r="J549" s="52"/>
    </row>
    <row r="550" spans="1:10" x14ac:dyDescent="0.25">
      <c r="A550" s="53"/>
      <c r="B550" s="53"/>
      <c r="C550" s="56"/>
      <c r="D550" s="57"/>
      <c r="E550" s="59"/>
      <c r="F550" s="59"/>
      <c r="G550" s="59"/>
      <c r="H550" s="60"/>
      <c r="I550" s="61"/>
      <c r="J550" s="52"/>
    </row>
    <row r="551" spans="1:10" x14ac:dyDescent="0.25">
      <c r="A551" s="53"/>
      <c r="B551" s="53"/>
      <c r="C551" s="56"/>
      <c r="D551" s="57"/>
      <c r="E551" s="59"/>
      <c r="F551" s="59"/>
      <c r="G551" s="59"/>
      <c r="H551" s="60"/>
      <c r="I551" s="61"/>
      <c r="J551" s="52"/>
    </row>
    <row r="552" spans="1:10" x14ac:dyDescent="0.25">
      <c r="A552" s="53"/>
      <c r="B552" s="53"/>
      <c r="C552" s="56"/>
      <c r="D552" s="57"/>
      <c r="E552" s="59"/>
      <c r="F552" s="59"/>
      <c r="G552" s="59"/>
      <c r="H552" s="60"/>
      <c r="I552" s="61"/>
      <c r="J552" s="52"/>
    </row>
    <row r="553" spans="1:10" x14ac:dyDescent="0.25">
      <c r="A553" s="53"/>
      <c r="B553" s="53"/>
      <c r="C553" s="56"/>
      <c r="D553" s="57"/>
      <c r="E553" s="59"/>
      <c r="F553" s="59"/>
      <c r="G553" s="59"/>
      <c r="H553" s="60"/>
      <c r="I553" s="61"/>
      <c r="J553" s="52"/>
    </row>
    <row r="554" spans="1:10" x14ac:dyDescent="0.25">
      <c r="A554" s="53"/>
      <c r="B554" s="53"/>
      <c r="C554" s="56"/>
      <c r="D554" s="57"/>
      <c r="E554" s="59"/>
      <c r="F554" s="59"/>
      <c r="G554" s="59"/>
      <c r="H554" s="60"/>
      <c r="I554" s="61"/>
      <c r="J554" s="52"/>
    </row>
    <row r="555" spans="1:10" x14ac:dyDescent="0.25">
      <c r="A555" s="53"/>
      <c r="B555" s="53"/>
      <c r="C555" s="56"/>
      <c r="D555" s="57"/>
      <c r="E555" s="59"/>
      <c r="F555" s="59"/>
      <c r="G555" s="59"/>
      <c r="H555" s="60"/>
      <c r="I555" s="61"/>
      <c r="J555" s="52"/>
    </row>
    <row r="556" spans="1:10" x14ac:dyDescent="0.25">
      <c r="A556" s="53"/>
      <c r="B556" s="53"/>
      <c r="C556" s="56"/>
      <c r="D556" s="57"/>
      <c r="E556" s="59"/>
      <c r="F556" s="59"/>
      <c r="G556" s="59"/>
      <c r="H556" s="60"/>
      <c r="I556" s="61"/>
      <c r="J556" s="52"/>
    </row>
    <row r="557" spans="1:10" x14ac:dyDescent="0.25">
      <c r="A557" s="53"/>
      <c r="B557" s="53"/>
      <c r="C557" s="56"/>
      <c r="D557" s="57"/>
      <c r="E557" s="59"/>
      <c r="F557" s="59"/>
      <c r="G557" s="59"/>
      <c r="H557" s="60"/>
      <c r="I557" s="61"/>
      <c r="J557" s="52"/>
    </row>
    <row r="558" spans="1:10" x14ac:dyDescent="0.25">
      <c r="A558" s="53"/>
      <c r="B558" s="53"/>
      <c r="C558" s="56"/>
      <c r="D558" s="57"/>
      <c r="E558" s="59"/>
      <c r="F558" s="59"/>
      <c r="G558" s="59"/>
      <c r="H558" s="60"/>
      <c r="I558" s="61"/>
      <c r="J558" s="52"/>
    </row>
    <row r="559" spans="1:10" x14ac:dyDescent="0.25">
      <c r="A559" s="53"/>
      <c r="B559" s="53"/>
      <c r="C559" s="56"/>
      <c r="D559" s="57"/>
      <c r="E559" s="59"/>
      <c r="F559" s="59"/>
      <c r="G559" s="59"/>
      <c r="H559" s="60"/>
      <c r="I559" s="61"/>
      <c r="J559" s="52"/>
    </row>
    <row r="560" spans="1:10" x14ac:dyDescent="0.25">
      <c r="A560" s="53"/>
      <c r="B560" s="53"/>
      <c r="C560" s="56"/>
      <c r="D560" s="57"/>
      <c r="E560" s="59"/>
      <c r="F560" s="59"/>
      <c r="G560" s="59"/>
      <c r="H560" s="60"/>
      <c r="I560" s="61"/>
      <c r="J560" s="52"/>
    </row>
    <row r="561" spans="1:10" x14ac:dyDescent="0.25">
      <c r="A561" s="53"/>
      <c r="B561" s="53"/>
      <c r="C561" s="56"/>
      <c r="D561" s="57"/>
      <c r="E561" s="59"/>
      <c r="F561" s="59"/>
      <c r="G561" s="59"/>
      <c r="H561" s="60"/>
      <c r="I561" s="61"/>
      <c r="J561" s="52"/>
    </row>
    <row r="562" spans="1:10" x14ac:dyDescent="0.25">
      <c r="A562" s="53"/>
      <c r="B562" s="53"/>
      <c r="C562" s="56"/>
      <c r="D562" s="57"/>
      <c r="E562" s="59"/>
      <c r="F562" s="59"/>
      <c r="G562" s="59"/>
      <c r="H562" s="60"/>
      <c r="I562" s="61"/>
      <c r="J562" s="52"/>
    </row>
    <row r="563" spans="1:10" x14ac:dyDescent="0.25">
      <c r="A563" s="53"/>
      <c r="B563" s="53"/>
      <c r="C563" s="56"/>
      <c r="D563" s="57"/>
      <c r="E563" s="59"/>
      <c r="F563" s="59"/>
      <c r="G563" s="59"/>
      <c r="H563" s="60"/>
      <c r="I563" s="61"/>
      <c r="J563" s="52"/>
    </row>
    <row r="564" spans="1:10" x14ac:dyDescent="0.25">
      <c r="A564" s="53"/>
      <c r="B564" s="53"/>
      <c r="C564" s="56"/>
      <c r="D564" s="57"/>
      <c r="E564" s="59"/>
      <c r="F564" s="59"/>
      <c r="G564" s="59"/>
      <c r="H564" s="60"/>
      <c r="I564" s="61"/>
      <c r="J564" s="52"/>
    </row>
    <row r="565" spans="1:10" x14ac:dyDescent="0.25">
      <c r="A565" s="53"/>
      <c r="B565" s="53"/>
      <c r="C565" s="56"/>
      <c r="D565" s="57"/>
      <c r="E565" s="59"/>
      <c r="F565" s="59"/>
      <c r="G565" s="59"/>
      <c r="H565" s="60"/>
      <c r="I565" s="61"/>
      <c r="J565" s="52"/>
    </row>
    <row r="566" spans="1:10" x14ac:dyDescent="0.25">
      <c r="A566" s="53"/>
      <c r="B566" s="53"/>
      <c r="C566" s="56"/>
      <c r="D566" s="57"/>
      <c r="E566" s="59"/>
      <c r="F566" s="59"/>
      <c r="G566" s="59"/>
      <c r="H566" s="60"/>
      <c r="I566" s="61"/>
      <c r="J566" s="52"/>
    </row>
    <row r="567" spans="1:10" x14ac:dyDescent="0.25">
      <c r="A567" s="53"/>
      <c r="B567" s="53"/>
      <c r="C567" s="56"/>
      <c r="D567" s="57"/>
      <c r="E567" s="59"/>
      <c r="F567" s="59"/>
      <c r="G567" s="59"/>
      <c r="H567" s="60"/>
      <c r="I567" s="61"/>
      <c r="J567" s="52"/>
    </row>
    <row r="568" spans="1:10" x14ac:dyDescent="0.25">
      <c r="A568" s="53"/>
      <c r="B568" s="53"/>
      <c r="C568" s="56"/>
      <c r="D568" s="57"/>
      <c r="E568" s="59"/>
      <c r="F568" s="59"/>
      <c r="G568" s="59"/>
      <c r="H568" s="60"/>
      <c r="I568" s="61"/>
      <c r="J568" s="52"/>
    </row>
    <row r="569" spans="1:10" x14ac:dyDescent="0.25">
      <c r="A569" s="53"/>
      <c r="B569" s="53"/>
      <c r="C569" s="56"/>
      <c r="D569" s="57"/>
      <c r="E569" s="59"/>
      <c r="F569" s="59"/>
      <c r="G569" s="59"/>
      <c r="H569" s="60"/>
      <c r="I569" s="61"/>
      <c r="J569" s="52"/>
    </row>
    <row r="570" spans="1:10" x14ac:dyDescent="0.25">
      <c r="A570" s="53"/>
      <c r="B570" s="53"/>
      <c r="C570" s="56"/>
      <c r="D570" s="57"/>
      <c r="E570" s="59"/>
      <c r="F570" s="59"/>
      <c r="G570" s="59"/>
      <c r="H570" s="60"/>
      <c r="I570" s="61"/>
      <c r="J570" s="52"/>
    </row>
    <row r="571" spans="1:10" x14ac:dyDescent="0.25">
      <c r="A571" s="53"/>
      <c r="B571" s="53"/>
      <c r="C571" s="56"/>
      <c r="D571" s="57"/>
      <c r="E571" s="59"/>
      <c r="F571" s="59"/>
      <c r="G571" s="59"/>
      <c r="H571" s="60"/>
      <c r="I571" s="61"/>
      <c r="J571" s="52"/>
    </row>
    <row r="572" spans="1:10" x14ac:dyDescent="0.25">
      <c r="A572" s="53"/>
      <c r="B572" s="53"/>
      <c r="C572" s="56"/>
      <c r="D572" s="57"/>
      <c r="E572" s="59"/>
      <c r="F572" s="59"/>
      <c r="G572" s="59"/>
      <c r="H572" s="60"/>
      <c r="I572" s="61"/>
      <c r="J572" s="52"/>
    </row>
    <row r="573" spans="1:10" x14ac:dyDescent="0.25">
      <c r="A573" s="53"/>
      <c r="B573" s="53"/>
      <c r="C573" s="56"/>
      <c r="D573" s="57"/>
      <c r="E573" s="59"/>
      <c r="F573" s="59"/>
      <c r="G573" s="59"/>
      <c r="H573" s="60"/>
      <c r="I573" s="61"/>
      <c r="J573" s="52"/>
    </row>
    <row r="574" spans="1:10" x14ac:dyDescent="0.25">
      <c r="A574" s="53"/>
      <c r="B574" s="53"/>
      <c r="C574" s="56"/>
      <c r="D574" s="57"/>
      <c r="E574" s="59"/>
      <c r="F574" s="59"/>
      <c r="G574" s="59"/>
      <c r="H574" s="60"/>
      <c r="I574" s="61"/>
      <c r="J574" s="52"/>
    </row>
    <row r="575" spans="1:10" x14ac:dyDescent="0.25">
      <c r="A575" s="53"/>
      <c r="B575" s="53"/>
      <c r="C575" s="56"/>
      <c r="D575" s="57"/>
      <c r="E575" s="59"/>
      <c r="F575" s="59"/>
      <c r="G575" s="59"/>
      <c r="H575" s="60"/>
      <c r="I575" s="61"/>
      <c r="J575" s="52"/>
    </row>
    <row r="576" spans="1:10" x14ac:dyDescent="0.25">
      <c r="A576" s="53"/>
      <c r="B576" s="53"/>
      <c r="C576" s="56"/>
      <c r="D576" s="57"/>
      <c r="E576" s="59"/>
      <c r="F576" s="59"/>
      <c r="G576" s="59"/>
      <c r="H576" s="60"/>
      <c r="I576" s="61"/>
      <c r="J576" s="52"/>
    </row>
    <row r="577" spans="1:10" x14ac:dyDescent="0.25">
      <c r="A577" s="53"/>
      <c r="B577" s="53"/>
      <c r="C577" s="56"/>
      <c r="D577" s="57"/>
      <c r="E577" s="59"/>
      <c r="F577" s="59"/>
      <c r="G577" s="59"/>
      <c r="H577" s="60"/>
      <c r="I577" s="61"/>
      <c r="J577" s="52"/>
    </row>
    <row r="578" spans="1:10" x14ac:dyDescent="0.25">
      <c r="A578" s="53"/>
      <c r="B578" s="53"/>
      <c r="C578" s="56"/>
      <c r="D578" s="57"/>
      <c r="E578" s="59"/>
      <c r="F578" s="59"/>
      <c r="G578" s="59"/>
      <c r="H578" s="60"/>
      <c r="I578" s="61"/>
      <c r="J578" s="52"/>
    </row>
    <row r="579" spans="1:10" x14ac:dyDescent="0.25">
      <c r="A579" s="53"/>
      <c r="B579" s="53"/>
      <c r="C579" s="56"/>
      <c r="D579" s="57"/>
      <c r="E579" s="59"/>
      <c r="F579" s="59"/>
      <c r="G579" s="59"/>
      <c r="H579" s="60"/>
      <c r="I579" s="61"/>
      <c r="J579" s="52"/>
    </row>
    <row r="580" spans="1:10" x14ac:dyDescent="0.25">
      <c r="A580" s="53"/>
      <c r="B580" s="53"/>
      <c r="C580" s="56"/>
      <c r="D580" s="57"/>
      <c r="E580" s="59"/>
      <c r="F580" s="59"/>
      <c r="G580" s="59"/>
      <c r="H580" s="60"/>
      <c r="I580" s="61"/>
      <c r="J580" s="52"/>
    </row>
    <row r="581" spans="1:10" x14ac:dyDescent="0.25">
      <c r="A581" s="53"/>
      <c r="B581" s="53"/>
      <c r="C581" s="56"/>
      <c r="D581" s="57"/>
      <c r="E581" s="59"/>
      <c r="F581" s="59"/>
      <c r="G581" s="59"/>
      <c r="H581" s="60"/>
      <c r="I581" s="61"/>
      <c r="J581" s="52"/>
    </row>
    <row r="582" spans="1:10" x14ac:dyDescent="0.25">
      <c r="A582" s="53"/>
      <c r="B582" s="53"/>
      <c r="C582" s="56"/>
      <c r="D582" s="57"/>
      <c r="E582" s="59"/>
      <c r="F582" s="59"/>
      <c r="G582" s="59"/>
      <c r="H582" s="60"/>
      <c r="I582" s="61"/>
      <c r="J582" s="52"/>
    </row>
    <row r="583" spans="1:10" x14ac:dyDescent="0.25">
      <c r="A583" s="53"/>
      <c r="B583" s="53"/>
      <c r="C583" s="56"/>
      <c r="D583" s="57"/>
      <c r="E583" s="59"/>
      <c r="F583" s="59"/>
      <c r="G583" s="59"/>
      <c r="H583" s="60"/>
      <c r="I583" s="61"/>
      <c r="J583" s="52"/>
    </row>
    <row r="584" spans="1:10" x14ac:dyDescent="0.25">
      <c r="A584" s="53"/>
      <c r="B584" s="53"/>
      <c r="C584" s="56"/>
      <c r="D584" s="57"/>
      <c r="E584" s="59"/>
      <c r="F584" s="59"/>
      <c r="G584" s="59"/>
      <c r="H584" s="60"/>
      <c r="I584" s="61"/>
      <c r="J584" s="52"/>
    </row>
    <row r="585" spans="1:10" x14ac:dyDescent="0.25">
      <c r="A585" s="53"/>
      <c r="B585" s="53"/>
      <c r="C585" s="56"/>
      <c r="D585" s="57"/>
      <c r="E585" s="59"/>
      <c r="F585" s="59"/>
      <c r="G585" s="59"/>
      <c r="H585" s="60"/>
      <c r="I585" s="61"/>
      <c r="J585" s="52"/>
    </row>
    <row r="586" spans="1:10" x14ac:dyDescent="0.25">
      <c r="A586" s="53"/>
      <c r="B586" s="53"/>
      <c r="C586" s="56"/>
      <c r="D586" s="57"/>
      <c r="E586" s="59"/>
      <c r="F586" s="59"/>
      <c r="G586" s="59"/>
      <c r="H586" s="60"/>
      <c r="I586" s="61"/>
      <c r="J586" s="52"/>
    </row>
    <row r="587" spans="1:10" x14ac:dyDescent="0.25">
      <c r="A587" s="53"/>
      <c r="B587" s="53"/>
      <c r="C587" s="56"/>
      <c r="D587" s="57"/>
      <c r="E587" s="59"/>
      <c r="F587" s="59"/>
      <c r="G587" s="59"/>
      <c r="H587" s="60"/>
      <c r="I587" s="61"/>
      <c r="J587" s="52"/>
    </row>
    <row r="588" spans="1:10" x14ac:dyDescent="0.25">
      <c r="A588" s="53"/>
      <c r="B588" s="53"/>
      <c r="C588" s="56"/>
      <c r="D588" s="57"/>
      <c r="E588" s="59"/>
      <c r="F588" s="59"/>
      <c r="G588" s="59"/>
      <c r="H588" s="60"/>
      <c r="I588" s="61"/>
      <c r="J588" s="52"/>
    </row>
    <row r="589" spans="1:10" x14ac:dyDescent="0.25">
      <c r="A589" s="53"/>
      <c r="B589" s="53"/>
      <c r="C589" s="56"/>
      <c r="D589" s="57"/>
      <c r="E589" s="59"/>
      <c r="F589" s="59"/>
      <c r="G589" s="59"/>
      <c r="H589" s="60"/>
      <c r="I589" s="61"/>
      <c r="J589" s="52"/>
    </row>
    <row r="590" spans="1:10" x14ac:dyDescent="0.25">
      <c r="A590" s="53"/>
      <c r="B590" s="53"/>
      <c r="C590" s="56"/>
      <c r="D590" s="57"/>
      <c r="E590" s="59"/>
      <c r="F590" s="59"/>
      <c r="G590" s="59"/>
      <c r="H590" s="60"/>
      <c r="I590" s="61"/>
      <c r="J590" s="52"/>
    </row>
    <row r="591" spans="1:10" x14ac:dyDescent="0.25">
      <c r="A591" s="53"/>
      <c r="B591" s="53"/>
      <c r="C591" s="56"/>
      <c r="D591" s="57"/>
      <c r="E591" s="59"/>
      <c r="F591" s="59"/>
      <c r="G591" s="59"/>
      <c r="H591" s="60"/>
      <c r="I591" s="61"/>
      <c r="J591" s="52"/>
    </row>
    <row r="592" spans="1:10" x14ac:dyDescent="0.25">
      <c r="A592" s="53"/>
      <c r="B592" s="53"/>
      <c r="C592" s="56"/>
      <c r="D592" s="57"/>
      <c r="E592" s="59"/>
      <c r="F592" s="59"/>
      <c r="G592" s="59"/>
      <c r="H592" s="60"/>
      <c r="I592" s="61"/>
      <c r="J592" s="52"/>
    </row>
    <row r="593" spans="1:10" x14ac:dyDescent="0.25">
      <c r="A593" s="53"/>
      <c r="B593" s="53"/>
      <c r="C593" s="56"/>
      <c r="D593" s="57"/>
      <c r="E593" s="59"/>
      <c r="F593" s="59"/>
      <c r="G593" s="59"/>
      <c r="H593" s="60"/>
      <c r="I593" s="61"/>
      <c r="J593" s="52"/>
    </row>
    <row r="594" spans="1:10" x14ac:dyDescent="0.25">
      <c r="A594" s="53"/>
      <c r="B594" s="53"/>
      <c r="C594" s="56"/>
      <c r="D594" s="57"/>
      <c r="E594" s="59"/>
      <c r="F594" s="59"/>
      <c r="G594" s="59"/>
      <c r="H594" s="60"/>
      <c r="I594" s="61"/>
      <c r="J594" s="52"/>
    </row>
    <row r="595" spans="1:10" x14ac:dyDescent="0.25">
      <c r="A595" s="53"/>
      <c r="B595" s="53"/>
      <c r="C595" s="56"/>
      <c r="D595" s="57"/>
      <c r="E595" s="59"/>
      <c r="F595" s="59"/>
      <c r="G595" s="59"/>
      <c r="H595" s="60"/>
      <c r="I595" s="61"/>
      <c r="J595" s="52"/>
    </row>
    <row r="596" spans="1:10" x14ac:dyDescent="0.25">
      <c r="A596" s="53"/>
      <c r="B596" s="53"/>
      <c r="C596" s="56"/>
      <c r="D596" s="57"/>
      <c r="E596" s="59"/>
      <c r="F596" s="59"/>
      <c r="G596" s="59"/>
      <c r="H596" s="60"/>
      <c r="I596" s="61"/>
      <c r="J596" s="52"/>
    </row>
    <row r="597" spans="1:10" x14ac:dyDescent="0.25">
      <c r="A597" s="53"/>
      <c r="B597" s="53"/>
      <c r="C597" s="56"/>
      <c r="D597" s="57"/>
      <c r="E597" s="59"/>
      <c r="F597" s="59"/>
      <c r="G597" s="59"/>
      <c r="H597" s="60"/>
      <c r="I597" s="61"/>
      <c r="J597" s="52"/>
    </row>
    <row r="598" spans="1:10" x14ac:dyDescent="0.25">
      <c r="A598" s="53"/>
      <c r="B598" s="53"/>
      <c r="C598" s="56"/>
      <c r="D598" s="57"/>
      <c r="E598" s="59"/>
      <c r="F598" s="59"/>
      <c r="G598" s="59"/>
      <c r="H598" s="60"/>
      <c r="I598" s="61"/>
      <c r="J598" s="52"/>
    </row>
    <row r="599" spans="1:10" x14ac:dyDescent="0.25">
      <c r="A599" s="53"/>
      <c r="B599" s="53"/>
      <c r="C599" s="56"/>
      <c r="D599" s="57"/>
      <c r="E599" s="59"/>
      <c r="F599" s="59"/>
      <c r="G599" s="59"/>
      <c r="H599" s="60"/>
      <c r="I599" s="61"/>
      <c r="J599" s="52"/>
    </row>
    <row r="600" spans="1:10" x14ac:dyDescent="0.25">
      <c r="A600" s="53"/>
      <c r="B600" s="53"/>
      <c r="C600" s="56"/>
      <c r="D600" s="57"/>
      <c r="E600" s="59"/>
      <c r="F600" s="59"/>
      <c r="G600" s="59"/>
      <c r="H600" s="60"/>
      <c r="I600" s="61"/>
      <c r="J600" s="52"/>
    </row>
    <row r="601" spans="1:10" x14ac:dyDescent="0.25">
      <c r="A601" s="53"/>
      <c r="B601" s="53"/>
      <c r="C601" s="56"/>
      <c r="D601" s="57"/>
      <c r="E601" s="59"/>
      <c r="F601" s="59"/>
      <c r="G601" s="59"/>
      <c r="H601" s="60"/>
      <c r="I601" s="61"/>
      <c r="J601" s="52"/>
    </row>
    <row r="602" spans="1:10" x14ac:dyDescent="0.25">
      <c r="A602" s="53"/>
      <c r="B602" s="53"/>
      <c r="C602" s="56"/>
      <c r="D602" s="57"/>
      <c r="E602" s="59"/>
      <c r="F602" s="59"/>
      <c r="G602" s="59"/>
      <c r="H602" s="60"/>
      <c r="I602" s="61"/>
      <c r="J602" s="52"/>
    </row>
    <row r="603" spans="1:10" x14ac:dyDescent="0.25">
      <c r="A603" s="53"/>
      <c r="B603" s="53"/>
      <c r="C603" s="56"/>
      <c r="D603" s="57"/>
      <c r="E603" s="59"/>
      <c r="F603" s="59"/>
      <c r="G603" s="59"/>
      <c r="H603" s="60"/>
      <c r="I603" s="61"/>
      <c r="J603" s="52"/>
    </row>
    <row r="604" spans="1:10" x14ac:dyDescent="0.25">
      <c r="A604" s="53"/>
      <c r="B604" s="53"/>
      <c r="C604" s="56"/>
      <c r="D604" s="57"/>
      <c r="E604" s="59"/>
      <c r="F604" s="59"/>
      <c r="G604" s="59"/>
      <c r="H604" s="60"/>
      <c r="I604" s="61"/>
      <c r="J604" s="52"/>
    </row>
    <row r="605" spans="1:10" x14ac:dyDescent="0.25">
      <c r="A605" s="53"/>
      <c r="B605" s="53"/>
      <c r="C605" s="56"/>
      <c r="D605" s="57"/>
      <c r="E605" s="59"/>
      <c r="F605" s="59"/>
      <c r="G605" s="59"/>
      <c r="H605" s="60"/>
      <c r="I605" s="61"/>
      <c r="J605" s="52"/>
    </row>
    <row r="606" spans="1:10" x14ac:dyDescent="0.25">
      <c r="A606" s="53"/>
      <c r="B606" s="53"/>
      <c r="C606" s="56"/>
      <c r="D606" s="57"/>
      <c r="E606" s="59"/>
      <c r="F606" s="59"/>
      <c r="G606" s="59"/>
      <c r="H606" s="60"/>
      <c r="I606" s="61"/>
      <c r="J606" s="52"/>
    </row>
    <row r="607" spans="1:10" x14ac:dyDescent="0.25">
      <c r="A607" s="53"/>
      <c r="B607" s="53"/>
      <c r="C607" s="56"/>
      <c r="D607" s="57"/>
      <c r="E607" s="59"/>
      <c r="F607" s="59"/>
      <c r="G607" s="59"/>
      <c r="H607" s="60"/>
      <c r="I607" s="61"/>
      <c r="J607" s="52"/>
    </row>
    <row r="608" spans="1:10" x14ac:dyDescent="0.25">
      <c r="A608" s="53"/>
      <c r="B608" s="53"/>
      <c r="C608" s="56"/>
      <c r="D608" s="57"/>
      <c r="E608" s="59"/>
      <c r="F608" s="59"/>
      <c r="G608" s="59"/>
      <c r="H608" s="60"/>
      <c r="I608" s="61"/>
      <c r="J608" s="52"/>
    </row>
    <row r="609" spans="1:10" x14ac:dyDescent="0.25">
      <c r="A609" s="53"/>
      <c r="B609" s="53"/>
      <c r="C609" s="56"/>
      <c r="D609" s="57"/>
      <c r="E609" s="59"/>
      <c r="F609" s="59"/>
      <c r="G609" s="59"/>
      <c r="H609" s="60"/>
      <c r="I609" s="61"/>
      <c r="J609" s="52"/>
    </row>
    <row r="610" spans="1:10" x14ac:dyDescent="0.25">
      <c r="A610" s="53"/>
      <c r="B610" s="53"/>
      <c r="C610" s="56"/>
      <c r="D610" s="57"/>
      <c r="E610" s="59"/>
      <c r="F610" s="59"/>
      <c r="G610" s="59"/>
      <c r="H610" s="60"/>
      <c r="I610" s="61"/>
      <c r="J610" s="52"/>
    </row>
    <row r="611" spans="1:10" x14ac:dyDescent="0.25">
      <c r="A611" s="53"/>
      <c r="B611" s="53"/>
      <c r="C611" s="56"/>
      <c r="D611" s="57"/>
      <c r="E611" s="59"/>
      <c r="F611" s="59"/>
      <c r="G611" s="59"/>
      <c r="H611" s="60"/>
      <c r="I611" s="61"/>
      <c r="J611" s="52"/>
    </row>
    <row r="612" spans="1:10" x14ac:dyDescent="0.25">
      <c r="A612" s="53"/>
      <c r="B612" s="53"/>
      <c r="C612" s="56"/>
      <c r="D612" s="57"/>
      <c r="E612" s="59"/>
      <c r="F612" s="59"/>
      <c r="G612" s="59"/>
      <c r="H612" s="60"/>
      <c r="I612" s="61"/>
      <c r="J612" s="52"/>
    </row>
    <row r="613" spans="1:10" x14ac:dyDescent="0.25">
      <c r="A613" s="53"/>
      <c r="B613" s="53"/>
      <c r="C613" s="56"/>
      <c r="D613" s="57"/>
      <c r="E613" s="59"/>
      <c r="F613" s="59"/>
      <c r="G613" s="59"/>
      <c r="H613" s="60"/>
      <c r="I613" s="61"/>
      <c r="J613" s="52"/>
    </row>
    <row r="614" spans="1:10" x14ac:dyDescent="0.25">
      <c r="A614" s="53"/>
      <c r="B614" s="53"/>
      <c r="C614" s="56"/>
      <c r="D614" s="57"/>
      <c r="E614" s="59"/>
      <c r="F614" s="59"/>
      <c r="G614" s="59"/>
      <c r="H614" s="60"/>
      <c r="I614" s="61"/>
      <c r="J614" s="52"/>
    </row>
    <row r="615" spans="1:10" x14ac:dyDescent="0.25">
      <c r="A615" s="53"/>
      <c r="B615" s="53"/>
      <c r="C615" s="56"/>
      <c r="D615" s="57"/>
      <c r="E615" s="59"/>
      <c r="F615" s="59"/>
      <c r="G615" s="59"/>
      <c r="H615" s="60"/>
      <c r="I615" s="61"/>
      <c r="J615" s="52"/>
    </row>
    <row r="616" spans="1:10" x14ac:dyDescent="0.25">
      <c r="A616" s="53"/>
      <c r="B616" s="53"/>
      <c r="C616" s="56"/>
      <c r="D616" s="57"/>
      <c r="E616" s="59"/>
      <c r="F616" s="59"/>
      <c r="G616" s="59"/>
      <c r="H616" s="60"/>
      <c r="I616" s="61"/>
      <c r="J616" s="52"/>
    </row>
    <row r="617" spans="1:10" x14ac:dyDescent="0.25">
      <c r="A617" s="53"/>
      <c r="B617" s="53"/>
      <c r="C617" s="56"/>
      <c r="D617" s="57"/>
      <c r="E617" s="59"/>
      <c r="F617" s="59"/>
      <c r="G617" s="59"/>
      <c r="H617" s="60"/>
      <c r="I617" s="61"/>
      <c r="J617" s="52"/>
    </row>
    <row r="618" spans="1:10" x14ac:dyDescent="0.25">
      <c r="A618" s="53"/>
      <c r="B618" s="53"/>
      <c r="C618" s="56"/>
      <c r="D618" s="57"/>
      <c r="E618" s="59"/>
      <c r="F618" s="59"/>
      <c r="G618" s="59"/>
      <c r="H618" s="60"/>
      <c r="I618" s="61"/>
      <c r="J618" s="52"/>
    </row>
    <row r="619" spans="1:10" x14ac:dyDescent="0.25">
      <c r="A619" s="53"/>
      <c r="B619" s="53"/>
      <c r="C619" s="56"/>
      <c r="D619" s="57"/>
      <c r="E619" s="59"/>
      <c r="F619" s="59"/>
      <c r="G619" s="59"/>
      <c r="H619" s="60"/>
      <c r="I619" s="61"/>
      <c r="J619" s="52"/>
    </row>
    <row r="620" spans="1:10" x14ac:dyDescent="0.25">
      <c r="A620" s="53"/>
      <c r="B620" s="53"/>
      <c r="C620" s="56"/>
      <c r="D620" s="57"/>
      <c r="E620" s="59"/>
      <c r="F620" s="59"/>
      <c r="G620" s="59"/>
      <c r="H620" s="60"/>
      <c r="I620" s="61"/>
      <c r="J620" s="52"/>
    </row>
    <row r="621" spans="1:10" x14ac:dyDescent="0.25">
      <c r="A621" s="53"/>
      <c r="B621" s="53"/>
      <c r="C621" s="56"/>
      <c r="D621" s="57"/>
      <c r="E621" s="59"/>
      <c r="F621" s="59"/>
      <c r="G621" s="59"/>
      <c r="H621" s="60"/>
      <c r="I621" s="61"/>
      <c r="J621" s="52"/>
    </row>
    <row r="622" spans="1:10" x14ac:dyDescent="0.25">
      <c r="A622" s="53"/>
      <c r="B622" s="53"/>
      <c r="C622" s="56"/>
      <c r="D622" s="57"/>
      <c r="E622" s="59"/>
      <c r="F622" s="59"/>
      <c r="G622" s="59"/>
      <c r="H622" s="60"/>
      <c r="I622" s="61"/>
      <c r="J622" s="52"/>
    </row>
    <row r="623" spans="1:10" x14ac:dyDescent="0.25">
      <c r="A623" s="53"/>
      <c r="B623" s="53"/>
      <c r="C623" s="56"/>
      <c r="D623" s="57"/>
      <c r="E623" s="59"/>
      <c r="F623" s="59"/>
      <c r="G623" s="59"/>
      <c r="H623" s="60"/>
      <c r="I623" s="61"/>
      <c r="J623" s="52"/>
    </row>
    <row r="624" spans="1:10" x14ac:dyDescent="0.25">
      <c r="A624" s="53"/>
      <c r="B624" s="53"/>
      <c r="C624" s="56"/>
      <c r="D624" s="57"/>
      <c r="E624" s="59"/>
      <c r="F624" s="59"/>
      <c r="G624" s="59"/>
      <c r="H624" s="60"/>
      <c r="I624" s="61"/>
      <c r="J624" s="52"/>
    </row>
    <row r="625" spans="1:10" x14ac:dyDescent="0.25">
      <c r="A625" s="53"/>
      <c r="B625" s="53"/>
      <c r="C625" s="56"/>
      <c r="D625" s="57"/>
      <c r="E625" s="59"/>
      <c r="F625" s="59"/>
      <c r="G625" s="59"/>
      <c r="H625" s="60"/>
      <c r="I625" s="61"/>
      <c r="J625" s="52"/>
    </row>
    <row r="626" spans="1:10" x14ac:dyDescent="0.25">
      <c r="A626" s="53"/>
      <c r="B626" s="53"/>
      <c r="C626" s="56"/>
      <c r="D626" s="57"/>
      <c r="E626" s="59"/>
      <c r="F626" s="59"/>
      <c r="G626" s="59"/>
      <c r="H626" s="60"/>
      <c r="I626" s="61"/>
      <c r="J626" s="52"/>
    </row>
    <row r="627" spans="1:10" x14ac:dyDescent="0.25">
      <c r="A627" s="53"/>
      <c r="B627" s="53"/>
      <c r="C627" s="56"/>
      <c r="D627" s="57"/>
      <c r="E627" s="59"/>
      <c r="F627" s="59"/>
      <c r="G627" s="59"/>
      <c r="H627" s="60"/>
      <c r="I627" s="61"/>
      <c r="J627" s="52"/>
    </row>
    <row r="628" spans="1:10" x14ac:dyDescent="0.25">
      <c r="A628" s="53"/>
      <c r="B628" s="53"/>
      <c r="C628" s="56"/>
      <c r="D628" s="57"/>
      <c r="E628" s="59"/>
      <c r="F628" s="59"/>
      <c r="G628" s="59"/>
      <c r="H628" s="60"/>
      <c r="I628" s="61"/>
      <c r="J628" s="52"/>
    </row>
    <row r="629" spans="1:10" x14ac:dyDescent="0.25">
      <c r="A629" s="53"/>
      <c r="B629" s="53"/>
      <c r="C629" s="56"/>
      <c r="D629" s="57"/>
      <c r="E629" s="59"/>
      <c r="F629" s="59"/>
      <c r="G629" s="59"/>
      <c r="H629" s="60"/>
      <c r="I629" s="61"/>
      <c r="J629" s="52"/>
    </row>
    <row r="630" spans="1:10" x14ac:dyDescent="0.25">
      <c r="A630" s="53"/>
      <c r="B630" s="53"/>
      <c r="C630" s="56"/>
      <c r="D630" s="57"/>
      <c r="E630" s="59"/>
      <c r="F630" s="59"/>
      <c r="G630" s="59"/>
      <c r="H630" s="60"/>
      <c r="I630" s="61"/>
      <c r="J630" s="52"/>
    </row>
    <row r="631" spans="1:10" x14ac:dyDescent="0.25">
      <c r="A631" s="53"/>
      <c r="B631" s="53"/>
      <c r="C631" s="56"/>
      <c r="D631" s="57"/>
      <c r="E631" s="59"/>
      <c r="F631" s="59"/>
      <c r="G631" s="59"/>
      <c r="H631" s="60"/>
      <c r="I631" s="61"/>
      <c r="J631" s="52"/>
    </row>
    <row r="632" spans="1:10" x14ac:dyDescent="0.25">
      <c r="A632" s="53"/>
      <c r="B632" s="53"/>
      <c r="C632" s="56"/>
      <c r="D632" s="57"/>
      <c r="E632" s="59"/>
      <c r="F632" s="59"/>
      <c r="G632" s="59"/>
      <c r="H632" s="60"/>
      <c r="I632" s="61"/>
      <c r="J632" s="52"/>
    </row>
    <row r="633" spans="1:10" x14ac:dyDescent="0.25">
      <c r="A633" s="53"/>
      <c r="B633" s="53"/>
      <c r="C633" s="56"/>
      <c r="D633" s="57"/>
      <c r="E633" s="59"/>
      <c r="F633" s="59"/>
      <c r="G633" s="59"/>
      <c r="H633" s="60"/>
      <c r="I633" s="61"/>
      <c r="J633" s="52"/>
    </row>
    <row r="634" spans="1:10" x14ac:dyDescent="0.25">
      <c r="A634" s="53"/>
      <c r="B634" s="53"/>
      <c r="C634" s="56"/>
      <c r="D634" s="57"/>
      <c r="E634" s="59"/>
      <c r="F634" s="59"/>
      <c r="G634" s="59"/>
      <c r="H634" s="60"/>
      <c r="I634" s="61"/>
      <c r="J634" s="52"/>
    </row>
    <row r="635" spans="1:10" x14ac:dyDescent="0.25">
      <c r="A635" s="53"/>
      <c r="B635" s="53"/>
      <c r="C635" s="56"/>
      <c r="D635" s="57"/>
      <c r="E635" s="59"/>
      <c r="F635" s="59"/>
      <c r="G635" s="59"/>
      <c r="H635" s="60"/>
      <c r="I635" s="61"/>
      <c r="J635" s="52"/>
    </row>
    <row r="636" spans="1:10" x14ac:dyDescent="0.25">
      <c r="A636" s="53"/>
      <c r="B636" s="53"/>
      <c r="C636" s="56"/>
      <c r="D636" s="57"/>
      <c r="E636" s="59"/>
      <c r="F636" s="59"/>
      <c r="G636" s="59"/>
      <c r="H636" s="60"/>
      <c r="I636" s="61"/>
      <c r="J636" s="52"/>
    </row>
    <row r="637" spans="1:10" x14ac:dyDescent="0.25">
      <c r="A637" s="53"/>
      <c r="B637" s="53"/>
      <c r="C637" s="56"/>
      <c r="D637" s="57"/>
      <c r="E637" s="59"/>
      <c r="F637" s="59"/>
      <c r="G637" s="59"/>
      <c r="H637" s="60"/>
      <c r="I637" s="61"/>
      <c r="J637" s="52"/>
    </row>
    <row r="638" spans="1:10" x14ac:dyDescent="0.25">
      <c r="A638" s="53"/>
      <c r="B638" s="53"/>
      <c r="C638" s="56"/>
      <c r="D638" s="57"/>
      <c r="E638" s="59"/>
      <c r="F638" s="59"/>
      <c r="G638" s="59"/>
      <c r="H638" s="60"/>
      <c r="I638" s="61"/>
      <c r="J638" s="52"/>
    </row>
    <row r="639" spans="1:10" x14ac:dyDescent="0.25">
      <c r="A639" s="53"/>
      <c r="B639" s="53"/>
      <c r="C639" s="56"/>
      <c r="D639" s="57"/>
      <c r="E639" s="59"/>
      <c r="F639" s="59"/>
      <c r="G639" s="59"/>
      <c r="H639" s="60"/>
      <c r="I639" s="61"/>
      <c r="J639" s="52"/>
    </row>
    <row r="640" spans="1:10" x14ac:dyDescent="0.25">
      <c r="A640" s="53"/>
      <c r="B640" s="53"/>
      <c r="C640" s="56"/>
      <c r="D640" s="57"/>
      <c r="E640" s="59"/>
      <c r="F640" s="59"/>
      <c r="G640" s="59"/>
      <c r="H640" s="60"/>
      <c r="I640" s="61"/>
      <c r="J640" s="52"/>
    </row>
    <row r="641" spans="1:10" x14ac:dyDescent="0.25">
      <c r="A641" s="53"/>
      <c r="B641" s="53"/>
      <c r="C641" s="56"/>
      <c r="D641" s="57"/>
      <c r="E641" s="59"/>
      <c r="F641" s="59"/>
      <c r="G641" s="59"/>
      <c r="H641" s="60"/>
      <c r="I641" s="61"/>
      <c r="J641" s="52"/>
    </row>
    <row r="642" spans="1:10" x14ac:dyDescent="0.25">
      <c r="A642" s="53"/>
      <c r="B642" s="53"/>
      <c r="C642" s="56"/>
      <c r="D642" s="57"/>
      <c r="E642" s="59"/>
      <c r="F642" s="59"/>
      <c r="G642" s="59"/>
      <c r="H642" s="60"/>
      <c r="I642" s="61"/>
      <c r="J642" s="52"/>
    </row>
    <row r="643" spans="1:10" x14ac:dyDescent="0.25">
      <c r="A643" s="53"/>
      <c r="B643" s="53"/>
      <c r="C643" s="56"/>
      <c r="D643" s="57"/>
      <c r="E643" s="59"/>
      <c r="F643" s="59"/>
      <c r="G643" s="59"/>
      <c r="H643" s="60"/>
      <c r="I643" s="61"/>
      <c r="J643" s="52"/>
    </row>
    <row r="644" spans="1:10" x14ac:dyDescent="0.25">
      <c r="A644" s="53"/>
      <c r="B644" s="53"/>
      <c r="C644" s="56"/>
      <c r="D644" s="57"/>
      <c r="E644" s="59"/>
      <c r="F644" s="59"/>
      <c r="G644" s="59"/>
      <c r="H644" s="60"/>
      <c r="I644" s="61"/>
      <c r="J644" s="52"/>
    </row>
    <row r="645" spans="1:10" x14ac:dyDescent="0.25">
      <c r="A645" s="53"/>
      <c r="B645" s="53"/>
      <c r="C645" s="56"/>
      <c r="D645" s="57"/>
      <c r="E645" s="59"/>
      <c r="F645" s="59"/>
      <c r="G645" s="59"/>
      <c r="H645" s="60"/>
      <c r="I645" s="61"/>
      <c r="J645" s="52"/>
    </row>
    <row r="646" spans="1:10" x14ac:dyDescent="0.25">
      <c r="A646" s="53"/>
      <c r="B646" s="53"/>
      <c r="C646" s="56"/>
      <c r="D646" s="57"/>
      <c r="E646" s="59"/>
      <c r="F646" s="59"/>
      <c r="G646" s="59"/>
      <c r="H646" s="60"/>
      <c r="I646" s="61"/>
      <c r="J646" s="52"/>
    </row>
    <row r="647" spans="1:10" x14ac:dyDescent="0.25">
      <c r="A647" s="53"/>
      <c r="B647" s="53"/>
      <c r="C647" s="56"/>
      <c r="D647" s="57"/>
      <c r="E647" s="59"/>
      <c r="F647" s="59"/>
      <c r="G647" s="59"/>
      <c r="H647" s="60"/>
      <c r="I647" s="61"/>
      <c r="J647" s="52"/>
    </row>
    <row r="648" spans="1:10" x14ac:dyDescent="0.25">
      <c r="A648" s="53"/>
      <c r="B648" s="53"/>
      <c r="C648" s="56"/>
      <c r="D648" s="57"/>
      <c r="E648" s="59"/>
      <c r="F648" s="59"/>
      <c r="G648" s="59"/>
      <c r="H648" s="60"/>
      <c r="I648" s="61"/>
      <c r="J648" s="52"/>
    </row>
    <row r="649" spans="1:10" x14ac:dyDescent="0.25">
      <c r="A649" s="53"/>
      <c r="B649" s="53"/>
      <c r="C649" s="56"/>
      <c r="D649" s="57"/>
      <c r="E649" s="59"/>
      <c r="F649" s="59"/>
      <c r="G649" s="59"/>
      <c r="H649" s="60"/>
      <c r="I649" s="61"/>
      <c r="J649" s="52"/>
    </row>
    <row r="650" spans="1:10" x14ac:dyDescent="0.25">
      <c r="A650" s="53"/>
      <c r="B650" s="53"/>
      <c r="C650" s="56"/>
      <c r="D650" s="57"/>
      <c r="E650" s="59"/>
      <c r="F650" s="59"/>
      <c r="G650" s="59"/>
      <c r="H650" s="60"/>
      <c r="I650" s="61"/>
      <c r="J650" s="52"/>
    </row>
    <row r="651" spans="1:10" x14ac:dyDescent="0.25">
      <c r="A651" s="53"/>
      <c r="B651" s="53"/>
      <c r="C651" s="56"/>
      <c r="D651" s="57"/>
      <c r="E651" s="59"/>
      <c r="F651" s="59"/>
      <c r="G651" s="59"/>
      <c r="H651" s="60"/>
      <c r="I651" s="61"/>
      <c r="J651" s="52"/>
    </row>
    <row r="652" spans="1:10" x14ac:dyDescent="0.25">
      <c r="A652" s="53"/>
      <c r="B652" s="53"/>
      <c r="C652" s="56"/>
      <c r="D652" s="57"/>
      <c r="E652" s="59"/>
      <c r="F652" s="59"/>
      <c r="G652" s="59"/>
      <c r="H652" s="60"/>
      <c r="I652" s="61"/>
      <c r="J652" s="52"/>
    </row>
    <row r="653" spans="1:10" x14ac:dyDescent="0.25">
      <c r="A653" s="53"/>
      <c r="B653" s="53"/>
      <c r="C653" s="56"/>
      <c r="D653" s="57"/>
      <c r="E653" s="59"/>
      <c r="F653" s="59"/>
      <c r="G653" s="59"/>
      <c r="H653" s="60"/>
      <c r="I653" s="61"/>
      <c r="J653" s="52"/>
    </row>
    <row r="654" spans="1:10" x14ac:dyDescent="0.25">
      <c r="A654" s="53"/>
      <c r="B654" s="53"/>
      <c r="C654" s="56"/>
      <c r="D654" s="57"/>
      <c r="E654" s="59"/>
      <c r="F654" s="59"/>
      <c r="G654" s="59"/>
      <c r="H654" s="60"/>
      <c r="I654" s="61"/>
      <c r="J654" s="52"/>
    </row>
    <row r="655" spans="1:10" x14ac:dyDescent="0.25">
      <c r="A655" s="53"/>
      <c r="B655" s="53"/>
      <c r="C655" s="56"/>
      <c r="D655" s="57"/>
      <c r="E655" s="59"/>
      <c r="F655" s="59"/>
      <c r="G655" s="59"/>
      <c r="H655" s="60"/>
      <c r="I655" s="61"/>
      <c r="J655" s="52"/>
    </row>
    <row r="656" spans="1:10" x14ac:dyDescent="0.25">
      <c r="A656" s="53"/>
      <c r="B656" s="53"/>
      <c r="C656" s="56"/>
      <c r="D656" s="57"/>
      <c r="E656" s="59"/>
      <c r="F656" s="59"/>
      <c r="G656" s="59"/>
      <c r="H656" s="60"/>
      <c r="I656" s="61"/>
      <c r="J656" s="52"/>
    </row>
    <row r="657" spans="1:10" x14ac:dyDescent="0.25">
      <c r="A657" s="53"/>
      <c r="B657" s="53"/>
      <c r="C657" s="56"/>
      <c r="D657" s="57"/>
      <c r="E657" s="59"/>
      <c r="F657" s="59"/>
      <c r="G657" s="59"/>
      <c r="H657" s="60"/>
      <c r="I657" s="61"/>
      <c r="J657" s="52"/>
    </row>
    <row r="658" spans="1:10" x14ac:dyDescent="0.25">
      <c r="A658" s="53"/>
      <c r="B658" s="53"/>
      <c r="C658" s="56"/>
      <c r="D658" s="57"/>
      <c r="E658" s="59"/>
      <c r="F658" s="59"/>
      <c r="G658" s="59"/>
      <c r="H658" s="60"/>
      <c r="I658" s="61"/>
      <c r="J658" s="52"/>
    </row>
    <row r="659" spans="1:10" x14ac:dyDescent="0.25">
      <c r="A659" s="53"/>
      <c r="B659" s="53"/>
      <c r="C659" s="56"/>
      <c r="D659" s="57"/>
      <c r="E659" s="59"/>
      <c r="F659" s="59"/>
      <c r="G659" s="59"/>
      <c r="H659" s="60"/>
      <c r="I659" s="61"/>
      <c r="J659" s="52"/>
    </row>
    <row r="660" spans="1:10" x14ac:dyDescent="0.25">
      <c r="A660" s="53"/>
      <c r="B660" s="53"/>
      <c r="C660" s="56"/>
      <c r="D660" s="57"/>
      <c r="E660" s="59"/>
      <c r="F660" s="59"/>
      <c r="G660" s="59"/>
      <c r="H660" s="60"/>
      <c r="I660" s="61"/>
      <c r="J660" s="52"/>
    </row>
    <row r="661" spans="1:10" x14ac:dyDescent="0.25">
      <c r="A661" s="53"/>
      <c r="B661" s="53"/>
      <c r="C661" s="56"/>
      <c r="D661" s="57"/>
      <c r="E661" s="59"/>
      <c r="F661" s="59"/>
      <c r="G661" s="59"/>
      <c r="H661" s="60"/>
      <c r="I661" s="61"/>
      <c r="J661" s="52"/>
    </row>
    <row r="662" spans="1:10" x14ac:dyDescent="0.25">
      <c r="A662" s="53"/>
      <c r="B662" s="53"/>
      <c r="C662" s="56"/>
      <c r="D662" s="57"/>
      <c r="E662" s="59"/>
      <c r="F662" s="59"/>
      <c r="G662" s="59"/>
      <c r="H662" s="60"/>
      <c r="I662" s="61"/>
      <c r="J662" s="52"/>
    </row>
    <row r="663" spans="1:10" x14ac:dyDescent="0.25">
      <c r="A663" s="53"/>
      <c r="B663" s="53"/>
      <c r="C663" s="56"/>
      <c r="D663" s="57"/>
      <c r="E663" s="59"/>
      <c r="F663" s="59"/>
      <c r="G663" s="59"/>
      <c r="H663" s="60"/>
      <c r="I663" s="61"/>
      <c r="J663" s="52"/>
    </row>
    <row r="664" spans="1:10" x14ac:dyDescent="0.25">
      <c r="A664" s="53"/>
      <c r="B664" s="53"/>
      <c r="C664" s="56"/>
      <c r="D664" s="57"/>
      <c r="E664" s="59"/>
      <c r="F664" s="59"/>
      <c r="G664" s="59"/>
      <c r="H664" s="60"/>
      <c r="I664" s="61"/>
      <c r="J664" s="52"/>
    </row>
    <row r="665" spans="1:10" x14ac:dyDescent="0.25">
      <c r="A665" s="53"/>
      <c r="B665" s="53"/>
      <c r="C665" s="56"/>
      <c r="D665" s="57"/>
      <c r="E665" s="59"/>
      <c r="F665" s="59"/>
      <c r="G665" s="59"/>
      <c r="H665" s="60"/>
      <c r="I665" s="61"/>
      <c r="J665" s="52"/>
    </row>
    <row r="666" spans="1:10" x14ac:dyDescent="0.25">
      <c r="A666" s="53"/>
      <c r="B666" s="53"/>
      <c r="C666" s="56"/>
      <c r="D666" s="57"/>
      <c r="E666" s="59"/>
      <c r="F666" s="59"/>
      <c r="G666" s="59"/>
      <c r="H666" s="60"/>
      <c r="I666" s="61"/>
      <c r="J666" s="52"/>
    </row>
    <row r="667" spans="1:10" x14ac:dyDescent="0.25">
      <c r="A667" s="53"/>
      <c r="B667" s="53"/>
      <c r="C667" s="56"/>
      <c r="D667" s="57"/>
      <c r="E667" s="59"/>
      <c r="F667" s="59"/>
      <c r="G667" s="59"/>
      <c r="H667" s="60"/>
      <c r="I667" s="61"/>
      <c r="J667" s="52"/>
    </row>
    <row r="668" spans="1:10" x14ac:dyDescent="0.25">
      <c r="A668" s="53"/>
      <c r="B668" s="53"/>
      <c r="C668" s="56"/>
      <c r="D668" s="57"/>
      <c r="E668" s="59"/>
      <c r="F668" s="59"/>
      <c r="G668" s="59"/>
      <c r="H668" s="60"/>
      <c r="I668" s="61"/>
      <c r="J668" s="52"/>
    </row>
    <row r="669" spans="1:10" x14ac:dyDescent="0.25">
      <c r="A669" s="53"/>
      <c r="B669" s="53"/>
      <c r="C669" s="56"/>
      <c r="D669" s="57"/>
      <c r="E669" s="59"/>
      <c r="F669" s="59"/>
      <c r="G669" s="59"/>
      <c r="H669" s="60"/>
      <c r="I669" s="61"/>
      <c r="J669" s="52"/>
    </row>
    <row r="670" spans="1:10" x14ac:dyDescent="0.25">
      <c r="A670" s="53"/>
      <c r="B670" s="53"/>
      <c r="C670" s="56"/>
      <c r="D670" s="57"/>
      <c r="E670" s="59"/>
      <c r="F670" s="59"/>
      <c r="G670" s="59"/>
      <c r="H670" s="60"/>
      <c r="I670" s="61"/>
      <c r="J670" s="52"/>
    </row>
    <row r="671" spans="1:10" x14ac:dyDescent="0.25">
      <c r="A671" s="53"/>
      <c r="B671" s="53"/>
      <c r="C671" s="56"/>
      <c r="D671" s="57"/>
      <c r="E671" s="59"/>
      <c r="F671" s="59"/>
      <c r="G671" s="59"/>
      <c r="H671" s="60"/>
      <c r="I671" s="61"/>
      <c r="J671" s="52"/>
    </row>
    <row r="672" spans="1:10" x14ac:dyDescent="0.25">
      <c r="A672" s="53"/>
      <c r="B672" s="53"/>
      <c r="C672" s="56"/>
      <c r="D672" s="57"/>
      <c r="E672" s="59"/>
      <c r="F672" s="59"/>
      <c r="G672" s="59"/>
      <c r="H672" s="60"/>
      <c r="I672" s="61"/>
      <c r="J672" s="52"/>
    </row>
    <row r="673" spans="1:10" x14ac:dyDescent="0.25">
      <c r="A673" s="53"/>
      <c r="B673" s="53"/>
      <c r="C673" s="56"/>
      <c r="D673" s="57"/>
      <c r="E673" s="59"/>
      <c r="F673" s="59"/>
      <c r="G673" s="59"/>
      <c r="H673" s="60"/>
      <c r="I673" s="61"/>
      <c r="J673" s="52"/>
    </row>
    <row r="674" spans="1:10" x14ac:dyDescent="0.25">
      <c r="A674" s="53"/>
      <c r="B674" s="53"/>
      <c r="C674" s="56"/>
      <c r="D674" s="57"/>
      <c r="E674" s="59"/>
      <c r="F674" s="59"/>
      <c r="G674" s="59"/>
      <c r="H674" s="60"/>
      <c r="I674" s="61"/>
      <c r="J674" s="52"/>
    </row>
    <row r="675" spans="1:10" x14ac:dyDescent="0.25">
      <c r="A675" s="53"/>
      <c r="B675" s="53"/>
      <c r="C675" s="56"/>
      <c r="D675" s="57"/>
      <c r="E675" s="59"/>
      <c r="F675" s="59"/>
      <c r="G675" s="59"/>
      <c r="H675" s="60"/>
      <c r="I675" s="61"/>
      <c r="J675" s="52"/>
    </row>
    <row r="676" spans="1:10" x14ac:dyDescent="0.25">
      <c r="A676" s="53"/>
      <c r="B676" s="53"/>
      <c r="C676" s="56"/>
      <c r="D676" s="57"/>
      <c r="E676" s="59"/>
      <c r="F676" s="59"/>
      <c r="G676" s="59"/>
      <c r="H676" s="60"/>
      <c r="I676" s="61"/>
      <c r="J676" s="52"/>
    </row>
    <row r="677" spans="1:10" x14ac:dyDescent="0.25">
      <c r="A677" s="53"/>
      <c r="B677" s="53"/>
      <c r="C677" s="56"/>
      <c r="D677" s="57"/>
      <c r="E677" s="59"/>
      <c r="F677" s="59"/>
      <c r="G677" s="59"/>
      <c r="H677" s="60"/>
      <c r="I677" s="61"/>
      <c r="J677" s="52"/>
    </row>
    <row r="678" spans="1:10" x14ac:dyDescent="0.25">
      <c r="A678" s="53"/>
      <c r="B678" s="53"/>
      <c r="C678" s="56"/>
      <c r="D678" s="57"/>
      <c r="E678" s="59"/>
      <c r="F678" s="59"/>
      <c r="G678" s="59"/>
      <c r="H678" s="60"/>
      <c r="I678" s="61"/>
      <c r="J678" s="52"/>
    </row>
    <row r="679" spans="1:10" x14ac:dyDescent="0.25">
      <c r="A679" s="53"/>
      <c r="B679" s="53"/>
      <c r="C679" s="56"/>
      <c r="D679" s="57"/>
      <c r="E679" s="59"/>
      <c r="F679" s="59"/>
      <c r="G679" s="59"/>
      <c r="H679" s="60"/>
      <c r="I679" s="61"/>
      <c r="J679" s="52"/>
    </row>
    <row r="680" spans="1:10" x14ac:dyDescent="0.25">
      <c r="A680" s="53"/>
      <c r="B680" s="53"/>
      <c r="C680" s="56"/>
      <c r="D680" s="57"/>
      <c r="E680" s="59"/>
      <c r="F680" s="59"/>
      <c r="G680" s="59"/>
      <c r="H680" s="60"/>
      <c r="I680" s="61"/>
      <c r="J680" s="52"/>
    </row>
    <row r="681" spans="1:10" x14ac:dyDescent="0.25">
      <c r="A681" s="53"/>
      <c r="B681" s="53"/>
      <c r="C681" s="56"/>
      <c r="D681" s="57"/>
      <c r="E681" s="59"/>
      <c r="F681" s="59"/>
      <c r="G681" s="59"/>
      <c r="H681" s="60"/>
      <c r="I681" s="61"/>
      <c r="J681" s="52"/>
    </row>
    <row r="682" spans="1:10" x14ac:dyDescent="0.25">
      <c r="A682" s="53"/>
      <c r="B682" s="53"/>
      <c r="C682" s="56"/>
      <c r="D682" s="57"/>
      <c r="E682" s="59"/>
      <c r="F682" s="59"/>
      <c r="G682" s="59"/>
      <c r="H682" s="60"/>
      <c r="I682" s="61"/>
      <c r="J682" s="52"/>
    </row>
    <row r="683" spans="1:10" x14ac:dyDescent="0.25">
      <c r="A683" s="53"/>
      <c r="B683" s="53"/>
      <c r="C683" s="56"/>
      <c r="D683" s="57"/>
      <c r="E683" s="59"/>
      <c r="F683" s="59"/>
      <c r="G683" s="59"/>
      <c r="H683" s="60"/>
      <c r="I683" s="61"/>
      <c r="J683" s="52"/>
    </row>
    <row r="684" spans="1:10" x14ac:dyDescent="0.25">
      <c r="A684" s="53"/>
      <c r="B684" s="53"/>
      <c r="C684" s="56"/>
      <c r="D684" s="57"/>
      <c r="E684" s="59"/>
      <c r="F684" s="59"/>
      <c r="G684" s="59"/>
      <c r="H684" s="60"/>
      <c r="I684" s="61"/>
      <c r="J684" s="52"/>
    </row>
    <row r="685" spans="1:10" x14ac:dyDescent="0.25">
      <c r="A685" s="53"/>
      <c r="B685" s="53"/>
      <c r="C685" s="56"/>
      <c r="D685" s="57"/>
      <c r="E685" s="59"/>
      <c r="F685" s="59"/>
      <c r="G685" s="59"/>
      <c r="H685" s="60"/>
      <c r="I685" s="61"/>
      <c r="J685" s="52"/>
    </row>
    <row r="686" spans="1:10" x14ac:dyDescent="0.25">
      <c r="A686" s="53"/>
      <c r="B686" s="53"/>
      <c r="C686" s="56"/>
      <c r="D686" s="57"/>
      <c r="E686" s="59"/>
      <c r="F686" s="59"/>
      <c r="G686" s="59"/>
      <c r="H686" s="60"/>
      <c r="I686" s="61"/>
      <c r="J686" s="52"/>
    </row>
    <row r="687" spans="1:10" x14ac:dyDescent="0.25">
      <c r="A687" s="53"/>
      <c r="B687" s="53"/>
      <c r="C687" s="56"/>
      <c r="D687" s="57"/>
      <c r="E687" s="59"/>
      <c r="F687" s="59"/>
      <c r="G687" s="59"/>
      <c r="H687" s="60"/>
      <c r="I687" s="61"/>
      <c r="J687" s="52"/>
    </row>
    <row r="688" spans="1:10" x14ac:dyDescent="0.25">
      <c r="A688" s="53"/>
      <c r="B688" s="53"/>
      <c r="C688" s="56"/>
      <c r="D688" s="57"/>
      <c r="E688" s="59"/>
      <c r="F688" s="59"/>
      <c r="G688" s="59"/>
      <c r="H688" s="60"/>
      <c r="I688" s="61"/>
      <c r="J688" s="52"/>
    </row>
    <row r="689" spans="1:10" x14ac:dyDescent="0.25">
      <c r="A689" s="53"/>
      <c r="B689" s="53"/>
      <c r="C689" s="56"/>
      <c r="D689" s="57"/>
      <c r="E689" s="59"/>
      <c r="F689" s="59"/>
      <c r="G689" s="59"/>
      <c r="H689" s="60"/>
      <c r="I689" s="61"/>
      <c r="J689" s="52"/>
    </row>
    <row r="690" spans="1:10" x14ac:dyDescent="0.25">
      <c r="A690" s="53"/>
      <c r="B690" s="53"/>
      <c r="C690" s="56"/>
      <c r="D690" s="57"/>
      <c r="E690" s="59"/>
      <c r="F690" s="59"/>
      <c r="G690" s="59"/>
      <c r="H690" s="60"/>
      <c r="I690" s="61"/>
      <c r="J690" s="52"/>
    </row>
    <row r="691" spans="1:10" x14ac:dyDescent="0.25">
      <c r="A691" s="53"/>
      <c r="B691" s="53"/>
      <c r="C691" s="56"/>
      <c r="D691" s="57"/>
      <c r="E691" s="59"/>
      <c r="F691" s="59"/>
      <c r="G691" s="59"/>
      <c r="H691" s="60"/>
      <c r="I691" s="61"/>
      <c r="J691" s="52"/>
    </row>
    <row r="692" spans="1:10" x14ac:dyDescent="0.25">
      <c r="A692" s="53"/>
      <c r="B692" s="53"/>
      <c r="C692" s="56"/>
      <c r="D692" s="57"/>
      <c r="E692" s="59"/>
      <c r="F692" s="59"/>
      <c r="G692" s="59"/>
      <c r="H692" s="60"/>
      <c r="I692" s="61"/>
      <c r="J692" s="52"/>
    </row>
    <row r="693" spans="1:10" x14ac:dyDescent="0.25">
      <c r="A693" s="53"/>
      <c r="B693" s="53"/>
      <c r="C693" s="56"/>
      <c r="D693" s="57"/>
      <c r="E693" s="59"/>
      <c r="F693" s="59"/>
      <c r="G693" s="59"/>
      <c r="H693" s="60"/>
      <c r="I693" s="61"/>
      <c r="J693" s="52"/>
    </row>
    <row r="694" spans="1:10" x14ac:dyDescent="0.25">
      <c r="A694" s="53"/>
      <c r="B694" s="53"/>
      <c r="C694" s="56"/>
      <c r="D694" s="57"/>
      <c r="E694" s="59"/>
      <c r="F694" s="59"/>
      <c r="G694" s="59"/>
      <c r="H694" s="60"/>
      <c r="I694" s="61"/>
      <c r="J694" s="52"/>
    </row>
    <row r="695" spans="1:10" x14ac:dyDescent="0.25">
      <c r="A695" s="53"/>
      <c r="B695" s="53"/>
      <c r="C695" s="56"/>
      <c r="D695" s="57"/>
      <c r="E695" s="59"/>
      <c r="F695" s="59"/>
      <c r="G695" s="59"/>
      <c r="H695" s="60"/>
      <c r="I695" s="61"/>
      <c r="J695" s="52"/>
    </row>
    <row r="696" spans="1:10" x14ac:dyDescent="0.25">
      <c r="A696" s="53"/>
      <c r="B696" s="53"/>
      <c r="C696" s="56"/>
      <c r="D696" s="57"/>
      <c r="E696" s="59"/>
      <c r="F696" s="59"/>
      <c r="G696" s="59"/>
      <c r="H696" s="60"/>
      <c r="I696" s="61"/>
      <c r="J696" s="52"/>
    </row>
    <row r="697" spans="1:10" x14ac:dyDescent="0.25">
      <c r="A697" s="53"/>
      <c r="B697" s="53"/>
      <c r="C697" s="56"/>
      <c r="D697" s="57"/>
      <c r="E697" s="59"/>
      <c r="F697" s="59"/>
      <c r="G697" s="59"/>
      <c r="H697" s="60"/>
      <c r="I697" s="61"/>
      <c r="J697" s="52"/>
    </row>
    <row r="698" spans="1:10" x14ac:dyDescent="0.25">
      <c r="A698" s="53"/>
      <c r="B698" s="53"/>
      <c r="C698" s="56"/>
      <c r="D698" s="57"/>
      <c r="E698" s="59"/>
      <c r="F698" s="59"/>
      <c r="G698" s="59"/>
      <c r="H698" s="60"/>
      <c r="I698" s="61"/>
      <c r="J698" s="52"/>
    </row>
    <row r="699" spans="1:10" x14ac:dyDescent="0.25">
      <c r="A699" s="53"/>
      <c r="B699" s="53"/>
      <c r="C699" s="56"/>
      <c r="D699" s="57"/>
      <c r="E699" s="59"/>
      <c r="F699" s="59"/>
      <c r="G699" s="59"/>
      <c r="H699" s="60"/>
      <c r="I699" s="61"/>
      <c r="J699" s="52"/>
    </row>
    <row r="700" spans="1:10" x14ac:dyDescent="0.25">
      <c r="A700" s="53"/>
      <c r="B700" s="53"/>
      <c r="C700" s="56"/>
      <c r="D700" s="57"/>
      <c r="E700" s="59"/>
      <c r="F700" s="59"/>
      <c r="G700" s="59"/>
      <c r="H700" s="60"/>
      <c r="I700" s="61"/>
      <c r="J700" s="52"/>
    </row>
    <row r="701" spans="1:10" x14ac:dyDescent="0.25">
      <c r="A701" s="53"/>
      <c r="B701" s="53"/>
      <c r="C701" s="56"/>
      <c r="D701" s="57"/>
      <c r="E701" s="59"/>
      <c r="F701" s="59"/>
      <c r="G701" s="59"/>
      <c r="H701" s="60"/>
      <c r="I701" s="61"/>
      <c r="J701" s="52"/>
    </row>
    <row r="702" spans="1:10" x14ac:dyDescent="0.25">
      <c r="A702" s="53"/>
      <c r="B702" s="53"/>
      <c r="C702" s="56"/>
      <c r="D702" s="57"/>
      <c r="E702" s="59"/>
      <c r="F702" s="59"/>
      <c r="G702" s="59"/>
      <c r="H702" s="60"/>
      <c r="I702" s="61"/>
      <c r="J702" s="52"/>
    </row>
    <row r="703" spans="1:10" x14ac:dyDescent="0.25">
      <c r="A703" s="53"/>
      <c r="B703" s="53"/>
      <c r="C703" s="56"/>
      <c r="D703" s="57"/>
      <c r="E703" s="59"/>
      <c r="F703" s="59"/>
      <c r="G703" s="59"/>
      <c r="H703" s="60"/>
      <c r="I703" s="61"/>
      <c r="J703" s="52"/>
    </row>
    <row r="704" spans="1:10" x14ac:dyDescent="0.25">
      <c r="A704" s="53"/>
      <c r="B704" s="53"/>
      <c r="C704" s="56"/>
      <c r="D704" s="57"/>
      <c r="E704" s="59"/>
      <c r="F704" s="59"/>
      <c r="G704" s="59"/>
      <c r="H704" s="60"/>
      <c r="I704" s="61"/>
      <c r="J704" s="52"/>
    </row>
    <row r="705" spans="1:10" x14ac:dyDescent="0.25">
      <c r="A705" s="53"/>
      <c r="B705" s="53"/>
      <c r="C705" s="56"/>
      <c r="D705" s="57"/>
      <c r="E705" s="59"/>
      <c r="F705" s="59"/>
      <c r="G705" s="59"/>
      <c r="H705" s="60"/>
      <c r="I705" s="61"/>
      <c r="J705" s="52"/>
    </row>
    <row r="706" spans="1:10" x14ac:dyDescent="0.25">
      <c r="A706" s="53"/>
      <c r="B706" s="53"/>
      <c r="C706" s="56"/>
      <c r="D706" s="57"/>
      <c r="E706" s="59"/>
      <c r="F706" s="59"/>
      <c r="G706" s="59"/>
      <c r="H706" s="60"/>
      <c r="I706" s="61"/>
      <c r="J706" s="52"/>
    </row>
    <row r="707" spans="1:10" x14ac:dyDescent="0.25">
      <c r="A707" s="53"/>
      <c r="B707" s="53"/>
      <c r="C707" s="56"/>
      <c r="D707" s="57"/>
      <c r="E707" s="59"/>
      <c r="F707" s="59"/>
      <c r="G707" s="59"/>
      <c r="H707" s="60"/>
      <c r="I707" s="61"/>
      <c r="J707" s="52"/>
    </row>
    <row r="708" spans="1:10" x14ac:dyDescent="0.25">
      <c r="A708" s="53"/>
      <c r="B708" s="53"/>
      <c r="C708" s="56"/>
      <c r="D708" s="57"/>
      <c r="E708" s="59"/>
      <c r="F708" s="59"/>
      <c r="G708" s="59"/>
      <c r="H708" s="60"/>
      <c r="I708" s="61"/>
      <c r="J708" s="52"/>
    </row>
    <row r="709" spans="1:10" x14ac:dyDescent="0.25">
      <c r="A709" s="53"/>
      <c r="B709" s="53"/>
      <c r="C709" s="56"/>
      <c r="D709" s="57"/>
      <c r="E709" s="59"/>
      <c r="F709" s="59"/>
      <c r="G709" s="59"/>
      <c r="H709" s="60"/>
      <c r="I709" s="61"/>
      <c r="J709" s="52"/>
    </row>
    <row r="710" spans="1:10" x14ac:dyDescent="0.25">
      <c r="A710" s="53"/>
      <c r="B710" s="53"/>
      <c r="C710" s="56"/>
      <c r="D710" s="57"/>
      <c r="E710" s="59"/>
      <c r="F710" s="59"/>
      <c r="G710" s="59"/>
      <c r="H710" s="60"/>
      <c r="I710" s="61"/>
      <c r="J710" s="52"/>
    </row>
    <row r="711" spans="1:10" x14ac:dyDescent="0.25">
      <c r="A711" s="53"/>
      <c r="B711" s="53"/>
      <c r="C711" s="56"/>
      <c r="D711" s="57"/>
      <c r="E711" s="59"/>
      <c r="F711" s="59"/>
      <c r="G711" s="59"/>
      <c r="H711" s="60"/>
      <c r="I711" s="61"/>
      <c r="J711" s="52"/>
    </row>
    <row r="712" spans="1:10" x14ac:dyDescent="0.25">
      <c r="A712" s="53"/>
      <c r="B712" s="53"/>
      <c r="C712" s="56"/>
      <c r="D712" s="57"/>
      <c r="E712" s="59"/>
      <c r="F712" s="59"/>
      <c r="G712" s="59"/>
      <c r="H712" s="60"/>
      <c r="I712" s="61"/>
      <c r="J712" s="52"/>
    </row>
    <row r="713" spans="1:10" x14ac:dyDescent="0.25">
      <c r="A713" s="53"/>
      <c r="B713" s="53"/>
      <c r="C713" s="56"/>
      <c r="D713" s="57"/>
      <c r="E713" s="59"/>
      <c r="F713" s="59"/>
      <c r="G713" s="59"/>
      <c r="H713" s="60"/>
      <c r="I713" s="61"/>
      <c r="J713" s="52"/>
    </row>
    <row r="714" spans="1:10" x14ac:dyDescent="0.25">
      <c r="A714" s="53"/>
      <c r="B714" s="53"/>
      <c r="C714" s="56"/>
      <c r="D714" s="57"/>
      <c r="E714" s="59"/>
      <c r="F714" s="59"/>
      <c r="G714" s="59"/>
      <c r="H714" s="60"/>
      <c r="I714" s="61"/>
      <c r="J714" s="52"/>
    </row>
    <row r="715" spans="1:10" x14ac:dyDescent="0.25">
      <c r="A715" s="53"/>
      <c r="B715" s="53"/>
      <c r="C715" s="56"/>
      <c r="D715" s="57"/>
      <c r="E715" s="59"/>
      <c r="F715" s="59"/>
      <c r="G715" s="59"/>
      <c r="H715" s="60"/>
      <c r="I715" s="61"/>
      <c r="J715" s="52"/>
    </row>
    <row r="716" spans="1:10" x14ac:dyDescent="0.25">
      <c r="A716" s="53"/>
      <c r="B716" s="53"/>
      <c r="C716" s="56"/>
      <c r="D716" s="57"/>
      <c r="E716" s="59"/>
      <c r="F716" s="59"/>
      <c r="G716" s="59"/>
      <c r="H716" s="60"/>
      <c r="I716" s="61"/>
      <c r="J716" s="52"/>
    </row>
    <row r="717" spans="1:10" x14ac:dyDescent="0.25">
      <c r="A717" s="53"/>
      <c r="B717" s="53"/>
      <c r="C717" s="56"/>
      <c r="D717" s="57"/>
      <c r="E717" s="59"/>
      <c r="F717" s="59"/>
      <c r="G717" s="59"/>
      <c r="H717" s="60"/>
      <c r="I717" s="61"/>
      <c r="J717" s="52"/>
    </row>
    <row r="718" spans="1:10" x14ac:dyDescent="0.25">
      <c r="A718" s="53"/>
      <c r="B718" s="53"/>
      <c r="C718" s="56"/>
      <c r="D718" s="57"/>
      <c r="E718" s="59"/>
      <c r="F718" s="59"/>
      <c r="G718" s="59"/>
      <c r="H718" s="60"/>
      <c r="I718" s="61"/>
      <c r="J718" s="52"/>
    </row>
    <row r="719" spans="1:10" x14ac:dyDescent="0.25">
      <c r="A719" s="53"/>
      <c r="B719" s="53"/>
      <c r="C719" s="56"/>
      <c r="D719" s="57"/>
      <c r="E719" s="59"/>
      <c r="F719" s="59"/>
      <c r="G719" s="59"/>
      <c r="H719" s="60"/>
      <c r="I719" s="61"/>
      <c r="J719" s="52"/>
    </row>
    <row r="720" spans="1:10" x14ac:dyDescent="0.25">
      <c r="A720" s="53"/>
      <c r="B720" s="53"/>
      <c r="C720" s="56"/>
      <c r="D720" s="57"/>
      <c r="E720" s="59"/>
      <c r="F720" s="59"/>
      <c r="G720" s="59"/>
      <c r="H720" s="60"/>
      <c r="I720" s="61"/>
      <c r="J720" s="52"/>
    </row>
    <row r="721" spans="1:10" x14ac:dyDescent="0.25">
      <c r="A721" s="53"/>
      <c r="B721" s="53"/>
      <c r="C721" s="56"/>
      <c r="D721" s="57"/>
      <c r="E721" s="59"/>
      <c r="F721" s="59"/>
      <c r="G721" s="59"/>
      <c r="H721" s="60"/>
      <c r="I721" s="61"/>
      <c r="J721" s="52"/>
    </row>
    <row r="722" spans="1:10" x14ac:dyDescent="0.25">
      <c r="A722" s="53"/>
      <c r="B722" s="53"/>
      <c r="C722" s="56"/>
      <c r="D722" s="57"/>
      <c r="E722" s="59"/>
      <c r="F722" s="59"/>
      <c r="G722" s="59"/>
      <c r="H722" s="60"/>
      <c r="I722" s="61"/>
      <c r="J722" s="52"/>
    </row>
    <row r="723" spans="1:10" x14ac:dyDescent="0.25">
      <c r="A723" s="53"/>
      <c r="B723" s="53"/>
      <c r="C723" s="56"/>
      <c r="D723" s="57"/>
      <c r="E723" s="59"/>
      <c r="F723" s="59"/>
      <c r="G723" s="59"/>
      <c r="H723" s="60"/>
      <c r="I723" s="61"/>
      <c r="J723" s="52"/>
    </row>
    <row r="724" spans="1:10" x14ac:dyDescent="0.25">
      <c r="A724" s="53"/>
      <c r="B724" s="53"/>
      <c r="C724" s="56"/>
      <c r="D724" s="57"/>
      <c r="E724" s="59"/>
      <c r="F724" s="59"/>
      <c r="G724" s="59"/>
      <c r="H724" s="60"/>
      <c r="I724" s="61"/>
      <c r="J724" s="52"/>
    </row>
    <row r="725" spans="1:10" x14ac:dyDescent="0.25">
      <c r="A725" s="53"/>
      <c r="B725" s="53"/>
      <c r="C725" s="56"/>
      <c r="D725" s="57"/>
      <c r="E725" s="59"/>
      <c r="F725" s="59"/>
      <c r="G725" s="59"/>
      <c r="H725" s="60"/>
      <c r="I725" s="61"/>
      <c r="J725" s="52"/>
    </row>
    <row r="726" spans="1:10" x14ac:dyDescent="0.25">
      <c r="A726" s="53"/>
      <c r="B726" s="53"/>
      <c r="C726" s="56"/>
      <c r="D726" s="57"/>
      <c r="E726" s="59"/>
      <c r="F726" s="59"/>
      <c r="G726" s="59"/>
      <c r="H726" s="60"/>
      <c r="I726" s="61"/>
      <c r="J726" s="52"/>
    </row>
    <row r="727" spans="1:10" x14ac:dyDescent="0.25">
      <c r="A727" s="53"/>
      <c r="B727" s="53"/>
      <c r="C727" s="56"/>
      <c r="D727" s="57"/>
      <c r="E727" s="59"/>
      <c r="F727" s="59"/>
      <c r="G727" s="59"/>
      <c r="H727" s="60"/>
      <c r="I727" s="61"/>
      <c r="J727" s="52"/>
    </row>
    <row r="728" spans="1:10" x14ac:dyDescent="0.25">
      <c r="A728" s="53"/>
      <c r="B728" s="53"/>
      <c r="C728" s="56"/>
      <c r="D728" s="57"/>
      <c r="E728" s="59"/>
      <c r="F728" s="59"/>
      <c r="G728" s="59"/>
      <c r="H728" s="60"/>
      <c r="I728" s="61"/>
      <c r="J728" s="52"/>
    </row>
    <row r="729" spans="1:10" x14ac:dyDescent="0.25">
      <c r="A729" s="53"/>
      <c r="B729" s="53"/>
      <c r="C729" s="56"/>
      <c r="D729" s="57"/>
      <c r="E729" s="59"/>
      <c r="F729" s="59"/>
      <c r="G729" s="59"/>
      <c r="H729" s="60"/>
      <c r="I729" s="61"/>
      <c r="J729" s="52"/>
    </row>
    <row r="730" spans="1:10" x14ac:dyDescent="0.25">
      <c r="A730" s="53"/>
      <c r="B730" s="53"/>
      <c r="C730" s="56"/>
      <c r="D730" s="57"/>
      <c r="E730" s="59"/>
      <c r="F730" s="59"/>
      <c r="G730" s="59"/>
      <c r="H730" s="60"/>
      <c r="I730" s="61"/>
      <c r="J730" s="52"/>
    </row>
    <row r="731" spans="1:10" x14ac:dyDescent="0.25">
      <c r="A731" s="53"/>
      <c r="B731" s="53"/>
      <c r="C731" s="56"/>
      <c r="D731" s="57"/>
      <c r="E731" s="59"/>
      <c r="F731" s="59"/>
      <c r="G731" s="59"/>
      <c r="H731" s="60"/>
      <c r="I731" s="61"/>
      <c r="J731" s="52"/>
    </row>
    <row r="732" spans="1:10" x14ac:dyDescent="0.25">
      <c r="A732" s="53"/>
      <c r="B732" s="53"/>
      <c r="C732" s="56"/>
      <c r="D732" s="57"/>
      <c r="E732" s="59"/>
      <c r="F732" s="59"/>
      <c r="G732" s="59"/>
      <c r="H732" s="60"/>
      <c r="I732" s="61"/>
      <c r="J732" s="52"/>
    </row>
    <row r="733" spans="1:10" x14ac:dyDescent="0.25">
      <c r="A733" s="53"/>
      <c r="B733" s="53"/>
      <c r="C733" s="56"/>
      <c r="D733" s="57"/>
      <c r="E733" s="59"/>
      <c r="F733" s="59"/>
      <c r="G733" s="59"/>
      <c r="H733" s="60"/>
      <c r="I733" s="61"/>
      <c r="J733" s="52"/>
    </row>
    <row r="734" spans="1:10" x14ac:dyDescent="0.25">
      <c r="A734" s="53"/>
      <c r="B734" s="53"/>
      <c r="C734" s="56"/>
      <c r="D734" s="57"/>
      <c r="E734" s="59"/>
      <c r="F734" s="59"/>
      <c r="G734" s="59"/>
      <c r="H734" s="60"/>
      <c r="I734" s="61"/>
      <c r="J734" s="52"/>
    </row>
    <row r="735" spans="1:10" x14ac:dyDescent="0.25">
      <c r="A735" s="53"/>
      <c r="B735" s="53"/>
      <c r="C735" s="56"/>
      <c r="D735" s="57"/>
      <c r="E735" s="59"/>
      <c r="F735" s="59"/>
      <c r="G735" s="59"/>
      <c r="H735" s="60"/>
      <c r="I735" s="61"/>
      <c r="J735" s="52"/>
    </row>
    <row r="736" spans="1:10" x14ac:dyDescent="0.25">
      <c r="A736" s="53"/>
      <c r="B736" s="53"/>
      <c r="C736" s="56"/>
      <c r="D736" s="57"/>
      <c r="E736" s="59"/>
      <c r="F736" s="59"/>
      <c r="G736" s="59"/>
      <c r="H736" s="60"/>
      <c r="I736" s="61"/>
      <c r="J736" s="52"/>
    </row>
    <row r="737" spans="1:10" x14ac:dyDescent="0.25">
      <c r="A737" s="53"/>
      <c r="B737" s="53"/>
      <c r="C737" s="56"/>
      <c r="D737" s="57"/>
      <c r="E737" s="59"/>
      <c r="F737" s="59"/>
      <c r="G737" s="59"/>
      <c r="H737" s="60"/>
      <c r="I737" s="61"/>
      <c r="J737" s="52"/>
    </row>
    <row r="738" spans="1:10" x14ac:dyDescent="0.25">
      <c r="A738" s="53"/>
      <c r="B738" s="53"/>
      <c r="C738" s="56"/>
      <c r="D738" s="57"/>
      <c r="E738" s="59"/>
      <c r="F738" s="59"/>
      <c r="G738" s="59"/>
      <c r="H738" s="60"/>
      <c r="I738" s="61"/>
      <c r="J738" s="52"/>
    </row>
    <row r="739" spans="1:10" x14ac:dyDescent="0.25">
      <c r="A739" s="53"/>
      <c r="B739" s="53"/>
      <c r="C739" s="56"/>
      <c r="D739" s="57"/>
      <c r="E739" s="59"/>
      <c r="F739" s="59"/>
      <c r="G739" s="59"/>
      <c r="H739" s="60"/>
      <c r="I739" s="61"/>
      <c r="J739" s="52"/>
    </row>
    <row r="740" spans="1:10" x14ac:dyDescent="0.25">
      <c r="A740" s="53"/>
      <c r="B740" s="53"/>
      <c r="C740" s="56"/>
      <c r="D740" s="57"/>
      <c r="E740" s="59"/>
      <c r="F740" s="59"/>
      <c r="G740" s="59"/>
      <c r="H740" s="60"/>
      <c r="I740" s="61"/>
      <c r="J740" s="52"/>
    </row>
    <row r="741" spans="1:10" x14ac:dyDescent="0.25">
      <c r="A741" s="53"/>
      <c r="B741" s="53"/>
      <c r="C741" s="56"/>
      <c r="D741" s="57"/>
      <c r="E741" s="59"/>
      <c r="F741" s="59"/>
      <c r="G741" s="59"/>
      <c r="H741" s="60"/>
      <c r="I741" s="61"/>
      <c r="J741" s="52"/>
    </row>
    <row r="742" spans="1:10" x14ac:dyDescent="0.25">
      <c r="A742" s="53"/>
      <c r="B742" s="53"/>
      <c r="C742" s="56"/>
      <c r="D742" s="57"/>
      <c r="E742" s="59"/>
      <c r="F742" s="59"/>
      <c r="G742" s="59"/>
      <c r="H742" s="60"/>
      <c r="I742" s="61"/>
      <c r="J742" s="52"/>
    </row>
    <row r="743" spans="1:10" x14ac:dyDescent="0.25">
      <c r="A743" s="53"/>
      <c r="B743" s="53"/>
      <c r="C743" s="56"/>
      <c r="D743" s="57"/>
      <c r="E743" s="59"/>
      <c r="F743" s="59"/>
      <c r="G743" s="59"/>
      <c r="H743" s="60"/>
      <c r="I743" s="61"/>
      <c r="J743" s="52"/>
    </row>
    <row r="744" spans="1:10" x14ac:dyDescent="0.25">
      <c r="A744" s="53"/>
      <c r="B744" s="53"/>
      <c r="C744" s="56"/>
      <c r="D744" s="57"/>
      <c r="E744" s="59"/>
      <c r="F744" s="59"/>
      <c r="G744" s="59"/>
      <c r="H744" s="60"/>
      <c r="I744" s="61"/>
      <c r="J744" s="52"/>
    </row>
    <row r="745" spans="1:10" x14ac:dyDescent="0.25">
      <c r="A745" s="53"/>
      <c r="B745" s="53"/>
      <c r="C745" s="56"/>
      <c r="D745" s="57"/>
      <c r="E745" s="59"/>
      <c r="F745" s="59"/>
      <c r="G745" s="59"/>
      <c r="H745" s="60"/>
      <c r="I745" s="61"/>
      <c r="J745" s="52"/>
    </row>
    <row r="746" spans="1:10" x14ac:dyDescent="0.25">
      <c r="A746" s="53"/>
      <c r="B746" s="53"/>
      <c r="C746" s="56"/>
      <c r="D746" s="57"/>
      <c r="E746" s="59"/>
      <c r="F746" s="59"/>
      <c r="G746" s="59"/>
      <c r="H746" s="60"/>
      <c r="I746" s="61"/>
      <c r="J746" s="52"/>
    </row>
    <row r="747" spans="1:10" x14ac:dyDescent="0.25">
      <c r="A747" s="53"/>
      <c r="B747" s="53"/>
      <c r="C747" s="56"/>
      <c r="D747" s="57"/>
      <c r="E747" s="59"/>
      <c r="F747" s="59"/>
      <c r="G747" s="59"/>
      <c r="H747" s="60"/>
      <c r="I747" s="61"/>
      <c r="J747" s="52"/>
    </row>
    <row r="748" spans="1:10" x14ac:dyDescent="0.25">
      <c r="A748" s="53"/>
      <c r="B748" s="53"/>
      <c r="C748" s="56"/>
      <c r="D748" s="57"/>
      <c r="E748" s="59"/>
      <c r="F748" s="59"/>
      <c r="G748" s="59"/>
      <c r="H748" s="60"/>
      <c r="I748" s="61"/>
      <c r="J748" s="52"/>
    </row>
    <row r="749" spans="1:10" x14ac:dyDescent="0.25">
      <c r="A749" s="53"/>
      <c r="B749" s="53"/>
      <c r="C749" s="56"/>
      <c r="D749" s="57"/>
      <c r="E749" s="59"/>
      <c r="F749" s="59"/>
      <c r="G749" s="59"/>
      <c r="H749" s="60"/>
      <c r="I749" s="61"/>
      <c r="J749" s="52"/>
    </row>
    <row r="750" spans="1:10" x14ac:dyDescent="0.25">
      <c r="A750" s="53"/>
      <c r="B750" s="53"/>
      <c r="C750" s="56"/>
      <c r="D750" s="57"/>
      <c r="E750" s="59"/>
      <c r="F750" s="59"/>
      <c r="G750" s="59"/>
      <c r="H750" s="60"/>
      <c r="I750" s="61"/>
      <c r="J750" s="52"/>
    </row>
    <row r="751" spans="1:10" x14ac:dyDescent="0.25">
      <c r="A751" s="53"/>
      <c r="B751" s="53"/>
      <c r="C751" s="56"/>
      <c r="D751" s="57"/>
      <c r="E751" s="59"/>
      <c r="F751" s="59"/>
      <c r="G751" s="59"/>
      <c r="H751" s="60"/>
      <c r="I751" s="61"/>
      <c r="J751" s="52"/>
    </row>
    <row r="752" spans="1:10" x14ac:dyDescent="0.25">
      <c r="A752" s="53"/>
      <c r="B752" s="53"/>
      <c r="C752" s="56"/>
      <c r="D752" s="57"/>
      <c r="E752" s="59"/>
      <c r="F752" s="59"/>
      <c r="G752" s="59"/>
      <c r="H752" s="60"/>
      <c r="I752" s="61"/>
      <c r="J752" s="52"/>
    </row>
    <row r="753" spans="1:10" x14ac:dyDescent="0.25">
      <c r="A753" s="53"/>
      <c r="B753" s="53"/>
      <c r="C753" s="56"/>
      <c r="D753" s="57"/>
      <c r="E753" s="59"/>
      <c r="F753" s="59"/>
      <c r="G753" s="59"/>
      <c r="H753" s="60"/>
      <c r="I753" s="61"/>
      <c r="J753" s="52"/>
    </row>
    <row r="754" spans="1:10" x14ac:dyDescent="0.25">
      <c r="A754" s="53"/>
      <c r="B754" s="53"/>
      <c r="C754" s="56"/>
      <c r="D754" s="57"/>
      <c r="E754" s="59"/>
      <c r="F754" s="59"/>
      <c r="G754" s="59"/>
      <c r="H754" s="60"/>
      <c r="I754" s="61"/>
      <c r="J754" s="52"/>
    </row>
    <row r="755" spans="1:10" x14ac:dyDescent="0.25">
      <c r="A755" s="53"/>
      <c r="B755" s="53"/>
      <c r="C755" s="56"/>
      <c r="D755" s="57"/>
      <c r="E755" s="59"/>
      <c r="F755" s="59"/>
      <c r="G755" s="59"/>
      <c r="H755" s="60"/>
      <c r="I755" s="61"/>
      <c r="J755" s="52"/>
    </row>
    <row r="756" spans="1:10" x14ac:dyDescent="0.25">
      <c r="A756" s="53"/>
      <c r="B756" s="53"/>
      <c r="C756" s="56"/>
      <c r="D756" s="57"/>
      <c r="E756" s="59"/>
      <c r="F756" s="59"/>
      <c r="G756" s="59"/>
      <c r="H756" s="60"/>
      <c r="I756" s="61"/>
      <c r="J756" s="52"/>
    </row>
    <row r="757" spans="1:10" x14ac:dyDescent="0.25">
      <c r="A757" s="53"/>
      <c r="B757" s="53"/>
      <c r="C757" s="56"/>
      <c r="D757" s="57"/>
      <c r="E757" s="59"/>
      <c r="F757" s="59"/>
      <c r="G757" s="59"/>
      <c r="H757" s="60"/>
      <c r="I757" s="61"/>
      <c r="J757" s="52"/>
    </row>
    <row r="758" spans="1:10" x14ac:dyDescent="0.25">
      <c r="A758" s="53"/>
      <c r="B758" s="53"/>
      <c r="C758" s="56"/>
      <c r="D758" s="57"/>
      <c r="E758" s="59"/>
      <c r="F758" s="59"/>
      <c r="G758" s="59"/>
      <c r="H758" s="60"/>
      <c r="I758" s="61"/>
      <c r="J758" s="52"/>
    </row>
    <row r="759" spans="1:10" x14ac:dyDescent="0.25">
      <c r="A759" s="53"/>
      <c r="B759" s="53"/>
      <c r="C759" s="56"/>
      <c r="D759" s="57"/>
      <c r="E759" s="59"/>
      <c r="F759" s="59"/>
      <c r="G759" s="59"/>
      <c r="H759" s="60"/>
      <c r="I759" s="61"/>
      <c r="J759" s="52"/>
    </row>
    <row r="760" spans="1:10" x14ac:dyDescent="0.25">
      <c r="A760" s="53"/>
      <c r="B760" s="53"/>
      <c r="C760" s="56"/>
      <c r="D760" s="57"/>
      <c r="E760" s="59"/>
      <c r="F760" s="59"/>
      <c r="G760" s="59"/>
      <c r="H760" s="60"/>
      <c r="I760" s="61"/>
      <c r="J760" s="52"/>
    </row>
    <row r="761" spans="1:10" x14ac:dyDescent="0.25">
      <c r="A761" s="53"/>
      <c r="B761" s="53"/>
      <c r="C761" s="56"/>
      <c r="D761" s="57"/>
      <c r="E761" s="59"/>
      <c r="F761" s="59"/>
      <c r="G761" s="59"/>
      <c r="H761" s="60"/>
      <c r="I761" s="61"/>
      <c r="J761" s="52"/>
    </row>
    <row r="762" spans="1:10" x14ac:dyDescent="0.25">
      <c r="A762" s="53"/>
      <c r="B762" s="53"/>
      <c r="C762" s="56"/>
      <c r="D762" s="57"/>
      <c r="E762" s="59"/>
      <c r="F762" s="59"/>
      <c r="G762" s="59"/>
      <c r="H762" s="60"/>
      <c r="I762" s="61"/>
      <c r="J762" s="52"/>
    </row>
    <row r="763" spans="1:10" x14ac:dyDescent="0.25">
      <c r="A763" s="53"/>
      <c r="B763" s="53"/>
      <c r="C763" s="56"/>
      <c r="D763" s="57"/>
      <c r="E763" s="59"/>
      <c r="F763" s="59"/>
      <c r="G763" s="59"/>
      <c r="H763" s="60"/>
      <c r="I763" s="61"/>
      <c r="J763" s="52"/>
    </row>
    <row r="764" spans="1:10" x14ac:dyDescent="0.25">
      <c r="A764" s="53"/>
      <c r="B764" s="53"/>
      <c r="C764" s="56"/>
      <c r="D764" s="57"/>
      <c r="E764" s="59"/>
      <c r="F764" s="59"/>
      <c r="G764" s="59"/>
      <c r="H764" s="60"/>
      <c r="I764" s="61"/>
      <c r="J764" s="52"/>
    </row>
    <row r="765" spans="1:10" x14ac:dyDescent="0.25">
      <c r="A765" s="53"/>
      <c r="B765" s="53"/>
      <c r="C765" s="56"/>
      <c r="D765" s="57"/>
      <c r="E765" s="59"/>
      <c r="F765" s="59"/>
      <c r="G765" s="59"/>
      <c r="H765" s="60"/>
      <c r="I765" s="61"/>
      <c r="J765" s="52"/>
    </row>
    <row r="766" spans="1:10" x14ac:dyDescent="0.25">
      <c r="A766" s="53"/>
      <c r="B766" s="53"/>
      <c r="C766" s="56"/>
      <c r="D766" s="57"/>
      <c r="E766" s="59"/>
      <c r="F766" s="59"/>
      <c r="G766" s="59"/>
      <c r="H766" s="60"/>
      <c r="I766" s="61"/>
      <c r="J766" s="52"/>
    </row>
    <row r="767" spans="1:10" x14ac:dyDescent="0.25">
      <c r="A767" s="53"/>
      <c r="B767" s="53"/>
      <c r="C767" s="56"/>
      <c r="D767" s="57"/>
      <c r="E767" s="59"/>
      <c r="F767" s="59"/>
      <c r="G767" s="59"/>
      <c r="H767" s="60"/>
      <c r="I767" s="61"/>
      <c r="J767" s="52"/>
    </row>
    <row r="768" spans="1:10" x14ac:dyDescent="0.25">
      <c r="A768" s="53"/>
      <c r="B768" s="53"/>
      <c r="C768" s="56"/>
      <c r="D768" s="57"/>
      <c r="E768" s="59"/>
      <c r="F768" s="59"/>
      <c r="G768" s="59"/>
      <c r="H768" s="60"/>
      <c r="I768" s="61"/>
      <c r="J768" s="52"/>
    </row>
  </sheetData>
  <mergeCells count="2">
    <mergeCell ref="F2:H2"/>
    <mergeCell ref="C2:E2"/>
  </mergeCells>
  <phoneticPr fontId="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58617-3531-42EB-BBB7-2A4A65B8B24F}">
  <dimension ref="A2:H39"/>
  <sheetViews>
    <sheetView showRowColHeaders="0" workbookViewId="0">
      <pane ySplit="3" topLeftCell="A4" activePane="bottomLeft" state="frozen"/>
      <selection pane="bottomLeft"/>
    </sheetView>
  </sheetViews>
  <sheetFormatPr defaultColWidth="8.85546875" defaultRowHeight="15.75" x14ac:dyDescent="0.25"/>
  <cols>
    <col min="1" max="2" width="14.7109375" style="75" customWidth="1"/>
    <col min="3" max="4" width="16.28515625" style="75" customWidth="1"/>
    <col min="5" max="7" width="11.7109375" style="75" customWidth="1"/>
    <col min="8" max="8" width="10.140625" style="75" bestFit="1" customWidth="1"/>
    <col min="9" max="16384" width="8.85546875" style="75"/>
  </cols>
  <sheetData>
    <row r="2" spans="1:8" ht="30.6" customHeight="1" x14ac:dyDescent="0.25">
      <c r="C2" s="209" t="s">
        <v>1116</v>
      </c>
      <c r="D2" s="211"/>
      <c r="E2" s="209" t="s">
        <v>1117</v>
      </c>
      <c r="F2" s="210"/>
      <c r="G2" s="211"/>
    </row>
    <row r="3" spans="1:8" ht="40.9" customHeight="1" x14ac:dyDescent="0.25">
      <c r="A3" s="73" t="s">
        <v>13</v>
      </c>
      <c r="B3" s="73" t="s">
        <v>12</v>
      </c>
      <c r="C3" s="73" t="s">
        <v>1111</v>
      </c>
      <c r="D3" s="73" t="s">
        <v>1112</v>
      </c>
      <c r="E3" s="73" t="s">
        <v>1113</v>
      </c>
      <c r="F3" s="73" t="s">
        <v>1114</v>
      </c>
      <c r="G3" s="73" t="s">
        <v>1155</v>
      </c>
    </row>
    <row r="4" spans="1:8" x14ac:dyDescent="0.25">
      <c r="A4" s="74">
        <v>2023</v>
      </c>
      <c r="B4" s="74" t="s">
        <v>0</v>
      </c>
      <c r="C4" s="77">
        <v>15000</v>
      </c>
      <c r="D4" s="78">
        <v>4</v>
      </c>
      <c r="E4" s="79">
        <v>0</v>
      </c>
      <c r="F4" s="80">
        <v>0.03</v>
      </c>
      <c r="G4" s="80">
        <v>0.05</v>
      </c>
      <c r="H4" s="76"/>
    </row>
    <row r="5" spans="1:8" x14ac:dyDescent="0.25">
      <c r="A5" s="74">
        <v>2023</v>
      </c>
      <c r="B5" s="74" t="s">
        <v>1</v>
      </c>
      <c r="C5" s="77">
        <v>15000</v>
      </c>
      <c r="D5" s="78">
        <v>4</v>
      </c>
      <c r="E5" s="79">
        <v>0</v>
      </c>
      <c r="F5" s="80">
        <v>0.03</v>
      </c>
      <c r="G5" s="80">
        <v>0.05</v>
      </c>
    </row>
    <row r="6" spans="1:8" x14ac:dyDescent="0.25">
      <c r="A6" s="74">
        <v>2023</v>
      </c>
      <c r="B6" s="74" t="s">
        <v>2</v>
      </c>
      <c r="C6" s="77">
        <v>15000</v>
      </c>
      <c r="D6" s="78">
        <v>4</v>
      </c>
      <c r="E6" s="79">
        <v>0</v>
      </c>
      <c r="F6" s="80">
        <v>0.03</v>
      </c>
      <c r="G6" s="80">
        <v>0.05</v>
      </c>
    </row>
    <row r="7" spans="1:8" x14ac:dyDescent="0.25">
      <c r="A7" s="74">
        <v>2023</v>
      </c>
      <c r="B7" s="74" t="s">
        <v>3</v>
      </c>
      <c r="C7" s="77">
        <v>15000</v>
      </c>
      <c r="D7" s="78">
        <v>4</v>
      </c>
      <c r="E7" s="79">
        <v>0</v>
      </c>
      <c r="F7" s="80">
        <v>0.03</v>
      </c>
      <c r="G7" s="80">
        <v>0.05</v>
      </c>
    </row>
    <row r="8" spans="1:8" x14ac:dyDescent="0.25">
      <c r="A8" s="74">
        <v>2023</v>
      </c>
      <c r="B8" s="74" t="s">
        <v>4</v>
      </c>
      <c r="C8" s="77">
        <v>15000</v>
      </c>
      <c r="D8" s="78">
        <v>4</v>
      </c>
      <c r="E8" s="79">
        <v>0</v>
      </c>
      <c r="F8" s="80">
        <v>0.03</v>
      </c>
      <c r="G8" s="80">
        <v>0.05</v>
      </c>
    </row>
    <row r="9" spans="1:8" x14ac:dyDescent="0.25">
      <c r="A9" s="74">
        <v>2023</v>
      </c>
      <c r="B9" s="74" t="s">
        <v>5</v>
      </c>
      <c r="C9" s="77">
        <v>15000</v>
      </c>
      <c r="D9" s="78">
        <v>4</v>
      </c>
      <c r="E9" s="79">
        <v>0</v>
      </c>
      <c r="F9" s="80">
        <v>0.03</v>
      </c>
      <c r="G9" s="80">
        <v>0.05</v>
      </c>
    </row>
    <row r="10" spans="1:8" x14ac:dyDescent="0.25">
      <c r="A10" s="74">
        <v>2023</v>
      </c>
      <c r="B10" s="74" t="s">
        <v>6</v>
      </c>
      <c r="C10" s="77">
        <v>15000</v>
      </c>
      <c r="D10" s="78">
        <v>4</v>
      </c>
      <c r="E10" s="79">
        <v>0</v>
      </c>
      <c r="F10" s="80">
        <v>0.03</v>
      </c>
      <c r="G10" s="80">
        <v>0.05</v>
      </c>
    </row>
    <row r="11" spans="1:8" x14ac:dyDescent="0.25">
      <c r="A11" s="74">
        <v>2023</v>
      </c>
      <c r="B11" s="74" t="s">
        <v>7</v>
      </c>
      <c r="C11" s="77">
        <v>15000</v>
      </c>
      <c r="D11" s="78">
        <v>4</v>
      </c>
      <c r="E11" s="79">
        <v>0</v>
      </c>
      <c r="F11" s="80">
        <v>0.03</v>
      </c>
      <c r="G11" s="80">
        <v>0.05</v>
      </c>
    </row>
    <row r="12" spans="1:8" x14ac:dyDescent="0.25">
      <c r="A12" s="74">
        <v>2023</v>
      </c>
      <c r="B12" s="74" t="s">
        <v>8</v>
      </c>
      <c r="C12" s="77">
        <v>15000</v>
      </c>
      <c r="D12" s="78">
        <v>4</v>
      </c>
      <c r="E12" s="79">
        <v>0</v>
      </c>
      <c r="F12" s="80">
        <v>0.03</v>
      </c>
      <c r="G12" s="80">
        <v>0.05</v>
      </c>
    </row>
    <row r="13" spans="1:8" x14ac:dyDescent="0.25">
      <c r="A13" s="74">
        <v>2023</v>
      </c>
      <c r="B13" s="74" t="s">
        <v>9</v>
      </c>
      <c r="C13" s="77">
        <v>15000</v>
      </c>
      <c r="D13" s="78">
        <v>4</v>
      </c>
      <c r="E13" s="79">
        <v>0</v>
      </c>
      <c r="F13" s="80">
        <v>0.03</v>
      </c>
      <c r="G13" s="80">
        <v>0.05</v>
      </c>
    </row>
    <row r="14" spans="1:8" x14ac:dyDescent="0.25">
      <c r="A14" s="74">
        <v>2023</v>
      </c>
      <c r="B14" s="74" t="s">
        <v>10</v>
      </c>
      <c r="C14" s="77">
        <v>15000</v>
      </c>
      <c r="D14" s="78">
        <v>4</v>
      </c>
      <c r="E14" s="79">
        <v>0</v>
      </c>
      <c r="F14" s="80">
        <v>0.03</v>
      </c>
      <c r="G14" s="80">
        <v>0.05</v>
      </c>
    </row>
    <row r="15" spans="1:8" x14ac:dyDescent="0.25">
      <c r="A15" s="74">
        <v>2023</v>
      </c>
      <c r="B15" s="74" t="s">
        <v>11</v>
      </c>
      <c r="C15" s="77">
        <v>15000</v>
      </c>
      <c r="D15" s="78">
        <v>4</v>
      </c>
      <c r="E15" s="79">
        <v>0</v>
      </c>
      <c r="F15" s="80">
        <v>0.03</v>
      </c>
      <c r="G15" s="80">
        <v>0.05</v>
      </c>
    </row>
    <row r="16" spans="1:8" x14ac:dyDescent="0.25">
      <c r="A16" s="74">
        <v>2024</v>
      </c>
      <c r="B16" s="74" t="s">
        <v>0</v>
      </c>
      <c r="C16" s="77">
        <v>15000</v>
      </c>
      <c r="D16" s="78">
        <v>4</v>
      </c>
      <c r="E16" s="79">
        <v>0</v>
      </c>
      <c r="F16" s="80">
        <v>0.03</v>
      </c>
      <c r="G16" s="80">
        <v>0.05</v>
      </c>
    </row>
    <row r="17" spans="1:7" x14ac:dyDescent="0.25">
      <c r="A17" s="74">
        <v>2024</v>
      </c>
      <c r="B17" s="74" t="s">
        <v>1</v>
      </c>
      <c r="C17" s="77">
        <v>15000</v>
      </c>
      <c r="D17" s="78">
        <v>4</v>
      </c>
      <c r="E17" s="79">
        <v>0</v>
      </c>
      <c r="F17" s="80">
        <v>0.03</v>
      </c>
      <c r="G17" s="80">
        <v>0.05</v>
      </c>
    </row>
    <row r="18" spans="1:7" x14ac:dyDescent="0.25">
      <c r="A18" s="74">
        <v>2024</v>
      </c>
      <c r="B18" s="74" t="s">
        <v>2</v>
      </c>
      <c r="C18" s="77">
        <v>15000</v>
      </c>
      <c r="D18" s="78">
        <v>4</v>
      </c>
      <c r="E18" s="79">
        <v>0</v>
      </c>
      <c r="F18" s="80">
        <v>0.03</v>
      </c>
      <c r="G18" s="80">
        <v>0.05</v>
      </c>
    </row>
    <row r="19" spans="1:7" x14ac:dyDescent="0.25">
      <c r="A19" s="74">
        <v>2024</v>
      </c>
      <c r="B19" s="74" t="s">
        <v>3</v>
      </c>
      <c r="C19" s="77">
        <v>15000</v>
      </c>
      <c r="D19" s="78">
        <v>4</v>
      </c>
      <c r="E19" s="79">
        <v>0</v>
      </c>
      <c r="F19" s="80">
        <v>0.03</v>
      </c>
      <c r="G19" s="80">
        <v>0.05</v>
      </c>
    </row>
    <row r="20" spans="1:7" x14ac:dyDescent="0.25">
      <c r="A20" s="74">
        <v>2024</v>
      </c>
      <c r="B20" s="74" t="s">
        <v>4</v>
      </c>
      <c r="C20" s="77">
        <v>15000</v>
      </c>
      <c r="D20" s="78">
        <v>4</v>
      </c>
      <c r="E20" s="79">
        <v>0</v>
      </c>
      <c r="F20" s="80">
        <v>0.03</v>
      </c>
      <c r="G20" s="80">
        <v>0.05</v>
      </c>
    </row>
    <row r="21" spans="1:7" x14ac:dyDescent="0.25">
      <c r="A21" s="74">
        <v>2024</v>
      </c>
      <c r="B21" s="74" t="s">
        <v>5</v>
      </c>
      <c r="C21" s="77">
        <v>15000</v>
      </c>
      <c r="D21" s="78">
        <v>4</v>
      </c>
      <c r="E21" s="79">
        <v>0</v>
      </c>
      <c r="F21" s="80">
        <v>0.03</v>
      </c>
      <c r="G21" s="80">
        <v>0.05</v>
      </c>
    </row>
    <row r="22" spans="1:7" x14ac:dyDescent="0.25">
      <c r="A22" s="74">
        <v>2024</v>
      </c>
      <c r="B22" s="74" t="s">
        <v>6</v>
      </c>
      <c r="C22" s="77">
        <v>15000</v>
      </c>
      <c r="D22" s="78">
        <v>4</v>
      </c>
      <c r="E22" s="79">
        <v>0</v>
      </c>
      <c r="F22" s="80">
        <v>0.03</v>
      </c>
      <c r="G22" s="80">
        <v>0.05</v>
      </c>
    </row>
    <row r="23" spans="1:7" x14ac:dyDescent="0.25">
      <c r="A23" s="74">
        <v>2024</v>
      </c>
      <c r="B23" s="74" t="s">
        <v>7</v>
      </c>
      <c r="C23" s="77">
        <v>15000</v>
      </c>
      <c r="D23" s="78">
        <v>4</v>
      </c>
      <c r="E23" s="79">
        <v>0</v>
      </c>
      <c r="F23" s="80">
        <v>0.03</v>
      </c>
      <c r="G23" s="80">
        <v>0.05</v>
      </c>
    </row>
    <row r="24" spans="1:7" x14ac:dyDescent="0.25">
      <c r="A24" s="74">
        <v>2024</v>
      </c>
      <c r="B24" s="74" t="s">
        <v>8</v>
      </c>
      <c r="C24" s="77">
        <v>15000</v>
      </c>
      <c r="D24" s="78">
        <v>4</v>
      </c>
      <c r="E24" s="79">
        <v>0</v>
      </c>
      <c r="F24" s="80">
        <v>0.03</v>
      </c>
      <c r="G24" s="80">
        <v>0.05</v>
      </c>
    </row>
    <row r="25" spans="1:7" x14ac:dyDescent="0.25">
      <c r="A25" s="74">
        <v>2024</v>
      </c>
      <c r="B25" s="74" t="s">
        <v>9</v>
      </c>
      <c r="C25" s="77">
        <v>15000</v>
      </c>
      <c r="D25" s="78">
        <v>4</v>
      </c>
      <c r="E25" s="79">
        <v>0</v>
      </c>
      <c r="F25" s="80">
        <v>0.03</v>
      </c>
      <c r="G25" s="80">
        <v>0.05</v>
      </c>
    </row>
    <row r="26" spans="1:7" x14ac:dyDescent="0.25">
      <c r="A26" s="74">
        <v>2024</v>
      </c>
      <c r="B26" s="74" t="s">
        <v>10</v>
      </c>
      <c r="C26" s="77">
        <v>15000</v>
      </c>
      <c r="D26" s="78">
        <v>4</v>
      </c>
      <c r="E26" s="79">
        <v>0</v>
      </c>
      <c r="F26" s="80">
        <v>0.03</v>
      </c>
      <c r="G26" s="80">
        <v>0.05</v>
      </c>
    </row>
    <row r="27" spans="1:7" x14ac:dyDescent="0.25">
      <c r="A27" s="74">
        <v>2024</v>
      </c>
      <c r="B27" s="74" t="s">
        <v>11</v>
      </c>
      <c r="C27" s="77">
        <v>15000</v>
      </c>
      <c r="D27" s="78">
        <v>4</v>
      </c>
      <c r="E27" s="79">
        <v>0</v>
      </c>
      <c r="F27" s="80">
        <v>0.03</v>
      </c>
      <c r="G27" s="80">
        <v>0.05</v>
      </c>
    </row>
    <row r="28" spans="1:7" x14ac:dyDescent="0.25">
      <c r="A28" s="74">
        <v>2025</v>
      </c>
      <c r="B28" s="74" t="s">
        <v>0</v>
      </c>
      <c r="C28" s="77">
        <v>15000</v>
      </c>
      <c r="D28" s="78">
        <v>4</v>
      </c>
      <c r="E28" s="79">
        <v>0</v>
      </c>
      <c r="F28" s="80">
        <v>0.03</v>
      </c>
      <c r="G28" s="80">
        <v>0.05</v>
      </c>
    </row>
    <row r="29" spans="1:7" x14ac:dyDescent="0.25">
      <c r="A29" s="74">
        <v>2025</v>
      </c>
      <c r="B29" s="74" t="s">
        <v>1</v>
      </c>
      <c r="C29" s="77">
        <v>15000</v>
      </c>
      <c r="D29" s="78">
        <v>4</v>
      </c>
      <c r="E29" s="79">
        <v>0</v>
      </c>
      <c r="F29" s="80">
        <v>0.03</v>
      </c>
      <c r="G29" s="80">
        <v>0.05</v>
      </c>
    </row>
    <row r="30" spans="1:7" x14ac:dyDescent="0.25">
      <c r="A30" s="74">
        <v>2025</v>
      </c>
      <c r="B30" s="74" t="s">
        <v>2</v>
      </c>
      <c r="C30" s="77">
        <v>15000</v>
      </c>
      <c r="D30" s="78">
        <v>4</v>
      </c>
      <c r="E30" s="79">
        <v>0</v>
      </c>
      <c r="F30" s="80">
        <v>0.03</v>
      </c>
      <c r="G30" s="80">
        <v>0.05</v>
      </c>
    </row>
    <row r="31" spans="1:7" x14ac:dyDescent="0.25">
      <c r="A31" s="74">
        <v>2025</v>
      </c>
      <c r="B31" s="74" t="s">
        <v>3</v>
      </c>
      <c r="C31" s="77">
        <v>15000</v>
      </c>
      <c r="D31" s="78">
        <v>4</v>
      </c>
      <c r="E31" s="79">
        <v>0</v>
      </c>
      <c r="F31" s="80">
        <v>0.03</v>
      </c>
      <c r="G31" s="80">
        <v>0.05</v>
      </c>
    </row>
    <row r="32" spans="1:7" x14ac:dyDescent="0.25">
      <c r="A32" s="74">
        <v>2025</v>
      </c>
      <c r="B32" s="74" t="s">
        <v>4</v>
      </c>
      <c r="C32" s="77">
        <v>15000</v>
      </c>
      <c r="D32" s="78">
        <v>4</v>
      </c>
      <c r="E32" s="79">
        <v>0</v>
      </c>
      <c r="F32" s="80">
        <v>0.03</v>
      </c>
      <c r="G32" s="80">
        <v>0.05</v>
      </c>
    </row>
    <row r="33" spans="1:7" x14ac:dyDescent="0.25">
      <c r="A33" s="74">
        <v>2025</v>
      </c>
      <c r="B33" s="74" t="s">
        <v>5</v>
      </c>
      <c r="C33" s="77">
        <v>15000</v>
      </c>
      <c r="D33" s="78">
        <v>4</v>
      </c>
      <c r="E33" s="79">
        <v>0</v>
      </c>
      <c r="F33" s="80">
        <v>0.03</v>
      </c>
      <c r="G33" s="80">
        <v>0.05</v>
      </c>
    </row>
    <row r="34" spans="1:7" x14ac:dyDescent="0.25">
      <c r="A34" s="74">
        <v>2025</v>
      </c>
      <c r="B34" s="74" t="s">
        <v>6</v>
      </c>
      <c r="C34" s="77">
        <v>15000</v>
      </c>
      <c r="D34" s="78">
        <v>4</v>
      </c>
      <c r="E34" s="79">
        <v>0</v>
      </c>
      <c r="F34" s="80">
        <v>0.03</v>
      </c>
      <c r="G34" s="80">
        <v>0.05</v>
      </c>
    </row>
    <row r="35" spans="1:7" x14ac:dyDescent="0.25">
      <c r="A35" s="74">
        <v>2025</v>
      </c>
      <c r="B35" s="74" t="s">
        <v>7</v>
      </c>
      <c r="C35" s="77">
        <v>15000</v>
      </c>
      <c r="D35" s="78">
        <v>4</v>
      </c>
      <c r="E35" s="79">
        <v>0</v>
      </c>
      <c r="F35" s="80">
        <v>0.03</v>
      </c>
      <c r="G35" s="80">
        <v>0.05</v>
      </c>
    </row>
    <row r="36" spans="1:7" x14ac:dyDescent="0.25">
      <c r="A36" s="74">
        <v>2025</v>
      </c>
      <c r="B36" s="74" t="s">
        <v>8</v>
      </c>
      <c r="C36" s="77">
        <v>15000</v>
      </c>
      <c r="D36" s="78">
        <v>4</v>
      </c>
      <c r="E36" s="79">
        <v>0</v>
      </c>
      <c r="F36" s="80">
        <v>0.03</v>
      </c>
      <c r="G36" s="80">
        <v>0.05</v>
      </c>
    </row>
    <row r="37" spans="1:7" x14ac:dyDescent="0.25">
      <c r="A37" s="74">
        <v>2025</v>
      </c>
      <c r="B37" s="74" t="s">
        <v>9</v>
      </c>
      <c r="C37" s="77">
        <v>15000</v>
      </c>
      <c r="D37" s="78">
        <v>4</v>
      </c>
      <c r="E37" s="79">
        <v>0</v>
      </c>
      <c r="F37" s="80">
        <v>0.03</v>
      </c>
      <c r="G37" s="80">
        <v>0.05</v>
      </c>
    </row>
    <row r="38" spans="1:7" x14ac:dyDescent="0.25">
      <c r="A38" s="74">
        <v>2025</v>
      </c>
      <c r="B38" s="74" t="s">
        <v>10</v>
      </c>
      <c r="C38" s="77">
        <v>15000</v>
      </c>
      <c r="D38" s="78">
        <v>4</v>
      </c>
      <c r="E38" s="79">
        <v>0</v>
      </c>
      <c r="F38" s="80">
        <v>0.03</v>
      </c>
      <c r="G38" s="80">
        <v>0.05</v>
      </c>
    </row>
    <row r="39" spans="1:7" x14ac:dyDescent="0.25">
      <c r="A39" s="74">
        <v>2025</v>
      </c>
      <c r="B39" s="74" t="s">
        <v>11</v>
      </c>
      <c r="C39" s="77">
        <v>15000</v>
      </c>
      <c r="D39" s="78">
        <v>4</v>
      </c>
      <c r="E39" s="79">
        <v>0</v>
      </c>
      <c r="F39" s="80">
        <v>0.03</v>
      </c>
      <c r="G39" s="80">
        <v>0.05</v>
      </c>
    </row>
  </sheetData>
  <mergeCells count="2">
    <mergeCell ref="E2:G2"/>
    <mergeCell ref="C2:D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DASHBOARD</vt:lpstr>
      <vt:lpstr>ALL ORDERS</vt:lpstr>
      <vt:lpstr>ORDER</vt:lpstr>
      <vt:lpstr>Control</vt:lpstr>
      <vt:lpstr>Personnel</vt:lpstr>
      <vt:lpstr>Processing</vt:lpstr>
      <vt:lpstr>Today</vt:lpstr>
      <vt:lpstr>Data</vt:lpstr>
      <vt:lpstr>EMPLOYEES</vt:lpstr>
      <vt:lpstr>BALANCE</vt:lpstr>
      <vt:lpstr>SERVICES PROVIDED</vt:lpstr>
      <vt:lpstr>ADDEMPLOYEES</vt:lpstr>
      <vt:lpstr>Customer Database</vt:lpstr>
      <vt:lpstr>Employee Database</vt:lpstr>
      <vt:lpstr>KPI</vt:lpstr>
      <vt:lpstr>dborders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2023-09-25T11:52:54Z</dcterms:created>
  <dcterms:modified xsi:type="dcterms:W3CDTF">2026-09-18T10:29:53Z</dcterms:modified>
</cp:coreProperties>
</file>