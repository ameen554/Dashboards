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65/"/>
    </mc:Choice>
  </mc:AlternateContent>
  <xr:revisionPtr revIDLastSave="1" documentId="13_ncr:1_{2CB6BB84-11B1-4FD0-A842-DEFAF046FDAC}" xr6:coauthVersionLast="47" xr6:coauthVersionMax="47" xr10:uidLastSave="{EEE0ED02-34CB-40E0-9138-43FE32CEB1D4}"/>
  <bookViews>
    <workbookView xWindow="-120" yWindow="-120" windowWidth="20730" windowHeight="11310" xr2:uid="{4D7F08E0-E7A2-40BA-A48B-43F839C0CF44}"/>
  </bookViews>
  <sheets>
    <sheet name="DASHBOARD" sheetId="1" r:id="rId1"/>
    <sheet name="Processing" sheetId="3" r:id="rId2"/>
    <sheet name="Control" sheetId="5" r:id="rId3"/>
    <sheet name="Data" sheetId="4" r:id="rId4"/>
    <sheet name="R" sheetId="2" r:id="rId5"/>
  </sheets>
  <definedNames>
    <definedName name="Slicer_Employee_Categories">#N/A</definedName>
    <definedName name="Slicer_Month">#N/A</definedName>
    <definedName name="Slicer_Year">#N/A</definedName>
  </definedNames>
  <calcPr calcId="191029"/>
  <pivotCaches>
    <pivotCache cacheId="1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3" l="1"/>
  <c r="B5" i="3"/>
  <c r="B32" i="3"/>
  <c r="I25" i="3"/>
  <c r="H8" i="3"/>
  <c r="J21" i="3"/>
  <c r="J24" i="3"/>
  <c r="I17" i="3"/>
  <c r="B7" i="3"/>
  <c r="F23" i="3"/>
  <c r="H6" i="3"/>
  <c r="B12" i="3"/>
  <c r="B3" i="3"/>
  <c r="I20" i="3"/>
  <c r="F27" i="3"/>
  <c r="J26" i="3"/>
  <c r="H11" i="3"/>
  <c r="F19" i="3"/>
  <c r="D19" i="3"/>
  <c r="H10" i="3"/>
  <c r="B6" i="3"/>
  <c r="J18" i="3"/>
  <c r="K4" i="3"/>
  <c r="I24" i="3"/>
  <c r="Q1" i="3"/>
  <c r="J25" i="3"/>
  <c r="D16" i="3"/>
  <c r="B8" i="3"/>
  <c r="B9" i="3"/>
  <c r="B13" i="3"/>
  <c r="I21" i="3"/>
  <c r="H3" i="3"/>
  <c r="D25" i="3"/>
  <c r="D23" i="3"/>
  <c r="K1" i="3"/>
  <c r="D21" i="3"/>
  <c r="J23" i="3"/>
  <c r="K3" i="3"/>
  <c r="B34" i="3"/>
  <c r="I28" i="3"/>
  <c r="H9" i="3"/>
  <c r="J16" i="3"/>
  <c r="J19" i="3"/>
  <c r="D26" i="3"/>
  <c r="F22" i="3"/>
  <c r="J22" i="3"/>
  <c r="B33" i="3"/>
  <c r="F24" i="3"/>
  <c r="D24" i="3"/>
  <c r="B35" i="3"/>
  <c r="B4" i="3"/>
  <c r="I22" i="3"/>
  <c r="H4" i="3"/>
  <c r="B10" i="3"/>
  <c r="F17" i="3"/>
  <c r="H5" i="3"/>
  <c r="D27" i="3"/>
  <c r="I16" i="3"/>
  <c r="F20" i="3"/>
  <c r="F26" i="3"/>
  <c r="F25" i="3"/>
  <c r="I27" i="3"/>
  <c r="I23" i="3"/>
  <c r="F18" i="3"/>
  <c r="I26" i="3"/>
  <c r="D22" i="3"/>
  <c r="D18" i="3"/>
  <c r="D17" i="3"/>
  <c r="D20" i="3"/>
  <c r="I19" i="3"/>
  <c r="J27" i="3"/>
  <c r="F16" i="3"/>
  <c r="J20" i="3"/>
  <c r="F21" i="3"/>
  <c r="H7" i="3"/>
  <c r="J17" i="3"/>
  <c r="I18" i="3"/>
  <c r="J28" i="3"/>
  <c r="C27" i="3"/>
  <c r="B11" i="3" l="1" a="1"/>
  <c r="K16" i="3"/>
  <c r="K25" i="3"/>
  <c r="K17" i="3"/>
  <c r="K24" i="3"/>
  <c r="K23" i="3"/>
  <c r="K18" i="3"/>
  <c r="K22" i="3"/>
  <c r="K20" i="3"/>
  <c r="K26" i="3"/>
  <c r="K21" i="3"/>
  <c r="K27" i="3"/>
  <c r="K19" i="3"/>
  <c r="E27" i="3"/>
  <c r="E17" i="3"/>
  <c r="B16" i="3"/>
  <c r="B18" i="3"/>
  <c r="B21" i="3"/>
  <c r="C22" i="3"/>
  <c r="C23" i="3"/>
  <c r="C21" i="3"/>
  <c r="B25" i="3"/>
  <c r="B22" i="3"/>
  <c r="B17" i="3"/>
  <c r="C25" i="3"/>
  <c r="C19" i="3"/>
  <c r="C26" i="3"/>
  <c r="C24" i="3"/>
  <c r="B23" i="3"/>
  <c r="C18" i="3"/>
  <c r="B27" i="3"/>
  <c r="B19" i="3"/>
  <c r="C17" i="3"/>
  <c r="C16" i="3"/>
  <c r="B26" i="3"/>
  <c r="B24" i="3"/>
  <c r="C20" i="3"/>
  <c r="B20" i="3"/>
  <c r="E26" i="3" l="1"/>
  <c r="E25" i="3"/>
  <c r="E23" i="3"/>
  <c r="E24" i="3"/>
  <c r="E18" i="3"/>
  <c r="E21" i="3"/>
  <c r="E22" i="3"/>
  <c r="E19" i="3"/>
  <c r="E16" i="3"/>
  <c r="E20" i="3"/>
  <c r="C11" i="3"/>
  <c r="D11" i="3"/>
  <c r="E11" i="3"/>
  <c r="F11" i="3"/>
  <c r="G11" i="3"/>
  <c r="K8" i="3" l="1"/>
  <c r="K7" i="3"/>
  <c r="K6" i="3"/>
  <c r="K5" i="3"/>
  <c r="Q2" i="3"/>
  <c r="Q3" i="3" s="1"/>
  <c r="Q4" i="3" s="1"/>
  <c r="L5" i="3"/>
  <c r="M5" i="3" s="1"/>
  <c r="L6" i="3"/>
  <c r="M6" i="3" s="1"/>
  <c r="M4" i="3"/>
  <c r="L4" i="3"/>
  <c r="M3" i="3"/>
  <c r="L3" i="3"/>
  <c r="M1" i="3"/>
  <c r="O1" i="3" s="1"/>
  <c r="L1" i="3"/>
  <c r="N1" i="3" s="1"/>
  <c r="R2" i="3" l="1"/>
  <c r="R3" i="3" s="1"/>
  <c r="R4" i="3" s="1"/>
  <c r="C4" i="3" l="1"/>
  <c r="D4" i="3"/>
  <c r="E4" i="3"/>
  <c r="F4" i="3"/>
  <c r="G4" i="3"/>
  <c r="C5" i="3"/>
  <c r="D5" i="3"/>
  <c r="E5" i="3"/>
  <c r="F5" i="3"/>
  <c r="G5" i="3"/>
  <c r="C6" i="3"/>
  <c r="D6" i="3"/>
  <c r="E6" i="3"/>
  <c r="F6" i="3"/>
  <c r="G6" i="3"/>
  <c r="C7" i="3"/>
  <c r="D7" i="3"/>
  <c r="E7" i="3"/>
  <c r="F7" i="3"/>
  <c r="G7" i="3"/>
  <c r="C8" i="3"/>
  <c r="D8" i="3"/>
  <c r="E8" i="3"/>
  <c r="F8" i="3"/>
  <c r="G8" i="3"/>
  <c r="C9" i="3"/>
  <c r="D9" i="3"/>
  <c r="E9" i="3"/>
  <c r="F9" i="3"/>
  <c r="G9" i="3"/>
  <c r="C10" i="3"/>
  <c r="D10" i="3"/>
  <c r="E10" i="3"/>
  <c r="F10" i="3"/>
  <c r="G10" i="3"/>
  <c r="C3" i="3"/>
  <c r="D3" i="3"/>
  <c r="E3" i="3"/>
  <c r="F3" i="3"/>
  <c r="G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<sst xmlns="http://schemas.openxmlformats.org/spreadsheetml/2006/main" count="910" uniqueCount="72">
  <si>
    <t>JAN</t>
  </si>
  <si>
    <t>FEB</t>
  </si>
  <si>
    <t>MAR</t>
  </si>
  <si>
    <t>APR</t>
  </si>
  <si>
    <t>MAY</t>
  </si>
  <si>
    <t>JUN</t>
  </si>
  <si>
    <t>JUL</t>
  </si>
  <si>
    <t>AUG</t>
  </si>
  <si>
    <t>SEP</t>
  </si>
  <si>
    <t>OCT</t>
  </si>
  <si>
    <t>NOV</t>
  </si>
  <si>
    <t>DEC</t>
  </si>
  <si>
    <t>Base Salary</t>
  </si>
  <si>
    <t>Bonuses</t>
  </si>
  <si>
    <t>Current Month</t>
  </si>
  <si>
    <t>Service Staff</t>
  </si>
  <si>
    <t>Executives</t>
  </si>
  <si>
    <t>Admin</t>
  </si>
  <si>
    <t>Sales Reps</t>
  </si>
  <si>
    <t>Operations</t>
  </si>
  <si>
    <t>Remote</t>
  </si>
  <si>
    <t>Contractors</t>
  </si>
  <si>
    <t>Outsourcing</t>
  </si>
  <si>
    <t>Employee Categories</t>
  </si>
  <si>
    <t>Fixed Costs</t>
  </si>
  <si>
    <t>Supplementary Pay</t>
  </si>
  <si>
    <t>Productivity</t>
  </si>
  <si>
    <t>Employee Satisfaction</t>
  </si>
  <si>
    <t>Employee Productivity</t>
  </si>
  <si>
    <t>Task Deadline Compliance</t>
  </si>
  <si>
    <t>Employee Performance</t>
  </si>
  <si>
    <t>Cost Structure and Productivity</t>
  </si>
  <si>
    <t>Label 2</t>
  </si>
  <si>
    <t>Label 1</t>
  </si>
  <si>
    <t>Year</t>
  </si>
  <si>
    <t>Month</t>
  </si>
  <si>
    <t>Budget Fulfillment</t>
  </si>
  <si>
    <t>Row Labels</t>
  </si>
  <si>
    <t>Grand Total</t>
  </si>
  <si>
    <t>Sum of Fixed Costs</t>
  </si>
  <si>
    <t>Sum of Supplementary Pay</t>
  </si>
  <si>
    <t>Average of Productivity</t>
  </si>
  <si>
    <t>Sum of TotalCost</t>
  </si>
  <si>
    <t>Sum of Base Salary</t>
  </si>
  <si>
    <t>Sum of Bonuses</t>
  </si>
  <si>
    <t>Average of Budget Fulfillment</t>
  </si>
  <si>
    <t>Average of Employee Productivity</t>
  </si>
  <si>
    <t>Average of Employee Satisfaction</t>
  </si>
  <si>
    <t>Average of Task Deadline Compliance</t>
  </si>
  <si>
    <t>MAX</t>
  </si>
  <si>
    <t>Sum of for max</t>
  </si>
  <si>
    <t>Total</t>
  </si>
  <si>
    <t>8B6DFF</t>
  </si>
  <si>
    <t>673FFF</t>
  </si>
  <si>
    <t>09CA4F</t>
  </si>
  <si>
    <t>72F46A</t>
  </si>
  <si>
    <t>06C9D0</t>
  </si>
  <si>
    <t>03E3C7</t>
  </si>
  <si>
    <t>03AEFF</t>
  </si>
  <si>
    <t>1794FF</t>
  </si>
  <si>
    <t>#FF1492</t>
  </si>
  <si>
    <t>#FF6CFF</t>
  </si>
  <si>
    <t>7A0D82</t>
  </si>
  <si>
    <t>#00405A</t>
  </si>
  <si>
    <t>62A3D6</t>
  </si>
  <si>
    <t>Label1</t>
  </si>
  <si>
    <t>Label2</t>
  </si>
  <si>
    <t>Label3</t>
  </si>
  <si>
    <t>Label4</t>
  </si>
  <si>
    <t>Payroll vs. Extra Pay</t>
  </si>
  <si>
    <t>Satisfaction</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</si>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</sst>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6"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1"/>
      <color rgb="FF000000"/>
      <name val="Aptos Narrow"/>
      <family val="2"/>
      <charset val="1"/>
      <scheme val="minor"/>
    </font>
    <font>
      <u/>
      <sz val="11"/>
      <color theme="10"/>
      <name val="Aptos Narrow"/>
      <family val="2"/>
      <scheme val="minor"/>
    </font>
  </fonts>
  <fills count="19">
    <fill>
      <patternFill patternType="none"/>
    </fill>
    <fill>
      <patternFill patternType="gray125"/>
    </fill>
    <fill>
      <patternFill patternType="solid">
        <fgColor theme="1"/>
        <bgColor indexed="64"/>
      </patternFill>
    </fill>
    <fill>
      <patternFill patternType="solid">
        <fgColor rgb="FF8B6DFF"/>
        <bgColor indexed="64"/>
      </patternFill>
    </fill>
    <fill>
      <patternFill patternType="solid">
        <fgColor rgb="FF6B45FF"/>
        <bgColor indexed="64"/>
      </patternFill>
    </fill>
    <fill>
      <patternFill patternType="solid">
        <fgColor rgb="FF72F36A"/>
        <bgColor indexed="64"/>
      </patternFill>
    </fill>
    <fill>
      <patternFill patternType="solid">
        <fgColor rgb="FF09CA4F"/>
        <bgColor indexed="64"/>
      </patternFill>
    </fill>
    <fill>
      <patternFill patternType="solid">
        <fgColor rgb="FF04D8CC"/>
        <bgColor indexed="64"/>
      </patternFill>
    </fill>
    <fill>
      <patternFill patternType="solid">
        <fgColor rgb="FF06C9D0"/>
        <bgColor indexed="64"/>
      </patternFill>
    </fill>
    <fill>
      <patternFill patternType="solid">
        <fgColor rgb="FF03AEFF"/>
        <bgColor indexed="64"/>
      </patternFill>
    </fill>
    <fill>
      <patternFill patternType="solid">
        <fgColor rgb="FF1794FF"/>
        <bgColor indexed="64"/>
      </patternFill>
    </fill>
    <fill>
      <patternFill patternType="solid">
        <fgColor rgb="FFFF1492"/>
        <bgColor indexed="64"/>
      </patternFill>
    </fill>
    <fill>
      <patternFill patternType="solid">
        <fgColor rgb="FFFFFF00"/>
        <bgColor indexed="64"/>
      </patternFill>
    </fill>
    <fill>
      <patternFill patternType="solid">
        <fgColor rgb="FFFF6CFF"/>
        <bgColor indexed="64"/>
      </patternFill>
    </fill>
    <fill>
      <patternFill patternType="solid">
        <fgColor rgb="FF7A0D82"/>
        <bgColor indexed="64"/>
      </patternFill>
    </fill>
    <fill>
      <patternFill patternType="solid">
        <fgColor rgb="FF00405A"/>
        <bgColor indexed="64"/>
      </patternFill>
    </fill>
    <fill>
      <patternFill patternType="solid">
        <fgColor rgb="FF62A3D6"/>
        <bgColor indexed="64"/>
      </patternFill>
    </fill>
    <fill>
      <patternFill patternType="solid">
        <fgColor rgb="FF246691"/>
        <bgColor indexed="64"/>
      </patternFill>
    </fill>
    <fill>
      <patternFill patternType="solid">
        <fgColor rgb="FF021428"/>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39">
    <xf numFmtId="0" fontId="0" fillId="0" borderId="0" xfId="0"/>
    <xf numFmtId="0" fontId="0" fillId="2" borderId="0" xfId="0" applyFill="1"/>
    <xf numFmtId="9" fontId="0" fillId="0" borderId="0" xfId="0" applyNumberFormat="1"/>
    <xf numFmtId="9"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xf>
    <xf numFmtId="0" fontId="3" fillId="0" borderId="0" xfId="0" applyFont="1" applyAlignment="1">
      <alignment horizontal="center"/>
    </xf>
    <xf numFmtId="0" fontId="3" fillId="0" borderId="0" xfId="0" applyFont="1"/>
    <xf numFmtId="10" fontId="0" fillId="0" borderId="0" xfId="0" applyNumberFormat="1" applyAlignment="1">
      <alignment horizontal="center"/>
    </xf>
    <xf numFmtId="0" fontId="0" fillId="0" borderId="0" xfId="0" applyAlignment="1">
      <alignment horizontal="right"/>
    </xf>
    <xf numFmtId="3" fontId="0" fillId="0" borderId="0" xfId="0" applyNumberFormat="1" applyAlignment="1">
      <alignment horizontal="center"/>
    </xf>
    <xf numFmtId="3" fontId="0" fillId="0" borderId="0" xfId="0" applyNumberFormat="1"/>
    <xf numFmtId="0" fontId="0" fillId="0" borderId="0" xfId="0" applyAlignment="1">
      <alignment horizontal="left"/>
    </xf>
    <xf numFmtId="9" fontId="4" fillId="0" borderId="0" xfId="1" applyFont="1" applyAlignment="1">
      <alignment horizontal="center"/>
    </xf>
    <xf numFmtId="0" fontId="3" fillId="0" borderId="0" xfId="0" applyFont="1" applyAlignment="1">
      <alignment horizontal="center" vertical="center" wrapText="1"/>
    </xf>
    <xf numFmtId="9" fontId="3" fillId="0" borderId="0" xfId="1" applyFont="1" applyAlignment="1">
      <alignment horizontal="center" vertical="center" wrapText="1"/>
    </xf>
    <xf numFmtId="0" fontId="0" fillId="0" borderId="0" xfId="0" pivotButton="1"/>
    <xf numFmtId="164" fontId="0" fillId="0" borderId="0" xfId="2" applyNumberFormat="1"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5" fillId="0" borderId="0" xfId="3"/>
    <xf numFmtId="0" fontId="5" fillId="0" borderId="0" xfId="3" applyAlignment="1">
      <alignment horizontal="center"/>
    </xf>
    <xf numFmtId="0" fontId="5" fillId="2" borderId="0" xfId="3" applyFill="1"/>
    <xf numFmtId="0" fontId="5" fillId="0" borderId="0" xfId="3"/>
    <xf numFmtId="0" fontId="0" fillId="0" borderId="0" xfId="0" applyNumberFormat="1"/>
  </cellXfs>
  <cellStyles count="4">
    <cellStyle name="Currency" xfId="2" builtinId="4"/>
    <cellStyle name="Hyperlink" xfId="3" builtinId="8"/>
    <cellStyle name="Normal" xfId="0" builtinId="0"/>
    <cellStyle name="Percent" xfId="1" builtinId="5"/>
  </cellStyles>
  <dxfs count="14">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ptos Narrow"/>
        <family val="2"/>
        <charset val="1"/>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4"/>
        </bottom>
        <vertical/>
        <horizontal/>
      </border>
    </dxf>
    <dxf>
      <font>
        <color theme="1"/>
      </font>
      <fill>
        <patternFill>
          <bgColor rgb="FF021428"/>
        </patternFill>
      </fill>
      <border diagonalUp="0" diagonalDown="0">
        <left/>
        <right/>
        <top/>
        <bottom/>
        <vertical/>
        <horizontal/>
      </border>
    </dxf>
  </dxfs>
  <tableStyles count="1" defaultTableStyle="TableStyleMedium2" defaultPivotStyle="PivotStyleLight16">
    <tableStyle name="SlicerStyleLight1 2" pivot="0" table="0" count="10" xr9:uid="{B42E5716-BBB4-420F-9EA1-78E093FC08F6}">
      <tableStyleElement type="wholeTable" dxfId="13"/>
      <tableStyleElement type="headerRow" dxfId="12"/>
    </tableStyle>
  </tableStyles>
  <colors>
    <mruColors>
      <color rgb="FF006086"/>
      <color rgb="FFFF6CFF"/>
      <color rgb="FF021428"/>
      <color rgb="FF00405A"/>
      <color rgb="FF246691"/>
      <color rgb="FF62A3D6"/>
      <color rgb="FF7A0D82"/>
      <color rgb="FFFF1492"/>
      <color rgb="FF1794FF"/>
      <color rgb="FF03AE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2142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34998626667073579"/>
          </font>
          <fill>
            <patternFill patternType="solid">
              <fgColor rgb="FFFFFFFF"/>
              <bgColor rgb="FF02142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D6A0-4651-BE29-791359DBC7A9}"/>
              </c:ext>
            </c:extLst>
          </c:dPt>
          <c:dPt>
            <c:idx val="1"/>
            <c:bubble3D val="0"/>
            <c:spPr>
              <a:solidFill>
                <a:schemeClr val="bg1">
                  <a:alpha val="70000"/>
                </a:schemeClr>
              </a:solidFill>
              <a:ln w="19050">
                <a:noFill/>
              </a:ln>
              <a:effectLst/>
            </c:spPr>
            <c:extLst>
              <c:ext xmlns:c16="http://schemas.microsoft.com/office/drawing/2014/chart" uri="{C3380CC4-5D6E-409C-BE32-E72D297353CC}">
                <c16:uniqueId val="{00000003-D6A0-4651-BE29-791359DBC7A9}"/>
              </c:ext>
            </c:extLst>
          </c:dPt>
          <c:dPt>
            <c:idx val="2"/>
            <c:bubble3D val="0"/>
            <c:spPr>
              <a:solidFill>
                <a:srgbClr val="021428">
                  <a:alpha val="82000"/>
                </a:srgbClr>
              </a:solidFill>
              <a:ln w="19050">
                <a:noFill/>
              </a:ln>
              <a:effectLst/>
            </c:spPr>
            <c:extLst>
              <c:ext xmlns:c16="http://schemas.microsoft.com/office/drawing/2014/chart" uri="{C3380CC4-5D6E-409C-BE32-E72D297353CC}">
                <c16:uniqueId val="{00000005-D6A0-4651-BE29-791359DBC7A9}"/>
              </c:ext>
            </c:extLst>
          </c:dPt>
          <c:dPt>
            <c:idx val="3"/>
            <c:bubble3D val="0"/>
            <c:spPr>
              <a:noFill/>
              <a:ln w="19050">
                <a:noFill/>
              </a:ln>
              <a:effectLst/>
            </c:spPr>
            <c:extLst>
              <c:ext xmlns:c16="http://schemas.microsoft.com/office/drawing/2014/chart" uri="{C3380CC4-5D6E-409C-BE32-E72D297353CC}">
                <c16:uniqueId val="{00000006-5589-4E52-BABD-D25FB60842D7}"/>
              </c:ext>
            </c:extLst>
          </c:dPt>
          <c:val>
            <c:numRef>
              <c:f>Processing!$L$1:$O$1</c:f>
              <c:numCache>
                <c:formatCode>0.00%</c:formatCode>
                <c:ptCount val="4"/>
                <c:pt idx="0" formatCode="0%">
                  <c:v>0.59999999999999964</c:v>
                </c:pt>
                <c:pt idx="1">
                  <c:v>2E-3</c:v>
                </c:pt>
                <c:pt idx="2" formatCode="0%">
                  <c:v>0.40000000000000036</c:v>
                </c:pt>
                <c:pt idx="3" formatCode="0%">
                  <c:v>0</c:v>
                </c:pt>
              </c:numCache>
            </c:numRef>
          </c:val>
          <c:extLst>
            <c:ext xmlns:c16="http://schemas.microsoft.com/office/drawing/2014/chart" uri="{C3380CC4-5D6E-409C-BE32-E72D297353CC}">
              <c16:uniqueId val="{00000006-D6A0-4651-BE29-791359DBC7A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D447E"/>
              </a:solidFill>
              <a:ln w="19050">
                <a:noFill/>
              </a:ln>
              <a:effectLst/>
            </c:spPr>
            <c:extLst>
              <c:ext xmlns:c16="http://schemas.microsoft.com/office/drawing/2014/chart" uri="{C3380CC4-5D6E-409C-BE32-E72D297353CC}">
                <c16:uniqueId val="{00000001-BC97-4061-B13E-1015EB7AA82E}"/>
              </c:ext>
            </c:extLst>
          </c:dPt>
          <c:dPt>
            <c:idx val="1"/>
            <c:bubble3D val="0"/>
            <c:spPr>
              <a:noFill/>
              <a:ln w="19050">
                <a:noFill/>
              </a:ln>
              <a:effectLst/>
            </c:spPr>
            <c:extLst>
              <c:ext xmlns:c16="http://schemas.microsoft.com/office/drawing/2014/chart" uri="{C3380CC4-5D6E-409C-BE32-E72D297353CC}">
                <c16:uniqueId val="{00000003-BC97-4061-B13E-1015EB7AA82E}"/>
              </c:ext>
            </c:extLst>
          </c:dPt>
          <c:val>
            <c:numRef>
              <c:f>Processing!$L$5:$M$5</c:f>
              <c:numCache>
                <c:formatCode>0%</c:formatCode>
                <c:ptCount val="2"/>
                <c:pt idx="0">
                  <c:v>0</c:v>
                </c:pt>
                <c:pt idx="1">
                  <c:v>0</c:v>
                </c:pt>
              </c:numCache>
            </c:numRef>
          </c:val>
          <c:extLst>
            <c:ext xmlns:c16="http://schemas.microsoft.com/office/drawing/2014/chart" uri="{C3380CC4-5D6E-409C-BE32-E72D297353CC}">
              <c16:uniqueId val="{00000004-BC97-4061-B13E-1015EB7AA82E}"/>
            </c:ext>
          </c:extLst>
        </c:ser>
        <c:ser>
          <c:idx val="1"/>
          <c:order val="1"/>
          <c:spPr>
            <a:ln>
              <a:noFill/>
            </a:ln>
          </c:spPr>
          <c:dPt>
            <c:idx val="0"/>
            <c:bubble3D val="0"/>
            <c:spPr>
              <a:solidFill>
                <a:srgbClr val="FFE202"/>
              </a:solidFill>
              <a:ln w="19050">
                <a:noFill/>
              </a:ln>
              <a:effectLst/>
            </c:spPr>
            <c:extLst>
              <c:ext xmlns:c16="http://schemas.microsoft.com/office/drawing/2014/chart" uri="{C3380CC4-5D6E-409C-BE32-E72D297353CC}">
                <c16:uniqueId val="{00000006-BC97-4061-B13E-1015EB7AA82E}"/>
              </c:ext>
            </c:extLst>
          </c:dPt>
          <c:dPt>
            <c:idx val="1"/>
            <c:bubble3D val="0"/>
            <c:spPr>
              <a:noFill/>
              <a:ln w="19050">
                <a:noFill/>
              </a:ln>
              <a:effectLst/>
            </c:spPr>
            <c:extLst>
              <c:ext xmlns:c16="http://schemas.microsoft.com/office/drawing/2014/chart" uri="{C3380CC4-5D6E-409C-BE32-E72D297353CC}">
                <c16:uniqueId val="{00000008-BC97-4061-B13E-1015EB7AA82E}"/>
              </c:ext>
            </c:extLst>
          </c:dPt>
          <c:val>
            <c:numRef>
              <c:f>Processing!$L$6:$M$6</c:f>
              <c:numCache>
                <c:formatCode>0%</c:formatCode>
                <c:ptCount val="2"/>
                <c:pt idx="0">
                  <c:v>0</c:v>
                </c:pt>
                <c:pt idx="1">
                  <c:v>0</c:v>
                </c:pt>
              </c:numCache>
            </c:numRef>
          </c:val>
          <c:extLst>
            <c:ext xmlns:c16="http://schemas.microsoft.com/office/drawing/2014/chart" uri="{C3380CC4-5D6E-409C-BE32-E72D297353CC}">
              <c16:uniqueId val="{00000009-BC97-4061-B13E-1015EB7AA82E}"/>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35CD-4A15-8FD7-1F466B10D4B0}"/>
              </c:ext>
            </c:extLst>
          </c:dPt>
          <c:dPt>
            <c:idx val="1"/>
            <c:bubble3D val="0"/>
            <c:spPr>
              <a:solidFill>
                <a:srgbClr val="021428">
                  <a:alpha val="90000"/>
                </a:srgbClr>
              </a:solidFill>
              <a:ln w="19050">
                <a:noFill/>
              </a:ln>
              <a:effectLst/>
            </c:spPr>
            <c:extLst>
              <c:ext xmlns:c16="http://schemas.microsoft.com/office/drawing/2014/chart" uri="{C3380CC4-5D6E-409C-BE32-E72D297353CC}">
                <c16:uniqueId val="{00000003-35CD-4A15-8FD7-1F466B10D4B0}"/>
              </c:ext>
            </c:extLst>
          </c:dPt>
          <c:val>
            <c:numRef>
              <c:f>Processing!$L$4:$M$4</c:f>
              <c:numCache>
                <c:formatCode>0%</c:formatCode>
                <c:ptCount val="2"/>
                <c:pt idx="0">
                  <c:v>0.60416666666666663</c:v>
                </c:pt>
                <c:pt idx="1">
                  <c:v>0.39583333333333337</c:v>
                </c:pt>
              </c:numCache>
            </c:numRef>
          </c:val>
          <c:extLst>
            <c:ext xmlns:c16="http://schemas.microsoft.com/office/drawing/2014/chart" uri="{C3380CC4-5D6E-409C-BE32-E72D297353CC}">
              <c16:uniqueId val="{00000004-35CD-4A15-8FD7-1F466B10D4B0}"/>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6-35CD-4A15-8FD7-1F466B10D4B0}"/>
              </c:ext>
            </c:extLst>
          </c:dPt>
          <c:dPt>
            <c:idx val="1"/>
            <c:bubble3D val="0"/>
            <c:spPr>
              <a:solidFill>
                <a:srgbClr val="021428">
                  <a:alpha val="90000"/>
                </a:srgbClr>
              </a:solidFill>
              <a:ln w="19050">
                <a:noFill/>
              </a:ln>
              <a:effectLst/>
            </c:spPr>
            <c:extLst>
              <c:ext xmlns:c16="http://schemas.microsoft.com/office/drawing/2014/chart" uri="{C3380CC4-5D6E-409C-BE32-E72D297353CC}">
                <c16:uniqueId val="{00000008-35CD-4A15-8FD7-1F466B10D4B0}"/>
              </c:ext>
            </c:extLst>
          </c:dPt>
          <c:val>
            <c:numRef>
              <c:f>Processing!$L$3:$M$3</c:f>
              <c:numCache>
                <c:formatCode>0%</c:formatCode>
                <c:ptCount val="2"/>
                <c:pt idx="0">
                  <c:v>0.56041666666666679</c:v>
                </c:pt>
                <c:pt idx="1">
                  <c:v>0.43958333333333321</c:v>
                </c:pt>
              </c:numCache>
            </c:numRef>
          </c:val>
          <c:extLst>
            <c:ext xmlns:c16="http://schemas.microsoft.com/office/drawing/2014/chart" uri="{C3380CC4-5D6E-409C-BE32-E72D297353CC}">
              <c16:uniqueId val="{00000009-35CD-4A15-8FD7-1F466B10D4B0}"/>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FF00"/>
            </a:solidFill>
            <a:ln>
              <a:solidFill>
                <a:srgbClr val="021428"/>
              </a:solidFill>
            </a:ln>
            <a:effectLst>
              <a:glow rad="139700">
                <a:srgbClr val="FD447E">
                  <a:alpha val="40000"/>
                </a:srgbClr>
              </a:glow>
            </a:effectLst>
          </c:spPr>
          <c:dPt>
            <c:idx val="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1-97CB-4A8C-A91F-0FC074FA419A}"/>
              </c:ext>
            </c:extLst>
          </c:dPt>
          <c:dPt>
            <c:idx val="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3-97CB-4A8C-A91F-0FC074FA419A}"/>
              </c:ext>
            </c:extLst>
          </c:dPt>
          <c:dPt>
            <c:idx val="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5-97CB-4A8C-A91F-0FC074FA419A}"/>
              </c:ext>
            </c:extLst>
          </c:dPt>
          <c:dPt>
            <c:idx val="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7-97CB-4A8C-A91F-0FC074FA419A}"/>
              </c:ext>
            </c:extLst>
          </c:dPt>
          <c:dPt>
            <c:idx val="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9-97CB-4A8C-A91F-0FC074FA419A}"/>
              </c:ext>
            </c:extLst>
          </c:dPt>
          <c:dPt>
            <c:idx val="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B-97CB-4A8C-A91F-0FC074FA419A}"/>
              </c:ext>
            </c:extLst>
          </c:dPt>
          <c:dPt>
            <c:idx val="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D-97CB-4A8C-A91F-0FC074FA419A}"/>
              </c:ext>
            </c:extLst>
          </c:dPt>
          <c:dPt>
            <c:idx val="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0F-97CB-4A8C-A91F-0FC074FA419A}"/>
              </c:ext>
            </c:extLst>
          </c:dPt>
          <c:dPt>
            <c:idx val="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1-97CB-4A8C-A91F-0FC074FA419A}"/>
              </c:ext>
            </c:extLst>
          </c:dPt>
          <c:dPt>
            <c:idx val="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3-97CB-4A8C-A91F-0FC074FA419A}"/>
              </c:ext>
            </c:extLst>
          </c:dPt>
          <c:dPt>
            <c:idx val="1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5-97CB-4A8C-A91F-0FC074FA419A}"/>
              </c:ext>
            </c:extLst>
          </c:dPt>
          <c:dPt>
            <c:idx val="1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7-97CB-4A8C-A91F-0FC074FA419A}"/>
              </c:ext>
            </c:extLst>
          </c:dPt>
          <c:dPt>
            <c:idx val="1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9-97CB-4A8C-A91F-0FC074FA419A}"/>
              </c:ext>
            </c:extLst>
          </c:dPt>
          <c:dPt>
            <c:idx val="1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B-97CB-4A8C-A91F-0FC074FA419A}"/>
              </c:ext>
            </c:extLst>
          </c:dPt>
          <c:dPt>
            <c:idx val="1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D-97CB-4A8C-A91F-0FC074FA419A}"/>
              </c:ext>
            </c:extLst>
          </c:dPt>
          <c:dPt>
            <c:idx val="1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1F-97CB-4A8C-A91F-0FC074FA419A}"/>
              </c:ext>
            </c:extLst>
          </c:dPt>
          <c:dPt>
            <c:idx val="1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1-97CB-4A8C-A91F-0FC074FA419A}"/>
              </c:ext>
            </c:extLst>
          </c:dPt>
          <c:dPt>
            <c:idx val="1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3-97CB-4A8C-A91F-0FC074FA419A}"/>
              </c:ext>
            </c:extLst>
          </c:dPt>
          <c:dPt>
            <c:idx val="1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5-97CB-4A8C-A91F-0FC074FA419A}"/>
              </c:ext>
            </c:extLst>
          </c:dPt>
          <c:dPt>
            <c:idx val="1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7-97CB-4A8C-A91F-0FC074FA419A}"/>
              </c:ext>
            </c:extLst>
          </c:dPt>
          <c:dPt>
            <c:idx val="2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9-97CB-4A8C-A91F-0FC074FA419A}"/>
              </c:ext>
            </c:extLst>
          </c:dPt>
          <c:dPt>
            <c:idx val="2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B-97CB-4A8C-A91F-0FC074FA419A}"/>
              </c:ext>
            </c:extLst>
          </c:dPt>
          <c:dPt>
            <c:idx val="2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D-97CB-4A8C-A91F-0FC074FA419A}"/>
              </c:ext>
            </c:extLst>
          </c:dPt>
          <c:dPt>
            <c:idx val="2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2F-97CB-4A8C-A91F-0FC074FA419A}"/>
              </c:ext>
            </c:extLst>
          </c:dPt>
          <c:dPt>
            <c:idx val="2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1-97CB-4A8C-A91F-0FC074FA419A}"/>
              </c:ext>
            </c:extLst>
          </c:dPt>
          <c:dPt>
            <c:idx val="2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3-97CB-4A8C-A91F-0FC074FA419A}"/>
              </c:ext>
            </c:extLst>
          </c:dPt>
          <c:dPt>
            <c:idx val="2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5-97CB-4A8C-A91F-0FC074FA419A}"/>
              </c:ext>
            </c:extLst>
          </c:dPt>
          <c:dPt>
            <c:idx val="2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7-97CB-4A8C-A91F-0FC074FA419A}"/>
              </c:ext>
            </c:extLst>
          </c:dPt>
          <c:dPt>
            <c:idx val="2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9-97CB-4A8C-A91F-0FC074FA419A}"/>
              </c:ext>
            </c:extLst>
          </c:dPt>
          <c:dPt>
            <c:idx val="2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B-97CB-4A8C-A91F-0FC074FA419A}"/>
              </c:ext>
            </c:extLst>
          </c:dPt>
          <c:dPt>
            <c:idx val="3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D-97CB-4A8C-A91F-0FC074FA419A}"/>
              </c:ext>
            </c:extLst>
          </c:dPt>
          <c:dPt>
            <c:idx val="3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3F-97CB-4A8C-A91F-0FC074FA419A}"/>
              </c:ext>
            </c:extLst>
          </c:dPt>
          <c:dPt>
            <c:idx val="3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1-97CB-4A8C-A91F-0FC074FA419A}"/>
              </c:ext>
            </c:extLst>
          </c:dPt>
          <c:dPt>
            <c:idx val="3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3-97CB-4A8C-A91F-0FC074FA419A}"/>
              </c:ext>
            </c:extLst>
          </c:dPt>
          <c:dPt>
            <c:idx val="3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5-97CB-4A8C-A91F-0FC074FA419A}"/>
              </c:ext>
            </c:extLst>
          </c:dPt>
          <c:dPt>
            <c:idx val="3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7-97CB-4A8C-A91F-0FC074FA419A}"/>
              </c:ext>
            </c:extLst>
          </c:dPt>
          <c:dPt>
            <c:idx val="3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9-97CB-4A8C-A91F-0FC074FA419A}"/>
              </c:ext>
            </c:extLst>
          </c:dPt>
          <c:dPt>
            <c:idx val="3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B-97CB-4A8C-A91F-0FC074FA419A}"/>
              </c:ext>
            </c:extLst>
          </c:dPt>
          <c:dPt>
            <c:idx val="3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D-97CB-4A8C-A91F-0FC074FA419A}"/>
              </c:ext>
            </c:extLst>
          </c:dPt>
          <c:dPt>
            <c:idx val="3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4F-97CB-4A8C-A91F-0FC074FA419A}"/>
              </c:ext>
            </c:extLst>
          </c:dPt>
          <c:dPt>
            <c:idx val="4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1-97CB-4A8C-A91F-0FC074FA419A}"/>
              </c:ext>
            </c:extLst>
          </c:dPt>
          <c:dPt>
            <c:idx val="4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3-97CB-4A8C-A91F-0FC074FA419A}"/>
              </c:ext>
            </c:extLst>
          </c:dPt>
          <c:dPt>
            <c:idx val="4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5-97CB-4A8C-A91F-0FC074FA419A}"/>
              </c:ext>
            </c:extLst>
          </c:dPt>
          <c:dPt>
            <c:idx val="4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7-97CB-4A8C-A91F-0FC074FA419A}"/>
              </c:ext>
            </c:extLst>
          </c:dPt>
          <c:dPt>
            <c:idx val="4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9-97CB-4A8C-A91F-0FC074FA419A}"/>
              </c:ext>
            </c:extLst>
          </c:dPt>
          <c:dPt>
            <c:idx val="4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B-97CB-4A8C-A91F-0FC074FA419A}"/>
              </c:ext>
            </c:extLst>
          </c:dPt>
          <c:dPt>
            <c:idx val="4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D-97CB-4A8C-A91F-0FC074FA419A}"/>
              </c:ext>
            </c:extLst>
          </c:dPt>
          <c:dPt>
            <c:idx val="4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5F-97CB-4A8C-A91F-0FC074FA419A}"/>
              </c:ext>
            </c:extLst>
          </c:dPt>
          <c:dPt>
            <c:idx val="4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1-97CB-4A8C-A91F-0FC074FA419A}"/>
              </c:ext>
            </c:extLst>
          </c:dPt>
          <c:dPt>
            <c:idx val="4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3-97CB-4A8C-A91F-0FC074FA419A}"/>
              </c:ext>
            </c:extLst>
          </c:dPt>
          <c:dPt>
            <c:idx val="5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5-97CB-4A8C-A91F-0FC074FA419A}"/>
              </c:ext>
            </c:extLst>
          </c:dPt>
          <c:dPt>
            <c:idx val="5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7-97CB-4A8C-A91F-0FC074FA419A}"/>
              </c:ext>
            </c:extLst>
          </c:dPt>
          <c:dPt>
            <c:idx val="5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9-97CB-4A8C-A91F-0FC074FA419A}"/>
              </c:ext>
            </c:extLst>
          </c:dPt>
          <c:dPt>
            <c:idx val="5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B-97CB-4A8C-A91F-0FC074FA419A}"/>
              </c:ext>
            </c:extLst>
          </c:dPt>
          <c:dPt>
            <c:idx val="5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D-97CB-4A8C-A91F-0FC074FA419A}"/>
              </c:ext>
            </c:extLst>
          </c:dPt>
          <c:dPt>
            <c:idx val="5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6F-97CB-4A8C-A91F-0FC074FA419A}"/>
              </c:ext>
            </c:extLst>
          </c:dPt>
          <c:dPt>
            <c:idx val="5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1-97CB-4A8C-A91F-0FC074FA419A}"/>
              </c:ext>
            </c:extLst>
          </c:dPt>
          <c:dPt>
            <c:idx val="5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3-97CB-4A8C-A91F-0FC074FA419A}"/>
              </c:ext>
            </c:extLst>
          </c:dPt>
          <c:dPt>
            <c:idx val="5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5-97CB-4A8C-A91F-0FC074FA419A}"/>
              </c:ext>
            </c:extLst>
          </c:dPt>
          <c:dPt>
            <c:idx val="5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7-97CB-4A8C-A91F-0FC074FA419A}"/>
              </c:ext>
            </c:extLst>
          </c:dPt>
          <c:dPt>
            <c:idx val="6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9-97CB-4A8C-A91F-0FC074FA419A}"/>
              </c:ext>
            </c:extLst>
          </c:dPt>
          <c:dPt>
            <c:idx val="6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B-97CB-4A8C-A91F-0FC074FA419A}"/>
              </c:ext>
            </c:extLst>
          </c:dPt>
          <c:dPt>
            <c:idx val="6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D-97CB-4A8C-A91F-0FC074FA419A}"/>
              </c:ext>
            </c:extLst>
          </c:dPt>
          <c:dPt>
            <c:idx val="6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7F-97CB-4A8C-A91F-0FC074FA419A}"/>
              </c:ext>
            </c:extLst>
          </c:dPt>
          <c:dPt>
            <c:idx val="6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1-97CB-4A8C-A91F-0FC074FA419A}"/>
              </c:ext>
            </c:extLst>
          </c:dPt>
          <c:dPt>
            <c:idx val="6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3-97CB-4A8C-A91F-0FC074FA419A}"/>
              </c:ext>
            </c:extLst>
          </c:dPt>
          <c:dPt>
            <c:idx val="6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5-97CB-4A8C-A91F-0FC074FA419A}"/>
              </c:ext>
            </c:extLst>
          </c:dPt>
          <c:dPt>
            <c:idx val="6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7-97CB-4A8C-A91F-0FC074FA419A}"/>
              </c:ext>
            </c:extLst>
          </c:dPt>
          <c:dPt>
            <c:idx val="6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9-97CB-4A8C-A91F-0FC074FA419A}"/>
              </c:ext>
            </c:extLst>
          </c:dPt>
          <c:dPt>
            <c:idx val="6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B-97CB-4A8C-A91F-0FC074FA419A}"/>
              </c:ext>
            </c:extLst>
          </c:dPt>
          <c:dPt>
            <c:idx val="7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D-97CB-4A8C-A91F-0FC074FA419A}"/>
              </c:ext>
            </c:extLst>
          </c:dPt>
          <c:dPt>
            <c:idx val="7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8F-97CB-4A8C-A91F-0FC074FA419A}"/>
              </c:ext>
            </c:extLst>
          </c:dPt>
          <c:dPt>
            <c:idx val="7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1-97CB-4A8C-A91F-0FC074FA419A}"/>
              </c:ext>
            </c:extLst>
          </c:dPt>
          <c:dPt>
            <c:idx val="7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3-97CB-4A8C-A91F-0FC074FA419A}"/>
              </c:ext>
            </c:extLst>
          </c:dPt>
          <c:dPt>
            <c:idx val="7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5-97CB-4A8C-A91F-0FC074FA419A}"/>
              </c:ext>
            </c:extLst>
          </c:dPt>
          <c:dPt>
            <c:idx val="7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7-97CB-4A8C-A91F-0FC074FA419A}"/>
              </c:ext>
            </c:extLst>
          </c:dPt>
          <c:dPt>
            <c:idx val="7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9-97CB-4A8C-A91F-0FC074FA419A}"/>
              </c:ext>
            </c:extLst>
          </c:dPt>
          <c:dPt>
            <c:idx val="7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B-97CB-4A8C-A91F-0FC074FA419A}"/>
              </c:ext>
            </c:extLst>
          </c:dPt>
          <c:dPt>
            <c:idx val="7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D-97CB-4A8C-A91F-0FC074FA419A}"/>
              </c:ext>
            </c:extLst>
          </c:dPt>
          <c:dPt>
            <c:idx val="7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9F-97CB-4A8C-A91F-0FC074FA419A}"/>
              </c:ext>
            </c:extLst>
          </c:dPt>
          <c:dPt>
            <c:idx val="80"/>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1-97CB-4A8C-A91F-0FC074FA419A}"/>
              </c:ext>
            </c:extLst>
          </c:dPt>
          <c:dPt>
            <c:idx val="81"/>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3-97CB-4A8C-A91F-0FC074FA419A}"/>
              </c:ext>
            </c:extLst>
          </c:dPt>
          <c:dPt>
            <c:idx val="82"/>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5-97CB-4A8C-A91F-0FC074FA419A}"/>
              </c:ext>
            </c:extLst>
          </c:dPt>
          <c:dPt>
            <c:idx val="83"/>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7-97CB-4A8C-A91F-0FC074FA419A}"/>
              </c:ext>
            </c:extLst>
          </c:dPt>
          <c:dPt>
            <c:idx val="84"/>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9-97CB-4A8C-A91F-0FC074FA419A}"/>
              </c:ext>
            </c:extLst>
          </c:dPt>
          <c:dPt>
            <c:idx val="85"/>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B-97CB-4A8C-A91F-0FC074FA419A}"/>
              </c:ext>
            </c:extLst>
          </c:dPt>
          <c:dPt>
            <c:idx val="86"/>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D-97CB-4A8C-A91F-0FC074FA419A}"/>
              </c:ext>
            </c:extLst>
          </c:dPt>
          <c:dPt>
            <c:idx val="87"/>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AF-97CB-4A8C-A91F-0FC074FA419A}"/>
              </c:ext>
            </c:extLst>
          </c:dPt>
          <c:dPt>
            <c:idx val="88"/>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B1-97CB-4A8C-A91F-0FC074FA419A}"/>
              </c:ext>
            </c:extLst>
          </c:dPt>
          <c:dPt>
            <c:idx val="89"/>
            <c:bubble3D val="0"/>
            <c:spPr>
              <a:solidFill>
                <a:srgbClr val="FFFF00"/>
              </a:solidFill>
              <a:ln w="19050">
                <a:solidFill>
                  <a:srgbClr val="021428"/>
                </a:solidFill>
              </a:ln>
              <a:effectLst>
                <a:glow rad="139700">
                  <a:srgbClr val="FD447E">
                    <a:alpha val="40000"/>
                  </a:srgbClr>
                </a:glow>
              </a:effectLst>
            </c:spPr>
            <c:extLst>
              <c:ext xmlns:c16="http://schemas.microsoft.com/office/drawing/2014/chart" uri="{C3380CC4-5D6E-409C-BE32-E72D297353CC}">
                <c16:uniqueId val="{000000B3-97CB-4A8C-A91F-0FC074FA419A}"/>
              </c:ext>
            </c:extLst>
          </c:dPt>
          <c:val>
            <c:numRef>
              <c:f>Processing!$R$5:$R$94</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B4-97CB-4A8C-A91F-0FC074FA419A}"/>
            </c:ext>
          </c:extLst>
        </c:ser>
        <c:dLbls>
          <c:showLegendKey val="0"/>
          <c:showVal val="0"/>
          <c:showCatName val="0"/>
          <c:showSerName val="0"/>
          <c:showPercent val="0"/>
          <c:showBubbleSize val="0"/>
          <c:showLeaderLines val="1"/>
        </c:dLbls>
        <c:firstSliceAng val="0"/>
        <c:holeSize val="73"/>
      </c:doughnutChart>
      <c:doughnutChart>
        <c:varyColors val="1"/>
        <c:ser>
          <c:idx val="1"/>
          <c:order val="1"/>
          <c:spPr>
            <a:solidFill>
              <a:srgbClr val="021428"/>
            </a:solidFill>
            <a:ln>
              <a:noFill/>
            </a:ln>
          </c:spPr>
          <c:dPt>
            <c:idx val="0"/>
            <c:bubble3D val="0"/>
            <c:spPr>
              <a:noFill/>
              <a:ln w="19050">
                <a:noFill/>
              </a:ln>
              <a:effectLst/>
            </c:spPr>
            <c:extLst>
              <c:ext xmlns:c16="http://schemas.microsoft.com/office/drawing/2014/chart" uri="{C3380CC4-5D6E-409C-BE32-E72D297353CC}">
                <c16:uniqueId val="{000000B6-97CB-4A8C-A91F-0FC074FA419A}"/>
              </c:ext>
            </c:extLst>
          </c:dPt>
          <c:dPt>
            <c:idx val="1"/>
            <c:bubble3D val="0"/>
            <c:spPr>
              <a:solidFill>
                <a:srgbClr val="021428"/>
              </a:solidFill>
              <a:ln w="19050">
                <a:noFill/>
              </a:ln>
              <a:effectLst/>
            </c:spPr>
            <c:extLst>
              <c:ext xmlns:c16="http://schemas.microsoft.com/office/drawing/2014/chart" uri="{C3380CC4-5D6E-409C-BE32-E72D297353CC}">
                <c16:uniqueId val="{000000B8-97CB-4A8C-A91F-0FC074FA419A}"/>
              </c:ext>
            </c:extLst>
          </c:dPt>
          <c:val>
            <c:numRef>
              <c:f>Processing!$Q$2:$R$2</c:f>
              <c:numCache>
                <c:formatCode>0%</c:formatCode>
                <c:ptCount val="2"/>
                <c:pt idx="0">
                  <c:v>0.65</c:v>
                </c:pt>
                <c:pt idx="1">
                  <c:v>0.35</c:v>
                </c:pt>
              </c:numCache>
            </c:numRef>
          </c:val>
          <c:extLst>
            <c:ext xmlns:c16="http://schemas.microsoft.com/office/drawing/2014/chart" uri="{C3380CC4-5D6E-409C-BE32-E72D297353CC}">
              <c16:uniqueId val="{000000B9-97CB-4A8C-A91F-0FC074FA419A}"/>
            </c:ext>
          </c:extLst>
        </c:ser>
        <c:ser>
          <c:idx val="2"/>
          <c:order val="2"/>
          <c:spPr>
            <a:ln>
              <a:noFill/>
            </a:ln>
          </c:spPr>
          <c:dPt>
            <c:idx val="0"/>
            <c:bubble3D val="0"/>
            <c:spPr>
              <a:noFill/>
              <a:ln w="19050">
                <a:noFill/>
              </a:ln>
              <a:effectLst/>
            </c:spPr>
            <c:extLst>
              <c:ext xmlns:c16="http://schemas.microsoft.com/office/drawing/2014/chart" uri="{C3380CC4-5D6E-409C-BE32-E72D297353CC}">
                <c16:uniqueId val="{000000BB-97CB-4A8C-A91F-0FC074FA419A}"/>
              </c:ext>
            </c:extLst>
          </c:dPt>
          <c:dPt>
            <c:idx val="1"/>
            <c:bubble3D val="0"/>
            <c:spPr>
              <a:solidFill>
                <a:srgbClr val="032040"/>
              </a:solidFill>
              <a:ln w="6350">
                <a:solidFill>
                  <a:srgbClr val="021428"/>
                </a:solidFill>
              </a:ln>
              <a:effectLst/>
            </c:spPr>
            <c:extLst>
              <c:ext xmlns:c16="http://schemas.microsoft.com/office/drawing/2014/chart" uri="{C3380CC4-5D6E-409C-BE32-E72D297353CC}">
                <c16:uniqueId val="{000000BD-97CB-4A8C-A91F-0FC074FA419A}"/>
              </c:ext>
            </c:extLst>
          </c:dPt>
          <c:val>
            <c:numRef>
              <c:f>Processing!$Q$3:$R$3</c:f>
              <c:numCache>
                <c:formatCode>0%</c:formatCode>
                <c:ptCount val="2"/>
                <c:pt idx="0">
                  <c:v>0.65</c:v>
                </c:pt>
                <c:pt idx="1">
                  <c:v>0.35</c:v>
                </c:pt>
              </c:numCache>
            </c:numRef>
          </c:val>
          <c:extLst>
            <c:ext xmlns:c16="http://schemas.microsoft.com/office/drawing/2014/chart" uri="{C3380CC4-5D6E-409C-BE32-E72D297353CC}">
              <c16:uniqueId val="{000000BE-97CB-4A8C-A91F-0FC074FA419A}"/>
            </c:ext>
          </c:extLst>
        </c:ser>
        <c:ser>
          <c:idx val="3"/>
          <c:order val="3"/>
          <c:spPr>
            <a:ln>
              <a:noFill/>
            </a:ln>
          </c:spPr>
          <c:dPt>
            <c:idx val="0"/>
            <c:bubble3D val="0"/>
            <c:spPr>
              <a:noFill/>
              <a:ln w="19050">
                <a:noFill/>
              </a:ln>
              <a:effectLst/>
            </c:spPr>
            <c:extLst>
              <c:ext xmlns:c16="http://schemas.microsoft.com/office/drawing/2014/chart" uri="{C3380CC4-5D6E-409C-BE32-E72D297353CC}">
                <c16:uniqueId val="{000000C0-97CB-4A8C-A91F-0FC074FA419A}"/>
              </c:ext>
            </c:extLst>
          </c:dPt>
          <c:dPt>
            <c:idx val="1"/>
            <c:bubble3D val="0"/>
            <c:spPr>
              <a:solidFill>
                <a:srgbClr val="021428"/>
              </a:solidFill>
              <a:ln w="19050">
                <a:noFill/>
              </a:ln>
              <a:effectLst/>
            </c:spPr>
            <c:extLst>
              <c:ext xmlns:c16="http://schemas.microsoft.com/office/drawing/2014/chart" uri="{C3380CC4-5D6E-409C-BE32-E72D297353CC}">
                <c16:uniqueId val="{000000C2-97CB-4A8C-A91F-0FC074FA419A}"/>
              </c:ext>
            </c:extLst>
          </c:dPt>
          <c:val>
            <c:numRef>
              <c:f>Processing!$Q$4:$R$4</c:f>
              <c:numCache>
                <c:formatCode>0%</c:formatCode>
                <c:ptCount val="2"/>
                <c:pt idx="0">
                  <c:v>0.65</c:v>
                </c:pt>
                <c:pt idx="1">
                  <c:v>0.35</c:v>
                </c:pt>
              </c:numCache>
            </c:numRef>
          </c:val>
          <c:extLst>
            <c:ext xmlns:c16="http://schemas.microsoft.com/office/drawing/2014/chart" uri="{C3380CC4-5D6E-409C-BE32-E72D297353CC}">
              <c16:uniqueId val="{000000C3-97CB-4A8C-A91F-0FC074FA419A}"/>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0">
                  <a:srgbClr val="178BFF"/>
                </a:gs>
                <a:gs pos="100000">
                  <a:srgbClr val="8BDBFF"/>
                </a:gs>
              </a:gsLst>
              <a:lin ang="5400000" scaled="0"/>
            </a:gradFill>
            <a:ln>
              <a:noFill/>
            </a:ln>
            <a:effectLst/>
          </c:spPr>
          <c:invertIfNegative val="0"/>
          <c:cat>
            <c:strRef>
              <c:f>Processing!$A$16:$A$27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Processing!$B$16:$B$27</c:f>
              <c:numCache>
                <c:formatCode>0%</c:formatCode>
                <c:ptCount val="12"/>
                <c:pt idx="0">
                  <c:v>0.25713741427482856</c:v>
                </c:pt>
                <c:pt idx="1">
                  <c:v>0.38387096774193546</c:v>
                </c:pt>
                <c:pt idx="2">
                  <c:v>0.58835407670815343</c:v>
                </c:pt>
                <c:pt idx="3">
                  <c:v>0.48524257048514097</c:v>
                </c:pt>
                <c:pt idx="4">
                  <c:v>0.4327279654559309</c:v>
                </c:pt>
                <c:pt idx="5">
                  <c:v>0.38989077978155956</c:v>
                </c:pt>
                <c:pt idx="6">
                  <c:v>0.37745745491490984</c:v>
                </c:pt>
                <c:pt idx="7">
                  <c:v>0.41466852933705867</c:v>
                </c:pt>
                <c:pt idx="8">
                  <c:v>0.54359918719837441</c:v>
                </c:pt>
                <c:pt idx="9">
                  <c:v>0.57345694691389382</c:v>
                </c:pt>
                <c:pt idx="10">
                  <c:v>0.40109220218440439</c:v>
                </c:pt>
                <c:pt idx="11">
                  <c:v>0.27040894081788164</c:v>
                </c:pt>
              </c:numCache>
            </c:numRef>
          </c:val>
          <c:extLst>
            <c:ext xmlns:c16="http://schemas.microsoft.com/office/drawing/2014/chart" uri="{C3380CC4-5D6E-409C-BE32-E72D297353CC}">
              <c16:uniqueId val="{00000000-2196-4224-9152-DCF10CB1EA04}"/>
            </c:ext>
          </c:extLst>
        </c:ser>
        <c:ser>
          <c:idx val="1"/>
          <c:order val="1"/>
          <c:spPr>
            <a:gradFill>
              <a:gsLst>
                <a:gs pos="100000">
                  <a:srgbClr val="CBBDFF"/>
                </a:gs>
                <a:gs pos="0">
                  <a:srgbClr val="673FFF"/>
                </a:gs>
              </a:gsLst>
              <a:lin ang="5400000" scaled="0"/>
            </a:gradFill>
            <a:ln>
              <a:noFill/>
            </a:ln>
            <a:effectLst/>
          </c:spPr>
          <c:invertIfNegative val="0"/>
          <c:cat>
            <c:strRef>
              <c:f>Processing!$A$16:$A$27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Processing!$C$16:$C$27</c:f>
              <c:numCache>
                <c:formatCode>0%</c:formatCode>
                <c:ptCount val="12"/>
                <c:pt idx="0">
                  <c:v>0.18042926085852171</c:v>
                </c:pt>
                <c:pt idx="1">
                  <c:v>0.30339090678181357</c:v>
                </c:pt>
                <c:pt idx="2">
                  <c:v>0.41164592329184657</c:v>
                </c:pt>
                <c:pt idx="3">
                  <c:v>0.39546609093218188</c:v>
                </c:pt>
                <c:pt idx="4">
                  <c:v>0.31752603505207011</c:v>
                </c:pt>
                <c:pt idx="5">
                  <c:v>0.23583947167894337</c:v>
                </c:pt>
                <c:pt idx="6">
                  <c:v>0.24827279654559309</c:v>
                </c:pt>
                <c:pt idx="7">
                  <c:v>0.33564897129794258</c:v>
                </c:pt>
                <c:pt idx="8">
                  <c:v>0.33708407416814834</c:v>
                </c:pt>
                <c:pt idx="9">
                  <c:v>0.42654305308610618</c:v>
                </c:pt>
                <c:pt idx="10">
                  <c:v>0.2861950723901448</c:v>
                </c:pt>
                <c:pt idx="11">
                  <c:v>0.1671958343916688</c:v>
                </c:pt>
              </c:numCache>
            </c:numRef>
          </c:val>
          <c:extLst>
            <c:ext xmlns:c16="http://schemas.microsoft.com/office/drawing/2014/chart" uri="{C3380CC4-5D6E-409C-BE32-E72D297353CC}">
              <c16:uniqueId val="{00000001-2196-4224-9152-DCF10CB1EA04}"/>
            </c:ext>
          </c:extLst>
        </c:ser>
        <c:dLbls>
          <c:showLegendKey val="0"/>
          <c:showVal val="0"/>
          <c:showCatName val="0"/>
          <c:showSerName val="0"/>
          <c:showPercent val="0"/>
          <c:showBubbleSize val="0"/>
        </c:dLbls>
        <c:gapWidth val="100"/>
        <c:overlap val="100"/>
        <c:axId val="495841344"/>
        <c:axId val="495851904"/>
      </c:barChart>
      <c:lineChart>
        <c:grouping val="standard"/>
        <c:varyColors val="0"/>
        <c:ser>
          <c:idx val="2"/>
          <c:order val="2"/>
          <c:spPr>
            <a:ln w="19050" cap="rnd">
              <a:solidFill>
                <a:srgbClr val="FFE202"/>
              </a:solidFill>
              <a:round/>
            </a:ln>
            <a:effectLst>
              <a:glow rad="101600">
                <a:schemeClr val="accent2">
                  <a:satMod val="175000"/>
                  <a:alpha val="40000"/>
                </a:schemeClr>
              </a:glow>
            </a:effectLst>
          </c:spPr>
          <c:marker>
            <c:symbol val="circle"/>
            <c:size val="7"/>
            <c:spPr>
              <a:solidFill>
                <a:srgbClr val="032040"/>
              </a:solidFill>
              <a:ln w="9525">
                <a:solidFill>
                  <a:srgbClr val="FFE202"/>
                </a:solidFill>
              </a:ln>
              <a:effectLst>
                <a:glow rad="101600">
                  <a:schemeClr val="accent2">
                    <a:satMod val="175000"/>
                    <a:alpha val="40000"/>
                  </a:schemeClr>
                </a:glow>
              </a:effectLst>
            </c:spPr>
          </c:marker>
          <c:val>
            <c:numRef>
              <c:f>Processing!$D$16:$D$27</c:f>
              <c:numCache>
                <c:formatCode>0%</c:formatCode>
                <c:ptCount val="12"/>
                <c:pt idx="0">
                  <c:v>0.5675</c:v>
                </c:pt>
                <c:pt idx="1">
                  <c:v>0.56624999999999992</c:v>
                </c:pt>
                <c:pt idx="2">
                  <c:v>0.65</c:v>
                </c:pt>
                <c:pt idx="3">
                  <c:v>0.72875000000000001</c:v>
                </c:pt>
                <c:pt idx="4">
                  <c:v>0.59375</c:v>
                </c:pt>
                <c:pt idx="5">
                  <c:v>0.61624999999999996</c:v>
                </c:pt>
                <c:pt idx="6">
                  <c:v>0.65500000000000003</c:v>
                </c:pt>
                <c:pt idx="7">
                  <c:v>0.63749999999999996</c:v>
                </c:pt>
                <c:pt idx="8">
                  <c:v>0.65250000000000008</c:v>
                </c:pt>
                <c:pt idx="9">
                  <c:v>0.65500000000000003</c:v>
                </c:pt>
                <c:pt idx="10">
                  <c:v>0.52124999999999999</c:v>
                </c:pt>
                <c:pt idx="11">
                  <c:v>0.58125000000000004</c:v>
                </c:pt>
              </c:numCache>
            </c:numRef>
          </c:val>
          <c:smooth val="0"/>
          <c:extLst>
            <c:ext xmlns:c16="http://schemas.microsoft.com/office/drawing/2014/chart" uri="{C3380CC4-5D6E-409C-BE32-E72D297353CC}">
              <c16:uniqueId val="{00000002-2196-4224-9152-DCF10CB1EA04}"/>
            </c:ext>
          </c:extLst>
        </c:ser>
        <c:dLbls>
          <c:showLegendKey val="0"/>
          <c:showVal val="0"/>
          <c:showCatName val="0"/>
          <c:showSerName val="0"/>
          <c:showPercent val="0"/>
          <c:showBubbleSize val="0"/>
        </c:dLbls>
        <c:marker val="1"/>
        <c:smooth val="0"/>
        <c:axId val="495841344"/>
        <c:axId val="495851904"/>
      </c:lineChart>
      <c:scatterChart>
        <c:scatterStyle val="lineMarker"/>
        <c:varyColors val="0"/>
        <c:ser>
          <c:idx val="3"/>
          <c:order val="3"/>
          <c:spPr>
            <a:ln w="25400" cap="rnd">
              <a:noFill/>
              <a:round/>
            </a:ln>
            <a:effectLst/>
          </c:spPr>
          <c:marker>
            <c:symbol val="circle"/>
            <c:size val="5"/>
            <c:spPr>
              <a:noFill/>
              <a:ln w="9525">
                <a:noFill/>
              </a:ln>
              <a:effectLst/>
            </c:spPr>
          </c:marker>
          <c:errBars>
            <c:errDir val="y"/>
            <c:errBarType val="minus"/>
            <c:errValType val="cust"/>
            <c:noEndCap val="1"/>
            <c:plus>
              <c:numLit>
                <c:formatCode>General</c:formatCode>
                <c:ptCount val="1"/>
                <c:pt idx="0">
                  <c:v>1</c:v>
                </c:pt>
              </c:numLit>
            </c:plus>
            <c:minus>
              <c:numRef>
                <c:f>Processing!$E$16:$E$27</c:f>
                <c:numCache>
                  <c:formatCode>General</c:formatCode>
                  <c:ptCount val="12"/>
                  <c:pt idx="0">
                    <c:v>#N/A</c:v>
                  </c:pt>
                  <c:pt idx="1">
                    <c:v>#N/A</c:v>
                  </c:pt>
                  <c:pt idx="2">
                    <c:v>#N/A</c:v>
                  </c:pt>
                  <c:pt idx="3">
                    <c:v>0.88070866141732285</c:v>
                  </c:pt>
                  <c:pt idx="4">
                    <c:v>0.75025400050800095</c:v>
                  </c:pt>
                  <c:pt idx="5">
                    <c:v>0.62573025146050298</c:v>
                  </c:pt>
                  <c:pt idx="6">
                    <c:v>#N/A</c:v>
                  </c:pt>
                  <c:pt idx="7">
                    <c:v>#N/A</c:v>
                  </c:pt>
                  <c:pt idx="8">
                    <c:v>#N/A</c:v>
                  </c:pt>
                  <c:pt idx="9">
                    <c:v>#N/A</c:v>
                  </c:pt>
                  <c:pt idx="10">
                    <c:v>#N/A</c:v>
                  </c:pt>
                  <c:pt idx="11">
                    <c:v>#N/A</c:v>
                  </c:pt>
                </c:numCache>
              </c:numRef>
            </c:minus>
            <c:spPr>
              <a:noFill/>
              <a:ln w="257175" cap="flat" cmpd="sng" algn="ctr">
                <a:solidFill>
                  <a:srgbClr val="FF6CFF">
                    <a:alpha val="64000"/>
                  </a:srgbClr>
                </a:solidFill>
                <a:round/>
              </a:ln>
              <a:effectLst/>
            </c:spPr>
          </c:errBars>
          <c:yVal>
            <c:numRef>
              <c:f>Processing!$E$16:$E$27</c:f>
              <c:numCache>
                <c:formatCode>0%</c:formatCode>
                <c:ptCount val="12"/>
                <c:pt idx="0">
                  <c:v>#N/A</c:v>
                </c:pt>
                <c:pt idx="1">
                  <c:v>#N/A</c:v>
                </c:pt>
                <c:pt idx="2">
                  <c:v>#N/A</c:v>
                </c:pt>
                <c:pt idx="3">
                  <c:v>0.88070866141732285</c:v>
                </c:pt>
                <c:pt idx="4">
                  <c:v>0.75025400050800095</c:v>
                </c:pt>
                <c:pt idx="5">
                  <c:v>0.62573025146050298</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9-2196-4224-9152-DCF10CB1EA04}"/>
            </c:ext>
          </c:extLst>
        </c:ser>
        <c:ser>
          <c:idx val="4"/>
          <c:order val="4"/>
          <c:spPr>
            <a:ln w="25400" cap="rnd">
              <a:noFill/>
              <a:round/>
            </a:ln>
            <a:effectLst/>
          </c:spPr>
          <c:marker>
            <c:symbol val="circle"/>
            <c:size val="5"/>
            <c:spPr>
              <a:solidFill>
                <a:schemeClr val="bg1"/>
              </a:solidFill>
              <a:ln w="9525">
                <a:solidFill>
                  <a:schemeClr val="accent5"/>
                </a:solidFill>
              </a:ln>
              <a:effectLst/>
            </c:spPr>
          </c:marker>
          <c:dPt>
            <c:idx val="2"/>
            <c:marker>
              <c:symbol val="circle"/>
              <c:size val="5"/>
              <c:spPr>
                <a:solidFill>
                  <a:schemeClr val="bg1"/>
                </a:solidFill>
                <a:ln w="9525">
                  <a:solidFill>
                    <a:srgbClr val="00405A"/>
                  </a:solidFill>
                </a:ln>
                <a:effectLst/>
              </c:spPr>
            </c:marker>
            <c:bubble3D val="0"/>
            <c:extLst>
              <c:ext xmlns:c16="http://schemas.microsoft.com/office/drawing/2014/chart" uri="{C3380CC4-5D6E-409C-BE32-E72D297353CC}">
                <c16:uniqueId val="{00000000-2F31-4BFD-B330-D8DDA0623F0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Processing!$F$16:$F$27</c:f>
              <c:numCache>
                <c:formatCode>0%</c:formatCode>
                <c:ptCount val="12"/>
                <c:pt idx="0">
                  <c:v>#N/A</c:v>
                </c:pt>
                <c:pt idx="1">
                  <c:v>#N/A</c:v>
                </c:pt>
                <c:pt idx="2">
                  <c:v>#N/A</c:v>
                </c:pt>
                <c:pt idx="3">
                  <c:v>0.72875000000000001</c:v>
                </c:pt>
                <c:pt idx="4">
                  <c:v>0.59375</c:v>
                </c:pt>
                <c:pt idx="5">
                  <c:v>0.61624999999999996</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A-2196-4224-9152-DCF10CB1EA04}"/>
            </c:ext>
          </c:extLst>
        </c:ser>
        <c:dLbls>
          <c:showLegendKey val="0"/>
          <c:showVal val="0"/>
          <c:showCatName val="0"/>
          <c:showSerName val="0"/>
          <c:showPercent val="0"/>
          <c:showBubbleSize val="0"/>
        </c:dLbls>
        <c:axId val="495841344"/>
        <c:axId val="495851904"/>
      </c:scatterChart>
      <c:catAx>
        <c:axId val="4958413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95851904"/>
        <c:crosses val="autoZero"/>
        <c:auto val="1"/>
        <c:lblAlgn val="ctr"/>
        <c:lblOffset val="100"/>
        <c:noMultiLvlLbl val="0"/>
      </c:catAx>
      <c:valAx>
        <c:axId val="495851904"/>
        <c:scaling>
          <c:orientation val="minMax"/>
        </c:scaling>
        <c:delete val="1"/>
        <c:axPos val="l"/>
        <c:numFmt formatCode="0%" sourceLinked="1"/>
        <c:majorTickMark val="none"/>
        <c:minorTickMark val="none"/>
        <c:tickLblPos val="nextTo"/>
        <c:crossAx val="4958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spPr>
            <a:gradFill>
              <a:gsLst>
                <a:gs pos="0">
                  <a:srgbClr val="8F72FF">
                    <a:alpha val="56000"/>
                  </a:srgbClr>
                </a:gs>
                <a:gs pos="100000">
                  <a:srgbClr val="673FFF">
                    <a:alpha val="0"/>
                  </a:srgbClr>
                </a:gs>
              </a:gsLst>
              <a:lin ang="5400000" scaled="0"/>
            </a:gradFill>
            <a:ln>
              <a:noFill/>
            </a:ln>
            <a:effectLst/>
          </c:spPr>
          <c:val>
            <c:numRef>
              <c:f>Processing!$I$16:$I$27</c:f>
              <c:numCache>
                <c:formatCode>General</c:formatCode>
                <c:ptCount val="12"/>
                <c:pt idx="0">
                  <c:v>107260</c:v>
                </c:pt>
                <c:pt idx="1">
                  <c:v>105695</c:v>
                </c:pt>
                <c:pt idx="2">
                  <c:v>104405</c:v>
                </c:pt>
                <c:pt idx="3">
                  <c:v>102253</c:v>
                </c:pt>
                <c:pt idx="4">
                  <c:v>118346</c:v>
                </c:pt>
                <c:pt idx="5">
                  <c:v>117876</c:v>
                </c:pt>
                <c:pt idx="6">
                  <c:v>116949</c:v>
                </c:pt>
                <c:pt idx="7">
                  <c:v>118526</c:v>
                </c:pt>
                <c:pt idx="8">
                  <c:v>121179</c:v>
                </c:pt>
                <c:pt idx="9">
                  <c:v>122137</c:v>
                </c:pt>
                <c:pt idx="10">
                  <c:v>123521</c:v>
                </c:pt>
                <c:pt idx="11">
                  <c:v>124621</c:v>
                </c:pt>
              </c:numCache>
            </c:numRef>
          </c:val>
          <c:extLst>
            <c:ext xmlns:c16="http://schemas.microsoft.com/office/drawing/2014/chart" uri="{C3380CC4-5D6E-409C-BE32-E72D297353CC}">
              <c16:uniqueId val="{00000000-CE72-4328-B59C-084DF70F7652}"/>
            </c:ext>
          </c:extLst>
        </c:ser>
        <c:dLbls>
          <c:showLegendKey val="0"/>
          <c:showVal val="0"/>
          <c:showCatName val="0"/>
          <c:showSerName val="0"/>
          <c:showPercent val="0"/>
          <c:showBubbleSize val="0"/>
        </c:dLbls>
        <c:axId val="632644368"/>
        <c:axId val="632635248"/>
      </c:areaChart>
      <c:barChart>
        <c:barDir val="col"/>
        <c:grouping val="clustered"/>
        <c:varyColors val="0"/>
        <c:ser>
          <c:idx val="4"/>
          <c:order val="4"/>
          <c:spPr>
            <a:gradFill>
              <a:gsLst>
                <a:gs pos="0">
                  <a:srgbClr val="178BFF">
                    <a:alpha val="0"/>
                  </a:srgbClr>
                </a:gs>
                <a:gs pos="100000">
                  <a:srgbClr val="8BDBFF">
                    <a:alpha val="20000"/>
                  </a:srgbClr>
                </a:gs>
              </a:gsLst>
              <a:lin ang="5400000" scaled="0"/>
            </a:gradFill>
            <a:ln w="25400">
              <a:noFill/>
            </a:ln>
            <a:effectLst/>
          </c:spPr>
          <c:invertIfNegative val="0"/>
          <c:val>
            <c:numRef>
              <c:f>Processing!$K$16:$K$27</c:f>
              <c:numCache>
                <c:formatCode>General</c:formatCode>
                <c:ptCount val="12"/>
                <c:pt idx="0">
                  <c:v>#N/A</c:v>
                </c:pt>
                <c:pt idx="1">
                  <c:v>#N/A</c:v>
                </c:pt>
                <c:pt idx="2">
                  <c:v>#N/A</c:v>
                </c:pt>
                <c:pt idx="3">
                  <c:v>57960</c:v>
                </c:pt>
                <c:pt idx="4">
                  <c:v>61940</c:v>
                </c:pt>
                <c:pt idx="5">
                  <c:v>59900</c:v>
                </c:pt>
                <c:pt idx="6">
                  <c:v>#N/A</c:v>
                </c:pt>
                <c:pt idx="7">
                  <c:v>#N/A</c:v>
                </c:pt>
                <c:pt idx="8">
                  <c:v>#N/A</c:v>
                </c:pt>
                <c:pt idx="9">
                  <c:v>#N/A</c:v>
                </c:pt>
                <c:pt idx="10">
                  <c:v>#N/A</c:v>
                </c:pt>
                <c:pt idx="11">
                  <c:v>#N/A</c:v>
                </c:pt>
              </c:numCache>
            </c:numRef>
          </c:val>
          <c:extLst>
            <c:ext xmlns:c16="http://schemas.microsoft.com/office/drawing/2014/chart" uri="{C3380CC4-5D6E-409C-BE32-E72D297353CC}">
              <c16:uniqueId val="{00000004-CE72-4328-B59C-084DF70F7652}"/>
            </c:ext>
          </c:extLst>
        </c:ser>
        <c:dLbls>
          <c:showLegendKey val="0"/>
          <c:showVal val="0"/>
          <c:showCatName val="0"/>
          <c:showSerName val="0"/>
          <c:showPercent val="0"/>
          <c:showBubbleSize val="0"/>
        </c:dLbls>
        <c:gapWidth val="500"/>
        <c:axId val="632644368"/>
        <c:axId val="632635248"/>
      </c:barChart>
      <c:lineChart>
        <c:grouping val="standard"/>
        <c:varyColors val="0"/>
        <c:ser>
          <c:idx val="0"/>
          <c:order val="0"/>
          <c:spPr>
            <a:ln w="38100" cap="rnd">
              <a:solidFill>
                <a:srgbClr val="00E8C1"/>
              </a:solidFill>
              <a:round/>
            </a:ln>
            <a:effectLst>
              <a:outerShdw blurRad="50800" dist="38100" dir="5400000" algn="t" rotWithShape="0">
                <a:prstClr val="black">
                  <a:alpha val="40000"/>
                </a:prstClr>
              </a:outerShdw>
            </a:effectLst>
          </c:spPr>
          <c:marker>
            <c:symbol val="none"/>
          </c:marker>
          <c:cat>
            <c:strRef>
              <c:f>Processing!$H$16:$H$27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Processing!$I$16:$I$27</c:f>
              <c:numCache>
                <c:formatCode>General</c:formatCode>
                <c:ptCount val="12"/>
                <c:pt idx="0">
                  <c:v>107260</c:v>
                </c:pt>
                <c:pt idx="1">
                  <c:v>105695</c:v>
                </c:pt>
                <c:pt idx="2">
                  <c:v>104405</c:v>
                </c:pt>
                <c:pt idx="3">
                  <c:v>102253</c:v>
                </c:pt>
                <c:pt idx="4">
                  <c:v>118346</c:v>
                </c:pt>
                <c:pt idx="5">
                  <c:v>117876</c:v>
                </c:pt>
                <c:pt idx="6">
                  <c:v>116949</c:v>
                </c:pt>
                <c:pt idx="7">
                  <c:v>118526</c:v>
                </c:pt>
                <c:pt idx="8">
                  <c:v>121179</c:v>
                </c:pt>
                <c:pt idx="9">
                  <c:v>122137</c:v>
                </c:pt>
                <c:pt idx="10">
                  <c:v>123521</c:v>
                </c:pt>
                <c:pt idx="11">
                  <c:v>124621</c:v>
                </c:pt>
              </c:numCache>
            </c:numRef>
          </c:val>
          <c:smooth val="1"/>
          <c:extLst>
            <c:ext xmlns:c16="http://schemas.microsoft.com/office/drawing/2014/chart" uri="{C3380CC4-5D6E-409C-BE32-E72D297353CC}">
              <c16:uniqueId val="{00000001-CE72-4328-B59C-084DF70F7652}"/>
            </c:ext>
          </c:extLst>
        </c:ser>
        <c:ser>
          <c:idx val="1"/>
          <c:order val="1"/>
          <c:spPr>
            <a:ln w="25400" cap="rnd">
              <a:solidFill>
                <a:srgbClr val="FF6CFF"/>
              </a:solidFill>
              <a:round/>
            </a:ln>
            <a:effectLst>
              <a:outerShdw blurRad="50800" dist="38100" dir="5400000" algn="t" rotWithShape="0">
                <a:prstClr val="black">
                  <a:alpha val="40000"/>
                </a:prstClr>
              </a:outerShdw>
            </a:effectLst>
          </c:spPr>
          <c:marker>
            <c:symbol val="none"/>
          </c:marker>
          <c:cat>
            <c:strRef>
              <c:f>Processing!$H$16:$H$27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Processing!$J$16:$J$27</c:f>
              <c:numCache>
                <c:formatCode>General</c:formatCode>
                <c:ptCount val="12"/>
                <c:pt idx="0">
                  <c:v>51560</c:v>
                </c:pt>
                <c:pt idx="1">
                  <c:v>42060</c:v>
                </c:pt>
                <c:pt idx="2">
                  <c:v>46460</c:v>
                </c:pt>
                <c:pt idx="3">
                  <c:v>57960</c:v>
                </c:pt>
                <c:pt idx="4">
                  <c:v>61940</c:v>
                </c:pt>
                <c:pt idx="5">
                  <c:v>59900</c:v>
                </c:pt>
                <c:pt idx="6">
                  <c:v>57300</c:v>
                </c:pt>
                <c:pt idx="7">
                  <c:v>60120</c:v>
                </c:pt>
                <c:pt idx="8">
                  <c:v>52000</c:v>
                </c:pt>
                <c:pt idx="9">
                  <c:v>42520</c:v>
                </c:pt>
                <c:pt idx="10">
                  <c:v>46940</c:v>
                </c:pt>
                <c:pt idx="11">
                  <c:v>58260</c:v>
                </c:pt>
              </c:numCache>
            </c:numRef>
          </c:val>
          <c:smooth val="1"/>
          <c:extLst>
            <c:ext xmlns:c16="http://schemas.microsoft.com/office/drawing/2014/chart" uri="{C3380CC4-5D6E-409C-BE32-E72D297353CC}">
              <c16:uniqueId val="{00000002-CE72-4328-B59C-084DF70F7652}"/>
            </c:ext>
          </c:extLst>
        </c:ser>
        <c:dLbls>
          <c:showLegendKey val="0"/>
          <c:showVal val="0"/>
          <c:showCatName val="0"/>
          <c:showSerName val="0"/>
          <c:showPercent val="0"/>
          <c:showBubbleSize val="0"/>
        </c:dLbls>
        <c:marker val="1"/>
        <c:smooth val="0"/>
        <c:axId val="632644368"/>
        <c:axId val="632635248"/>
      </c:lineChart>
      <c:scatterChart>
        <c:scatterStyle val="lineMarker"/>
        <c:varyColors val="0"/>
        <c:ser>
          <c:idx val="3"/>
          <c:order val="3"/>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Processing!$K$16:$K$27</c:f>
              <c:numCache>
                <c:formatCode>General</c:formatCode>
                <c:ptCount val="12"/>
                <c:pt idx="0">
                  <c:v>#N/A</c:v>
                </c:pt>
                <c:pt idx="1">
                  <c:v>#N/A</c:v>
                </c:pt>
                <c:pt idx="2">
                  <c:v>#N/A</c:v>
                </c:pt>
                <c:pt idx="3">
                  <c:v>57960</c:v>
                </c:pt>
                <c:pt idx="4">
                  <c:v>61940</c:v>
                </c:pt>
                <c:pt idx="5">
                  <c:v>59900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CE72-4328-B59C-084DF70F7652}"/>
            </c:ext>
          </c:extLst>
        </c:ser>
        <c:dLbls>
          <c:showLegendKey val="0"/>
          <c:showVal val="0"/>
          <c:showCatName val="0"/>
          <c:showSerName val="0"/>
          <c:showPercent val="0"/>
          <c:showBubbleSize val="0"/>
        </c:dLbls>
        <c:axId val="632644368"/>
        <c:axId val="632635248"/>
      </c:scatterChart>
      <c:catAx>
        <c:axId val="632644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ru-RU"/>
          </a:p>
        </c:txPr>
        <c:crossAx val="632635248"/>
        <c:crosses val="autoZero"/>
        <c:auto val="1"/>
        <c:lblAlgn val="ctr"/>
        <c:lblOffset val="100"/>
        <c:noMultiLvlLbl val="0"/>
      </c:catAx>
      <c:valAx>
        <c:axId val="632635248"/>
        <c:scaling>
          <c:orientation val="minMax"/>
          <c:min val="0"/>
        </c:scaling>
        <c:delete val="1"/>
        <c:axPos val="l"/>
        <c:numFmt formatCode="General" sourceLinked="1"/>
        <c:majorTickMark val="out"/>
        <c:minorTickMark val="none"/>
        <c:tickLblPos val="nextTo"/>
        <c:crossAx val="6326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8F72FF"/>
                  </a:gs>
                  <a:gs pos="70000">
                    <a:srgbClr val="673FFF"/>
                  </a:gs>
                </a:gsLst>
                <a:lin ang="5400000" scaled="0"/>
              </a:gradFill>
              <a:ln w="19050">
                <a:noFill/>
              </a:ln>
              <a:effectLst/>
            </c:spPr>
            <c:extLst>
              <c:ext xmlns:c16="http://schemas.microsoft.com/office/drawing/2014/chart" uri="{C3380CC4-5D6E-409C-BE32-E72D297353CC}">
                <c16:uniqueId val="{00000001-0DB0-46A7-8232-F79175FCB581}"/>
              </c:ext>
            </c:extLst>
          </c:dPt>
          <c:dPt>
            <c:idx val="1"/>
            <c:bubble3D val="0"/>
            <c:spPr>
              <a:gradFill flip="none" rotWithShape="1">
                <a:gsLst>
                  <a:gs pos="100000">
                    <a:srgbClr val="73F46A"/>
                  </a:gs>
                  <a:gs pos="0">
                    <a:srgbClr val="00C74D"/>
                  </a:gs>
                </a:gsLst>
                <a:lin ang="5400000" scaled="0"/>
                <a:tileRect/>
              </a:gradFill>
              <a:ln w="19050">
                <a:noFill/>
              </a:ln>
              <a:effectLst/>
            </c:spPr>
            <c:extLst>
              <c:ext xmlns:c16="http://schemas.microsoft.com/office/drawing/2014/chart" uri="{C3380CC4-5D6E-409C-BE32-E72D297353CC}">
                <c16:uniqueId val="{00000003-0DB0-46A7-8232-F79175FCB581}"/>
              </c:ext>
            </c:extLst>
          </c:dPt>
          <c:dPt>
            <c:idx val="2"/>
            <c:bubble3D val="0"/>
            <c:spPr>
              <a:gradFill>
                <a:gsLst>
                  <a:gs pos="100000">
                    <a:srgbClr val="00E8C1"/>
                  </a:gs>
                  <a:gs pos="0">
                    <a:srgbClr val="0795D3"/>
                  </a:gs>
                </a:gsLst>
                <a:lin ang="5400000" scaled="1"/>
              </a:gradFill>
              <a:ln w="19050">
                <a:noFill/>
              </a:ln>
              <a:effectLst/>
            </c:spPr>
            <c:extLst>
              <c:ext xmlns:c16="http://schemas.microsoft.com/office/drawing/2014/chart" uri="{C3380CC4-5D6E-409C-BE32-E72D297353CC}">
                <c16:uniqueId val="{00000005-0DB0-46A7-8232-F79175FCB581}"/>
              </c:ext>
            </c:extLst>
          </c:dPt>
          <c:dPt>
            <c:idx val="3"/>
            <c:bubble3D val="0"/>
            <c:spPr>
              <a:gradFill>
                <a:gsLst>
                  <a:gs pos="0">
                    <a:srgbClr val="178BFF"/>
                  </a:gs>
                  <a:gs pos="100000">
                    <a:srgbClr val="00AEFF"/>
                  </a:gs>
                </a:gsLst>
                <a:lin ang="0" scaled="0"/>
              </a:gradFill>
              <a:ln w="19050">
                <a:noFill/>
              </a:ln>
              <a:effectLst/>
            </c:spPr>
            <c:extLst>
              <c:ext xmlns:c16="http://schemas.microsoft.com/office/drawing/2014/chart" uri="{C3380CC4-5D6E-409C-BE32-E72D297353CC}">
                <c16:uniqueId val="{00000007-0DB0-46A7-8232-F79175FCB581}"/>
              </c:ext>
            </c:extLst>
          </c:dPt>
          <c:dPt>
            <c:idx val="4"/>
            <c:bubble3D val="0"/>
            <c:spPr>
              <a:gradFill>
                <a:gsLst>
                  <a:gs pos="9000">
                    <a:srgbClr val="FFE202"/>
                  </a:gs>
                  <a:gs pos="100000">
                    <a:srgbClr val="FD447E"/>
                  </a:gs>
                </a:gsLst>
                <a:lin ang="5400000" scaled="1"/>
              </a:gradFill>
              <a:ln w="19050">
                <a:noFill/>
              </a:ln>
              <a:effectLst/>
            </c:spPr>
            <c:extLst>
              <c:ext xmlns:c16="http://schemas.microsoft.com/office/drawing/2014/chart" uri="{C3380CC4-5D6E-409C-BE32-E72D297353CC}">
                <c16:uniqueId val="{00000009-0DB0-46A7-8232-F79175FCB581}"/>
              </c:ext>
            </c:extLst>
          </c:dPt>
          <c:dPt>
            <c:idx val="5"/>
            <c:bubble3D val="0"/>
            <c:spPr>
              <a:gradFill>
                <a:gsLst>
                  <a:gs pos="0">
                    <a:srgbClr val="680071"/>
                  </a:gs>
                  <a:gs pos="88000">
                    <a:srgbClr val="FF6CFF"/>
                  </a:gs>
                </a:gsLst>
                <a:lin ang="5400000" scaled="1"/>
              </a:gradFill>
              <a:ln w="19050">
                <a:noFill/>
              </a:ln>
              <a:effectLst/>
            </c:spPr>
            <c:extLst>
              <c:ext xmlns:c16="http://schemas.microsoft.com/office/drawing/2014/chart" uri="{C3380CC4-5D6E-409C-BE32-E72D297353CC}">
                <c16:uniqueId val="{0000000B-0DB0-46A7-8232-F79175FCB581}"/>
              </c:ext>
            </c:extLst>
          </c:dPt>
          <c:dPt>
            <c:idx val="6"/>
            <c:bubble3D val="0"/>
            <c:spPr>
              <a:solidFill>
                <a:srgbClr val="00405A"/>
              </a:solidFill>
              <a:ln w="19050">
                <a:noFill/>
              </a:ln>
              <a:effectLst/>
            </c:spPr>
            <c:extLst>
              <c:ext xmlns:c16="http://schemas.microsoft.com/office/drawing/2014/chart" uri="{C3380CC4-5D6E-409C-BE32-E72D297353CC}">
                <c16:uniqueId val="{0000000D-0DB0-46A7-8232-F79175FCB581}"/>
              </c:ext>
            </c:extLst>
          </c:dPt>
          <c:dPt>
            <c:idx val="7"/>
            <c:bubble3D val="0"/>
            <c:spPr>
              <a:gradFill>
                <a:gsLst>
                  <a:gs pos="90000">
                    <a:srgbClr val="246691"/>
                  </a:gs>
                  <a:gs pos="0">
                    <a:srgbClr val="68A8DC"/>
                  </a:gs>
                </a:gsLst>
                <a:lin ang="0" scaled="0"/>
              </a:gradFill>
              <a:ln w="19050">
                <a:noFill/>
              </a:ln>
              <a:effectLst/>
            </c:spPr>
            <c:extLst>
              <c:ext xmlns:c16="http://schemas.microsoft.com/office/drawing/2014/chart" uri="{C3380CC4-5D6E-409C-BE32-E72D297353CC}">
                <c16:uniqueId val="{0000000F-0DB0-46A7-8232-F79175FCB581}"/>
              </c:ext>
            </c:extLst>
          </c:dPt>
          <c:dPt>
            <c:idx val="8"/>
            <c:bubble3D val="0"/>
            <c:spPr>
              <a:noFill/>
              <a:ln w="19050">
                <a:noFill/>
              </a:ln>
              <a:effectLst/>
            </c:spPr>
            <c:extLst>
              <c:ext xmlns:c16="http://schemas.microsoft.com/office/drawing/2014/chart" uri="{C3380CC4-5D6E-409C-BE32-E72D297353CC}">
                <c16:uniqueId val="{00000011-0DB0-46A7-8232-F79175FCB581}"/>
              </c:ext>
            </c:extLst>
          </c:dPt>
          <c:val>
            <c:numRef>
              <c:f>Processing!$C$3:$C$11</c:f>
              <c:numCache>
                <c:formatCode>General</c:formatCode>
                <c:ptCount val="9"/>
                <c:pt idx="0">
                  <c:v>146350</c:v>
                </c:pt>
                <c:pt idx="1">
                  <c:v>189850</c:v>
                </c:pt>
                <c:pt idx="2">
                  <c:v>267390</c:v>
                </c:pt>
                <c:pt idx="3">
                  <c:v>156530</c:v>
                </c:pt>
                <c:pt idx="4">
                  <c:v>284950</c:v>
                </c:pt>
                <c:pt idx="5">
                  <c:v>216060</c:v>
                </c:pt>
                <c:pt idx="6">
                  <c:v>293660</c:v>
                </c:pt>
                <c:pt idx="7">
                  <c:v>222130</c:v>
                </c:pt>
                <c:pt idx="8">
                  <c:v>0</c:v>
                </c:pt>
              </c:numCache>
            </c:numRef>
          </c:val>
          <c:extLst>
            <c:ext xmlns:c16="http://schemas.microsoft.com/office/drawing/2014/chart" uri="{C3380CC4-5D6E-409C-BE32-E72D297353CC}">
              <c16:uniqueId val="{00000012-0DB0-46A7-8232-F79175FCB581}"/>
            </c:ext>
          </c:extLst>
        </c:ser>
        <c:ser>
          <c:idx val="1"/>
          <c:order val="1"/>
          <c:spPr>
            <a:ln>
              <a:noFill/>
            </a:ln>
          </c:spPr>
          <c:dPt>
            <c:idx val="0"/>
            <c:bubble3D val="0"/>
            <c:spPr>
              <a:gradFill>
                <a:gsLst>
                  <a:gs pos="0">
                    <a:srgbClr val="8F72FF"/>
                  </a:gs>
                  <a:gs pos="70000">
                    <a:srgbClr val="673FFF"/>
                  </a:gs>
                </a:gsLst>
                <a:lin ang="5400000" scaled="0"/>
              </a:gradFill>
              <a:ln w="19050">
                <a:noFill/>
              </a:ln>
              <a:effectLst/>
            </c:spPr>
            <c:extLst>
              <c:ext xmlns:c16="http://schemas.microsoft.com/office/drawing/2014/chart" uri="{C3380CC4-5D6E-409C-BE32-E72D297353CC}">
                <c16:uniqueId val="{00000014-0DB0-46A7-8232-F79175FCB581}"/>
              </c:ext>
            </c:extLst>
          </c:dPt>
          <c:dPt>
            <c:idx val="1"/>
            <c:bubble3D val="0"/>
            <c:spPr>
              <a:gradFill flip="none" rotWithShape="1">
                <a:gsLst>
                  <a:gs pos="100000">
                    <a:srgbClr val="73F46A"/>
                  </a:gs>
                  <a:gs pos="0">
                    <a:srgbClr val="00C74D"/>
                  </a:gs>
                </a:gsLst>
                <a:lin ang="5400000" scaled="0"/>
                <a:tileRect/>
              </a:gradFill>
              <a:ln w="19050">
                <a:noFill/>
              </a:ln>
              <a:effectLst/>
            </c:spPr>
            <c:extLst>
              <c:ext xmlns:c16="http://schemas.microsoft.com/office/drawing/2014/chart" uri="{C3380CC4-5D6E-409C-BE32-E72D297353CC}">
                <c16:uniqueId val="{00000016-0DB0-46A7-8232-F79175FCB581}"/>
              </c:ext>
            </c:extLst>
          </c:dPt>
          <c:dPt>
            <c:idx val="2"/>
            <c:bubble3D val="0"/>
            <c:spPr>
              <a:gradFill>
                <a:gsLst>
                  <a:gs pos="100000">
                    <a:srgbClr val="00E8C1"/>
                  </a:gs>
                  <a:gs pos="0">
                    <a:srgbClr val="0795D3"/>
                  </a:gs>
                </a:gsLst>
                <a:lin ang="5400000" scaled="1"/>
              </a:gradFill>
              <a:ln w="19050">
                <a:noFill/>
              </a:ln>
              <a:effectLst/>
            </c:spPr>
            <c:extLst>
              <c:ext xmlns:c16="http://schemas.microsoft.com/office/drawing/2014/chart" uri="{C3380CC4-5D6E-409C-BE32-E72D297353CC}">
                <c16:uniqueId val="{00000018-0DB0-46A7-8232-F79175FCB581}"/>
              </c:ext>
            </c:extLst>
          </c:dPt>
          <c:dPt>
            <c:idx val="3"/>
            <c:bubble3D val="0"/>
            <c:spPr>
              <a:gradFill>
                <a:gsLst>
                  <a:gs pos="0">
                    <a:srgbClr val="178BFF"/>
                  </a:gs>
                  <a:gs pos="100000">
                    <a:srgbClr val="00AEFF"/>
                  </a:gs>
                </a:gsLst>
                <a:lin ang="0" scaled="0"/>
              </a:gradFill>
              <a:ln w="19050">
                <a:noFill/>
              </a:ln>
              <a:effectLst/>
            </c:spPr>
            <c:extLst>
              <c:ext xmlns:c16="http://schemas.microsoft.com/office/drawing/2014/chart" uri="{C3380CC4-5D6E-409C-BE32-E72D297353CC}">
                <c16:uniqueId val="{0000001A-0DB0-46A7-8232-F79175FCB581}"/>
              </c:ext>
            </c:extLst>
          </c:dPt>
          <c:dPt>
            <c:idx val="4"/>
            <c:bubble3D val="0"/>
            <c:spPr>
              <a:gradFill>
                <a:gsLst>
                  <a:gs pos="9000">
                    <a:srgbClr val="FFE202"/>
                  </a:gs>
                  <a:gs pos="100000">
                    <a:srgbClr val="FD447E"/>
                  </a:gs>
                </a:gsLst>
                <a:lin ang="5400000" scaled="1"/>
              </a:gradFill>
              <a:ln w="19050">
                <a:noFill/>
              </a:ln>
              <a:effectLst/>
            </c:spPr>
            <c:extLst>
              <c:ext xmlns:c16="http://schemas.microsoft.com/office/drawing/2014/chart" uri="{C3380CC4-5D6E-409C-BE32-E72D297353CC}">
                <c16:uniqueId val="{0000001C-0DB0-46A7-8232-F79175FCB581}"/>
              </c:ext>
            </c:extLst>
          </c:dPt>
          <c:dPt>
            <c:idx val="5"/>
            <c:bubble3D val="0"/>
            <c:spPr>
              <a:gradFill>
                <a:gsLst>
                  <a:gs pos="0">
                    <a:srgbClr val="680071"/>
                  </a:gs>
                  <a:gs pos="88000">
                    <a:srgbClr val="FF6CFF"/>
                  </a:gs>
                </a:gsLst>
                <a:lin ang="5400000" scaled="1"/>
              </a:gradFill>
              <a:ln w="19050">
                <a:noFill/>
              </a:ln>
              <a:effectLst/>
            </c:spPr>
            <c:extLst>
              <c:ext xmlns:c16="http://schemas.microsoft.com/office/drawing/2014/chart" uri="{C3380CC4-5D6E-409C-BE32-E72D297353CC}">
                <c16:uniqueId val="{0000001E-0DB0-46A7-8232-F79175FCB581}"/>
              </c:ext>
            </c:extLst>
          </c:dPt>
          <c:dPt>
            <c:idx val="6"/>
            <c:bubble3D val="0"/>
            <c:spPr>
              <a:solidFill>
                <a:srgbClr val="00405A"/>
              </a:solidFill>
              <a:ln w="19050">
                <a:noFill/>
              </a:ln>
              <a:effectLst/>
            </c:spPr>
            <c:extLst>
              <c:ext xmlns:c16="http://schemas.microsoft.com/office/drawing/2014/chart" uri="{C3380CC4-5D6E-409C-BE32-E72D297353CC}">
                <c16:uniqueId val="{00000020-0DB0-46A7-8232-F79175FCB581}"/>
              </c:ext>
            </c:extLst>
          </c:dPt>
          <c:dPt>
            <c:idx val="7"/>
            <c:bubble3D val="0"/>
            <c:spPr>
              <a:gradFill>
                <a:gsLst>
                  <a:gs pos="90000">
                    <a:srgbClr val="246691"/>
                  </a:gs>
                  <a:gs pos="0">
                    <a:srgbClr val="68A8DC"/>
                  </a:gs>
                </a:gsLst>
                <a:lin ang="0" scaled="0"/>
              </a:gradFill>
              <a:ln w="19050">
                <a:noFill/>
              </a:ln>
              <a:effectLst/>
            </c:spPr>
            <c:extLst>
              <c:ext xmlns:c16="http://schemas.microsoft.com/office/drawing/2014/chart" uri="{C3380CC4-5D6E-409C-BE32-E72D297353CC}">
                <c16:uniqueId val="{00000022-0DB0-46A7-8232-F79175FCB581}"/>
              </c:ext>
            </c:extLst>
          </c:dPt>
          <c:dPt>
            <c:idx val="8"/>
            <c:bubble3D val="0"/>
            <c:spPr>
              <a:noFill/>
              <a:ln w="19050">
                <a:noFill/>
              </a:ln>
              <a:effectLst/>
            </c:spPr>
            <c:extLst>
              <c:ext xmlns:c16="http://schemas.microsoft.com/office/drawing/2014/chart" uri="{C3380CC4-5D6E-409C-BE32-E72D297353CC}">
                <c16:uniqueId val="{00000024-0DB0-46A7-8232-F79175FCB581}"/>
              </c:ext>
            </c:extLst>
          </c:dPt>
          <c:val>
            <c:numRef>
              <c:f>Processing!$D$3:$D$11</c:f>
              <c:numCache>
                <c:formatCode>General</c:formatCode>
                <c:ptCount val="9"/>
                <c:pt idx="0">
                  <c:v>146350</c:v>
                </c:pt>
                <c:pt idx="1">
                  <c:v>189850</c:v>
                </c:pt>
                <c:pt idx="2">
                  <c:v>267390</c:v>
                </c:pt>
                <c:pt idx="3">
                  <c:v>156530</c:v>
                </c:pt>
                <c:pt idx="4">
                  <c:v>284950</c:v>
                </c:pt>
                <c:pt idx="5">
                  <c:v>216060</c:v>
                </c:pt>
                <c:pt idx="6">
                  <c:v>293660</c:v>
                </c:pt>
                <c:pt idx="7">
                  <c:v>222130</c:v>
                </c:pt>
                <c:pt idx="8">
                  <c:v>0</c:v>
                </c:pt>
              </c:numCache>
            </c:numRef>
          </c:val>
          <c:extLst>
            <c:ext xmlns:c16="http://schemas.microsoft.com/office/drawing/2014/chart" uri="{C3380CC4-5D6E-409C-BE32-E72D297353CC}">
              <c16:uniqueId val="{00000025-0DB0-46A7-8232-F79175FCB581}"/>
            </c:ext>
          </c:extLst>
        </c:ser>
        <c:ser>
          <c:idx val="2"/>
          <c:order val="2"/>
          <c:spPr>
            <a:ln>
              <a:noFill/>
            </a:ln>
          </c:spPr>
          <c:dPt>
            <c:idx val="0"/>
            <c:bubble3D val="0"/>
            <c:spPr>
              <a:gradFill>
                <a:gsLst>
                  <a:gs pos="0">
                    <a:srgbClr val="8F72FF"/>
                  </a:gs>
                  <a:gs pos="70000">
                    <a:srgbClr val="673FFF"/>
                  </a:gs>
                </a:gsLst>
                <a:lin ang="5400000" scaled="0"/>
              </a:gradFill>
              <a:ln w="19050">
                <a:noFill/>
              </a:ln>
              <a:effectLst/>
            </c:spPr>
            <c:extLst>
              <c:ext xmlns:c16="http://schemas.microsoft.com/office/drawing/2014/chart" uri="{C3380CC4-5D6E-409C-BE32-E72D297353CC}">
                <c16:uniqueId val="{00000027-0DB0-46A7-8232-F79175FCB581}"/>
              </c:ext>
            </c:extLst>
          </c:dPt>
          <c:dPt>
            <c:idx val="1"/>
            <c:bubble3D val="0"/>
            <c:spPr>
              <a:gradFill flip="none" rotWithShape="1">
                <a:gsLst>
                  <a:gs pos="100000">
                    <a:srgbClr val="73F46A"/>
                  </a:gs>
                  <a:gs pos="0">
                    <a:srgbClr val="00C74D"/>
                  </a:gs>
                </a:gsLst>
                <a:lin ang="5400000" scaled="0"/>
                <a:tileRect/>
              </a:gradFill>
              <a:ln w="19050">
                <a:noFill/>
              </a:ln>
              <a:effectLst/>
            </c:spPr>
            <c:extLst>
              <c:ext xmlns:c16="http://schemas.microsoft.com/office/drawing/2014/chart" uri="{C3380CC4-5D6E-409C-BE32-E72D297353CC}">
                <c16:uniqueId val="{00000029-0DB0-46A7-8232-F79175FCB581}"/>
              </c:ext>
            </c:extLst>
          </c:dPt>
          <c:dPt>
            <c:idx val="2"/>
            <c:bubble3D val="0"/>
            <c:spPr>
              <a:gradFill>
                <a:gsLst>
                  <a:gs pos="100000">
                    <a:srgbClr val="00E8C1"/>
                  </a:gs>
                  <a:gs pos="0">
                    <a:srgbClr val="0795D3"/>
                  </a:gs>
                </a:gsLst>
                <a:lin ang="5400000" scaled="1"/>
              </a:gradFill>
              <a:ln w="19050">
                <a:noFill/>
              </a:ln>
              <a:effectLst/>
            </c:spPr>
            <c:extLst>
              <c:ext xmlns:c16="http://schemas.microsoft.com/office/drawing/2014/chart" uri="{C3380CC4-5D6E-409C-BE32-E72D297353CC}">
                <c16:uniqueId val="{0000002B-0DB0-46A7-8232-F79175FCB581}"/>
              </c:ext>
            </c:extLst>
          </c:dPt>
          <c:dPt>
            <c:idx val="3"/>
            <c:bubble3D val="0"/>
            <c:spPr>
              <a:solidFill>
                <a:srgbClr val="021428"/>
              </a:solidFill>
              <a:ln w="19050">
                <a:noFill/>
              </a:ln>
              <a:effectLst/>
            </c:spPr>
            <c:extLst>
              <c:ext xmlns:c16="http://schemas.microsoft.com/office/drawing/2014/chart" uri="{C3380CC4-5D6E-409C-BE32-E72D297353CC}">
                <c16:uniqueId val="{0000002D-0DB0-46A7-8232-F79175FCB581}"/>
              </c:ext>
            </c:extLst>
          </c:dPt>
          <c:dPt>
            <c:idx val="4"/>
            <c:bubble3D val="0"/>
            <c:spPr>
              <a:gradFill>
                <a:gsLst>
                  <a:gs pos="9000">
                    <a:srgbClr val="FFE202"/>
                  </a:gs>
                  <a:gs pos="100000">
                    <a:srgbClr val="FD447E"/>
                  </a:gs>
                </a:gsLst>
                <a:lin ang="5400000" scaled="1"/>
              </a:gradFill>
              <a:ln w="19050">
                <a:noFill/>
              </a:ln>
              <a:effectLst/>
            </c:spPr>
            <c:extLst>
              <c:ext xmlns:c16="http://schemas.microsoft.com/office/drawing/2014/chart" uri="{C3380CC4-5D6E-409C-BE32-E72D297353CC}">
                <c16:uniqueId val="{0000002F-0DB0-46A7-8232-F79175FCB581}"/>
              </c:ext>
            </c:extLst>
          </c:dPt>
          <c:dPt>
            <c:idx val="5"/>
            <c:bubble3D val="0"/>
            <c:spPr>
              <a:gradFill>
                <a:gsLst>
                  <a:gs pos="0">
                    <a:srgbClr val="680071"/>
                  </a:gs>
                  <a:gs pos="88000">
                    <a:srgbClr val="FF6CFF"/>
                  </a:gs>
                </a:gsLst>
                <a:lin ang="5400000" scaled="1"/>
              </a:gradFill>
              <a:ln w="19050">
                <a:noFill/>
              </a:ln>
              <a:effectLst/>
            </c:spPr>
            <c:extLst>
              <c:ext xmlns:c16="http://schemas.microsoft.com/office/drawing/2014/chart" uri="{C3380CC4-5D6E-409C-BE32-E72D297353CC}">
                <c16:uniqueId val="{00000031-0DB0-46A7-8232-F79175FCB581}"/>
              </c:ext>
            </c:extLst>
          </c:dPt>
          <c:dPt>
            <c:idx val="6"/>
            <c:bubble3D val="0"/>
            <c:spPr>
              <a:noFill/>
              <a:ln w="19050">
                <a:noFill/>
              </a:ln>
              <a:effectLst/>
            </c:spPr>
            <c:extLst>
              <c:ext xmlns:c16="http://schemas.microsoft.com/office/drawing/2014/chart" uri="{C3380CC4-5D6E-409C-BE32-E72D297353CC}">
                <c16:uniqueId val="{00000033-0DB0-46A7-8232-F79175FCB581}"/>
              </c:ext>
            </c:extLst>
          </c:dPt>
          <c:dPt>
            <c:idx val="7"/>
            <c:bubble3D val="0"/>
            <c:spPr>
              <a:gradFill>
                <a:gsLst>
                  <a:gs pos="90000">
                    <a:srgbClr val="246691"/>
                  </a:gs>
                  <a:gs pos="0">
                    <a:srgbClr val="68A8DC"/>
                  </a:gs>
                </a:gsLst>
                <a:lin ang="0" scaled="0"/>
              </a:gradFill>
              <a:ln w="19050">
                <a:noFill/>
              </a:ln>
              <a:effectLst/>
            </c:spPr>
            <c:extLst>
              <c:ext xmlns:c16="http://schemas.microsoft.com/office/drawing/2014/chart" uri="{C3380CC4-5D6E-409C-BE32-E72D297353CC}">
                <c16:uniqueId val="{00000035-0DB0-46A7-8232-F79175FCB581}"/>
              </c:ext>
            </c:extLst>
          </c:dPt>
          <c:dPt>
            <c:idx val="8"/>
            <c:bubble3D val="0"/>
            <c:spPr>
              <a:noFill/>
              <a:ln w="19050">
                <a:noFill/>
              </a:ln>
              <a:effectLst/>
            </c:spPr>
            <c:extLst>
              <c:ext xmlns:c16="http://schemas.microsoft.com/office/drawing/2014/chart" uri="{C3380CC4-5D6E-409C-BE32-E72D297353CC}">
                <c16:uniqueId val="{00000037-0DB0-46A7-8232-F79175FCB581}"/>
              </c:ext>
            </c:extLst>
          </c:dPt>
          <c:val>
            <c:numRef>
              <c:f>Processing!$E$3:$E$11</c:f>
              <c:numCache>
                <c:formatCode>General</c:formatCode>
                <c:ptCount val="9"/>
                <c:pt idx="0">
                  <c:v>146350</c:v>
                </c:pt>
                <c:pt idx="1">
                  <c:v>189850</c:v>
                </c:pt>
                <c:pt idx="2">
                  <c:v>267390</c:v>
                </c:pt>
                <c:pt idx="3">
                  <c:v>156530</c:v>
                </c:pt>
                <c:pt idx="4">
                  <c:v>284950</c:v>
                </c:pt>
                <c:pt idx="5">
                  <c:v>216060</c:v>
                </c:pt>
                <c:pt idx="6">
                  <c:v>293660</c:v>
                </c:pt>
                <c:pt idx="7">
                  <c:v>222130</c:v>
                </c:pt>
                <c:pt idx="8">
                  <c:v>0</c:v>
                </c:pt>
              </c:numCache>
            </c:numRef>
          </c:val>
          <c:extLst>
            <c:ext xmlns:c16="http://schemas.microsoft.com/office/drawing/2014/chart" uri="{C3380CC4-5D6E-409C-BE32-E72D297353CC}">
              <c16:uniqueId val="{00000038-0DB0-46A7-8232-F79175FCB581}"/>
            </c:ext>
          </c:extLst>
        </c:ser>
        <c:ser>
          <c:idx val="3"/>
          <c:order val="3"/>
          <c:spPr>
            <a:ln>
              <a:noFill/>
            </a:ln>
          </c:spPr>
          <c:dPt>
            <c:idx val="0"/>
            <c:bubble3D val="0"/>
            <c:spPr>
              <a:gradFill>
                <a:gsLst>
                  <a:gs pos="0">
                    <a:srgbClr val="8F72FF"/>
                  </a:gs>
                  <a:gs pos="70000">
                    <a:srgbClr val="673FFF"/>
                  </a:gs>
                </a:gsLst>
                <a:lin ang="5400000" scaled="0"/>
              </a:gradFill>
              <a:ln w="19050">
                <a:noFill/>
              </a:ln>
              <a:effectLst/>
            </c:spPr>
            <c:extLst>
              <c:ext xmlns:c16="http://schemas.microsoft.com/office/drawing/2014/chart" uri="{C3380CC4-5D6E-409C-BE32-E72D297353CC}">
                <c16:uniqueId val="{0000003A-0DB0-46A7-8232-F79175FCB581}"/>
              </c:ext>
            </c:extLst>
          </c:dPt>
          <c:dPt>
            <c:idx val="1"/>
            <c:bubble3D val="0"/>
            <c:spPr>
              <a:noFill/>
              <a:ln w="19050">
                <a:noFill/>
              </a:ln>
              <a:effectLst/>
            </c:spPr>
            <c:extLst>
              <c:ext xmlns:c16="http://schemas.microsoft.com/office/drawing/2014/chart" uri="{C3380CC4-5D6E-409C-BE32-E72D297353CC}">
                <c16:uniqueId val="{0000003C-0DB0-46A7-8232-F79175FCB581}"/>
              </c:ext>
            </c:extLst>
          </c:dPt>
          <c:dPt>
            <c:idx val="2"/>
            <c:bubble3D val="0"/>
            <c:spPr>
              <a:gradFill>
                <a:gsLst>
                  <a:gs pos="100000">
                    <a:srgbClr val="00E8C1"/>
                  </a:gs>
                  <a:gs pos="0">
                    <a:srgbClr val="0795D3"/>
                  </a:gs>
                </a:gsLst>
                <a:lin ang="5400000" scaled="1"/>
              </a:gradFill>
              <a:ln w="19050">
                <a:noFill/>
              </a:ln>
              <a:effectLst/>
            </c:spPr>
            <c:extLst>
              <c:ext xmlns:c16="http://schemas.microsoft.com/office/drawing/2014/chart" uri="{C3380CC4-5D6E-409C-BE32-E72D297353CC}">
                <c16:uniqueId val="{0000003E-0DB0-46A7-8232-F79175FCB581}"/>
              </c:ext>
            </c:extLst>
          </c:dPt>
          <c:dPt>
            <c:idx val="3"/>
            <c:bubble3D val="0"/>
            <c:spPr>
              <a:noFill/>
              <a:ln w="19050">
                <a:noFill/>
              </a:ln>
              <a:effectLst/>
            </c:spPr>
            <c:extLst>
              <c:ext xmlns:c16="http://schemas.microsoft.com/office/drawing/2014/chart" uri="{C3380CC4-5D6E-409C-BE32-E72D297353CC}">
                <c16:uniqueId val="{00000040-0DB0-46A7-8232-F79175FCB581}"/>
              </c:ext>
            </c:extLst>
          </c:dPt>
          <c:dPt>
            <c:idx val="4"/>
            <c:bubble3D val="0"/>
            <c:spPr>
              <a:gradFill>
                <a:gsLst>
                  <a:gs pos="9000">
                    <a:srgbClr val="FFE202"/>
                  </a:gs>
                  <a:gs pos="100000">
                    <a:srgbClr val="FD447E"/>
                  </a:gs>
                </a:gsLst>
                <a:lin ang="5400000" scaled="1"/>
              </a:gradFill>
              <a:ln w="19050">
                <a:noFill/>
              </a:ln>
              <a:effectLst/>
            </c:spPr>
            <c:extLst>
              <c:ext xmlns:c16="http://schemas.microsoft.com/office/drawing/2014/chart" uri="{C3380CC4-5D6E-409C-BE32-E72D297353CC}">
                <c16:uniqueId val="{00000042-0DB0-46A7-8232-F79175FCB581}"/>
              </c:ext>
            </c:extLst>
          </c:dPt>
          <c:dPt>
            <c:idx val="5"/>
            <c:bubble3D val="0"/>
            <c:spPr>
              <a:noFill/>
              <a:ln w="19050">
                <a:noFill/>
              </a:ln>
              <a:effectLst/>
            </c:spPr>
            <c:extLst>
              <c:ext xmlns:c16="http://schemas.microsoft.com/office/drawing/2014/chart" uri="{C3380CC4-5D6E-409C-BE32-E72D297353CC}">
                <c16:uniqueId val="{00000044-0DB0-46A7-8232-F79175FCB581}"/>
              </c:ext>
            </c:extLst>
          </c:dPt>
          <c:dPt>
            <c:idx val="6"/>
            <c:bubble3D val="0"/>
            <c:spPr>
              <a:noFill/>
              <a:ln w="19050">
                <a:noFill/>
              </a:ln>
              <a:effectLst/>
            </c:spPr>
            <c:extLst>
              <c:ext xmlns:c16="http://schemas.microsoft.com/office/drawing/2014/chart" uri="{C3380CC4-5D6E-409C-BE32-E72D297353CC}">
                <c16:uniqueId val="{00000046-0DB0-46A7-8232-F79175FCB581}"/>
              </c:ext>
            </c:extLst>
          </c:dPt>
          <c:dPt>
            <c:idx val="7"/>
            <c:bubble3D val="0"/>
            <c:spPr>
              <a:noFill/>
              <a:ln w="19050">
                <a:noFill/>
              </a:ln>
              <a:effectLst/>
            </c:spPr>
            <c:extLst>
              <c:ext xmlns:c16="http://schemas.microsoft.com/office/drawing/2014/chart" uri="{C3380CC4-5D6E-409C-BE32-E72D297353CC}">
                <c16:uniqueId val="{00000048-0DB0-46A7-8232-F79175FCB581}"/>
              </c:ext>
            </c:extLst>
          </c:dPt>
          <c:dPt>
            <c:idx val="8"/>
            <c:bubble3D val="0"/>
            <c:spPr>
              <a:noFill/>
              <a:ln w="19050">
                <a:noFill/>
              </a:ln>
              <a:effectLst/>
            </c:spPr>
            <c:extLst>
              <c:ext xmlns:c16="http://schemas.microsoft.com/office/drawing/2014/chart" uri="{C3380CC4-5D6E-409C-BE32-E72D297353CC}">
                <c16:uniqueId val="{0000004A-0DB0-46A7-8232-F79175FCB581}"/>
              </c:ext>
            </c:extLst>
          </c:dPt>
          <c:val>
            <c:numRef>
              <c:f>Processing!$F$3:$F$11</c:f>
              <c:numCache>
                <c:formatCode>General</c:formatCode>
                <c:ptCount val="9"/>
                <c:pt idx="0">
                  <c:v>146350</c:v>
                </c:pt>
                <c:pt idx="1">
                  <c:v>189850</c:v>
                </c:pt>
                <c:pt idx="2">
                  <c:v>267390</c:v>
                </c:pt>
                <c:pt idx="3">
                  <c:v>156530</c:v>
                </c:pt>
                <c:pt idx="4">
                  <c:v>284950</c:v>
                </c:pt>
                <c:pt idx="5">
                  <c:v>216060</c:v>
                </c:pt>
                <c:pt idx="6">
                  <c:v>293660</c:v>
                </c:pt>
                <c:pt idx="7">
                  <c:v>222130</c:v>
                </c:pt>
                <c:pt idx="8">
                  <c:v>0</c:v>
                </c:pt>
              </c:numCache>
            </c:numRef>
          </c:val>
          <c:extLst>
            <c:ext xmlns:c16="http://schemas.microsoft.com/office/drawing/2014/chart" uri="{C3380CC4-5D6E-409C-BE32-E72D297353CC}">
              <c16:uniqueId val="{0000004B-0DB0-46A7-8232-F79175FCB581}"/>
            </c:ext>
          </c:extLst>
        </c:ser>
        <c:ser>
          <c:idx val="4"/>
          <c:order val="4"/>
          <c:spPr>
            <a:ln>
              <a:noFill/>
            </a:ln>
          </c:spPr>
          <c:dPt>
            <c:idx val="0"/>
            <c:bubble3D val="0"/>
            <c:spPr>
              <a:gradFill flip="none" rotWithShape="1">
                <a:gsLst>
                  <a:gs pos="0">
                    <a:srgbClr val="8F72FF"/>
                  </a:gs>
                  <a:gs pos="70000">
                    <a:srgbClr val="673FFF"/>
                  </a:gs>
                </a:gsLst>
                <a:lin ang="5400000" scaled="0"/>
                <a:tileRect/>
              </a:gradFill>
              <a:ln w="19050">
                <a:noFill/>
              </a:ln>
              <a:effectLst/>
            </c:spPr>
            <c:extLst>
              <c:ext xmlns:c16="http://schemas.microsoft.com/office/drawing/2014/chart" uri="{C3380CC4-5D6E-409C-BE32-E72D297353CC}">
                <c16:uniqueId val="{0000004D-0DB0-46A7-8232-F79175FCB581}"/>
              </c:ext>
            </c:extLst>
          </c:dPt>
          <c:dPt>
            <c:idx val="1"/>
            <c:bubble3D val="0"/>
            <c:spPr>
              <a:noFill/>
              <a:ln w="19050">
                <a:noFill/>
              </a:ln>
              <a:effectLst/>
            </c:spPr>
            <c:extLst>
              <c:ext xmlns:c16="http://schemas.microsoft.com/office/drawing/2014/chart" uri="{C3380CC4-5D6E-409C-BE32-E72D297353CC}">
                <c16:uniqueId val="{0000004F-0DB0-46A7-8232-F79175FCB581}"/>
              </c:ext>
            </c:extLst>
          </c:dPt>
          <c:dPt>
            <c:idx val="2"/>
            <c:bubble3D val="0"/>
            <c:spPr>
              <a:noFill/>
              <a:ln w="19050">
                <a:noFill/>
              </a:ln>
              <a:effectLst/>
            </c:spPr>
            <c:extLst>
              <c:ext xmlns:c16="http://schemas.microsoft.com/office/drawing/2014/chart" uri="{C3380CC4-5D6E-409C-BE32-E72D297353CC}">
                <c16:uniqueId val="{00000051-0DB0-46A7-8232-F79175FCB581}"/>
              </c:ext>
            </c:extLst>
          </c:dPt>
          <c:dPt>
            <c:idx val="3"/>
            <c:bubble3D val="0"/>
            <c:spPr>
              <a:noFill/>
              <a:ln w="19050">
                <a:noFill/>
              </a:ln>
              <a:effectLst/>
            </c:spPr>
            <c:extLst>
              <c:ext xmlns:c16="http://schemas.microsoft.com/office/drawing/2014/chart" uri="{C3380CC4-5D6E-409C-BE32-E72D297353CC}">
                <c16:uniqueId val="{00000053-0DB0-46A7-8232-F79175FCB581}"/>
              </c:ext>
            </c:extLst>
          </c:dPt>
          <c:dPt>
            <c:idx val="4"/>
            <c:bubble3D val="0"/>
            <c:spPr>
              <a:gradFill>
                <a:gsLst>
                  <a:gs pos="9000">
                    <a:srgbClr val="FFE202"/>
                  </a:gs>
                  <a:gs pos="100000">
                    <a:srgbClr val="FD447E"/>
                  </a:gs>
                </a:gsLst>
                <a:lin ang="5400000" scaled="1"/>
              </a:gradFill>
              <a:ln w="19050">
                <a:noFill/>
              </a:ln>
              <a:effectLst/>
            </c:spPr>
            <c:extLst>
              <c:ext xmlns:c16="http://schemas.microsoft.com/office/drawing/2014/chart" uri="{C3380CC4-5D6E-409C-BE32-E72D297353CC}">
                <c16:uniqueId val="{00000055-0DB0-46A7-8232-F79175FCB581}"/>
              </c:ext>
            </c:extLst>
          </c:dPt>
          <c:dPt>
            <c:idx val="5"/>
            <c:bubble3D val="0"/>
            <c:spPr>
              <a:noFill/>
              <a:ln w="19050">
                <a:noFill/>
              </a:ln>
              <a:effectLst/>
            </c:spPr>
            <c:extLst>
              <c:ext xmlns:c16="http://schemas.microsoft.com/office/drawing/2014/chart" uri="{C3380CC4-5D6E-409C-BE32-E72D297353CC}">
                <c16:uniqueId val="{00000057-0DB0-46A7-8232-F79175FCB581}"/>
              </c:ext>
            </c:extLst>
          </c:dPt>
          <c:dPt>
            <c:idx val="6"/>
            <c:bubble3D val="0"/>
            <c:spPr>
              <a:noFill/>
              <a:ln w="19050">
                <a:noFill/>
              </a:ln>
              <a:effectLst/>
            </c:spPr>
            <c:extLst>
              <c:ext xmlns:c16="http://schemas.microsoft.com/office/drawing/2014/chart" uri="{C3380CC4-5D6E-409C-BE32-E72D297353CC}">
                <c16:uniqueId val="{00000059-0DB0-46A7-8232-F79175FCB581}"/>
              </c:ext>
            </c:extLst>
          </c:dPt>
          <c:dPt>
            <c:idx val="7"/>
            <c:bubble3D val="0"/>
            <c:spPr>
              <a:noFill/>
              <a:ln w="19050">
                <a:noFill/>
              </a:ln>
              <a:effectLst/>
            </c:spPr>
            <c:extLst>
              <c:ext xmlns:c16="http://schemas.microsoft.com/office/drawing/2014/chart" uri="{C3380CC4-5D6E-409C-BE32-E72D297353CC}">
                <c16:uniqueId val="{0000005B-0DB0-46A7-8232-F79175FCB581}"/>
              </c:ext>
            </c:extLst>
          </c:dPt>
          <c:dPt>
            <c:idx val="8"/>
            <c:bubble3D val="0"/>
            <c:spPr>
              <a:noFill/>
              <a:ln w="19050">
                <a:noFill/>
              </a:ln>
              <a:effectLst/>
            </c:spPr>
            <c:extLst>
              <c:ext xmlns:c16="http://schemas.microsoft.com/office/drawing/2014/chart" uri="{C3380CC4-5D6E-409C-BE32-E72D297353CC}">
                <c16:uniqueId val="{0000005D-0DB0-46A7-8232-F79175FCB581}"/>
              </c:ext>
            </c:extLst>
          </c:dPt>
          <c:val>
            <c:numRef>
              <c:f>Processing!$G$3:$G$11</c:f>
              <c:numCache>
                <c:formatCode>General</c:formatCode>
                <c:ptCount val="9"/>
                <c:pt idx="0">
                  <c:v>146350</c:v>
                </c:pt>
                <c:pt idx="1">
                  <c:v>189850</c:v>
                </c:pt>
                <c:pt idx="2">
                  <c:v>267390</c:v>
                </c:pt>
                <c:pt idx="3">
                  <c:v>156530</c:v>
                </c:pt>
                <c:pt idx="4">
                  <c:v>284950</c:v>
                </c:pt>
                <c:pt idx="5">
                  <c:v>216060</c:v>
                </c:pt>
                <c:pt idx="6">
                  <c:v>293660</c:v>
                </c:pt>
                <c:pt idx="7">
                  <c:v>222130</c:v>
                </c:pt>
                <c:pt idx="8">
                  <c:v>0</c:v>
                </c:pt>
              </c:numCache>
            </c:numRef>
          </c:val>
          <c:extLst>
            <c:ext xmlns:c16="http://schemas.microsoft.com/office/drawing/2014/chart" uri="{C3380CC4-5D6E-409C-BE32-E72D297353CC}">
              <c16:uniqueId val="{0000005E-0DB0-46A7-8232-F79175FCB581}"/>
            </c:ext>
          </c:extLst>
        </c:ser>
        <c:dLbls>
          <c:showLegendKey val="0"/>
          <c:showVal val="0"/>
          <c:showCatName val="0"/>
          <c:showSerName val="0"/>
          <c:showPercent val="0"/>
          <c:showBubbleSize val="0"/>
          <c:showLeaderLines val="1"/>
        </c:dLbls>
        <c:firstSliceAng val="25"/>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38100</xdr:rowOff>
    </xdr:from>
    <xdr:to>
      <xdr:col>9</xdr:col>
      <xdr:colOff>304800</xdr:colOff>
      <xdr:row>33</xdr:row>
      <xdr:rowOff>38100</xdr:rowOff>
    </xdr:to>
    <xdr:sp macro="" textlink="">
      <xdr:nvSpPr>
        <xdr:cNvPr id="3" name="Rectangle 2">
          <a:extLst>
            <a:ext uri="{FF2B5EF4-FFF2-40B4-BE49-F238E27FC236}">
              <a16:creationId xmlns:a16="http://schemas.microsoft.com/office/drawing/2014/main" id="{FE838C45-4CD6-4AB9-6DAF-E5FC372C47F0}"/>
            </a:ext>
          </a:extLst>
        </xdr:cNvPr>
        <xdr:cNvSpPr/>
      </xdr:nvSpPr>
      <xdr:spPr>
        <a:xfrm>
          <a:off x="1219200" y="2598420"/>
          <a:ext cx="4572000" cy="3474720"/>
        </a:xfrm>
        <a:prstGeom prst="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0</xdr:colOff>
      <xdr:row>1</xdr:row>
      <xdr:rowOff>15240</xdr:rowOff>
    </xdr:from>
    <xdr:to>
      <xdr:col>9</xdr:col>
      <xdr:colOff>304800</xdr:colOff>
      <xdr:row>13</xdr:row>
      <xdr:rowOff>106680</xdr:rowOff>
    </xdr:to>
    <xdr:sp macro="" textlink="">
      <xdr:nvSpPr>
        <xdr:cNvPr id="11" name="Rectangle 10">
          <a:extLst>
            <a:ext uri="{FF2B5EF4-FFF2-40B4-BE49-F238E27FC236}">
              <a16:creationId xmlns:a16="http://schemas.microsoft.com/office/drawing/2014/main" id="{54FDEAB1-8788-0A03-8244-D30C8D1772FC}"/>
            </a:ext>
          </a:extLst>
        </xdr:cNvPr>
        <xdr:cNvSpPr/>
      </xdr:nvSpPr>
      <xdr:spPr>
        <a:xfrm>
          <a:off x="1219200" y="198120"/>
          <a:ext cx="4572000" cy="2286000"/>
        </a:xfrm>
        <a:prstGeom prst="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434340</xdr:colOff>
      <xdr:row>1</xdr:row>
      <xdr:rowOff>15240</xdr:rowOff>
    </xdr:from>
    <xdr:to>
      <xdr:col>21</xdr:col>
      <xdr:colOff>419100</xdr:colOff>
      <xdr:row>13</xdr:row>
      <xdr:rowOff>106680</xdr:rowOff>
    </xdr:to>
    <xdr:sp macro="" textlink="">
      <xdr:nvSpPr>
        <xdr:cNvPr id="12" name="Rectangle 11">
          <a:extLst>
            <a:ext uri="{FF2B5EF4-FFF2-40B4-BE49-F238E27FC236}">
              <a16:creationId xmlns:a16="http://schemas.microsoft.com/office/drawing/2014/main" id="{5C7BA52D-F257-E1B7-D5FE-AB7365F6482D}"/>
            </a:ext>
          </a:extLst>
        </xdr:cNvPr>
        <xdr:cNvSpPr/>
      </xdr:nvSpPr>
      <xdr:spPr>
        <a:xfrm>
          <a:off x="5920740" y="200770"/>
          <a:ext cx="7299960" cy="2317806"/>
        </a:xfrm>
        <a:prstGeom prst="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434340</xdr:colOff>
      <xdr:row>14</xdr:row>
      <xdr:rowOff>38100</xdr:rowOff>
    </xdr:from>
    <xdr:to>
      <xdr:col>21</xdr:col>
      <xdr:colOff>419100</xdr:colOff>
      <xdr:row>33</xdr:row>
      <xdr:rowOff>38100</xdr:rowOff>
    </xdr:to>
    <xdr:sp macro="" textlink="">
      <xdr:nvSpPr>
        <xdr:cNvPr id="14" name="Rectangle 13">
          <a:extLst>
            <a:ext uri="{FF2B5EF4-FFF2-40B4-BE49-F238E27FC236}">
              <a16:creationId xmlns:a16="http://schemas.microsoft.com/office/drawing/2014/main" id="{6D777AF1-7C43-CAE0-36B7-22872EB4DC0E}"/>
            </a:ext>
          </a:extLst>
        </xdr:cNvPr>
        <xdr:cNvSpPr/>
      </xdr:nvSpPr>
      <xdr:spPr>
        <a:xfrm>
          <a:off x="5920740" y="2598420"/>
          <a:ext cx="7299960" cy="3474720"/>
        </a:xfrm>
        <a:prstGeom prst="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205739</xdr:colOff>
      <xdr:row>2</xdr:row>
      <xdr:rowOff>163443</xdr:rowOff>
    </xdr:from>
    <xdr:to>
      <xdr:col>13</xdr:col>
      <xdr:colOff>205739</xdr:colOff>
      <xdr:row>12</xdr:row>
      <xdr:rowOff>163443</xdr:rowOff>
    </xdr:to>
    <xdr:grpSp>
      <xdr:nvGrpSpPr>
        <xdr:cNvPr id="23" name="Group 22">
          <a:extLst>
            <a:ext uri="{FF2B5EF4-FFF2-40B4-BE49-F238E27FC236}">
              <a16:creationId xmlns:a16="http://schemas.microsoft.com/office/drawing/2014/main" id="{E48A395C-2E03-5A9B-CED4-55222C828851}"/>
            </a:ext>
          </a:extLst>
        </xdr:cNvPr>
        <xdr:cNvGrpSpPr/>
      </xdr:nvGrpSpPr>
      <xdr:grpSpPr>
        <a:xfrm>
          <a:off x="6132406" y="544443"/>
          <a:ext cx="1778000" cy="1905000"/>
          <a:chOff x="6507479" y="331083"/>
          <a:chExt cx="1828800" cy="1828800"/>
        </a:xfrm>
      </xdr:grpSpPr>
      <xdr:sp macro="" textlink="">
        <xdr:nvSpPr>
          <xdr:cNvPr id="22" name="Oval 21">
            <a:extLst>
              <a:ext uri="{FF2B5EF4-FFF2-40B4-BE49-F238E27FC236}">
                <a16:creationId xmlns:a16="http://schemas.microsoft.com/office/drawing/2014/main" id="{447EAD91-33BE-A60B-EB72-439D7CD43959}"/>
              </a:ext>
            </a:extLst>
          </xdr:cNvPr>
          <xdr:cNvSpPr/>
        </xdr:nvSpPr>
        <xdr:spPr>
          <a:xfrm>
            <a:off x="7056119" y="879723"/>
            <a:ext cx="731520" cy="731520"/>
          </a:xfrm>
          <a:prstGeom prst="ellipse">
            <a:avLst/>
          </a:prstGeom>
          <a:noFill/>
          <a:ln w="9525">
            <a:gradFill flip="none" rotWithShape="1">
              <a:gsLst>
                <a:gs pos="21000">
                  <a:srgbClr val="178BFF"/>
                </a:gs>
                <a:gs pos="86000">
                  <a:srgbClr val="73F46A"/>
                </a:gs>
              </a:gsLst>
              <a:path path="circle">
                <a:fillToRect l="100000" b="100000"/>
              </a:path>
              <a:tileRect t="-100000" r="-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Circle: Hollow 18">
            <a:extLst>
              <a:ext uri="{FF2B5EF4-FFF2-40B4-BE49-F238E27FC236}">
                <a16:creationId xmlns:a16="http://schemas.microsoft.com/office/drawing/2014/main" id="{756ADA3C-BDA7-D4E4-7C9B-98542EECA871}"/>
              </a:ext>
            </a:extLst>
          </xdr:cNvPr>
          <xdr:cNvSpPr/>
        </xdr:nvSpPr>
        <xdr:spPr>
          <a:xfrm>
            <a:off x="6713219" y="536823"/>
            <a:ext cx="1417320" cy="1417320"/>
          </a:xfrm>
          <a:prstGeom prst="donut">
            <a:avLst>
              <a:gd name="adj" fmla="val 18228"/>
            </a:avLst>
          </a:prstGeom>
          <a:gradFill flip="none" rotWithShape="1">
            <a:gsLst>
              <a:gs pos="26000">
                <a:srgbClr val="73F46A"/>
              </a:gs>
              <a:gs pos="73000">
                <a:srgbClr val="178BFF"/>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8" name="Chart 17">
            <a:extLst>
              <a:ext uri="{FF2B5EF4-FFF2-40B4-BE49-F238E27FC236}">
                <a16:creationId xmlns:a16="http://schemas.microsoft.com/office/drawing/2014/main" id="{99E20CEB-7728-40E8-8B8E-BD52F2E0BF06}"/>
              </a:ext>
            </a:extLst>
          </xdr:cNvPr>
          <xdr:cNvGraphicFramePr>
            <a:graphicFrameLocks/>
          </xdr:cNvGraphicFramePr>
        </xdr:nvGraphicFramePr>
        <xdr:xfrm>
          <a:off x="6507479" y="331083"/>
          <a:ext cx="1828800" cy="18288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236220</xdr:colOff>
      <xdr:row>3</xdr:row>
      <xdr:rowOff>144780</xdr:rowOff>
    </xdr:from>
    <xdr:to>
      <xdr:col>16</xdr:col>
      <xdr:colOff>514862</xdr:colOff>
      <xdr:row>11</xdr:row>
      <xdr:rowOff>179582</xdr:rowOff>
    </xdr:to>
    <xdr:grpSp>
      <xdr:nvGrpSpPr>
        <xdr:cNvPr id="7" name="Group 6">
          <a:extLst>
            <a:ext uri="{FF2B5EF4-FFF2-40B4-BE49-F238E27FC236}">
              <a16:creationId xmlns:a16="http://schemas.microsoft.com/office/drawing/2014/main" id="{03C26B98-5516-5FE1-9489-97C44FF40C09}"/>
            </a:ext>
          </a:extLst>
        </xdr:cNvPr>
        <xdr:cNvGrpSpPr/>
      </xdr:nvGrpSpPr>
      <xdr:grpSpPr>
        <a:xfrm>
          <a:off x="8533553" y="716280"/>
          <a:ext cx="1463976" cy="1558802"/>
          <a:chOff x="13411200" y="1097280"/>
          <a:chExt cx="1497842" cy="1497842"/>
        </a:xfrm>
      </xdr:grpSpPr>
      <xdr:sp macro="" textlink="">
        <xdr:nvSpPr>
          <xdr:cNvPr id="5" name="Oval 4">
            <a:extLst>
              <a:ext uri="{FF2B5EF4-FFF2-40B4-BE49-F238E27FC236}">
                <a16:creationId xmlns:a16="http://schemas.microsoft.com/office/drawing/2014/main" id="{5AACD6BC-7AC4-4655-A0E0-C7D6EB007F1C}"/>
              </a:ext>
            </a:extLst>
          </xdr:cNvPr>
          <xdr:cNvSpPr/>
        </xdr:nvSpPr>
        <xdr:spPr>
          <a:xfrm>
            <a:off x="13411200" y="1097280"/>
            <a:ext cx="1497842" cy="1497842"/>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 name="Oval 5">
            <a:extLst>
              <a:ext uri="{FF2B5EF4-FFF2-40B4-BE49-F238E27FC236}">
                <a16:creationId xmlns:a16="http://schemas.microsoft.com/office/drawing/2014/main" id="{5B9222D4-0C07-4C17-9F5F-2C62B5628D42}"/>
              </a:ext>
            </a:extLst>
          </xdr:cNvPr>
          <xdr:cNvSpPr/>
        </xdr:nvSpPr>
        <xdr:spPr>
          <a:xfrm>
            <a:off x="13528018" y="1214098"/>
            <a:ext cx="1264206" cy="126420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556260</xdr:colOff>
      <xdr:row>2</xdr:row>
      <xdr:rowOff>160020</xdr:rowOff>
    </xdr:from>
    <xdr:to>
      <xdr:col>17</xdr:col>
      <xdr:colOff>184404</xdr:colOff>
      <xdr:row>12</xdr:row>
      <xdr:rowOff>132588</xdr:rowOff>
    </xdr:to>
    <xdr:graphicFrame macro="">
      <xdr:nvGraphicFramePr>
        <xdr:cNvPr id="8" name="Chart 7">
          <a:extLst>
            <a:ext uri="{FF2B5EF4-FFF2-40B4-BE49-F238E27FC236}">
              <a16:creationId xmlns:a16="http://schemas.microsoft.com/office/drawing/2014/main" id="{B102AA75-55BF-4BE4-B645-2A8B42BE0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121920</xdr:colOff>
      <xdr:row>3</xdr:row>
      <xdr:rowOff>53340</xdr:rowOff>
    </xdr:from>
    <xdr:to>
      <xdr:col>17</xdr:col>
      <xdr:colOff>30480</xdr:colOff>
      <xdr:row>12</xdr:row>
      <xdr:rowOff>64770</xdr:rowOff>
    </xdr:to>
    <xdr:sp macro="" textlink="">
      <xdr:nvSpPr>
        <xdr:cNvPr id="4" name="Freeform: Shape 3">
          <a:extLst>
            <a:ext uri="{FF2B5EF4-FFF2-40B4-BE49-F238E27FC236}">
              <a16:creationId xmlns:a16="http://schemas.microsoft.com/office/drawing/2014/main" id="{2ED63F5B-AC90-20E3-E0AB-0D0309EB3C70}"/>
            </a:ext>
          </a:extLst>
        </xdr:cNvPr>
        <xdr:cNvSpPr/>
      </xdr:nvSpPr>
      <xdr:spPr>
        <a:xfrm>
          <a:off x="8656320" y="601980"/>
          <a:ext cx="1737360" cy="1657350"/>
        </a:xfrm>
        <a:custGeom>
          <a:avLst/>
          <a:gdLst>
            <a:gd name="connsiteX0" fmla="*/ 806570 w 1737360"/>
            <a:gd name="connsiteY0" fmla="*/ 1466075 h 1657350"/>
            <a:gd name="connsiteX1" fmla="*/ 757564 w 1737360"/>
            <a:gd name="connsiteY1" fmla="*/ 1514991 h 1657350"/>
            <a:gd name="connsiteX2" fmla="*/ 806570 w 1737360"/>
            <a:gd name="connsiteY2" fmla="*/ 1563907 h 1657350"/>
            <a:gd name="connsiteX3" fmla="*/ 855576 w 1737360"/>
            <a:gd name="connsiteY3" fmla="*/ 1514991 h 1657350"/>
            <a:gd name="connsiteX4" fmla="*/ 806570 w 1737360"/>
            <a:gd name="connsiteY4" fmla="*/ 1466075 h 1657350"/>
            <a:gd name="connsiteX5" fmla="*/ 926522 w 1737360"/>
            <a:gd name="connsiteY5" fmla="*/ 1464936 h 1657350"/>
            <a:gd name="connsiteX6" fmla="*/ 877516 w 1737360"/>
            <a:gd name="connsiteY6" fmla="*/ 1513852 h 1657350"/>
            <a:gd name="connsiteX7" fmla="*/ 926522 w 1737360"/>
            <a:gd name="connsiteY7" fmla="*/ 1562768 h 1657350"/>
            <a:gd name="connsiteX8" fmla="*/ 975528 w 1737360"/>
            <a:gd name="connsiteY8" fmla="*/ 1513852 h 1657350"/>
            <a:gd name="connsiteX9" fmla="*/ 926522 w 1737360"/>
            <a:gd name="connsiteY9" fmla="*/ 1464936 h 1657350"/>
            <a:gd name="connsiteX10" fmla="*/ 688274 w 1737360"/>
            <a:gd name="connsiteY10" fmla="*/ 1446533 h 1657350"/>
            <a:gd name="connsiteX11" fmla="*/ 639268 w 1737360"/>
            <a:gd name="connsiteY11" fmla="*/ 1495449 h 1657350"/>
            <a:gd name="connsiteX12" fmla="*/ 688274 w 1737360"/>
            <a:gd name="connsiteY12" fmla="*/ 1544365 h 1657350"/>
            <a:gd name="connsiteX13" fmla="*/ 737280 w 1737360"/>
            <a:gd name="connsiteY13" fmla="*/ 1495449 h 1657350"/>
            <a:gd name="connsiteX14" fmla="*/ 688274 w 1737360"/>
            <a:gd name="connsiteY14" fmla="*/ 1446533 h 1657350"/>
            <a:gd name="connsiteX15" fmla="*/ 1044485 w 1737360"/>
            <a:gd name="connsiteY15" fmla="*/ 1443153 h 1657350"/>
            <a:gd name="connsiteX16" fmla="*/ 995479 w 1737360"/>
            <a:gd name="connsiteY16" fmla="*/ 1492069 h 1657350"/>
            <a:gd name="connsiteX17" fmla="*/ 1044485 w 1737360"/>
            <a:gd name="connsiteY17" fmla="*/ 1540985 h 1657350"/>
            <a:gd name="connsiteX18" fmla="*/ 1093491 w 1737360"/>
            <a:gd name="connsiteY18" fmla="*/ 1492069 h 1657350"/>
            <a:gd name="connsiteX19" fmla="*/ 1044485 w 1737360"/>
            <a:gd name="connsiteY19" fmla="*/ 1443153 h 1657350"/>
            <a:gd name="connsiteX20" fmla="*/ 575227 w 1737360"/>
            <a:gd name="connsiteY20" fmla="*/ 1406907 h 1657350"/>
            <a:gd name="connsiteX21" fmla="*/ 526221 w 1737360"/>
            <a:gd name="connsiteY21" fmla="*/ 1455823 h 1657350"/>
            <a:gd name="connsiteX22" fmla="*/ 575227 w 1737360"/>
            <a:gd name="connsiteY22" fmla="*/ 1504739 h 1657350"/>
            <a:gd name="connsiteX23" fmla="*/ 624233 w 1737360"/>
            <a:gd name="connsiteY23" fmla="*/ 1455823 h 1657350"/>
            <a:gd name="connsiteX24" fmla="*/ 575227 w 1737360"/>
            <a:gd name="connsiteY24" fmla="*/ 1406907 h 1657350"/>
            <a:gd name="connsiteX25" fmla="*/ 1156875 w 1737360"/>
            <a:gd name="connsiteY25" fmla="*/ 1401385 h 1657350"/>
            <a:gd name="connsiteX26" fmla="*/ 1107869 w 1737360"/>
            <a:gd name="connsiteY26" fmla="*/ 1450301 h 1657350"/>
            <a:gd name="connsiteX27" fmla="*/ 1156875 w 1737360"/>
            <a:gd name="connsiteY27" fmla="*/ 1499217 h 1657350"/>
            <a:gd name="connsiteX28" fmla="*/ 1205881 w 1737360"/>
            <a:gd name="connsiteY28" fmla="*/ 1450301 h 1657350"/>
            <a:gd name="connsiteX29" fmla="*/ 1156875 w 1737360"/>
            <a:gd name="connsiteY29" fmla="*/ 1401385 h 1657350"/>
            <a:gd name="connsiteX30" fmla="*/ 470866 w 1737360"/>
            <a:gd name="connsiteY30" fmla="*/ 1348397 h 1657350"/>
            <a:gd name="connsiteX31" fmla="*/ 421860 w 1737360"/>
            <a:gd name="connsiteY31" fmla="*/ 1397313 h 1657350"/>
            <a:gd name="connsiteX32" fmla="*/ 470866 w 1737360"/>
            <a:gd name="connsiteY32" fmla="*/ 1446229 h 1657350"/>
            <a:gd name="connsiteX33" fmla="*/ 519872 w 1737360"/>
            <a:gd name="connsiteY33" fmla="*/ 1397313 h 1657350"/>
            <a:gd name="connsiteX34" fmla="*/ 470866 w 1737360"/>
            <a:gd name="connsiteY34" fmla="*/ 1348397 h 1657350"/>
            <a:gd name="connsiteX35" fmla="*/ 1259961 w 1737360"/>
            <a:gd name="connsiteY35" fmla="*/ 1340504 h 1657350"/>
            <a:gd name="connsiteX36" fmla="*/ 1210955 w 1737360"/>
            <a:gd name="connsiteY36" fmla="*/ 1389381 h 1657350"/>
            <a:gd name="connsiteX37" fmla="*/ 1259961 w 1737360"/>
            <a:gd name="connsiteY37" fmla="*/ 1438258 h 1657350"/>
            <a:gd name="connsiteX38" fmla="*/ 1308967 w 1737360"/>
            <a:gd name="connsiteY38" fmla="*/ 1389381 h 1657350"/>
            <a:gd name="connsiteX39" fmla="*/ 1259961 w 1737360"/>
            <a:gd name="connsiteY39" fmla="*/ 1340504 h 1657350"/>
            <a:gd name="connsiteX40" fmla="*/ 816063 w 1737360"/>
            <a:gd name="connsiteY40" fmla="*/ 1332051 h 1657350"/>
            <a:gd name="connsiteX41" fmla="*/ 774021 w 1737360"/>
            <a:gd name="connsiteY41" fmla="*/ 1367844 h 1657350"/>
            <a:gd name="connsiteX42" fmla="*/ 809951 w 1737360"/>
            <a:gd name="connsiteY42" fmla="*/ 1409769 h 1657350"/>
            <a:gd name="connsiteX43" fmla="*/ 851992 w 1737360"/>
            <a:gd name="connsiteY43" fmla="*/ 1373976 h 1657350"/>
            <a:gd name="connsiteX44" fmla="*/ 816063 w 1737360"/>
            <a:gd name="connsiteY44" fmla="*/ 1332051 h 1657350"/>
            <a:gd name="connsiteX45" fmla="*/ 904986 w 1737360"/>
            <a:gd name="connsiteY45" fmla="*/ 1331190 h 1657350"/>
            <a:gd name="connsiteX46" fmla="*/ 869798 w 1737360"/>
            <a:gd name="connsiteY46" fmla="*/ 1373740 h 1657350"/>
            <a:gd name="connsiteX47" fmla="*/ 912462 w 1737360"/>
            <a:gd name="connsiteY47" fmla="*/ 1408789 h 1657350"/>
            <a:gd name="connsiteX48" fmla="*/ 947650 w 1737360"/>
            <a:gd name="connsiteY48" fmla="*/ 1366240 h 1657350"/>
            <a:gd name="connsiteX49" fmla="*/ 904986 w 1737360"/>
            <a:gd name="connsiteY49" fmla="*/ 1331190 h 1657350"/>
            <a:gd name="connsiteX50" fmla="*/ 728369 w 1737360"/>
            <a:gd name="connsiteY50" fmla="*/ 1317613 h 1657350"/>
            <a:gd name="connsiteX51" fmla="*/ 680751 w 1737360"/>
            <a:gd name="connsiteY51" fmla="*/ 1345562 h 1657350"/>
            <a:gd name="connsiteX52" fmla="*/ 708854 w 1737360"/>
            <a:gd name="connsiteY52" fmla="*/ 1393089 h 1657350"/>
            <a:gd name="connsiteX53" fmla="*/ 756473 w 1737360"/>
            <a:gd name="connsiteY53" fmla="*/ 1365140 h 1657350"/>
            <a:gd name="connsiteX54" fmla="*/ 728369 w 1737360"/>
            <a:gd name="connsiteY54" fmla="*/ 1317613 h 1657350"/>
            <a:gd name="connsiteX55" fmla="*/ 992437 w 1737360"/>
            <a:gd name="connsiteY55" fmla="*/ 1315057 h 1657350"/>
            <a:gd name="connsiteX56" fmla="*/ 965172 w 1737360"/>
            <a:gd name="connsiteY56" fmla="*/ 1363071 h 1657350"/>
            <a:gd name="connsiteX57" fmla="*/ 1013274 w 1737360"/>
            <a:gd name="connsiteY57" fmla="*/ 1390179 h 1657350"/>
            <a:gd name="connsiteX58" fmla="*/ 1040539 w 1737360"/>
            <a:gd name="connsiteY58" fmla="*/ 1342165 h 1657350"/>
            <a:gd name="connsiteX59" fmla="*/ 992437 w 1737360"/>
            <a:gd name="connsiteY59" fmla="*/ 1315057 h 1657350"/>
            <a:gd name="connsiteX60" fmla="*/ 614674 w 1737360"/>
            <a:gd name="connsiteY60" fmla="*/ 1287239 h 1657350"/>
            <a:gd name="connsiteX61" fmla="*/ 592823 w 1737360"/>
            <a:gd name="connsiteY61" fmla="*/ 1307571 h 1657350"/>
            <a:gd name="connsiteX62" fmla="*/ 612246 w 1737360"/>
            <a:gd name="connsiteY62" fmla="*/ 1359256 h 1657350"/>
            <a:gd name="connsiteX63" fmla="*/ 663994 w 1737360"/>
            <a:gd name="connsiteY63" fmla="*/ 1340001 h 1657350"/>
            <a:gd name="connsiteX64" fmla="*/ 644571 w 1737360"/>
            <a:gd name="connsiteY64" fmla="*/ 1288316 h 1657350"/>
            <a:gd name="connsiteX65" fmla="*/ 614674 w 1737360"/>
            <a:gd name="connsiteY65" fmla="*/ 1287239 h 1657350"/>
            <a:gd name="connsiteX66" fmla="*/ 1105633 w 1737360"/>
            <a:gd name="connsiteY66" fmla="*/ 1282540 h 1657350"/>
            <a:gd name="connsiteX67" fmla="*/ 1075760 w 1737360"/>
            <a:gd name="connsiteY67" fmla="*/ 1284142 h 1657350"/>
            <a:gd name="connsiteX68" fmla="*/ 1057247 w 1737360"/>
            <a:gd name="connsiteY68" fmla="*/ 1336161 h 1657350"/>
            <a:gd name="connsiteX69" fmla="*/ 1109326 w 1737360"/>
            <a:gd name="connsiteY69" fmla="*/ 1354504 h 1657350"/>
            <a:gd name="connsiteX70" fmla="*/ 1127839 w 1737360"/>
            <a:gd name="connsiteY70" fmla="*/ 1302486 h 1657350"/>
            <a:gd name="connsiteX71" fmla="*/ 1105633 w 1737360"/>
            <a:gd name="connsiteY71" fmla="*/ 1282540 h 1657350"/>
            <a:gd name="connsiteX72" fmla="*/ 378360 w 1737360"/>
            <a:gd name="connsiteY72" fmla="*/ 1272382 h 1657350"/>
            <a:gd name="connsiteX73" fmla="*/ 329754 w 1737360"/>
            <a:gd name="connsiteY73" fmla="*/ 1321700 h 1657350"/>
            <a:gd name="connsiteX74" fmla="*/ 378360 w 1737360"/>
            <a:gd name="connsiteY74" fmla="*/ 1371018 h 1657350"/>
            <a:gd name="connsiteX75" fmla="*/ 426966 w 1737360"/>
            <a:gd name="connsiteY75" fmla="*/ 1321700 h 1657350"/>
            <a:gd name="connsiteX76" fmla="*/ 378360 w 1737360"/>
            <a:gd name="connsiteY76" fmla="*/ 1272382 h 1657350"/>
            <a:gd name="connsiteX77" fmla="*/ 1351159 w 1737360"/>
            <a:gd name="connsiteY77" fmla="*/ 1263207 h 1657350"/>
            <a:gd name="connsiteX78" fmla="*/ 1302153 w 1737360"/>
            <a:gd name="connsiteY78" fmla="*/ 1312084 h 1657350"/>
            <a:gd name="connsiteX79" fmla="*/ 1351159 w 1737360"/>
            <a:gd name="connsiteY79" fmla="*/ 1360961 h 1657350"/>
            <a:gd name="connsiteX80" fmla="*/ 1400165 w 1737360"/>
            <a:gd name="connsiteY80" fmla="*/ 1312084 h 1657350"/>
            <a:gd name="connsiteX81" fmla="*/ 1351159 w 1737360"/>
            <a:gd name="connsiteY81" fmla="*/ 1263207 h 1657350"/>
            <a:gd name="connsiteX82" fmla="*/ 537959 w 1737360"/>
            <a:gd name="connsiteY82" fmla="*/ 1238796 h 1657350"/>
            <a:gd name="connsiteX83" fmla="*/ 512909 w 1737360"/>
            <a:gd name="connsiteY83" fmla="*/ 1255025 h 1657350"/>
            <a:gd name="connsiteX84" fmla="*/ 523062 w 1737360"/>
            <a:gd name="connsiteY84" fmla="*/ 1309298 h 1657350"/>
            <a:gd name="connsiteX85" fmla="*/ 577368 w 1737360"/>
            <a:gd name="connsiteY85" fmla="*/ 1299321 h 1657350"/>
            <a:gd name="connsiteX86" fmla="*/ 567215 w 1737360"/>
            <a:gd name="connsiteY86" fmla="*/ 1245048 h 1657350"/>
            <a:gd name="connsiteX87" fmla="*/ 537959 w 1737360"/>
            <a:gd name="connsiteY87" fmla="*/ 1238796 h 1657350"/>
            <a:gd name="connsiteX88" fmla="*/ 1181325 w 1737360"/>
            <a:gd name="connsiteY88" fmla="*/ 1232288 h 1657350"/>
            <a:gd name="connsiteX89" fmla="*/ 1152189 w 1737360"/>
            <a:gd name="connsiteY89" fmla="*/ 1239060 h 1657350"/>
            <a:gd name="connsiteX90" fmla="*/ 1142973 w 1737360"/>
            <a:gd name="connsiteY90" fmla="*/ 1293478 h 1657350"/>
            <a:gd name="connsiteX91" fmla="*/ 1197427 w 1737360"/>
            <a:gd name="connsiteY91" fmla="*/ 1302474 h 1657350"/>
            <a:gd name="connsiteX92" fmla="*/ 1206644 w 1737360"/>
            <a:gd name="connsiteY92" fmla="*/ 1248057 h 1657350"/>
            <a:gd name="connsiteX93" fmla="*/ 1181325 w 1737360"/>
            <a:gd name="connsiteY93" fmla="*/ 1232288 h 1657350"/>
            <a:gd name="connsiteX94" fmla="*/ 300521 w 1737360"/>
            <a:gd name="connsiteY94" fmla="*/ 1181962 h 1657350"/>
            <a:gd name="connsiteX95" fmla="*/ 251915 w 1737360"/>
            <a:gd name="connsiteY95" fmla="*/ 1231280 h 1657350"/>
            <a:gd name="connsiteX96" fmla="*/ 300521 w 1737360"/>
            <a:gd name="connsiteY96" fmla="*/ 1280598 h 1657350"/>
            <a:gd name="connsiteX97" fmla="*/ 349127 w 1737360"/>
            <a:gd name="connsiteY97" fmla="*/ 1231280 h 1657350"/>
            <a:gd name="connsiteX98" fmla="*/ 300521 w 1737360"/>
            <a:gd name="connsiteY98" fmla="*/ 1181962 h 1657350"/>
            <a:gd name="connsiteX99" fmla="*/ 471298 w 1737360"/>
            <a:gd name="connsiteY99" fmla="*/ 1177886 h 1657350"/>
            <a:gd name="connsiteX100" fmla="*/ 443702 w 1737360"/>
            <a:gd name="connsiteY100" fmla="*/ 1189785 h 1657350"/>
            <a:gd name="connsiteX101" fmla="*/ 443747 w 1737360"/>
            <a:gd name="connsiteY101" fmla="*/ 1245002 h 1657350"/>
            <a:gd name="connsiteX102" fmla="*/ 498957 w 1737360"/>
            <a:gd name="connsiteY102" fmla="*/ 1244077 h 1657350"/>
            <a:gd name="connsiteX103" fmla="*/ 498912 w 1737360"/>
            <a:gd name="connsiteY103" fmla="*/ 1188859 h 1657350"/>
            <a:gd name="connsiteX104" fmla="*/ 471298 w 1737360"/>
            <a:gd name="connsiteY104" fmla="*/ 1177886 h 1657350"/>
            <a:gd name="connsiteX105" fmla="*/ 1427468 w 1737360"/>
            <a:gd name="connsiteY105" fmla="*/ 1170995 h 1657350"/>
            <a:gd name="connsiteX106" fmla="*/ 1378862 w 1737360"/>
            <a:gd name="connsiteY106" fmla="*/ 1220274 h 1657350"/>
            <a:gd name="connsiteX107" fmla="*/ 1427468 w 1737360"/>
            <a:gd name="connsiteY107" fmla="*/ 1269553 h 1657350"/>
            <a:gd name="connsiteX108" fmla="*/ 1476074 w 1737360"/>
            <a:gd name="connsiteY108" fmla="*/ 1220274 h 1657350"/>
            <a:gd name="connsiteX109" fmla="*/ 1427468 w 1737360"/>
            <a:gd name="connsiteY109" fmla="*/ 1170995 h 1657350"/>
            <a:gd name="connsiteX110" fmla="*/ 1247326 w 1737360"/>
            <a:gd name="connsiteY110" fmla="*/ 1170137 h 1657350"/>
            <a:gd name="connsiteX111" fmla="*/ 1219809 w 1737360"/>
            <a:gd name="connsiteY111" fmla="*/ 1181866 h 1657350"/>
            <a:gd name="connsiteX112" fmla="*/ 1220182 w 1737360"/>
            <a:gd name="connsiteY112" fmla="*/ 1237057 h 1657350"/>
            <a:gd name="connsiteX113" fmla="*/ 1275371 w 1737360"/>
            <a:gd name="connsiteY113" fmla="*/ 1236461 h 1657350"/>
            <a:gd name="connsiteX114" fmla="*/ 1274998 w 1737360"/>
            <a:gd name="connsiteY114" fmla="*/ 1181269 h 1657350"/>
            <a:gd name="connsiteX115" fmla="*/ 1247326 w 1737360"/>
            <a:gd name="connsiteY115" fmla="*/ 1170137 h 1657350"/>
            <a:gd name="connsiteX116" fmla="*/ 415975 w 1737360"/>
            <a:gd name="connsiteY116" fmla="*/ 1106429 h 1657350"/>
            <a:gd name="connsiteX117" fmla="*/ 386733 w 1737360"/>
            <a:gd name="connsiteY117" fmla="*/ 1113355 h 1657350"/>
            <a:gd name="connsiteX118" fmla="*/ 377188 w 1737360"/>
            <a:gd name="connsiteY118" fmla="*/ 1167741 h 1657350"/>
            <a:gd name="connsiteX119" fmla="*/ 431720 w 1737360"/>
            <a:gd name="connsiteY119" fmla="*/ 1176417 h 1657350"/>
            <a:gd name="connsiteX120" fmla="*/ 441265 w 1737360"/>
            <a:gd name="connsiteY120" fmla="*/ 1122030 h 1657350"/>
            <a:gd name="connsiteX121" fmla="*/ 415975 w 1737360"/>
            <a:gd name="connsiteY121" fmla="*/ 1106429 h 1657350"/>
            <a:gd name="connsiteX122" fmla="*/ 1301087 w 1737360"/>
            <a:gd name="connsiteY122" fmla="*/ 1097675 h 1657350"/>
            <a:gd name="connsiteX123" fmla="*/ 1276084 w 1737360"/>
            <a:gd name="connsiteY123" fmla="*/ 1113724 h 1657350"/>
            <a:gd name="connsiteX124" fmla="*/ 1286556 w 1737360"/>
            <a:gd name="connsiteY124" fmla="*/ 1167916 h 1657350"/>
            <a:gd name="connsiteX125" fmla="*/ 1340901 w 1737360"/>
            <a:gd name="connsiteY125" fmla="*/ 1158266 h 1657350"/>
            <a:gd name="connsiteX126" fmla="*/ 1330429 w 1737360"/>
            <a:gd name="connsiteY126" fmla="*/ 1104074 h 1657350"/>
            <a:gd name="connsiteX127" fmla="*/ 1301087 w 1737360"/>
            <a:gd name="connsiteY127" fmla="*/ 1097675 h 1657350"/>
            <a:gd name="connsiteX128" fmla="*/ 240204 w 1737360"/>
            <a:gd name="connsiteY128" fmla="*/ 1079289 h 1657350"/>
            <a:gd name="connsiteX129" fmla="*/ 191598 w 1737360"/>
            <a:gd name="connsiteY129" fmla="*/ 1128568 h 1657350"/>
            <a:gd name="connsiteX130" fmla="*/ 240204 w 1737360"/>
            <a:gd name="connsiteY130" fmla="*/ 1177847 h 1657350"/>
            <a:gd name="connsiteX131" fmla="*/ 288810 w 1737360"/>
            <a:gd name="connsiteY131" fmla="*/ 1128568 h 1657350"/>
            <a:gd name="connsiteX132" fmla="*/ 240204 w 1737360"/>
            <a:gd name="connsiteY132" fmla="*/ 1079289 h 1657350"/>
            <a:gd name="connsiteX133" fmla="*/ 1487061 w 1737360"/>
            <a:gd name="connsiteY133" fmla="*/ 1067644 h 1657350"/>
            <a:gd name="connsiteX134" fmla="*/ 1438455 w 1737360"/>
            <a:gd name="connsiteY134" fmla="*/ 1116962 h 1657350"/>
            <a:gd name="connsiteX135" fmla="*/ 1487061 w 1737360"/>
            <a:gd name="connsiteY135" fmla="*/ 1166280 h 1657350"/>
            <a:gd name="connsiteX136" fmla="*/ 1535667 w 1737360"/>
            <a:gd name="connsiteY136" fmla="*/ 1116962 h 1657350"/>
            <a:gd name="connsiteX137" fmla="*/ 1487061 w 1737360"/>
            <a:gd name="connsiteY137" fmla="*/ 1067644 h 1657350"/>
            <a:gd name="connsiteX138" fmla="*/ 374412 w 1737360"/>
            <a:gd name="connsiteY138" fmla="*/ 1026354 h 1657350"/>
            <a:gd name="connsiteX139" fmla="*/ 344431 w 1737360"/>
            <a:gd name="connsiteY139" fmla="*/ 1028087 h 1657350"/>
            <a:gd name="connsiteX140" fmla="*/ 325616 w 1737360"/>
            <a:gd name="connsiteY140" fmla="*/ 1079976 h 1657350"/>
            <a:gd name="connsiteX141" fmla="*/ 377784 w 1737360"/>
            <a:gd name="connsiteY141" fmla="*/ 1098003 h 1657350"/>
            <a:gd name="connsiteX142" fmla="*/ 396599 w 1737360"/>
            <a:gd name="connsiteY142" fmla="*/ 1046114 h 1657350"/>
            <a:gd name="connsiteX143" fmla="*/ 374412 w 1737360"/>
            <a:gd name="connsiteY143" fmla="*/ 1026354 h 1657350"/>
            <a:gd name="connsiteX144" fmla="*/ 1342089 w 1737360"/>
            <a:gd name="connsiteY144" fmla="*/ 1017202 h 1657350"/>
            <a:gd name="connsiteX145" fmla="*/ 1320243 w 1737360"/>
            <a:gd name="connsiteY145" fmla="*/ 1037345 h 1657350"/>
            <a:gd name="connsiteX146" fmla="*/ 1339996 w 1737360"/>
            <a:gd name="connsiteY146" fmla="*/ 1088909 h 1657350"/>
            <a:gd name="connsiteX147" fmla="*/ 1391868 w 1737360"/>
            <a:gd name="connsiteY147" fmla="*/ 1069981 h 1657350"/>
            <a:gd name="connsiteX148" fmla="*/ 1372116 w 1737360"/>
            <a:gd name="connsiteY148" fmla="*/ 1018418 h 1657350"/>
            <a:gd name="connsiteX149" fmla="*/ 1342089 w 1737360"/>
            <a:gd name="connsiteY149" fmla="*/ 1017202 h 1657350"/>
            <a:gd name="connsiteX150" fmla="*/ 198310 w 1737360"/>
            <a:gd name="connsiteY150" fmla="*/ 967953 h 1657350"/>
            <a:gd name="connsiteX151" fmla="*/ 149704 w 1737360"/>
            <a:gd name="connsiteY151" fmla="*/ 1017232 h 1657350"/>
            <a:gd name="connsiteX152" fmla="*/ 198310 w 1737360"/>
            <a:gd name="connsiteY152" fmla="*/ 1066511 h 1657350"/>
            <a:gd name="connsiteX153" fmla="*/ 246916 w 1737360"/>
            <a:gd name="connsiteY153" fmla="*/ 1017232 h 1657350"/>
            <a:gd name="connsiteX154" fmla="*/ 198310 w 1737360"/>
            <a:gd name="connsiteY154" fmla="*/ 967953 h 1657350"/>
            <a:gd name="connsiteX155" fmla="*/ 1527185 w 1737360"/>
            <a:gd name="connsiteY155" fmla="*/ 955442 h 1657350"/>
            <a:gd name="connsiteX156" fmla="*/ 1478579 w 1737360"/>
            <a:gd name="connsiteY156" fmla="*/ 1004760 h 1657350"/>
            <a:gd name="connsiteX157" fmla="*/ 1527185 w 1737360"/>
            <a:gd name="connsiteY157" fmla="*/ 1054078 h 1657350"/>
            <a:gd name="connsiteX158" fmla="*/ 1575791 w 1737360"/>
            <a:gd name="connsiteY158" fmla="*/ 1004760 h 1657350"/>
            <a:gd name="connsiteX159" fmla="*/ 1527185 w 1737360"/>
            <a:gd name="connsiteY159" fmla="*/ 955442 h 1657350"/>
            <a:gd name="connsiteX160" fmla="*/ 317336 w 1737360"/>
            <a:gd name="connsiteY160" fmla="*/ 937006 h 1657350"/>
            <a:gd name="connsiteX161" fmla="*/ 289796 w 1737360"/>
            <a:gd name="connsiteY161" fmla="*/ 984840 h 1657350"/>
            <a:gd name="connsiteX162" fmla="*/ 338042 w 1737360"/>
            <a:gd name="connsiteY162" fmla="*/ 1011652 h 1657350"/>
            <a:gd name="connsiteX163" fmla="*/ 365581 w 1737360"/>
            <a:gd name="connsiteY163" fmla="*/ 963818 h 1657350"/>
            <a:gd name="connsiteX164" fmla="*/ 317336 w 1737360"/>
            <a:gd name="connsiteY164" fmla="*/ 937006 h 1657350"/>
            <a:gd name="connsiteX165" fmla="*/ 1397780 w 1737360"/>
            <a:gd name="connsiteY165" fmla="*/ 926749 h 1657350"/>
            <a:gd name="connsiteX166" fmla="*/ 1349983 w 1737360"/>
            <a:gd name="connsiteY166" fmla="*/ 954397 h 1657350"/>
            <a:gd name="connsiteX167" fmla="*/ 1378389 w 1737360"/>
            <a:gd name="connsiteY167" fmla="*/ 1001747 h 1657350"/>
            <a:gd name="connsiteX168" fmla="*/ 1426187 w 1737360"/>
            <a:gd name="connsiteY168" fmla="*/ 974100 h 1657350"/>
            <a:gd name="connsiteX169" fmla="*/ 1397780 w 1737360"/>
            <a:gd name="connsiteY169" fmla="*/ 926749 h 1657350"/>
            <a:gd name="connsiteX170" fmla="*/ 176552 w 1737360"/>
            <a:gd name="connsiteY170" fmla="*/ 851062 h 1657350"/>
            <a:gd name="connsiteX171" fmla="*/ 127946 w 1737360"/>
            <a:gd name="connsiteY171" fmla="*/ 900341 h 1657350"/>
            <a:gd name="connsiteX172" fmla="*/ 176552 w 1737360"/>
            <a:gd name="connsiteY172" fmla="*/ 949620 h 1657350"/>
            <a:gd name="connsiteX173" fmla="*/ 225158 w 1737360"/>
            <a:gd name="connsiteY173" fmla="*/ 900341 h 1657350"/>
            <a:gd name="connsiteX174" fmla="*/ 176552 w 1737360"/>
            <a:gd name="connsiteY174" fmla="*/ 851062 h 1657350"/>
            <a:gd name="connsiteX175" fmla="*/ 306625 w 1737360"/>
            <a:gd name="connsiteY175" fmla="*/ 842631 h 1657350"/>
            <a:gd name="connsiteX176" fmla="*/ 271198 w 1737360"/>
            <a:gd name="connsiteY176" fmla="*/ 884956 h 1657350"/>
            <a:gd name="connsiteX177" fmla="*/ 314054 w 1737360"/>
            <a:gd name="connsiteY177" fmla="*/ 919738 h 1657350"/>
            <a:gd name="connsiteX178" fmla="*/ 349482 w 1737360"/>
            <a:gd name="connsiteY178" fmla="*/ 877414 h 1657350"/>
            <a:gd name="connsiteX179" fmla="*/ 306625 w 1737360"/>
            <a:gd name="connsiteY179" fmla="*/ 842631 h 1657350"/>
            <a:gd name="connsiteX180" fmla="*/ 1547068 w 1737360"/>
            <a:gd name="connsiteY180" fmla="*/ 838061 h 1657350"/>
            <a:gd name="connsiteX181" fmla="*/ 1498462 w 1737360"/>
            <a:gd name="connsiteY181" fmla="*/ 887379 h 1657350"/>
            <a:gd name="connsiteX182" fmla="*/ 1547068 w 1737360"/>
            <a:gd name="connsiteY182" fmla="*/ 936697 h 1657350"/>
            <a:gd name="connsiteX183" fmla="*/ 1595674 w 1737360"/>
            <a:gd name="connsiteY183" fmla="*/ 887379 h 1657350"/>
            <a:gd name="connsiteX184" fmla="*/ 1547068 w 1737360"/>
            <a:gd name="connsiteY184" fmla="*/ 838061 h 1657350"/>
            <a:gd name="connsiteX185" fmla="*/ 1407000 w 1737360"/>
            <a:gd name="connsiteY185" fmla="*/ 832098 h 1657350"/>
            <a:gd name="connsiteX186" fmla="*/ 1364730 w 1737360"/>
            <a:gd name="connsiteY186" fmla="*/ 867625 h 1657350"/>
            <a:gd name="connsiteX187" fmla="*/ 1400927 w 1737360"/>
            <a:gd name="connsiteY187" fmla="*/ 909323 h 1657350"/>
            <a:gd name="connsiteX188" fmla="*/ 1443198 w 1737360"/>
            <a:gd name="connsiteY188" fmla="*/ 873796 h 1657350"/>
            <a:gd name="connsiteX189" fmla="*/ 1407000 w 1737360"/>
            <a:gd name="connsiteY189" fmla="*/ 832098 h 1657350"/>
            <a:gd name="connsiteX190" fmla="*/ 312191 w 1737360"/>
            <a:gd name="connsiteY190" fmla="*/ 747797 h 1657350"/>
            <a:gd name="connsiteX191" fmla="*/ 269920 w 1737360"/>
            <a:gd name="connsiteY191" fmla="*/ 783324 h 1657350"/>
            <a:gd name="connsiteX192" fmla="*/ 306118 w 1737360"/>
            <a:gd name="connsiteY192" fmla="*/ 825022 h 1657350"/>
            <a:gd name="connsiteX193" fmla="*/ 348388 w 1737360"/>
            <a:gd name="connsiteY193" fmla="*/ 789495 h 1657350"/>
            <a:gd name="connsiteX194" fmla="*/ 312191 w 1737360"/>
            <a:gd name="connsiteY194" fmla="*/ 747797 h 1657350"/>
            <a:gd name="connsiteX195" fmla="*/ 1399065 w 1737360"/>
            <a:gd name="connsiteY195" fmla="*/ 737380 h 1657350"/>
            <a:gd name="connsiteX196" fmla="*/ 1363637 w 1737360"/>
            <a:gd name="connsiteY196" fmla="*/ 779705 h 1657350"/>
            <a:gd name="connsiteX197" fmla="*/ 1406494 w 1737360"/>
            <a:gd name="connsiteY197" fmla="*/ 814487 h 1657350"/>
            <a:gd name="connsiteX198" fmla="*/ 1441921 w 1737360"/>
            <a:gd name="connsiteY198" fmla="*/ 772163 h 1657350"/>
            <a:gd name="connsiteX199" fmla="*/ 1399065 w 1737360"/>
            <a:gd name="connsiteY199" fmla="*/ 737380 h 1657350"/>
            <a:gd name="connsiteX200" fmla="*/ 175050 w 1737360"/>
            <a:gd name="connsiteY200" fmla="*/ 732086 h 1657350"/>
            <a:gd name="connsiteX201" fmla="*/ 126444 w 1737360"/>
            <a:gd name="connsiteY201" fmla="*/ 781404 h 1657350"/>
            <a:gd name="connsiteX202" fmla="*/ 175050 w 1737360"/>
            <a:gd name="connsiteY202" fmla="*/ 830722 h 1657350"/>
            <a:gd name="connsiteX203" fmla="*/ 223656 w 1737360"/>
            <a:gd name="connsiteY203" fmla="*/ 781404 h 1657350"/>
            <a:gd name="connsiteX204" fmla="*/ 175050 w 1737360"/>
            <a:gd name="connsiteY204" fmla="*/ 732086 h 1657350"/>
            <a:gd name="connsiteX205" fmla="*/ 1545567 w 1737360"/>
            <a:gd name="connsiteY205" fmla="*/ 719163 h 1657350"/>
            <a:gd name="connsiteX206" fmla="*/ 1496961 w 1737360"/>
            <a:gd name="connsiteY206" fmla="*/ 768442 h 1657350"/>
            <a:gd name="connsiteX207" fmla="*/ 1545567 w 1737360"/>
            <a:gd name="connsiteY207" fmla="*/ 817721 h 1657350"/>
            <a:gd name="connsiteX208" fmla="*/ 1594173 w 1737360"/>
            <a:gd name="connsiteY208" fmla="*/ 768442 h 1657350"/>
            <a:gd name="connsiteX209" fmla="*/ 1545567 w 1737360"/>
            <a:gd name="connsiteY209" fmla="*/ 719163 h 1657350"/>
            <a:gd name="connsiteX210" fmla="*/ 334729 w 1737360"/>
            <a:gd name="connsiteY210" fmla="*/ 655372 h 1657350"/>
            <a:gd name="connsiteX211" fmla="*/ 286931 w 1737360"/>
            <a:gd name="connsiteY211" fmla="*/ 683020 h 1657350"/>
            <a:gd name="connsiteX212" fmla="*/ 315338 w 1737360"/>
            <a:gd name="connsiteY212" fmla="*/ 730370 h 1657350"/>
            <a:gd name="connsiteX213" fmla="*/ 363135 w 1737360"/>
            <a:gd name="connsiteY213" fmla="*/ 702723 h 1657350"/>
            <a:gd name="connsiteX214" fmla="*/ 334729 w 1737360"/>
            <a:gd name="connsiteY214" fmla="*/ 655372 h 1657350"/>
            <a:gd name="connsiteX215" fmla="*/ 1375076 w 1737360"/>
            <a:gd name="connsiteY215" fmla="*/ 645466 h 1657350"/>
            <a:gd name="connsiteX216" fmla="*/ 1347537 w 1737360"/>
            <a:gd name="connsiteY216" fmla="*/ 693300 h 1657350"/>
            <a:gd name="connsiteX217" fmla="*/ 1395782 w 1737360"/>
            <a:gd name="connsiteY217" fmla="*/ 720112 h 1657350"/>
            <a:gd name="connsiteX218" fmla="*/ 1423322 w 1737360"/>
            <a:gd name="connsiteY218" fmla="*/ 672278 h 1657350"/>
            <a:gd name="connsiteX219" fmla="*/ 1375076 w 1737360"/>
            <a:gd name="connsiteY219" fmla="*/ 645466 h 1657350"/>
            <a:gd name="connsiteX220" fmla="*/ 194934 w 1737360"/>
            <a:gd name="connsiteY220" fmla="*/ 614705 h 1657350"/>
            <a:gd name="connsiteX221" fmla="*/ 146328 w 1737360"/>
            <a:gd name="connsiteY221" fmla="*/ 664023 h 1657350"/>
            <a:gd name="connsiteX222" fmla="*/ 194934 w 1737360"/>
            <a:gd name="connsiteY222" fmla="*/ 713341 h 1657350"/>
            <a:gd name="connsiteX223" fmla="*/ 243540 w 1737360"/>
            <a:gd name="connsiteY223" fmla="*/ 664023 h 1657350"/>
            <a:gd name="connsiteX224" fmla="*/ 194934 w 1737360"/>
            <a:gd name="connsiteY224" fmla="*/ 614705 h 1657350"/>
            <a:gd name="connsiteX225" fmla="*/ 1523809 w 1737360"/>
            <a:gd name="connsiteY225" fmla="*/ 602271 h 1657350"/>
            <a:gd name="connsiteX226" fmla="*/ 1475203 w 1737360"/>
            <a:gd name="connsiteY226" fmla="*/ 651550 h 1657350"/>
            <a:gd name="connsiteX227" fmla="*/ 1523809 w 1737360"/>
            <a:gd name="connsiteY227" fmla="*/ 700829 h 1657350"/>
            <a:gd name="connsiteX228" fmla="*/ 1572415 w 1737360"/>
            <a:gd name="connsiteY228" fmla="*/ 651550 h 1657350"/>
            <a:gd name="connsiteX229" fmla="*/ 1523809 w 1737360"/>
            <a:gd name="connsiteY229" fmla="*/ 602271 h 1657350"/>
            <a:gd name="connsiteX230" fmla="*/ 343095 w 1737360"/>
            <a:gd name="connsiteY230" fmla="*/ 566995 h 1657350"/>
            <a:gd name="connsiteX231" fmla="*/ 321250 w 1737360"/>
            <a:gd name="connsiteY231" fmla="*/ 587138 h 1657350"/>
            <a:gd name="connsiteX232" fmla="*/ 341002 w 1737360"/>
            <a:gd name="connsiteY232" fmla="*/ 638702 h 1657350"/>
            <a:gd name="connsiteX233" fmla="*/ 392875 w 1737360"/>
            <a:gd name="connsiteY233" fmla="*/ 619774 h 1657350"/>
            <a:gd name="connsiteX234" fmla="*/ 373122 w 1737360"/>
            <a:gd name="connsiteY234" fmla="*/ 568211 h 1657350"/>
            <a:gd name="connsiteX235" fmla="*/ 343095 w 1737360"/>
            <a:gd name="connsiteY235" fmla="*/ 566995 h 1657350"/>
            <a:gd name="connsiteX236" fmla="*/ 1365315 w 1737360"/>
            <a:gd name="connsiteY236" fmla="*/ 557383 h 1657350"/>
            <a:gd name="connsiteX237" fmla="*/ 1335335 w 1737360"/>
            <a:gd name="connsiteY237" fmla="*/ 559116 h 1657350"/>
            <a:gd name="connsiteX238" fmla="*/ 1316520 w 1737360"/>
            <a:gd name="connsiteY238" fmla="*/ 611005 h 1657350"/>
            <a:gd name="connsiteX239" fmla="*/ 1368688 w 1737360"/>
            <a:gd name="connsiteY239" fmla="*/ 629032 h 1657350"/>
            <a:gd name="connsiteX240" fmla="*/ 1387503 w 1737360"/>
            <a:gd name="connsiteY240" fmla="*/ 577143 h 1657350"/>
            <a:gd name="connsiteX241" fmla="*/ 1365315 w 1737360"/>
            <a:gd name="connsiteY241" fmla="*/ 557383 h 1657350"/>
            <a:gd name="connsiteX242" fmla="*/ 235058 w 1737360"/>
            <a:gd name="connsiteY242" fmla="*/ 502503 h 1657350"/>
            <a:gd name="connsiteX243" fmla="*/ 186452 w 1737360"/>
            <a:gd name="connsiteY243" fmla="*/ 551821 h 1657350"/>
            <a:gd name="connsiteX244" fmla="*/ 235058 w 1737360"/>
            <a:gd name="connsiteY244" fmla="*/ 601139 h 1657350"/>
            <a:gd name="connsiteX245" fmla="*/ 283664 w 1737360"/>
            <a:gd name="connsiteY245" fmla="*/ 551821 h 1657350"/>
            <a:gd name="connsiteX246" fmla="*/ 235058 w 1737360"/>
            <a:gd name="connsiteY246" fmla="*/ 502503 h 1657350"/>
            <a:gd name="connsiteX247" fmla="*/ 1481914 w 1737360"/>
            <a:gd name="connsiteY247" fmla="*/ 490935 h 1657350"/>
            <a:gd name="connsiteX248" fmla="*/ 1433308 w 1737360"/>
            <a:gd name="connsiteY248" fmla="*/ 540214 h 1657350"/>
            <a:gd name="connsiteX249" fmla="*/ 1481914 w 1737360"/>
            <a:gd name="connsiteY249" fmla="*/ 589493 h 1657350"/>
            <a:gd name="connsiteX250" fmla="*/ 1530520 w 1737360"/>
            <a:gd name="connsiteY250" fmla="*/ 540214 h 1657350"/>
            <a:gd name="connsiteX251" fmla="*/ 1481914 w 1737360"/>
            <a:gd name="connsiteY251" fmla="*/ 490935 h 1657350"/>
            <a:gd name="connsiteX252" fmla="*/ 397222 w 1737360"/>
            <a:gd name="connsiteY252" fmla="*/ 482803 h 1657350"/>
            <a:gd name="connsiteX253" fmla="*/ 372218 w 1737360"/>
            <a:gd name="connsiteY253" fmla="*/ 498852 h 1657350"/>
            <a:gd name="connsiteX254" fmla="*/ 382690 w 1737360"/>
            <a:gd name="connsiteY254" fmla="*/ 553044 h 1657350"/>
            <a:gd name="connsiteX255" fmla="*/ 437035 w 1737360"/>
            <a:gd name="connsiteY255" fmla="*/ 543394 h 1657350"/>
            <a:gd name="connsiteX256" fmla="*/ 426563 w 1737360"/>
            <a:gd name="connsiteY256" fmla="*/ 489202 h 1657350"/>
            <a:gd name="connsiteX257" fmla="*/ 397222 w 1737360"/>
            <a:gd name="connsiteY257" fmla="*/ 482803 h 1657350"/>
            <a:gd name="connsiteX258" fmla="*/ 1310641 w 1737360"/>
            <a:gd name="connsiteY258" fmla="*/ 473778 h 1657350"/>
            <a:gd name="connsiteX259" fmla="*/ 1281398 w 1737360"/>
            <a:gd name="connsiteY259" fmla="*/ 480704 h 1657350"/>
            <a:gd name="connsiteX260" fmla="*/ 1271854 w 1737360"/>
            <a:gd name="connsiteY260" fmla="*/ 535090 h 1657350"/>
            <a:gd name="connsiteX261" fmla="*/ 1326385 w 1737360"/>
            <a:gd name="connsiteY261" fmla="*/ 543766 h 1657350"/>
            <a:gd name="connsiteX262" fmla="*/ 1335930 w 1737360"/>
            <a:gd name="connsiteY262" fmla="*/ 489379 h 1657350"/>
            <a:gd name="connsiteX263" fmla="*/ 1310641 w 1737360"/>
            <a:gd name="connsiteY263" fmla="*/ 473778 h 1657350"/>
            <a:gd name="connsiteX264" fmla="*/ 465264 w 1737360"/>
            <a:gd name="connsiteY264" fmla="*/ 408929 h 1657350"/>
            <a:gd name="connsiteX265" fmla="*/ 437746 w 1737360"/>
            <a:gd name="connsiteY265" fmla="*/ 420658 h 1657350"/>
            <a:gd name="connsiteX266" fmla="*/ 438119 w 1737360"/>
            <a:gd name="connsiteY266" fmla="*/ 475849 h 1657350"/>
            <a:gd name="connsiteX267" fmla="*/ 493309 w 1737360"/>
            <a:gd name="connsiteY267" fmla="*/ 475253 h 1657350"/>
            <a:gd name="connsiteX268" fmla="*/ 492936 w 1737360"/>
            <a:gd name="connsiteY268" fmla="*/ 420061 h 1657350"/>
            <a:gd name="connsiteX269" fmla="*/ 465264 w 1737360"/>
            <a:gd name="connsiteY269" fmla="*/ 408929 h 1657350"/>
            <a:gd name="connsiteX270" fmla="*/ 1241757 w 1737360"/>
            <a:gd name="connsiteY270" fmla="*/ 401146 h 1657350"/>
            <a:gd name="connsiteX271" fmla="*/ 1214161 w 1737360"/>
            <a:gd name="connsiteY271" fmla="*/ 413045 h 1657350"/>
            <a:gd name="connsiteX272" fmla="*/ 1214205 w 1737360"/>
            <a:gd name="connsiteY272" fmla="*/ 468262 h 1657350"/>
            <a:gd name="connsiteX273" fmla="*/ 1269415 w 1737360"/>
            <a:gd name="connsiteY273" fmla="*/ 467337 h 1657350"/>
            <a:gd name="connsiteX274" fmla="*/ 1269371 w 1737360"/>
            <a:gd name="connsiteY274" fmla="*/ 412119 h 1657350"/>
            <a:gd name="connsiteX275" fmla="*/ 1241757 w 1737360"/>
            <a:gd name="connsiteY275" fmla="*/ 401146 h 1657350"/>
            <a:gd name="connsiteX276" fmla="*/ 294651 w 1737360"/>
            <a:gd name="connsiteY276" fmla="*/ 399228 h 1657350"/>
            <a:gd name="connsiteX277" fmla="*/ 246045 w 1737360"/>
            <a:gd name="connsiteY277" fmla="*/ 448507 h 1657350"/>
            <a:gd name="connsiteX278" fmla="*/ 294651 w 1737360"/>
            <a:gd name="connsiteY278" fmla="*/ 497786 h 1657350"/>
            <a:gd name="connsiteX279" fmla="*/ 343257 w 1737360"/>
            <a:gd name="connsiteY279" fmla="*/ 448507 h 1657350"/>
            <a:gd name="connsiteX280" fmla="*/ 294651 w 1737360"/>
            <a:gd name="connsiteY280" fmla="*/ 399228 h 1657350"/>
            <a:gd name="connsiteX281" fmla="*/ 1421598 w 1737360"/>
            <a:gd name="connsiteY281" fmla="*/ 388185 h 1657350"/>
            <a:gd name="connsiteX282" fmla="*/ 1372992 w 1737360"/>
            <a:gd name="connsiteY282" fmla="*/ 437503 h 1657350"/>
            <a:gd name="connsiteX283" fmla="*/ 1421598 w 1737360"/>
            <a:gd name="connsiteY283" fmla="*/ 486821 h 1657350"/>
            <a:gd name="connsiteX284" fmla="*/ 1470204 w 1737360"/>
            <a:gd name="connsiteY284" fmla="*/ 437503 h 1657350"/>
            <a:gd name="connsiteX285" fmla="*/ 1421598 w 1737360"/>
            <a:gd name="connsiteY285" fmla="*/ 388185 h 1657350"/>
            <a:gd name="connsiteX286" fmla="*/ 544826 w 1737360"/>
            <a:gd name="connsiteY286" fmla="*/ 347873 h 1657350"/>
            <a:gd name="connsiteX287" fmla="*/ 515690 w 1737360"/>
            <a:gd name="connsiteY287" fmla="*/ 354645 h 1657350"/>
            <a:gd name="connsiteX288" fmla="*/ 506473 w 1737360"/>
            <a:gd name="connsiteY288" fmla="*/ 409063 h 1657350"/>
            <a:gd name="connsiteX289" fmla="*/ 560928 w 1737360"/>
            <a:gd name="connsiteY289" fmla="*/ 418059 h 1657350"/>
            <a:gd name="connsiteX290" fmla="*/ 570144 w 1737360"/>
            <a:gd name="connsiteY290" fmla="*/ 363642 h 1657350"/>
            <a:gd name="connsiteX291" fmla="*/ 544826 w 1737360"/>
            <a:gd name="connsiteY291" fmla="*/ 347873 h 1657350"/>
            <a:gd name="connsiteX292" fmla="*/ 1160801 w 1737360"/>
            <a:gd name="connsiteY292" fmla="*/ 341571 h 1657350"/>
            <a:gd name="connsiteX293" fmla="*/ 1135751 w 1737360"/>
            <a:gd name="connsiteY293" fmla="*/ 357800 h 1657350"/>
            <a:gd name="connsiteX294" fmla="*/ 1145905 w 1737360"/>
            <a:gd name="connsiteY294" fmla="*/ 412073 h 1657350"/>
            <a:gd name="connsiteX295" fmla="*/ 1200210 w 1737360"/>
            <a:gd name="connsiteY295" fmla="*/ 402096 h 1657350"/>
            <a:gd name="connsiteX296" fmla="*/ 1190057 w 1737360"/>
            <a:gd name="connsiteY296" fmla="*/ 347823 h 1657350"/>
            <a:gd name="connsiteX297" fmla="*/ 1160801 w 1737360"/>
            <a:gd name="connsiteY297" fmla="*/ 341571 h 1657350"/>
            <a:gd name="connsiteX298" fmla="*/ 370959 w 1737360"/>
            <a:gd name="connsiteY298" fmla="*/ 307821 h 1657350"/>
            <a:gd name="connsiteX299" fmla="*/ 321953 w 1737360"/>
            <a:gd name="connsiteY299" fmla="*/ 356698 h 1657350"/>
            <a:gd name="connsiteX300" fmla="*/ 370959 w 1737360"/>
            <a:gd name="connsiteY300" fmla="*/ 405575 h 1657350"/>
            <a:gd name="connsiteX301" fmla="*/ 419965 w 1737360"/>
            <a:gd name="connsiteY301" fmla="*/ 356698 h 1657350"/>
            <a:gd name="connsiteX302" fmla="*/ 370959 w 1737360"/>
            <a:gd name="connsiteY302" fmla="*/ 307821 h 1657350"/>
            <a:gd name="connsiteX303" fmla="*/ 633665 w 1737360"/>
            <a:gd name="connsiteY303" fmla="*/ 301013 h 1657350"/>
            <a:gd name="connsiteX304" fmla="*/ 603792 w 1737360"/>
            <a:gd name="connsiteY304" fmla="*/ 302615 h 1657350"/>
            <a:gd name="connsiteX305" fmla="*/ 585279 w 1737360"/>
            <a:gd name="connsiteY305" fmla="*/ 354634 h 1657350"/>
            <a:gd name="connsiteX306" fmla="*/ 637357 w 1737360"/>
            <a:gd name="connsiteY306" fmla="*/ 372977 h 1657350"/>
            <a:gd name="connsiteX307" fmla="*/ 655870 w 1737360"/>
            <a:gd name="connsiteY307" fmla="*/ 320959 h 1657350"/>
            <a:gd name="connsiteX308" fmla="*/ 633665 w 1737360"/>
            <a:gd name="connsiteY308" fmla="*/ 301013 h 1657350"/>
            <a:gd name="connsiteX309" fmla="*/ 1343759 w 1737360"/>
            <a:gd name="connsiteY309" fmla="*/ 297766 h 1657350"/>
            <a:gd name="connsiteX310" fmla="*/ 1295153 w 1737360"/>
            <a:gd name="connsiteY310" fmla="*/ 347084 h 1657350"/>
            <a:gd name="connsiteX311" fmla="*/ 1343759 w 1737360"/>
            <a:gd name="connsiteY311" fmla="*/ 396402 h 1657350"/>
            <a:gd name="connsiteX312" fmla="*/ 1392365 w 1737360"/>
            <a:gd name="connsiteY312" fmla="*/ 347084 h 1657350"/>
            <a:gd name="connsiteX313" fmla="*/ 1343759 w 1737360"/>
            <a:gd name="connsiteY313" fmla="*/ 297766 h 1657350"/>
            <a:gd name="connsiteX314" fmla="*/ 1070975 w 1737360"/>
            <a:gd name="connsiteY314" fmla="*/ 296789 h 1657350"/>
            <a:gd name="connsiteX315" fmla="*/ 1049124 w 1737360"/>
            <a:gd name="connsiteY315" fmla="*/ 317121 h 1657350"/>
            <a:gd name="connsiteX316" fmla="*/ 1068547 w 1737360"/>
            <a:gd name="connsiteY316" fmla="*/ 368806 h 1657350"/>
            <a:gd name="connsiteX317" fmla="*/ 1120296 w 1737360"/>
            <a:gd name="connsiteY317" fmla="*/ 349551 h 1657350"/>
            <a:gd name="connsiteX318" fmla="*/ 1100872 w 1737360"/>
            <a:gd name="connsiteY318" fmla="*/ 297866 h 1657350"/>
            <a:gd name="connsiteX319" fmla="*/ 1070975 w 1737360"/>
            <a:gd name="connsiteY319" fmla="*/ 296789 h 1657350"/>
            <a:gd name="connsiteX320" fmla="*/ 699843 w 1737360"/>
            <a:gd name="connsiteY320" fmla="*/ 266941 h 1657350"/>
            <a:gd name="connsiteX321" fmla="*/ 672578 w 1737360"/>
            <a:gd name="connsiteY321" fmla="*/ 314955 h 1657350"/>
            <a:gd name="connsiteX322" fmla="*/ 720680 w 1737360"/>
            <a:gd name="connsiteY322" fmla="*/ 342063 h 1657350"/>
            <a:gd name="connsiteX323" fmla="*/ 747945 w 1737360"/>
            <a:gd name="connsiteY323" fmla="*/ 294049 h 1657350"/>
            <a:gd name="connsiteX324" fmla="*/ 699843 w 1737360"/>
            <a:gd name="connsiteY324" fmla="*/ 266941 h 1657350"/>
            <a:gd name="connsiteX325" fmla="*/ 1004264 w 1737360"/>
            <a:gd name="connsiteY325" fmla="*/ 264032 h 1657350"/>
            <a:gd name="connsiteX326" fmla="*/ 956646 w 1737360"/>
            <a:gd name="connsiteY326" fmla="*/ 291981 h 1657350"/>
            <a:gd name="connsiteX327" fmla="*/ 984749 w 1737360"/>
            <a:gd name="connsiteY327" fmla="*/ 339508 h 1657350"/>
            <a:gd name="connsiteX328" fmla="*/ 1032368 w 1737360"/>
            <a:gd name="connsiteY328" fmla="*/ 311559 h 1657350"/>
            <a:gd name="connsiteX329" fmla="*/ 1004264 w 1737360"/>
            <a:gd name="connsiteY329" fmla="*/ 264032 h 1657350"/>
            <a:gd name="connsiteX330" fmla="*/ 800658 w 1737360"/>
            <a:gd name="connsiteY330" fmla="*/ 248331 h 1657350"/>
            <a:gd name="connsiteX331" fmla="*/ 765470 w 1737360"/>
            <a:gd name="connsiteY331" fmla="*/ 290881 h 1657350"/>
            <a:gd name="connsiteX332" fmla="*/ 808134 w 1737360"/>
            <a:gd name="connsiteY332" fmla="*/ 325930 h 1657350"/>
            <a:gd name="connsiteX333" fmla="*/ 843322 w 1737360"/>
            <a:gd name="connsiteY333" fmla="*/ 283381 h 1657350"/>
            <a:gd name="connsiteX334" fmla="*/ 800658 w 1737360"/>
            <a:gd name="connsiteY334" fmla="*/ 248331 h 1657350"/>
            <a:gd name="connsiteX335" fmla="*/ 903169 w 1737360"/>
            <a:gd name="connsiteY335" fmla="*/ 247352 h 1657350"/>
            <a:gd name="connsiteX336" fmla="*/ 861127 w 1737360"/>
            <a:gd name="connsiteY336" fmla="*/ 283145 h 1657350"/>
            <a:gd name="connsiteX337" fmla="*/ 897057 w 1737360"/>
            <a:gd name="connsiteY337" fmla="*/ 325070 h 1657350"/>
            <a:gd name="connsiteX338" fmla="*/ 939098 w 1737360"/>
            <a:gd name="connsiteY338" fmla="*/ 289277 h 1657350"/>
            <a:gd name="connsiteX339" fmla="*/ 903169 w 1737360"/>
            <a:gd name="connsiteY339" fmla="*/ 247352 h 1657350"/>
            <a:gd name="connsiteX340" fmla="*/ 462158 w 1737360"/>
            <a:gd name="connsiteY340" fmla="*/ 230525 h 1657350"/>
            <a:gd name="connsiteX341" fmla="*/ 413152 w 1737360"/>
            <a:gd name="connsiteY341" fmla="*/ 279402 h 1657350"/>
            <a:gd name="connsiteX342" fmla="*/ 462158 w 1737360"/>
            <a:gd name="connsiteY342" fmla="*/ 328279 h 1657350"/>
            <a:gd name="connsiteX343" fmla="*/ 511164 w 1737360"/>
            <a:gd name="connsiteY343" fmla="*/ 279402 h 1657350"/>
            <a:gd name="connsiteX344" fmla="*/ 462158 w 1737360"/>
            <a:gd name="connsiteY344" fmla="*/ 230525 h 1657350"/>
            <a:gd name="connsiteX345" fmla="*/ 1251253 w 1737360"/>
            <a:gd name="connsiteY345" fmla="*/ 222555 h 1657350"/>
            <a:gd name="connsiteX346" fmla="*/ 1202247 w 1737360"/>
            <a:gd name="connsiteY346" fmla="*/ 271471 h 1657350"/>
            <a:gd name="connsiteX347" fmla="*/ 1251253 w 1737360"/>
            <a:gd name="connsiteY347" fmla="*/ 320387 h 1657350"/>
            <a:gd name="connsiteX348" fmla="*/ 1300259 w 1737360"/>
            <a:gd name="connsiteY348" fmla="*/ 271471 h 1657350"/>
            <a:gd name="connsiteX349" fmla="*/ 1251253 w 1737360"/>
            <a:gd name="connsiteY349" fmla="*/ 222555 h 1657350"/>
            <a:gd name="connsiteX350" fmla="*/ 565244 w 1737360"/>
            <a:gd name="connsiteY350" fmla="*/ 169567 h 1657350"/>
            <a:gd name="connsiteX351" fmla="*/ 516238 w 1737360"/>
            <a:gd name="connsiteY351" fmla="*/ 218483 h 1657350"/>
            <a:gd name="connsiteX352" fmla="*/ 565244 w 1737360"/>
            <a:gd name="connsiteY352" fmla="*/ 267399 h 1657350"/>
            <a:gd name="connsiteX353" fmla="*/ 614250 w 1737360"/>
            <a:gd name="connsiteY353" fmla="*/ 218483 h 1657350"/>
            <a:gd name="connsiteX354" fmla="*/ 565244 w 1737360"/>
            <a:gd name="connsiteY354" fmla="*/ 169567 h 1657350"/>
            <a:gd name="connsiteX355" fmla="*/ 1146892 w 1737360"/>
            <a:gd name="connsiteY355" fmla="*/ 164046 h 1657350"/>
            <a:gd name="connsiteX356" fmla="*/ 1097886 w 1737360"/>
            <a:gd name="connsiteY356" fmla="*/ 212962 h 1657350"/>
            <a:gd name="connsiteX357" fmla="*/ 1146892 w 1737360"/>
            <a:gd name="connsiteY357" fmla="*/ 261878 h 1657350"/>
            <a:gd name="connsiteX358" fmla="*/ 1195898 w 1737360"/>
            <a:gd name="connsiteY358" fmla="*/ 212962 h 1657350"/>
            <a:gd name="connsiteX359" fmla="*/ 1146892 w 1737360"/>
            <a:gd name="connsiteY359" fmla="*/ 164046 h 1657350"/>
            <a:gd name="connsiteX360" fmla="*/ 677634 w 1737360"/>
            <a:gd name="connsiteY360" fmla="*/ 127800 h 1657350"/>
            <a:gd name="connsiteX361" fmla="*/ 628628 w 1737360"/>
            <a:gd name="connsiteY361" fmla="*/ 176716 h 1657350"/>
            <a:gd name="connsiteX362" fmla="*/ 677634 w 1737360"/>
            <a:gd name="connsiteY362" fmla="*/ 225632 h 1657350"/>
            <a:gd name="connsiteX363" fmla="*/ 726640 w 1737360"/>
            <a:gd name="connsiteY363" fmla="*/ 176716 h 1657350"/>
            <a:gd name="connsiteX364" fmla="*/ 677634 w 1737360"/>
            <a:gd name="connsiteY364" fmla="*/ 127800 h 1657350"/>
            <a:gd name="connsiteX365" fmla="*/ 1033845 w 1737360"/>
            <a:gd name="connsiteY365" fmla="*/ 124419 h 1657350"/>
            <a:gd name="connsiteX366" fmla="*/ 984839 w 1737360"/>
            <a:gd name="connsiteY366" fmla="*/ 173335 h 1657350"/>
            <a:gd name="connsiteX367" fmla="*/ 1033845 w 1737360"/>
            <a:gd name="connsiteY367" fmla="*/ 222251 h 1657350"/>
            <a:gd name="connsiteX368" fmla="*/ 1082851 w 1737360"/>
            <a:gd name="connsiteY368" fmla="*/ 173335 h 1657350"/>
            <a:gd name="connsiteX369" fmla="*/ 1033845 w 1737360"/>
            <a:gd name="connsiteY369" fmla="*/ 124419 h 1657350"/>
            <a:gd name="connsiteX370" fmla="*/ 795597 w 1737360"/>
            <a:gd name="connsiteY370" fmla="*/ 106016 h 1657350"/>
            <a:gd name="connsiteX371" fmla="*/ 746591 w 1737360"/>
            <a:gd name="connsiteY371" fmla="*/ 154932 h 1657350"/>
            <a:gd name="connsiteX372" fmla="*/ 795597 w 1737360"/>
            <a:gd name="connsiteY372" fmla="*/ 203848 h 1657350"/>
            <a:gd name="connsiteX373" fmla="*/ 844603 w 1737360"/>
            <a:gd name="connsiteY373" fmla="*/ 154932 h 1657350"/>
            <a:gd name="connsiteX374" fmla="*/ 795597 w 1737360"/>
            <a:gd name="connsiteY374" fmla="*/ 106016 h 1657350"/>
            <a:gd name="connsiteX375" fmla="*/ 915549 w 1737360"/>
            <a:gd name="connsiteY375" fmla="*/ 104878 h 1657350"/>
            <a:gd name="connsiteX376" fmla="*/ 866543 w 1737360"/>
            <a:gd name="connsiteY376" fmla="*/ 153794 h 1657350"/>
            <a:gd name="connsiteX377" fmla="*/ 915549 w 1737360"/>
            <a:gd name="connsiteY377" fmla="*/ 202710 h 1657350"/>
            <a:gd name="connsiteX378" fmla="*/ 964555 w 1737360"/>
            <a:gd name="connsiteY378" fmla="*/ 153794 h 1657350"/>
            <a:gd name="connsiteX379" fmla="*/ 915549 w 1737360"/>
            <a:gd name="connsiteY379" fmla="*/ 104878 h 1657350"/>
            <a:gd name="connsiteX380" fmla="*/ 0 w 1737360"/>
            <a:gd name="connsiteY380" fmla="*/ 0 h 1657350"/>
            <a:gd name="connsiteX381" fmla="*/ 1737360 w 1737360"/>
            <a:gd name="connsiteY381" fmla="*/ 0 h 1657350"/>
            <a:gd name="connsiteX382" fmla="*/ 1737360 w 1737360"/>
            <a:gd name="connsiteY382" fmla="*/ 1657350 h 1657350"/>
            <a:gd name="connsiteX383" fmla="*/ 0 w 1737360"/>
            <a:gd name="connsiteY383" fmla="*/ 1657350 h 1657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Lst>
          <a:rect l="l" t="t" r="r" b="b"/>
          <a:pathLst>
            <a:path w="1737360" h="1657350">
              <a:moveTo>
                <a:pt x="806570" y="1466075"/>
              </a:moveTo>
              <a:cubicBezTo>
                <a:pt x="779505" y="1466075"/>
                <a:pt x="757564" y="1487975"/>
                <a:pt x="757564" y="1514991"/>
              </a:cubicBezTo>
              <a:cubicBezTo>
                <a:pt x="757564" y="1542007"/>
                <a:pt x="779505" y="1563907"/>
                <a:pt x="806570" y="1563907"/>
              </a:cubicBezTo>
              <a:cubicBezTo>
                <a:pt x="833635" y="1563907"/>
                <a:pt x="855576" y="1542007"/>
                <a:pt x="855576" y="1514991"/>
              </a:cubicBezTo>
              <a:cubicBezTo>
                <a:pt x="855576" y="1487975"/>
                <a:pt x="833635" y="1466075"/>
                <a:pt x="806570" y="1466075"/>
              </a:cubicBezTo>
              <a:close/>
              <a:moveTo>
                <a:pt x="926522" y="1464936"/>
              </a:moveTo>
              <a:cubicBezTo>
                <a:pt x="899457" y="1464936"/>
                <a:pt x="877516" y="1486836"/>
                <a:pt x="877516" y="1513852"/>
              </a:cubicBezTo>
              <a:cubicBezTo>
                <a:pt x="877516" y="1540868"/>
                <a:pt x="899457" y="1562768"/>
                <a:pt x="926522" y="1562768"/>
              </a:cubicBezTo>
              <a:cubicBezTo>
                <a:pt x="953587" y="1562768"/>
                <a:pt x="975528" y="1540868"/>
                <a:pt x="975528" y="1513852"/>
              </a:cubicBezTo>
              <a:cubicBezTo>
                <a:pt x="975528" y="1486836"/>
                <a:pt x="953587" y="1464936"/>
                <a:pt x="926522" y="1464936"/>
              </a:cubicBezTo>
              <a:close/>
              <a:moveTo>
                <a:pt x="688274" y="1446533"/>
              </a:moveTo>
              <a:cubicBezTo>
                <a:pt x="661209" y="1446533"/>
                <a:pt x="639268" y="1468433"/>
                <a:pt x="639268" y="1495449"/>
              </a:cubicBezTo>
              <a:cubicBezTo>
                <a:pt x="639268" y="1522465"/>
                <a:pt x="661209" y="1544365"/>
                <a:pt x="688274" y="1544365"/>
              </a:cubicBezTo>
              <a:cubicBezTo>
                <a:pt x="715339" y="1544365"/>
                <a:pt x="737280" y="1522465"/>
                <a:pt x="737280" y="1495449"/>
              </a:cubicBezTo>
              <a:cubicBezTo>
                <a:pt x="737280" y="1468433"/>
                <a:pt x="715339" y="1446533"/>
                <a:pt x="688274" y="1446533"/>
              </a:cubicBezTo>
              <a:close/>
              <a:moveTo>
                <a:pt x="1044485" y="1443153"/>
              </a:moveTo>
              <a:cubicBezTo>
                <a:pt x="1017420" y="1443153"/>
                <a:pt x="995479" y="1465053"/>
                <a:pt x="995479" y="1492069"/>
              </a:cubicBezTo>
              <a:cubicBezTo>
                <a:pt x="995479" y="1519085"/>
                <a:pt x="1017420" y="1540985"/>
                <a:pt x="1044485" y="1540985"/>
              </a:cubicBezTo>
              <a:cubicBezTo>
                <a:pt x="1071550" y="1540985"/>
                <a:pt x="1093491" y="1519085"/>
                <a:pt x="1093491" y="1492069"/>
              </a:cubicBezTo>
              <a:cubicBezTo>
                <a:pt x="1093491" y="1465053"/>
                <a:pt x="1071550" y="1443153"/>
                <a:pt x="1044485" y="1443153"/>
              </a:cubicBezTo>
              <a:close/>
              <a:moveTo>
                <a:pt x="575227" y="1406907"/>
              </a:moveTo>
              <a:cubicBezTo>
                <a:pt x="548162" y="1406907"/>
                <a:pt x="526221" y="1428807"/>
                <a:pt x="526221" y="1455823"/>
              </a:cubicBezTo>
              <a:cubicBezTo>
                <a:pt x="526221" y="1482839"/>
                <a:pt x="548162" y="1504739"/>
                <a:pt x="575227" y="1504739"/>
              </a:cubicBezTo>
              <a:cubicBezTo>
                <a:pt x="602292" y="1504739"/>
                <a:pt x="624233" y="1482839"/>
                <a:pt x="624233" y="1455823"/>
              </a:cubicBezTo>
              <a:cubicBezTo>
                <a:pt x="624233" y="1428807"/>
                <a:pt x="602292" y="1406907"/>
                <a:pt x="575227" y="1406907"/>
              </a:cubicBezTo>
              <a:close/>
              <a:moveTo>
                <a:pt x="1156875" y="1401385"/>
              </a:moveTo>
              <a:cubicBezTo>
                <a:pt x="1129810" y="1401385"/>
                <a:pt x="1107869" y="1423285"/>
                <a:pt x="1107869" y="1450301"/>
              </a:cubicBezTo>
              <a:cubicBezTo>
                <a:pt x="1107869" y="1477317"/>
                <a:pt x="1129810" y="1499217"/>
                <a:pt x="1156875" y="1499217"/>
              </a:cubicBezTo>
              <a:cubicBezTo>
                <a:pt x="1183940" y="1499217"/>
                <a:pt x="1205881" y="1477317"/>
                <a:pt x="1205881" y="1450301"/>
              </a:cubicBezTo>
              <a:cubicBezTo>
                <a:pt x="1205881" y="1423285"/>
                <a:pt x="1183940" y="1401385"/>
                <a:pt x="1156875" y="1401385"/>
              </a:cubicBezTo>
              <a:close/>
              <a:moveTo>
                <a:pt x="470866" y="1348397"/>
              </a:moveTo>
              <a:cubicBezTo>
                <a:pt x="443801" y="1348397"/>
                <a:pt x="421860" y="1370297"/>
                <a:pt x="421860" y="1397313"/>
              </a:cubicBezTo>
              <a:cubicBezTo>
                <a:pt x="421860" y="1424329"/>
                <a:pt x="443801" y="1446229"/>
                <a:pt x="470866" y="1446229"/>
              </a:cubicBezTo>
              <a:cubicBezTo>
                <a:pt x="497931" y="1446229"/>
                <a:pt x="519872" y="1424329"/>
                <a:pt x="519872" y="1397313"/>
              </a:cubicBezTo>
              <a:cubicBezTo>
                <a:pt x="519872" y="1370297"/>
                <a:pt x="497931" y="1348397"/>
                <a:pt x="470866" y="1348397"/>
              </a:cubicBezTo>
              <a:close/>
              <a:moveTo>
                <a:pt x="1259961" y="1340504"/>
              </a:moveTo>
              <a:cubicBezTo>
                <a:pt x="1232896" y="1340504"/>
                <a:pt x="1210955" y="1362387"/>
                <a:pt x="1210955" y="1389381"/>
              </a:cubicBezTo>
              <a:cubicBezTo>
                <a:pt x="1210955" y="1416375"/>
                <a:pt x="1232896" y="1438258"/>
                <a:pt x="1259961" y="1438258"/>
              </a:cubicBezTo>
              <a:cubicBezTo>
                <a:pt x="1287026" y="1438258"/>
                <a:pt x="1308967" y="1416375"/>
                <a:pt x="1308967" y="1389381"/>
              </a:cubicBezTo>
              <a:cubicBezTo>
                <a:pt x="1308967" y="1362387"/>
                <a:pt x="1287026" y="1340504"/>
                <a:pt x="1259961" y="1340504"/>
              </a:cubicBezTo>
              <a:close/>
              <a:moveTo>
                <a:pt x="816063" y="1332051"/>
              </a:moveTo>
              <a:cubicBezTo>
                <a:pt x="794531" y="1330358"/>
                <a:pt x="775709" y="1346382"/>
                <a:pt x="774021" y="1367844"/>
              </a:cubicBezTo>
              <a:cubicBezTo>
                <a:pt x="772333" y="1389306"/>
                <a:pt x="788419" y="1408076"/>
                <a:pt x="809951" y="1409769"/>
              </a:cubicBezTo>
              <a:cubicBezTo>
                <a:pt x="831482" y="1411463"/>
                <a:pt x="850304" y="1395438"/>
                <a:pt x="851992" y="1373976"/>
              </a:cubicBezTo>
              <a:cubicBezTo>
                <a:pt x="853680" y="1352514"/>
                <a:pt x="837594" y="1333744"/>
                <a:pt x="816063" y="1332051"/>
              </a:cubicBezTo>
              <a:close/>
              <a:moveTo>
                <a:pt x="904986" y="1331190"/>
              </a:moveTo>
              <a:cubicBezTo>
                <a:pt x="883487" y="1333262"/>
                <a:pt x="867733" y="1352311"/>
                <a:pt x="869798" y="1373740"/>
              </a:cubicBezTo>
              <a:cubicBezTo>
                <a:pt x="871863" y="1395169"/>
                <a:pt x="890963" y="1410861"/>
                <a:pt x="912462" y="1408789"/>
              </a:cubicBezTo>
              <a:cubicBezTo>
                <a:pt x="933960" y="1406718"/>
                <a:pt x="949714" y="1387668"/>
                <a:pt x="947650" y="1366240"/>
              </a:cubicBezTo>
              <a:cubicBezTo>
                <a:pt x="945585" y="1344811"/>
                <a:pt x="926484" y="1329119"/>
                <a:pt x="904986" y="1331190"/>
              </a:cubicBezTo>
              <a:close/>
              <a:moveTo>
                <a:pt x="728369" y="1317613"/>
              </a:moveTo>
              <a:cubicBezTo>
                <a:pt x="707459" y="1312206"/>
                <a:pt x="686140" y="1324719"/>
                <a:pt x="680751" y="1345562"/>
              </a:cubicBezTo>
              <a:cubicBezTo>
                <a:pt x="675362" y="1366404"/>
                <a:pt x="687944" y="1387682"/>
                <a:pt x="708854" y="1393089"/>
              </a:cubicBezTo>
              <a:cubicBezTo>
                <a:pt x="729765" y="1398495"/>
                <a:pt x="751084" y="1385983"/>
                <a:pt x="756473" y="1365140"/>
              </a:cubicBezTo>
              <a:cubicBezTo>
                <a:pt x="761862" y="1344298"/>
                <a:pt x="749279" y="1323020"/>
                <a:pt x="728369" y="1317613"/>
              </a:cubicBezTo>
              <a:close/>
              <a:moveTo>
                <a:pt x="992437" y="1315057"/>
              </a:moveTo>
              <a:cubicBezTo>
                <a:pt x="971625" y="1320830"/>
                <a:pt x="959418" y="1342326"/>
                <a:pt x="965172" y="1363071"/>
              </a:cubicBezTo>
              <a:cubicBezTo>
                <a:pt x="970927" y="1383815"/>
                <a:pt x="992462" y="1395952"/>
                <a:pt x="1013274" y="1390179"/>
              </a:cubicBezTo>
              <a:cubicBezTo>
                <a:pt x="1034087" y="1384406"/>
                <a:pt x="1046293" y="1362910"/>
                <a:pt x="1040539" y="1342165"/>
              </a:cubicBezTo>
              <a:cubicBezTo>
                <a:pt x="1034785" y="1321421"/>
                <a:pt x="1013249" y="1309284"/>
                <a:pt x="992437" y="1315057"/>
              </a:cubicBezTo>
              <a:close/>
              <a:moveTo>
                <a:pt x="614674" y="1287239"/>
              </a:moveTo>
              <a:cubicBezTo>
                <a:pt x="605310" y="1290723"/>
                <a:pt x="597286" y="1297776"/>
                <a:pt x="592823" y="1307571"/>
              </a:cubicBezTo>
              <a:cubicBezTo>
                <a:pt x="583896" y="1327161"/>
                <a:pt x="592592" y="1350301"/>
                <a:pt x="612246" y="1359256"/>
              </a:cubicBezTo>
              <a:cubicBezTo>
                <a:pt x="631900" y="1368212"/>
                <a:pt x="655068" y="1359591"/>
                <a:pt x="663994" y="1340001"/>
              </a:cubicBezTo>
              <a:cubicBezTo>
                <a:pt x="672921" y="1320411"/>
                <a:pt x="664225" y="1297271"/>
                <a:pt x="644571" y="1288316"/>
              </a:cubicBezTo>
              <a:cubicBezTo>
                <a:pt x="634744" y="1283838"/>
                <a:pt x="624039" y="1283754"/>
                <a:pt x="614674" y="1287239"/>
              </a:cubicBezTo>
              <a:close/>
              <a:moveTo>
                <a:pt x="1105633" y="1282540"/>
              </a:moveTo>
              <a:cubicBezTo>
                <a:pt x="1096209" y="1279221"/>
                <a:pt x="1085506" y="1279492"/>
                <a:pt x="1075760" y="1284142"/>
              </a:cubicBezTo>
              <a:cubicBezTo>
                <a:pt x="1056266" y="1293441"/>
                <a:pt x="1047978" y="1316730"/>
                <a:pt x="1057247" y="1336161"/>
              </a:cubicBezTo>
              <a:cubicBezTo>
                <a:pt x="1066516" y="1355591"/>
                <a:pt x="1089832" y="1363803"/>
                <a:pt x="1109326" y="1354504"/>
              </a:cubicBezTo>
              <a:cubicBezTo>
                <a:pt x="1128819" y="1345205"/>
                <a:pt x="1137108" y="1321916"/>
                <a:pt x="1127839" y="1302486"/>
              </a:cubicBezTo>
              <a:cubicBezTo>
                <a:pt x="1123204" y="1292771"/>
                <a:pt x="1115058" y="1285860"/>
                <a:pt x="1105633" y="1282540"/>
              </a:cubicBezTo>
              <a:close/>
              <a:moveTo>
                <a:pt x="378360" y="1272382"/>
              </a:moveTo>
              <a:cubicBezTo>
                <a:pt x="351516" y="1272382"/>
                <a:pt x="329754" y="1294462"/>
                <a:pt x="329754" y="1321700"/>
              </a:cubicBezTo>
              <a:cubicBezTo>
                <a:pt x="329754" y="1348938"/>
                <a:pt x="351516" y="1371018"/>
                <a:pt x="378360" y="1371018"/>
              </a:cubicBezTo>
              <a:cubicBezTo>
                <a:pt x="405204" y="1371018"/>
                <a:pt x="426966" y="1348938"/>
                <a:pt x="426966" y="1321700"/>
              </a:cubicBezTo>
              <a:cubicBezTo>
                <a:pt x="426966" y="1294462"/>
                <a:pt x="405204" y="1272382"/>
                <a:pt x="378360" y="1272382"/>
              </a:cubicBezTo>
              <a:close/>
              <a:moveTo>
                <a:pt x="1351159" y="1263207"/>
              </a:moveTo>
              <a:cubicBezTo>
                <a:pt x="1324094" y="1263207"/>
                <a:pt x="1302153" y="1285090"/>
                <a:pt x="1302153" y="1312084"/>
              </a:cubicBezTo>
              <a:cubicBezTo>
                <a:pt x="1302153" y="1339078"/>
                <a:pt x="1324094" y="1360961"/>
                <a:pt x="1351159" y="1360961"/>
              </a:cubicBezTo>
              <a:cubicBezTo>
                <a:pt x="1378224" y="1360961"/>
                <a:pt x="1400165" y="1339078"/>
                <a:pt x="1400165" y="1312084"/>
              </a:cubicBezTo>
              <a:cubicBezTo>
                <a:pt x="1400165" y="1285090"/>
                <a:pt x="1378224" y="1263207"/>
                <a:pt x="1351159" y="1263207"/>
              </a:cubicBezTo>
              <a:close/>
              <a:moveTo>
                <a:pt x="537959" y="1238796"/>
              </a:moveTo>
              <a:cubicBezTo>
                <a:pt x="528131" y="1240601"/>
                <a:pt x="519005" y="1246154"/>
                <a:pt x="512909" y="1255025"/>
              </a:cubicBezTo>
              <a:cubicBezTo>
                <a:pt x="500716" y="1272767"/>
                <a:pt x="505262" y="1297066"/>
                <a:pt x="523062" y="1309298"/>
              </a:cubicBezTo>
              <a:cubicBezTo>
                <a:pt x="540862" y="1321530"/>
                <a:pt x="565175" y="1317064"/>
                <a:pt x="577368" y="1299321"/>
              </a:cubicBezTo>
              <a:cubicBezTo>
                <a:pt x="589560" y="1281579"/>
                <a:pt x="585015" y="1257280"/>
                <a:pt x="567215" y="1245048"/>
              </a:cubicBezTo>
              <a:cubicBezTo>
                <a:pt x="558315" y="1238932"/>
                <a:pt x="547786" y="1236991"/>
                <a:pt x="537959" y="1238796"/>
              </a:cubicBezTo>
              <a:close/>
              <a:moveTo>
                <a:pt x="1181325" y="1232288"/>
              </a:moveTo>
              <a:cubicBezTo>
                <a:pt x="1171471" y="1230660"/>
                <a:pt x="1160981" y="1232789"/>
                <a:pt x="1152189" y="1239060"/>
              </a:cubicBezTo>
              <a:cubicBezTo>
                <a:pt x="1134606" y="1251603"/>
                <a:pt x="1130481" y="1275967"/>
                <a:pt x="1142973" y="1293478"/>
              </a:cubicBezTo>
              <a:cubicBezTo>
                <a:pt x="1155464" y="1310989"/>
                <a:pt x="1179844" y="1315017"/>
                <a:pt x="1197427" y="1302474"/>
              </a:cubicBezTo>
              <a:cubicBezTo>
                <a:pt x="1215010" y="1289931"/>
                <a:pt x="1219135" y="1265567"/>
                <a:pt x="1206644" y="1248057"/>
              </a:cubicBezTo>
              <a:cubicBezTo>
                <a:pt x="1200398" y="1239301"/>
                <a:pt x="1191180" y="1233916"/>
                <a:pt x="1181325" y="1232288"/>
              </a:cubicBezTo>
              <a:close/>
              <a:moveTo>
                <a:pt x="300521" y="1181962"/>
              </a:moveTo>
              <a:cubicBezTo>
                <a:pt x="273677" y="1181962"/>
                <a:pt x="251915" y="1204042"/>
                <a:pt x="251915" y="1231280"/>
              </a:cubicBezTo>
              <a:cubicBezTo>
                <a:pt x="251915" y="1258518"/>
                <a:pt x="273677" y="1280598"/>
                <a:pt x="300521" y="1280598"/>
              </a:cubicBezTo>
              <a:cubicBezTo>
                <a:pt x="327365" y="1280598"/>
                <a:pt x="349127" y="1258518"/>
                <a:pt x="349127" y="1231280"/>
              </a:cubicBezTo>
              <a:cubicBezTo>
                <a:pt x="349127" y="1204042"/>
                <a:pt x="327365" y="1181962"/>
                <a:pt x="300521" y="1181962"/>
              </a:cubicBezTo>
              <a:close/>
              <a:moveTo>
                <a:pt x="471298" y="1177886"/>
              </a:moveTo>
              <a:cubicBezTo>
                <a:pt x="461307" y="1178054"/>
                <a:pt x="451319" y="1182033"/>
                <a:pt x="443702" y="1189785"/>
              </a:cubicBezTo>
              <a:cubicBezTo>
                <a:pt x="428469" y="1205288"/>
                <a:pt x="428489" y="1230010"/>
                <a:pt x="443747" y="1245002"/>
              </a:cubicBezTo>
              <a:cubicBezTo>
                <a:pt x="459005" y="1259995"/>
                <a:pt x="483723" y="1259580"/>
                <a:pt x="498957" y="1244077"/>
              </a:cubicBezTo>
              <a:cubicBezTo>
                <a:pt x="514190" y="1228573"/>
                <a:pt x="514170" y="1203852"/>
                <a:pt x="498912" y="1188859"/>
              </a:cubicBezTo>
              <a:cubicBezTo>
                <a:pt x="491283" y="1181363"/>
                <a:pt x="481289" y="1177719"/>
                <a:pt x="471298" y="1177886"/>
              </a:cubicBezTo>
              <a:close/>
              <a:moveTo>
                <a:pt x="1427468" y="1170995"/>
              </a:moveTo>
              <a:cubicBezTo>
                <a:pt x="1400624" y="1170995"/>
                <a:pt x="1378862" y="1193058"/>
                <a:pt x="1378862" y="1220274"/>
              </a:cubicBezTo>
              <a:cubicBezTo>
                <a:pt x="1378862" y="1247490"/>
                <a:pt x="1400624" y="1269553"/>
                <a:pt x="1427468" y="1269553"/>
              </a:cubicBezTo>
              <a:cubicBezTo>
                <a:pt x="1454312" y="1269553"/>
                <a:pt x="1476074" y="1247490"/>
                <a:pt x="1476074" y="1220274"/>
              </a:cubicBezTo>
              <a:cubicBezTo>
                <a:pt x="1476074" y="1193058"/>
                <a:pt x="1454312" y="1170995"/>
                <a:pt x="1427468" y="1170995"/>
              </a:cubicBezTo>
              <a:close/>
              <a:moveTo>
                <a:pt x="1247326" y="1170137"/>
              </a:moveTo>
              <a:cubicBezTo>
                <a:pt x="1237339" y="1170245"/>
                <a:pt x="1227377" y="1174163"/>
                <a:pt x="1219809" y="1181866"/>
              </a:cubicBezTo>
              <a:cubicBezTo>
                <a:pt x="1204671" y="1197272"/>
                <a:pt x="1204839" y="1221982"/>
                <a:pt x="1220182" y="1237057"/>
              </a:cubicBezTo>
              <a:cubicBezTo>
                <a:pt x="1235525" y="1252133"/>
                <a:pt x="1260234" y="1251866"/>
                <a:pt x="1275371" y="1236461"/>
              </a:cubicBezTo>
              <a:cubicBezTo>
                <a:pt x="1290509" y="1221055"/>
                <a:pt x="1290341" y="1196345"/>
                <a:pt x="1274998" y="1181269"/>
              </a:cubicBezTo>
              <a:cubicBezTo>
                <a:pt x="1267327" y="1173732"/>
                <a:pt x="1257314" y="1170029"/>
                <a:pt x="1247326" y="1170137"/>
              </a:cubicBezTo>
              <a:close/>
              <a:moveTo>
                <a:pt x="415975" y="1106429"/>
              </a:moveTo>
              <a:cubicBezTo>
                <a:pt x="406107" y="1104859"/>
                <a:pt x="395580" y="1107043"/>
                <a:pt x="386733" y="1113355"/>
              </a:cubicBezTo>
              <a:cubicBezTo>
                <a:pt x="369039" y="1125977"/>
                <a:pt x="364765" y="1150327"/>
                <a:pt x="377188" y="1167741"/>
              </a:cubicBezTo>
              <a:cubicBezTo>
                <a:pt x="389611" y="1185155"/>
                <a:pt x="414026" y="1189039"/>
                <a:pt x="431720" y="1176417"/>
              </a:cubicBezTo>
              <a:cubicBezTo>
                <a:pt x="449414" y="1163794"/>
                <a:pt x="453687" y="1139444"/>
                <a:pt x="441265" y="1122030"/>
              </a:cubicBezTo>
              <a:cubicBezTo>
                <a:pt x="435053" y="1113323"/>
                <a:pt x="425844" y="1107999"/>
                <a:pt x="415975" y="1106429"/>
              </a:cubicBezTo>
              <a:close/>
              <a:moveTo>
                <a:pt x="1301087" y="1097675"/>
              </a:moveTo>
              <a:cubicBezTo>
                <a:pt x="1291253" y="1099422"/>
                <a:pt x="1282141" y="1104909"/>
                <a:pt x="1276084" y="1113724"/>
              </a:cubicBezTo>
              <a:cubicBezTo>
                <a:pt x="1263969" y="1131353"/>
                <a:pt x="1268658" y="1155617"/>
                <a:pt x="1286556" y="1167916"/>
              </a:cubicBezTo>
              <a:cubicBezTo>
                <a:pt x="1304454" y="1180216"/>
                <a:pt x="1328786" y="1175895"/>
                <a:pt x="1340901" y="1158266"/>
              </a:cubicBezTo>
              <a:cubicBezTo>
                <a:pt x="1353016" y="1140636"/>
                <a:pt x="1348327" y="1116373"/>
                <a:pt x="1330429" y="1104074"/>
              </a:cubicBezTo>
              <a:cubicBezTo>
                <a:pt x="1321479" y="1097924"/>
                <a:pt x="1310922" y="1095929"/>
                <a:pt x="1301087" y="1097675"/>
              </a:cubicBezTo>
              <a:close/>
              <a:moveTo>
                <a:pt x="240204" y="1079289"/>
              </a:moveTo>
              <a:cubicBezTo>
                <a:pt x="213360" y="1079289"/>
                <a:pt x="191598" y="1101352"/>
                <a:pt x="191598" y="1128568"/>
              </a:cubicBezTo>
              <a:cubicBezTo>
                <a:pt x="191598" y="1155784"/>
                <a:pt x="213360" y="1177847"/>
                <a:pt x="240204" y="1177847"/>
              </a:cubicBezTo>
              <a:cubicBezTo>
                <a:pt x="267048" y="1177847"/>
                <a:pt x="288810" y="1155784"/>
                <a:pt x="288810" y="1128568"/>
              </a:cubicBezTo>
              <a:cubicBezTo>
                <a:pt x="288810" y="1101352"/>
                <a:pt x="267048" y="1079289"/>
                <a:pt x="240204" y="1079289"/>
              </a:cubicBezTo>
              <a:close/>
              <a:moveTo>
                <a:pt x="1487061" y="1067644"/>
              </a:moveTo>
              <a:cubicBezTo>
                <a:pt x="1460217" y="1067644"/>
                <a:pt x="1438455" y="1089724"/>
                <a:pt x="1438455" y="1116962"/>
              </a:cubicBezTo>
              <a:cubicBezTo>
                <a:pt x="1438455" y="1144200"/>
                <a:pt x="1460217" y="1166280"/>
                <a:pt x="1487061" y="1166280"/>
              </a:cubicBezTo>
              <a:cubicBezTo>
                <a:pt x="1513905" y="1166280"/>
                <a:pt x="1535667" y="1144200"/>
                <a:pt x="1535667" y="1116962"/>
              </a:cubicBezTo>
              <a:cubicBezTo>
                <a:pt x="1535667" y="1089724"/>
                <a:pt x="1513905" y="1067644"/>
                <a:pt x="1487061" y="1067644"/>
              </a:cubicBezTo>
              <a:close/>
              <a:moveTo>
                <a:pt x="374412" y="1026354"/>
              </a:moveTo>
              <a:cubicBezTo>
                <a:pt x="364971" y="1023092"/>
                <a:pt x="354232" y="1023412"/>
                <a:pt x="344431" y="1028087"/>
              </a:cubicBezTo>
              <a:cubicBezTo>
                <a:pt x="324830" y="1037437"/>
                <a:pt x="316406" y="1060669"/>
                <a:pt x="325616" y="1079976"/>
              </a:cubicBezTo>
              <a:cubicBezTo>
                <a:pt x="334826" y="1099283"/>
                <a:pt x="358183" y="1107353"/>
                <a:pt x="377784" y="1098003"/>
              </a:cubicBezTo>
              <a:cubicBezTo>
                <a:pt x="397385" y="1088652"/>
                <a:pt x="405809" y="1065421"/>
                <a:pt x="396599" y="1046114"/>
              </a:cubicBezTo>
              <a:cubicBezTo>
                <a:pt x="391994" y="1036460"/>
                <a:pt x="383853" y="1029616"/>
                <a:pt x="374412" y="1026354"/>
              </a:cubicBezTo>
              <a:close/>
              <a:moveTo>
                <a:pt x="1342089" y="1017202"/>
              </a:moveTo>
              <a:cubicBezTo>
                <a:pt x="1332701" y="1020627"/>
                <a:pt x="1324678" y="1027612"/>
                <a:pt x="1320243" y="1037345"/>
              </a:cubicBezTo>
              <a:cubicBezTo>
                <a:pt x="1311374" y="1056810"/>
                <a:pt x="1320217" y="1079896"/>
                <a:pt x="1339996" y="1088909"/>
              </a:cubicBezTo>
              <a:cubicBezTo>
                <a:pt x="1359774" y="1097921"/>
                <a:pt x="1382999" y="1089447"/>
                <a:pt x="1391868" y="1069981"/>
              </a:cubicBezTo>
              <a:cubicBezTo>
                <a:pt x="1400738" y="1050516"/>
                <a:pt x="1391894" y="1027430"/>
                <a:pt x="1372116" y="1018418"/>
              </a:cubicBezTo>
              <a:cubicBezTo>
                <a:pt x="1362226" y="1013912"/>
                <a:pt x="1351476" y="1013777"/>
                <a:pt x="1342089" y="1017202"/>
              </a:cubicBezTo>
              <a:close/>
              <a:moveTo>
                <a:pt x="198310" y="967953"/>
              </a:moveTo>
              <a:cubicBezTo>
                <a:pt x="171466" y="967953"/>
                <a:pt x="149704" y="990016"/>
                <a:pt x="149704" y="1017232"/>
              </a:cubicBezTo>
              <a:cubicBezTo>
                <a:pt x="149704" y="1044448"/>
                <a:pt x="171466" y="1066511"/>
                <a:pt x="198310" y="1066511"/>
              </a:cubicBezTo>
              <a:cubicBezTo>
                <a:pt x="225154" y="1066511"/>
                <a:pt x="246916" y="1044448"/>
                <a:pt x="246916" y="1017232"/>
              </a:cubicBezTo>
              <a:cubicBezTo>
                <a:pt x="246916" y="990016"/>
                <a:pt x="225154" y="967953"/>
                <a:pt x="198310" y="967953"/>
              </a:cubicBezTo>
              <a:close/>
              <a:moveTo>
                <a:pt x="1527185" y="955442"/>
              </a:moveTo>
              <a:cubicBezTo>
                <a:pt x="1500341" y="955442"/>
                <a:pt x="1478579" y="977522"/>
                <a:pt x="1478579" y="1004760"/>
              </a:cubicBezTo>
              <a:cubicBezTo>
                <a:pt x="1478579" y="1031998"/>
                <a:pt x="1500341" y="1054078"/>
                <a:pt x="1527185" y="1054078"/>
              </a:cubicBezTo>
              <a:cubicBezTo>
                <a:pt x="1554029" y="1054078"/>
                <a:pt x="1575791" y="1031998"/>
                <a:pt x="1575791" y="1004760"/>
              </a:cubicBezTo>
              <a:cubicBezTo>
                <a:pt x="1575791" y="977522"/>
                <a:pt x="1554029" y="955442"/>
                <a:pt x="1527185" y="955442"/>
              </a:cubicBezTo>
              <a:close/>
              <a:moveTo>
                <a:pt x="317336" y="937006"/>
              </a:moveTo>
              <a:cubicBezTo>
                <a:pt x="296409" y="942811"/>
                <a:pt x="284079" y="964227"/>
                <a:pt x="289796" y="984840"/>
              </a:cubicBezTo>
              <a:cubicBezTo>
                <a:pt x="295514" y="1005452"/>
                <a:pt x="317115" y="1017456"/>
                <a:pt x="338042" y="1011652"/>
              </a:cubicBezTo>
              <a:cubicBezTo>
                <a:pt x="358968" y="1005847"/>
                <a:pt x="371299" y="984431"/>
                <a:pt x="365581" y="963818"/>
              </a:cubicBezTo>
              <a:cubicBezTo>
                <a:pt x="359863" y="943205"/>
                <a:pt x="338263" y="931201"/>
                <a:pt x="317336" y="937006"/>
              </a:cubicBezTo>
              <a:close/>
              <a:moveTo>
                <a:pt x="1397780" y="926749"/>
              </a:moveTo>
              <a:cubicBezTo>
                <a:pt x="1376737" y="921309"/>
                <a:pt x="1355337" y="933687"/>
                <a:pt x="1349983" y="954397"/>
              </a:cubicBezTo>
              <a:cubicBezTo>
                <a:pt x="1344628" y="975107"/>
                <a:pt x="1357346" y="996306"/>
                <a:pt x="1378389" y="1001747"/>
              </a:cubicBezTo>
              <a:cubicBezTo>
                <a:pt x="1399432" y="1007188"/>
                <a:pt x="1420832" y="994810"/>
                <a:pt x="1426187" y="974100"/>
              </a:cubicBezTo>
              <a:cubicBezTo>
                <a:pt x="1431541" y="953390"/>
                <a:pt x="1418823" y="932190"/>
                <a:pt x="1397780" y="926749"/>
              </a:cubicBezTo>
              <a:close/>
              <a:moveTo>
                <a:pt x="176552" y="851062"/>
              </a:moveTo>
              <a:cubicBezTo>
                <a:pt x="149708" y="851062"/>
                <a:pt x="127946" y="873125"/>
                <a:pt x="127946" y="900341"/>
              </a:cubicBezTo>
              <a:cubicBezTo>
                <a:pt x="127946" y="927557"/>
                <a:pt x="149708" y="949620"/>
                <a:pt x="176552" y="949620"/>
              </a:cubicBezTo>
              <a:cubicBezTo>
                <a:pt x="203396" y="949620"/>
                <a:pt x="225158" y="927557"/>
                <a:pt x="225158" y="900341"/>
              </a:cubicBezTo>
              <a:cubicBezTo>
                <a:pt x="225158" y="873125"/>
                <a:pt x="203396" y="851062"/>
                <a:pt x="176552" y="851062"/>
              </a:cubicBezTo>
              <a:close/>
              <a:moveTo>
                <a:pt x="306625" y="842631"/>
              </a:moveTo>
              <a:cubicBezTo>
                <a:pt x="285008" y="844714"/>
                <a:pt x="269147" y="863664"/>
                <a:pt x="271198" y="884956"/>
              </a:cubicBezTo>
              <a:cubicBezTo>
                <a:pt x="273249" y="906248"/>
                <a:pt x="292437" y="921821"/>
                <a:pt x="314054" y="919738"/>
              </a:cubicBezTo>
              <a:cubicBezTo>
                <a:pt x="335671" y="917656"/>
                <a:pt x="351533" y="898706"/>
                <a:pt x="349482" y="877414"/>
              </a:cubicBezTo>
              <a:cubicBezTo>
                <a:pt x="347430" y="856121"/>
                <a:pt x="328242" y="840549"/>
                <a:pt x="306625" y="842631"/>
              </a:cubicBezTo>
              <a:close/>
              <a:moveTo>
                <a:pt x="1547068" y="838061"/>
              </a:moveTo>
              <a:cubicBezTo>
                <a:pt x="1520224" y="838061"/>
                <a:pt x="1498462" y="860141"/>
                <a:pt x="1498462" y="887379"/>
              </a:cubicBezTo>
              <a:cubicBezTo>
                <a:pt x="1498462" y="914617"/>
                <a:pt x="1520224" y="936697"/>
                <a:pt x="1547068" y="936697"/>
              </a:cubicBezTo>
              <a:cubicBezTo>
                <a:pt x="1573912" y="936697"/>
                <a:pt x="1595674" y="914617"/>
                <a:pt x="1595674" y="887379"/>
              </a:cubicBezTo>
              <a:cubicBezTo>
                <a:pt x="1595674" y="860141"/>
                <a:pt x="1573912" y="838061"/>
                <a:pt x="1547068" y="838061"/>
              </a:cubicBezTo>
              <a:close/>
              <a:moveTo>
                <a:pt x="1407000" y="832098"/>
              </a:moveTo>
              <a:cubicBezTo>
                <a:pt x="1385332" y="830393"/>
                <a:pt x="1366407" y="846300"/>
                <a:pt x="1364730" y="867625"/>
              </a:cubicBezTo>
              <a:cubicBezTo>
                <a:pt x="1363053" y="888950"/>
                <a:pt x="1379259" y="907619"/>
                <a:pt x="1400927" y="909323"/>
              </a:cubicBezTo>
              <a:cubicBezTo>
                <a:pt x="1422595" y="911027"/>
                <a:pt x="1441520" y="895121"/>
                <a:pt x="1443198" y="873796"/>
              </a:cubicBezTo>
              <a:cubicBezTo>
                <a:pt x="1444875" y="852471"/>
                <a:pt x="1428669" y="833802"/>
                <a:pt x="1407000" y="832098"/>
              </a:cubicBezTo>
              <a:close/>
              <a:moveTo>
                <a:pt x="312191" y="747797"/>
              </a:moveTo>
              <a:cubicBezTo>
                <a:pt x="290523" y="746092"/>
                <a:pt x="271598" y="761999"/>
                <a:pt x="269920" y="783324"/>
              </a:cubicBezTo>
              <a:cubicBezTo>
                <a:pt x="268243" y="804649"/>
                <a:pt x="284449" y="823318"/>
                <a:pt x="306118" y="825022"/>
              </a:cubicBezTo>
              <a:cubicBezTo>
                <a:pt x="327786" y="826726"/>
                <a:pt x="346711" y="810820"/>
                <a:pt x="348388" y="789495"/>
              </a:cubicBezTo>
              <a:cubicBezTo>
                <a:pt x="350065" y="768170"/>
                <a:pt x="333859" y="749501"/>
                <a:pt x="312191" y="747797"/>
              </a:cubicBezTo>
              <a:close/>
              <a:moveTo>
                <a:pt x="1399065" y="737380"/>
              </a:moveTo>
              <a:cubicBezTo>
                <a:pt x="1377448" y="739463"/>
                <a:pt x="1361586" y="758413"/>
                <a:pt x="1363637" y="779705"/>
              </a:cubicBezTo>
              <a:cubicBezTo>
                <a:pt x="1365689" y="800997"/>
                <a:pt x="1384877" y="816570"/>
                <a:pt x="1406494" y="814487"/>
              </a:cubicBezTo>
              <a:cubicBezTo>
                <a:pt x="1428111" y="812405"/>
                <a:pt x="1443972" y="793455"/>
                <a:pt x="1441921" y="772163"/>
              </a:cubicBezTo>
              <a:cubicBezTo>
                <a:pt x="1439870" y="750870"/>
                <a:pt x="1420682" y="735298"/>
                <a:pt x="1399065" y="737380"/>
              </a:cubicBezTo>
              <a:close/>
              <a:moveTo>
                <a:pt x="175050" y="732086"/>
              </a:moveTo>
              <a:cubicBezTo>
                <a:pt x="148206" y="732086"/>
                <a:pt x="126444" y="754166"/>
                <a:pt x="126444" y="781404"/>
              </a:cubicBezTo>
              <a:cubicBezTo>
                <a:pt x="126444" y="808642"/>
                <a:pt x="148206" y="830722"/>
                <a:pt x="175050" y="830722"/>
              </a:cubicBezTo>
              <a:cubicBezTo>
                <a:pt x="201894" y="830722"/>
                <a:pt x="223656" y="808642"/>
                <a:pt x="223656" y="781404"/>
              </a:cubicBezTo>
              <a:cubicBezTo>
                <a:pt x="223656" y="754166"/>
                <a:pt x="201894" y="732086"/>
                <a:pt x="175050" y="732086"/>
              </a:cubicBezTo>
              <a:close/>
              <a:moveTo>
                <a:pt x="1545567" y="719163"/>
              </a:moveTo>
              <a:cubicBezTo>
                <a:pt x="1518723" y="719163"/>
                <a:pt x="1496961" y="741226"/>
                <a:pt x="1496961" y="768442"/>
              </a:cubicBezTo>
              <a:cubicBezTo>
                <a:pt x="1496961" y="795658"/>
                <a:pt x="1518723" y="817721"/>
                <a:pt x="1545567" y="817721"/>
              </a:cubicBezTo>
              <a:cubicBezTo>
                <a:pt x="1572411" y="817721"/>
                <a:pt x="1594173" y="795658"/>
                <a:pt x="1594173" y="768442"/>
              </a:cubicBezTo>
              <a:cubicBezTo>
                <a:pt x="1594173" y="741226"/>
                <a:pt x="1572411" y="719163"/>
                <a:pt x="1545567" y="719163"/>
              </a:cubicBezTo>
              <a:close/>
              <a:moveTo>
                <a:pt x="334729" y="655372"/>
              </a:moveTo>
              <a:cubicBezTo>
                <a:pt x="313686" y="649932"/>
                <a:pt x="292286" y="662310"/>
                <a:pt x="286931" y="683020"/>
              </a:cubicBezTo>
              <a:cubicBezTo>
                <a:pt x="281577" y="703730"/>
                <a:pt x="294295" y="724929"/>
                <a:pt x="315338" y="730370"/>
              </a:cubicBezTo>
              <a:cubicBezTo>
                <a:pt x="336381" y="735811"/>
                <a:pt x="357781" y="723433"/>
                <a:pt x="363135" y="702723"/>
              </a:cubicBezTo>
              <a:cubicBezTo>
                <a:pt x="368490" y="682013"/>
                <a:pt x="355772" y="660813"/>
                <a:pt x="334729" y="655372"/>
              </a:cubicBezTo>
              <a:close/>
              <a:moveTo>
                <a:pt x="1375076" y="645466"/>
              </a:moveTo>
              <a:cubicBezTo>
                <a:pt x="1354150" y="651271"/>
                <a:pt x="1341819" y="672687"/>
                <a:pt x="1347537" y="693300"/>
              </a:cubicBezTo>
              <a:cubicBezTo>
                <a:pt x="1353255" y="713912"/>
                <a:pt x="1374855" y="725916"/>
                <a:pt x="1395782" y="720112"/>
              </a:cubicBezTo>
              <a:cubicBezTo>
                <a:pt x="1416709" y="714307"/>
                <a:pt x="1429039" y="692891"/>
                <a:pt x="1423322" y="672278"/>
              </a:cubicBezTo>
              <a:cubicBezTo>
                <a:pt x="1417604" y="651665"/>
                <a:pt x="1396003" y="639661"/>
                <a:pt x="1375076" y="645466"/>
              </a:cubicBezTo>
              <a:close/>
              <a:moveTo>
                <a:pt x="194934" y="614705"/>
              </a:moveTo>
              <a:cubicBezTo>
                <a:pt x="168090" y="614705"/>
                <a:pt x="146328" y="636785"/>
                <a:pt x="146328" y="664023"/>
              </a:cubicBezTo>
              <a:cubicBezTo>
                <a:pt x="146328" y="691261"/>
                <a:pt x="168090" y="713341"/>
                <a:pt x="194934" y="713341"/>
              </a:cubicBezTo>
              <a:cubicBezTo>
                <a:pt x="221778" y="713341"/>
                <a:pt x="243540" y="691261"/>
                <a:pt x="243540" y="664023"/>
              </a:cubicBezTo>
              <a:cubicBezTo>
                <a:pt x="243540" y="636785"/>
                <a:pt x="221778" y="614705"/>
                <a:pt x="194934" y="614705"/>
              </a:cubicBezTo>
              <a:close/>
              <a:moveTo>
                <a:pt x="1523809" y="602271"/>
              </a:moveTo>
              <a:cubicBezTo>
                <a:pt x="1496965" y="602271"/>
                <a:pt x="1475203" y="624334"/>
                <a:pt x="1475203" y="651550"/>
              </a:cubicBezTo>
              <a:cubicBezTo>
                <a:pt x="1475203" y="678766"/>
                <a:pt x="1496965" y="700829"/>
                <a:pt x="1523809" y="700829"/>
              </a:cubicBezTo>
              <a:cubicBezTo>
                <a:pt x="1550653" y="700829"/>
                <a:pt x="1572415" y="678766"/>
                <a:pt x="1572415" y="651550"/>
              </a:cubicBezTo>
              <a:cubicBezTo>
                <a:pt x="1572415" y="624334"/>
                <a:pt x="1550653" y="602271"/>
                <a:pt x="1523809" y="602271"/>
              </a:cubicBezTo>
              <a:close/>
              <a:moveTo>
                <a:pt x="343095" y="566995"/>
              </a:moveTo>
              <a:cubicBezTo>
                <a:pt x="333708" y="570420"/>
                <a:pt x="325685" y="577405"/>
                <a:pt x="321250" y="587138"/>
              </a:cubicBezTo>
              <a:cubicBezTo>
                <a:pt x="312380" y="606603"/>
                <a:pt x="321224" y="629689"/>
                <a:pt x="341002" y="638702"/>
              </a:cubicBezTo>
              <a:cubicBezTo>
                <a:pt x="360781" y="647714"/>
                <a:pt x="384005" y="639240"/>
                <a:pt x="392875" y="619774"/>
              </a:cubicBezTo>
              <a:cubicBezTo>
                <a:pt x="401744" y="600309"/>
                <a:pt x="392901" y="577223"/>
                <a:pt x="373122" y="568211"/>
              </a:cubicBezTo>
              <a:cubicBezTo>
                <a:pt x="363233" y="563705"/>
                <a:pt x="352482" y="563570"/>
                <a:pt x="343095" y="566995"/>
              </a:cubicBezTo>
              <a:close/>
              <a:moveTo>
                <a:pt x="1365315" y="557383"/>
              </a:moveTo>
              <a:cubicBezTo>
                <a:pt x="1355875" y="554121"/>
                <a:pt x="1345135" y="554441"/>
                <a:pt x="1335335" y="559116"/>
              </a:cubicBezTo>
              <a:cubicBezTo>
                <a:pt x="1315734" y="568466"/>
                <a:pt x="1307310" y="591698"/>
                <a:pt x="1316520" y="611005"/>
              </a:cubicBezTo>
              <a:cubicBezTo>
                <a:pt x="1325730" y="630312"/>
                <a:pt x="1349087" y="638382"/>
                <a:pt x="1368688" y="629032"/>
              </a:cubicBezTo>
              <a:cubicBezTo>
                <a:pt x="1388289" y="619681"/>
                <a:pt x="1396713" y="596450"/>
                <a:pt x="1387503" y="577143"/>
              </a:cubicBezTo>
              <a:cubicBezTo>
                <a:pt x="1382898" y="567490"/>
                <a:pt x="1374756" y="560645"/>
                <a:pt x="1365315" y="557383"/>
              </a:cubicBezTo>
              <a:close/>
              <a:moveTo>
                <a:pt x="235058" y="502503"/>
              </a:moveTo>
              <a:cubicBezTo>
                <a:pt x="208214" y="502503"/>
                <a:pt x="186452" y="524583"/>
                <a:pt x="186452" y="551821"/>
              </a:cubicBezTo>
              <a:cubicBezTo>
                <a:pt x="186452" y="579059"/>
                <a:pt x="208214" y="601139"/>
                <a:pt x="235058" y="601139"/>
              </a:cubicBezTo>
              <a:cubicBezTo>
                <a:pt x="261902" y="601139"/>
                <a:pt x="283664" y="579059"/>
                <a:pt x="283664" y="551821"/>
              </a:cubicBezTo>
              <a:cubicBezTo>
                <a:pt x="283664" y="524583"/>
                <a:pt x="261902" y="502503"/>
                <a:pt x="235058" y="502503"/>
              </a:cubicBezTo>
              <a:close/>
              <a:moveTo>
                <a:pt x="1481914" y="490935"/>
              </a:moveTo>
              <a:cubicBezTo>
                <a:pt x="1455070" y="490935"/>
                <a:pt x="1433308" y="512998"/>
                <a:pt x="1433308" y="540214"/>
              </a:cubicBezTo>
              <a:cubicBezTo>
                <a:pt x="1433308" y="567430"/>
                <a:pt x="1455070" y="589493"/>
                <a:pt x="1481914" y="589493"/>
              </a:cubicBezTo>
              <a:cubicBezTo>
                <a:pt x="1508758" y="589493"/>
                <a:pt x="1530520" y="567430"/>
                <a:pt x="1530520" y="540214"/>
              </a:cubicBezTo>
              <a:cubicBezTo>
                <a:pt x="1530520" y="512998"/>
                <a:pt x="1508758" y="490935"/>
                <a:pt x="1481914" y="490935"/>
              </a:cubicBezTo>
              <a:close/>
              <a:moveTo>
                <a:pt x="397222" y="482803"/>
              </a:moveTo>
              <a:cubicBezTo>
                <a:pt x="387387" y="484550"/>
                <a:pt x="378276" y="490037"/>
                <a:pt x="372218" y="498852"/>
              </a:cubicBezTo>
              <a:cubicBezTo>
                <a:pt x="360103" y="516481"/>
                <a:pt x="364792" y="540745"/>
                <a:pt x="382690" y="553044"/>
              </a:cubicBezTo>
              <a:cubicBezTo>
                <a:pt x="400589" y="565344"/>
                <a:pt x="424920" y="561023"/>
                <a:pt x="437035" y="543394"/>
              </a:cubicBezTo>
              <a:cubicBezTo>
                <a:pt x="449150" y="525764"/>
                <a:pt x="444461" y="501501"/>
                <a:pt x="426563" y="489202"/>
              </a:cubicBezTo>
              <a:cubicBezTo>
                <a:pt x="417614" y="483052"/>
                <a:pt x="407057" y="481057"/>
                <a:pt x="397222" y="482803"/>
              </a:cubicBezTo>
              <a:close/>
              <a:moveTo>
                <a:pt x="1310641" y="473778"/>
              </a:moveTo>
              <a:cubicBezTo>
                <a:pt x="1300772" y="472208"/>
                <a:pt x="1290245" y="474392"/>
                <a:pt x="1281398" y="480704"/>
              </a:cubicBezTo>
              <a:cubicBezTo>
                <a:pt x="1263704" y="493326"/>
                <a:pt x="1259431" y="517676"/>
                <a:pt x="1271854" y="535090"/>
              </a:cubicBezTo>
              <a:cubicBezTo>
                <a:pt x="1284276" y="552504"/>
                <a:pt x="1308691" y="556388"/>
                <a:pt x="1326385" y="543766"/>
              </a:cubicBezTo>
              <a:cubicBezTo>
                <a:pt x="1344079" y="531143"/>
                <a:pt x="1348353" y="506793"/>
                <a:pt x="1335930" y="489379"/>
              </a:cubicBezTo>
              <a:cubicBezTo>
                <a:pt x="1329719" y="480672"/>
                <a:pt x="1320509" y="475348"/>
                <a:pt x="1310641" y="473778"/>
              </a:cubicBezTo>
              <a:close/>
              <a:moveTo>
                <a:pt x="465264" y="408929"/>
              </a:moveTo>
              <a:cubicBezTo>
                <a:pt x="455277" y="409037"/>
                <a:pt x="445315" y="412955"/>
                <a:pt x="437746" y="420658"/>
              </a:cubicBezTo>
              <a:cubicBezTo>
                <a:pt x="422609" y="436064"/>
                <a:pt x="422776" y="460774"/>
                <a:pt x="438119" y="475849"/>
              </a:cubicBezTo>
              <a:cubicBezTo>
                <a:pt x="453462" y="490925"/>
                <a:pt x="478171" y="490658"/>
                <a:pt x="493309" y="475253"/>
              </a:cubicBezTo>
              <a:cubicBezTo>
                <a:pt x="508446" y="459847"/>
                <a:pt x="508279" y="435137"/>
                <a:pt x="492936" y="420061"/>
              </a:cubicBezTo>
              <a:cubicBezTo>
                <a:pt x="485264" y="412524"/>
                <a:pt x="475251" y="408821"/>
                <a:pt x="465264" y="408929"/>
              </a:cubicBezTo>
              <a:close/>
              <a:moveTo>
                <a:pt x="1241757" y="401146"/>
              </a:moveTo>
              <a:cubicBezTo>
                <a:pt x="1231766" y="401314"/>
                <a:pt x="1221778" y="405293"/>
                <a:pt x="1214161" y="413045"/>
              </a:cubicBezTo>
              <a:cubicBezTo>
                <a:pt x="1198927" y="428548"/>
                <a:pt x="1198947" y="453270"/>
                <a:pt x="1214205" y="468262"/>
              </a:cubicBezTo>
              <a:cubicBezTo>
                <a:pt x="1229463" y="483255"/>
                <a:pt x="1254182" y="482840"/>
                <a:pt x="1269415" y="467337"/>
              </a:cubicBezTo>
              <a:cubicBezTo>
                <a:pt x="1284648" y="451833"/>
                <a:pt x="1284629" y="427112"/>
                <a:pt x="1269371" y="412119"/>
              </a:cubicBezTo>
              <a:cubicBezTo>
                <a:pt x="1261742" y="404623"/>
                <a:pt x="1251748" y="400979"/>
                <a:pt x="1241757" y="401146"/>
              </a:cubicBezTo>
              <a:close/>
              <a:moveTo>
                <a:pt x="294651" y="399228"/>
              </a:moveTo>
              <a:cubicBezTo>
                <a:pt x="267807" y="399228"/>
                <a:pt x="246045" y="421291"/>
                <a:pt x="246045" y="448507"/>
              </a:cubicBezTo>
              <a:cubicBezTo>
                <a:pt x="246045" y="475723"/>
                <a:pt x="267807" y="497786"/>
                <a:pt x="294651" y="497786"/>
              </a:cubicBezTo>
              <a:cubicBezTo>
                <a:pt x="321495" y="497786"/>
                <a:pt x="343257" y="475723"/>
                <a:pt x="343257" y="448507"/>
              </a:cubicBezTo>
              <a:cubicBezTo>
                <a:pt x="343257" y="421291"/>
                <a:pt x="321495" y="399228"/>
                <a:pt x="294651" y="399228"/>
              </a:cubicBezTo>
              <a:close/>
              <a:moveTo>
                <a:pt x="1421598" y="388185"/>
              </a:moveTo>
              <a:cubicBezTo>
                <a:pt x="1394754" y="388185"/>
                <a:pt x="1372992" y="410265"/>
                <a:pt x="1372992" y="437503"/>
              </a:cubicBezTo>
              <a:cubicBezTo>
                <a:pt x="1372992" y="464741"/>
                <a:pt x="1394754" y="486821"/>
                <a:pt x="1421598" y="486821"/>
              </a:cubicBezTo>
              <a:cubicBezTo>
                <a:pt x="1448442" y="486821"/>
                <a:pt x="1470204" y="464741"/>
                <a:pt x="1470204" y="437503"/>
              </a:cubicBezTo>
              <a:cubicBezTo>
                <a:pt x="1470204" y="410265"/>
                <a:pt x="1448442" y="388185"/>
                <a:pt x="1421598" y="388185"/>
              </a:cubicBezTo>
              <a:close/>
              <a:moveTo>
                <a:pt x="544826" y="347873"/>
              </a:moveTo>
              <a:cubicBezTo>
                <a:pt x="534972" y="346245"/>
                <a:pt x="524481" y="348374"/>
                <a:pt x="515690" y="354645"/>
              </a:cubicBezTo>
              <a:cubicBezTo>
                <a:pt x="498107" y="367188"/>
                <a:pt x="493981" y="391552"/>
                <a:pt x="506473" y="409063"/>
              </a:cubicBezTo>
              <a:cubicBezTo>
                <a:pt x="518965" y="426574"/>
                <a:pt x="543345" y="430602"/>
                <a:pt x="560928" y="418059"/>
              </a:cubicBezTo>
              <a:cubicBezTo>
                <a:pt x="578510" y="405516"/>
                <a:pt x="582636" y="381152"/>
                <a:pt x="570144" y="363642"/>
              </a:cubicBezTo>
              <a:cubicBezTo>
                <a:pt x="563898" y="354886"/>
                <a:pt x="554680" y="349501"/>
                <a:pt x="544826" y="347873"/>
              </a:cubicBezTo>
              <a:close/>
              <a:moveTo>
                <a:pt x="1160801" y="341571"/>
              </a:moveTo>
              <a:cubicBezTo>
                <a:pt x="1150974" y="343377"/>
                <a:pt x="1141847" y="348929"/>
                <a:pt x="1135751" y="357800"/>
              </a:cubicBezTo>
              <a:cubicBezTo>
                <a:pt x="1123559" y="375542"/>
                <a:pt x="1128105" y="399841"/>
                <a:pt x="1145905" y="412073"/>
              </a:cubicBezTo>
              <a:cubicBezTo>
                <a:pt x="1163705" y="424305"/>
                <a:pt x="1188018" y="419839"/>
                <a:pt x="1200210" y="402096"/>
              </a:cubicBezTo>
              <a:cubicBezTo>
                <a:pt x="1212403" y="384354"/>
                <a:pt x="1207857" y="360055"/>
                <a:pt x="1190057" y="347823"/>
              </a:cubicBezTo>
              <a:cubicBezTo>
                <a:pt x="1181157" y="341707"/>
                <a:pt x="1170629" y="339766"/>
                <a:pt x="1160801" y="341571"/>
              </a:cubicBezTo>
              <a:close/>
              <a:moveTo>
                <a:pt x="370959" y="307821"/>
              </a:moveTo>
              <a:cubicBezTo>
                <a:pt x="343894" y="307821"/>
                <a:pt x="321953" y="329704"/>
                <a:pt x="321953" y="356698"/>
              </a:cubicBezTo>
              <a:cubicBezTo>
                <a:pt x="321953" y="383692"/>
                <a:pt x="343894" y="405575"/>
                <a:pt x="370959" y="405575"/>
              </a:cubicBezTo>
              <a:cubicBezTo>
                <a:pt x="398024" y="405575"/>
                <a:pt x="419965" y="383692"/>
                <a:pt x="419965" y="356698"/>
              </a:cubicBezTo>
              <a:cubicBezTo>
                <a:pt x="419965" y="329704"/>
                <a:pt x="398024" y="307821"/>
                <a:pt x="370959" y="307821"/>
              </a:cubicBezTo>
              <a:close/>
              <a:moveTo>
                <a:pt x="633665" y="301013"/>
              </a:moveTo>
              <a:cubicBezTo>
                <a:pt x="624241" y="297694"/>
                <a:pt x="613539" y="297966"/>
                <a:pt x="603792" y="302615"/>
              </a:cubicBezTo>
              <a:cubicBezTo>
                <a:pt x="584298" y="311914"/>
                <a:pt x="576010" y="335203"/>
                <a:pt x="585279" y="354634"/>
              </a:cubicBezTo>
              <a:cubicBezTo>
                <a:pt x="594548" y="374064"/>
                <a:pt x="617864" y="382276"/>
                <a:pt x="637357" y="372977"/>
              </a:cubicBezTo>
              <a:cubicBezTo>
                <a:pt x="656851" y="363678"/>
                <a:pt x="665139" y="340389"/>
                <a:pt x="655870" y="320959"/>
              </a:cubicBezTo>
              <a:cubicBezTo>
                <a:pt x="651236" y="311244"/>
                <a:pt x="643090" y="304333"/>
                <a:pt x="633665" y="301013"/>
              </a:cubicBezTo>
              <a:close/>
              <a:moveTo>
                <a:pt x="1343759" y="297766"/>
              </a:moveTo>
              <a:cubicBezTo>
                <a:pt x="1316915" y="297766"/>
                <a:pt x="1295153" y="319846"/>
                <a:pt x="1295153" y="347084"/>
              </a:cubicBezTo>
              <a:cubicBezTo>
                <a:pt x="1295153" y="374322"/>
                <a:pt x="1316915" y="396402"/>
                <a:pt x="1343759" y="396402"/>
              </a:cubicBezTo>
              <a:cubicBezTo>
                <a:pt x="1370603" y="396402"/>
                <a:pt x="1392365" y="374322"/>
                <a:pt x="1392365" y="347084"/>
              </a:cubicBezTo>
              <a:cubicBezTo>
                <a:pt x="1392365" y="319846"/>
                <a:pt x="1370603" y="297766"/>
                <a:pt x="1343759" y="297766"/>
              </a:cubicBezTo>
              <a:close/>
              <a:moveTo>
                <a:pt x="1070975" y="296789"/>
              </a:moveTo>
              <a:cubicBezTo>
                <a:pt x="1061611" y="300273"/>
                <a:pt x="1053587" y="307326"/>
                <a:pt x="1049124" y="317121"/>
              </a:cubicBezTo>
              <a:cubicBezTo>
                <a:pt x="1040197" y="336711"/>
                <a:pt x="1048893" y="359851"/>
                <a:pt x="1068547" y="368806"/>
              </a:cubicBezTo>
              <a:cubicBezTo>
                <a:pt x="1088201" y="377762"/>
                <a:pt x="1111369" y="369141"/>
                <a:pt x="1120296" y="349551"/>
              </a:cubicBezTo>
              <a:cubicBezTo>
                <a:pt x="1129222" y="329961"/>
                <a:pt x="1120526" y="306821"/>
                <a:pt x="1100872" y="297866"/>
              </a:cubicBezTo>
              <a:cubicBezTo>
                <a:pt x="1091045" y="293388"/>
                <a:pt x="1080340" y="293304"/>
                <a:pt x="1070975" y="296789"/>
              </a:cubicBezTo>
              <a:close/>
              <a:moveTo>
                <a:pt x="699843" y="266941"/>
              </a:moveTo>
              <a:cubicBezTo>
                <a:pt x="679031" y="272714"/>
                <a:pt x="666824" y="294210"/>
                <a:pt x="672578" y="314955"/>
              </a:cubicBezTo>
              <a:cubicBezTo>
                <a:pt x="678333" y="335699"/>
                <a:pt x="699868" y="347836"/>
                <a:pt x="720680" y="342063"/>
              </a:cubicBezTo>
              <a:cubicBezTo>
                <a:pt x="741493" y="336290"/>
                <a:pt x="753699" y="314794"/>
                <a:pt x="747945" y="294049"/>
              </a:cubicBezTo>
              <a:cubicBezTo>
                <a:pt x="742191" y="273305"/>
                <a:pt x="720655" y="261168"/>
                <a:pt x="699843" y="266941"/>
              </a:cubicBezTo>
              <a:close/>
              <a:moveTo>
                <a:pt x="1004264" y="264032"/>
              </a:moveTo>
              <a:cubicBezTo>
                <a:pt x="983354" y="258625"/>
                <a:pt x="962035" y="271138"/>
                <a:pt x="956646" y="291981"/>
              </a:cubicBezTo>
              <a:cubicBezTo>
                <a:pt x="951257" y="312823"/>
                <a:pt x="963839" y="334101"/>
                <a:pt x="984749" y="339508"/>
              </a:cubicBezTo>
              <a:cubicBezTo>
                <a:pt x="1005660" y="344914"/>
                <a:pt x="1026979" y="332402"/>
                <a:pt x="1032368" y="311559"/>
              </a:cubicBezTo>
              <a:cubicBezTo>
                <a:pt x="1037757" y="290717"/>
                <a:pt x="1025174" y="269439"/>
                <a:pt x="1004264" y="264032"/>
              </a:cubicBezTo>
              <a:close/>
              <a:moveTo>
                <a:pt x="800658" y="248331"/>
              </a:moveTo>
              <a:cubicBezTo>
                <a:pt x="779159" y="250403"/>
                <a:pt x="763405" y="269452"/>
                <a:pt x="765470" y="290881"/>
              </a:cubicBezTo>
              <a:cubicBezTo>
                <a:pt x="767535" y="312310"/>
                <a:pt x="786635" y="328001"/>
                <a:pt x="808134" y="325930"/>
              </a:cubicBezTo>
              <a:cubicBezTo>
                <a:pt x="829632" y="323859"/>
                <a:pt x="845386" y="304809"/>
                <a:pt x="843322" y="283381"/>
              </a:cubicBezTo>
              <a:cubicBezTo>
                <a:pt x="841257" y="261952"/>
                <a:pt x="822156" y="246260"/>
                <a:pt x="800658" y="248331"/>
              </a:cubicBezTo>
              <a:close/>
              <a:moveTo>
                <a:pt x="903169" y="247352"/>
              </a:moveTo>
              <a:cubicBezTo>
                <a:pt x="881637" y="245659"/>
                <a:pt x="862815" y="261683"/>
                <a:pt x="861127" y="283145"/>
              </a:cubicBezTo>
              <a:cubicBezTo>
                <a:pt x="859439" y="304607"/>
                <a:pt x="875525" y="323377"/>
                <a:pt x="897057" y="325070"/>
              </a:cubicBezTo>
              <a:cubicBezTo>
                <a:pt x="918588" y="326763"/>
                <a:pt x="937410" y="310739"/>
                <a:pt x="939098" y="289277"/>
              </a:cubicBezTo>
              <a:cubicBezTo>
                <a:pt x="940786" y="267815"/>
                <a:pt x="924700" y="249045"/>
                <a:pt x="903169" y="247352"/>
              </a:cubicBezTo>
              <a:close/>
              <a:moveTo>
                <a:pt x="462158" y="230525"/>
              </a:moveTo>
              <a:cubicBezTo>
                <a:pt x="435093" y="230525"/>
                <a:pt x="413152" y="252408"/>
                <a:pt x="413152" y="279402"/>
              </a:cubicBezTo>
              <a:cubicBezTo>
                <a:pt x="413152" y="306396"/>
                <a:pt x="435093" y="328279"/>
                <a:pt x="462158" y="328279"/>
              </a:cubicBezTo>
              <a:cubicBezTo>
                <a:pt x="489223" y="328279"/>
                <a:pt x="511164" y="306396"/>
                <a:pt x="511164" y="279402"/>
              </a:cubicBezTo>
              <a:cubicBezTo>
                <a:pt x="511164" y="252408"/>
                <a:pt x="489223" y="230525"/>
                <a:pt x="462158" y="230525"/>
              </a:cubicBezTo>
              <a:close/>
              <a:moveTo>
                <a:pt x="1251253" y="222555"/>
              </a:moveTo>
              <a:cubicBezTo>
                <a:pt x="1224188" y="222555"/>
                <a:pt x="1202247" y="244455"/>
                <a:pt x="1202247" y="271471"/>
              </a:cubicBezTo>
              <a:cubicBezTo>
                <a:pt x="1202247" y="298487"/>
                <a:pt x="1224188" y="320387"/>
                <a:pt x="1251253" y="320387"/>
              </a:cubicBezTo>
              <a:cubicBezTo>
                <a:pt x="1278318" y="320387"/>
                <a:pt x="1300259" y="298487"/>
                <a:pt x="1300259" y="271471"/>
              </a:cubicBezTo>
              <a:cubicBezTo>
                <a:pt x="1300259" y="244455"/>
                <a:pt x="1278318" y="222555"/>
                <a:pt x="1251253" y="222555"/>
              </a:cubicBezTo>
              <a:close/>
              <a:moveTo>
                <a:pt x="565244" y="169567"/>
              </a:moveTo>
              <a:cubicBezTo>
                <a:pt x="538179" y="169567"/>
                <a:pt x="516238" y="191467"/>
                <a:pt x="516238" y="218483"/>
              </a:cubicBezTo>
              <a:cubicBezTo>
                <a:pt x="516238" y="245499"/>
                <a:pt x="538179" y="267399"/>
                <a:pt x="565244" y="267399"/>
              </a:cubicBezTo>
              <a:cubicBezTo>
                <a:pt x="592309" y="267399"/>
                <a:pt x="614250" y="245499"/>
                <a:pt x="614250" y="218483"/>
              </a:cubicBezTo>
              <a:cubicBezTo>
                <a:pt x="614250" y="191467"/>
                <a:pt x="592309" y="169567"/>
                <a:pt x="565244" y="169567"/>
              </a:cubicBezTo>
              <a:close/>
              <a:moveTo>
                <a:pt x="1146892" y="164046"/>
              </a:moveTo>
              <a:cubicBezTo>
                <a:pt x="1119827" y="164046"/>
                <a:pt x="1097886" y="185946"/>
                <a:pt x="1097886" y="212962"/>
              </a:cubicBezTo>
              <a:cubicBezTo>
                <a:pt x="1097886" y="239978"/>
                <a:pt x="1119827" y="261878"/>
                <a:pt x="1146892" y="261878"/>
              </a:cubicBezTo>
              <a:cubicBezTo>
                <a:pt x="1173957" y="261878"/>
                <a:pt x="1195898" y="239978"/>
                <a:pt x="1195898" y="212962"/>
              </a:cubicBezTo>
              <a:cubicBezTo>
                <a:pt x="1195898" y="185946"/>
                <a:pt x="1173957" y="164046"/>
                <a:pt x="1146892" y="164046"/>
              </a:cubicBezTo>
              <a:close/>
              <a:moveTo>
                <a:pt x="677634" y="127800"/>
              </a:moveTo>
              <a:cubicBezTo>
                <a:pt x="650569" y="127800"/>
                <a:pt x="628628" y="149700"/>
                <a:pt x="628628" y="176716"/>
              </a:cubicBezTo>
              <a:cubicBezTo>
                <a:pt x="628628" y="203732"/>
                <a:pt x="650569" y="225632"/>
                <a:pt x="677634" y="225632"/>
              </a:cubicBezTo>
              <a:cubicBezTo>
                <a:pt x="704699" y="225632"/>
                <a:pt x="726640" y="203732"/>
                <a:pt x="726640" y="176716"/>
              </a:cubicBezTo>
              <a:cubicBezTo>
                <a:pt x="726640" y="149700"/>
                <a:pt x="704699" y="127800"/>
                <a:pt x="677634" y="127800"/>
              </a:cubicBezTo>
              <a:close/>
              <a:moveTo>
                <a:pt x="1033845" y="124419"/>
              </a:moveTo>
              <a:cubicBezTo>
                <a:pt x="1006780" y="124419"/>
                <a:pt x="984839" y="146319"/>
                <a:pt x="984839" y="173335"/>
              </a:cubicBezTo>
              <a:cubicBezTo>
                <a:pt x="984839" y="200351"/>
                <a:pt x="1006780" y="222251"/>
                <a:pt x="1033845" y="222251"/>
              </a:cubicBezTo>
              <a:cubicBezTo>
                <a:pt x="1060910" y="222251"/>
                <a:pt x="1082851" y="200351"/>
                <a:pt x="1082851" y="173335"/>
              </a:cubicBezTo>
              <a:cubicBezTo>
                <a:pt x="1082851" y="146319"/>
                <a:pt x="1060910" y="124419"/>
                <a:pt x="1033845" y="124419"/>
              </a:cubicBezTo>
              <a:close/>
              <a:moveTo>
                <a:pt x="795597" y="106016"/>
              </a:moveTo>
              <a:cubicBezTo>
                <a:pt x="768532" y="106016"/>
                <a:pt x="746591" y="127916"/>
                <a:pt x="746591" y="154932"/>
              </a:cubicBezTo>
              <a:cubicBezTo>
                <a:pt x="746591" y="181948"/>
                <a:pt x="768532" y="203848"/>
                <a:pt x="795597" y="203848"/>
              </a:cubicBezTo>
              <a:cubicBezTo>
                <a:pt x="822662" y="203848"/>
                <a:pt x="844603" y="181948"/>
                <a:pt x="844603" y="154932"/>
              </a:cubicBezTo>
              <a:cubicBezTo>
                <a:pt x="844603" y="127916"/>
                <a:pt x="822662" y="106016"/>
                <a:pt x="795597" y="106016"/>
              </a:cubicBezTo>
              <a:close/>
              <a:moveTo>
                <a:pt x="915549" y="104878"/>
              </a:moveTo>
              <a:cubicBezTo>
                <a:pt x="888484" y="104878"/>
                <a:pt x="866543" y="126778"/>
                <a:pt x="866543" y="153794"/>
              </a:cubicBezTo>
              <a:cubicBezTo>
                <a:pt x="866543" y="180810"/>
                <a:pt x="888484" y="202710"/>
                <a:pt x="915549" y="202710"/>
              </a:cubicBezTo>
              <a:cubicBezTo>
                <a:pt x="942614" y="202710"/>
                <a:pt x="964555" y="180810"/>
                <a:pt x="964555" y="153794"/>
              </a:cubicBezTo>
              <a:cubicBezTo>
                <a:pt x="964555" y="126778"/>
                <a:pt x="942614" y="104878"/>
                <a:pt x="915549" y="104878"/>
              </a:cubicBezTo>
              <a:close/>
              <a:moveTo>
                <a:pt x="0" y="0"/>
              </a:moveTo>
              <a:lnTo>
                <a:pt x="1737360" y="0"/>
              </a:lnTo>
              <a:lnTo>
                <a:pt x="1737360" y="1657350"/>
              </a:lnTo>
              <a:lnTo>
                <a:pt x="0" y="1657350"/>
              </a:lnTo>
              <a:close/>
            </a:path>
          </a:pathLst>
        </a:cu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clientData/>
  </xdr:twoCellAnchor>
  <xdr:twoCellAnchor>
    <xdr:from>
      <xdr:col>13</xdr:col>
      <xdr:colOff>547968</xdr:colOff>
      <xdr:row>2</xdr:row>
      <xdr:rowOff>179445</xdr:rowOff>
    </xdr:from>
    <xdr:to>
      <xdr:col>17</xdr:col>
      <xdr:colOff>174588</xdr:colOff>
      <xdr:row>12</xdr:row>
      <xdr:rowOff>147441</xdr:rowOff>
    </xdr:to>
    <xdr:graphicFrame macro="">
      <xdr:nvGraphicFramePr>
        <xdr:cNvPr id="109" name="Chart 108">
          <a:extLst>
            <a:ext uri="{FF2B5EF4-FFF2-40B4-BE49-F238E27FC236}">
              <a16:creationId xmlns:a16="http://schemas.microsoft.com/office/drawing/2014/main" id="{CEBDCD29-F0BB-4AD4-88D6-751D096A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516816</xdr:colOff>
      <xdr:row>2</xdr:row>
      <xdr:rowOff>175744</xdr:rowOff>
    </xdr:from>
    <xdr:to>
      <xdr:col>21</xdr:col>
      <xdr:colOff>91440</xdr:colOff>
      <xdr:row>12</xdr:row>
      <xdr:rowOff>151143</xdr:rowOff>
    </xdr:to>
    <xdr:graphicFrame macro="">
      <xdr:nvGraphicFramePr>
        <xdr:cNvPr id="111" name="Chart 110">
          <a:extLst>
            <a:ext uri="{FF2B5EF4-FFF2-40B4-BE49-F238E27FC236}">
              <a16:creationId xmlns:a16="http://schemas.microsoft.com/office/drawing/2014/main" id="{8AD37226-FC29-41B4-AE3B-172DA48AC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266700</xdr:colOff>
      <xdr:row>17</xdr:row>
      <xdr:rowOff>53340</xdr:rowOff>
    </xdr:from>
    <xdr:to>
      <xdr:col>21</xdr:col>
      <xdr:colOff>15240</xdr:colOff>
      <xdr:row>32</xdr:row>
      <xdr:rowOff>38100</xdr:rowOff>
    </xdr:to>
    <xdr:graphicFrame macro="">
      <xdr:nvGraphicFramePr>
        <xdr:cNvPr id="112" name="Chart 111">
          <a:extLst>
            <a:ext uri="{FF2B5EF4-FFF2-40B4-BE49-F238E27FC236}">
              <a16:creationId xmlns:a16="http://schemas.microsoft.com/office/drawing/2014/main" id="{E6F9CA99-E5BC-476B-B0BE-CA4CDE121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182880</xdr:colOff>
      <xdr:row>2</xdr:row>
      <xdr:rowOff>99060</xdr:rowOff>
    </xdr:from>
    <xdr:to>
      <xdr:col>9</xdr:col>
      <xdr:colOff>205740</xdr:colOff>
      <xdr:row>12</xdr:row>
      <xdr:rowOff>159398</xdr:rowOff>
    </xdr:to>
    <xdr:graphicFrame macro="">
      <xdr:nvGraphicFramePr>
        <xdr:cNvPr id="113" name="Chart 112">
          <a:extLst>
            <a:ext uri="{FF2B5EF4-FFF2-40B4-BE49-F238E27FC236}">
              <a16:creationId xmlns:a16="http://schemas.microsoft.com/office/drawing/2014/main" id="{D74A06DB-EC7C-4B14-8CB6-BEC9C1CF1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190500</xdr:colOff>
      <xdr:row>1</xdr:row>
      <xdr:rowOff>38100</xdr:rowOff>
    </xdr:from>
    <xdr:to>
      <xdr:col>5</xdr:col>
      <xdr:colOff>434340</xdr:colOff>
      <xdr:row>3</xdr:row>
      <xdr:rowOff>7620</xdr:rowOff>
    </xdr:to>
    <xdr:sp macro="" textlink="Processing!H15">
      <xdr:nvSpPr>
        <xdr:cNvPr id="9" name="TextBox 8">
          <a:extLst>
            <a:ext uri="{FF2B5EF4-FFF2-40B4-BE49-F238E27FC236}">
              <a16:creationId xmlns:a16="http://schemas.microsoft.com/office/drawing/2014/main" id="{8140DAFC-724D-8978-70E2-550533C13363}"/>
            </a:ext>
          </a:extLst>
        </xdr:cNvPr>
        <xdr:cNvSpPr txBox="1"/>
      </xdr:nvSpPr>
      <xdr:spPr>
        <a:xfrm>
          <a:off x="1409700" y="22098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54145090-0D71-46DD-972C-D35C4168A530}" type="TxLink">
            <a:rPr lang="en-US" sz="1400" b="0" i="0" u="none" strike="noStrike">
              <a:solidFill>
                <a:schemeClr val="bg1"/>
              </a:solidFill>
              <a:latin typeface="Aptos Narrow"/>
            </a:rPr>
            <a:pPr/>
            <a:t>Payroll vs. Extra Pay</a:t>
          </a:fld>
          <a:endParaRPr lang="ru-RU" sz="1400" b="0">
            <a:solidFill>
              <a:schemeClr val="bg1"/>
            </a:solidFill>
          </a:endParaRPr>
        </a:p>
      </xdr:txBody>
    </xdr:sp>
    <xdr:clientData/>
  </xdr:twoCellAnchor>
  <xdr:twoCellAnchor>
    <xdr:from>
      <xdr:col>2</xdr:col>
      <xdr:colOff>190500</xdr:colOff>
      <xdr:row>14</xdr:row>
      <xdr:rowOff>83820</xdr:rowOff>
    </xdr:from>
    <xdr:to>
      <xdr:col>5</xdr:col>
      <xdr:colOff>434340</xdr:colOff>
      <xdr:row>16</xdr:row>
      <xdr:rowOff>53340</xdr:rowOff>
    </xdr:to>
    <xdr:sp macro="" textlink="Processing!A1">
      <xdr:nvSpPr>
        <xdr:cNvPr id="10" name="TextBox 9">
          <a:extLst>
            <a:ext uri="{FF2B5EF4-FFF2-40B4-BE49-F238E27FC236}">
              <a16:creationId xmlns:a16="http://schemas.microsoft.com/office/drawing/2014/main" id="{0197A0E4-DDC5-5007-7646-44ACFB951CBA}"/>
            </a:ext>
          </a:extLst>
        </xdr:cNvPr>
        <xdr:cNvSpPr txBox="1"/>
      </xdr:nvSpPr>
      <xdr:spPr>
        <a:xfrm>
          <a:off x="1409700" y="264414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884D832-3429-45C3-BEC5-4E5B2CD91165}" type="TxLink">
            <a:rPr lang="en-US" sz="1400" b="0" i="0" u="none" strike="noStrike">
              <a:solidFill>
                <a:schemeClr val="bg1"/>
              </a:solidFill>
              <a:latin typeface="Aptos Narrow"/>
              <a:ea typeface="+mn-ea"/>
              <a:cs typeface="+mn-cs"/>
            </a:rPr>
            <a:pPr marL="0" indent="0"/>
            <a:t>Employee Categories</a:t>
          </a:fld>
          <a:endParaRPr lang="ru-RU" sz="1400" b="0" i="0" u="none" strike="noStrike">
            <a:solidFill>
              <a:schemeClr val="bg1"/>
            </a:solidFill>
            <a:latin typeface="Aptos Narrow"/>
            <a:ea typeface="+mn-ea"/>
            <a:cs typeface="+mn-cs"/>
          </a:endParaRPr>
        </a:p>
      </xdr:txBody>
    </xdr:sp>
    <xdr:clientData/>
  </xdr:twoCellAnchor>
  <xdr:twoCellAnchor>
    <xdr:from>
      <xdr:col>10</xdr:col>
      <xdr:colOff>0</xdr:colOff>
      <xdr:row>1</xdr:row>
      <xdr:rowOff>38100</xdr:rowOff>
    </xdr:from>
    <xdr:to>
      <xdr:col>13</xdr:col>
      <xdr:colOff>243840</xdr:colOff>
      <xdr:row>3</xdr:row>
      <xdr:rowOff>7620</xdr:rowOff>
    </xdr:to>
    <xdr:sp macro="" textlink="Processing!J1">
      <xdr:nvSpPr>
        <xdr:cNvPr id="13" name="TextBox 12">
          <a:extLst>
            <a:ext uri="{FF2B5EF4-FFF2-40B4-BE49-F238E27FC236}">
              <a16:creationId xmlns:a16="http://schemas.microsoft.com/office/drawing/2014/main" id="{DAF547A9-352F-CD1D-3CF3-D147C03AFC4C}"/>
            </a:ext>
          </a:extLst>
        </xdr:cNvPr>
        <xdr:cNvSpPr txBox="1"/>
      </xdr:nvSpPr>
      <xdr:spPr>
        <a:xfrm>
          <a:off x="6096000" y="22098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39D12197-E463-4681-B15A-103A7168F467}" type="TxLink">
            <a:rPr lang="en-US" sz="1400" b="0" i="0" u="none" strike="noStrike">
              <a:solidFill>
                <a:schemeClr val="bg1"/>
              </a:solidFill>
              <a:latin typeface="Aptos Narrow"/>
              <a:ea typeface="+mn-ea"/>
              <a:cs typeface="+mn-cs"/>
            </a:rPr>
            <a:pPr marL="0" indent="0" algn="ctr"/>
            <a:t>Budget Fulfillment</a:t>
          </a:fld>
          <a:endParaRPr lang="ru-RU" sz="1400" b="0" i="0" u="none" strike="noStrike">
            <a:solidFill>
              <a:schemeClr val="bg1"/>
            </a:solidFill>
            <a:latin typeface="Aptos Narrow"/>
            <a:ea typeface="+mn-ea"/>
            <a:cs typeface="+mn-cs"/>
          </a:endParaRPr>
        </a:p>
      </xdr:txBody>
    </xdr:sp>
    <xdr:clientData/>
  </xdr:twoCellAnchor>
  <xdr:twoCellAnchor>
    <xdr:from>
      <xdr:col>13</xdr:col>
      <xdr:colOff>594360</xdr:colOff>
      <xdr:row>1</xdr:row>
      <xdr:rowOff>38100</xdr:rowOff>
    </xdr:from>
    <xdr:to>
      <xdr:col>17</xdr:col>
      <xdr:colOff>228600</xdr:colOff>
      <xdr:row>3</xdr:row>
      <xdr:rowOff>7620</xdr:rowOff>
    </xdr:to>
    <xdr:sp macro="" textlink="Processing!J3">
      <xdr:nvSpPr>
        <xdr:cNvPr id="20" name="TextBox 19">
          <a:extLst>
            <a:ext uri="{FF2B5EF4-FFF2-40B4-BE49-F238E27FC236}">
              <a16:creationId xmlns:a16="http://schemas.microsoft.com/office/drawing/2014/main" id="{5D55E995-2FB3-2B22-D63E-3F050DF6FB54}"/>
            </a:ext>
          </a:extLst>
        </xdr:cNvPr>
        <xdr:cNvSpPr txBox="1"/>
      </xdr:nvSpPr>
      <xdr:spPr>
        <a:xfrm>
          <a:off x="8519160" y="22098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B4685520-C4E4-4537-AF13-360D218A898E}" type="TxLink">
            <a:rPr lang="en-US" sz="1400" b="0" i="0" u="none" strike="noStrike">
              <a:solidFill>
                <a:schemeClr val="bg1"/>
              </a:solidFill>
              <a:latin typeface="Aptos Narrow"/>
              <a:ea typeface="+mn-ea"/>
              <a:cs typeface="+mn-cs"/>
            </a:rPr>
            <a:pPr marL="0" indent="0" algn="ctr"/>
            <a:t>Employee Performance</a:t>
          </a:fld>
          <a:endParaRPr lang="ru-RU" sz="1400" b="0" i="0" u="none" strike="noStrike">
            <a:solidFill>
              <a:schemeClr val="bg1"/>
            </a:solidFill>
            <a:latin typeface="Aptos Narrow"/>
            <a:ea typeface="+mn-ea"/>
            <a:cs typeface="+mn-cs"/>
          </a:endParaRPr>
        </a:p>
      </xdr:txBody>
    </xdr:sp>
    <xdr:clientData/>
  </xdr:twoCellAnchor>
  <xdr:twoCellAnchor>
    <xdr:from>
      <xdr:col>17</xdr:col>
      <xdr:colOff>556260</xdr:colOff>
      <xdr:row>1</xdr:row>
      <xdr:rowOff>38100</xdr:rowOff>
    </xdr:from>
    <xdr:to>
      <xdr:col>21</xdr:col>
      <xdr:colOff>190500</xdr:colOff>
      <xdr:row>3</xdr:row>
      <xdr:rowOff>7620</xdr:rowOff>
    </xdr:to>
    <xdr:sp macro="" textlink="Processing!P1">
      <xdr:nvSpPr>
        <xdr:cNvPr id="21" name="TextBox 20">
          <a:extLst>
            <a:ext uri="{FF2B5EF4-FFF2-40B4-BE49-F238E27FC236}">
              <a16:creationId xmlns:a16="http://schemas.microsoft.com/office/drawing/2014/main" id="{BD8018F1-CC3D-3A1B-1A6F-D1B9B419BB6A}"/>
            </a:ext>
          </a:extLst>
        </xdr:cNvPr>
        <xdr:cNvSpPr txBox="1"/>
      </xdr:nvSpPr>
      <xdr:spPr>
        <a:xfrm>
          <a:off x="10919460" y="22098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44FCB2A-F787-4A92-ADBB-45BDD4DFF328}" type="TxLink">
            <a:rPr lang="en-US" sz="1400" b="0" i="0" u="none" strike="noStrike">
              <a:solidFill>
                <a:schemeClr val="bg1"/>
              </a:solidFill>
              <a:latin typeface="Aptos Narrow"/>
              <a:ea typeface="+mn-ea"/>
              <a:cs typeface="+mn-cs"/>
            </a:rPr>
            <a:pPr marL="0" indent="0" algn="ctr"/>
            <a:t>Task Deadline Compliance</a:t>
          </a:fld>
          <a:endParaRPr lang="ru-RU" sz="1400" b="0" i="0" u="none" strike="noStrike">
            <a:solidFill>
              <a:schemeClr val="bg1"/>
            </a:solidFill>
            <a:latin typeface="Aptos Narrow"/>
            <a:ea typeface="+mn-ea"/>
            <a:cs typeface="+mn-cs"/>
          </a:endParaRPr>
        </a:p>
      </xdr:txBody>
    </xdr:sp>
    <xdr:clientData/>
  </xdr:twoCellAnchor>
  <xdr:twoCellAnchor>
    <xdr:from>
      <xdr:col>10</xdr:col>
      <xdr:colOff>38100</xdr:colOff>
      <xdr:row>14</xdr:row>
      <xdr:rowOff>83820</xdr:rowOff>
    </xdr:from>
    <xdr:to>
      <xdr:col>14</xdr:col>
      <xdr:colOff>144780</xdr:colOff>
      <xdr:row>16</xdr:row>
      <xdr:rowOff>53340</xdr:rowOff>
    </xdr:to>
    <xdr:sp macro="" textlink="Processing!A15">
      <xdr:nvSpPr>
        <xdr:cNvPr id="24" name="TextBox 23">
          <a:extLst>
            <a:ext uri="{FF2B5EF4-FFF2-40B4-BE49-F238E27FC236}">
              <a16:creationId xmlns:a16="http://schemas.microsoft.com/office/drawing/2014/main" id="{D3B6ECD0-5B89-3991-BA7A-87156A8434EE}"/>
            </a:ext>
          </a:extLst>
        </xdr:cNvPr>
        <xdr:cNvSpPr txBox="1"/>
      </xdr:nvSpPr>
      <xdr:spPr>
        <a:xfrm>
          <a:off x="6134100" y="2644140"/>
          <a:ext cx="25450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EB3958-AE47-4BC6-9A9A-AAF7AD5CD395}" type="TxLink">
            <a:rPr lang="en-US" sz="1400" b="0" i="0" u="none" strike="noStrike">
              <a:solidFill>
                <a:schemeClr val="bg1"/>
              </a:solidFill>
              <a:latin typeface="Aptos Narrow"/>
              <a:ea typeface="+mn-ea"/>
              <a:cs typeface="+mn-cs"/>
            </a:rPr>
            <a:pPr marL="0" indent="0"/>
            <a:t>Cost Structure and Productivity</a:t>
          </a:fld>
          <a:endParaRPr lang="ru-RU" sz="1400" b="0" i="0" u="none" strike="noStrike">
            <a:solidFill>
              <a:schemeClr val="bg1"/>
            </a:solidFill>
            <a:latin typeface="Aptos Narrow"/>
            <a:ea typeface="+mn-ea"/>
            <a:cs typeface="+mn-cs"/>
          </a:endParaRPr>
        </a:p>
      </xdr:txBody>
    </xdr:sp>
    <xdr:clientData/>
  </xdr:twoCellAnchor>
  <xdr:twoCellAnchor>
    <xdr:from>
      <xdr:col>11</xdr:col>
      <xdr:colOff>1604</xdr:colOff>
      <xdr:row>6</xdr:row>
      <xdr:rowOff>104531</xdr:rowOff>
    </xdr:from>
    <xdr:to>
      <xdr:col>12</xdr:col>
      <xdr:colOff>455596</xdr:colOff>
      <xdr:row>9</xdr:row>
      <xdr:rowOff>2149</xdr:rowOff>
    </xdr:to>
    <xdr:sp macro="" textlink="Processing!K1">
      <xdr:nvSpPr>
        <xdr:cNvPr id="25" name="TextBox 24">
          <a:extLst>
            <a:ext uri="{FF2B5EF4-FFF2-40B4-BE49-F238E27FC236}">
              <a16:creationId xmlns:a16="http://schemas.microsoft.com/office/drawing/2014/main" id="{CF2200D9-7381-33F5-D5B2-75FE2D2CFACF}"/>
            </a:ext>
          </a:extLst>
        </xdr:cNvPr>
        <xdr:cNvSpPr txBox="1"/>
      </xdr:nvSpPr>
      <xdr:spPr>
        <a:xfrm>
          <a:off x="6707204" y="1201811"/>
          <a:ext cx="1063592"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B5B556-DB77-4BBC-8BEE-B959C5838687}" type="TxLink">
            <a:rPr lang="en-US" sz="1800" b="0" i="0" u="none" strike="noStrike">
              <a:gradFill>
                <a:gsLst>
                  <a:gs pos="26000">
                    <a:srgbClr val="73F46A"/>
                  </a:gs>
                  <a:gs pos="73000">
                    <a:srgbClr val="178BFF"/>
                  </a:gs>
                </a:gsLst>
                <a:path path="circle">
                  <a:fillToRect t="100000" r="100000"/>
                </a:path>
              </a:gradFill>
              <a:latin typeface="Aptos Narrow"/>
              <a:ea typeface="+mn-ea"/>
              <a:cs typeface="+mn-cs"/>
            </a:rPr>
            <a:pPr marL="0" indent="0" algn="ctr"/>
            <a:t>60%</a:t>
          </a:fld>
          <a:endParaRPr lang="ru-RU" sz="2400" b="0" i="0" u="none" strike="noStrike">
            <a:gradFill>
              <a:gsLst>
                <a:gs pos="26000">
                  <a:srgbClr val="73F46A"/>
                </a:gs>
                <a:gs pos="73000">
                  <a:srgbClr val="178BFF"/>
                </a:gs>
              </a:gsLst>
              <a:path path="circle">
                <a:fillToRect t="100000" r="100000"/>
              </a:path>
            </a:gradFill>
            <a:latin typeface="Aptos Narrow"/>
            <a:ea typeface="+mn-ea"/>
            <a:cs typeface="+mn-cs"/>
          </a:endParaRPr>
        </a:p>
      </xdr:txBody>
    </xdr:sp>
    <xdr:clientData/>
  </xdr:twoCellAnchor>
  <xdr:twoCellAnchor>
    <xdr:from>
      <xdr:col>14</xdr:col>
      <xdr:colOff>458804</xdr:colOff>
      <xdr:row>6</xdr:row>
      <xdr:rowOff>28331</xdr:rowOff>
    </xdr:from>
    <xdr:to>
      <xdr:col>16</xdr:col>
      <xdr:colOff>303196</xdr:colOff>
      <xdr:row>7</xdr:row>
      <xdr:rowOff>129540</xdr:rowOff>
    </xdr:to>
    <xdr:sp macro="" textlink="Processing!K6">
      <xdr:nvSpPr>
        <xdr:cNvPr id="26" name="TextBox 25">
          <a:extLst>
            <a:ext uri="{FF2B5EF4-FFF2-40B4-BE49-F238E27FC236}">
              <a16:creationId xmlns:a16="http://schemas.microsoft.com/office/drawing/2014/main" id="{15E37677-F428-1DA7-145F-2AE0CEFF22C7}"/>
            </a:ext>
          </a:extLst>
        </xdr:cNvPr>
        <xdr:cNvSpPr txBox="1"/>
      </xdr:nvSpPr>
      <xdr:spPr>
        <a:xfrm>
          <a:off x="8993204" y="1125611"/>
          <a:ext cx="1063592" cy="28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3146BE-D801-4FB3-BAAA-A598A21193D2}" type="TxLink">
            <a:rPr lang="en-US" sz="1800" b="0" i="0" u="none" strike="noStrike">
              <a:solidFill>
                <a:srgbClr val="00E8C1"/>
              </a:solidFill>
              <a:latin typeface="Aptos Narrow"/>
              <a:ea typeface="+mn-ea"/>
              <a:cs typeface="+mn-cs"/>
            </a:rPr>
            <a:pPr marL="0" indent="0" algn="ctr"/>
            <a:t>56%</a:t>
          </a:fld>
          <a:endParaRPr lang="ru-RU" sz="4000" b="0" i="0" u="none" strike="noStrike">
            <a:solidFill>
              <a:srgbClr val="00E8C1"/>
            </a:solidFill>
            <a:latin typeface="Aptos Narrow"/>
            <a:ea typeface="+mn-ea"/>
            <a:cs typeface="+mn-cs"/>
          </a:endParaRPr>
        </a:p>
      </xdr:txBody>
    </xdr:sp>
    <xdr:clientData/>
  </xdr:twoCellAnchor>
  <xdr:twoCellAnchor>
    <xdr:from>
      <xdr:col>14</xdr:col>
      <xdr:colOff>458804</xdr:colOff>
      <xdr:row>7</xdr:row>
      <xdr:rowOff>135011</xdr:rowOff>
    </xdr:from>
    <xdr:to>
      <xdr:col>16</xdr:col>
      <xdr:colOff>303196</xdr:colOff>
      <xdr:row>9</xdr:row>
      <xdr:rowOff>53340</xdr:rowOff>
    </xdr:to>
    <xdr:sp macro="" textlink="Processing!K5">
      <xdr:nvSpPr>
        <xdr:cNvPr id="27" name="TextBox 26">
          <a:extLst>
            <a:ext uri="{FF2B5EF4-FFF2-40B4-BE49-F238E27FC236}">
              <a16:creationId xmlns:a16="http://schemas.microsoft.com/office/drawing/2014/main" id="{BB67E793-B44D-8631-CD56-FB21EE703CF5}"/>
            </a:ext>
          </a:extLst>
        </xdr:cNvPr>
        <xdr:cNvSpPr txBox="1"/>
      </xdr:nvSpPr>
      <xdr:spPr>
        <a:xfrm>
          <a:off x="8993204" y="1415171"/>
          <a:ext cx="1063592" cy="28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F5D846-1D48-4686-B54F-5FA1AD96DCFD}" type="TxLink">
            <a:rPr lang="en-US" sz="1400" b="0" i="0" u="none" strike="noStrike">
              <a:solidFill>
                <a:srgbClr val="673FFF"/>
              </a:solidFill>
              <a:latin typeface="Aptos Narrow"/>
              <a:ea typeface="+mn-ea"/>
              <a:cs typeface="+mn-cs"/>
            </a:rPr>
            <a:pPr marL="0" indent="0" algn="ctr"/>
            <a:t>60%</a:t>
          </a:fld>
          <a:endParaRPr lang="ru-RU" sz="4800" b="0" i="0" u="none" strike="noStrike">
            <a:solidFill>
              <a:srgbClr val="673FFF"/>
            </a:solidFill>
            <a:latin typeface="Aptos Narrow"/>
            <a:ea typeface="+mn-ea"/>
            <a:cs typeface="+mn-cs"/>
          </a:endParaRPr>
        </a:p>
      </xdr:txBody>
    </xdr:sp>
    <xdr:clientData/>
  </xdr:twoCellAnchor>
  <xdr:twoCellAnchor>
    <xdr:from>
      <xdr:col>14</xdr:col>
      <xdr:colOff>458804</xdr:colOff>
      <xdr:row>6</xdr:row>
      <xdr:rowOff>28331</xdr:rowOff>
    </xdr:from>
    <xdr:to>
      <xdr:col>16</xdr:col>
      <xdr:colOff>303196</xdr:colOff>
      <xdr:row>7</xdr:row>
      <xdr:rowOff>129540</xdr:rowOff>
    </xdr:to>
    <xdr:sp macro="" textlink="Processing!K8">
      <xdr:nvSpPr>
        <xdr:cNvPr id="28" name="TextBox 27">
          <a:extLst>
            <a:ext uri="{FF2B5EF4-FFF2-40B4-BE49-F238E27FC236}">
              <a16:creationId xmlns:a16="http://schemas.microsoft.com/office/drawing/2014/main" id="{EBDBF68D-8CDE-C54D-75FE-8B632414AF25}"/>
            </a:ext>
          </a:extLst>
        </xdr:cNvPr>
        <xdr:cNvSpPr txBox="1"/>
      </xdr:nvSpPr>
      <xdr:spPr>
        <a:xfrm>
          <a:off x="8993204" y="1125611"/>
          <a:ext cx="1063592" cy="28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1125D5-0E3B-4630-B832-5B0EEE419AB4}" type="TxLink">
            <a:rPr lang="en-US" sz="1800" b="0" i="0" u="none" strike="noStrike">
              <a:solidFill>
                <a:srgbClr val="FFE202"/>
              </a:solidFill>
              <a:latin typeface="Aptos Narrow"/>
              <a:ea typeface="+mn-ea"/>
              <a:cs typeface="+mn-cs"/>
            </a:rPr>
            <a:pPr marL="0" indent="0" algn="ctr"/>
            <a:t> </a:t>
          </a:fld>
          <a:endParaRPr lang="ru-RU" sz="6000" b="0" i="0" u="none" strike="noStrike">
            <a:solidFill>
              <a:srgbClr val="FFE202"/>
            </a:solidFill>
            <a:latin typeface="Aptos Narrow"/>
            <a:ea typeface="+mn-ea"/>
            <a:cs typeface="+mn-cs"/>
          </a:endParaRPr>
        </a:p>
      </xdr:txBody>
    </xdr:sp>
    <xdr:clientData/>
  </xdr:twoCellAnchor>
  <xdr:twoCellAnchor>
    <xdr:from>
      <xdr:col>14</xdr:col>
      <xdr:colOff>458804</xdr:colOff>
      <xdr:row>7</xdr:row>
      <xdr:rowOff>135011</xdr:rowOff>
    </xdr:from>
    <xdr:to>
      <xdr:col>16</xdr:col>
      <xdr:colOff>303196</xdr:colOff>
      <xdr:row>9</xdr:row>
      <xdr:rowOff>53340</xdr:rowOff>
    </xdr:to>
    <xdr:sp macro="" textlink="Processing!K7">
      <xdr:nvSpPr>
        <xdr:cNvPr id="29" name="TextBox 28">
          <a:extLst>
            <a:ext uri="{FF2B5EF4-FFF2-40B4-BE49-F238E27FC236}">
              <a16:creationId xmlns:a16="http://schemas.microsoft.com/office/drawing/2014/main" id="{FC83C6FD-0BF3-AA1F-B3FF-6382D62FCF59}"/>
            </a:ext>
          </a:extLst>
        </xdr:cNvPr>
        <xdr:cNvSpPr txBox="1"/>
      </xdr:nvSpPr>
      <xdr:spPr>
        <a:xfrm>
          <a:off x="8993204" y="1415171"/>
          <a:ext cx="1063592" cy="28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2E3594-21E7-4D16-BC36-4C83DA1C173F}" type="TxLink">
            <a:rPr lang="en-US" sz="1400" b="0" i="0" u="none" strike="noStrike">
              <a:solidFill>
                <a:srgbClr val="FD447E"/>
              </a:solidFill>
              <a:latin typeface="Aptos Narrow"/>
              <a:ea typeface="+mn-ea"/>
              <a:cs typeface="+mn-cs"/>
            </a:rPr>
            <a:pPr marL="0" indent="0" algn="ctr"/>
            <a:t> </a:t>
          </a:fld>
          <a:endParaRPr lang="ru-RU" sz="6000" b="0" i="0" u="none" strike="noStrike">
            <a:solidFill>
              <a:srgbClr val="FD447E"/>
            </a:solidFill>
            <a:latin typeface="Aptos Narrow"/>
            <a:ea typeface="+mn-ea"/>
            <a:cs typeface="+mn-cs"/>
          </a:endParaRPr>
        </a:p>
      </xdr:txBody>
    </xdr:sp>
    <xdr:clientData/>
  </xdr:twoCellAnchor>
  <xdr:twoCellAnchor>
    <xdr:from>
      <xdr:col>18</xdr:col>
      <xdr:colOff>374984</xdr:colOff>
      <xdr:row>6</xdr:row>
      <xdr:rowOff>104531</xdr:rowOff>
    </xdr:from>
    <xdr:to>
      <xdr:col>20</xdr:col>
      <xdr:colOff>219376</xdr:colOff>
      <xdr:row>9</xdr:row>
      <xdr:rowOff>2149</xdr:rowOff>
    </xdr:to>
    <xdr:sp macro="" textlink="Processing!Q1">
      <xdr:nvSpPr>
        <xdr:cNvPr id="30" name="TextBox 29">
          <a:extLst>
            <a:ext uri="{FF2B5EF4-FFF2-40B4-BE49-F238E27FC236}">
              <a16:creationId xmlns:a16="http://schemas.microsoft.com/office/drawing/2014/main" id="{C19C24C9-4BB7-9360-8308-82B54137FC29}"/>
            </a:ext>
          </a:extLst>
        </xdr:cNvPr>
        <xdr:cNvSpPr txBox="1"/>
      </xdr:nvSpPr>
      <xdr:spPr>
        <a:xfrm>
          <a:off x="11347784" y="1201811"/>
          <a:ext cx="1063592"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DEA673-D3A7-4845-A7A1-A10B90911C63}" type="TxLink">
            <a:rPr lang="en-US" sz="1800" b="0" i="0" u="none" strike="noStrike">
              <a:solidFill>
                <a:schemeClr val="bg1"/>
              </a:solidFill>
              <a:latin typeface="Aptos Narrow"/>
              <a:ea typeface="+mn-ea"/>
              <a:cs typeface="+mn-cs"/>
            </a:rPr>
            <a:pPr marL="0" indent="0" algn="ctr"/>
            <a:t>65%</a:t>
          </a:fld>
          <a:endParaRPr lang="ru-RU" sz="4000" b="0" i="0" u="none" strike="noStrike">
            <a:solidFill>
              <a:schemeClr val="bg1"/>
            </a:solidFill>
            <a:latin typeface="Aptos Narrow"/>
            <a:ea typeface="+mn-ea"/>
            <a:cs typeface="+mn-cs"/>
          </a:endParaRPr>
        </a:p>
      </xdr:txBody>
    </xdr:sp>
    <xdr:clientData/>
  </xdr:twoCellAnchor>
  <xdr:twoCellAnchor editAs="oneCell">
    <xdr:from>
      <xdr:col>21</xdr:col>
      <xdr:colOff>468133</xdr:colOff>
      <xdr:row>1</xdr:row>
      <xdr:rowOff>15240</xdr:rowOff>
    </xdr:from>
    <xdr:to>
      <xdr:col>22</xdr:col>
      <xdr:colOff>551227</xdr:colOff>
      <xdr:row>8</xdr:row>
      <xdr:rowOff>76200</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752C4F27-A117-4DF2-8A41-E4F85969D9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269733" y="200770"/>
              <a:ext cx="692694" cy="135967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30</xdr:row>
      <xdr:rowOff>106679</xdr:rowOff>
    </xdr:from>
    <xdr:to>
      <xdr:col>20</xdr:col>
      <xdr:colOff>594360</xdr:colOff>
      <xdr:row>33</xdr:row>
      <xdr:rowOff>15240</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E3FFE0CE-3805-43E3-87B5-9E52377B2F9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99860" y="5672592"/>
              <a:ext cx="6286500" cy="46515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398227</xdr:colOff>
      <xdr:row>19</xdr:row>
      <xdr:rowOff>87464</xdr:rowOff>
    </xdr:from>
    <xdr:to>
      <xdr:col>9</xdr:col>
      <xdr:colOff>274320</xdr:colOff>
      <xdr:row>32</xdr:row>
      <xdr:rowOff>129540</xdr:rowOff>
    </xdr:to>
    <mc:AlternateContent xmlns:mc="http://schemas.openxmlformats.org/markup-compatibility/2006" xmlns:a14="http://schemas.microsoft.com/office/drawing/2010/main">
      <mc:Choice Requires="a14">
        <xdr:graphicFrame macro="">
          <xdr:nvGraphicFramePr>
            <xdr:cNvPr id="33" name="Employee Categories">
              <a:extLst>
                <a:ext uri="{FF2B5EF4-FFF2-40B4-BE49-F238E27FC236}">
                  <a16:creationId xmlns:a16="http://schemas.microsoft.com/office/drawing/2014/main" id="{AA0895FC-DC7B-48DD-9A4C-DD7D8BDE73F4}"/>
                </a:ext>
              </a:extLst>
            </xdr:cNvPr>
            <xdr:cNvGraphicFramePr/>
          </xdr:nvGraphicFramePr>
          <xdr:xfrm>
            <a:off x="0" y="0"/>
            <a:ext cx="0" cy="0"/>
          </xdr:xfrm>
          <a:graphic>
            <a:graphicData uri="http://schemas.microsoft.com/office/drawing/2010/slicer">
              <sle:slicer xmlns:sle="http://schemas.microsoft.com/office/drawing/2010/slicer" name="Employee Categories"/>
            </a:graphicData>
          </a:graphic>
        </xdr:graphicFrame>
      </mc:Choice>
      <mc:Fallback xmlns="">
        <xdr:sp macro="" textlink="">
          <xdr:nvSpPr>
            <xdr:cNvPr id="0" name=""/>
            <xdr:cNvSpPr>
              <a:spLocks noTextEdit="1"/>
            </xdr:cNvSpPr>
          </xdr:nvSpPr>
          <xdr:spPr>
            <a:xfrm>
              <a:off x="4665427" y="3494052"/>
              <a:ext cx="1095293" cy="23729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16</xdr:row>
      <xdr:rowOff>129540</xdr:rowOff>
    </xdr:from>
    <xdr:to>
      <xdr:col>7</xdr:col>
      <xdr:colOff>197739</xdr:colOff>
      <xdr:row>32</xdr:row>
      <xdr:rowOff>83820</xdr:rowOff>
    </xdr:to>
    <xdr:grpSp>
      <xdr:nvGrpSpPr>
        <xdr:cNvPr id="116" name="Group 115">
          <a:extLst>
            <a:ext uri="{FF2B5EF4-FFF2-40B4-BE49-F238E27FC236}">
              <a16:creationId xmlns:a16="http://schemas.microsoft.com/office/drawing/2014/main" id="{CAAD6079-3AA5-451E-A9E7-2EB58AF412E6}"/>
            </a:ext>
          </a:extLst>
        </xdr:cNvPr>
        <xdr:cNvGrpSpPr/>
      </xdr:nvGrpSpPr>
      <xdr:grpSpPr>
        <a:xfrm>
          <a:off x="1398693" y="3177540"/>
          <a:ext cx="2947713" cy="3002280"/>
          <a:chOff x="2065020" y="2948940"/>
          <a:chExt cx="2887980" cy="2743200"/>
        </a:xfrm>
      </xdr:grpSpPr>
      <xdr:sp macro="" textlink="">
        <xdr:nvSpPr>
          <xdr:cNvPr id="117" name="Circle: Hollow 116">
            <a:extLst>
              <a:ext uri="{FF2B5EF4-FFF2-40B4-BE49-F238E27FC236}">
                <a16:creationId xmlns:a16="http://schemas.microsoft.com/office/drawing/2014/main" id="{978435B5-2B68-05FE-D63D-842056FDD78C}"/>
              </a:ext>
            </a:extLst>
          </xdr:cNvPr>
          <xdr:cNvSpPr/>
        </xdr:nvSpPr>
        <xdr:spPr>
          <a:xfrm>
            <a:off x="2616382" y="3414963"/>
            <a:ext cx="1828800" cy="1812758"/>
          </a:xfrm>
          <a:prstGeom prst="donut">
            <a:avLst>
              <a:gd name="adj" fmla="val 14486"/>
            </a:avLst>
          </a:prstGeom>
          <a:solidFill>
            <a:srgbClr val="0320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18" name="Chart 117">
            <a:extLst>
              <a:ext uri="{FF2B5EF4-FFF2-40B4-BE49-F238E27FC236}">
                <a16:creationId xmlns:a16="http://schemas.microsoft.com/office/drawing/2014/main" id="{72180D2F-3513-8F66-E8E4-3E28E37B0F0C}"/>
              </a:ext>
            </a:extLst>
          </xdr:cNvPr>
          <xdr:cNvGraphicFramePr>
            <a:graphicFrameLocks/>
          </xdr:cNvGraphicFramePr>
        </xdr:nvGraphicFramePr>
        <xdr:xfrm>
          <a:off x="2065020" y="2948940"/>
          <a:ext cx="288798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233197</xdr:colOff>
      <xdr:row>23</xdr:row>
      <xdr:rowOff>35951</xdr:rowOff>
    </xdr:from>
    <xdr:to>
      <xdr:col>6</xdr:col>
      <xdr:colOff>117323</xdr:colOff>
      <xdr:row>25</xdr:row>
      <xdr:rowOff>116449</xdr:rowOff>
    </xdr:to>
    <xdr:sp macro="" textlink="Processing!B12">
      <xdr:nvSpPr>
        <xdr:cNvPr id="119" name="TextBox 118">
          <a:extLst>
            <a:ext uri="{FF2B5EF4-FFF2-40B4-BE49-F238E27FC236}">
              <a16:creationId xmlns:a16="http://schemas.microsoft.com/office/drawing/2014/main" id="{07437764-55BE-D0B2-95EE-7742DFCCE8E2}"/>
            </a:ext>
          </a:extLst>
        </xdr:cNvPr>
        <xdr:cNvSpPr txBox="1"/>
      </xdr:nvSpPr>
      <xdr:spPr>
        <a:xfrm>
          <a:off x="2061997" y="4242191"/>
          <a:ext cx="1712926"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1E711-BC4F-454C-9317-2794E647F3F8}" type="TxLink">
            <a:rPr lang="en-US" sz="1800" b="0" i="0" u="none" strike="noStrike">
              <a:solidFill>
                <a:schemeClr val="bg1"/>
              </a:solidFill>
              <a:latin typeface="Aptos Narrow"/>
              <a:ea typeface="+mn-ea"/>
              <a:cs typeface="+mn-cs"/>
            </a:rPr>
            <a:pPr marL="0" indent="0" algn="ctr"/>
            <a:t> $17,76,920 </a:t>
          </a:fld>
          <a:endParaRPr lang="ru-RU" sz="4000" b="0" i="0" u="none" strike="noStrike">
            <a:solidFill>
              <a:schemeClr val="bg1"/>
            </a:solidFill>
            <a:latin typeface="Aptos Narrow"/>
            <a:ea typeface="+mn-ea"/>
            <a:cs typeface="+mn-cs"/>
          </a:endParaRPr>
        </a:p>
      </xdr:txBody>
    </xdr:sp>
    <xdr:clientData/>
  </xdr:twoCellAnchor>
  <xdr:twoCellAnchor>
    <xdr:from>
      <xdr:col>15</xdr:col>
      <xdr:colOff>213360</xdr:colOff>
      <xdr:row>14</xdr:row>
      <xdr:rowOff>121920</xdr:rowOff>
    </xdr:from>
    <xdr:to>
      <xdr:col>18</xdr:col>
      <xdr:colOff>22860</xdr:colOff>
      <xdr:row>16</xdr:row>
      <xdr:rowOff>91440</xdr:rowOff>
    </xdr:to>
    <xdr:sp macro="" textlink="Processing!B33">
      <xdr:nvSpPr>
        <xdr:cNvPr id="120" name="TextBox 119">
          <a:extLst>
            <a:ext uri="{FF2B5EF4-FFF2-40B4-BE49-F238E27FC236}">
              <a16:creationId xmlns:a16="http://schemas.microsoft.com/office/drawing/2014/main" id="{3E179BBF-4E83-2DA8-2148-3F9A8D3755EC}"/>
            </a:ext>
          </a:extLst>
        </xdr:cNvPr>
        <xdr:cNvSpPr txBox="1"/>
      </xdr:nvSpPr>
      <xdr:spPr>
        <a:xfrm>
          <a:off x="9357360" y="2682240"/>
          <a:ext cx="16383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834D262-6800-4EE4-820D-3C4D514181F4}" type="TxLink">
            <a:rPr lang="en-US" sz="1800" b="0" i="0" u="none" strike="noStrike">
              <a:gradFill>
                <a:gsLst>
                  <a:gs pos="0">
                    <a:srgbClr val="178BFF"/>
                  </a:gs>
                  <a:gs pos="100000">
                    <a:srgbClr val="8BDBFF"/>
                  </a:gs>
                </a:gsLst>
                <a:lin ang="5400000" scaled="0"/>
              </a:gradFill>
              <a:latin typeface="Aptos Narrow"/>
              <a:ea typeface="+mn-ea"/>
              <a:cs typeface="+mn-cs"/>
            </a:rPr>
            <a:pPr marL="0" indent="0"/>
            <a:t> $10,29,810 </a:t>
          </a:fld>
          <a:endParaRPr lang="ru-RU" sz="2400" b="0" i="0" u="none" strike="noStrike">
            <a:gradFill>
              <a:gsLst>
                <a:gs pos="0">
                  <a:srgbClr val="178BFF"/>
                </a:gs>
                <a:gs pos="100000">
                  <a:srgbClr val="8BDBFF"/>
                </a:gs>
              </a:gsLst>
              <a:lin ang="5400000" scaled="0"/>
            </a:gradFill>
            <a:latin typeface="Aptos Narrow"/>
            <a:ea typeface="+mn-ea"/>
            <a:cs typeface="+mn-cs"/>
          </a:endParaRPr>
        </a:p>
      </xdr:txBody>
    </xdr:sp>
    <xdr:clientData/>
  </xdr:twoCellAnchor>
  <xdr:twoCellAnchor>
    <xdr:from>
      <xdr:col>17</xdr:col>
      <xdr:colOff>251460</xdr:colOff>
      <xdr:row>14</xdr:row>
      <xdr:rowOff>121920</xdr:rowOff>
    </xdr:from>
    <xdr:to>
      <xdr:col>19</xdr:col>
      <xdr:colOff>464820</xdr:colOff>
      <xdr:row>16</xdr:row>
      <xdr:rowOff>91440</xdr:rowOff>
    </xdr:to>
    <xdr:sp macro="" textlink="Processing!B34">
      <xdr:nvSpPr>
        <xdr:cNvPr id="121" name="TextBox 120">
          <a:extLst>
            <a:ext uri="{FF2B5EF4-FFF2-40B4-BE49-F238E27FC236}">
              <a16:creationId xmlns:a16="http://schemas.microsoft.com/office/drawing/2014/main" id="{92AF771B-1676-4B50-9FBA-353777A9B51C}"/>
            </a:ext>
          </a:extLst>
        </xdr:cNvPr>
        <xdr:cNvSpPr txBox="1"/>
      </xdr:nvSpPr>
      <xdr:spPr>
        <a:xfrm>
          <a:off x="10614660" y="2682240"/>
          <a:ext cx="14325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45588F8-5CDE-4A2F-BDCB-8FF3933A6D33}" type="TxLink">
            <a:rPr lang="en-US" sz="1800" b="0" i="0" u="none" strike="noStrike">
              <a:gradFill>
                <a:gsLst>
                  <a:gs pos="100000">
                    <a:srgbClr val="CBBDFF"/>
                  </a:gs>
                  <a:gs pos="0">
                    <a:srgbClr val="673FFF"/>
                  </a:gs>
                </a:gsLst>
                <a:lin ang="5400000" scaled="0"/>
              </a:gradFill>
              <a:latin typeface="Aptos Narrow"/>
              <a:ea typeface="+mn-ea"/>
              <a:cs typeface="+mn-cs"/>
            </a:rPr>
            <a:pPr marL="0" indent="0"/>
            <a:t> $7,47,110 </a:t>
          </a:fld>
          <a:endParaRPr lang="ru-RU" sz="2400" b="0" i="0" u="none" strike="noStrike">
            <a:gradFill>
              <a:gsLst>
                <a:gs pos="100000">
                  <a:srgbClr val="CBBDFF"/>
                </a:gs>
                <a:gs pos="0">
                  <a:srgbClr val="673FFF"/>
                </a:gs>
              </a:gsLst>
              <a:lin ang="5400000" scaled="0"/>
            </a:gradFill>
            <a:latin typeface="Aptos Narrow"/>
            <a:ea typeface="+mn-ea"/>
            <a:cs typeface="+mn-cs"/>
          </a:endParaRPr>
        </a:p>
      </xdr:txBody>
    </xdr:sp>
    <xdr:clientData/>
  </xdr:twoCellAnchor>
  <xdr:twoCellAnchor>
    <xdr:from>
      <xdr:col>14</xdr:col>
      <xdr:colOff>53340</xdr:colOff>
      <xdr:row>14</xdr:row>
      <xdr:rowOff>129540</xdr:rowOff>
    </xdr:from>
    <xdr:to>
      <xdr:col>15</xdr:col>
      <xdr:colOff>236220</xdr:colOff>
      <xdr:row>16</xdr:row>
      <xdr:rowOff>99060</xdr:rowOff>
    </xdr:to>
    <xdr:sp macro="" textlink="Processing!B32">
      <xdr:nvSpPr>
        <xdr:cNvPr id="122" name="TextBox 121">
          <a:extLst>
            <a:ext uri="{FF2B5EF4-FFF2-40B4-BE49-F238E27FC236}">
              <a16:creationId xmlns:a16="http://schemas.microsoft.com/office/drawing/2014/main" id="{0788FFF6-110F-7228-5118-BA9EF27D59DC}"/>
            </a:ext>
          </a:extLst>
        </xdr:cNvPr>
        <xdr:cNvSpPr txBox="1"/>
      </xdr:nvSpPr>
      <xdr:spPr>
        <a:xfrm>
          <a:off x="8587740" y="268986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209358D-7455-4D28-A32B-B9B0EB38B2E4}" type="TxLink">
            <a:rPr lang="en-US" sz="1800" b="0" i="0" u="none" strike="noStrike">
              <a:gradFill>
                <a:gsLst>
                  <a:gs pos="9000">
                    <a:srgbClr val="FFE202"/>
                  </a:gs>
                  <a:gs pos="100000">
                    <a:srgbClr val="FD447E"/>
                  </a:gs>
                </a:gsLst>
                <a:lin ang="5400000" scaled="1"/>
              </a:gradFill>
              <a:latin typeface="Aptos Narrow"/>
              <a:ea typeface="+mn-ea"/>
              <a:cs typeface="+mn-cs"/>
            </a:rPr>
            <a:pPr marL="0" indent="0"/>
            <a:t>65%</a:t>
          </a:fld>
          <a:endParaRPr lang="ru-RU" sz="2400" b="0" i="0" u="none" strike="noStrike">
            <a:gradFill>
              <a:gsLst>
                <a:gs pos="9000">
                  <a:srgbClr val="FFE202"/>
                </a:gs>
                <a:gs pos="100000">
                  <a:srgbClr val="FD447E"/>
                </a:gs>
              </a:gsLst>
              <a:lin ang="5400000" scaled="1"/>
            </a:gradFill>
            <a:latin typeface="Aptos Narrow"/>
            <a:ea typeface="+mn-ea"/>
            <a:cs typeface="+mn-cs"/>
          </a:endParaRPr>
        </a:p>
      </xdr:txBody>
    </xdr:sp>
    <xdr:clientData/>
  </xdr:twoCellAnchor>
  <xdr:twoCellAnchor>
    <xdr:from>
      <xdr:col>5</xdr:col>
      <xdr:colOff>480060</xdr:colOff>
      <xdr:row>1</xdr:row>
      <xdr:rowOff>53340</xdr:rowOff>
    </xdr:from>
    <xdr:to>
      <xdr:col>7</xdr:col>
      <xdr:colOff>327660</xdr:colOff>
      <xdr:row>3</xdr:row>
      <xdr:rowOff>22860</xdr:rowOff>
    </xdr:to>
    <xdr:sp macro="" textlink="Processing!I28">
      <xdr:nvSpPr>
        <xdr:cNvPr id="123" name="TextBox 122">
          <a:extLst>
            <a:ext uri="{FF2B5EF4-FFF2-40B4-BE49-F238E27FC236}">
              <a16:creationId xmlns:a16="http://schemas.microsoft.com/office/drawing/2014/main" id="{F9FFB212-7B86-103E-9A74-C05BA8B3FD20}"/>
            </a:ext>
          </a:extLst>
        </xdr:cNvPr>
        <xdr:cNvSpPr txBox="1"/>
      </xdr:nvSpPr>
      <xdr:spPr>
        <a:xfrm>
          <a:off x="3528060" y="236220"/>
          <a:ext cx="1066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2F20E4-D6FE-4CFF-B691-D7E4B4E8E131}" type="TxLink">
            <a:rPr lang="en-US" sz="1400" b="0" i="0" u="none" strike="noStrike">
              <a:gradFill>
                <a:gsLst>
                  <a:gs pos="100000">
                    <a:srgbClr val="00E8C1"/>
                  </a:gs>
                  <a:gs pos="0">
                    <a:srgbClr val="0795D3"/>
                  </a:gs>
                </a:gsLst>
                <a:lin ang="5400000" scaled="1"/>
              </a:gradFill>
              <a:latin typeface="Aptos Narrow"/>
              <a:ea typeface="+mn-ea"/>
              <a:cs typeface="+mn-cs"/>
            </a:rPr>
            <a:pPr marL="0" indent="0"/>
            <a:t> $3,38,475 </a:t>
          </a:fld>
          <a:endParaRPr lang="ru-RU" sz="3200" b="0" i="0" u="none" strike="noStrike">
            <a:gradFill>
              <a:gsLst>
                <a:gs pos="100000">
                  <a:srgbClr val="00E8C1"/>
                </a:gs>
                <a:gs pos="0">
                  <a:srgbClr val="0795D3"/>
                </a:gs>
              </a:gsLst>
              <a:lin ang="5400000" scaled="1"/>
            </a:gradFill>
            <a:latin typeface="Aptos Narrow"/>
            <a:ea typeface="+mn-ea"/>
            <a:cs typeface="+mn-cs"/>
          </a:endParaRPr>
        </a:p>
      </xdr:txBody>
    </xdr:sp>
    <xdr:clientData/>
  </xdr:twoCellAnchor>
  <xdr:twoCellAnchor>
    <xdr:from>
      <xdr:col>7</xdr:col>
      <xdr:colOff>373380</xdr:colOff>
      <xdr:row>1</xdr:row>
      <xdr:rowOff>53340</xdr:rowOff>
    </xdr:from>
    <xdr:to>
      <xdr:col>9</xdr:col>
      <xdr:colOff>220980</xdr:colOff>
      <xdr:row>3</xdr:row>
      <xdr:rowOff>22860</xdr:rowOff>
    </xdr:to>
    <xdr:sp macro="" textlink="Processing!J28">
      <xdr:nvSpPr>
        <xdr:cNvPr id="124" name="TextBox 123">
          <a:extLst>
            <a:ext uri="{FF2B5EF4-FFF2-40B4-BE49-F238E27FC236}">
              <a16:creationId xmlns:a16="http://schemas.microsoft.com/office/drawing/2014/main" id="{324D192F-F5AE-10F5-A6E0-CA7F75DE78CA}"/>
            </a:ext>
          </a:extLst>
        </xdr:cNvPr>
        <xdr:cNvSpPr txBox="1"/>
      </xdr:nvSpPr>
      <xdr:spPr>
        <a:xfrm>
          <a:off x="4640580" y="236220"/>
          <a:ext cx="1066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7892DBF-0189-49EF-A234-2E4F42BED563}" type="TxLink">
            <a:rPr lang="en-US" sz="1400" b="0" i="0" u="none" strike="noStrike">
              <a:gradFill>
                <a:gsLst>
                  <a:gs pos="0">
                    <a:srgbClr val="680071"/>
                  </a:gs>
                  <a:gs pos="88000">
                    <a:srgbClr val="FF6CFF"/>
                  </a:gs>
                </a:gsLst>
                <a:lin ang="5400000" scaled="1"/>
              </a:gradFill>
              <a:latin typeface="Aptos Narrow"/>
              <a:ea typeface="+mn-ea"/>
              <a:cs typeface="+mn-cs"/>
            </a:rPr>
            <a:pPr marL="0" indent="0"/>
            <a:t> $1,79,800 </a:t>
          </a:fld>
          <a:endParaRPr lang="ru-RU" sz="4000" b="0" i="0" u="none" strike="noStrike">
            <a:gradFill>
              <a:gsLst>
                <a:gs pos="0">
                  <a:srgbClr val="680071"/>
                </a:gs>
                <a:gs pos="88000">
                  <a:srgbClr val="FF6CFF"/>
                </a:gs>
              </a:gsLst>
              <a:lin ang="5400000" scaled="1"/>
            </a:gradFill>
            <a:latin typeface="Aptos Narrow"/>
            <a:ea typeface="+mn-ea"/>
            <a:cs typeface="+mn-cs"/>
          </a:endParaRPr>
        </a:p>
      </xdr:txBody>
    </xdr:sp>
    <xdr:clientData/>
  </xdr:twoCellAnchor>
  <xdr:twoCellAnchor>
    <xdr:from>
      <xdr:col>7</xdr:col>
      <xdr:colOff>228600</xdr:colOff>
      <xdr:row>20</xdr:row>
      <xdr:rowOff>15240</xdr:rowOff>
    </xdr:from>
    <xdr:to>
      <xdr:col>7</xdr:col>
      <xdr:colOff>411480</xdr:colOff>
      <xdr:row>21</xdr:row>
      <xdr:rowOff>15240</xdr:rowOff>
    </xdr:to>
    <xdr:sp macro="" textlink="">
      <xdr:nvSpPr>
        <xdr:cNvPr id="125" name="Oval 124">
          <a:extLst>
            <a:ext uri="{FF2B5EF4-FFF2-40B4-BE49-F238E27FC236}">
              <a16:creationId xmlns:a16="http://schemas.microsoft.com/office/drawing/2014/main" id="{E68A8976-34BD-72AC-B291-277239115DAF}"/>
            </a:ext>
          </a:extLst>
        </xdr:cNvPr>
        <xdr:cNvSpPr/>
      </xdr:nvSpPr>
      <xdr:spPr>
        <a:xfrm>
          <a:off x="4495800" y="3672840"/>
          <a:ext cx="182880" cy="182880"/>
        </a:xfrm>
        <a:prstGeom prst="ellipse">
          <a:avLst/>
        </a:prstGeom>
        <a:noFill/>
        <a:ln>
          <a:solidFill>
            <a:srgbClr val="72F3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21</xdr:row>
      <xdr:rowOff>113259</xdr:rowOff>
    </xdr:from>
    <xdr:to>
      <xdr:col>7</xdr:col>
      <xdr:colOff>411480</xdr:colOff>
      <xdr:row>22</xdr:row>
      <xdr:rowOff>113259</xdr:rowOff>
    </xdr:to>
    <xdr:sp macro="" textlink="">
      <xdr:nvSpPr>
        <xdr:cNvPr id="126" name="Oval 125">
          <a:extLst>
            <a:ext uri="{FF2B5EF4-FFF2-40B4-BE49-F238E27FC236}">
              <a16:creationId xmlns:a16="http://schemas.microsoft.com/office/drawing/2014/main" id="{24DE9EF2-711A-21AE-B65C-31B76D3D3D0B}"/>
            </a:ext>
          </a:extLst>
        </xdr:cNvPr>
        <xdr:cNvSpPr/>
      </xdr:nvSpPr>
      <xdr:spPr>
        <a:xfrm>
          <a:off x="4495800" y="3953739"/>
          <a:ext cx="182880" cy="182880"/>
        </a:xfrm>
        <a:prstGeom prst="ellipse">
          <a:avLst/>
        </a:prstGeom>
        <a:noFill/>
        <a:ln>
          <a:solidFill>
            <a:srgbClr val="F968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23</xdr:row>
      <xdr:rowOff>28398</xdr:rowOff>
    </xdr:from>
    <xdr:to>
      <xdr:col>7</xdr:col>
      <xdr:colOff>411480</xdr:colOff>
      <xdr:row>24</xdr:row>
      <xdr:rowOff>28398</xdr:rowOff>
    </xdr:to>
    <xdr:sp macro="" textlink="">
      <xdr:nvSpPr>
        <xdr:cNvPr id="127" name="Oval 126">
          <a:extLst>
            <a:ext uri="{FF2B5EF4-FFF2-40B4-BE49-F238E27FC236}">
              <a16:creationId xmlns:a16="http://schemas.microsoft.com/office/drawing/2014/main" id="{B720E761-FBD3-E8B0-45FC-1FD462A5E905}"/>
            </a:ext>
          </a:extLst>
        </xdr:cNvPr>
        <xdr:cNvSpPr/>
      </xdr:nvSpPr>
      <xdr:spPr>
        <a:xfrm>
          <a:off x="4495800" y="4234638"/>
          <a:ext cx="182880" cy="182880"/>
        </a:xfrm>
        <a:prstGeom prst="ellipse">
          <a:avLst/>
        </a:prstGeom>
        <a:noFill/>
        <a:ln>
          <a:solidFill>
            <a:srgbClr val="6B4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24</xdr:row>
      <xdr:rowOff>126417</xdr:rowOff>
    </xdr:from>
    <xdr:to>
      <xdr:col>7</xdr:col>
      <xdr:colOff>411480</xdr:colOff>
      <xdr:row>25</xdr:row>
      <xdr:rowOff>126417</xdr:rowOff>
    </xdr:to>
    <xdr:sp macro="" textlink="">
      <xdr:nvSpPr>
        <xdr:cNvPr id="128" name="Oval 127">
          <a:extLst>
            <a:ext uri="{FF2B5EF4-FFF2-40B4-BE49-F238E27FC236}">
              <a16:creationId xmlns:a16="http://schemas.microsoft.com/office/drawing/2014/main" id="{5C2CBD53-6F97-5998-ECCC-D5459891A6CD}"/>
            </a:ext>
          </a:extLst>
        </xdr:cNvPr>
        <xdr:cNvSpPr/>
      </xdr:nvSpPr>
      <xdr:spPr>
        <a:xfrm>
          <a:off x="4495800" y="4515537"/>
          <a:ext cx="182880" cy="182880"/>
        </a:xfrm>
        <a:prstGeom prst="ellipse">
          <a:avLst/>
        </a:prstGeom>
        <a:noFill/>
        <a:ln>
          <a:solidFill>
            <a:srgbClr val="0EA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26</xdr:row>
      <xdr:rowOff>41556</xdr:rowOff>
    </xdr:from>
    <xdr:to>
      <xdr:col>7</xdr:col>
      <xdr:colOff>411480</xdr:colOff>
      <xdr:row>27</xdr:row>
      <xdr:rowOff>41556</xdr:rowOff>
    </xdr:to>
    <xdr:sp macro="" textlink="">
      <xdr:nvSpPr>
        <xdr:cNvPr id="129" name="Oval 128">
          <a:extLst>
            <a:ext uri="{FF2B5EF4-FFF2-40B4-BE49-F238E27FC236}">
              <a16:creationId xmlns:a16="http://schemas.microsoft.com/office/drawing/2014/main" id="{CBF594BD-B433-F82B-20BD-3D7B785039CF}"/>
            </a:ext>
          </a:extLst>
        </xdr:cNvPr>
        <xdr:cNvSpPr/>
      </xdr:nvSpPr>
      <xdr:spPr>
        <a:xfrm>
          <a:off x="4495800" y="4796436"/>
          <a:ext cx="182880" cy="182880"/>
        </a:xfrm>
        <a:prstGeom prst="ellipse">
          <a:avLst/>
        </a:prstGeom>
        <a:noFill/>
        <a:ln>
          <a:solidFill>
            <a:srgbClr val="00608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27</xdr:row>
      <xdr:rowOff>139575</xdr:rowOff>
    </xdr:from>
    <xdr:to>
      <xdr:col>7</xdr:col>
      <xdr:colOff>411480</xdr:colOff>
      <xdr:row>28</xdr:row>
      <xdr:rowOff>139576</xdr:rowOff>
    </xdr:to>
    <xdr:sp macro="" textlink="">
      <xdr:nvSpPr>
        <xdr:cNvPr id="130" name="Oval 129">
          <a:extLst>
            <a:ext uri="{FF2B5EF4-FFF2-40B4-BE49-F238E27FC236}">
              <a16:creationId xmlns:a16="http://schemas.microsoft.com/office/drawing/2014/main" id="{637452D6-5A7D-58DD-EEFB-2E14817D23F4}"/>
            </a:ext>
          </a:extLst>
        </xdr:cNvPr>
        <xdr:cNvSpPr/>
      </xdr:nvSpPr>
      <xdr:spPr>
        <a:xfrm>
          <a:off x="4495800" y="5077335"/>
          <a:ext cx="182880" cy="182881"/>
        </a:xfrm>
        <a:prstGeom prst="ellipse">
          <a:avLst/>
        </a:prstGeom>
        <a:noFill/>
        <a:ln>
          <a:solidFill>
            <a:srgbClr val="FFC2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29</xdr:row>
      <xdr:rowOff>54715</xdr:rowOff>
    </xdr:from>
    <xdr:to>
      <xdr:col>7</xdr:col>
      <xdr:colOff>411480</xdr:colOff>
      <xdr:row>30</xdr:row>
      <xdr:rowOff>54715</xdr:rowOff>
    </xdr:to>
    <xdr:sp macro="" textlink="">
      <xdr:nvSpPr>
        <xdr:cNvPr id="131" name="Oval 130">
          <a:extLst>
            <a:ext uri="{FF2B5EF4-FFF2-40B4-BE49-F238E27FC236}">
              <a16:creationId xmlns:a16="http://schemas.microsoft.com/office/drawing/2014/main" id="{A8A68FAF-0187-9DE9-60D7-39BFDD410209}"/>
            </a:ext>
          </a:extLst>
        </xdr:cNvPr>
        <xdr:cNvSpPr/>
      </xdr:nvSpPr>
      <xdr:spPr>
        <a:xfrm>
          <a:off x="4495800" y="5358235"/>
          <a:ext cx="182880" cy="182880"/>
        </a:xfrm>
        <a:prstGeom prst="ellipse">
          <a:avLst/>
        </a:prstGeom>
        <a:noFill/>
        <a:ln>
          <a:solidFill>
            <a:srgbClr val="04D8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228600</xdr:colOff>
      <xdr:row>30</xdr:row>
      <xdr:rowOff>152732</xdr:rowOff>
    </xdr:from>
    <xdr:to>
      <xdr:col>7</xdr:col>
      <xdr:colOff>411480</xdr:colOff>
      <xdr:row>31</xdr:row>
      <xdr:rowOff>152733</xdr:rowOff>
    </xdr:to>
    <xdr:sp macro="" textlink="">
      <xdr:nvSpPr>
        <xdr:cNvPr id="132" name="Oval 131">
          <a:extLst>
            <a:ext uri="{FF2B5EF4-FFF2-40B4-BE49-F238E27FC236}">
              <a16:creationId xmlns:a16="http://schemas.microsoft.com/office/drawing/2014/main" id="{C43AC859-C779-B51F-8652-6BD4D14DC992}"/>
            </a:ext>
          </a:extLst>
        </xdr:cNvPr>
        <xdr:cNvSpPr/>
      </xdr:nvSpPr>
      <xdr:spPr>
        <a:xfrm>
          <a:off x="4495800" y="5639132"/>
          <a:ext cx="182880" cy="182881"/>
        </a:xfrm>
        <a:prstGeom prst="ellipse">
          <a:avLst/>
        </a:prstGeom>
        <a:noFill/>
        <a:ln>
          <a:solidFill>
            <a:srgbClr val="5A9A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190500</xdr:colOff>
      <xdr:row>14</xdr:row>
      <xdr:rowOff>83820</xdr:rowOff>
    </xdr:from>
    <xdr:to>
      <xdr:col>9</xdr:col>
      <xdr:colOff>101600</xdr:colOff>
      <xdr:row>16</xdr:row>
      <xdr:rowOff>130629</xdr:rowOff>
    </xdr:to>
    <xdr:sp macro="" textlink="Processing!B13">
      <xdr:nvSpPr>
        <xdr:cNvPr id="2" name="TextBox 1">
          <a:extLst>
            <a:ext uri="{FF2B5EF4-FFF2-40B4-BE49-F238E27FC236}">
              <a16:creationId xmlns:a16="http://schemas.microsoft.com/office/drawing/2014/main" id="{7AA6EB4E-9D94-5546-AC3C-4F6E4941D0B1}"/>
            </a:ext>
          </a:extLst>
        </xdr:cNvPr>
        <xdr:cNvSpPr txBox="1"/>
      </xdr:nvSpPr>
      <xdr:spPr>
        <a:xfrm>
          <a:off x="4457700" y="2623820"/>
          <a:ext cx="1130300" cy="409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D2CAA82D-2799-4F2D-8E07-CAF01412FBE0}" type="TxLink">
            <a:rPr lang="en-US" sz="1800" b="0" i="0" u="none" strike="noStrike">
              <a:solidFill>
                <a:srgbClr val="5A9ACC"/>
              </a:solidFill>
              <a:latin typeface="Aptos Narrow"/>
              <a:ea typeface="+mn-ea"/>
              <a:cs typeface="+mn-cs"/>
            </a:rPr>
            <a:pPr marL="0" indent="0"/>
            <a:t> $17,76,920 </a:t>
          </a:fld>
          <a:endParaRPr lang="ru-RU" sz="2400" b="0" i="0" u="none" strike="noStrike">
            <a:solidFill>
              <a:srgbClr val="5A9ACC"/>
            </a:solidFill>
            <a:latin typeface="Aptos Narrow"/>
            <a:ea typeface="+mn-ea"/>
            <a:cs typeface="+mn-cs"/>
          </a:endParaRPr>
        </a:p>
      </xdr:txBody>
    </xdr:sp>
    <xdr:clientData/>
  </xdr:twoCellAnchor>
  <xdr:twoCellAnchor>
    <xdr:from>
      <xdr:col>18</xdr:col>
      <xdr:colOff>446374</xdr:colOff>
      <xdr:row>14</xdr:row>
      <xdr:rowOff>30480</xdr:rowOff>
    </xdr:from>
    <xdr:to>
      <xdr:col>21</xdr:col>
      <xdr:colOff>272446</xdr:colOff>
      <xdr:row>16</xdr:row>
      <xdr:rowOff>77289</xdr:rowOff>
    </xdr:to>
    <xdr:sp macro="" textlink="Processing!B35">
      <xdr:nvSpPr>
        <xdr:cNvPr id="15" name="TextBox 14">
          <a:extLst>
            <a:ext uri="{FF2B5EF4-FFF2-40B4-BE49-F238E27FC236}">
              <a16:creationId xmlns:a16="http://schemas.microsoft.com/office/drawing/2014/main" id="{DB36BAD1-1CD0-5A42-1996-FC01C03C9C88}"/>
            </a:ext>
          </a:extLst>
        </xdr:cNvPr>
        <xdr:cNvSpPr txBox="1"/>
      </xdr:nvSpPr>
      <xdr:spPr>
        <a:xfrm>
          <a:off x="11419174" y="2590800"/>
          <a:ext cx="1654872" cy="412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C8EDADCB-582E-4FE1-B663-7728D974E0A9}" type="TxLink">
            <a:rPr lang="en-US" sz="1800" b="0" i="0" u="none" strike="noStrike">
              <a:solidFill>
                <a:srgbClr val="5A9ACC"/>
              </a:solidFill>
              <a:latin typeface="Aptos Narrow"/>
              <a:ea typeface="+mn-ea"/>
              <a:cs typeface="+mn-cs"/>
            </a:rPr>
            <a:pPr marL="0" indent="0" algn="r"/>
            <a:t> $69,00,100 </a:t>
          </a:fld>
          <a:endParaRPr lang="ru-RU" sz="1800" b="0" i="0" u="none" strike="noStrike">
            <a:solidFill>
              <a:srgbClr val="5A9ACC"/>
            </a:solidFill>
            <a:latin typeface="Aptos Narrow"/>
            <a:ea typeface="+mn-ea"/>
            <a:cs typeface="+mn-cs"/>
          </a:endParaRPr>
        </a:p>
      </xdr:txBody>
    </xdr:sp>
    <xdr:clientData/>
  </xdr:twoCellAnchor>
  <xdr:twoCellAnchor>
    <xdr:from>
      <xdr:col>15</xdr:col>
      <xdr:colOff>141387</xdr:colOff>
      <xdr:row>15</xdr:row>
      <xdr:rowOff>144780</xdr:rowOff>
    </xdr:from>
    <xdr:to>
      <xdr:col>17</xdr:col>
      <xdr:colOff>209133</xdr:colOff>
      <xdr:row>17</xdr:row>
      <xdr:rowOff>114300</xdr:rowOff>
    </xdr:to>
    <xdr:sp macro="" textlink="Processing!I15">
      <xdr:nvSpPr>
        <xdr:cNvPr id="16" name="TextBox 15">
          <a:extLst>
            <a:ext uri="{FF2B5EF4-FFF2-40B4-BE49-F238E27FC236}">
              <a16:creationId xmlns:a16="http://schemas.microsoft.com/office/drawing/2014/main" id="{B4BE8084-0C29-4CF1-0B71-682DFD9FE465}"/>
            </a:ext>
          </a:extLst>
        </xdr:cNvPr>
        <xdr:cNvSpPr txBox="1"/>
      </xdr:nvSpPr>
      <xdr:spPr>
        <a:xfrm>
          <a:off x="9285387" y="2887980"/>
          <a:ext cx="1286946"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45AEA7-DA5A-4E8C-974F-E90FE9CD226D}" type="TxLink">
            <a:rPr lang="en-US" sz="1100" b="0" i="0" u="none" strike="noStrike">
              <a:solidFill>
                <a:schemeClr val="bg1">
                  <a:lumMod val="85000"/>
                </a:schemeClr>
              </a:solidFill>
              <a:latin typeface="Aptos Narrow"/>
              <a:ea typeface="+mn-ea"/>
              <a:cs typeface="+mn-cs"/>
            </a:rPr>
            <a:pPr marL="0" indent="0" algn="ctr"/>
            <a:t>Base Salary</a:t>
          </a:fld>
          <a:endParaRPr lang="ru-RU" sz="1400" b="0" i="0" u="none" strike="noStrike">
            <a:solidFill>
              <a:schemeClr val="bg1">
                <a:lumMod val="85000"/>
              </a:schemeClr>
            </a:solidFill>
            <a:latin typeface="Aptos Narrow"/>
            <a:ea typeface="+mn-ea"/>
            <a:cs typeface="+mn-cs"/>
          </a:endParaRPr>
        </a:p>
      </xdr:txBody>
    </xdr:sp>
    <xdr:clientData/>
  </xdr:twoCellAnchor>
  <xdr:twoCellAnchor>
    <xdr:from>
      <xdr:col>17</xdr:col>
      <xdr:colOff>217587</xdr:colOff>
      <xdr:row>15</xdr:row>
      <xdr:rowOff>144780</xdr:rowOff>
    </xdr:from>
    <xdr:to>
      <xdr:col>19</xdr:col>
      <xdr:colOff>285333</xdr:colOff>
      <xdr:row>17</xdr:row>
      <xdr:rowOff>114300</xdr:rowOff>
    </xdr:to>
    <xdr:sp macro="" textlink="Processing!J15">
      <xdr:nvSpPr>
        <xdr:cNvPr id="17" name="TextBox 16">
          <a:extLst>
            <a:ext uri="{FF2B5EF4-FFF2-40B4-BE49-F238E27FC236}">
              <a16:creationId xmlns:a16="http://schemas.microsoft.com/office/drawing/2014/main" id="{92A1F1FC-362D-DFED-EFAA-8D1CE36F3744}"/>
            </a:ext>
          </a:extLst>
        </xdr:cNvPr>
        <xdr:cNvSpPr txBox="1"/>
      </xdr:nvSpPr>
      <xdr:spPr>
        <a:xfrm>
          <a:off x="10580787" y="2887980"/>
          <a:ext cx="1286946"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9A7B31-E303-4117-8D2B-0C0E24AA913B}" type="TxLink">
            <a:rPr lang="en-US" sz="1100" b="0" i="0" u="none" strike="noStrike">
              <a:solidFill>
                <a:schemeClr val="bg1">
                  <a:lumMod val="85000"/>
                </a:schemeClr>
              </a:solidFill>
              <a:latin typeface="Aptos Narrow"/>
              <a:ea typeface="+mn-ea"/>
              <a:cs typeface="+mn-cs"/>
            </a:rPr>
            <a:pPr marL="0" indent="0" algn="ctr"/>
            <a:t>Bonuses</a:t>
          </a:fld>
          <a:endParaRPr lang="ru-RU" sz="1400" b="0" i="0" u="none" strike="noStrike">
            <a:solidFill>
              <a:schemeClr val="bg1">
                <a:lumMod val="85000"/>
              </a:schemeClr>
            </a:solidFill>
            <a:latin typeface="Aptos Narrow"/>
            <a:ea typeface="+mn-ea"/>
            <a:cs typeface="+mn-cs"/>
          </a:endParaRPr>
        </a:p>
      </xdr:txBody>
    </xdr:sp>
    <xdr:clientData/>
  </xdr:twoCellAnchor>
  <xdr:twoCellAnchor>
    <xdr:from>
      <xdr:col>14</xdr:col>
      <xdr:colOff>462780</xdr:colOff>
      <xdr:row>5</xdr:row>
      <xdr:rowOff>49644</xdr:rowOff>
    </xdr:from>
    <xdr:to>
      <xdr:col>16</xdr:col>
      <xdr:colOff>307172</xdr:colOff>
      <xdr:row>6</xdr:row>
      <xdr:rowOff>75588</xdr:rowOff>
    </xdr:to>
    <xdr:sp macro="" textlink="Processing!N3">
      <xdr:nvSpPr>
        <xdr:cNvPr id="34" name="TextBox 33">
          <a:extLst>
            <a:ext uri="{FF2B5EF4-FFF2-40B4-BE49-F238E27FC236}">
              <a16:creationId xmlns:a16="http://schemas.microsoft.com/office/drawing/2014/main" id="{C14E67D4-8CA9-CD5C-CDE7-2733BC83EDCB}"/>
            </a:ext>
          </a:extLst>
        </xdr:cNvPr>
        <xdr:cNvSpPr txBox="1"/>
      </xdr:nvSpPr>
      <xdr:spPr>
        <a:xfrm>
          <a:off x="8997180" y="977296"/>
          <a:ext cx="1063592" cy="21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6572B0-CBEA-4F57-9326-809137082223}" type="TxLink">
            <a:rPr lang="en-US" sz="800" b="0" i="0" u="none" strike="noStrike">
              <a:solidFill>
                <a:srgbClr val="00E8C1"/>
              </a:solidFill>
              <a:latin typeface="Aptos Narrow"/>
              <a:ea typeface="+mn-ea"/>
              <a:cs typeface="+mn-cs"/>
            </a:rPr>
            <a:pPr marL="0" indent="0" algn="ctr"/>
            <a:t>Productivity</a:t>
          </a:fld>
          <a:endParaRPr lang="ru-RU" sz="800" b="0" i="0" u="none" strike="noStrike">
            <a:solidFill>
              <a:srgbClr val="00E8C1"/>
            </a:solidFill>
            <a:latin typeface="Aptos Narrow"/>
            <a:ea typeface="+mn-ea"/>
            <a:cs typeface="+mn-cs"/>
          </a:endParaRPr>
        </a:p>
      </xdr:txBody>
    </xdr:sp>
    <xdr:clientData/>
  </xdr:twoCellAnchor>
  <xdr:twoCellAnchor>
    <xdr:from>
      <xdr:col>14</xdr:col>
      <xdr:colOff>462780</xdr:colOff>
      <xdr:row>8</xdr:row>
      <xdr:rowOff>155662</xdr:rowOff>
    </xdr:from>
    <xdr:to>
      <xdr:col>16</xdr:col>
      <xdr:colOff>307172</xdr:colOff>
      <xdr:row>9</xdr:row>
      <xdr:rowOff>181606</xdr:rowOff>
    </xdr:to>
    <xdr:sp macro="" textlink="Processing!N4">
      <xdr:nvSpPr>
        <xdr:cNvPr id="35" name="TextBox 34">
          <a:extLst>
            <a:ext uri="{FF2B5EF4-FFF2-40B4-BE49-F238E27FC236}">
              <a16:creationId xmlns:a16="http://schemas.microsoft.com/office/drawing/2014/main" id="{F9DDBE8E-D5D3-D86C-D029-EF35488E6227}"/>
            </a:ext>
          </a:extLst>
        </xdr:cNvPr>
        <xdr:cNvSpPr txBox="1"/>
      </xdr:nvSpPr>
      <xdr:spPr>
        <a:xfrm>
          <a:off x="8997180" y="1639905"/>
          <a:ext cx="1063592" cy="21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2DF103-95DF-4AA5-B349-525DA75082DA}" type="TxLink">
            <a:rPr lang="en-US" sz="800" b="0" i="0" u="none" strike="noStrike">
              <a:solidFill>
                <a:srgbClr val="673FFF"/>
              </a:solidFill>
              <a:latin typeface="Aptos Narrow"/>
              <a:ea typeface="+mn-ea"/>
              <a:cs typeface="+mn-cs"/>
            </a:rPr>
            <a:pPr marL="0" indent="0" algn="ctr"/>
            <a:t>Satisfaction</a:t>
          </a:fld>
          <a:endParaRPr lang="ru-RU" sz="800" b="0" i="0" u="none" strike="noStrike">
            <a:solidFill>
              <a:srgbClr val="673FFF"/>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7620</xdr:rowOff>
    </xdr:from>
    <xdr:to>
      <xdr:col>3</xdr:col>
      <xdr:colOff>0</xdr:colOff>
      <xdr:row>9</xdr:row>
      <xdr:rowOff>99060</xdr:rowOff>
    </xdr:to>
    <xdr:cxnSp macro="">
      <xdr:nvCxnSpPr>
        <xdr:cNvPr id="5" name="Straight Connector 4">
          <a:extLst>
            <a:ext uri="{FF2B5EF4-FFF2-40B4-BE49-F238E27FC236}">
              <a16:creationId xmlns:a16="http://schemas.microsoft.com/office/drawing/2014/main" id="{990F1535-1C89-B637-AA7F-3257ED123975}"/>
            </a:ext>
          </a:extLst>
        </xdr:cNvPr>
        <xdr:cNvCxnSpPr/>
      </xdr:nvCxnSpPr>
      <xdr:spPr>
        <a:xfrm>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6" name="Straight Connector 5">
          <a:extLst>
            <a:ext uri="{FF2B5EF4-FFF2-40B4-BE49-F238E27FC236}">
              <a16:creationId xmlns:a16="http://schemas.microsoft.com/office/drawing/2014/main" id="{4F3DFB39-DEF2-1ABF-9539-380DEB062015}"/>
            </a:ext>
          </a:extLst>
        </xdr:cNvPr>
        <xdr:cNvCxnSpPr/>
      </xdr:nvCxnSpPr>
      <xdr:spPr>
        <a:xfrm rot="540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7" name="Straight Connector 6">
          <a:extLst>
            <a:ext uri="{FF2B5EF4-FFF2-40B4-BE49-F238E27FC236}">
              <a16:creationId xmlns:a16="http://schemas.microsoft.com/office/drawing/2014/main" id="{072FFB49-7498-C760-7225-670454FEE800}"/>
            </a:ext>
          </a:extLst>
        </xdr:cNvPr>
        <xdr:cNvCxnSpPr/>
      </xdr:nvCxnSpPr>
      <xdr:spPr>
        <a:xfrm rot="270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8" name="Straight Connector 7">
          <a:extLst>
            <a:ext uri="{FF2B5EF4-FFF2-40B4-BE49-F238E27FC236}">
              <a16:creationId xmlns:a16="http://schemas.microsoft.com/office/drawing/2014/main" id="{9268D315-0BC6-D10C-F614-6183540B4C10}"/>
            </a:ext>
          </a:extLst>
        </xdr:cNvPr>
        <xdr:cNvCxnSpPr/>
      </xdr:nvCxnSpPr>
      <xdr:spPr>
        <a:xfrm rot="1890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10" name="Straight Connector 9">
          <a:extLst>
            <a:ext uri="{FF2B5EF4-FFF2-40B4-BE49-F238E27FC236}">
              <a16:creationId xmlns:a16="http://schemas.microsoft.com/office/drawing/2014/main" id="{9EA42CF0-E8DD-6ACE-F015-64BA4A9A0159}"/>
            </a:ext>
          </a:extLst>
        </xdr:cNvPr>
        <xdr:cNvCxnSpPr/>
      </xdr:nvCxnSpPr>
      <xdr:spPr>
        <a:xfrm rot="13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11" name="Straight Connector 10">
          <a:extLst>
            <a:ext uri="{FF2B5EF4-FFF2-40B4-BE49-F238E27FC236}">
              <a16:creationId xmlns:a16="http://schemas.microsoft.com/office/drawing/2014/main" id="{ECEBE063-7C2C-A2C5-38EE-ACF938D0196F}"/>
            </a:ext>
          </a:extLst>
        </xdr:cNvPr>
        <xdr:cNvCxnSpPr/>
      </xdr:nvCxnSpPr>
      <xdr:spPr>
        <a:xfrm rot="67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12" name="Straight Connector 11">
          <a:extLst>
            <a:ext uri="{FF2B5EF4-FFF2-40B4-BE49-F238E27FC236}">
              <a16:creationId xmlns:a16="http://schemas.microsoft.com/office/drawing/2014/main" id="{114869A8-A7D6-FBF1-D43B-C2B29C931FA3}"/>
            </a:ext>
          </a:extLst>
        </xdr:cNvPr>
        <xdr:cNvCxnSpPr/>
      </xdr:nvCxnSpPr>
      <xdr:spPr>
        <a:xfrm rot="40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13" name="Straight Connector 12">
          <a:extLst>
            <a:ext uri="{FF2B5EF4-FFF2-40B4-BE49-F238E27FC236}">
              <a16:creationId xmlns:a16="http://schemas.microsoft.com/office/drawing/2014/main" id="{671BDD7A-8A99-1652-77C6-06AD751D5973}"/>
            </a:ext>
          </a:extLst>
        </xdr:cNvPr>
        <xdr:cNvCxnSpPr/>
      </xdr:nvCxnSpPr>
      <xdr:spPr>
        <a:xfrm rot="202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34" name="Straight Connector 33">
          <a:extLst>
            <a:ext uri="{FF2B5EF4-FFF2-40B4-BE49-F238E27FC236}">
              <a16:creationId xmlns:a16="http://schemas.microsoft.com/office/drawing/2014/main" id="{212CF9BA-BC63-0844-896E-9E23DB1431AC}"/>
            </a:ext>
          </a:extLst>
        </xdr:cNvPr>
        <xdr:cNvCxnSpPr/>
      </xdr:nvCxnSpPr>
      <xdr:spPr>
        <a:xfrm rot="7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35" name="Straight Connector 34">
          <a:extLst>
            <a:ext uri="{FF2B5EF4-FFF2-40B4-BE49-F238E27FC236}">
              <a16:creationId xmlns:a16="http://schemas.microsoft.com/office/drawing/2014/main" id="{341D5C6A-865D-C86A-28A9-A294D6ADCC89}"/>
            </a:ext>
          </a:extLst>
        </xdr:cNvPr>
        <xdr:cNvCxnSpPr/>
      </xdr:nvCxnSpPr>
      <xdr:spPr>
        <a:xfrm rot="61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36" name="Straight Connector 35">
          <a:extLst>
            <a:ext uri="{FF2B5EF4-FFF2-40B4-BE49-F238E27FC236}">
              <a16:creationId xmlns:a16="http://schemas.microsoft.com/office/drawing/2014/main" id="{06AD98C9-6E56-A8E4-462D-408A6F568115}"/>
            </a:ext>
          </a:extLst>
        </xdr:cNvPr>
        <xdr:cNvCxnSpPr/>
      </xdr:nvCxnSpPr>
      <xdr:spPr>
        <a:xfrm rot="34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37" name="Straight Connector 36">
          <a:extLst>
            <a:ext uri="{FF2B5EF4-FFF2-40B4-BE49-F238E27FC236}">
              <a16:creationId xmlns:a16="http://schemas.microsoft.com/office/drawing/2014/main" id="{355583C8-513F-38B6-D83D-4B2267B394B0}"/>
            </a:ext>
          </a:extLst>
        </xdr:cNvPr>
        <xdr:cNvCxnSpPr/>
      </xdr:nvCxnSpPr>
      <xdr:spPr>
        <a:xfrm rot="1962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38" name="Straight Connector 37">
          <a:extLst>
            <a:ext uri="{FF2B5EF4-FFF2-40B4-BE49-F238E27FC236}">
              <a16:creationId xmlns:a16="http://schemas.microsoft.com/office/drawing/2014/main" id="{AABDC06F-97DB-3D34-4772-47C27BAE6953}"/>
            </a:ext>
          </a:extLst>
        </xdr:cNvPr>
        <xdr:cNvCxnSpPr/>
      </xdr:nvCxnSpPr>
      <xdr:spPr>
        <a:xfrm rot="204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39" name="Straight Connector 38">
          <a:extLst>
            <a:ext uri="{FF2B5EF4-FFF2-40B4-BE49-F238E27FC236}">
              <a16:creationId xmlns:a16="http://schemas.microsoft.com/office/drawing/2014/main" id="{26FBBB2E-256D-5150-4D3B-4074A871801D}"/>
            </a:ext>
          </a:extLst>
        </xdr:cNvPr>
        <xdr:cNvCxnSpPr/>
      </xdr:nvCxnSpPr>
      <xdr:spPr>
        <a:xfrm rot="744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xdr:colOff>
      <xdr:row>6</xdr:row>
      <xdr:rowOff>53340</xdr:rowOff>
    </xdr:from>
    <xdr:to>
      <xdr:col>3</xdr:col>
      <xdr:colOff>594360</xdr:colOff>
      <xdr:row>6</xdr:row>
      <xdr:rowOff>53340</xdr:rowOff>
    </xdr:to>
    <xdr:cxnSp macro="">
      <xdr:nvCxnSpPr>
        <xdr:cNvPr id="40" name="Straight Connector 39">
          <a:extLst>
            <a:ext uri="{FF2B5EF4-FFF2-40B4-BE49-F238E27FC236}">
              <a16:creationId xmlns:a16="http://schemas.microsoft.com/office/drawing/2014/main" id="{38A16ECB-501C-2D27-6EF7-AC19C6DDC7EA}"/>
            </a:ext>
          </a:extLst>
        </xdr:cNvPr>
        <xdr:cNvCxnSpPr/>
      </xdr:nvCxnSpPr>
      <xdr:spPr>
        <a:xfrm rot="474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xdr:row>
      <xdr:rowOff>7620</xdr:rowOff>
    </xdr:from>
    <xdr:to>
      <xdr:col>3</xdr:col>
      <xdr:colOff>0</xdr:colOff>
      <xdr:row>9</xdr:row>
      <xdr:rowOff>99060</xdr:rowOff>
    </xdr:to>
    <xdr:cxnSp macro="">
      <xdr:nvCxnSpPr>
        <xdr:cNvPr id="41" name="Straight Connector 40">
          <a:extLst>
            <a:ext uri="{FF2B5EF4-FFF2-40B4-BE49-F238E27FC236}">
              <a16:creationId xmlns:a16="http://schemas.microsoft.com/office/drawing/2014/main" id="{2D1DE96D-0E70-B7B7-1F58-8D1D34F3FFF4}"/>
            </a:ext>
          </a:extLst>
        </xdr:cNvPr>
        <xdr:cNvCxnSpPr/>
      </xdr:nvCxnSpPr>
      <xdr:spPr>
        <a:xfrm rot="20940000">
          <a:off x="1828800" y="556260"/>
          <a:ext cx="0" cy="1188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406004</xdr:colOff>
      <xdr:row>3</xdr:row>
      <xdr:rowOff>107507</xdr:rowOff>
    </xdr:from>
    <xdr:to>
      <xdr:col>3</xdr:col>
      <xdr:colOff>497444</xdr:colOff>
      <xdr:row>4</xdr:row>
      <xdr:rowOff>15551</xdr:rowOff>
    </xdr:to>
    <xdr:sp macro="" textlink="">
      <xdr:nvSpPr>
        <xdr:cNvPr id="44" name="Oval 43">
          <a:extLst>
            <a:ext uri="{FF2B5EF4-FFF2-40B4-BE49-F238E27FC236}">
              <a16:creationId xmlns:a16="http://schemas.microsoft.com/office/drawing/2014/main" id="{E24F895F-40CE-D0F5-F6F1-7E9D44AF2C76}"/>
            </a:ext>
          </a:extLst>
        </xdr:cNvPr>
        <xdr:cNvSpPr/>
      </xdr:nvSpPr>
      <xdr:spPr>
        <a:xfrm>
          <a:off x="2234804" y="657697"/>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488662</xdr:colOff>
      <xdr:row>4</xdr:row>
      <xdr:rowOff>22267</xdr:rowOff>
    </xdr:from>
    <xdr:to>
      <xdr:col>3</xdr:col>
      <xdr:colOff>580102</xdr:colOff>
      <xdr:row>4</xdr:row>
      <xdr:rowOff>113707</xdr:rowOff>
    </xdr:to>
    <xdr:sp macro="" textlink="">
      <xdr:nvSpPr>
        <xdr:cNvPr id="45" name="Oval 44">
          <a:extLst>
            <a:ext uri="{FF2B5EF4-FFF2-40B4-BE49-F238E27FC236}">
              <a16:creationId xmlns:a16="http://schemas.microsoft.com/office/drawing/2014/main" id="{3C1A7BF6-45BC-A8D8-FBD5-3185B6AF0042}"/>
            </a:ext>
          </a:extLst>
        </xdr:cNvPr>
        <xdr:cNvSpPr/>
      </xdr:nvSpPr>
      <xdr:spPr>
        <a:xfrm>
          <a:off x="2317462" y="755853"/>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545489</xdr:colOff>
      <xdr:row>4</xdr:row>
      <xdr:rowOff>125589</xdr:rowOff>
    </xdr:from>
    <xdr:to>
      <xdr:col>4</xdr:col>
      <xdr:colOff>27329</xdr:colOff>
      <xdr:row>5</xdr:row>
      <xdr:rowOff>33632</xdr:rowOff>
    </xdr:to>
    <xdr:sp macro="" textlink="">
      <xdr:nvSpPr>
        <xdr:cNvPr id="46" name="Oval 45">
          <a:extLst>
            <a:ext uri="{FF2B5EF4-FFF2-40B4-BE49-F238E27FC236}">
              <a16:creationId xmlns:a16="http://schemas.microsoft.com/office/drawing/2014/main" id="{E477ED47-69D2-2993-9691-BDEB454069C1}"/>
            </a:ext>
          </a:extLst>
        </xdr:cNvPr>
        <xdr:cNvSpPr/>
      </xdr:nvSpPr>
      <xdr:spPr>
        <a:xfrm>
          <a:off x="2374289" y="859175"/>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579068</xdr:colOff>
      <xdr:row>5</xdr:row>
      <xdr:rowOff>63595</xdr:rowOff>
    </xdr:from>
    <xdr:to>
      <xdr:col>4</xdr:col>
      <xdr:colOff>60908</xdr:colOff>
      <xdr:row>5</xdr:row>
      <xdr:rowOff>155035</xdr:rowOff>
    </xdr:to>
    <xdr:sp macro="" textlink="">
      <xdr:nvSpPr>
        <xdr:cNvPr id="47" name="Oval 46">
          <a:extLst>
            <a:ext uri="{FF2B5EF4-FFF2-40B4-BE49-F238E27FC236}">
              <a16:creationId xmlns:a16="http://schemas.microsoft.com/office/drawing/2014/main" id="{D6F7349F-59DC-EDC3-486C-B91E33880705}"/>
            </a:ext>
          </a:extLst>
        </xdr:cNvPr>
        <xdr:cNvSpPr/>
      </xdr:nvSpPr>
      <xdr:spPr>
        <a:xfrm>
          <a:off x="2407868" y="980578"/>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594566</xdr:colOff>
      <xdr:row>6</xdr:row>
      <xdr:rowOff>6767</xdr:rowOff>
    </xdr:from>
    <xdr:to>
      <xdr:col>4</xdr:col>
      <xdr:colOff>76406</xdr:colOff>
      <xdr:row>6</xdr:row>
      <xdr:rowOff>98207</xdr:rowOff>
    </xdr:to>
    <xdr:sp macro="" textlink="">
      <xdr:nvSpPr>
        <xdr:cNvPr id="48" name="Oval 47">
          <a:extLst>
            <a:ext uri="{FF2B5EF4-FFF2-40B4-BE49-F238E27FC236}">
              <a16:creationId xmlns:a16="http://schemas.microsoft.com/office/drawing/2014/main" id="{F6F6B9A9-CC75-AB6C-541D-BDFD81179F31}"/>
            </a:ext>
          </a:extLst>
        </xdr:cNvPr>
        <xdr:cNvSpPr/>
      </xdr:nvSpPr>
      <xdr:spPr>
        <a:xfrm>
          <a:off x="2423366" y="1107147"/>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579067</xdr:colOff>
      <xdr:row>6</xdr:row>
      <xdr:rowOff>146252</xdr:rowOff>
    </xdr:from>
    <xdr:to>
      <xdr:col>4</xdr:col>
      <xdr:colOff>60907</xdr:colOff>
      <xdr:row>7</xdr:row>
      <xdr:rowOff>54296</xdr:rowOff>
    </xdr:to>
    <xdr:sp macro="" textlink="">
      <xdr:nvSpPr>
        <xdr:cNvPr id="49" name="Oval 48">
          <a:extLst>
            <a:ext uri="{FF2B5EF4-FFF2-40B4-BE49-F238E27FC236}">
              <a16:creationId xmlns:a16="http://schemas.microsoft.com/office/drawing/2014/main" id="{DE2444BD-2B44-1606-4F3C-A3DEB42E3B5B}"/>
            </a:ext>
          </a:extLst>
        </xdr:cNvPr>
        <xdr:cNvSpPr/>
      </xdr:nvSpPr>
      <xdr:spPr>
        <a:xfrm>
          <a:off x="2407867" y="1246632"/>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540321</xdr:colOff>
      <xdr:row>7</xdr:row>
      <xdr:rowOff>61012</xdr:rowOff>
    </xdr:from>
    <xdr:to>
      <xdr:col>4</xdr:col>
      <xdr:colOff>22161</xdr:colOff>
      <xdr:row>7</xdr:row>
      <xdr:rowOff>152452</xdr:rowOff>
    </xdr:to>
    <xdr:sp macro="" textlink="">
      <xdr:nvSpPr>
        <xdr:cNvPr id="50" name="Oval 49">
          <a:extLst>
            <a:ext uri="{FF2B5EF4-FFF2-40B4-BE49-F238E27FC236}">
              <a16:creationId xmlns:a16="http://schemas.microsoft.com/office/drawing/2014/main" id="{FDA4D1AD-E9F3-DF98-ACA6-4146BCCC0480}"/>
            </a:ext>
          </a:extLst>
        </xdr:cNvPr>
        <xdr:cNvSpPr/>
      </xdr:nvSpPr>
      <xdr:spPr>
        <a:xfrm>
          <a:off x="2369121" y="1344788"/>
          <a:ext cx="91440" cy="914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213905</xdr:colOff>
      <xdr:row>2</xdr:row>
      <xdr:rowOff>53128</xdr:rowOff>
    </xdr:from>
    <xdr:to>
      <xdr:col>7</xdr:col>
      <xdr:colOff>369786</xdr:colOff>
      <xdr:row>9</xdr:row>
      <xdr:rowOff>137907</xdr:rowOff>
    </xdr:to>
    <xdr:grpSp>
      <xdr:nvGrpSpPr>
        <xdr:cNvPr id="104" name="Group 103">
          <a:extLst>
            <a:ext uri="{FF2B5EF4-FFF2-40B4-BE49-F238E27FC236}">
              <a16:creationId xmlns:a16="http://schemas.microsoft.com/office/drawing/2014/main" id="{7B4EEAC6-2FBD-D62B-89CF-650CE3D8F253}"/>
            </a:ext>
          </a:extLst>
        </xdr:cNvPr>
        <xdr:cNvGrpSpPr/>
      </xdr:nvGrpSpPr>
      <xdr:grpSpPr>
        <a:xfrm>
          <a:off x="3261905" y="434128"/>
          <a:ext cx="1375081" cy="1418279"/>
          <a:chOff x="3261905" y="422096"/>
          <a:chExt cx="1375081" cy="1376169"/>
        </a:xfrm>
      </xdr:grpSpPr>
      <xdr:sp macro="" textlink="">
        <xdr:nvSpPr>
          <xdr:cNvPr id="42" name="Oval 41">
            <a:extLst>
              <a:ext uri="{FF2B5EF4-FFF2-40B4-BE49-F238E27FC236}">
                <a16:creationId xmlns:a16="http://schemas.microsoft.com/office/drawing/2014/main" id="{19850C27-11FA-0FA4-C7A8-611BAAE078E4}"/>
              </a:ext>
            </a:extLst>
          </xdr:cNvPr>
          <xdr:cNvSpPr/>
        </xdr:nvSpPr>
        <xdr:spPr>
          <a:xfrm rot="9600000">
            <a:off x="4123328" y="166752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Oval 50">
            <a:extLst>
              <a:ext uri="{FF2B5EF4-FFF2-40B4-BE49-F238E27FC236}">
                <a16:creationId xmlns:a16="http://schemas.microsoft.com/office/drawing/2014/main" id="{6D677B27-9517-EE0F-3F47-6502C3A0D278}"/>
              </a:ext>
            </a:extLst>
          </xdr:cNvPr>
          <xdr:cNvSpPr/>
        </xdr:nvSpPr>
        <xdr:spPr>
          <a:xfrm rot="9600000">
            <a:off x="3684124" y="4608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F0F60D73-BF86-BAA6-B4B5-7F191CDE6793}"/>
              </a:ext>
            </a:extLst>
          </xdr:cNvPr>
          <xdr:cNvSpPr/>
        </xdr:nvSpPr>
        <xdr:spPr>
          <a:xfrm rot="9000000">
            <a:off x="4224509" y="1619818"/>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E2B1508A-5621-F019-F8F8-87EC407D7F83}"/>
              </a:ext>
            </a:extLst>
          </xdr:cNvPr>
          <xdr:cNvSpPr/>
        </xdr:nvSpPr>
        <xdr:spPr>
          <a:xfrm rot="9000000">
            <a:off x="3582943" y="50859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Oval 56">
            <a:extLst>
              <a:ext uri="{FF2B5EF4-FFF2-40B4-BE49-F238E27FC236}">
                <a16:creationId xmlns:a16="http://schemas.microsoft.com/office/drawing/2014/main" id="{46BCB9E8-B20F-18C5-6B42-89C169FE6D1C}"/>
              </a:ext>
            </a:extLst>
          </xdr:cNvPr>
          <xdr:cNvSpPr/>
        </xdr:nvSpPr>
        <xdr:spPr>
          <a:xfrm rot="8400000">
            <a:off x="4316116" y="1555673"/>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8" name="Oval 57">
            <a:extLst>
              <a:ext uri="{FF2B5EF4-FFF2-40B4-BE49-F238E27FC236}">
                <a16:creationId xmlns:a16="http://schemas.microsoft.com/office/drawing/2014/main" id="{280A3B1E-A2FB-CB38-229D-0FB20D3B642A}"/>
              </a:ext>
            </a:extLst>
          </xdr:cNvPr>
          <xdr:cNvSpPr/>
        </xdr:nvSpPr>
        <xdr:spPr>
          <a:xfrm rot="8400000">
            <a:off x="3491336" y="572738"/>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0" name="Oval 59">
            <a:extLst>
              <a:ext uri="{FF2B5EF4-FFF2-40B4-BE49-F238E27FC236}">
                <a16:creationId xmlns:a16="http://schemas.microsoft.com/office/drawing/2014/main" id="{666FEB59-8E42-4EAA-C483-7A6566C3F6D9}"/>
              </a:ext>
            </a:extLst>
          </xdr:cNvPr>
          <xdr:cNvSpPr/>
        </xdr:nvSpPr>
        <xdr:spPr>
          <a:xfrm rot="7800000">
            <a:off x="4395194" y="147659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1" name="Oval 60">
            <a:extLst>
              <a:ext uri="{FF2B5EF4-FFF2-40B4-BE49-F238E27FC236}">
                <a16:creationId xmlns:a16="http://schemas.microsoft.com/office/drawing/2014/main" id="{BC243AF2-D76B-1B12-FFF5-4ED87A82C367}"/>
              </a:ext>
            </a:extLst>
          </xdr:cNvPr>
          <xdr:cNvSpPr/>
        </xdr:nvSpPr>
        <xdr:spPr>
          <a:xfrm rot="7800000">
            <a:off x="3412258" y="65181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3" name="Oval 62">
            <a:extLst>
              <a:ext uri="{FF2B5EF4-FFF2-40B4-BE49-F238E27FC236}">
                <a16:creationId xmlns:a16="http://schemas.microsoft.com/office/drawing/2014/main" id="{53D65157-AC08-F84C-24CF-532F586BE2CA}"/>
              </a:ext>
            </a:extLst>
          </xdr:cNvPr>
          <xdr:cNvSpPr/>
        </xdr:nvSpPr>
        <xdr:spPr>
          <a:xfrm rot="7200000">
            <a:off x="4459778" y="138520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4" name="Oval 63">
            <a:extLst>
              <a:ext uri="{FF2B5EF4-FFF2-40B4-BE49-F238E27FC236}">
                <a16:creationId xmlns:a16="http://schemas.microsoft.com/office/drawing/2014/main" id="{21B5E4B8-9EB3-309E-C239-12BA5E70EDD9}"/>
              </a:ext>
            </a:extLst>
          </xdr:cNvPr>
          <xdr:cNvSpPr/>
        </xdr:nvSpPr>
        <xdr:spPr>
          <a:xfrm rot="7200000">
            <a:off x="3347674" y="74313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6" name="Oval 65">
            <a:extLst>
              <a:ext uri="{FF2B5EF4-FFF2-40B4-BE49-F238E27FC236}">
                <a16:creationId xmlns:a16="http://schemas.microsoft.com/office/drawing/2014/main" id="{AC040493-5D71-DFB3-55F1-F17A37E33955}"/>
              </a:ext>
            </a:extLst>
          </xdr:cNvPr>
          <xdr:cNvSpPr/>
        </xdr:nvSpPr>
        <xdr:spPr>
          <a:xfrm rot="6600000">
            <a:off x="4507078" y="1283772"/>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7" name="Oval 66">
            <a:extLst>
              <a:ext uri="{FF2B5EF4-FFF2-40B4-BE49-F238E27FC236}">
                <a16:creationId xmlns:a16="http://schemas.microsoft.com/office/drawing/2014/main" id="{25D1DB9D-7D64-DE63-1650-751C48BF5CD1}"/>
              </a:ext>
            </a:extLst>
          </xdr:cNvPr>
          <xdr:cNvSpPr/>
        </xdr:nvSpPr>
        <xdr:spPr>
          <a:xfrm rot="6600000">
            <a:off x="3300374" y="844567"/>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Oval 68">
            <a:extLst>
              <a:ext uri="{FF2B5EF4-FFF2-40B4-BE49-F238E27FC236}">
                <a16:creationId xmlns:a16="http://schemas.microsoft.com/office/drawing/2014/main" id="{99B4CBA6-0EE2-DB1F-754A-42D3D11FF810}"/>
              </a:ext>
            </a:extLst>
          </xdr:cNvPr>
          <xdr:cNvSpPr/>
        </xdr:nvSpPr>
        <xdr:spPr>
          <a:xfrm rot="6000000">
            <a:off x="4536045" y="1175664"/>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0" name="Oval 69">
            <a:extLst>
              <a:ext uri="{FF2B5EF4-FFF2-40B4-BE49-F238E27FC236}">
                <a16:creationId xmlns:a16="http://schemas.microsoft.com/office/drawing/2014/main" id="{B2A95178-0A09-FE79-2A37-EB7D899F4B9E}"/>
              </a:ext>
            </a:extLst>
          </xdr:cNvPr>
          <xdr:cNvSpPr/>
        </xdr:nvSpPr>
        <xdr:spPr>
          <a:xfrm rot="6000000">
            <a:off x="3271407" y="952675"/>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2" name="Oval 71">
            <a:extLst>
              <a:ext uri="{FF2B5EF4-FFF2-40B4-BE49-F238E27FC236}">
                <a16:creationId xmlns:a16="http://schemas.microsoft.com/office/drawing/2014/main" id="{62E1D070-4F3E-CAB2-151A-19C093085443}"/>
              </a:ext>
            </a:extLst>
          </xdr:cNvPr>
          <xdr:cNvSpPr/>
        </xdr:nvSpPr>
        <xdr:spPr>
          <a:xfrm rot="5400000">
            <a:off x="4545292" y="106420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3" name="Oval 72">
            <a:extLst>
              <a:ext uri="{FF2B5EF4-FFF2-40B4-BE49-F238E27FC236}">
                <a16:creationId xmlns:a16="http://schemas.microsoft.com/office/drawing/2014/main" id="{74BCE2B9-8186-5B88-17AB-D54E131F5AF4}"/>
              </a:ext>
            </a:extLst>
          </xdr:cNvPr>
          <xdr:cNvSpPr/>
        </xdr:nvSpPr>
        <xdr:spPr>
          <a:xfrm rot="5400000">
            <a:off x="3262160" y="106420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5" name="Oval 74">
            <a:extLst>
              <a:ext uri="{FF2B5EF4-FFF2-40B4-BE49-F238E27FC236}">
                <a16:creationId xmlns:a16="http://schemas.microsoft.com/office/drawing/2014/main" id="{AF07C4C4-5AD8-FB69-22AD-32A8E7BD6205}"/>
              </a:ext>
            </a:extLst>
          </xdr:cNvPr>
          <xdr:cNvSpPr/>
        </xdr:nvSpPr>
        <xdr:spPr>
          <a:xfrm rot="4800000">
            <a:off x="4535545" y="952799"/>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Oval 75">
            <a:extLst>
              <a:ext uri="{FF2B5EF4-FFF2-40B4-BE49-F238E27FC236}">
                <a16:creationId xmlns:a16="http://schemas.microsoft.com/office/drawing/2014/main" id="{B7A5461C-1701-5DCA-8766-E390E6D7E5EF}"/>
              </a:ext>
            </a:extLst>
          </xdr:cNvPr>
          <xdr:cNvSpPr/>
        </xdr:nvSpPr>
        <xdr:spPr>
          <a:xfrm rot="4800000">
            <a:off x="3271907" y="1175612"/>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8" name="Oval 77">
            <a:extLst>
              <a:ext uri="{FF2B5EF4-FFF2-40B4-BE49-F238E27FC236}">
                <a16:creationId xmlns:a16="http://schemas.microsoft.com/office/drawing/2014/main" id="{E4343711-C8D3-69AC-385F-1106A7F15350}"/>
              </a:ext>
            </a:extLst>
          </xdr:cNvPr>
          <xdr:cNvSpPr/>
        </xdr:nvSpPr>
        <xdr:spPr>
          <a:xfrm rot="4200000">
            <a:off x="4506601" y="844777"/>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Oval 78">
            <a:extLst>
              <a:ext uri="{FF2B5EF4-FFF2-40B4-BE49-F238E27FC236}">
                <a16:creationId xmlns:a16="http://schemas.microsoft.com/office/drawing/2014/main" id="{374DE5AE-0949-071D-5F98-9A92819C1C75}"/>
              </a:ext>
            </a:extLst>
          </xdr:cNvPr>
          <xdr:cNvSpPr/>
        </xdr:nvSpPr>
        <xdr:spPr>
          <a:xfrm rot="4200000">
            <a:off x="3300851" y="128363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1" name="Oval 80">
            <a:extLst>
              <a:ext uri="{FF2B5EF4-FFF2-40B4-BE49-F238E27FC236}">
                <a16:creationId xmlns:a16="http://schemas.microsoft.com/office/drawing/2014/main" id="{4C79F3F7-CF2A-C307-691C-04688FDDC3A1}"/>
              </a:ext>
            </a:extLst>
          </xdr:cNvPr>
          <xdr:cNvSpPr/>
        </xdr:nvSpPr>
        <xdr:spPr>
          <a:xfrm rot="3600000">
            <a:off x="4459778" y="74313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2" name="Oval 81">
            <a:extLst>
              <a:ext uri="{FF2B5EF4-FFF2-40B4-BE49-F238E27FC236}">
                <a16:creationId xmlns:a16="http://schemas.microsoft.com/office/drawing/2014/main" id="{8589148C-2249-4D5A-F5A7-2265103215AD}"/>
              </a:ext>
            </a:extLst>
          </xdr:cNvPr>
          <xdr:cNvSpPr/>
        </xdr:nvSpPr>
        <xdr:spPr>
          <a:xfrm rot="3600000">
            <a:off x="3347674" y="138520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4" name="Oval 83">
            <a:extLst>
              <a:ext uri="{FF2B5EF4-FFF2-40B4-BE49-F238E27FC236}">
                <a16:creationId xmlns:a16="http://schemas.microsoft.com/office/drawing/2014/main" id="{55B8AE0A-C077-429F-63A6-07B83A6E2E59}"/>
              </a:ext>
            </a:extLst>
          </xdr:cNvPr>
          <xdr:cNvSpPr/>
        </xdr:nvSpPr>
        <xdr:spPr>
          <a:xfrm rot="3000000">
            <a:off x="4395583" y="65145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5" name="Oval 84">
            <a:extLst>
              <a:ext uri="{FF2B5EF4-FFF2-40B4-BE49-F238E27FC236}">
                <a16:creationId xmlns:a16="http://schemas.microsoft.com/office/drawing/2014/main" id="{A3E06EE9-1F7B-4AB7-1944-B91498A8AA1E}"/>
              </a:ext>
            </a:extLst>
          </xdr:cNvPr>
          <xdr:cNvSpPr/>
        </xdr:nvSpPr>
        <xdr:spPr>
          <a:xfrm rot="3000000">
            <a:off x="3411869" y="1476887"/>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7" name="Oval 86">
            <a:extLst>
              <a:ext uri="{FF2B5EF4-FFF2-40B4-BE49-F238E27FC236}">
                <a16:creationId xmlns:a16="http://schemas.microsoft.com/office/drawing/2014/main" id="{E2740EB1-4C40-35D0-53E8-4FB1351BA9E9}"/>
              </a:ext>
            </a:extLst>
          </xdr:cNvPr>
          <xdr:cNvSpPr/>
        </xdr:nvSpPr>
        <xdr:spPr>
          <a:xfrm rot="2400000">
            <a:off x="4316443" y="57231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8" name="Oval 87">
            <a:extLst>
              <a:ext uri="{FF2B5EF4-FFF2-40B4-BE49-F238E27FC236}">
                <a16:creationId xmlns:a16="http://schemas.microsoft.com/office/drawing/2014/main" id="{D531F0A3-621D-6E07-F1D9-62D8FFCDFE82}"/>
              </a:ext>
            </a:extLst>
          </xdr:cNvPr>
          <xdr:cNvSpPr/>
        </xdr:nvSpPr>
        <xdr:spPr>
          <a:xfrm rot="2400000">
            <a:off x="3491009" y="155602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0" name="Oval 89">
            <a:extLst>
              <a:ext uri="{FF2B5EF4-FFF2-40B4-BE49-F238E27FC236}">
                <a16:creationId xmlns:a16="http://schemas.microsoft.com/office/drawing/2014/main" id="{16BF46D5-ED51-0F81-4126-70356DACAA48}"/>
              </a:ext>
            </a:extLst>
          </xdr:cNvPr>
          <xdr:cNvSpPr/>
        </xdr:nvSpPr>
        <xdr:spPr>
          <a:xfrm rot="1800000">
            <a:off x="4224763" y="5081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Oval 90">
            <a:extLst>
              <a:ext uri="{FF2B5EF4-FFF2-40B4-BE49-F238E27FC236}">
                <a16:creationId xmlns:a16="http://schemas.microsoft.com/office/drawing/2014/main" id="{EDDA86B3-093E-9E84-B684-9AD35E91DC58}"/>
              </a:ext>
            </a:extLst>
          </xdr:cNvPr>
          <xdr:cNvSpPr/>
        </xdr:nvSpPr>
        <xdr:spPr>
          <a:xfrm rot="1800000">
            <a:off x="3582689" y="1620222"/>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Oval 92">
            <a:extLst>
              <a:ext uri="{FF2B5EF4-FFF2-40B4-BE49-F238E27FC236}">
                <a16:creationId xmlns:a16="http://schemas.microsoft.com/office/drawing/2014/main" id="{BA983469-4DEA-8366-5D3B-09EC7A57BD17}"/>
              </a:ext>
            </a:extLst>
          </xdr:cNvPr>
          <xdr:cNvSpPr/>
        </xdr:nvSpPr>
        <xdr:spPr>
          <a:xfrm rot="1200000">
            <a:off x="4123328" y="4608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4" name="Oval 93">
            <a:extLst>
              <a:ext uri="{FF2B5EF4-FFF2-40B4-BE49-F238E27FC236}">
                <a16:creationId xmlns:a16="http://schemas.microsoft.com/office/drawing/2014/main" id="{45DFFF9D-485B-34A9-FF79-ECFBDBECF8E9}"/>
              </a:ext>
            </a:extLst>
          </xdr:cNvPr>
          <xdr:cNvSpPr/>
        </xdr:nvSpPr>
        <xdr:spPr>
          <a:xfrm rot="1200000">
            <a:off x="3684124" y="166752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6" name="Oval 95">
            <a:extLst>
              <a:ext uri="{FF2B5EF4-FFF2-40B4-BE49-F238E27FC236}">
                <a16:creationId xmlns:a16="http://schemas.microsoft.com/office/drawing/2014/main" id="{BBB24797-97F3-B342-A419-092FB995344A}"/>
              </a:ext>
            </a:extLst>
          </xdr:cNvPr>
          <xdr:cNvSpPr/>
        </xdr:nvSpPr>
        <xdr:spPr>
          <a:xfrm rot="600000">
            <a:off x="4015221" y="43185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7" name="Oval 96">
            <a:extLst>
              <a:ext uri="{FF2B5EF4-FFF2-40B4-BE49-F238E27FC236}">
                <a16:creationId xmlns:a16="http://schemas.microsoft.com/office/drawing/2014/main" id="{5AB2B6F6-DFE0-4792-CC5E-E2C3731539F7}"/>
              </a:ext>
            </a:extLst>
          </xdr:cNvPr>
          <xdr:cNvSpPr/>
        </xdr:nvSpPr>
        <xdr:spPr>
          <a:xfrm rot="600000">
            <a:off x="3792231" y="1696489"/>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9" name="Oval 98">
            <a:extLst>
              <a:ext uri="{FF2B5EF4-FFF2-40B4-BE49-F238E27FC236}">
                <a16:creationId xmlns:a16="http://schemas.microsoft.com/office/drawing/2014/main" id="{4781E630-EBD1-6E8B-E9E5-2079E1411582}"/>
              </a:ext>
            </a:extLst>
          </xdr:cNvPr>
          <xdr:cNvSpPr/>
        </xdr:nvSpPr>
        <xdr:spPr>
          <a:xfrm>
            <a:off x="3903726" y="42209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0" name="Oval 99">
            <a:extLst>
              <a:ext uri="{FF2B5EF4-FFF2-40B4-BE49-F238E27FC236}">
                <a16:creationId xmlns:a16="http://schemas.microsoft.com/office/drawing/2014/main" id="{5CEB1BDC-B167-6954-C289-04C3AF3ECC7C}"/>
              </a:ext>
            </a:extLst>
          </xdr:cNvPr>
          <xdr:cNvSpPr/>
        </xdr:nvSpPr>
        <xdr:spPr>
          <a:xfrm>
            <a:off x="3903726" y="170624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2" name="Oval 101">
            <a:extLst>
              <a:ext uri="{FF2B5EF4-FFF2-40B4-BE49-F238E27FC236}">
                <a16:creationId xmlns:a16="http://schemas.microsoft.com/office/drawing/2014/main" id="{C4BBB36F-0BB2-958D-0700-1DA751E129DC}"/>
              </a:ext>
            </a:extLst>
          </xdr:cNvPr>
          <xdr:cNvSpPr/>
        </xdr:nvSpPr>
        <xdr:spPr>
          <a:xfrm rot="10200000">
            <a:off x="4015221" y="1696489"/>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3" name="Oval 102">
            <a:extLst>
              <a:ext uri="{FF2B5EF4-FFF2-40B4-BE49-F238E27FC236}">
                <a16:creationId xmlns:a16="http://schemas.microsoft.com/office/drawing/2014/main" id="{F86BCAEE-A45E-2466-53BD-2208FD55A128}"/>
              </a:ext>
            </a:extLst>
          </xdr:cNvPr>
          <xdr:cNvSpPr/>
        </xdr:nvSpPr>
        <xdr:spPr>
          <a:xfrm rot="10200000">
            <a:off x="3792231" y="43185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358286</xdr:colOff>
      <xdr:row>3</xdr:row>
      <xdr:rowOff>13023</xdr:rowOff>
    </xdr:from>
    <xdr:to>
      <xdr:col>7</xdr:col>
      <xdr:colOff>236366</xdr:colOff>
      <xdr:row>9</xdr:row>
      <xdr:rowOff>3398</xdr:rowOff>
    </xdr:to>
    <xdr:grpSp>
      <xdr:nvGrpSpPr>
        <xdr:cNvPr id="105" name="Group 104">
          <a:extLst>
            <a:ext uri="{FF2B5EF4-FFF2-40B4-BE49-F238E27FC236}">
              <a16:creationId xmlns:a16="http://schemas.microsoft.com/office/drawing/2014/main" id="{A18F79A9-1FBB-ED25-5428-621C54C37A0D}"/>
            </a:ext>
          </a:extLst>
        </xdr:cNvPr>
        <xdr:cNvGrpSpPr/>
      </xdr:nvGrpSpPr>
      <xdr:grpSpPr>
        <a:xfrm>
          <a:off x="3406286" y="584523"/>
          <a:ext cx="1097280" cy="1133375"/>
          <a:chOff x="3261905" y="422096"/>
          <a:chExt cx="1375081" cy="1376169"/>
        </a:xfrm>
      </xdr:grpSpPr>
      <xdr:sp macro="" textlink="">
        <xdr:nvSpPr>
          <xdr:cNvPr id="106" name="Oval 105">
            <a:extLst>
              <a:ext uri="{FF2B5EF4-FFF2-40B4-BE49-F238E27FC236}">
                <a16:creationId xmlns:a16="http://schemas.microsoft.com/office/drawing/2014/main" id="{C95F0916-E985-DF4C-00F0-3919D340670E}"/>
              </a:ext>
            </a:extLst>
          </xdr:cNvPr>
          <xdr:cNvSpPr/>
        </xdr:nvSpPr>
        <xdr:spPr>
          <a:xfrm rot="9600000">
            <a:off x="4123328" y="166752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 name="Oval 106">
            <a:extLst>
              <a:ext uri="{FF2B5EF4-FFF2-40B4-BE49-F238E27FC236}">
                <a16:creationId xmlns:a16="http://schemas.microsoft.com/office/drawing/2014/main" id="{3AFD3A0F-F119-CD96-8B5B-5F57BEA682FC}"/>
              </a:ext>
            </a:extLst>
          </xdr:cNvPr>
          <xdr:cNvSpPr/>
        </xdr:nvSpPr>
        <xdr:spPr>
          <a:xfrm rot="9600000">
            <a:off x="3684124" y="4608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8" name="Oval 107">
            <a:extLst>
              <a:ext uri="{FF2B5EF4-FFF2-40B4-BE49-F238E27FC236}">
                <a16:creationId xmlns:a16="http://schemas.microsoft.com/office/drawing/2014/main" id="{51AE60AD-BC92-99FE-2730-CB5BE121DEF3}"/>
              </a:ext>
            </a:extLst>
          </xdr:cNvPr>
          <xdr:cNvSpPr/>
        </xdr:nvSpPr>
        <xdr:spPr>
          <a:xfrm rot="9000000">
            <a:off x="4224509" y="1619818"/>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9" name="Oval 108">
            <a:extLst>
              <a:ext uri="{FF2B5EF4-FFF2-40B4-BE49-F238E27FC236}">
                <a16:creationId xmlns:a16="http://schemas.microsoft.com/office/drawing/2014/main" id="{75D7A577-5EA6-0DE1-C0F1-B73688A967B4}"/>
              </a:ext>
            </a:extLst>
          </xdr:cNvPr>
          <xdr:cNvSpPr/>
        </xdr:nvSpPr>
        <xdr:spPr>
          <a:xfrm rot="9000000">
            <a:off x="3582943" y="50859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0" name="Oval 109">
            <a:extLst>
              <a:ext uri="{FF2B5EF4-FFF2-40B4-BE49-F238E27FC236}">
                <a16:creationId xmlns:a16="http://schemas.microsoft.com/office/drawing/2014/main" id="{1D1DAB16-4A9A-E34F-3798-3449AE593728}"/>
              </a:ext>
            </a:extLst>
          </xdr:cNvPr>
          <xdr:cNvSpPr/>
        </xdr:nvSpPr>
        <xdr:spPr>
          <a:xfrm rot="8400000">
            <a:off x="4316116" y="1555673"/>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1" name="Oval 110">
            <a:extLst>
              <a:ext uri="{FF2B5EF4-FFF2-40B4-BE49-F238E27FC236}">
                <a16:creationId xmlns:a16="http://schemas.microsoft.com/office/drawing/2014/main" id="{46BB60ED-66B5-D45D-6B07-A11B731ED403}"/>
              </a:ext>
            </a:extLst>
          </xdr:cNvPr>
          <xdr:cNvSpPr/>
        </xdr:nvSpPr>
        <xdr:spPr>
          <a:xfrm rot="8400000">
            <a:off x="3491336" y="572738"/>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2" name="Oval 111">
            <a:extLst>
              <a:ext uri="{FF2B5EF4-FFF2-40B4-BE49-F238E27FC236}">
                <a16:creationId xmlns:a16="http://schemas.microsoft.com/office/drawing/2014/main" id="{CBC66914-FB0B-03C0-8EA3-871FFC021811}"/>
              </a:ext>
            </a:extLst>
          </xdr:cNvPr>
          <xdr:cNvSpPr/>
        </xdr:nvSpPr>
        <xdr:spPr>
          <a:xfrm rot="7800000">
            <a:off x="4395194" y="147659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3" name="Oval 112">
            <a:extLst>
              <a:ext uri="{FF2B5EF4-FFF2-40B4-BE49-F238E27FC236}">
                <a16:creationId xmlns:a16="http://schemas.microsoft.com/office/drawing/2014/main" id="{0615EE31-3CF2-D9E0-0DE5-B8A3A8FBBA3B}"/>
              </a:ext>
            </a:extLst>
          </xdr:cNvPr>
          <xdr:cNvSpPr/>
        </xdr:nvSpPr>
        <xdr:spPr>
          <a:xfrm rot="7800000">
            <a:off x="3412258" y="65181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4" name="Oval 113">
            <a:extLst>
              <a:ext uri="{FF2B5EF4-FFF2-40B4-BE49-F238E27FC236}">
                <a16:creationId xmlns:a16="http://schemas.microsoft.com/office/drawing/2014/main" id="{3FC654E8-8790-6BAE-A739-F2E1CBA17278}"/>
              </a:ext>
            </a:extLst>
          </xdr:cNvPr>
          <xdr:cNvSpPr/>
        </xdr:nvSpPr>
        <xdr:spPr>
          <a:xfrm rot="7200000">
            <a:off x="4459778" y="138520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5" name="Oval 114">
            <a:extLst>
              <a:ext uri="{FF2B5EF4-FFF2-40B4-BE49-F238E27FC236}">
                <a16:creationId xmlns:a16="http://schemas.microsoft.com/office/drawing/2014/main" id="{B0F2A1E0-AD7E-C498-E63F-FAF6C600153C}"/>
              </a:ext>
            </a:extLst>
          </xdr:cNvPr>
          <xdr:cNvSpPr/>
        </xdr:nvSpPr>
        <xdr:spPr>
          <a:xfrm rot="7200000">
            <a:off x="3347674" y="74313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6" name="Oval 115">
            <a:extLst>
              <a:ext uri="{FF2B5EF4-FFF2-40B4-BE49-F238E27FC236}">
                <a16:creationId xmlns:a16="http://schemas.microsoft.com/office/drawing/2014/main" id="{044D8862-AB02-3A4C-CD6A-8EB162B60562}"/>
              </a:ext>
            </a:extLst>
          </xdr:cNvPr>
          <xdr:cNvSpPr/>
        </xdr:nvSpPr>
        <xdr:spPr>
          <a:xfrm rot="6600000">
            <a:off x="4507078" y="1283772"/>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7" name="Oval 116">
            <a:extLst>
              <a:ext uri="{FF2B5EF4-FFF2-40B4-BE49-F238E27FC236}">
                <a16:creationId xmlns:a16="http://schemas.microsoft.com/office/drawing/2014/main" id="{1846FAE5-6933-35A3-9009-FBC21AE2D456}"/>
              </a:ext>
            </a:extLst>
          </xdr:cNvPr>
          <xdr:cNvSpPr/>
        </xdr:nvSpPr>
        <xdr:spPr>
          <a:xfrm rot="6600000">
            <a:off x="3300374" y="844567"/>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C9722A3C-43A7-6692-848F-7AA6DB39AC5E}"/>
              </a:ext>
            </a:extLst>
          </xdr:cNvPr>
          <xdr:cNvSpPr/>
        </xdr:nvSpPr>
        <xdr:spPr>
          <a:xfrm rot="6000000">
            <a:off x="4536045" y="1175664"/>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Oval 118">
            <a:extLst>
              <a:ext uri="{FF2B5EF4-FFF2-40B4-BE49-F238E27FC236}">
                <a16:creationId xmlns:a16="http://schemas.microsoft.com/office/drawing/2014/main" id="{4B5DEEBE-EA8A-FFF6-BB21-F9DBBCACF544}"/>
              </a:ext>
            </a:extLst>
          </xdr:cNvPr>
          <xdr:cNvSpPr/>
        </xdr:nvSpPr>
        <xdr:spPr>
          <a:xfrm rot="6000000">
            <a:off x="3271407" y="952675"/>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Oval 119">
            <a:extLst>
              <a:ext uri="{FF2B5EF4-FFF2-40B4-BE49-F238E27FC236}">
                <a16:creationId xmlns:a16="http://schemas.microsoft.com/office/drawing/2014/main" id="{A9638A75-CDBA-551A-4469-06B3D01C52FE}"/>
              </a:ext>
            </a:extLst>
          </xdr:cNvPr>
          <xdr:cNvSpPr/>
        </xdr:nvSpPr>
        <xdr:spPr>
          <a:xfrm rot="5400000">
            <a:off x="4545292" y="106420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1" name="Oval 120">
            <a:extLst>
              <a:ext uri="{FF2B5EF4-FFF2-40B4-BE49-F238E27FC236}">
                <a16:creationId xmlns:a16="http://schemas.microsoft.com/office/drawing/2014/main" id="{E2E09E5F-B9F8-D1DD-D483-E2821C81233D}"/>
              </a:ext>
            </a:extLst>
          </xdr:cNvPr>
          <xdr:cNvSpPr/>
        </xdr:nvSpPr>
        <xdr:spPr>
          <a:xfrm rot="5400000">
            <a:off x="3262160" y="1064206"/>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2" name="Oval 121">
            <a:extLst>
              <a:ext uri="{FF2B5EF4-FFF2-40B4-BE49-F238E27FC236}">
                <a16:creationId xmlns:a16="http://schemas.microsoft.com/office/drawing/2014/main" id="{2A820AAC-2F57-A336-5DD1-2FD3D45D04EB}"/>
              </a:ext>
            </a:extLst>
          </xdr:cNvPr>
          <xdr:cNvSpPr/>
        </xdr:nvSpPr>
        <xdr:spPr>
          <a:xfrm rot="4800000">
            <a:off x="4535545" y="952799"/>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3" name="Oval 122">
            <a:extLst>
              <a:ext uri="{FF2B5EF4-FFF2-40B4-BE49-F238E27FC236}">
                <a16:creationId xmlns:a16="http://schemas.microsoft.com/office/drawing/2014/main" id="{7C3807E9-7ADF-D8E1-9152-9BBEA8CA7EBF}"/>
              </a:ext>
            </a:extLst>
          </xdr:cNvPr>
          <xdr:cNvSpPr/>
        </xdr:nvSpPr>
        <xdr:spPr>
          <a:xfrm rot="4800000">
            <a:off x="3271907" y="1175612"/>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4" name="Oval 123">
            <a:extLst>
              <a:ext uri="{FF2B5EF4-FFF2-40B4-BE49-F238E27FC236}">
                <a16:creationId xmlns:a16="http://schemas.microsoft.com/office/drawing/2014/main" id="{44338E1E-4D75-571E-D271-47711A5746C3}"/>
              </a:ext>
            </a:extLst>
          </xdr:cNvPr>
          <xdr:cNvSpPr/>
        </xdr:nvSpPr>
        <xdr:spPr>
          <a:xfrm rot="4200000">
            <a:off x="4506601" y="844777"/>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5" name="Oval 124">
            <a:extLst>
              <a:ext uri="{FF2B5EF4-FFF2-40B4-BE49-F238E27FC236}">
                <a16:creationId xmlns:a16="http://schemas.microsoft.com/office/drawing/2014/main" id="{70110855-8E98-4D21-18A3-064DDAD0869F}"/>
              </a:ext>
            </a:extLst>
          </xdr:cNvPr>
          <xdr:cNvSpPr/>
        </xdr:nvSpPr>
        <xdr:spPr>
          <a:xfrm rot="4200000">
            <a:off x="3300851" y="1283634"/>
            <a:ext cx="91440" cy="9194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6" name="Oval 125">
            <a:extLst>
              <a:ext uri="{FF2B5EF4-FFF2-40B4-BE49-F238E27FC236}">
                <a16:creationId xmlns:a16="http://schemas.microsoft.com/office/drawing/2014/main" id="{453C912B-14BE-B2C1-3A41-E88AE928981C}"/>
              </a:ext>
            </a:extLst>
          </xdr:cNvPr>
          <xdr:cNvSpPr/>
        </xdr:nvSpPr>
        <xdr:spPr>
          <a:xfrm rot="3600000">
            <a:off x="4459778" y="74313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7" name="Oval 126">
            <a:extLst>
              <a:ext uri="{FF2B5EF4-FFF2-40B4-BE49-F238E27FC236}">
                <a16:creationId xmlns:a16="http://schemas.microsoft.com/office/drawing/2014/main" id="{2A1B219E-9105-75F0-D2B6-AA07929553EC}"/>
              </a:ext>
            </a:extLst>
          </xdr:cNvPr>
          <xdr:cNvSpPr/>
        </xdr:nvSpPr>
        <xdr:spPr>
          <a:xfrm rot="3600000">
            <a:off x="3347674" y="138520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8" name="Oval 127">
            <a:extLst>
              <a:ext uri="{FF2B5EF4-FFF2-40B4-BE49-F238E27FC236}">
                <a16:creationId xmlns:a16="http://schemas.microsoft.com/office/drawing/2014/main" id="{2F9E00BE-417F-CF58-4F12-ED799F4D70EE}"/>
              </a:ext>
            </a:extLst>
          </xdr:cNvPr>
          <xdr:cNvSpPr/>
        </xdr:nvSpPr>
        <xdr:spPr>
          <a:xfrm rot="3000000">
            <a:off x="4395583" y="65145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9" name="Oval 128">
            <a:extLst>
              <a:ext uri="{FF2B5EF4-FFF2-40B4-BE49-F238E27FC236}">
                <a16:creationId xmlns:a16="http://schemas.microsoft.com/office/drawing/2014/main" id="{6E7F940F-829D-0FBC-6C13-04C94EECF963}"/>
              </a:ext>
            </a:extLst>
          </xdr:cNvPr>
          <xdr:cNvSpPr/>
        </xdr:nvSpPr>
        <xdr:spPr>
          <a:xfrm rot="3000000">
            <a:off x="3411869" y="1476887"/>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0" name="Oval 129">
            <a:extLst>
              <a:ext uri="{FF2B5EF4-FFF2-40B4-BE49-F238E27FC236}">
                <a16:creationId xmlns:a16="http://schemas.microsoft.com/office/drawing/2014/main" id="{BEF63D73-F79F-8A6A-3922-A82B57F0C4A5}"/>
              </a:ext>
            </a:extLst>
          </xdr:cNvPr>
          <xdr:cNvSpPr/>
        </xdr:nvSpPr>
        <xdr:spPr>
          <a:xfrm rot="2400000">
            <a:off x="4316443" y="57231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1" name="Oval 130">
            <a:extLst>
              <a:ext uri="{FF2B5EF4-FFF2-40B4-BE49-F238E27FC236}">
                <a16:creationId xmlns:a16="http://schemas.microsoft.com/office/drawing/2014/main" id="{3255A093-DDBC-8DAB-1403-427534F852B4}"/>
              </a:ext>
            </a:extLst>
          </xdr:cNvPr>
          <xdr:cNvSpPr/>
        </xdr:nvSpPr>
        <xdr:spPr>
          <a:xfrm rot="2400000">
            <a:off x="3491009" y="155602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2" name="Oval 131">
            <a:extLst>
              <a:ext uri="{FF2B5EF4-FFF2-40B4-BE49-F238E27FC236}">
                <a16:creationId xmlns:a16="http://schemas.microsoft.com/office/drawing/2014/main" id="{0A143B36-E373-D602-F971-A813D42D216E}"/>
              </a:ext>
            </a:extLst>
          </xdr:cNvPr>
          <xdr:cNvSpPr/>
        </xdr:nvSpPr>
        <xdr:spPr>
          <a:xfrm rot="1800000">
            <a:off x="4224763" y="5081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3" name="Oval 132">
            <a:extLst>
              <a:ext uri="{FF2B5EF4-FFF2-40B4-BE49-F238E27FC236}">
                <a16:creationId xmlns:a16="http://schemas.microsoft.com/office/drawing/2014/main" id="{29807C8B-5522-69B6-71BF-68595AFDDD7C}"/>
              </a:ext>
            </a:extLst>
          </xdr:cNvPr>
          <xdr:cNvSpPr/>
        </xdr:nvSpPr>
        <xdr:spPr>
          <a:xfrm rot="1800000">
            <a:off x="3582689" y="1620222"/>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4" name="Oval 133">
            <a:extLst>
              <a:ext uri="{FF2B5EF4-FFF2-40B4-BE49-F238E27FC236}">
                <a16:creationId xmlns:a16="http://schemas.microsoft.com/office/drawing/2014/main" id="{4FA3175A-D205-E669-9F1A-0DCA09385004}"/>
              </a:ext>
            </a:extLst>
          </xdr:cNvPr>
          <xdr:cNvSpPr/>
        </xdr:nvSpPr>
        <xdr:spPr>
          <a:xfrm rot="1200000">
            <a:off x="4123328" y="460818"/>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5" name="Oval 134">
            <a:extLst>
              <a:ext uri="{FF2B5EF4-FFF2-40B4-BE49-F238E27FC236}">
                <a16:creationId xmlns:a16="http://schemas.microsoft.com/office/drawing/2014/main" id="{77844584-18BF-FD40-59C1-F5D10E1DD4DD}"/>
              </a:ext>
            </a:extLst>
          </xdr:cNvPr>
          <xdr:cNvSpPr/>
        </xdr:nvSpPr>
        <xdr:spPr>
          <a:xfrm rot="1200000">
            <a:off x="3684124" y="166752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6" name="Oval 135">
            <a:extLst>
              <a:ext uri="{FF2B5EF4-FFF2-40B4-BE49-F238E27FC236}">
                <a16:creationId xmlns:a16="http://schemas.microsoft.com/office/drawing/2014/main" id="{E92A572E-BF0F-6A17-B2C1-E5B2099370E5}"/>
              </a:ext>
            </a:extLst>
          </xdr:cNvPr>
          <xdr:cNvSpPr/>
        </xdr:nvSpPr>
        <xdr:spPr>
          <a:xfrm rot="600000">
            <a:off x="4015221" y="43185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7" name="Oval 136">
            <a:extLst>
              <a:ext uri="{FF2B5EF4-FFF2-40B4-BE49-F238E27FC236}">
                <a16:creationId xmlns:a16="http://schemas.microsoft.com/office/drawing/2014/main" id="{DC856F49-61BC-16DE-031C-74C5A2CCA082}"/>
              </a:ext>
            </a:extLst>
          </xdr:cNvPr>
          <xdr:cNvSpPr/>
        </xdr:nvSpPr>
        <xdr:spPr>
          <a:xfrm rot="600000">
            <a:off x="3792231" y="1696489"/>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8" name="Oval 137">
            <a:extLst>
              <a:ext uri="{FF2B5EF4-FFF2-40B4-BE49-F238E27FC236}">
                <a16:creationId xmlns:a16="http://schemas.microsoft.com/office/drawing/2014/main" id="{C6CA59CB-A08C-CB3F-CD30-86BEB5821DEC}"/>
              </a:ext>
            </a:extLst>
          </xdr:cNvPr>
          <xdr:cNvSpPr/>
        </xdr:nvSpPr>
        <xdr:spPr>
          <a:xfrm>
            <a:off x="3903726" y="422096"/>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9" name="Oval 138">
            <a:extLst>
              <a:ext uri="{FF2B5EF4-FFF2-40B4-BE49-F238E27FC236}">
                <a16:creationId xmlns:a16="http://schemas.microsoft.com/office/drawing/2014/main" id="{35D102D1-6EDB-6945-410E-1B681946A983}"/>
              </a:ext>
            </a:extLst>
          </xdr:cNvPr>
          <xdr:cNvSpPr/>
        </xdr:nvSpPr>
        <xdr:spPr>
          <a:xfrm>
            <a:off x="3903726" y="1706243"/>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0" name="Oval 139">
            <a:extLst>
              <a:ext uri="{FF2B5EF4-FFF2-40B4-BE49-F238E27FC236}">
                <a16:creationId xmlns:a16="http://schemas.microsoft.com/office/drawing/2014/main" id="{3A5C99EB-5AAD-CE4A-1D15-EE67F16F738D}"/>
              </a:ext>
            </a:extLst>
          </xdr:cNvPr>
          <xdr:cNvSpPr/>
        </xdr:nvSpPr>
        <xdr:spPr>
          <a:xfrm rot="10200000">
            <a:off x="4015221" y="1696489"/>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1" name="Oval 140">
            <a:extLst>
              <a:ext uri="{FF2B5EF4-FFF2-40B4-BE49-F238E27FC236}">
                <a16:creationId xmlns:a16="http://schemas.microsoft.com/office/drawing/2014/main" id="{2E72291B-C957-B2D8-BB98-5504D88B224E}"/>
              </a:ext>
            </a:extLst>
          </xdr:cNvPr>
          <xdr:cNvSpPr/>
        </xdr:nvSpPr>
        <xdr:spPr>
          <a:xfrm rot="10200000">
            <a:off x="3792231" y="431851"/>
            <a:ext cx="91440" cy="92022"/>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374165</xdr:colOff>
      <xdr:row>23</xdr:row>
      <xdr:rowOff>18352</xdr:rowOff>
    </xdr:from>
    <xdr:to>
      <xdr:col>4</xdr:col>
      <xdr:colOff>472177</xdr:colOff>
      <xdr:row>23</xdr:row>
      <xdr:rowOff>116183</xdr:rowOff>
    </xdr:to>
    <xdr:sp macro="" textlink="">
      <xdr:nvSpPr>
        <xdr:cNvPr id="9" name="Oval 8">
          <a:extLst>
            <a:ext uri="{FF2B5EF4-FFF2-40B4-BE49-F238E27FC236}">
              <a16:creationId xmlns:a16="http://schemas.microsoft.com/office/drawing/2014/main" id="{FC5C305D-5776-3598-8CF7-4DD4CD72BB6F}"/>
            </a:ext>
          </a:extLst>
        </xdr:cNvPr>
        <xdr:cNvSpPr/>
      </xdr:nvSpPr>
      <xdr:spPr>
        <a:xfrm rot="9269808">
          <a:off x="2812565" y="4224592"/>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392135</xdr:colOff>
      <xdr:row>16</xdr:row>
      <xdr:rowOff>66697</xdr:rowOff>
    </xdr:from>
    <xdr:to>
      <xdr:col>3</xdr:col>
      <xdr:colOff>490147</xdr:colOff>
      <xdr:row>16</xdr:row>
      <xdr:rowOff>164528</xdr:rowOff>
    </xdr:to>
    <xdr:sp macro="" textlink="">
      <xdr:nvSpPr>
        <xdr:cNvPr id="14" name="Oval 13">
          <a:extLst>
            <a:ext uri="{FF2B5EF4-FFF2-40B4-BE49-F238E27FC236}">
              <a16:creationId xmlns:a16="http://schemas.microsoft.com/office/drawing/2014/main" id="{13BB7B84-4D1C-72A0-9BBE-4127C83BDDA4}"/>
            </a:ext>
          </a:extLst>
        </xdr:cNvPr>
        <xdr:cNvSpPr/>
      </xdr:nvSpPr>
      <xdr:spPr>
        <a:xfrm rot="9269808">
          <a:off x="2220935" y="2992777"/>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477251</xdr:colOff>
      <xdr:row>22</xdr:row>
      <xdr:rowOff>140351</xdr:rowOff>
    </xdr:from>
    <xdr:to>
      <xdr:col>4</xdr:col>
      <xdr:colOff>575263</xdr:colOff>
      <xdr:row>23</xdr:row>
      <xdr:rowOff>55224</xdr:rowOff>
    </xdr:to>
    <xdr:sp macro="" textlink="">
      <xdr:nvSpPr>
        <xdr:cNvPr id="15" name="Oval 14">
          <a:extLst>
            <a:ext uri="{FF2B5EF4-FFF2-40B4-BE49-F238E27FC236}">
              <a16:creationId xmlns:a16="http://schemas.microsoft.com/office/drawing/2014/main" id="{1CE8E430-93EA-249B-04C2-B7BB1410F602}"/>
            </a:ext>
          </a:extLst>
        </xdr:cNvPr>
        <xdr:cNvSpPr/>
      </xdr:nvSpPr>
      <xdr:spPr>
        <a:xfrm rot="8669808">
          <a:off x="2915651" y="4163711"/>
          <a:ext cx="98012" cy="97753"/>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289049</xdr:colOff>
      <xdr:row>16</xdr:row>
      <xdr:rowOff>127655</xdr:rowOff>
    </xdr:from>
    <xdr:to>
      <xdr:col>3</xdr:col>
      <xdr:colOff>387061</xdr:colOff>
      <xdr:row>17</xdr:row>
      <xdr:rowOff>42528</xdr:rowOff>
    </xdr:to>
    <xdr:sp macro="" textlink="">
      <xdr:nvSpPr>
        <xdr:cNvPr id="16" name="Oval 15">
          <a:extLst>
            <a:ext uri="{FF2B5EF4-FFF2-40B4-BE49-F238E27FC236}">
              <a16:creationId xmlns:a16="http://schemas.microsoft.com/office/drawing/2014/main" id="{947DAD76-EA1D-59FD-E368-BFB0C4951F6B}"/>
            </a:ext>
          </a:extLst>
        </xdr:cNvPr>
        <xdr:cNvSpPr/>
      </xdr:nvSpPr>
      <xdr:spPr>
        <a:xfrm rot="8669808">
          <a:off x="2117849" y="3053735"/>
          <a:ext cx="98012" cy="97753"/>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568579</xdr:colOff>
      <xdr:row>22</xdr:row>
      <xdr:rowOff>62926</xdr:rowOff>
    </xdr:from>
    <xdr:to>
      <xdr:col>5</xdr:col>
      <xdr:colOff>56732</xdr:colOff>
      <xdr:row>22</xdr:row>
      <xdr:rowOff>160938</xdr:rowOff>
    </xdr:to>
    <xdr:sp macro="" textlink="">
      <xdr:nvSpPr>
        <xdr:cNvPr id="17" name="Oval 16">
          <a:extLst>
            <a:ext uri="{FF2B5EF4-FFF2-40B4-BE49-F238E27FC236}">
              <a16:creationId xmlns:a16="http://schemas.microsoft.com/office/drawing/2014/main" id="{C7E9F202-985A-2DC6-B60F-0A61AD8BE127}"/>
            </a:ext>
          </a:extLst>
        </xdr:cNvPr>
        <xdr:cNvSpPr/>
      </xdr:nvSpPr>
      <xdr:spPr>
        <a:xfrm rot="8069808">
          <a:off x="3006850" y="4086415"/>
          <a:ext cx="98012" cy="97753"/>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197979</xdr:colOff>
      <xdr:row>17</xdr:row>
      <xdr:rowOff>21942</xdr:rowOff>
    </xdr:from>
    <xdr:to>
      <xdr:col>3</xdr:col>
      <xdr:colOff>295732</xdr:colOff>
      <xdr:row>17</xdr:row>
      <xdr:rowOff>119954</xdr:rowOff>
    </xdr:to>
    <xdr:sp macro="" textlink="">
      <xdr:nvSpPr>
        <xdr:cNvPr id="18" name="Oval 17">
          <a:extLst>
            <a:ext uri="{FF2B5EF4-FFF2-40B4-BE49-F238E27FC236}">
              <a16:creationId xmlns:a16="http://schemas.microsoft.com/office/drawing/2014/main" id="{92F0DDE4-F53C-2ACD-07A8-1664F7BFBC31}"/>
            </a:ext>
          </a:extLst>
        </xdr:cNvPr>
        <xdr:cNvSpPr/>
      </xdr:nvSpPr>
      <xdr:spPr>
        <a:xfrm rot="8069808">
          <a:off x="2026650" y="3131031"/>
          <a:ext cx="98012" cy="97753"/>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34885</xdr:colOff>
      <xdr:row>21</xdr:row>
      <xdr:rowOff>154396</xdr:rowOff>
    </xdr:from>
    <xdr:to>
      <xdr:col>5</xdr:col>
      <xdr:colOff>133443</xdr:colOff>
      <xdr:row>22</xdr:row>
      <xdr:rowOff>68728</xdr:rowOff>
    </xdr:to>
    <xdr:sp macro="" textlink="">
      <xdr:nvSpPr>
        <xdr:cNvPr id="19" name="Oval 18">
          <a:extLst>
            <a:ext uri="{FF2B5EF4-FFF2-40B4-BE49-F238E27FC236}">
              <a16:creationId xmlns:a16="http://schemas.microsoft.com/office/drawing/2014/main" id="{7E71D462-2119-7B1E-7C93-8F6B6DA23706}"/>
            </a:ext>
          </a:extLst>
        </xdr:cNvPr>
        <xdr:cNvSpPr/>
      </xdr:nvSpPr>
      <xdr:spPr>
        <a:xfrm rot="7469808">
          <a:off x="3083558" y="3994203"/>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121269</xdr:colOff>
      <xdr:row>17</xdr:row>
      <xdr:rowOff>114151</xdr:rowOff>
    </xdr:from>
    <xdr:to>
      <xdr:col>3</xdr:col>
      <xdr:colOff>219827</xdr:colOff>
      <xdr:row>18</xdr:row>
      <xdr:rowOff>28483</xdr:rowOff>
    </xdr:to>
    <xdr:sp macro="" textlink="">
      <xdr:nvSpPr>
        <xdr:cNvPr id="20" name="Oval 19">
          <a:extLst>
            <a:ext uri="{FF2B5EF4-FFF2-40B4-BE49-F238E27FC236}">
              <a16:creationId xmlns:a16="http://schemas.microsoft.com/office/drawing/2014/main" id="{0E56C353-209D-795D-A869-A2B6E9215A49}"/>
            </a:ext>
          </a:extLst>
        </xdr:cNvPr>
        <xdr:cNvSpPr/>
      </xdr:nvSpPr>
      <xdr:spPr>
        <a:xfrm rot="7469808">
          <a:off x="1950742" y="3222438"/>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94439</xdr:colOff>
      <xdr:row>21</xdr:row>
      <xdr:rowOff>51084</xdr:rowOff>
    </xdr:from>
    <xdr:to>
      <xdr:col>5</xdr:col>
      <xdr:colOff>193075</xdr:colOff>
      <xdr:row>21</xdr:row>
      <xdr:rowOff>148296</xdr:rowOff>
    </xdr:to>
    <xdr:sp macro="" textlink="">
      <xdr:nvSpPr>
        <xdr:cNvPr id="21" name="Oval 20">
          <a:extLst>
            <a:ext uri="{FF2B5EF4-FFF2-40B4-BE49-F238E27FC236}">
              <a16:creationId xmlns:a16="http://schemas.microsoft.com/office/drawing/2014/main" id="{540304BA-D5BC-5A2E-1587-F8C428C2FE3E}"/>
            </a:ext>
          </a:extLst>
        </xdr:cNvPr>
        <xdr:cNvSpPr/>
      </xdr:nvSpPr>
      <xdr:spPr>
        <a:xfrm rot="6869808">
          <a:off x="3143151" y="3890852"/>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61637</xdr:colOff>
      <xdr:row>18</xdr:row>
      <xdr:rowOff>34584</xdr:rowOff>
    </xdr:from>
    <xdr:to>
      <xdr:col>3</xdr:col>
      <xdr:colOff>160273</xdr:colOff>
      <xdr:row>18</xdr:row>
      <xdr:rowOff>131796</xdr:rowOff>
    </xdr:to>
    <xdr:sp macro="" textlink="">
      <xdr:nvSpPr>
        <xdr:cNvPr id="22" name="Oval 21">
          <a:extLst>
            <a:ext uri="{FF2B5EF4-FFF2-40B4-BE49-F238E27FC236}">
              <a16:creationId xmlns:a16="http://schemas.microsoft.com/office/drawing/2014/main" id="{AF850642-421D-ABA0-92B8-A94D5C367B8B}"/>
            </a:ext>
          </a:extLst>
        </xdr:cNvPr>
        <xdr:cNvSpPr/>
      </xdr:nvSpPr>
      <xdr:spPr>
        <a:xfrm rot="6869808">
          <a:off x="1891149" y="3325712"/>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134563</xdr:colOff>
      <xdr:row>20</xdr:row>
      <xdr:rowOff>121762</xdr:rowOff>
    </xdr:from>
    <xdr:to>
      <xdr:col>5</xdr:col>
      <xdr:colOff>233199</xdr:colOff>
      <xdr:row>21</xdr:row>
      <xdr:rowOff>36094</xdr:rowOff>
    </xdr:to>
    <xdr:sp macro="" textlink="">
      <xdr:nvSpPr>
        <xdr:cNvPr id="23" name="Oval 22">
          <a:extLst>
            <a:ext uri="{FF2B5EF4-FFF2-40B4-BE49-F238E27FC236}">
              <a16:creationId xmlns:a16="http://schemas.microsoft.com/office/drawing/2014/main" id="{57526EAE-A25C-FE9C-5D25-A21AFBC5DE23}"/>
            </a:ext>
          </a:extLst>
        </xdr:cNvPr>
        <xdr:cNvSpPr/>
      </xdr:nvSpPr>
      <xdr:spPr>
        <a:xfrm rot="6269808">
          <a:off x="3183275" y="3778650"/>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21513</xdr:colOff>
      <xdr:row>18</xdr:row>
      <xdr:rowOff>146786</xdr:rowOff>
    </xdr:from>
    <xdr:to>
      <xdr:col>3</xdr:col>
      <xdr:colOff>120149</xdr:colOff>
      <xdr:row>19</xdr:row>
      <xdr:rowOff>61118</xdr:rowOff>
    </xdr:to>
    <xdr:sp macro="" textlink="">
      <xdr:nvSpPr>
        <xdr:cNvPr id="24" name="Oval 23">
          <a:extLst>
            <a:ext uri="{FF2B5EF4-FFF2-40B4-BE49-F238E27FC236}">
              <a16:creationId xmlns:a16="http://schemas.microsoft.com/office/drawing/2014/main" id="{67D23F7B-42AB-21C5-D886-DEEC64CBB984}"/>
            </a:ext>
          </a:extLst>
        </xdr:cNvPr>
        <xdr:cNvSpPr/>
      </xdr:nvSpPr>
      <xdr:spPr>
        <a:xfrm rot="6269808">
          <a:off x="1851025" y="3437914"/>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154447</xdr:colOff>
      <xdr:row>20</xdr:row>
      <xdr:rowOff>4382</xdr:rowOff>
    </xdr:from>
    <xdr:to>
      <xdr:col>5</xdr:col>
      <xdr:colOff>253083</xdr:colOff>
      <xdr:row>20</xdr:row>
      <xdr:rowOff>101594</xdr:rowOff>
    </xdr:to>
    <xdr:sp macro="" textlink="">
      <xdr:nvSpPr>
        <xdr:cNvPr id="25" name="Oval 24">
          <a:extLst>
            <a:ext uri="{FF2B5EF4-FFF2-40B4-BE49-F238E27FC236}">
              <a16:creationId xmlns:a16="http://schemas.microsoft.com/office/drawing/2014/main" id="{5CFFF811-2DF2-55BE-7065-9528CE6FCF93}"/>
            </a:ext>
          </a:extLst>
        </xdr:cNvPr>
        <xdr:cNvSpPr/>
      </xdr:nvSpPr>
      <xdr:spPr>
        <a:xfrm rot="5669808">
          <a:off x="3203159" y="3661270"/>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1629</xdr:colOff>
      <xdr:row>19</xdr:row>
      <xdr:rowOff>81286</xdr:rowOff>
    </xdr:from>
    <xdr:to>
      <xdr:col>3</xdr:col>
      <xdr:colOff>100265</xdr:colOff>
      <xdr:row>19</xdr:row>
      <xdr:rowOff>178498</xdr:rowOff>
    </xdr:to>
    <xdr:sp macro="" textlink="">
      <xdr:nvSpPr>
        <xdr:cNvPr id="26" name="Oval 25">
          <a:extLst>
            <a:ext uri="{FF2B5EF4-FFF2-40B4-BE49-F238E27FC236}">
              <a16:creationId xmlns:a16="http://schemas.microsoft.com/office/drawing/2014/main" id="{28F78DAB-220D-4392-A67F-B979A19F2764}"/>
            </a:ext>
          </a:extLst>
        </xdr:cNvPr>
        <xdr:cNvSpPr/>
      </xdr:nvSpPr>
      <xdr:spPr>
        <a:xfrm rot="5669808">
          <a:off x="1831141" y="3555294"/>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152984</xdr:colOff>
      <xdr:row>19</xdr:row>
      <xdr:rowOff>68325</xdr:rowOff>
    </xdr:from>
    <xdr:to>
      <xdr:col>5</xdr:col>
      <xdr:colOff>251542</xdr:colOff>
      <xdr:row>19</xdr:row>
      <xdr:rowOff>165537</xdr:rowOff>
    </xdr:to>
    <xdr:sp macro="" textlink="">
      <xdr:nvSpPr>
        <xdr:cNvPr id="27" name="Oval 26">
          <a:extLst>
            <a:ext uri="{FF2B5EF4-FFF2-40B4-BE49-F238E27FC236}">
              <a16:creationId xmlns:a16="http://schemas.microsoft.com/office/drawing/2014/main" id="{9DD23AA1-A213-EC5F-0DF6-2E88957036B3}"/>
            </a:ext>
          </a:extLst>
        </xdr:cNvPr>
        <xdr:cNvSpPr/>
      </xdr:nvSpPr>
      <xdr:spPr>
        <a:xfrm rot="5069808">
          <a:off x="3201657" y="3542372"/>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3170</xdr:colOff>
      <xdr:row>20</xdr:row>
      <xdr:rowOff>17343</xdr:rowOff>
    </xdr:from>
    <xdr:to>
      <xdr:col>3</xdr:col>
      <xdr:colOff>101728</xdr:colOff>
      <xdr:row>20</xdr:row>
      <xdr:rowOff>114555</xdr:rowOff>
    </xdr:to>
    <xdr:sp macro="" textlink="">
      <xdr:nvSpPr>
        <xdr:cNvPr id="28" name="Oval 27">
          <a:extLst>
            <a:ext uri="{FF2B5EF4-FFF2-40B4-BE49-F238E27FC236}">
              <a16:creationId xmlns:a16="http://schemas.microsoft.com/office/drawing/2014/main" id="{05656794-1184-0FEB-0024-94356A993F06}"/>
            </a:ext>
          </a:extLst>
        </xdr:cNvPr>
        <xdr:cNvSpPr/>
      </xdr:nvSpPr>
      <xdr:spPr>
        <a:xfrm rot="5069808">
          <a:off x="1832643" y="3674270"/>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131226</xdr:colOff>
      <xdr:row>18</xdr:row>
      <xdr:rowOff>134313</xdr:rowOff>
    </xdr:from>
    <xdr:to>
      <xdr:col>5</xdr:col>
      <xdr:colOff>229784</xdr:colOff>
      <xdr:row>19</xdr:row>
      <xdr:rowOff>48645</xdr:rowOff>
    </xdr:to>
    <xdr:sp macro="" textlink="">
      <xdr:nvSpPr>
        <xdr:cNvPr id="29" name="Oval 28">
          <a:extLst>
            <a:ext uri="{FF2B5EF4-FFF2-40B4-BE49-F238E27FC236}">
              <a16:creationId xmlns:a16="http://schemas.microsoft.com/office/drawing/2014/main" id="{7A8175A9-7146-9F7E-6ACB-64078A8D1349}"/>
            </a:ext>
          </a:extLst>
        </xdr:cNvPr>
        <xdr:cNvSpPr/>
      </xdr:nvSpPr>
      <xdr:spPr>
        <a:xfrm rot="4469808">
          <a:off x="3179899" y="3425480"/>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24928</xdr:colOff>
      <xdr:row>20</xdr:row>
      <xdr:rowOff>134234</xdr:rowOff>
    </xdr:from>
    <xdr:to>
      <xdr:col>3</xdr:col>
      <xdr:colOff>123486</xdr:colOff>
      <xdr:row>21</xdr:row>
      <xdr:rowOff>48566</xdr:rowOff>
    </xdr:to>
    <xdr:sp macro="" textlink="">
      <xdr:nvSpPr>
        <xdr:cNvPr id="30" name="Oval 29">
          <a:extLst>
            <a:ext uri="{FF2B5EF4-FFF2-40B4-BE49-F238E27FC236}">
              <a16:creationId xmlns:a16="http://schemas.microsoft.com/office/drawing/2014/main" id="{B28BA88A-3483-AD47-F28A-3D883D1C5435}"/>
            </a:ext>
          </a:extLst>
        </xdr:cNvPr>
        <xdr:cNvSpPr/>
      </xdr:nvSpPr>
      <xdr:spPr>
        <a:xfrm rot="4469808">
          <a:off x="1854401" y="3791161"/>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89331</xdr:colOff>
      <xdr:row>18</xdr:row>
      <xdr:rowOff>22977</xdr:rowOff>
    </xdr:from>
    <xdr:to>
      <xdr:col>5</xdr:col>
      <xdr:colOff>187889</xdr:colOff>
      <xdr:row>18</xdr:row>
      <xdr:rowOff>120189</xdr:rowOff>
    </xdr:to>
    <xdr:sp macro="" textlink="">
      <xdr:nvSpPr>
        <xdr:cNvPr id="31" name="Oval 30">
          <a:extLst>
            <a:ext uri="{FF2B5EF4-FFF2-40B4-BE49-F238E27FC236}">
              <a16:creationId xmlns:a16="http://schemas.microsoft.com/office/drawing/2014/main" id="{27ED8989-9628-5887-0F4D-DB89E5B9F10B}"/>
            </a:ext>
          </a:extLst>
        </xdr:cNvPr>
        <xdr:cNvSpPr/>
      </xdr:nvSpPr>
      <xdr:spPr>
        <a:xfrm rot="3869808">
          <a:off x="3138004" y="3314144"/>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66822</xdr:colOff>
      <xdr:row>21</xdr:row>
      <xdr:rowOff>62690</xdr:rowOff>
    </xdr:from>
    <xdr:to>
      <xdr:col>3</xdr:col>
      <xdr:colOff>165380</xdr:colOff>
      <xdr:row>21</xdr:row>
      <xdr:rowOff>159902</xdr:rowOff>
    </xdr:to>
    <xdr:sp macro="" textlink="">
      <xdr:nvSpPr>
        <xdr:cNvPr id="32" name="Oval 31">
          <a:extLst>
            <a:ext uri="{FF2B5EF4-FFF2-40B4-BE49-F238E27FC236}">
              <a16:creationId xmlns:a16="http://schemas.microsoft.com/office/drawing/2014/main" id="{2396B250-3C54-70C7-B07D-2AEA069DE1E0}"/>
            </a:ext>
          </a:extLst>
        </xdr:cNvPr>
        <xdr:cNvSpPr/>
      </xdr:nvSpPr>
      <xdr:spPr>
        <a:xfrm rot="3869808">
          <a:off x="1896295" y="3902497"/>
          <a:ext cx="97212" cy="98558"/>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28976</xdr:colOff>
      <xdr:row>17</xdr:row>
      <xdr:rowOff>103146</xdr:rowOff>
    </xdr:from>
    <xdr:to>
      <xdr:col>5</xdr:col>
      <xdr:colOff>127612</xdr:colOff>
      <xdr:row>18</xdr:row>
      <xdr:rowOff>17478</xdr:rowOff>
    </xdr:to>
    <xdr:sp macro="" textlink="">
      <xdr:nvSpPr>
        <xdr:cNvPr id="33" name="Oval 32">
          <a:extLst>
            <a:ext uri="{FF2B5EF4-FFF2-40B4-BE49-F238E27FC236}">
              <a16:creationId xmlns:a16="http://schemas.microsoft.com/office/drawing/2014/main" id="{A4D23B17-51DA-D20F-8019-C25E2EDEBEC7}"/>
            </a:ext>
          </a:extLst>
        </xdr:cNvPr>
        <xdr:cNvSpPr/>
      </xdr:nvSpPr>
      <xdr:spPr>
        <a:xfrm rot="3269808">
          <a:off x="3077688" y="3211394"/>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127100</xdr:colOff>
      <xdr:row>21</xdr:row>
      <xdr:rowOff>165402</xdr:rowOff>
    </xdr:from>
    <xdr:to>
      <xdr:col>3</xdr:col>
      <xdr:colOff>225736</xdr:colOff>
      <xdr:row>22</xdr:row>
      <xdr:rowOff>79734</xdr:rowOff>
    </xdr:to>
    <xdr:sp macro="" textlink="">
      <xdr:nvSpPr>
        <xdr:cNvPr id="43" name="Oval 42">
          <a:extLst>
            <a:ext uri="{FF2B5EF4-FFF2-40B4-BE49-F238E27FC236}">
              <a16:creationId xmlns:a16="http://schemas.microsoft.com/office/drawing/2014/main" id="{1A97985A-BADC-B8B3-7DBF-87F70D76EA7F}"/>
            </a:ext>
          </a:extLst>
        </xdr:cNvPr>
        <xdr:cNvSpPr/>
      </xdr:nvSpPr>
      <xdr:spPr>
        <a:xfrm rot="3269808">
          <a:off x="1956612" y="4005170"/>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561449</xdr:colOff>
      <xdr:row>17</xdr:row>
      <xdr:rowOff>12015</xdr:rowOff>
    </xdr:from>
    <xdr:to>
      <xdr:col>5</xdr:col>
      <xdr:colOff>49061</xdr:colOff>
      <xdr:row>17</xdr:row>
      <xdr:rowOff>110651</xdr:rowOff>
    </xdr:to>
    <xdr:sp macro="" textlink="">
      <xdr:nvSpPr>
        <xdr:cNvPr id="52" name="Oval 51">
          <a:extLst>
            <a:ext uri="{FF2B5EF4-FFF2-40B4-BE49-F238E27FC236}">
              <a16:creationId xmlns:a16="http://schemas.microsoft.com/office/drawing/2014/main" id="{1E6B73C8-AFE2-C0ED-432C-E0845E0B13CE}"/>
            </a:ext>
          </a:extLst>
        </xdr:cNvPr>
        <xdr:cNvSpPr/>
      </xdr:nvSpPr>
      <xdr:spPr>
        <a:xfrm rot="2669808">
          <a:off x="2999849" y="3120975"/>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205651</xdr:colOff>
      <xdr:row>22</xdr:row>
      <xdr:rowOff>72230</xdr:rowOff>
    </xdr:from>
    <xdr:to>
      <xdr:col>3</xdr:col>
      <xdr:colOff>302863</xdr:colOff>
      <xdr:row>22</xdr:row>
      <xdr:rowOff>170866</xdr:rowOff>
    </xdr:to>
    <xdr:sp macro="" textlink="">
      <xdr:nvSpPr>
        <xdr:cNvPr id="53" name="Oval 52">
          <a:extLst>
            <a:ext uri="{FF2B5EF4-FFF2-40B4-BE49-F238E27FC236}">
              <a16:creationId xmlns:a16="http://schemas.microsoft.com/office/drawing/2014/main" id="{DC445469-D28F-8452-DF4D-C56B01D62884}"/>
            </a:ext>
          </a:extLst>
        </xdr:cNvPr>
        <xdr:cNvSpPr/>
      </xdr:nvSpPr>
      <xdr:spPr>
        <a:xfrm rot="2669808">
          <a:off x="2034451" y="4095590"/>
          <a:ext cx="97212" cy="98636"/>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468544</xdr:colOff>
      <xdr:row>16</xdr:row>
      <xdr:rowOff>119685</xdr:rowOff>
    </xdr:from>
    <xdr:to>
      <xdr:col>4</xdr:col>
      <xdr:colOff>566556</xdr:colOff>
      <xdr:row>17</xdr:row>
      <xdr:rowOff>34636</xdr:rowOff>
    </xdr:to>
    <xdr:sp macro="" textlink="">
      <xdr:nvSpPr>
        <xdr:cNvPr id="56" name="Oval 55">
          <a:extLst>
            <a:ext uri="{FF2B5EF4-FFF2-40B4-BE49-F238E27FC236}">
              <a16:creationId xmlns:a16="http://schemas.microsoft.com/office/drawing/2014/main" id="{326E1EEC-9F7A-A83B-0C46-7F076535A4EB}"/>
            </a:ext>
          </a:extLst>
        </xdr:cNvPr>
        <xdr:cNvSpPr/>
      </xdr:nvSpPr>
      <xdr:spPr>
        <a:xfrm rot="2069808">
          <a:off x="2906944" y="3045765"/>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297756</xdr:colOff>
      <xdr:row>22</xdr:row>
      <xdr:rowOff>148244</xdr:rowOff>
    </xdr:from>
    <xdr:to>
      <xdr:col>3</xdr:col>
      <xdr:colOff>395768</xdr:colOff>
      <xdr:row>23</xdr:row>
      <xdr:rowOff>63195</xdr:rowOff>
    </xdr:to>
    <xdr:sp macro="" textlink="">
      <xdr:nvSpPr>
        <xdr:cNvPr id="59" name="Oval 58">
          <a:extLst>
            <a:ext uri="{FF2B5EF4-FFF2-40B4-BE49-F238E27FC236}">
              <a16:creationId xmlns:a16="http://schemas.microsoft.com/office/drawing/2014/main" id="{B466A405-A1D0-A3F2-291B-FE15A92BDF9B}"/>
            </a:ext>
          </a:extLst>
        </xdr:cNvPr>
        <xdr:cNvSpPr/>
      </xdr:nvSpPr>
      <xdr:spPr>
        <a:xfrm rot="2069808">
          <a:off x="2126556" y="4171604"/>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364182</xdr:colOff>
      <xdr:row>16</xdr:row>
      <xdr:rowOff>61176</xdr:rowOff>
    </xdr:from>
    <xdr:to>
      <xdr:col>4</xdr:col>
      <xdr:colOff>462194</xdr:colOff>
      <xdr:row>16</xdr:row>
      <xdr:rowOff>159007</xdr:rowOff>
    </xdr:to>
    <xdr:sp macro="" textlink="">
      <xdr:nvSpPr>
        <xdr:cNvPr id="62" name="Oval 61">
          <a:extLst>
            <a:ext uri="{FF2B5EF4-FFF2-40B4-BE49-F238E27FC236}">
              <a16:creationId xmlns:a16="http://schemas.microsoft.com/office/drawing/2014/main" id="{7EC03932-8E17-7035-01A0-EF0905AE0E82}"/>
            </a:ext>
          </a:extLst>
        </xdr:cNvPr>
        <xdr:cNvSpPr/>
      </xdr:nvSpPr>
      <xdr:spPr>
        <a:xfrm rot="1469808">
          <a:off x="2802582" y="2987256"/>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402118</xdr:colOff>
      <xdr:row>23</xdr:row>
      <xdr:rowOff>23874</xdr:rowOff>
    </xdr:from>
    <xdr:to>
      <xdr:col>3</xdr:col>
      <xdr:colOff>500130</xdr:colOff>
      <xdr:row>23</xdr:row>
      <xdr:rowOff>121705</xdr:rowOff>
    </xdr:to>
    <xdr:sp macro="" textlink="">
      <xdr:nvSpPr>
        <xdr:cNvPr id="65" name="Oval 64">
          <a:extLst>
            <a:ext uri="{FF2B5EF4-FFF2-40B4-BE49-F238E27FC236}">
              <a16:creationId xmlns:a16="http://schemas.microsoft.com/office/drawing/2014/main" id="{56DEF947-30E6-213C-7204-5B537550E071}"/>
            </a:ext>
          </a:extLst>
        </xdr:cNvPr>
        <xdr:cNvSpPr/>
      </xdr:nvSpPr>
      <xdr:spPr>
        <a:xfrm rot="1469808">
          <a:off x="2230918" y="4230114"/>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251136</xdr:colOff>
      <xdr:row>16</xdr:row>
      <xdr:rowOff>21549</xdr:rowOff>
    </xdr:from>
    <xdr:to>
      <xdr:col>4</xdr:col>
      <xdr:colOff>349148</xdr:colOff>
      <xdr:row>16</xdr:row>
      <xdr:rowOff>119380</xdr:rowOff>
    </xdr:to>
    <xdr:sp macro="" textlink="">
      <xdr:nvSpPr>
        <xdr:cNvPr id="68" name="Oval 67">
          <a:extLst>
            <a:ext uri="{FF2B5EF4-FFF2-40B4-BE49-F238E27FC236}">
              <a16:creationId xmlns:a16="http://schemas.microsoft.com/office/drawing/2014/main" id="{813546A0-BA0B-88D2-9EEB-DBAAE4446A7C}"/>
            </a:ext>
          </a:extLst>
        </xdr:cNvPr>
        <xdr:cNvSpPr/>
      </xdr:nvSpPr>
      <xdr:spPr>
        <a:xfrm rot="869808">
          <a:off x="2689536" y="2947629"/>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515164</xdr:colOff>
      <xdr:row>23</xdr:row>
      <xdr:rowOff>63500</xdr:rowOff>
    </xdr:from>
    <xdr:to>
      <xdr:col>4</xdr:col>
      <xdr:colOff>3576</xdr:colOff>
      <xdr:row>23</xdr:row>
      <xdr:rowOff>161331</xdr:rowOff>
    </xdr:to>
    <xdr:sp macro="" textlink="">
      <xdr:nvSpPr>
        <xdr:cNvPr id="71" name="Oval 70">
          <a:extLst>
            <a:ext uri="{FF2B5EF4-FFF2-40B4-BE49-F238E27FC236}">
              <a16:creationId xmlns:a16="http://schemas.microsoft.com/office/drawing/2014/main" id="{906AE237-2754-133A-B516-4D0481A2340A}"/>
            </a:ext>
          </a:extLst>
        </xdr:cNvPr>
        <xdr:cNvSpPr/>
      </xdr:nvSpPr>
      <xdr:spPr>
        <a:xfrm rot="869808">
          <a:off x="2343964" y="4269740"/>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23861</xdr:colOff>
      <xdr:row>23</xdr:row>
      <xdr:rowOff>83042</xdr:rowOff>
    </xdr:from>
    <xdr:to>
      <xdr:col>4</xdr:col>
      <xdr:colOff>121873</xdr:colOff>
      <xdr:row>23</xdr:row>
      <xdr:rowOff>180873</xdr:rowOff>
    </xdr:to>
    <xdr:sp macro="" textlink="">
      <xdr:nvSpPr>
        <xdr:cNvPr id="77" name="Oval 76">
          <a:extLst>
            <a:ext uri="{FF2B5EF4-FFF2-40B4-BE49-F238E27FC236}">
              <a16:creationId xmlns:a16="http://schemas.microsoft.com/office/drawing/2014/main" id="{B2726E31-4F78-5B8C-A96C-AD0006995DD2}"/>
            </a:ext>
          </a:extLst>
        </xdr:cNvPr>
        <xdr:cNvSpPr/>
      </xdr:nvSpPr>
      <xdr:spPr>
        <a:xfrm rot="269808">
          <a:off x="2462261" y="4289282"/>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12887</xdr:colOff>
      <xdr:row>16</xdr:row>
      <xdr:rowOff>3146</xdr:rowOff>
    </xdr:from>
    <xdr:to>
      <xdr:col>4</xdr:col>
      <xdr:colOff>110899</xdr:colOff>
      <xdr:row>16</xdr:row>
      <xdr:rowOff>100977</xdr:rowOff>
    </xdr:to>
    <xdr:sp macro="" textlink="">
      <xdr:nvSpPr>
        <xdr:cNvPr id="80" name="Oval 79">
          <a:extLst>
            <a:ext uri="{FF2B5EF4-FFF2-40B4-BE49-F238E27FC236}">
              <a16:creationId xmlns:a16="http://schemas.microsoft.com/office/drawing/2014/main" id="{359276CB-E87C-9005-5FE5-B8A64477FC5A}"/>
            </a:ext>
          </a:extLst>
        </xdr:cNvPr>
        <xdr:cNvSpPr/>
      </xdr:nvSpPr>
      <xdr:spPr>
        <a:xfrm rot="21269808">
          <a:off x="2451287" y="2929226"/>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143813</xdr:colOff>
      <xdr:row>23</xdr:row>
      <xdr:rowOff>81903</xdr:rowOff>
    </xdr:from>
    <xdr:to>
      <xdr:col>4</xdr:col>
      <xdr:colOff>241825</xdr:colOff>
      <xdr:row>23</xdr:row>
      <xdr:rowOff>179734</xdr:rowOff>
    </xdr:to>
    <xdr:sp macro="" textlink="">
      <xdr:nvSpPr>
        <xdr:cNvPr id="83" name="Oval 82">
          <a:extLst>
            <a:ext uri="{FF2B5EF4-FFF2-40B4-BE49-F238E27FC236}">
              <a16:creationId xmlns:a16="http://schemas.microsoft.com/office/drawing/2014/main" id="{EFC64C76-BD66-BA9A-7005-5A13CB97541E}"/>
            </a:ext>
          </a:extLst>
        </xdr:cNvPr>
        <xdr:cNvSpPr/>
      </xdr:nvSpPr>
      <xdr:spPr>
        <a:xfrm rot="21269808">
          <a:off x="2582213" y="4288143"/>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261776</xdr:colOff>
      <xdr:row>23</xdr:row>
      <xdr:rowOff>60120</xdr:rowOff>
    </xdr:from>
    <xdr:to>
      <xdr:col>4</xdr:col>
      <xdr:colOff>359788</xdr:colOff>
      <xdr:row>23</xdr:row>
      <xdr:rowOff>157951</xdr:rowOff>
    </xdr:to>
    <xdr:sp macro="" textlink="">
      <xdr:nvSpPr>
        <xdr:cNvPr id="86" name="Oval 85">
          <a:extLst>
            <a:ext uri="{FF2B5EF4-FFF2-40B4-BE49-F238E27FC236}">
              <a16:creationId xmlns:a16="http://schemas.microsoft.com/office/drawing/2014/main" id="{0D1295B3-39CD-7D69-3D36-292C71F0571F}"/>
            </a:ext>
          </a:extLst>
        </xdr:cNvPr>
        <xdr:cNvSpPr/>
      </xdr:nvSpPr>
      <xdr:spPr>
        <a:xfrm rot="9869808">
          <a:off x="2700176" y="4266360"/>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504524</xdr:colOff>
      <xdr:row>16</xdr:row>
      <xdr:rowOff>24930</xdr:rowOff>
    </xdr:from>
    <xdr:to>
      <xdr:col>3</xdr:col>
      <xdr:colOff>602536</xdr:colOff>
      <xdr:row>16</xdr:row>
      <xdr:rowOff>122761</xdr:rowOff>
    </xdr:to>
    <xdr:sp macro="" textlink="">
      <xdr:nvSpPr>
        <xdr:cNvPr id="89" name="Oval 88">
          <a:extLst>
            <a:ext uri="{FF2B5EF4-FFF2-40B4-BE49-F238E27FC236}">
              <a16:creationId xmlns:a16="http://schemas.microsoft.com/office/drawing/2014/main" id="{646D1487-1C84-C84B-3FBE-81E10E0F44F9}"/>
            </a:ext>
          </a:extLst>
        </xdr:cNvPr>
        <xdr:cNvSpPr/>
      </xdr:nvSpPr>
      <xdr:spPr>
        <a:xfrm rot="9869808">
          <a:off x="2333324" y="2951010"/>
          <a:ext cx="98012" cy="97831"/>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319732</xdr:colOff>
      <xdr:row>22</xdr:row>
      <xdr:rowOff>80192</xdr:rowOff>
    </xdr:from>
    <xdr:to>
      <xdr:col>4</xdr:col>
      <xdr:colOff>397943</xdr:colOff>
      <xdr:row>22</xdr:row>
      <xdr:rowOff>158149</xdr:rowOff>
    </xdr:to>
    <xdr:sp macro="" textlink="">
      <xdr:nvSpPr>
        <xdr:cNvPr id="95" name="Oval 94">
          <a:extLst>
            <a:ext uri="{FF2B5EF4-FFF2-40B4-BE49-F238E27FC236}">
              <a16:creationId xmlns:a16="http://schemas.microsoft.com/office/drawing/2014/main" id="{915A94C6-6440-75C6-4049-9EBD26C288F9}"/>
            </a:ext>
          </a:extLst>
        </xdr:cNvPr>
        <xdr:cNvSpPr/>
      </xdr:nvSpPr>
      <xdr:spPr>
        <a:xfrm rot="9269808">
          <a:off x="2758132" y="4103552"/>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457364</xdr:colOff>
      <xdr:row>17</xdr:row>
      <xdr:rowOff>13068</xdr:rowOff>
    </xdr:from>
    <xdr:to>
      <xdr:col>3</xdr:col>
      <xdr:colOff>535575</xdr:colOff>
      <xdr:row>17</xdr:row>
      <xdr:rowOff>91025</xdr:rowOff>
    </xdr:to>
    <xdr:sp macro="" textlink="">
      <xdr:nvSpPr>
        <xdr:cNvPr id="98" name="Oval 97">
          <a:extLst>
            <a:ext uri="{FF2B5EF4-FFF2-40B4-BE49-F238E27FC236}">
              <a16:creationId xmlns:a16="http://schemas.microsoft.com/office/drawing/2014/main" id="{FA34753E-5898-3EB5-7EE5-F4930785E603}"/>
            </a:ext>
          </a:extLst>
        </xdr:cNvPr>
        <xdr:cNvSpPr/>
      </xdr:nvSpPr>
      <xdr:spPr>
        <a:xfrm rot="9269808">
          <a:off x="2286164" y="3122028"/>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401997</xdr:colOff>
      <xdr:row>22</xdr:row>
      <xdr:rowOff>31668</xdr:rowOff>
    </xdr:from>
    <xdr:to>
      <xdr:col>4</xdr:col>
      <xdr:colOff>480208</xdr:colOff>
      <xdr:row>22</xdr:row>
      <xdr:rowOff>109563</xdr:rowOff>
    </xdr:to>
    <xdr:sp macro="" textlink="">
      <xdr:nvSpPr>
        <xdr:cNvPr id="101" name="Oval 100">
          <a:extLst>
            <a:ext uri="{FF2B5EF4-FFF2-40B4-BE49-F238E27FC236}">
              <a16:creationId xmlns:a16="http://schemas.microsoft.com/office/drawing/2014/main" id="{635E9802-DB4C-6367-9D39-88913F5E9936}"/>
            </a:ext>
          </a:extLst>
        </xdr:cNvPr>
        <xdr:cNvSpPr/>
      </xdr:nvSpPr>
      <xdr:spPr>
        <a:xfrm rot="8669808">
          <a:off x="2840397" y="4055028"/>
          <a:ext cx="78211" cy="77895"/>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375098</xdr:colOff>
      <xdr:row>17</xdr:row>
      <xdr:rowOff>61654</xdr:rowOff>
    </xdr:from>
    <xdr:to>
      <xdr:col>3</xdr:col>
      <xdr:colOff>453309</xdr:colOff>
      <xdr:row>17</xdr:row>
      <xdr:rowOff>139549</xdr:rowOff>
    </xdr:to>
    <xdr:sp macro="" textlink="">
      <xdr:nvSpPr>
        <xdr:cNvPr id="142" name="Oval 141">
          <a:extLst>
            <a:ext uri="{FF2B5EF4-FFF2-40B4-BE49-F238E27FC236}">
              <a16:creationId xmlns:a16="http://schemas.microsoft.com/office/drawing/2014/main" id="{9BC484AE-8C03-75F9-A13D-F07463C09CD5}"/>
            </a:ext>
          </a:extLst>
        </xdr:cNvPr>
        <xdr:cNvSpPr/>
      </xdr:nvSpPr>
      <xdr:spPr>
        <a:xfrm rot="8669808">
          <a:off x="2203898" y="3170614"/>
          <a:ext cx="78211" cy="77895"/>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474937</xdr:colOff>
      <xdr:row>21</xdr:row>
      <xdr:rowOff>152785</xdr:rowOff>
    </xdr:from>
    <xdr:to>
      <xdr:col>4</xdr:col>
      <xdr:colOff>552832</xdr:colOff>
      <xdr:row>22</xdr:row>
      <xdr:rowOff>48116</xdr:rowOff>
    </xdr:to>
    <xdr:sp macro="" textlink="">
      <xdr:nvSpPr>
        <xdr:cNvPr id="143" name="Oval 142">
          <a:extLst>
            <a:ext uri="{FF2B5EF4-FFF2-40B4-BE49-F238E27FC236}">
              <a16:creationId xmlns:a16="http://schemas.microsoft.com/office/drawing/2014/main" id="{43D5A14A-4EEA-5A12-10FD-F41CFD35234E}"/>
            </a:ext>
          </a:extLst>
        </xdr:cNvPr>
        <xdr:cNvSpPr/>
      </xdr:nvSpPr>
      <xdr:spPr>
        <a:xfrm rot="8069808">
          <a:off x="2913179" y="3993423"/>
          <a:ext cx="78211" cy="77895"/>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302475</xdr:colOff>
      <xdr:row>17</xdr:row>
      <xdr:rowOff>123100</xdr:rowOff>
    </xdr:from>
    <xdr:to>
      <xdr:col>3</xdr:col>
      <xdr:colOff>380370</xdr:colOff>
      <xdr:row>18</xdr:row>
      <xdr:rowOff>18431</xdr:rowOff>
    </xdr:to>
    <xdr:sp macro="" textlink="">
      <xdr:nvSpPr>
        <xdr:cNvPr id="144" name="Oval 143">
          <a:extLst>
            <a:ext uri="{FF2B5EF4-FFF2-40B4-BE49-F238E27FC236}">
              <a16:creationId xmlns:a16="http://schemas.microsoft.com/office/drawing/2014/main" id="{313CC399-3A72-7D8B-C3BD-D0D06312236D}"/>
            </a:ext>
          </a:extLst>
        </xdr:cNvPr>
        <xdr:cNvSpPr/>
      </xdr:nvSpPr>
      <xdr:spPr>
        <a:xfrm rot="8069808">
          <a:off x="2131117" y="3232218"/>
          <a:ext cx="78211" cy="77895"/>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535463</xdr:colOff>
      <xdr:row>21</xdr:row>
      <xdr:rowOff>79990</xdr:rowOff>
    </xdr:from>
    <xdr:to>
      <xdr:col>5</xdr:col>
      <xdr:colOff>4509</xdr:colOff>
      <xdr:row>21</xdr:row>
      <xdr:rowOff>157454</xdr:rowOff>
    </xdr:to>
    <xdr:sp macro="" textlink="">
      <xdr:nvSpPr>
        <xdr:cNvPr id="145" name="Oval 144">
          <a:extLst>
            <a:ext uri="{FF2B5EF4-FFF2-40B4-BE49-F238E27FC236}">
              <a16:creationId xmlns:a16="http://schemas.microsoft.com/office/drawing/2014/main" id="{F5F2D623-74A1-EFF6-E192-45F810A2685D}"/>
            </a:ext>
          </a:extLst>
        </xdr:cNvPr>
        <xdr:cNvSpPr/>
      </xdr:nvSpPr>
      <xdr:spPr>
        <a:xfrm rot="7469808">
          <a:off x="2974454" y="3919879"/>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241198</xdr:colOff>
      <xdr:row>18</xdr:row>
      <xdr:rowOff>13761</xdr:rowOff>
    </xdr:from>
    <xdr:to>
      <xdr:col>3</xdr:col>
      <xdr:colOff>319844</xdr:colOff>
      <xdr:row>18</xdr:row>
      <xdr:rowOff>91225</xdr:rowOff>
    </xdr:to>
    <xdr:sp macro="" textlink="">
      <xdr:nvSpPr>
        <xdr:cNvPr id="146" name="Oval 145">
          <a:extLst>
            <a:ext uri="{FF2B5EF4-FFF2-40B4-BE49-F238E27FC236}">
              <a16:creationId xmlns:a16="http://schemas.microsoft.com/office/drawing/2014/main" id="{72AEC10E-FB4A-FE9C-868B-5D4EDC978366}"/>
            </a:ext>
          </a:extLst>
        </xdr:cNvPr>
        <xdr:cNvSpPr/>
      </xdr:nvSpPr>
      <xdr:spPr>
        <a:xfrm rot="7469808">
          <a:off x="2070589" y="3305010"/>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582995</xdr:colOff>
      <xdr:row>20</xdr:row>
      <xdr:rowOff>180540</xdr:rowOff>
    </xdr:from>
    <xdr:to>
      <xdr:col>5</xdr:col>
      <xdr:colOff>52104</xdr:colOff>
      <xdr:row>21</xdr:row>
      <xdr:rowOff>75124</xdr:rowOff>
    </xdr:to>
    <xdr:sp macro="" textlink="">
      <xdr:nvSpPr>
        <xdr:cNvPr id="147" name="Oval 146">
          <a:extLst>
            <a:ext uri="{FF2B5EF4-FFF2-40B4-BE49-F238E27FC236}">
              <a16:creationId xmlns:a16="http://schemas.microsoft.com/office/drawing/2014/main" id="{C7DBA07E-7A96-02B5-4D7F-30564D2E4418}"/>
            </a:ext>
          </a:extLst>
        </xdr:cNvPr>
        <xdr:cNvSpPr/>
      </xdr:nvSpPr>
      <xdr:spPr>
        <a:xfrm rot="6869808">
          <a:off x="3022018" y="3837517"/>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193602</xdr:colOff>
      <xdr:row>18</xdr:row>
      <xdr:rowOff>96094</xdr:rowOff>
    </xdr:from>
    <xdr:to>
      <xdr:col>3</xdr:col>
      <xdr:colOff>272311</xdr:colOff>
      <xdr:row>18</xdr:row>
      <xdr:rowOff>173558</xdr:rowOff>
    </xdr:to>
    <xdr:sp macro="" textlink="">
      <xdr:nvSpPr>
        <xdr:cNvPr id="148" name="Oval 147">
          <a:extLst>
            <a:ext uri="{FF2B5EF4-FFF2-40B4-BE49-F238E27FC236}">
              <a16:creationId xmlns:a16="http://schemas.microsoft.com/office/drawing/2014/main" id="{34D97BB7-FA4A-0515-259C-4DA7254DA722}"/>
            </a:ext>
          </a:extLst>
        </xdr:cNvPr>
        <xdr:cNvSpPr/>
      </xdr:nvSpPr>
      <xdr:spPr>
        <a:xfrm rot="6869808">
          <a:off x="2023025" y="3387311"/>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5424</xdr:colOff>
      <xdr:row>20</xdr:row>
      <xdr:rowOff>91125</xdr:rowOff>
    </xdr:from>
    <xdr:to>
      <xdr:col>5</xdr:col>
      <xdr:colOff>84133</xdr:colOff>
      <xdr:row>20</xdr:row>
      <xdr:rowOff>168589</xdr:rowOff>
    </xdr:to>
    <xdr:sp macro="" textlink="">
      <xdr:nvSpPr>
        <xdr:cNvPr id="149" name="Oval 148">
          <a:extLst>
            <a:ext uri="{FF2B5EF4-FFF2-40B4-BE49-F238E27FC236}">
              <a16:creationId xmlns:a16="http://schemas.microsoft.com/office/drawing/2014/main" id="{36D6C2E3-4C09-0A43-C2AA-0781890DF203}"/>
            </a:ext>
          </a:extLst>
        </xdr:cNvPr>
        <xdr:cNvSpPr/>
      </xdr:nvSpPr>
      <xdr:spPr>
        <a:xfrm rot="6269808">
          <a:off x="3054047" y="3748102"/>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161573</xdr:colOff>
      <xdr:row>19</xdr:row>
      <xdr:rowOff>2629</xdr:rowOff>
    </xdr:from>
    <xdr:to>
      <xdr:col>3</xdr:col>
      <xdr:colOff>240282</xdr:colOff>
      <xdr:row>19</xdr:row>
      <xdr:rowOff>80093</xdr:rowOff>
    </xdr:to>
    <xdr:sp macro="" textlink="">
      <xdr:nvSpPr>
        <xdr:cNvPr id="150" name="Oval 149">
          <a:extLst>
            <a:ext uri="{FF2B5EF4-FFF2-40B4-BE49-F238E27FC236}">
              <a16:creationId xmlns:a16="http://schemas.microsoft.com/office/drawing/2014/main" id="{A4BAE877-FD8E-A528-5AF6-1DCF03D387B4}"/>
            </a:ext>
          </a:extLst>
        </xdr:cNvPr>
        <xdr:cNvSpPr/>
      </xdr:nvSpPr>
      <xdr:spPr>
        <a:xfrm rot="6269808">
          <a:off x="1990996" y="3476726"/>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21303</xdr:colOff>
      <xdr:row>19</xdr:row>
      <xdr:rowOff>180467</xdr:rowOff>
    </xdr:from>
    <xdr:to>
      <xdr:col>5</xdr:col>
      <xdr:colOff>100012</xdr:colOff>
      <xdr:row>20</xdr:row>
      <xdr:rowOff>75051</xdr:rowOff>
    </xdr:to>
    <xdr:sp macro="" textlink="">
      <xdr:nvSpPr>
        <xdr:cNvPr id="151" name="Oval 150">
          <a:extLst>
            <a:ext uri="{FF2B5EF4-FFF2-40B4-BE49-F238E27FC236}">
              <a16:creationId xmlns:a16="http://schemas.microsoft.com/office/drawing/2014/main" id="{C9BCD040-E522-5236-216B-3D95F2E6B09A}"/>
            </a:ext>
          </a:extLst>
        </xdr:cNvPr>
        <xdr:cNvSpPr/>
      </xdr:nvSpPr>
      <xdr:spPr>
        <a:xfrm rot="5669808">
          <a:off x="3069926" y="3654564"/>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145694</xdr:colOff>
      <xdr:row>19</xdr:row>
      <xdr:rowOff>96167</xdr:rowOff>
    </xdr:from>
    <xdr:to>
      <xdr:col>3</xdr:col>
      <xdr:colOff>224403</xdr:colOff>
      <xdr:row>19</xdr:row>
      <xdr:rowOff>173631</xdr:rowOff>
    </xdr:to>
    <xdr:sp macro="" textlink="">
      <xdr:nvSpPr>
        <xdr:cNvPr id="152" name="Oval 151">
          <a:extLst>
            <a:ext uri="{FF2B5EF4-FFF2-40B4-BE49-F238E27FC236}">
              <a16:creationId xmlns:a16="http://schemas.microsoft.com/office/drawing/2014/main" id="{F1F04F1E-851C-1E6D-BC51-0B6E73B47153}"/>
            </a:ext>
          </a:extLst>
        </xdr:cNvPr>
        <xdr:cNvSpPr/>
      </xdr:nvSpPr>
      <xdr:spPr>
        <a:xfrm rot="5669808">
          <a:off x="1975117" y="3570264"/>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20150</xdr:colOff>
      <xdr:row>19</xdr:row>
      <xdr:rowOff>85690</xdr:rowOff>
    </xdr:from>
    <xdr:to>
      <xdr:col>5</xdr:col>
      <xdr:colOff>98796</xdr:colOff>
      <xdr:row>19</xdr:row>
      <xdr:rowOff>163154</xdr:rowOff>
    </xdr:to>
    <xdr:sp macro="" textlink="">
      <xdr:nvSpPr>
        <xdr:cNvPr id="153" name="Oval 152">
          <a:extLst>
            <a:ext uri="{FF2B5EF4-FFF2-40B4-BE49-F238E27FC236}">
              <a16:creationId xmlns:a16="http://schemas.microsoft.com/office/drawing/2014/main" id="{001E82BA-6454-029B-274A-BC6C0FA7D939}"/>
            </a:ext>
          </a:extLst>
        </xdr:cNvPr>
        <xdr:cNvSpPr/>
      </xdr:nvSpPr>
      <xdr:spPr>
        <a:xfrm rot="5069808">
          <a:off x="3068741" y="3559819"/>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146911</xdr:colOff>
      <xdr:row>20</xdr:row>
      <xdr:rowOff>8062</xdr:rowOff>
    </xdr:from>
    <xdr:to>
      <xdr:col>3</xdr:col>
      <xdr:colOff>225557</xdr:colOff>
      <xdr:row>20</xdr:row>
      <xdr:rowOff>85526</xdr:rowOff>
    </xdr:to>
    <xdr:sp macro="" textlink="">
      <xdr:nvSpPr>
        <xdr:cNvPr id="154" name="Oval 153">
          <a:extLst>
            <a:ext uri="{FF2B5EF4-FFF2-40B4-BE49-F238E27FC236}">
              <a16:creationId xmlns:a16="http://schemas.microsoft.com/office/drawing/2014/main" id="{3B525456-E0FF-D56E-562D-4372308B7E87}"/>
            </a:ext>
          </a:extLst>
        </xdr:cNvPr>
        <xdr:cNvSpPr/>
      </xdr:nvSpPr>
      <xdr:spPr>
        <a:xfrm rot="5069808">
          <a:off x="1976302" y="3665071"/>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2801</xdr:colOff>
      <xdr:row>18</xdr:row>
      <xdr:rowOff>175426</xdr:rowOff>
    </xdr:from>
    <xdr:to>
      <xdr:col>5</xdr:col>
      <xdr:colOff>81447</xdr:colOff>
      <xdr:row>19</xdr:row>
      <xdr:rowOff>70010</xdr:rowOff>
    </xdr:to>
    <xdr:sp macro="" textlink="">
      <xdr:nvSpPr>
        <xdr:cNvPr id="155" name="Oval 154">
          <a:extLst>
            <a:ext uri="{FF2B5EF4-FFF2-40B4-BE49-F238E27FC236}">
              <a16:creationId xmlns:a16="http://schemas.microsoft.com/office/drawing/2014/main" id="{195F9179-77A9-1AD3-D637-9D57794D375B}"/>
            </a:ext>
          </a:extLst>
        </xdr:cNvPr>
        <xdr:cNvSpPr/>
      </xdr:nvSpPr>
      <xdr:spPr>
        <a:xfrm rot="4469808">
          <a:off x="3051392" y="3466675"/>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164260</xdr:colOff>
      <xdr:row>20</xdr:row>
      <xdr:rowOff>101205</xdr:rowOff>
    </xdr:from>
    <xdr:to>
      <xdr:col>3</xdr:col>
      <xdr:colOff>242906</xdr:colOff>
      <xdr:row>20</xdr:row>
      <xdr:rowOff>178669</xdr:rowOff>
    </xdr:to>
    <xdr:sp macro="" textlink="">
      <xdr:nvSpPr>
        <xdr:cNvPr id="156" name="Oval 155">
          <a:extLst>
            <a:ext uri="{FF2B5EF4-FFF2-40B4-BE49-F238E27FC236}">
              <a16:creationId xmlns:a16="http://schemas.microsoft.com/office/drawing/2014/main" id="{81C07F15-C3C5-4175-0614-9CEE045C83C0}"/>
            </a:ext>
          </a:extLst>
        </xdr:cNvPr>
        <xdr:cNvSpPr/>
      </xdr:nvSpPr>
      <xdr:spPr>
        <a:xfrm rot="4469808">
          <a:off x="1993651" y="3758214"/>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578982</xdr:colOff>
      <xdr:row>18</xdr:row>
      <xdr:rowOff>86711</xdr:rowOff>
    </xdr:from>
    <xdr:to>
      <xdr:col>5</xdr:col>
      <xdr:colOff>48028</xdr:colOff>
      <xdr:row>18</xdr:row>
      <xdr:rowOff>164175</xdr:rowOff>
    </xdr:to>
    <xdr:sp macro="" textlink="">
      <xdr:nvSpPr>
        <xdr:cNvPr id="157" name="Oval 156">
          <a:extLst>
            <a:ext uri="{FF2B5EF4-FFF2-40B4-BE49-F238E27FC236}">
              <a16:creationId xmlns:a16="http://schemas.microsoft.com/office/drawing/2014/main" id="{73964748-54B5-1DE4-6AF9-939D7A05EC90}"/>
            </a:ext>
          </a:extLst>
        </xdr:cNvPr>
        <xdr:cNvSpPr/>
      </xdr:nvSpPr>
      <xdr:spPr>
        <a:xfrm rot="3869808">
          <a:off x="3017973" y="3377960"/>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197679</xdr:colOff>
      <xdr:row>21</xdr:row>
      <xdr:rowOff>7041</xdr:rowOff>
    </xdr:from>
    <xdr:to>
      <xdr:col>3</xdr:col>
      <xdr:colOff>276325</xdr:colOff>
      <xdr:row>21</xdr:row>
      <xdr:rowOff>84505</xdr:rowOff>
    </xdr:to>
    <xdr:sp macro="" textlink="">
      <xdr:nvSpPr>
        <xdr:cNvPr id="158" name="Oval 157">
          <a:extLst>
            <a:ext uri="{FF2B5EF4-FFF2-40B4-BE49-F238E27FC236}">
              <a16:creationId xmlns:a16="http://schemas.microsoft.com/office/drawing/2014/main" id="{5BAFDFC8-3531-1400-F43E-5017302A0DF5}"/>
            </a:ext>
          </a:extLst>
        </xdr:cNvPr>
        <xdr:cNvSpPr/>
      </xdr:nvSpPr>
      <xdr:spPr>
        <a:xfrm rot="3869808">
          <a:off x="2027070" y="3846930"/>
          <a:ext cx="77464" cy="7864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530831</xdr:colOff>
      <xdr:row>18</xdr:row>
      <xdr:rowOff>4872</xdr:rowOff>
    </xdr:from>
    <xdr:to>
      <xdr:col>4</xdr:col>
      <xdr:colOff>609540</xdr:colOff>
      <xdr:row>18</xdr:row>
      <xdr:rowOff>82336</xdr:rowOff>
    </xdr:to>
    <xdr:sp macro="" textlink="">
      <xdr:nvSpPr>
        <xdr:cNvPr id="159" name="Oval 158">
          <a:extLst>
            <a:ext uri="{FF2B5EF4-FFF2-40B4-BE49-F238E27FC236}">
              <a16:creationId xmlns:a16="http://schemas.microsoft.com/office/drawing/2014/main" id="{CA602ED7-A5DA-A887-7F81-210F546DB29F}"/>
            </a:ext>
          </a:extLst>
        </xdr:cNvPr>
        <xdr:cNvSpPr/>
      </xdr:nvSpPr>
      <xdr:spPr>
        <a:xfrm rot="3269808">
          <a:off x="2969854" y="3296089"/>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245766</xdr:colOff>
      <xdr:row>21</xdr:row>
      <xdr:rowOff>88882</xdr:rowOff>
    </xdr:from>
    <xdr:to>
      <xdr:col>3</xdr:col>
      <xdr:colOff>324475</xdr:colOff>
      <xdr:row>21</xdr:row>
      <xdr:rowOff>166346</xdr:rowOff>
    </xdr:to>
    <xdr:sp macro="" textlink="">
      <xdr:nvSpPr>
        <xdr:cNvPr id="160" name="Oval 159">
          <a:extLst>
            <a:ext uri="{FF2B5EF4-FFF2-40B4-BE49-F238E27FC236}">
              <a16:creationId xmlns:a16="http://schemas.microsoft.com/office/drawing/2014/main" id="{64C4AF28-7B9A-DCB7-5515-58929B2AD281}"/>
            </a:ext>
          </a:extLst>
        </xdr:cNvPr>
        <xdr:cNvSpPr/>
      </xdr:nvSpPr>
      <xdr:spPr>
        <a:xfrm rot="3269808">
          <a:off x="2075189" y="3928739"/>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469351</xdr:colOff>
      <xdr:row>17</xdr:row>
      <xdr:rowOff>115086</xdr:rowOff>
    </xdr:from>
    <xdr:to>
      <xdr:col>4</xdr:col>
      <xdr:colOff>546815</xdr:colOff>
      <xdr:row>18</xdr:row>
      <xdr:rowOff>10915</xdr:rowOff>
    </xdr:to>
    <xdr:sp macro="" textlink="">
      <xdr:nvSpPr>
        <xdr:cNvPr id="161" name="Oval 160">
          <a:extLst>
            <a:ext uri="{FF2B5EF4-FFF2-40B4-BE49-F238E27FC236}">
              <a16:creationId xmlns:a16="http://schemas.microsoft.com/office/drawing/2014/main" id="{A53F4341-5C91-2CA9-1E78-E4D8174D8EBD}"/>
            </a:ext>
          </a:extLst>
        </xdr:cNvPr>
        <xdr:cNvSpPr/>
      </xdr:nvSpPr>
      <xdr:spPr>
        <a:xfrm rot="2669808">
          <a:off x="2907751" y="3224046"/>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308492</xdr:colOff>
      <xdr:row>21</xdr:row>
      <xdr:rowOff>160303</xdr:rowOff>
    </xdr:from>
    <xdr:to>
      <xdr:col>3</xdr:col>
      <xdr:colOff>385956</xdr:colOff>
      <xdr:row>22</xdr:row>
      <xdr:rowOff>56132</xdr:rowOff>
    </xdr:to>
    <xdr:sp macro="" textlink="">
      <xdr:nvSpPr>
        <xdr:cNvPr id="162" name="Oval 161">
          <a:extLst>
            <a:ext uri="{FF2B5EF4-FFF2-40B4-BE49-F238E27FC236}">
              <a16:creationId xmlns:a16="http://schemas.microsoft.com/office/drawing/2014/main" id="{6121CD45-6E0D-2396-A223-155643C1E5C8}"/>
            </a:ext>
          </a:extLst>
        </xdr:cNvPr>
        <xdr:cNvSpPr/>
      </xdr:nvSpPr>
      <xdr:spPr>
        <a:xfrm rot="2669808">
          <a:off x="2137292" y="4000783"/>
          <a:ext cx="77464" cy="78709"/>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395169</xdr:colOff>
      <xdr:row>17</xdr:row>
      <xdr:rowOff>55218</xdr:rowOff>
    </xdr:from>
    <xdr:to>
      <xdr:col>4</xdr:col>
      <xdr:colOff>473380</xdr:colOff>
      <xdr:row>17</xdr:row>
      <xdr:rowOff>133175</xdr:rowOff>
    </xdr:to>
    <xdr:sp macro="" textlink="">
      <xdr:nvSpPr>
        <xdr:cNvPr id="163" name="Oval 162">
          <a:extLst>
            <a:ext uri="{FF2B5EF4-FFF2-40B4-BE49-F238E27FC236}">
              <a16:creationId xmlns:a16="http://schemas.microsoft.com/office/drawing/2014/main" id="{8036CB05-A515-D3E9-FB3E-9D592918A9BB}"/>
            </a:ext>
          </a:extLst>
        </xdr:cNvPr>
        <xdr:cNvSpPr/>
      </xdr:nvSpPr>
      <xdr:spPr>
        <a:xfrm rot="2069808">
          <a:off x="2833569" y="3164178"/>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381927</xdr:colOff>
      <xdr:row>22</xdr:row>
      <xdr:rowOff>38042</xdr:rowOff>
    </xdr:from>
    <xdr:to>
      <xdr:col>3</xdr:col>
      <xdr:colOff>460138</xdr:colOff>
      <xdr:row>22</xdr:row>
      <xdr:rowOff>115999</xdr:rowOff>
    </xdr:to>
    <xdr:sp macro="" textlink="">
      <xdr:nvSpPr>
        <xdr:cNvPr id="164" name="Oval 163">
          <a:extLst>
            <a:ext uri="{FF2B5EF4-FFF2-40B4-BE49-F238E27FC236}">
              <a16:creationId xmlns:a16="http://schemas.microsoft.com/office/drawing/2014/main" id="{1882FD8D-B284-8E8F-B6DA-54797230DC84}"/>
            </a:ext>
          </a:extLst>
        </xdr:cNvPr>
        <xdr:cNvSpPr/>
      </xdr:nvSpPr>
      <xdr:spPr>
        <a:xfrm rot="2069808">
          <a:off x="2210727" y="4061402"/>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311898</xdr:colOff>
      <xdr:row>17</xdr:row>
      <xdr:rowOff>8606</xdr:rowOff>
    </xdr:from>
    <xdr:to>
      <xdr:col>4</xdr:col>
      <xdr:colOff>390109</xdr:colOff>
      <xdr:row>17</xdr:row>
      <xdr:rowOff>86563</xdr:rowOff>
    </xdr:to>
    <xdr:sp macro="" textlink="">
      <xdr:nvSpPr>
        <xdr:cNvPr id="165" name="Oval 164">
          <a:extLst>
            <a:ext uri="{FF2B5EF4-FFF2-40B4-BE49-F238E27FC236}">
              <a16:creationId xmlns:a16="http://schemas.microsoft.com/office/drawing/2014/main" id="{7D4333AF-C018-1160-31AD-6B866AD6D9DC}"/>
            </a:ext>
          </a:extLst>
        </xdr:cNvPr>
        <xdr:cNvSpPr/>
      </xdr:nvSpPr>
      <xdr:spPr>
        <a:xfrm rot="1469808">
          <a:off x="2750298" y="3117566"/>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465197</xdr:colOff>
      <xdr:row>22</xdr:row>
      <xdr:rowOff>84655</xdr:rowOff>
    </xdr:from>
    <xdr:to>
      <xdr:col>3</xdr:col>
      <xdr:colOff>543408</xdr:colOff>
      <xdr:row>22</xdr:row>
      <xdr:rowOff>162612</xdr:rowOff>
    </xdr:to>
    <xdr:sp macro="" textlink="">
      <xdr:nvSpPr>
        <xdr:cNvPr id="166" name="Oval 165">
          <a:extLst>
            <a:ext uri="{FF2B5EF4-FFF2-40B4-BE49-F238E27FC236}">
              <a16:creationId xmlns:a16="http://schemas.microsoft.com/office/drawing/2014/main" id="{62EB9F81-D4E1-E4A1-18E1-F56D0889DAC0}"/>
            </a:ext>
          </a:extLst>
        </xdr:cNvPr>
        <xdr:cNvSpPr/>
      </xdr:nvSpPr>
      <xdr:spPr>
        <a:xfrm rot="1469808">
          <a:off x="2293997" y="4108015"/>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555400</xdr:colOff>
      <xdr:row>22</xdr:row>
      <xdr:rowOff>116219</xdr:rowOff>
    </xdr:from>
    <xdr:to>
      <xdr:col>4</xdr:col>
      <xdr:colOff>24011</xdr:colOff>
      <xdr:row>23</xdr:row>
      <xdr:rowOff>11296</xdr:rowOff>
    </xdr:to>
    <xdr:sp macro="" textlink="">
      <xdr:nvSpPr>
        <xdr:cNvPr id="168" name="Oval 167">
          <a:extLst>
            <a:ext uri="{FF2B5EF4-FFF2-40B4-BE49-F238E27FC236}">
              <a16:creationId xmlns:a16="http://schemas.microsoft.com/office/drawing/2014/main" id="{B229F988-BBF4-0204-0316-1720994AD71E}"/>
            </a:ext>
          </a:extLst>
        </xdr:cNvPr>
        <xdr:cNvSpPr/>
      </xdr:nvSpPr>
      <xdr:spPr>
        <a:xfrm rot="869808">
          <a:off x="2384200" y="4139579"/>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127301</xdr:colOff>
      <xdr:row>16</xdr:row>
      <xdr:rowOff>144362</xdr:rowOff>
    </xdr:from>
    <xdr:to>
      <xdr:col>4</xdr:col>
      <xdr:colOff>205512</xdr:colOff>
      <xdr:row>17</xdr:row>
      <xdr:rowOff>39439</xdr:rowOff>
    </xdr:to>
    <xdr:sp macro="" textlink="">
      <xdr:nvSpPr>
        <xdr:cNvPr id="169" name="Oval 168">
          <a:extLst>
            <a:ext uri="{FF2B5EF4-FFF2-40B4-BE49-F238E27FC236}">
              <a16:creationId xmlns:a16="http://schemas.microsoft.com/office/drawing/2014/main" id="{8EE4EB3D-66B7-703D-EEC5-50E356266FCD}"/>
            </a:ext>
          </a:extLst>
        </xdr:cNvPr>
        <xdr:cNvSpPr/>
      </xdr:nvSpPr>
      <xdr:spPr>
        <a:xfrm rot="269808">
          <a:off x="2565701" y="3070442"/>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40194</xdr:colOff>
      <xdr:row>22</xdr:row>
      <xdr:rowOff>131779</xdr:rowOff>
    </xdr:from>
    <xdr:to>
      <xdr:col>4</xdr:col>
      <xdr:colOff>118405</xdr:colOff>
      <xdr:row>23</xdr:row>
      <xdr:rowOff>26856</xdr:rowOff>
    </xdr:to>
    <xdr:sp macro="" textlink="">
      <xdr:nvSpPr>
        <xdr:cNvPr id="170" name="Oval 169">
          <a:extLst>
            <a:ext uri="{FF2B5EF4-FFF2-40B4-BE49-F238E27FC236}">
              <a16:creationId xmlns:a16="http://schemas.microsoft.com/office/drawing/2014/main" id="{8A586860-1A46-1B8D-F18B-64FF298C79A6}"/>
            </a:ext>
          </a:extLst>
        </xdr:cNvPr>
        <xdr:cNvSpPr/>
      </xdr:nvSpPr>
      <xdr:spPr>
        <a:xfrm rot="269808">
          <a:off x="2478594" y="4155139"/>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31584</xdr:colOff>
      <xdr:row>16</xdr:row>
      <xdr:rowOff>145282</xdr:rowOff>
    </xdr:from>
    <xdr:to>
      <xdr:col>4</xdr:col>
      <xdr:colOff>109795</xdr:colOff>
      <xdr:row>17</xdr:row>
      <xdr:rowOff>40359</xdr:rowOff>
    </xdr:to>
    <xdr:sp macro="" textlink="">
      <xdr:nvSpPr>
        <xdr:cNvPr id="171" name="Oval 170">
          <a:extLst>
            <a:ext uri="{FF2B5EF4-FFF2-40B4-BE49-F238E27FC236}">
              <a16:creationId xmlns:a16="http://schemas.microsoft.com/office/drawing/2014/main" id="{297FB08B-FD36-853C-3199-EF70A7467146}"/>
            </a:ext>
          </a:extLst>
        </xdr:cNvPr>
        <xdr:cNvSpPr/>
      </xdr:nvSpPr>
      <xdr:spPr>
        <a:xfrm rot="21269808">
          <a:off x="2469984" y="3071362"/>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135912</xdr:colOff>
      <xdr:row>22</xdr:row>
      <xdr:rowOff>130858</xdr:rowOff>
    </xdr:from>
    <xdr:to>
      <xdr:col>4</xdr:col>
      <xdr:colOff>214123</xdr:colOff>
      <xdr:row>23</xdr:row>
      <xdr:rowOff>25935</xdr:rowOff>
    </xdr:to>
    <xdr:sp macro="" textlink="">
      <xdr:nvSpPr>
        <xdr:cNvPr id="172" name="Oval 171">
          <a:extLst>
            <a:ext uri="{FF2B5EF4-FFF2-40B4-BE49-F238E27FC236}">
              <a16:creationId xmlns:a16="http://schemas.microsoft.com/office/drawing/2014/main" id="{8F520154-831A-43B3-DE4C-4480DDBD9510}"/>
            </a:ext>
          </a:extLst>
        </xdr:cNvPr>
        <xdr:cNvSpPr/>
      </xdr:nvSpPr>
      <xdr:spPr>
        <a:xfrm rot="21269808">
          <a:off x="2574312" y="4154218"/>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230045</xdr:colOff>
      <xdr:row>22</xdr:row>
      <xdr:rowOff>113487</xdr:rowOff>
    </xdr:from>
    <xdr:to>
      <xdr:col>4</xdr:col>
      <xdr:colOff>308256</xdr:colOff>
      <xdr:row>23</xdr:row>
      <xdr:rowOff>8564</xdr:rowOff>
    </xdr:to>
    <xdr:sp macro="" textlink="">
      <xdr:nvSpPr>
        <xdr:cNvPr id="173" name="Oval 172">
          <a:extLst>
            <a:ext uri="{FF2B5EF4-FFF2-40B4-BE49-F238E27FC236}">
              <a16:creationId xmlns:a16="http://schemas.microsoft.com/office/drawing/2014/main" id="{555D2747-C3E5-F214-B5E7-C4EE58005CCF}"/>
            </a:ext>
          </a:extLst>
        </xdr:cNvPr>
        <xdr:cNvSpPr/>
      </xdr:nvSpPr>
      <xdr:spPr>
        <a:xfrm rot="9869808">
          <a:off x="2668445" y="4136847"/>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547051</xdr:colOff>
      <xdr:row>16</xdr:row>
      <xdr:rowOff>162654</xdr:rowOff>
    </xdr:from>
    <xdr:to>
      <xdr:col>4</xdr:col>
      <xdr:colOff>15662</xdr:colOff>
      <xdr:row>17</xdr:row>
      <xdr:rowOff>57731</xdr:rowOff>
    </xdr:to>
    <xdr:sp macro="" textlink="">
      <xdr:nvSpPr>
        <xdr:cNvPr id="174" name="Oval 173">
          <a:extLst>
            <a:ext uri="{FF2B5EF4-FFF2-40B4-BE49-F238E27FC236}">
              <a16:creationId xmlns:a16="http://schemas.microsoft.com/office/drawing/2014/main" id="{828E23B9-060C-020C-2CED-EB00B2E84F34}"/>
            </a:ext>
          </a:extLst>
        </xdr:cNvPr>
        <xdr:cNvSpPr/>
      </xdr:nvSpPr>
      <xdr:spPr>
        <a:xfrm rot="9869808">
          <a:off x="2375851" y="3088734"/>
          <a:ext cx="78211" cy="77957"/>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121920</xdr:colOff>
      <xdr:row>6</xdr:row>
      <xdr:rowOff>68579</xdr:rowOff>
    </xdr:from>
    <xdr:to>
      <xdr:col>17</xdr:col>
      <xdr:colOff>376631</xdr:colOff>
      <xdr:row>14</xdr:row>
      <xdr:rowOff>68579</xdr:rowOff>
    </xdr:to>
    <xdr:grpSp>
      <xdr:nvGrpSpPr>
        <xdr:cNvPr id="175" name="Group 174">
          <a:extLst>
            <a:ext uri="{FF2B5EF4-FFF2-40B4-BE49-F238E27FC236}">
              <a16:creationId xmlns:a16="http://schemas.microsoft.com/office/drawing/2014/main" id="{84E07ADE-CB17-4DD4-8FB1-51B33E202C98}"/>
            </a:ext>
          </a:extLst>
        </xdr:cNvPr>
        <xdr:cNvGrpSpPr/>
      </xdr:nvGrpSpPr>
      <xdr:grpSpPr>
        <a:xfrm rot="21269808">
          <a:off x="9265920" y="1211579"/>
          <a:ext cx="1473911" cy="1524000"/>
          <a:chOff x="3261905" y="422096"/>
          <a:chExt cx="1375081" cy="1376169"/>
        </a:xfrm>
        <a:solidFill>
          <a:srgbClr val="00E8C1"/>
        </a:solidFill>
      </xdr:grpSpPr>
      <xdr:sp macro="" textlink="">
        <xdr:nvSpPr>
          <xdr:cNvPr id="176" name="Oval 175">
            <a:extLst>
              <a:ext uri="{FF2B5EF4-FFF2-40B4-BE49-F238E27FC236}">
                <a16:creationId xmlns:a16="http://schemas.microsoft.com/office/drawing/2014/main" id="{B5435B3E-DADB-3F13-BDD7-2825E7DE15FF}"/>
              </a:ext>
            </a:extLst>
          </xdr:cNvPr>
          <xdr:cNvSpPr/>
        </xdr:nvSpPr>
        <xdr:spPr>
          <a:xfrm rot="9600000">
            <a:off x="4123328" y="166752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7" name="Oval 176">
            <a:extLst>
              <a:ext uri="{FF2B5EF4-FFF2-40B4-BE49-F238E27FC236}">
                <a16:creationId xmlns:a16="http://schemas.microsoft.com/office/drawing/2014/main" id="{8E089092-AF9C-86CA-CAF4-94665FB66AB4}"/>
              </a:ext>
            </a:extLst>
          </xdr:cNvPr>
          <xdr:cNvSpPr/>
        </xdr:nvSpPr>
        <xdr:spPr>
          <a:xfrm rot="9600000">
            <a:off x="3684124" y="4608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8" name="Oval 177">
            <a:extLst>
              <a:ext uri="{FF2B5EF4-FFF2-40B4-BE49-F238E27FC236}">
                <a16:creationId xmlns:a16="http://schemas.microsoft.com/office/drawing/2014/main" id="{3AC65F07-FB4F-A7AD-63A0-9EC2802D15C7}"/>
              </a:ext>
            </a:extLst>
          </xdr:cNvPr>
          <xdr:cNvSpPr/>
        </xdr:nvSpPr>
        <xdr:spPr>
          <a:xfrm rot="9000000">
            <a:off x="4224509" y="1619818"/>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9" name="Oval 178">
            <a:extLst>
              <a:ext uri="{FF2B5EF4-FFF2-40B4-BE49-F238E27FC236}">
                <a16:creationId xmlns:a16="http://schemas.microsoft.com/office/drawing/2014/main" id="{8AB8422B-DC8B-FF1A-CFF2-ACFD176DD586}"/>
              </a:ext>
            </a:extLst>
          </xdr:cNvPr>
          <xdr:cNvSpPr/>
        </xdr:nvSpPr>
        <xdr:spPr>
          <a:xfrm rot="9000000">
            <a:off x="3582943" y="50859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0" name="Oval 179">
            <a:extLst>
              <a:ext uri="{FF2B5EF4-FFF2-40B4-BE49-F238E27FC236}">
                <a16:creationId xmlns:a16="http://schemas.microsoft.com/office/drawing/2014/main" id="{532596C5-69AA-7A5B-CEED-21B64B4AC0E8}"/>
              </a:ext>
            </a:extLst>
          </xdr:cNvPr>
          <xdr:cNvSpPr/>
        </xdr:nvSpPr>
        <xdr:spPr>
          <a:xfrm rot="8400000">
            <a:off x="4316116" y="1555673"/>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1" name="Oval 180">
            <a:extLst>
              <a:ext uri="{FF2B5EF4-FFF2-40B4-BE49-F238E27FC236}">
                <a16:creationId xmlns:a16="http://schemas.microsoft.com/office/drawing/2014/main" id="{E893C214-519F-2499-6324-5445EEC36AA8}"/>
              </a:ext>
            </a:extLst>
          </xdr:cNvPr>
          <xdr:cNvSpPr/>
        </xdr:nvSpPr>
        <xdr:spPr>
          <a:xfrm rot="8400000">
            <a:off x="3491336" y="572738"/>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2" name="Oval 181">
            <a:extLst>
              <a:ext uri="{FF2B5EF4-FFF2-40B4-BE49-F238E27FC236}">
                <a16:creationId xmlns:a16="http://schemas.microsoft.com/office/drawing/2014/main" id="{D2C24FEE-EFA5-23E9-5E77-268D6BAD16A5}"/>
              </a:ext>
            </a:extLst>
          </xdr:cNvPr>
          <xdr:cNvSpPr/>
        </xdr:nvSpPr>
        <xdr:spPr>
          <a:xfrm rot="7800000">
            <a:off x="4395194" y="147659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3" name="Oval 182">
            <a:extLst>
              <a:ext uri="{FF2B5EF4-FFF2-40B4-BE49-F238E27FC236}">
                <a16:creationId xmlns:a16="http://schemas.microsoft.com/office/drawing/2014/main" id="{14CA9F8F-5DAD-6647-AC39-E11E33606A09}"/>
              </a:ext>
            </a:extLst>
          </xdr:cNvPr>
          <xdr:cNvSpPr/>
        </xdr:nvSpPr>
        <xdr:spPr>
          <a:xfrm rot="7800000">
            <a:off x="3412258" y="65181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4" name="Oval 183">
            <a:extLst>
              <a:ext uri="{FF2B5EF4-FFF2-40B4-BE49-F238E27FC236}">
                <a16:creationId xmlns:a16="http://schemas.microsoft.com/office/drawing/2014/main" id="{6E7131CC-82DE-8DC9-95B0-C26466F6E95F}"/>
              </a:ext>
            </a:extLst>
          </xdr:cNvPr>
          <xdr:cNvSpPr/>
        </xdr:nvSpPr>
        <xdr:spPr>
          <a:xfrm rot="7200000">
            <a:off x="4459778" y="138520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5" name="Oval 184">
            <a:extLst>
              <a:ext uri="{FF2B5EF4-FFF2-40B4-BE49-F238E27FC236}">
                <a16:creationId xmlns:a16="http://schemas.microsoft.com/office/drawing/2014/main" id="{E45F349F-7B1A-900C-685F-9D7E62180A6F}"/>
              </a:ext>
            </a:extLst>
          </xdr:cNvPr>
          <xdr:cNvSpPr/>
        </xdr:nvSpPr>
        <xdr:spPr>
          <a:xfrm rot="7200000">
            <a:off x="3347674" y="74313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6" name="Oval 185">
            <a:extLst>
              <a:ext uri="{FF2B5EF4-FFF2-40B4-BE49-F238E27FC236}">
                <a16:creationId xmlns:a16="http://schemas.microsoft.com/office/drawing/2014/main" id="{68962EAA-8EC6-99F1-FB8D-E457DA2A343D}"/>
              </a:ext>
            </a:extLst>
          </xdr:cNvPr>
          <xdr:cNvSpPr/>
        </xdr:nvSpPr>
        <xdr:spPr>
          <a:xfrm rot="6600000">
            <a:off x="4507078" y="1283772"/>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7" name="Oval 186">
            <a:extLst>
              <a:ext uri="{FF2B5EF4-FFF2-40B4-BE49-F238E27FC236}">
                <a16:creationId xmlns:a16="http://schemas.microsoft.com/office/drawing/2014/main" id="{13445F84-288A-46A6-4109-3411007EA19F}"/>
              </a:ext>
            </a:extLst>
          </xdr:cNvPr>
          <xdr:cNvSpPr/>
        </xdr:nvSpPr>
        <xdr:spPr>
          <a:xfrm rot="6600000">
            <a:off x="3300374" y="844567"/>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8" name="Oval 187">
            <a:extLst>
              <a:ext uri="{FF2B5EF4-FFF2-40B4-BE49-F238E27FC236}">
                <a16:creationId xmlns:a16="http://schemas.microsoft.com/office/drawing/2014/main" id="{92BF8236-F33D-3E3D-AC72-A373BBF507C2}"/>
              </a:ext>
            </a:extLst>
          </xdr:cNvPr>
          <xdr:cNvSpPr/>
        </xdr:nvSpPr>
        <xdr:spPr>
          <a:xfrm rot="6000000">
            <a:off x="4536045" y="1175664"/>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9" name="Oval 188">
            <a:extLst>
              <a:ext uri="{FF2B5EF4-FFF2-40B4-BE49-F238E27FC236}">
                <a16:creationId xmlns:a16="http://schemas.microsoft.com/office/drawing/2014/main" id="{64251146-9DEE-3E69-D00C-AF2AD46C7707}"/>
              </a:ext>
            </a:extLst>
          </xdr:cNvPr>
          <xdr:cNvSpPr/>
        </xdr:nvSpPr>
        <xdr:spPr>
          <a:xfrm rot="6000000">
            <a:off x="3271407" y="952675"/>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0" name="Oval 189">
            <a:extLst>
              <a:ext uri="{FF2B5EF4-FFF2-40B4-BE49-F238E27FC236}">
                <a16:creationId xmlns:a16="http://schemas.microsoft.com/office/drawing/2014/main" id="{E55B223C-0891-F936-24CF-1D87B803EB01}"/>
              </a:ext>
            </a:extLst>
          </xdr:cNvPr>
          <xdr:cNvSpPr/>
        </xdr:nvSpPr>
        <xdr:spPr>
          <a:xfrm rot="5400000">
            <a:off x="4545292" y="106420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1" name="Oval 190">
            <a:extLst>
              <a:ext uri="{FF2B5EF4-FFF2-40B4-BE49-F238E27FC236}">
                <a16:creationId xmlns:a16="http://schemas.microsoft.com/office/drawing/2014/main" id="{DCB788B8-F573-4CB2-0F16-7F411704045F}"/>
              </a:ext>
            </a:extLst>
          </xdr:cNvPr>
          <xdr:cNvSpPr/>
        </xdr:nvSpPr>
        <xdr:spPr>
          <a:xfrm rot="5400000">
            <a:off x="3262160" y="106420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2" name="Oval 191">
            <a:extLst>
              <a:ext uri="{FF2B5EF4-FFF2-40B4-BE49-F238E27FC236}">
                <a16:creationId xmlns:a16="http://schemas.microsoft.com/office/drawing/2014/main" id="{FEBA3883-74B7-953F-F326-16E9940B7A3E}"/>
              </a:ext>
            </a:extLst>
          </xdr:cNvPr>
          <xdr:cNvSpPr/>
        </xdr:nvSpPr>
        <xdr:spPr>
          <a:xfrm rot="4800000">
            <a:off x="4535545" y="952799"/>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3" name="Oval 192">
            <a:extLst>
              <a:ext uri="{FF2B5EF4-FFF2-40B4-BE49-F238E27FC236}">
                <a16:creationId xmlns:a16="http://schemas.microsoft.com/office/drawing/2014/main" id="{C8791283-E9F3-2005-E225-F2B09659C6D4}"/>
              </a:ext>
            </a:extLst>
          </xdr:cNvPr>
          <xdr:cNvSpPr/>
        </xdr:nvSpPr>
        <xdr:spPr>
          <a:xfrm rot="4800000">
            <a:off x="3271907" y="1175612"/>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4" name="Oval 193">
            <a:extLst>
              <a:ext uri="{FF2B5EF4-FFF2-40B4-BE49-F238E27FC236}">
                <a16:creationId xmlns:a16="http://schemas.microsoft.com/office/drawing/2014/main" id="{956818E4-7E45-B60D-75D4-C75475E7BFDE}"/>
              </a:ext>
            </a:extLst>
          </xdr:cNvPr>
          <xdr:cNvSpPr/>
        </xdr:nvSpPr>
        <xdr:spPr>
          <a:xfrm rot="4200000">
            <a:off x="4506601" y="844777"/>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5" name="Oval 194">
            <a:extLst>
              <a:ext uri="{FF2B5EF4-FFF2-40B4-BE49-F238E27FC236}">
                <a16:creationId xmlns:a16="http://schemas.microsoft.com/office/drawing/2014/main" id="{145A815A-E47C-8842-8BFF-FDC112F5CBE4}"/>
              </a:ext>
            </a:extLst>
          </xdr:cNvPr>
          <xdr:cNvSpPr/>
        </xdr:nvSpPr>
        <xdr:spPr>
          <a:xfrm rot="4200000">
            <a:off x="3300851" y="128363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6" name="Oval 195">
            <a:extLst>
              <a:ext uri="{FF2B5EF4-FFF2-40B4-BE49-F238E27FC236}">
                <a16:creationId xmlns:a16="http://schemas.microsoft.com/office/drawing/2014/main" id="{57EFBBE1-5951-EA03-D16C-F6BFC82F5787}"/>
              </a:ext>
            </a:extLst>
          </xdr:cNvPr>
          <xdr:cNvSpPr/>
        </xdr:nvSpPr>
        <xdr:spPr>
          <a:xfrm rot="3600000">
            <a:off x="4459778" y="74313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7" name="Oval 196">
            <a:extLst>
              <a:ext uri="{FF2B5EF4-FFF2-40B4-BE49-F238E27FC236}">
                <a16:creationId xmlns:a16="http://schemas.microsoft.com/office/drawing/2014/main" id="{BF8E355F-C1D2-0CB3-FBFB-3430A93EE62D}"/>
              </a:ext>
            </a:extLst>
          </xdr:cNvPr>
          <xdr:cNvSpPr/>
        </xdr:nvSpPr>
        <xdr:spPr>
          <a:xfrm rot="3600000">
            <a:off x="3347674" y="138520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8" name="Oval 197">
            <a:extLst>
              <a:ext uri="{FF2B5EF4-FFF2-40B4-BE49-F238E27FC236}">
                <a16:creationId xmlns:a16="http://schemas.microsoft.com/office/drawing/2014/main" id="{B3CCDBE7-CE2D-18E9-E43E-887483809918}"/>
              </a:ext>
            </a:extLst>
          </xdr:cNvPr>
          <xdr:cNvSpPr/>
        </xdr:nvSpPr>
        <xdr:spPr>
          <a:xfrm rot="3000000">
            <a:off x="4395583" y="65145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9" name="Oval 198">
            <a:extLst>
              <a:ext uri="{FF2B5EF4-FFF2-40B4-BE49-F238E27FC236}">
                <a16:creationId xmlns:a16="http://schemas.microsoft.com/office/drawing/2014/main" id="{3BA57E2C-0E03-A297-66B8-4B345389F387}"/>
              </a:ext>
            </a:extLst>
          </xdr:cNvPr>
          <xdr:cNvSpPr/>
        </xdr:nvSpPr>
        <xdr:spPr>
          <a:xfrm rot="3000000">
            <a:off x="3411869" y="1476887"/>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0" name="Oval 199">
            <a:extLst>
              <a:ext uri="{FF2B5EF4-FFF2-40B4-BE49-F238E27FC236}">
                <a16:creationId xmlns:a16="http://schemas.microsoft.com/office/drawing/2014/main" id="{04BC0158-4B8F-9246-A430-04E7D6650388}"/>
              </a:ext>
            </a:extLst>
          </xdr:cNvPr>
          <xdr:cNvSpPr/>
        </xdr:nvSpPr>
        <xdr:spPr>
          <a:xfrm rot="2400000">
            <a:off x="4316443" y="57231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1" name="Oval 200">
            <a:extLst>
              <a:ext uri="{FF2B5EF4-FFF2-40B4-BE49-F238E27FC236}">
                <a16:creationId xmlns:a16="http://schemas.microsoft.com/office/drawing/2014/main" id="{92479BAD-A529-0806-6E81-A576A57B1640}"/>
              </a:ext>
            </a:extLst>
          </xdr:cNvPr>
          <xdr:cNvSpPr/>
        </xdr:nvSpPr>
        <xdr:spPr>
          <a:xfrm rot="2400000">
            <a:off x="3491009" y="155602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2" name="Oval 201">
            <a:extLst>
              <a:ext uri="{FF2B5EF4-FFF2-40B4-BE49-F238E27FC236}">
                <a16:creationId xmlns:a16="http://schemas.microsoft.com/office/drawing/2014/main" id="{0647FCD8-5AC6-3902-B0EB-0F481C2C6F45}"/>
              </a:ext>
            </a:extLst>
          </xdr:cNvPr>
          <xdr:cNvSpPr/>
        </xdr:nvSpPr>
        <xdr:spPr>
          <a:xfrm rot="1800000">
            <a:off x="4224763" y="5081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3" name="Oval 202">
            <a:extLst>
              <a:ext uri="{FF2B5EF4-FFF2-40B4-BE49-F238E27FC236}">
                <a16:creationId xmlns:a16="http://schemas.microsoft.com/office/drawing/2014/main" id="{B7AA8FEB-87CF-A44C-3218-D86DD8BA33F8}"/>
              </a:ext>
            </a:extLst>
          </xdr:cNvPr>
          <xdr:cNvSpPr/>
        </xdr:nvSpPr>
        <xdr:spPr>
          <a:xfrm rot="1800000">
            <a:off x="3582689" y="1620222"/>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4" name="Oval 203">
            <a:extLst>
              <a:ext uri="{FF2B5EF4-FFF2-40B4-BE49-F238E27FC236}">
                <a16:creationId xmlns:a16="http://schemas.microsoft.com/office/drawing/2014/main" id="{23A0386A-9AB1-7A4E-61AA-742D79D97961}"/>
              </a:ext>
            </a:extLst>
          </xdr:cNvPr>
          <xdr:cNvSpPr/>
        </xdr:nvSpPr>
        <xdr:spPr>
          <a:xfrm rot="1200000">
            <a:off x="4123328" y="4608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5" name="Oval 204">
            <a:extLst>
              <a:ext uri="{FF2B5EF4-FFF2-40B4-BE49-F238E27FC236}">
                <a16:creationId xmlns:a16="http://schemas.microsoft.com/office/drawing/2014/main" id="{32C082CF-1889-59F0-CF22-427E20E92811}"/>
              </a:ext>
            </a:extLst>
          </xdr:cNvPr>
          <xdr:cNvSpPr/>
        </xdr:nvSpPr>
        <xdr:spPr>
          <a:xfrm rot="1200000">
            <a:off x="3684124" y="166752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6" name="Oval 205">
            <a:extLst>
              <a:ext uri="{FF2B5EF4-FFF2-40B4-BE49-F238E27FC236}">
                <a16:creationId xmlns:a16="http://schemas.microsoft.com/office/drawing/2014/main" id="{5E311ADD-F956-2EE2-E37B-06C5BAC3952E}"/>
              </a:ext>
            </a:extLst>
          </xdr:cNvPr>
          <xdr:cNvSpPr/>
        </xdr:nvSpPr>
        <xdr:spPr>
          <a:xfrm rot="600000">
            <a:off x="4015221" y="43185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7" name="Oval 206">
            <a:extLst>
              <a:ext uri="{FF2B5EF4-FFF2-40B4-BE49-F238E27FC236}">
                <a16:creationId xmlns:a16="http://schemas.microsoft.com/office/drawing/2014/main" id="{DC4CAFBC-C397-2816-628A-7F590018EC58}"/>
              </a:ext>
            </a:extLst>
          </xdr:cNvPr>
          <xdr:cNvSpPr/>
        </xdr:nvSpPr>
        <xdr:spPr>
          <a:xfrm rot="600000">
            <a:off x="3792231" y="1696489"/>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8" name="Oval 207">
            <a:extLst>
              <a:ext uri="{FF2B5EF4-FFF2-40B4-BE49-F238E27FC236}">
                <a16:creationId xmlns:a16="http://schemas.microsoft.com/office/drawing/2014/main" id="{FB2D0AE9-7D83-A641-40B0-2B26FABF056A}"/>
              </a:ext>
            </a:extLst>
          </xdr:cNvPr>
          <xdr:cNvSpPr/>
        </xdr:nvSpPr>
        <xdr:spPr>
          <a:xfrm>
            <a:off x="3903726" y="42209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9" name="Oval 208">
            <a:extLst>
              <a:ext uri="{FF2B5EF4-FFF2-40B4-BE49-F238E27FC236}">
                <a16:creationId xmlns:a16="http://schemas.microsoft.com/office/drawing/2014/main" id="{02173BFD-46B9-24EC-0B9A-FB045E1E0311}"/>
              </a:ext>
            </a:extLst>
          </xdr:cNvPr>
          <xdr:cNvSpPr/>
        </xdr:nvSpPr>
        <xdr:spPr>
          <a:xfrm>
            <a:off x="3903726" y="170624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0" name="Oval 209">
            <a:extLst>
              <a:ext uri="{FF2B5EF4-FFF2-40B4-BE49-F238E27FC236}">
                <a16:creationId xmlns:a16="http://schemas.microsoft.com/office/drawing/2014/main" id="{9C8A09DA-0473-8F44-AA4F-92F5B894CFFA}"/>
              </a:ext>
            </a:extLst>
          </xdr:cNvPr>
          <xdr:cNvSpPr/>
        </xdr:nvSpPr>
        <xdr:spPr>
          <a:xfrm rot="10200000">
            <a:off x="4015221" y="1696489"/>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1" name="Oval 210">
            <a:extLst>
              <a:ext uri="{FF2B5EF4-FFF2-40B4-BE49-F238E27FC236}">
                <a16:creationId xmlns:a16="http://schemas.microsoft.com/office/drawing/2014/main" id="{1C4FEA16-2056-C162-31EA-87C9E3D5D957}"/>
              </a:ext>
            </a:extLst>
          </xdr:cNvPr>
          <xdr:cNvSpPr/>
        </xdr:nvSpPr>
        <xdr:spPr>
          <a:xfrm rot="10200000">
            <a:off x="3792231" y="43185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15</xdr:col>
      <xdr:colOff>266301</xdr:colOff>
      <xdr:row>7</xdr:row>
      <xdr:rowOff>28474</xdr:rowOff>
    </xdr:from>
    <xdr:to>
      <xdr:col>17</xdr:col>
      <xdr:colOff>223245</xdr:colOff>
      <xdr:row>13</xdr:row>
      <xdr:rowOff>97021</xdr:rowOff>
    </xdr:to>
    <xdr:grpSp>
      <xdr:nvGrpSpPr>
        <xdr:cNvPr id="212" name="Group 211">
          <a:extLst>
            <a:ext uri="{FF2B5EF4-FFF2-40B4-BE49-F238E27FC236}">
              <a16:creationId xmlns:a16="http://schemas.microsoft.com/office/drawing/2014/main" id="{F154DC51-9DA4-4855-9326-15158FF05FB9}"/>
            </a:ext>
          </a:extLst>
        </xdr:cNvPr>
        <xdr:cNvGrpSpPr/>
      </xdr:nvGrpSpPr>
      <xdr:grpSpPr>
        <a:xfrm rot="21269808">
          <a:off x="9410301" y="1361974"/>
          <a:ext cx="1176144" cy="1211547"/>
          <a:chOff x="3261905" y="422096"/>
          <a:chExt cx="1375081" cy="1376169"/>
        </a:xfrm>
        <a:solidFill>
          <a:srgbClr val="673FFF"/>
        </a:solidFill>
      </xdr:grpSpPr>
      <xdr:sp macro="" textlink="">
        <xdr:nvSpPr>
          <xdr:cNvPr id="213" name="Oval 212">
            <a:extLst>
              <a:ext uri="{FF2B5EF4-FFF2-40B4-BE49-F238E27FC236}">
                <a16:creationId xmlns:a16="http://schemas.microsoft.com/office/drawing/2014/main" id="{B970CE94-F01E-A8BD-4D02-29326AC0D338}"/>
              </a:ext>
            </a:extLst>
          </xdr:cNvPr>
          <xdr:cNvSpPr/>
        </xdr:nvSpPr>
        <xdr:spPr>
          <a:xfrm rot="9600000">
            <a:off x="4123328" y="166752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4" name="Oval 213">
            <a:extLst>
              <a:ext uri="{FF2B5EF4-FFF2-40B4-BE49-F238E27FC236}">
                <a16:creationId xmlns:a16="http://schemas.microsoft.com/office/drawing/2014/main" id="{A4ADD846-86BB-4BC0-441F-C38926DE5E0F}"/>
              </a:ext>
            </a:extLst>
          </xdr:cNvPr>
          <xdr:cNvSpPr/>
        </xdr:nvSpPr>
        <xdr:spPr>
          <a:xfrm rot="9600000">
            <a:off x="3684124" y="4608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5" name="Oval 214">
            <a:extLst>
              <a:ext uri="{FF2B5EF4-FFF2-40B4-BE49-F238E27FC236}">
                <a16:creationId xmlns:a16="http://schemas.microsoft.com/office/drawing/2014/main" id="{9CDAC567-A752-1DD3-2136-440F6849BB3C}"/>
              </a:ext>
            </a:extLst>
          </xdr:cNvPr>
          <xdr:cNvSpPr/>
        </xdr:nvSpPr>
        <xdr:spPr>
          <a:xfrm rot="9000000">
            <a:off x="4224509" y="1619818"/>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6" name="Oval 215">
            <a:extLst>
              <a:ext uri="{FF2B5EF4-FFF2-40B4-BE49-F238E27FC236}">
                <a16:creationId xmlns:a16="http://schemas.microsoft.com/office/drawing/2014/main" id="{D07E93F7-6F64-67F8-3B0B-88B1C802E321}"/>
              </a:ext>
            </a:extLst>
          </xdr:cNvPr>
          <xdr:cNvSpPr/>
        </xdr:nvSpPr>
        <xdr:spPr>
          <a:xfrm rot="9000000">
            <a:off x="3582943" y="50859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7" name="Oval 216">
            <a:extLst>
              <a:ext uri="{FF2B5EF4-FFF2-40B4-BE49-F238E27FC236}">
                <a16:creationId xmlns:a16="http://schemas.microsoft.com/office/drawing/2014/main" id="{4E9698CA-B5E5-981E-861B-CA4CEF7892DF}"/>
              </a:ext>
            </a:extLst>
          </xdr:cNvPr>
          <xdr:cNvSpPr/>
        </xdr:nvSpPr>
        <xdr:spPr>
          <a:xfrm rot="8400000">
            <a:off x="4316116" y="1555673"/>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8" name="Oval 217">
            <a:extLst>
              <a:ext uri="{FF2B5EF4-FFF2-40B4-BE49-F238E27FC236}">
                <a16:creationId xmlns:a16="http://schemas.microsoft.com/office/drawing/2014/main" id="{C02B2070-9ACA-A7EA-75AA-D46EB66405DB}"/>
              </a:ext>
            </a:extLst>
          </xdr:cNvPr>
          <xdr:cNvSpPr/>
        </xdr:nvSpPr>
        <xdr:spPr>
          <a:xfrm rot="8400000">
            <a:off x="3491336" y="572738"/>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9" name="Oval 218">
            <a:extLst>
              <a:ext uri="{FF2B5EF4-FFF2-40B4-BE49-F238E27FC236}">
                <a16:creationId xmlns:a16="http://schemas.microsoft.com/office/drawing/2014/main" id="{75B19C58-3089-E462-E2E1-2EA05998E942}"/>
              </a:ext>
            </a:extLst>
          </xdr:cNvPr>
          <xdr:cNvSpPr/>
        </xdr:nvSpPr>
        <xdr:spPr>
          <a:xfrm rot="7800000">
            <a:off x="4395194" y="147659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0" name="Oval 219">
            <a:extLst>
              <a:ext uri="{FF2B5EF4-FFF2-40B4-BE49-F238E27FC236}">
                <a16:creationId xmlns:a16="http://schemas.microsoft.com/office/drawing/2014/main" id="{753ED02C-527F-35A8-33FD-73EEB286A252}"/>
              </a:ext>
            </a:extLst>
          </xdr:cNvPr>
          <xdr:cNvSpPr/>
        </xdr:nvSpPr>
        <xdr:spPr>
          <a:xfrm rot="7800000">
            <a:off x="3412258" y="65181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1" name="Oval 220">
            <a:extLst>
              <a:ext uri="{FF2B5EF4-FFF2-40B4-BE49-F238E27FC236}">
                <a16:creationId xmlns:a16="http://schemas.microsoft.com/office/drawing/2014/main" id="{AE011281-6F41-2B75-02A2-384A059D9527}"/>
              </a:ext>
            </a:extLst>
          </xdr:cNvPr>
          <xdr:cNvSpPr/>
        </xdr:nvSpPr>
        <xdr:spPr>
          <a:xfrm rot="7200000">
            <a:off x="4459778" y="138520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2" name="Oval 221">
            <a:extLst>
              <a:ext uri="{FF2B5EF4-FFF2-40B4-BE49-F238E27FC236}">
                <a16:creationId xmlns:a16="http://schemas.microsoft.com/office/drawing/2014/main" id="{D01A99A3-91FB-57E8-DA1A-AF03C0A06FDB}"/>
              </a:ext>
            </a:extLst>
          </xdr:cNvPr>
          <xdr:cNvSpPr/>
        </xdr:nvSpPr>
        <xdr:spPr>
          <a:xfrm rot="7200000">
            <a:off x="3347674" y="74313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3" name="Oval 222">
            <a:extLst>
              <a:ext uri="{FF2B5EF4-FFF2-40B4-BE49-F238E27FC236}">
                <a16:creationId xmlns:a16="http://schemas.microsoft.com/office/drawing/2014/main" id="{8DC394B6-768D-D25B-965E-1787FD312F53}"/>
              </a:ext>
            </a:extLst>
          </xdr:cNvPr>
          <xdr:cNvSpPr/>
        </xdr:nvSpPr>
        <xdr:spPr>
          <a:xfrm rot="6600000">
            <a:off x="4507078" y="1283772"/>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4" name="Oval 223">
            <a:extLst>
              <a:ext uri="{FF2B5EF4-FFF2-40B4-BE49-F238E27FC236}">
                <a16:creationId xmlns:a16="http://schemas.microsoft.com/office/drawing/2014/main" id="{7555CD6E-AB52-89AA-82CB-A16CB2195898}"/>
              </a:ext>
            </a:extLst>
          </xdr:cNvPr>
          <xdr:cNvSpPr/>
        </xdr:nvSpPr>
        <xdr:spPr>
          <a:xfrm rot="6600000">
            <a:off x="3300374" y="844567"/>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5" name="Oval 224">
            <a:extLst>
              <a:ext uri="{FF2B5EF4-FFF2-40B4-BE49-F238E27FC236}">
                <a16:creationId xmlns:a16="http://schemas.microsoft.com/office/drawing/2014/main" id="{94C32065-7CF2-B68C-F2F7-53489DFA0D0F}"/>
              </a:ext>
            </a:extLst>
          </xdr:cNvPr>
          <xdr:cNvSpPr/>
        </xdr:nvSpPr>
        <xdr:spPr>
          <a:xfrm rot="6000000">
            <a:off x="4536045" y="1175664"/>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6" name="Oval 225">
            <a:extLst>
              <a:ext uri="{FF2B5EF4-FFF2-40B4-BE49-F238E27FC236}">
                <a16:creationId xmlns:a16="http://schemas.microsoft.com/office/drawing/2014/main" id="{7ECB4D4F-C9FD-6C0B-DAB7-BB9707A4B64A}"/>
              </a:ext>
            </a:extLst>
          </xdr:cNvPr>
          <xdr:cNvSpPr/>
        </xdr:nvSpPr>
        <xdr:spPr>
          <a:xfrm rot="6000000">
            <a:off x="3271407" y="952675"/>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7" name="Oval 226">
            <a:extLst>
              <a:ext uri="{FF2B5EF4-FFF2-40B4-BE49-F238E27FC236}">
                <a16:creationId xmlns:a16="http://schemas.microsoft.com/office/drawing/2014/main" id="{38C47E62-25EB-ABB7-3BDA-8AF577A90EBA}"/>
              </a:ext>
            </a:extLst>
          </xdr:cNvPr>
          <xdr:cNvSpPr/>
        </xdr:nvSpPr>
        <xdr:spPr>
          <a:xfrm rot="5400000">
            <a:off x="4545292" y="106420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8" name="Oval 227">
            <a:extLst>
              <a:ext uri="{FF2B5EF4-FFF2-40B4-BE49-F238E27FC236}">
                <a16:creationId xmlns:a16="http://schemas.microsoft.com/office/drawing/2014/main" id="{76963A58-AE27-AE11-9859-C79E45497C00}"/>
              </a:ext>
            </a:extLst>
          </xdr:cNvPr>
          <xdr:cNvSpPr/>
        </xdr:nvSpPr>
        <xdr:spPr>
          <a:xfrm rot="5400000">
            <a:off x="3262160" y="1064206"/>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9" name="Oval 228">
            <a:extLst>
              <a:ext uri="{FF2B5EF4-FFF2-40B4-BE49-F238E27FC236}">
                <a16:creationId xmlns:a16="http://schemas.microsoft.com/office/drawing/2014/main" id="{513F0968-CE45-C6E2-0562-6AAC49FC3279}"/>
              </a:ext>
            </a:extLst>
          </xdr:cNvPr>
          <xdr:cNvSpPr/>
        </xdr:nvSpPr>
        <xdr:spPr>
          <a:xfrm rot="4800000">
            <a:off x="4535545" y="952799"/>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0" name="Oval 229">
            <a:extLst>
              <a:ext uri="{FF2B5EF4-FFF2-40B4-BE49-F238E27FC236}">
                <a16:creationId xmlns:a16="http://schemas.microsoft.com/office/drawing/2014/main" id="{864DD6D6-60EA-883A-5256-380E9531D3B6}"/>
              </a:ext>
            </a:extLst>
          </xdr:cNvPr>
          <xdr:cNvSpPr/>
        </xdr:nvSpPr>
        <xdr:spPr>
          <a:xfrm rot="4800000">
            <a:off x="3271907" y="1175612"/>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1" name="Oval 230">
            <a:extLst>
              <a:ext uri="{FF2B5EF4-FFF2-40B4-BE49-F238E27FC236}">
                <a16:creationId xmlns:a16="http://schemas.microsoft.com/office/drawing/2014/main" id="{8987F2C3-9704-C30D-0AFB-64059464F812}"/>
              </a:ext>
            </a:extLst>
          </xdr:cNvPr>
          <xdr:cNvSpPr/>
        </xdr:nvSpPr>
        <xdr:spPr>
          <a:xfrm rot="4200000">
            <a:off x="4506601" y="844777"/>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2" name="Oval 231">
            <a:extLst>
              <a:ext uri="{FF2B5EF4-FFF2-40B4-BE49-F238E27FC236}">
                <a16:creationId xmlns:a16="http://schemas.microsoft.com/office/drawing/2014/main" id="{5E859040-43BD-4D7A-F51E-4D7149E11A2A}"/>
              </a:ext>
            </a:extLst>
          </xdr:cNvPr>
          <xdr:cNvSpPr/>
        </xdr:nvSpPr>
        <xdr:spPr>
          <a:xfrm rot="4200000">
            <a:off x="3300851" y="1283634"/>
            <a:ext cx="91440" cy="9194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3" name="Oval 232">
            <a:extLst>
              <a:ext uri="{FF2B5EF4-FFF2-40B4-BE49-F238E27FC236}">
                <a16:creationId xmlns:a16="http://schemas.microsoft.com/office/drawing/2014/main" id="{29669AA8-8B47-AB83-1319-0A871B921969}"/>
              </a:ext>
            </a:extLst>
          </xdr:cNvPr>
          <xdr:cNvSpPr/>
        </xdr:nvSpPr>
        <xdr:spPr>
          <a:xfrm rot="3600000">
            <a:off x="4459778" y="74313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4" name="Oval 233">
            <a:extLst>
              <a:ext uri="{FF2B5EF4-FFF2-40B4-BE49-F238E27FC236}">
                <a16:creationId xmlns:a16="http://schemas.microsoft.com/office/drawing/2014/main" id="{FD72FF55-E0DD-BB1F-1FF0-2284FEE997FF}"/>
              </a:ext>
            </a:extLst>
          </xdr:cNvPr>
          <xdr:cNvSpPr/>
        </xdr:nvSpPr>
        <xdr:spPr>
          <a:xfrm rot="3600000">
            <a:off x="3347674" y="138520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5" name="Oval 234">
            <a:extLst>
              <a:ext uri="{FF2B5EF4-FFF2-40B4-BE49-F238E27FC236}">
                <a16:creationId xmlns:a16="http://schemas.microsoft.com/office/drawing/2014/main" id="{B7C36AA7-5C7C-F316-BCB8-8C1124E4A4CB}"/>
              </a:ext>
            </a:extLst>
          </xdr:cNvPr>
          <xdr:cNvSpPr/>
        </xdr:nvSpPr>
        <xdr:spPr>
          <a:xfrm rot="3000000">
            <a:off x="4395583" y="65145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6" name="Oval 235">
            <a:extLst>
              <a:ext uri="{FF2B5EF4-FFF2-40B4-BE49-F238E27FC236}">
                <a16:creationId xmlns:a16="http://schemas.microsoft.com/office/drawing/2014/main" id="{348B3DA5-6CA5-FE83-5BEF-4835AC713D5E}"/>
              </a:ext>
            </a:extLst>
          </xdr:cNvPr>
          <xdr:cNvSpPr/>
        </xdr:nvSpPr>
        <xdr:spPr>
          <a:xfrm rot="3000000">
            <a:off x="3411869" y="1476887"/>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7" name="Oval 236">
            <a:extLst>
              <a:ext uri="{FF2B5EF4-FFF2-40B4-BE49-F238E27FC236}">
                <a16:creationId xmlns:a16="http://schemas.microsoft.com/office/drawing/2014/main" id="{94834808-9A70-EC12-5D61-F90BEFCC6628}"/>
              </a:ext>
            </a:extLst>
          </xdr:cNvPr>
          <xdr:cNvSpPr/>
        </xdr:nvSpPr>
        <xdr:spPr>
          <a:xfrm rot="2400000">
            <a:off x="4316443" y="57231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8" name="Oval 237">
            <a:extLst>
              <a:ext uri="{FF2B5EF4-FFF2-40B4-BE49-F238E27FC236}">
                <a16:creationId xmlns:a16="http://schemas.microsoft.com/office/drawing/2014/main" id="{C8241C61-BE33-D17A-BA60-A7CB0BE93231}"/>
              </a:ext>
            </a:extLst>
          </xdr:cNvPr>
          <xdr:cNvSpPr/>
        </xdr:nvSpPr>
        <xdr:spPr>
          <a:xfrm rot="2400000">
            <a:off x="3491009" y="155602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9" name="Oval 238">
            <a:extLst>
              <a:ext uri="{FF2B5EF4-FFF2-40B4-BE49-F238E27FC236}">
                <a16:creationId xmlns:a16="http://schemas.microsoft.com/office/drawing/2014/main" id="{E5E62C53-2C93-AE96-8182-94CB0048CCF5}"/>
              </a:ext>
            </a:extLst>
          </xdr:cNvPr>
          <xdr:cNvSpPr/>
        </xdr:nvSpPr>
        <xdr:spPr>
          <a:xfrm rot="1800000">
            <a:off x="4224763" y="5081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0" name="Oval 239">
            <a:extLst>
              <a:ext uri="{FF2B5EF4-FFF2-40B4-BE49-F238E27FC236}">
                <a16:creationId xmlns:a16="http://schemas.microsoft.com/office/drawing/2014/main" id="{467AF9E7-6A39-26B3-17E4-A3D515C318D8}"/>
              </a:ext>
            </a:extLst>
          </xdr:cNvPr>
          <xdr:cNvSpPr/>
        </xdr:nvSpPr>
        <xdr:spPr>
          <a:xfrm rot="1800000">
            <a:off x="3582689" y="1620222"/>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1" name="Oval 240">
            <a:extLst>
              <a:ext uri="{FF2B5EF4-FFF2-40B4-BE49-F238E27FC236}">
                <a16:creationId xmlns:a16="http://schemas.microsoft.com/office/drawing/2014/main" id="{2C454BE4-48BB-43FA-580C-2F474EB09886}"/>
              </a:ext>
            </a:extLst>
          </xdr:cNvPr>
          <xdr:cNvSpPr/>
        </xdr:nvSpPr>
        <xdr:spPr>
          <a:xfrm rot="1200000">
            <a:off x="4123328" y="460818"/>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2" name="Oval 241">
            <a:extLst>
              <a:ext uri="{FF2B5EF4-FFF2-40B4-BE49-F238E27FC236}">
                <a16:creationId xmlns:a16="http://schemas.microsoft.com/office/drawing/2014/main" id="{B587C50E-9CDA-42FC-7FD4-6276CEBFE55E}"/>
              </a:ext>
            </a:extLst>
          </xdr:cNvPr>
          <xdr:cNvSpPr/>
        </xdr:nvSpPr>
        <xdr:spPr>
          <a:xfrm rot="1200000">
            <a:off x="3684124" y="166752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3" name="Oval 242">
            <a:extLst>
              <a:ext uri="{FF2B5EF4-FFF2-40B4-BE49-F238E27FC236}">
                <a16:creationId xmlns:a16="http://schemas.microsoft.com/office/drawing/2014/main" id="{F07ED1D3-B4A1-1965-18AF-0CC97533B335}"/>
              </a:ext>
            </a:extLst>
          </xdr:cNvPr>
          <xdr:cNvSpPr/>
        </xdr:nvSpPr>
        <xdr:spPr>
          <a:xfrm rot="600000">
            <a:off x="4015221" y="43185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4" name="Oval 243">
            <a:extLst>
              <a:ext uri="{FF2B5EF4-FFF2-40B4-BE49-F238E27FC236}">
                <a16:creationId xmlns:a16="http://schemas.microsoft.com/office/drawing/2014/main" id="{176E548D-84C0-9125-65F2-26876AE445E9}"/>
              </a:ext>
            </a:extLst>
          </xdr:cNvPr>
          <xdr:cNvSpPr/>
        </xdr:nvSpPr>
        <xdr:spPr>
          <a:xfrm rot="600000">
            <a:off x="3792231" y="1696489"/>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5" name="Oval 244">
            <a:extLst>
              <a:ext uri="{FF2B5EF4-FFF2-40B4-BE49-F238E27FC236}">
                <a16:creationId xmlns:a16="http://schemas.microsoft.com/office/drawing/2014/main" id="{00CDA133-77D1-1543-1D6F-D9573521F878}"/>
              </a:ext>
            </a:extLst>
          </xdr:cNvPr>
          <xdr:cNvSpPr/>
        </xdr:nvSpPr>
        <xdr:spPr>
          <a:xfrm>
            <a:off x="3903726" y="422096"/>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6" name="Oval 245">
            <a:extLst>
              <a:ext uri="{FF2B5EF4-FFF2-40B4-BE49-F238E27FC236}">
                <a16:creationId xmlns:a16="http://schemas.microsoft.com/office/drawing/2014/main" id="{2DD3CCB3-4985-C3F5-0BC6-9826CE5B6080}"/>
              </a:ext>
            </a:extLst>
          </xdr:cNvPr>
          <xdr:cNvSpPr/>
        </xdr:nvSpPr>
        <xdr:spPr>
          <a:xfrm>
            <a:off x="3903726" y="1706243"/>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7" name="Oval 246">
            <a:extLst>
              <a:ext uri="{FF2B5EF4-FFF2-40B4-BE49-F238E27FC236}">
                <a16:creationId xmlns:a16="http://schemas.microsoft.com/office/drawing/2014/main" id="{38878F72-4B49-086C-5C16-AFC50044CFA3}"/>
              </a:ext>
            </a:extLst>
          </xdr:cNvPr>
          <xdr:cNvSpPr/>
        </xdr:nvSpPr>
        <xdr:spPr>
          <a:xfrm rot="10200000">
            <a:off x="4015221" y="1696489"/>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8" name="Oval 247">
            <a:extLst>
              <a:ext uri="{FF2B5EF4-FFF2-40B4-BE49-F238E27FC236}">
                <a16:creationId xmlns:a16="http://schemas.microsoft.com/office/drawing/2014/main" id="{AD072CBB-CAA7-6E0A-148C-BA6DEA315B9C}"/>
              </a:ext>
            </a:extLst>
          </xdr:cNvPr>
          <xdr:cNvSpPr/>
        </xdr:nvSpPr>
        <xdr:spPr>
          <a:xfrm rot="10200000">
            <a:off x="3792231" y="431851"/>
            <a:ext cx="91440" cy="92022"/>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12</xdr:col>
      <xdr:colOff>89279</xdr:colOff>
      <xdr:row>1</xdr:row>
      <xdr:rowOff>94994</xdr:rowOff>
    </xdr:from>
    <xdr:to>
      <xdr:col>14</xdr:col>
      <xdr:colOff>367921</xdr:colOff>
      <xdr:row>9</xdr:row>
      <xdr:rowOff>129796</xdr:rowOff>
    </xdr:to>
    <xdr:sp macro="" textlink="">
      <xdr:nvSpPr>
        <xdr:cNvPr id="74" name="Oval 73">
          <a:extLst>
            <a:ext uri="{FF2B5EF4-FFF2-40B4-BE49-F238E27FC236}">
              <a16:creationId xmlns:a16="http://schemas.microsoft.com/office/drawing/2014/main" id="{3C377742-CACE-2618-534D-5ACD116BA189}"/>
            </a:ext>
          </a:extLst>
        </xdr:cNvPr>
        <xdr:cNvSpPr/>
      </xdr:nvSpPr>
      <xdr:spPr>
        <a:xfrm>
          <a:off x="7404479" y="277874"/>
          <a:ext cx="1497842" cy="1497842"/>
        </a:xfrm>
        <a:prstGeom prst="ellipse">
          <a:avLst/>
        </a:prstGeom>
        <a:solidFill>
          <a:srgbClr val="00E8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206097</xdr:colOff>
      <xdr:row>2</xdr:row>
      <xdr:rowOff>28932</xdr:rowOff>
    </xdr:from>
    <xdr:to>
      <xdr:col>14</xdr:col>
      <xdr:colOff>251103</xdr:colOff>
      <xdr:row>9</xdr:row>
      <xdr:rowOff>12978</xdr:rowOff>
    </xdr:to>
    <xdr:sp macro="" textlink="">
      <xdr:nvSpPr>
        <xdr:cNvPr id="167" name="Oval 166">
          <a:extLst>
            <a:ext uri="{FF2B5EF4-FFF2-40B4-BE49-F238E27FC236}">
              <a16:creationId xmlns:a16="http://schemas.microsoft.com/office/drawing/2014/main" id="{8574781A-49F5-E07B-BE05-C1377E890CEA}"/>
            </a:ext>
          </a:extLst>
        </xdr:cNvPr>
        <xdr:cNvSpPr/>
      </xdr:nvSpPr>
      <xdr:spPr>
        <a:xfrm>
          <a:off x="7521297" y="394692"/>
          <a:ext cx="1264206" cy="1264206"/>
        </a:xfrm>
        <a:prstGeom prst="ellipse">
          <a:avLst/>
        </a:pr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236220</xdr:colOff>
      <xdr:row>0</xdr:row>
      <xdr:rowOff>175260</xdr:rowOff>
    </xdr:from>
    <xdr:to>
      <xdr:col>18</xdr:col>
      <xdr:colOff>144780</xdr:colOff>
      <xdr:row>10</xdr:row>
      <xdr:rowOff>3810</xdr:rowOff>
    </xdr:to>
    <xdr:sp macro="" textlink="">
      <xdr:nvSpPr>
        <xdr:cNvPr id="249" name="Freeform: Shape 248">
          <a:extLst>
            <a:ext uri="{FF2B5EF4-FFF2-40B4-BE49-F238E27FC236}">
              <a16:creationId xmlns:a16="http://schemas.microsoft.com/office/drawing/2014/main" id="{30F6D164-963A-4799-BB02-1F0D0B1F4666}"/>
            </a:ext>
          </a:extLst>
        </xdr:cNvPr>
        <xdr:cNvSpPr/>
      </xdr:nvSpPr>
      <xdr:spPr>
        <a:xfrm>
          <a:off x="9380220" y="175260"/>
          <a:ext cx="1737360" cy="1657350"/>
        </a:xfrm>
        <a:custGeom>
          <a:avLst/>
          <a:gdLst>
            <a:gd name="connsiteX0" fmla="*/ 806570 w 1737360"/>
            <a:gd name="connsiteY0" fmla="*/ 1466075 h 1657350"/>
            <a:gd name="connsiteX1" fmla="*/ 757564 w 1737360"/>
            <a:gd name="connsiteY1" fmla="*/ 1514991 h 1657350"/>
            <a:gd name="connsiteX2" fmla="*/ 806570 w 1737360"/>
            <a:gd name="connsiteY2" fmla="*/ 1563907 h 1657350"/>
            <a:gd name="connsiteX3" fmla="*/ 855576 w 1737360"/>
            <a:gd name="connsiteY3" fmla="*/ 1514991 h 1657350"/>
            <a:gd name="connsiteX4" fmla="*/ 806570 w 1737360"/>
            <a:gd name="connsiteY4" fmla="*/ 1466075 h 1657350"/>
            <a:gd name="connsiteX5" fmla="*/ 926522 w 1737360"/>
            <a:gd name="connsiteY5" fmla="*/ 1464936 h 1657350"/>
            <a:gd name="connsiteX6" fmla="*/ 877516 w 1737360"/>
            <a:gd name="connsiteY6" fmla="*/ 1513852 h 1657350"/>
            <a:gd name="connsiteX7" fmla="*/ 926522 w 1737360"/>
            <a:gd name="connsiteY7" fmla="*/ 1562768 h 1657350"/>
            <a:gd name="connsiteX8" fmla="*/ 975528 w 1737360"/>
            <a:gd name="connsiteY8" fmla="*/ 1513852 h 1657350"/>
            <a:gd name="connsiteX9" fmla="*/ 926522 w 1737360"/>
            <a:gd name="connsiteY9" fmla="*/ 1464936 h 1657350"/>
            <a:gd name="connsiteX10" fmla="*/ 688274 w 1737360"/>
            <a:gd name="connsiteY10" fmla="*/ 1446533 h 1657350"/>
            <a:gd name="connsiteX11" fmla="*/ 639268 w 1737360"/>
            <a:gd name="connsiteY11" fmla="*/ 1495449 h 1657350"/>
            <a:gd name="connsiteX12" fmla="*/ 688274 w 1737360"/>
            <a:gd name="connsiteY12" fmla="*/ 1544365 h 1657350"/>
            <a:gd name="connsiteX13" fmla="*/ 737280 w 1737360"/>
            <a:gd name="connsiteY13" fmla="*/ 1495449 h 1657350"/>
            <a:gd name="connsiteX14" fmla="*/ 688274 w 1737360"/>
            <a:gd name="connsiteY14" fmla="*/ 1446533 h 1657350"/>
            <a:gd name="connsiteX15" fmla="*/ 1044485 w 1737360"/>
            <a:gd name="connsiteY15" fmla="*/ 1443153 h 1657350"/>
            <a:gd name="connsiteX16" fmla="*/ 995479 w 1737360"/>
            <a:gd name="connsiteY16" fmla="*/ 1492069 h 1657350"/>
            <a:gd name="connsiteX17" fmla="*/ 1044485 w 1737360"/>
            <a:gd name="connsiteY17" fmla="*/ 1540985 h 1657350"/>
            <a:gd name="connsiteX18" fmla="*/ 1093491 w 1737360"/>
            <a:gd name="connsiteY18" fmla="*/ 1492069 h 1657350"/>
            <a:gd name="connsiteX19" fmla="*/ 1044485 w 1737360"/>
            <a:gd name="connsiteY19" fmla="*/ 1443153 h 1657350"/>
            <a:gd name="connsiteX20" fmla="*/ 575227 w 1737360"/>
            <a:gd name="connsiteY20" fmla="*/ 1406907 h 1657350"/>
            <a:gd name="connsiteX21" fmla="*/ 526221 w 1737360"/>
            <a:gd name="connsiteY21" fmla="*/ 1455823 h 1657350"/>
            <a:gd name="connsiteX22" fmla="*/ 575227 w 1737360"/>
            <a:gd name="connsiteY22" fmla="*/ 1504739 h 1657350"/>
            <a:gd name="connsiteX23" fmla="*/ 624233 w 1737360"/>
            <a:gd name="connsiteY23" fmla="*/ 1455823 h 1657350"/>
            <a:gd name="connsiteX24" fmla="*/ 575227 w 1737360"/>
            <a:gd name="connsiteY24" fmla="*/ 1406907 h 1657350"/>
            <a:gd name="connsiteX25" fmla="*/ 1156875 w 1737360"/>
            <a:gd name="connsiteY25" fmla="*/ 1401385 h 1657350"/>
            <a:gd name="connsiteX26" fmla="*/ 1107869 w 1737360"/>
            <a:gd name="connsiteY26" fmla="*/ 1450301 h 1657350"/>
            <a:gd name="connsiteX27" fmla="*/ 1156875 w 1737360"/>
            <a:gd name="connsiteY27" fmla="*/ 1499217 h 1657350"/>
            <a:gd name="connsiteX28" fmla="*/ 1205881 w 1737360"/>
            <a:gd name="connsiteY28" fmla="*/ 1450301 h 1657350"/>
            <a:gd name="connsiteX29" fmla="*/ 1156875 w 1737360"/>
            <a:gd name="connsiteY29" fmla="*/ 1401385 h 1657350"/>
            <a:gd name="connsiteX30" fmla="*/ 470866 w 1737360"/>
            <a:gd name="connsiteY30" fmla="*/ 1348397 h 1657350"/>
            <a:gd name="connsiteX31" fmla="*/ 421860 w 1737360"/>
            <a:gd name="connsiteY31" fmla="*/ 1397313 h 1657350"/>
            <a:gd name="connsiteX32" fmla="*/ 470866 w 1737360"/>
            <a:gd name="connsiteY32" fmla="*/ 1446229 h 1657350"/>
            <a:gd name="connsiteX33" fmla="*/ 519872 w 1737360"/>
            <a:gd name="connsiteY33" fmla="*/ 1397313 h 1657350"/>
            <a:gd name="connsiteX34" fmla="*/ 470866 w 1737360"/>
            <a:gd name="connsiteY34" fmla="*/ 1348397 h 1657350"/>
            <a:gd name="connsiteX35" fmla="*/ 1259961 w 1737360"/>
            <a:gd name="connsiteY35" fmla="*/ 1340504 h 1657350"/>
            <a:gd name="connsiteX36" fmla="*/ 1210955 w 1737360"/>
            <a:gd name="connsiteY36" fmla="*/ 1389381 h 1657350"/>
            <a:gd name="connsiteX37" fmla="*/ 1259961 w 1737360"/>
            <a:gd name="connsiteY37" fmla="*/ 1438258 h 1657350"/>
            <a:gd name="connsiteX38" fmla="*/ 1308967 w 1737360"/>
            <a:gd name="connsiteY38" fmla="*/ 1389381 h 1657350"/>
            <a:gd name="connsiteX39" fmla="*/ 1259961 w 1737360"/>
            <a:gd name="connsiteY39" fmla="*/ 1340504 h 1657350"/>
            <a:gd name="connsiteX40" fmla="*/ 816063 w 1737360"/>
            <a:gd name="connsiteY40" fmla="*/ 1332051 h 1657350"/>
            <a:gd name="connsiteX41" fmla="*/ 774021 w 1737360"/>
            <a:gd name="connsiteY41" fmla="*/ 1367844 h 1657350"/>
            <a:gd name="connsiteX42" fmla="*/ 809951 w 1737360"/>
            <a:gd name="connsiteY42" fmla="*/ 1409769 h 1657350"/>
            <a:gd name="connsiteX43" fmla="*/ 851992 w 1737360"/>
            <a:gd name="connsiteY43" fmla="*/ 1373976 h 1657350"/>
            <a:gd name="connsiteX44" fmla="*/ 816063 w 1737360"/>
            <a:gd name="connsiteY44" fmla="*/ 1332051 h 1657350"/>
            <a:gd name="connsiteX45" fmla="*/ 904986 w 1737360"/>
            <a:gd name="connsiteY45" fmla="*/ 1331190 h 1657350"/>
            <a:gd name="connsiteX46" fmla="*/ 869798 w 1737360"/>
            <a:gd name="connsiteY46" fmla="*/ 1373740 h 1657350"/>
            <a:gd name="connsiteX47" fmla="*/ 912462 w 1737360"/>
            <a:gd name="connsiteY47" fmla="*/ 1408789 h 1657350"/>
            <a:gd name="connsiteX48" fmla="*/ 947650 w 1737360"/>
            <a:gd name="connsiteY48" fmla="*/ 1366240 h 1657350"/>
            <a:gd name="connsiteX49" fmla="*/ 904986 w 1737360"/>
            <a:gd name="connsiteY49" fmla="*/ 1331190 h 1657350"/>
            <a:gd name="connsiteX50" fmla="*/ 728369 w 1737360"/>
            <a:gd name="connsiteY50" fmla="*/ 1317613 h 1657350"/>
            <a:gd name="connsiteX51" fmla="*/ 680751 w 1737360"/>
            <a:gd name="connsiteY51" fmla="*/ 1345562 h 1657350"/>
            <a:gd name="connsiteX52" fmla="*/ 708854 w 1737360"/>
            <a:gd name="connsiteY52" fmla="*/ 1393089 h 1657350"/>
            <a:gd name="connsiteX53" fmla="*/ 756473 w 1737360"/>
            <a:gd name="connsiteY53" fmla="*/ 1365140 h 1657350"/>
            <a:gd name="connsiteX54" fmla="*/ 728369 w 1737360"/>
            <a:gd name="connsiteY54" fmla="*/ 1317613 h 1657350"/>
            <a:gd name="connsiteX55" fmla="*/ 992437 w 1737360"/>
            <a:gd name="connsiteY55" fmla="*/ 1315057 h 1657350"/>
            <a:gd name="connsiteX56" fmla="*/ 965172 w 1737360"/>
            <a:gd name="connsiteY56" fmla="*/ 1363071 h 1657350"/>
            <a:gd name="connsiteX57" fmla="*/ 1013274 w 1737360"/>
            <a:gd name="connsiteY57" fmla="*/ 1390179 h 1657350"/>
            <a:gd name="connsiteX58" fmla="*/ 1040539 w 1737360"/>
            <a:gd name="connsiteY58" fmla="*/ 1342165 h 1657350"/>
            <a:gd name="connsiteX59" fmla="*/ 992437 w 1737360"/>
            <a:gd name="connsiteY59" fmla="*/ 1315057 h 1657350"/>
            <a:gd name="connsiteX60" fmla="*/ 614674 w 1737360"/>
            <a:gd name="connsiteY60" fmla="*/ 1287239 h 1657350"/>
            <a:gd name="connsiteX61" fmla="*/ 592823 w 1737360"/>
            <a:gd name="connsiteY61" fmla="*/ 1307571 h 1657350"/>
            <a:gd name="connsiteX62" fmla="*/ 612246 w 1737360"/>
            <a:gd name="connsiteY62" fmla="*/ 1359256 h 1657350"/>
            <a:gd name="connsiteX63" fmla="*/ 663994 w 1737360"/>
            <a:gd name="connsiteY63" fmla="*/ 1340001 h 1657350"/>
            <a:gd name="connsiteX64" fmla="*/ 644571 w 1737360"/>
            <a:gd name="connsiteY64" fmla="*/ 1288316 h 1657350"/>
            <a:gd name="connsiteX65" fmla="*/ 614674 w 1737360"/>
            <a:gd name="connsiteY65" fmla="*/ 1287239 h 1657350"/>
            <a:gd name="connsiteX66" fmla="*/ 1105633 w 1737360"/>
            <a:gd name="connsiteY66" fmla="*/ 1282540 h 1657350"/>
            <a:gd name="connsiteX67" fmla="*/ 1075760 w 1737360"/>
            <a:gd name="connsiteY67" fmla="*/ 1284142 h 1657350"/>
            <a:gd name="connsiteX68" fmla="*/ 1057247 w 1737360"/>
            <a:gd name="connsiteY68" fmla="*/ 1336161 h 1657350"/>
            <a:gd name="connsiteX69" fmla="*/ 1109326 w 1737360"/>
            <a:gd name="connsiteY69" fmla="*/ 1354504 h 1657350"/>
            <a:gd name="connsiteX70" fmla="*/ 1127839 w 1737360"/>
            <a:gd name="connsiteY70" fmla="*/ 1302486 h 1657350"/>
            <a:gd name="connsiteX71" fmla="*/ 1105633 w 1737360"/>
            <a:gd name="connsiteY71" fmla="*/ 1282540 h 1657350"/>
            <a:gd name="connsiteX72" fmla="*/ 378360 w 1737360"/>
            <a:gd name="connsiteY72" fmla="*/ 1272382 h 1657350"/>
            <a:gd name="connsiteX73" fmla="*/ 329754 w 1737360"/>
            <a:gd name="connsiteY73" fmla="*/ 1321700 h 1657350"/>
            <a:gd name="connsiteX74" fmla="*/ 378360 w 1737360"/>
            <a:gd name="connsiteY74" fmla="*/ 1371018 h 1657350"/>
            <a:gd name="connsiteX75" fmla="*/ 426966 w 1737360"/>
            <a:gd name="connsiteY75" fmla="*/ 1321700 h 1657350"/>
            <a:gd name="connsiteX76" fmla="*/ 378360 w 1737360"/>
            <a:gd name="connsiteY76" fmla="*/ 1272382 h 1657350"/>
            <a:gd name="connsiteX77" fmla="*/ 1351159 w 1737360"/>
            <a:gd name="connsiteY77" fmla="*/ 1263207 h 1657350"/>
            <a:gd name="connsiteX78" fmla="*/ 1302153 w 1737360"/>
            <a:gd name="connsiteY78" fmla="*/ 1312084 h 1657350"/>
            <a:gd name="connsiteX79" fmla="*/ 1351159 w 1737360"/>
            <a:gd name="connsiteY79" fmla="*/ 1360961 h 1657350"/>
            <a:gd name="connsiteX80" fmla="*/ 1400165 w 1737360"/>
            <a:gd name="connsiteY80" fmla="*/ 1312084 h 1657350"/>
            <a:gd name="connsiteX81" fmla="*/ 1351159 w 1737360"/>
            <a:gd name="connsiteY81" fmla="*/ 1263207 h 1657350"/>
            <a:gd name="connsiteX82" fmla="*/ 537959 w 1737360"/>
            <a:gd name="connsiteY82" fmla="*/ 1238796 h 1657350"/>
            <a:gd name="connsiteX83" fmla="*/ 512909 w 1737360"/>
            <a:gd name="connsiteY83" fmla="*/ 1255025 h 1657350"/>
            <a:gd name="connsiteX84" fmla="*/ 523062 w 1737360"/>
            <a:gd name="connsiteY84" fmla="*/ 1309298 h 1657350"/>
            <a:gd name="connsiteX85" fmla="*/ 577368 w 1737360"/>
            <a:gd name="connsiteY85" fmla="*/ 1299321 h 1657350"/>
            <a:gd name="connsiteX86" fmla="*/ 567215 w 1737360"/>
            <a:gd name="connsiteY86" fmla="*/ 1245048 h 1657350"/>
            <a:gd name="connsiteX87" fmla="*/ 537959 w 1737360"/>
            <a:gd name="connsiteY87" fmla="*/ 1238796 h 1657350"/>
            <a:gd name="connsiteX88" fmla="*/ 1181325 w 1737360"/>
            <a:gd name="connsiteY88" fmla="*/ 1232288 h 1657350"/>
            <a:gd name="connsiteX89" fmla="*/ 1152189 w 1737360"/>
            <a:gd name="connsiteY89" fmla="*/ 1239060 h 1657350"/>
            <a:gd name="connsiteX90" fmla="*/ 1142973 w 1737360"/>
            <a:gd name="connsiteY90" fmla="*/ 1293478 h 1657350"/>
            <a:gd name="connsiteX91" fmla="*/ 1197427 w 1737360"/>
            <a:gd name="connsiteY91" fmla="*/ 1302474 h 1657350"/>
            <a:gd name="connsiteX92" fmla="*/ 1206644 w 1737360"/>
            <a:gd name="connsiteY92" fmla="*/ 1248057 h 1657350"/>
            <a:gd name="connsiteX93" fmla="*/ 1181325 w 1737360"/>
            <a:gd name="connsiteY93" fmla="*/ 1232288 h 1657350"/>
            <a:gd name="connsiteX94" fmla="*/ 300521 w 1737360"/>
            <a:gd name="connsiteY94" fmla="*/ 1181962 h 1657350"/>
            <a:gd name="connsiteX95" fmla="*/ 251915 w 1737360"/>
            <a:gd name="connsiteY95" fmla="*/ 1231280 h 1657350"/>
            <a:gd name="connsiteX96" fmla="*/ 300521 w 1737360"/>
            <a:gd name="connsiteY96" fmla="*/ 1280598 h 1657350"/>
            <a:gd name="connsiteX97" fmla="*/ 349127 w 1737360"/>
            <a:gd name="connsiteY97" fmla="*/ 1231280 h 1657350"/>
            <a:gd name="connsiteX98" fmla="*/ 300521 w 1737360"/>
            <a:gd name="connsiteY98" fmla="*/ 1181962 h 1657350"/>
            <a:gd name="connsiteX99" fmla="*/ 471298 w 1737360"/>
            <a:gd name="connsiteY99" fmla="*/ 1177886 h 1657350"/>
            <a:gd name="connsiteX100" fmla="*/ 443702 w 1737360"/>
            <a:gd name="connsiteY100" fmla="*/ 1189785 h 1657350"/>
            <a:gd name="connsiteX101" fmla="*/ 443747 w 1737360"/>
            <a:gd name="connsiteY101" fmla="*/ 1245002 h 1657350"/>
            <a:gd name="connsiteX102" fmla="*/ 498957 w 1737360"/>
            <a:gd name="connsiteY102" fmla="*/ 1244077 h 1657350"/>
            <a:gd name="connsiteX103" fmla="*/ 498912 w 1737360"/>
            <a:gd name="connsiteY103" fmla="*/ 1188859 h 1657350"/>
            <a:gd name="connsiteX104" fmla="*/ 471298 w 1737360"/>
            <a:gd name="connsiteY104" fmla="*/ 1177886 h 1657350"/>
            <a:gd name="connsiteX105" fmla="*/ 1427468 w 1737360"/>
            <a:gd name="connsiteY105" fmla="*/ 1170995 h 1657350"/>
            <a:gd name="connsiteX106" fmla="*/ 1378862 w 1737360"/>
            <a:gd name="connsiteY106" fmla="*/ 1220274 h 1657350"/>
            <a:gd name="connsiteX107" fmla="*/ 1427468 w 1737360"/>
            <a:gd name="connsiteY107" fmla="*/ 1269553 h 1657350"/>
            <a:gd name="connsiteX108" fmla="*/ 1476074 w 1737360"/>
            <a:gd name="connsiteY108" fmla="*/ 1220274 h 1657350"/>
            <a:gd name="connsiteX109" fmla="*/ 1427468 w 1737360"/>
            <a:gd name="connsiteY109" fmla="*/ 1170995 h 1657350"/>
            <a:gd name="connsiteX110" fmla="*/ 1247326 w 1737360"/>
            <a:gd name="connsiteY110" fmla="*/ 1170137 h 1657350"/>
            <a:gd name="connsiteX111" fmla="*/ 1219809 w 1737360"/>
            <a:gd name="connsiteY111" fmla="*/ 1181866 h 1657350"/>
            <a:gd name="connsiteX112" fmla="*/ 1220182 w 1737360"/>
            <a:gd name="connsiteY112" fmla="*/ 1237057 h 1657350"/>
            <a:gd name="connsiteX113" fmla="*/ 1275371 w 1737360"/>
            <a:gd name="connsiteY113" fmla="*/ 1236461 h 1657350"/>
            <a:gd name="connsiteX114" fmla="*/ 1274998 w 1737360"/>
            <a:gd name="connsiteY114" fmla="*/ 1181269 h 1657350"/>
            <a:gd name="connsiteX115" fmla="*/ 1247326 w 1737360"/>
            <a:gd name="connsiteY115" fmla="*/ 1170137 h 1657350"/>
            <a:gd name="connsiteX116" fmla="*/ 415975 w 1737360"/>
            <a:gd name="connsiteY116" fmla="*/ 1106429 h 1657350"/>
            <a:gd name="connsiteX117" fmla="*/ 386733 w 1737360"/>
            <a:gd name="connsiteY117" fmla="*/ 1113355 h 1657350"/>
            <a:gd name="connsiteX118" fmla="*/ 377188 w 1737360"/>
            <a:gd name="connsiteY118" fmla="*/ 1167741 h 1657350"/>
            <a:gd name="connsiteX119" fmla="*/ 431720 w 1737360"/>
            <a:gd name="connsiteY119" fmla="*/ 1176417 h 1657350"/>
            <a:gd name="connsiteX120" fmla="*/ 441265 w 1737360"/>
            <a:gd name="connsiteY120" fmla="*/ 1122030 h 1657350"/>
            <a:gd name="connsiteX121" fmla="*/ 415975 w 1737360"/>
            <a:gd name="connsiteY121" fmla="*/ 1106429 h 1657350"/>
            <a:gd name="connsiteX122" fmla="*/ 1301087 w 1737360"/>
            <a:gd name="connsiteY122" fmla="*/ 1097675 h 1657350"/>
            <a:gd name="connsiteX123" fmla="*/ 1276084 w 1737360"/>
            <a:gd name="connsiteY123" fmla="*/ 1113724 h 1657350"/>
            <a:gd name="connsiteX124" fmla="*/ 1286556 w 1737360"/>
            <a:gd name="connsiteY124" fmla="*/ 1167916 h 1657350"/>
            <a:gd name="connsiteX125" fmla="*/ 1340901 w 1737360"/>
            <a:gd name="connsiteY125" fmla="*/ 1158266 h 1657350"/>
            <a:gd name="connsiteX126" fmla="*/ 1330429 w 1737360"/>
            <a:gd name="connsiteY126" fmla="*/ 1104074 h 1657350"/>
            <a:gd name="connsiteX127" fmla="*/ 1301087 w 1737360"/>
            <a:gd name="connsiteY127" fmla="*/ 1097675 h 1657350"/>
            <a:gd name="connsiteX128" fmla="*/ 240204 w 1737360"/>
            <a:gd name="connsiteY128" fmla="*/ 1079289 h 1657350"/>
            <a:gd name="connsiteX129" fmla="*/ 191598 w 1737360"/>
            <a:gd name="connsiteY129" fmla="*/ 1128568 h 1657350"/>
            <a:gd name="connsiteX130" fmla="*/ 240204 w 1737360"/>
            <a:gd name="connsiteY130" fmla="*/ 1177847 h 1657350"/>
            <a:gd name="connsiteX131" fmla="*/ 288810 w 1737360"/>
            <a:gd name="connsiteY131" fmla="*/ 1128568 h 1657350"/>
            <a:gd name="connsiteX132" fmla="*/ 240204 w 1737360"/>
            <a:gd name="connsiteY132" fmla="*/ 1079289 h 1657350"/>
            <a:gd name="connsiteX133" fmla="*/ 1487061 w 1737360"/>
            <a:gd name="connsiteY133" fmla="*/ 1067644 h 1657350"/>
            <a:gd name="connsiteX134" fmla="*/ 1438455 w 1737360"/>
            <a:gd name="connsiteY134" fmla="*/ 1116962 h 1657350"/>
            <a:gd name="connsiteX135" fmla="*/ 1487061 w 1737360"/>
            <a:gd name="connsiteY135" fmla="*/ 1166280 h 1657350"/>
            <a:gd name="connsiteX136" fmla="*/ 1535667 w 1737360"/>
            <a:gd name="connsiteY136" fmla="*/ 1116962 h 1657350"/>
            <a:gd name="connsiteX137" fmla="*/ 1487061 w 1737360"/>
            <a:gd name="connsiteY137" fmla="*/ 1067644 h 1657350"/>
            <a:gd name="connsiteX138" fmla="*/ 374412 w 1737360"/>
            <a:gd name="connsiteY138" fmla="*/ 1026354 h 1657350"/>
            <a:gd name="connsiteX139" fmla="*/ 344431 w 1737360"/>
            <a:gd name="connsiteY139" fmla="*/ 1028087 h 1657350"/>
            <a:gd name="connsiteX140" fmla="*/ 325616 w 1737360"/>
            <a:gd name="connsiteY140" fmla="*/ 1079976 h 1657350"/>
            <a:gd name="connsiteX141" fmla="*/ 377784 w 1737360"/>
            <a:gd name="connsiteY141" fmla="*/ 1098003 h 1657350"/>
            <a:gd name="connsiteX142" fmla="*/ 396599 w 1737360"/>
            <a:gd name="connsiteY142" fmla="*/ 1046114 h 1657350"/>
            <a:gd name="connsiteX143" fmla="*/ 374412 w 1737360"/>
            <a:gd name="connsiteY143" fmla="*/ 1026354 h 1657350"/>
            <a:gd name="connsiteX144" fmla="*/ 1342089 w 1737360"/>
            <a:gd name="connsiteY144" fmla="*/ 1017202 h 1657350"/>
            <a:gd name="connsiteX145" fmla="*/ 1320243 w 1737360"/>
            <a:gd name="connsiteY145" fmla="*/ 1037345 h 1657350"/>
            <a:gd name="connsiteX146" fmla="*/ 1339996 w 1737360"/>
            <a:gd name="connsiteY146" fmla="*/ 1088909 h 1657350"/>
            <a:gd name="connsiteX147" fmla="*/ 1391868 w 1737360"/>
            <a:gd name="connsiteY147" fmla="*/ 1069981 h 1657350"/>
            <a:gd name="connsiteX148" fmla="*/ 1372116 w 1737360"/>
            <a:gd name="connsiteY148" fmla="*/ 1018418 h 1657350"/>
            <a:gd name="connsiteX149" fmla="*/ 1342089 w 1737360"/>
            <a:gd name="connsiteY149" fmla="*/ 1017202 h 1657350"/>
            <a:gd name="connsiteX150" fmla="*/ 198310 w 1737360"/>
            <a:gd name="connsiteY150" fmla="*/ 967953 h 1657350"/>
            <a:gd name="connsiteX151" fmla="*/ 149704 w 1737360"/>
            <a:gd name="connsiteY151" fmla="*/ 1017232 h 1657350"/>
            <a:gd name="connsiteX152" fmla="*/ 198310 w 1737360"/>
            <a:gd name="connsiteY152" fmla="*/ 1066511 h 1657350"/>
            <a:gd name="connsiteX153" fmla="*/ 246916 w 1737360"/>
            <a:gd name="connsiteY153" fmla="*/ 1017232 h 1657350"/>
            <a:gd name="connsiteX154" fmla="*/ 198310 w 1737360"/>
            <a:gd name="connsiteY154" fmla="*/ 967953 h 1657350"/>
            <a:gd name="connsiteX155" fmla="*/ 1527185 w 1737360"/>
            <a:gd name="connsiteY155" fmla="*/ 955442 h 1657350"/>
            <a:gd name="connsiteX156" fmla="*/ 1478579 w 1737360"/>
            <a:gd name="connsiteY156" fmla="*/ 1004760 h 1657350"/>
            <a:gd name="connsiteX157" fmla="*/ 1527185 w 1737360"/>
            <a:gd name="connsiteY157" fmla="*/ 1054078 h 1657350"/>
            <a:gd name="connsiteX158" fmla="*/ 1575791 w 1737360"/>
            <a:gd name="connsiteY158" fmla="*/ 1004760 h 1657350"/>
            <a:gd name="connsiteX159" fmla="*/ 1527185 w 1737360"/>
            <a:gd name="connsiteY159" fmla="*/ 955442 h 1657350"/>
            <a:gd name="connsiteX160" fmla="*/ 317336 w 1737360"/>
            <a:gd name="connsiteY160" fmla="*/ 937006 h 1657350"/>
            <a:gd name="connsiteX161" fmla="*/ 289796 w 1737360"/>
            <a:gd name="connsiteY161" fmla="*/ 984840 h 1657350"/>
            <a:gd name="connsiteX162" fmla="*/ 338042 w 1737360"/>
            <a:gd name="connsiteY162" fmla="*/ 1011652 h 1657350"/>
            <a:gd name="connsiteX163" fmla="*/ 365581 w 1737360"/>
            <a:gd name="connsiteY163" fmla="*/ 963818 h 1657350"/>
            <a:gd name="connsiteX164" fmla="*/ 317336 w 1737360"/>
            <a:gd name="connsiteY164" fmla="*/ 937006 h 1657350"/>
            <a:gd name="connsiteX165" fmla="*/ 1397780 w 1737360"/>
            <a:gd name="connsiteY165" fmla="*/ 926749 h 1657350"/>
            <a:gd name="connsiteX166" fmla="*/ 1349983 w 1737360"/>
            <a:gd name="connsiteY166" fmla="*/ 954397 h 1657350"/>
            <a:gd name="connsiteX167" fmla="*/ 1378389 w 1737360"/>
            <a:gd name="connsiteY167" fmla="*/ 1001747 h 1657350"/>
            <a:gd name="connsiteX168" fmla="*/ 1426187 w 1737360"/>
            <a:gd name="connsiteY168" fmla="*/ 974100 h 1657350"/>
            <a:gd name="connsiteX169" fmla="*/ 1397780 w 1737360"/>
            <a:gd name="connsiteY169" fmla="*/ 926749 h 1657350"/>
            <a:gd name="connsiteX170" fmla="*/ 176552 w 1737360"/>
            <a:gd name="connsiteY170" fmla="*/ 851062 h 1657350"/>
            <a:gd name="connsiteX171" fmla="*/ 127946 w 1737360"/>
            <a:gd name="connsiteY171" fmla="*/ 900341 h 1657350"/>
            <a:gd name="connsiteX172" fmla="*/ 176552 w 1737360"/>
            <a:gd name="connsiteY172" fmla="*/ 949620 h 1657350"/>
            <a:gd name="connsiteX173" fmla="*/ 225158 w 1737360"/>
            <a:gd name="connsiteY173" fmla="*/ 900341 h 1657350"/>
            <a:gd name="connsiteX174" fmla="*/ 176552 w 1737360"/>
            <a:gd name="connsiteY174" fmla="*/ 851062 h 1657350"/>
            <a:gd name="connsiteX175" fmla="*/ 306625 w 1737360"/>
            <a:gd name="connsiteY175" fmla="*/ 842631 h 1657350"/>
            <a:gd name="connsiteX176" fmla="*/ 271198 w 1737360"/>
            <a:gd name="connsiteY176" fmla="*/ 884956 h 1657350"/>
            <a:gd name="connsiteX177" fmla="*/ 314054 w 1737360"/>
            <a:gd name="connsiteY177" fmla="*/ 919738 h 1657350"/>
            <a:gd name="connsiteX178" fmla="*/ 349482 w 1737360"/>
            <a:gd name="connsiteY178" fmla="*/ 877414 h 1657350"/>
            <a:gd name="connsiteX179" fmla="*/ 306625 w 1737360"/>
            <a:gd name="connsiteY179" fmla="*/ 842631 h 1657350"/>
            <a:gd name="connsiteX180" fmla="*/ 1547068 w 1737360"/>
            <a:gd name="connsiteY180" fmla="*/ 838061 h 1657350"/>
            <a:gd name="connsiteX181" fmla="*/ 1498462 w 1737360"/>
            <a:gd name="connsiteY181" fmla="*/ 887379 h 1657350"/>
            <a:gd name="connsiteX182" fmla="*/ 1547068 w 1737360"/>
            <a:gd name="connsiteY182" fmla="*/ 936697 h 1657350"/>
            <a:gd name="connsiteX183" fmla="*/ 1595674 w 1737360"/>
            <a:gd name="connsiteY183" fmla="*/ 887379 h 1657350"/>
            <a:gd name="connsiteX184" fmla="*/ 1547068 w 1737360"/>
            <a:gd name="connsiteY184" fmla="*/ 838061 h 1657350"/>
            <a:gd name="connsiteX185" fmla="*/ 1407000 w 1737360"/>
            <a:gd name="connsiteY185" fmla="*/ 832098 h 1657350"/>
            <a:gd name="connsiteX186" fmla="*/ 1364730 w 1737360"/>
            <a:gd name="connsiteY186" fmla="*/ 867625 h 1657350"/>
            <a:gd name="connsiteX187" fmla="*/ 1400927 w 1737360"/>
            <a:gd name="connsiteY187" fmla="*/ 909323 h 1657350"/>
            <a:gd name="connsiteX188" fmla="*/ 1443198 w 1737360"/>
            <a:gd name="connsiteY188" fmla="*/ 873796 h 1657350"/>
            <a:gd name="connsiteX189" fmla="*/ 1407000 w 1737360"/>
            <a:gd name="connsiteY189" fmla="*/ 832098 h 1657350"/>
            <a:gd name="connsiteX190" fmla="*/ 312191 w 1737360"/>
            <a:gd name="connsiteY190" fmla="*/ 747797 h 1657350"/>
            <a:gd name="connsiteX191" fmla="*/ 269920 w 1737360"/>
            <a:gd name="connsiteY191" fmla="*/ 783324 h 1657350"/>
            <a:gd name="connsiteX192" fmla="*/ 306118 w 1737360"/>
            <a:gd name="connsiteY192" fmla="*/ 825022 h 1657350"/>
            <a:gd name="connsiteX193" fmla="*/ 348388 w 1737360"/>
            <a:gd name="connsiteY193" fmla="*/ 789495 h 1657350"/>
            <a:gd name="connsiteX194" fmla="*/ 312191 w 1737360"/>
            <a:gd name="connsiteY194" fmla="*/ 747797 h 1657350"/>
            <a:gd name="connsiteX195" fmla="*/ 1399065 w 1737360"/>
            <a:gd name="connsiteY195" fmla="*/ 737380 h 1657350"/>
            <a:gd name="connsiteX196" fmla="*/ 1363637 w 1737360"/>
            <a:gd name="connsiteY196" fmla="*/ 779705 h 1657350"/>
            <a:gd name="connsiteX197" fmla="*/ 1406494 w 1737360"/>
            <a:gd name="connsiteY197" fmla="*/ 814487 h 1657350"/>
            <a:gd name="connsiteX198" fmla="*/ 1441921 w 1737360"/>
            <a:gd name="connsiteY198" fmla="*/ 772163 h 1657350"/>
            <a:gd name="connsiteX199" fmla="*/ 1399065 w 1737360"/>
            <a:gd name="connsiteY199" fmla="*/ 737380 h 1657350"/>
            <a:gd name="connsiteX200" fmla="*/ 175050 w 1737360"/>
            <a:gd name="connsiteY200" fmla="*/ 732086 h 1657350"/>
            <a:gd name="connsiteX201" fmla="*/ 126444 w 1737360"/>
            <a:gd name="connsiteY201" fmla="*/ 781404 h 1657350"/>
            <a:gd name="connsiteX202" fmla="*/ 175050 w 1737360"/>
            <a:gd name="connsiteY202" fmla="*/ 830722 h 1657350"/>
            <a:gd name="connsiteX203" fmla="*/ 223656 w 1737360"/>
            <a:gd name="connsiteY203" fmla="*/ 781404 h 1657350"/>
            <a:gd name="connsiteX204" fmla="*/ 175050 w 1737360"/>
            <a:gd name="connsiteY204" fmla="*/ 732086 h 1657350"/>
            <a:gd name="connsiteX205" fmla="*/ 1545567 w 1737360"/>
            <a:gd name="connsiteY205" fmla="*/ 719163 h 1657350"/>
            <a:gd name="connsiteX206" fmla="*/ 1496961 w 1737360"/>
            <a:gd name="connsiteY206" fmla="*/ 768442 h 1657350"/>
            <a:gd name="connsiteX207" fmla="*/ 1545567 w 1737360"/>
            <a:gd name="connsiteY207" fmla="*/ 817721 h 1657350"/>
            <a:gd name="connsiteX208" fmla="*/ 1594173 w 1737360"/>
            <a:gd name="connsiteY208" fmla="*/ 768442 h 1657350"/>
            <a:gd name="connsiteX209" fmla="*/ 1545567 w 1737360"/>
            <a:gd name="connsiteY209" fmla="*/ 719163 h 1657350"/>
            <a:gd name="connsiteX210" fmla="*/ 334729 w 1737360"/>
            <a:gd name="connsiteY210" fmla="*/ 655372 h 1657350"/>
            <a:gd name="connsiteX211" fmla="*/ 286931 w 1737360"/>
            <a:gd name="connsiteY211" fmla="*/ 683020 h 1657350"/>
            <a:gd name="connsiteX212" fmla="*/ 315338 w 1737360"/>
            <a:gd name="connsiteY212" fmla="*/ 730370 h 1657350"/>
            <a:gd name="connsiteX213" fmla="*/ 363135 w 1737360"/>
            <a:gd name="connsiteY213" fmla="*/ 702723 h 1657350"/>
            <a:gd name="connsiteX214" fmla="*/ 334729 w 1737360"/>
            <a:gd name="connsiteY214" fmla="*/ 655372 h 1657350"/>
            <a:gd name="connsiteX215" fmla="*/ 1375076 w 1737360"/>
            <a:gd name="connsiteY215" fmla="*/ 645466 h 1657350"/>
            <a:gd name="connsiteX216" fmla="*/ 1347537 w 1737360"/>
            <a:gd name="connsiteY216" fmla="*/ 693300 h 1657350"/>
            <a:gd name="connsiteX217" fmla="*/ 1395782 w 1737360"/>
            <a:gd name="connsiteY217" fmla="*/ 720112 h 1657350"/>
            <a:gd name="connsiteX218" fmla="*/ 1423322 w 1737360"/>
            <a:gd name="connsiteY218" fmla="*/ 672278 h 1657350"/>
            <a:gd name="connsiteX219" fmla="*/ 1375076 w 1737360"/>
            <a:gd name="connsiteY219" fmla="*/ 645466 h 1657350"/>
            <a:gd name="connsiteX220" fmla="*/ 194934 w 1737360"/>
            <a:gd name="connsiteY220" fmla="*/ 614705 h 1657350"/>
            <a:gd name="connsiteX221" fmla="*/ 146328 w 1737360"/>
            <a:gd name="connsiteY221" fmla="*/ 664023 h 1657350"/>
            <a:gd name="connsiteX222" fmla="*/ 194934 w 1737360"/>
            <a:gd name="connsiteY222" fmla="*/ 713341 h 1657350"/>
            <a:gd name="connsiteX223" fmla="*/ 243540 w 1737360"/>
            <a:gd name="connsiteY223" fmla="*/ 664023 h 1657350"/>
            <a:gd name="connsiteX224" fmla="*/ 194934 w 1737360"/>
            <a:gd name="connsiteY224" fmla="*/ 614705 h 1657350"/>
            <a:gd name="connsiteX225" fmla="*/ 1523809 w 1737360"/>
            <a:gd name="connsiteY225" fmla="*/ 602271 h 1657350"/>
            <a:gd name="connsiteX226" fmla="*/ 1475203 w 1737360"/>
            <a:gd name="connsiteY226" fmla="*/ 651550 h 1657350"/>
            <a:gd name="connsiteX227" fmla="*/ 1523809 w 1737360"/>
            <a:gd name="connsiteY227" fmla="*/ 700829 h 1657350"/>
            <a:gd name="connsiteX228" fmla="*/ 1572415 w 1737360"/>
            <a:gd name="connsiteY228" fmla="*/ 651550 h 1657350"/>
            <a:gd name="connsiteX229" fmla="*/ 1523809 w 1737360"/>
            <a:gd name="connsiteY229" fmla="*/ 602271 h 1657350"/>
            <a:gd name="connsiteX230" fmla="*/ 343095 w 1737360"/>
            <a:gd name="connsiteY230" fmla="*/ 566995 h 1657350"/>
            <a:gd name="connsiteX231" fmla="*/ 321250 w 1737360"/>
            <a:gd name="connsiteY231" fmla="*/ 587138 h 1657350"/>
            <a:gd name="connsiteX232" fmla="*/ 341002 w 1737360"/>
            <a:gd name="connsiteY232" fmla="*/ 638702 h 1657350"/>
            <a:gd name="connsiteX233" fmla="*/ 392875 w 1737360"/>
            <a:gd name="connsiteY233" fmla="*/ 619774 h 1657350"/>
            <a:gd name="connsiteX234" fmla="*/ 373122 w 1737360"/>
            <a:gd name="connsiteY234" fmla="*/ 568211 h 1657350"/>
            <a:gd name="connsiteX235" fmla="*/ 343095 w 1737360"/>
            <a:gd name="connsiteY235" fmla="*/ 566995 h 1657350"/>
            <a:gd name="connsiteX236" fmla="*/ 1365315 w 1737360"/>
            <a:gd name="connsiteY236" fmla="*/ 557383 h 1657350"/>
            <a:gd name="connsiteX237" fmla="*/ 1335335 w 1737360"/>
            <a:gd name="connsiteY237" fmla="*/ 559116 h 1657350"/>
            <a:gd name="connsiteX238" fmla="*/ 1316520 w 1737360"/>
            <a:gd name="connsiteY238" fmla="*/ 611005 h 1657350"/>
            <a:gd name="connsiteX239" fmla="*/ 1368688 w 1737360"/>
            <a:gd name="connsiteY239" fmla="*/ 629032 h 1657350"/>
            <a:gd name="connsiteX240" fmla="*/ 1387503 w 1737360"/>
            <a:gd name="connsiteY240" fmla="*/ 577143 h 1657350"/>
            <a:gd name="connsiteX241" fmla="*/ 1365315 w 1737360"/>
            <a:gd name="connsiteY241" fmla="*/ 557383 h 1657350"/>
            <a:gd name="connsiteX242" fmla="*/ 235058 w 1737360"/>
            <a:gd name="connsiteY242" fmla="*/ 502503 h 1657350"/>
            <a:gd name="connsiteX243" fmla="*/ 186452 w 1737360"/>
            <a:gd name="connsiteY243" fmla="*/ 551821 h 1657350"/>
            <a:gd name="connsiteX244" fmla="*/ 235058 w 1737360"/>
            <a:gd name="connsiteY244" fmla="*/ 601139 h 1657350"/>
            <a:gd name="connsiteX245" fmla="*/ 283664 w 1737360"/>
            <a:gd name="connsiteY245" fmla="*/ 551821 h 1657350"/>
            <a:gd name="connsiteX246" fmla="*/ 235058 w 1737360"/>
            <a:gd name="connsiteY246" fmla="*/ 502503 h 1657350"/>
            <a:gd name="connsiteX247" fmla="*/ 1481914 w 1737360"/>
            <a:gd name="connsiteY247" fmla="*/ 490935 h 1657350"/>
            <a:gd name="connsiteX248" fmla="*/ 1433308 w 1737360"/>
            <a:gd name="connsiteY248" fmla="*/ 540214 h 1657350"/>
            <a:gd name="connsiteX249" fmla="*/ 1481914 w 1737360"/>
            <a:gd name="connsiteY249" fmla="*/ 589493 h 1657350"/>
            <a:gd name="connsiteX250" fmla="*/ 1530520 w 1737360"/>
            <a:gd name="connsiteY250" fmla="*/ 540214 h 1657350"/>
            <a:gd name="connsiteX251" fmla="*/ 1481914 w 1737360"/>
            <a:gd name="connsiteY251" fmla="*/ 490935 h 1657350"/>
            <a:gd name="connsiteX252" fmla="*/ 397222 w 1737360"/>
            <a:gd name="connsiteY252" fmla="*/ 482803 h 1657350"/>
            <a:gd name="connsiteX253" fmla="*/ 372218 w 1737360"/>
            <a:gd name="connsiteY253" fmla="*/ 498852 h 1657350"/>
            <a:gd name="connsiteX254" fmla="*/ 382690 w 1737360"/>
            <a:gd name="connsiteY254" fmla="*/ 553044 h 1657350"/>
            <a:gd name="connsiteX255" fmla="*/ 437035 w 1737360"/>
            <a:gd name="connsiteY255" fmla="*/ 543394 h 1657350"/>
            <a:gd name="connsiteX256" fmla="*/ 426563 w 1737360"/>
            <a:gd name="connsiteY256" fmla="*/ 489202 h 1657350"/>
            <a:gd name="connsiteX257" fmla="*/ 397222 w 1737360"/>
            <a:gd name="connsiteY257" fmla="*/ 482803 h 1657350"/>
            <a:gd name="connsiteX258" fmla="*/ 1310641 w 1737360"/>
            <a:gd name="connsiteY258" fmla="*/ 473778 h 1657350"/>
            <a:gd name="connsiteX259" fmla="*/ 1281398 w 1737360"/>
            <a:gd name="connsiteY259" fmla="*/ 480704 h 1657350"/>
            <a:gd name="connsiteX260" fmla="*/ 1271854 w 1737360"/>
            <a:gd name="connsiteY260" fmla="*/ 535090 h 1657350"/>
            <a:gd name="connsiteX261" fmla="*/ 1326385 w 1737360"/>
            <a:gd name="connsiteY261" fmla="*/ 543766 h 1657350"/>
            <a:gd name="connsiteX262" fmla="*/ 1335930 w 1737360"/>
            <a:gd name="connsiteY262" fmla="*/ 489379 h 1657350"/>
            <a:gd name="connsiteX263" fmla="*/ 1310641 w 1737360"/>
            <a:gd name="connsiteY263" fmla="*/ 473778 h 1657350"/>
            <a:gd name="connsiteX264" fmla="*/ 465264 w 1737360"/>
            <a:gd name="connsiteY264" fmla="*/ 408929 h 1657350"/>
            <a:gd name="connsiteX265" fmla="*/ 437746 w 1737360"/>
            <a:gd name="connsiteY265" fmla="*/ 420658 h 1657350"/>
            <a:gd name="connsiteX266" fmla="*/ 438119 w 1737360"/>
            <a:gd name="connsiteY266" fmla="*/ 475849 h 1657350"/>
            <a:gd name="connsiteX267" fmla="*/ 493309 w 1737360"/>
            <a:gd name="connsiteY267" fmla="*/ 475253 h 1657350"/>
            <a:gd name="connsiteX268" fmla="*/ 492936 w 1737360"/>
            <a:gd name="connsiteY268" fmla="*/ 420061 h 1657350"/>
            <a:gd name="connsiteX269" fmla="*/ 465264 w 1737360"/>
            <a:gd name="connsiteY269" fmla="*/ 408929 h 1657350"/>
            <a:gd name="connsiteX270" fmla="*/ 1241757 w 1737360"/>
            <a:gd name="connsiteY270" fmla="*/ 401146 h 1657350"/>
            <a:gd name="connsiteX271" fmla="*/ 1214161 w 1737360"/>
            <a:gd name="connsiteY271" fmla="*/ 413045 h 1657350"/>
            <a:gd name="connsiteX272" fmla="*/ 1214205 w 1737360"/>
            <a:gd name="connsiteY272" fmla="*/ 468262 h 1657350"/>
            <a:gd name="connsiteX273" fmla="*/ 1269415 w 1737360"/>
            <a:gd name="connsiteY273" fmla="*/ 467337 h 1657350"/>
            <a:gd name="connsiteX274" fmla="*/ 1269371 w 1737360"/>
            <a:gd name="connsiteY274" fmla="*/ 412119 h 1657350"/>
            <a:gd name="connsiteX275" fmla="*/ 1241757 w 1737360"/>
            <a:gd name="connsiteY275" fmla="*/ 401146 h 1657350"/>
            <a:gd name="connsiteX276" fmla="*/ 294651 w 1737360"/>
            <a:gd name="connsiteY276" fmla="*/ 399228 h 1657350"/>
            <a:gd name="connsiteX277" fmla="*/ 246045 w 1737360"/>
            <a:gd name="connsiteY277" fmla="*/ 448507 h 1657350"/>
            <a:gd name="connsiteX278" fmla="*/ 294651 w 1737360"/>
            <a:gd name="connsiteY278" fmla="*/ 497786 h 1657350"/>
            <a:gd name="connsiteX279" fmla="*/ 343257 w 1737360"/>
            <a:gd name="connsiteY279" fmla="*/ 448507 h 1657350"/>
            <a:gd name="connsiteX280" fmla="*/ 294651 w 1737360"/>
            <a:gd name="connsiteY280" fmla="*/ 399228 h 1657350"/>
            <a:gd name="connsiteX281" fmla="*/ 1421598 w 1737360"/>
            <a:gd name="connsiteY281" fmla="*/ 388185 h 1657350"/>
            <a:gd name="connsiteX282" fmla="*/ 1372992 w 1737360"/>
            <a:gd name="connsiteY282" fmla="*/ 437503 h 1657350"/>
            <a:gd name="connsiteX283" fmla="*/ 1421598 w 1737360"/>
            <a:gd name="connsiteY283" fmla="*/ 486821 h 1657350"/>
            <a:gd name="connsiteX284" fmla="*/ 1470204 w 1737360"/>
            <a:gd name="connsiteY284" fmla="*/ 437503 h 1657350"/>
            <a:gd name="connsiteX285" fmla="*/ 1421598 w 1737360"/>
            <a:gd name="connsiteY285" fmla="*/ 388185 h 1657350"/>
            <a:gd name="connsiteX286" fmla="*/ 544826 w 1737360"/>
            <a:gd name="connsiteY286" fmla="*/ 347873 h 1657350"/>
            <a:gd name="connsiteX287" fmla="*/ 515690 w 1737360"/>
            <a:gd name="connsiteY287" fmla="*/ 354645 h 1657350"/>
            <a:gd name="connsiteX288" fmla="*/ 506473 w 1737360"/>
            <a:gd name="connsiteY288" fmla="*/ 409063 h 1657350"/>
            <a:gd name="connsiteX289" fmla="*/ 560928 w 1737360"/>
            <a:gd name="connsiteY289" fmla="*/ 418059 h 1657350"/>
            <a:gd name="connsiteX290" fmla="*/ 570144 w 1737360"/>
            <a:gd name="connsiteY290" fmla="*/ 363642 h 1657350"/>
            <a:gd name="connsiteX291" fmla="*/ 544826 w 1737360"/>
            <a:gd name="connsiteY291" fmla="*/ 347873 h 1657350"/>
            <a:gd name="connsiteX292" fmla="*/ 1160801 w 1737360"/>
            <a:gd name="connsiteY292" fmla="*/ 341571 h 1657350"/>
            <a:gd name="connsiteX293" fmla="*/ 1135751 w 1737360"/>
            <a:gd name="connsiteY293" fmla="*/ 357800 h 1657350"/>
            <a:gd name="connsiteX294" fmla="*/ 1145905 w 1737360"/>
            <a:gd name="connsiteY294" fmla="*/ 412073 h 1657350"/>
            <a:gd name="connsiteX295" fmla="*/ 1200210 w 1737360"/>
            <a:gd name="connsiteY295" fmla="*/ 402096 h 1657350"/>
            <a:gd name="connsiteX296" fmla="*/ 1190057 w 1737360"/>
            <a:gd name="connsiteY296" fmla="*/ 347823 h 1657350"/>
            <a:gd name="connsiteX297" fmla="*/ 1160801 w 1737360"/>
            <a:gd name="connsiteY297" fmla="*/ 341571 h 1657350"/>
            <a:gd name="connsiteX298" fmla="*/ 370959 w 1737360"/>
            <a:gd name="connsiteY298" fmla="*/ 307821 h 1657350"/>
            <a:gd name="connsiteX299" fmla="*/ 321953 w 1737360"/>
            <a:gd name="connsiteY299" fmla="*/ 356698 h 1657350"/>
            <a:gd name="connsiteX300" fmla="*/ 370959 w 1737360"/>
            <a:gd name="connsiteY300" fmla="*/ 405575 h 1657350"/>
            <a:gd name="connsiteX301" fmla="*/ 419965 w 1737360"/>
            <a:gd name="connsiteY301" fmla="*/ 356698 h 1657350"/>
            <a:gd name="connsiteX302" fmla="*/ 370959 w 1737360"/>
            <a:gd name="connsiteY302" fmla="*/ 307821 h 1657350"/>
            <a:gd name="connsiteX303" fmla="*/ 633665 w 1737360"/>
            <a:gd name="connsiteY303" fmla="*/ 301013 h 1657350"/>
            <a:gd name="connsiteX304" fmla="*/ 603792 w 1737360"/>
            <a:gd name="connsiteY304" fmla="*/ 302615 h 1657350"/>
            <a:gd name="connsiteX305" fmla="*/ 585279 w 1737360"/>
            <a:gd name="connsiteY305" fmla="*/ 354634 h 1657350"/>
            <a:gd name="connsiteX306" fmla="*/ 637357 w 1737360"/>
            <a:gd name="connsiteY306" fmla="*/ 372977 h 1657350"/>
            <a:gd name="connsiteX307" fmla="*/ 655870 w 1737360"/>
            <a:gd name="connsiteY307" fmla="*/ 320959 h 1657350"/>
            <a:gd name="connsiteX308" fmla="*/ 633665 w 1737360"/>
            <a:gd name="connsiteY308" fmla="*/ 301013 h 1657350"/>
            <a:gd name="connsiteX309" fmla="*/ 1343759 w 1737360"/>
            <a:gd name="connsiteY309" fmla="*/ 297766 h 1657350"/>
            <a:gd name="connsiteX310" fmla="*/ 1295153 w 1737360"/>
            <a:gd name="connsiteY310" fmla="*/ 347084 h 1657350"/>
            <a:gd name="connsiteX311" fmla="*/ 1343759 w 1737360"/>
            <a:gd name="connsiteY311" fmla="*/ 396402 h 1657350"/>
            <a:gd name="connsiteX312" fmla="*/ 1392365 w 1737360"/>
            <a:gd name="connsiteY312" fmla="*/ 347084 h 1657350"/>
            <a:gd name="connsiteX313" fmla="*/ 1343759 w 1737360"/>
            <a:gd name="connsiteY313" fmla="*/ 297766 h 1657350"/>
            <a:gd name="connsiteX314" fmla="*/ 1070975 w 1737360"/>
            <a:gd name="connsiteY314" fmla="*/ 296789 h 1657350"/>
            <a:gd name="connsiteX315" fmla="*/ 1049124 w 1737360"/>
            <a:gd name="connsiteY315" fmla="*/ 317121 h 1657350"/>
            <a:gd name="connsiteX316" fmla="*/ 1068547 w 1737360"/>
            <a:gd name="connsiteY316" fmla="*/ 368806 h 1657350"/>
            <a:gd name="connsiteX317" fmla="*/ 1120296 w 1737360"/>
            <a:gd name="connsiteY317" fmla="*/ 349551 h 1657350"/>
            <a:gd name="connsiteX318" fmla="*/ 1100872 w 1737360"/>
            <a:gd name="connsiteY318" fmla="*/ 297866 h 1657350"/>
            <a:gd name="connsiteX319" fmla="*/ 1070975 w 1737360"/>
            <a:gd name="connsiteY319" fmla="*/ 296789 h 1657350"/>
            <a:gd name="connsiteX320" fmla="*/ 699843 w 1737360"/>
            <a:gd name="connsiteY320" fmla="*/ 266941 h 1657350"/>
            <a:gd name="connsiteX321" fmla="*/ 672578 w 1737360"/>
            <a:gd name="connsiteY321" fmla="*/ 314955 h 1657350"/>
            <a:gd name="connsiteX322" fmla="*/ 720680 w 1737360"/>
            <a:gd name="connsiteY322" fmla="*/ 342063 h 1657350"/>
            <a:gd name="connsiteX323" fmla="*/ 747945 w 1737360"/>
            <a:gd name="connsiteY323" fmla="*/ 294049 h 1657350"/>
            <a:gd name="connsiteX324" fmla="*/ 699843 w 1737360"/>
            <a:gd name="connsiteY324" fmla="*/ 266941 h 1657350"/>
            <a:gd name="connsiteX325" fmla="*/ 1004264 w 1737360"/>
            <a:gd name="connsiteY325" fmla="*/ 264032 h 1657350"/>
            <a:gd name="connsiteX326" fmla="*/ 956646 w 1737360"/>
            <a:gd name="connsiteY326" fmla="*/ 291981 h 1657350"/>
            <a:gd name="connsiteX327" fmla="*/ 984749 w 1737360"/>
            <a:gd name="connsiteY327" fmla="*/ 339508 h 1657350"/>
            <a:gd name="connsiteX328" fmla="*/ 1032368 w 1737360"/>
            <a:gd name="connsiteY328" fmla="*/ 311559 h 1657350"/>
            <a:gd name="connsiteX329" fmla="*/ 1004264 w 1737360"/>
            <a:gd name="connsiteY329" fmla="*/ 264032 h 1657350"/>
            <a:gd name="connsiteX330" fmla="*/ 800658 w 1737360"/>
            <a:gd name="connsiteY330" fmla="*/ 248331 h 1657350"/>
            <a:gd name="connsiteX331" fmla="*/ 765470 w 1737360"/>
            <a:gd name="connsiteY331" fmla="*/ 290881 h 1657350"/>
            <a:gd name="connsiteX332" fmla="*/ 808134 w 1737360"/>
            <a:gd name="connsiteY332" fmla="*/ 325930 h 1657350"/>
            <a:gd name="connsiteX333" fmla="*/ 843322 w 1737360"/>
            <a:gd name="connsiteY333" fmla="*/ 283381 h 1657350"/>
            <a:gd name="connsiteX334" fmla="*/ 800658 w 1737360"/>
            <a:gd name="connsiteY334" fmla="*/ 248331 h 1657350"/>
            <a:gd name="connsiteX335" fmla="*/ 903169 w 1737360"/>
            <a:gd name="connsiteY335" fmla="*/ 247352 h 1657350"/>
            <a:gd name="connsiteX336" fmla="*/ 861127 w 1737360"/>
            <a:gd name="connsiteY336" fmla="*/ 283145 h 1657350"/>
            <a:gd name="connsiteX337" fmla="*/ 897057 w 1737360"/>
            <a:gd name="connsiteY337" fmla="*/ 325070 h 1657350"/>
            <a:gd name="connsiteX338" fmla="*/ 939098 w 1737360"/>
            <a:gd name="connsiteY338" fmla="*/ 289277 h 1657350"/>
            <a:gd name="connsiteX339" fmla="*/ 903169 w 1737360"/>
            <a:gd name="connsiteY339" fmla="*/ 247352 h 1657350"/>
            <a:gd name="connsiteX340" fmla="*/ 462158 w 1737360"/>
            <a:gd name="connsiteY340" fmla="*/ 230525 h 1657350"/>
            <a:gd name="connsiteX341" fmla="*/ 413152 w 1737360"/>
            <a:gd name="connsiteY341" fmla="*/ 279402 h 1657350"/>
            <a:gd name="connsiteX342" fmla="*/ 462158 w 1737360"/>
            <a:gd name="connsiteY342" fmla="*/ 328279 h 1657350"/>
            <a:gd name="connsiteX343" fmla="*/ 511164 w 1737360"/>
            <a:gd name="connsiteY343" fmla="*/ 279402 h 1657350"/>
            <a:gd name="connsiteX344" fmla="*/ 462158 w 1737360"/>
            <a:gd name="connsiteY344" fmla="*/ 230525 h 1657350"/>
            <a:gd name="connsiteX345" fmla="*/ 1251253 w 1737360"/>
            <a:gd name="connsiteY345" fmla="*/ 222555 h 1657350"/>
            <a:gd name="connsiteX346" fmla="*/ 1202247 w 1737360"/>
            <a:gd name="connsiteY346" fmla="*/ 271471 h 1657350"/>
            <a:gd name="connsiteX347" fmla="*/ 1251253 w 1737360"/>
            <a:gd name="connsiteY347" fmla="*/ 320387 h 1657350"/>
            <a:gd name="connsiteX348" fmla="*/ 1300259 w 1737360"/>
            <a:gd name="connsiteY348" fmla="*/ 271471 h 1657350"/>
            <a:gd name="connsiteX349" fmla="*/ 1251253 w 1737360"/>
            <a:gd name="connsiteY349" fmla="*/ 222555 h 1657350"/>
            <a:gd name="connsiteX350" fmla="*/ 565244 w 1737360"/>
            <a:gd name="connsiteY350" fmla="*/ 169567 h 1657350"/>
            <a:gd name="connsiteX351" fmla="*/ 516238 w 1737360"/>
            <a:gd name="connsiteY351" fmla="*/ 218483 h 1657350"/>
            <a:gd name="connsiteX352" fmla="*/ 565244 w 1737360"/>
            <a:gd name="connsiteY352" fmla="*/ 267399 h 1657350"/>
            <a:gd name="connsiteX353" fmla="*/ 614250 w 1737360"/>
            <a:gd name="connsiteY353" fmla="*/ 218483 h 1657350"/>
            <a:gd name="connsiteX354" fmla="*/ 565244 w 1737360"/>
            <a:gd name="connsiteY354" fmla="*/ 169567 h 1657350"/>
            <a:gd name="connsiteX355" fmla="*/ 1146892 w 1737360"/>
            <a:gd name="connsiteY355" fmla="*/ 164046 h 1657350"/>
            <a:gd name="connsiteX356" fmla="*/ 1097886 w 1737360"/>
            <a:gd name="connsiteY356" fmla="*/ 212962 h 1657350"/>
            <a:gd name="connsiteX357" fmla="*/ 1146892 w 1737360"/>
            <a:gd name="connsiteY357" fmla="*/ 261878 h 1657350"/>
            <a:gd name="connsiteX358" fmla="*/ 1195898 w 1737360"/>
            <a:gd name="connsiteY358" fmla="*/ 212962 h 1657350"/>
            <a:gd name="connsiteX359" fmla="*/ 1146892 w 1737360"/>
            <a:gd name="connsiteY359" fmla="*/ 164046 h 1657350"/>
            <a:gd name="connsiteX360" fmla="*/ 677634 w 1737360"/>
            <a:gd name="connsiteY360" fmla="*/ 127800 h 1657350"/>
            <a:gd name="connsiteX361" fmla="*/ 628628 w 1737360"/>
            <a:gd name="connsiteY361" fmla="*/ 176716 h 1657350"/>
            <a:gd name="connsiteX362" fmla="*/ 677634 w 1737360"/>
            <a:gd name="connsiteY362" fmla="*/ 225632 h 1657350"/>
            <a:gd name="connsiteX363" fmla="*/ 726640 w 1737360"/>
            <a:gd name="connsiteY363" fmla="*/ 176716 h 1657350"/>
            <a:gd name="connsiteX364" fmla="*/ 677634 w 1737360"/>
            <a:gd name="connsiteY364" fmla="*/ 127800 h 1657350"/>
            <a:gd name="connsiteX365" fmla="*/ 1033845 w 1737360"/>
            <a:gd name="connsiteY365" fmla="*/ 124419 h 1657350"/>
            <a:gd name="connsiteX366" fmla="*/ 984839 w 1737360"/>
            <a:gd name="connsiteY366" fmla="*/ 173335 h 1657350"/>
            <a:gd name="connsiteX367" fmla="*/ 1033845 w 1737360"/>
            <a:gd name="connsiteY367" fmla="*/ 222251 h 1657350"/>
            <a:gd name="connsiteX368" fmla="*/ 1082851 w 1737360"/>
            <a:gd name="connsiteY368" fmla="*/ 173335 h 1657350"/>
            <a:gd name="connsiteX369" fmla="*/ 1033845 w 1737360"/>
            <a:gd name="connsiteY369" fmla="*/ 124419 h 1657350"/>
            <a:gd name="connsiteX370" fmla="*/ 795597 w 1737360"/>
            <a:gd name="connsiteY370" fmla="*/ 106016 h 1657350"/>
            <a:gd name="connsiteX371" fmla="*/ 746591 w 1737360"/>
            <a:gd name="connsiteY371" fmla="*/ 154932 h 1657350"/>
            <a:gd name="connsiteX372" fmla="*/ 795597 w 1737360"/>
            <a:gd name="connsiteY372" fmla="*/ 203848 h 1657350"/>
            <a:gd name="connsiteX373" fmla="*/ 844603 w 1737360"/>
            <a:gd name="connsiteY373" fmla="*/ 154932 h 1657350"/>
            <a:gd name="connsiteX374" fmla="*/ 795597 w 1737360"/>
            <a:gd name="connsiteY374" fmla="*/ 106016 h 1657350"/>
            <a:gd name="connsiteX375" fmla="*/ 915549 w 1737360"/>
            <a:gd name="connsiteY375" fmla="*/ 104878 h 1657350"/>
            <a:gd name="connsiteX376" fmla="*/ 866543 w 1737360"/>
            <a:gd name="connsiteY376" fmla="*/ 153794 h 1657350"/>
            <a:gd name="connsiteX377" fmla="*/ 915549 w 1737360"/>
            <a:gd name="connsiteY377" fmla="*/ 202710 h 1657350"/>
            <a:gd name="connsiteX378" fmla="*/ 964555 w 1737360"/>
            <a:gd name="connsiteY378" fmla="*/ 153794 h 1657350"/>
            <a:gd name="connsiteX379" fmla="*/ 915549 w 1737360"/>
            <a:gd name="connsiteY379" fmla="*/ 104878 h 1657350"/>
            <a:gd name="connsiteX380" fmla="*/ 0 w 1737360"/>
            <a:gd name="connsiteY380" fmla="*/ 0 h 1657350"/>
            <a:gd name="connsiteX381" fmla="*/ 1737360 w 1737360"/>
            <a:gd name="connsiteY381" fmla="*/ 0 h 1657350"/>
            <a:gd name="connsiteX382" fmla="*/ 1737360 w 1737360"/>
            <a:gd name="connsiteY382" fmla="*/ 1657350 h 1657350"/>
            <a:gd name="connsiteX383" fmla="*/ 0 w 1737360"/>
            <a:gd name="connsiteY383" fmla="*/ 1657350 h 1657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Lst>
          <a:rect l="l" t="t" r="r" b="b"/>
          <a:pathLst>
            <a:path w="1737360" h="1657350">
              <a:moveTo>
                <a:pt x="806570" y="1466075"/>
              </a:moveTo>
              <a:cubicBezTo>
                <a:pt x="779505" y="1466075"/>
                <a:pt x="757564" y="1487975"/>
                <a:pt x="757564" y="1514991"/>
              </a:cubicBezTo>
              <a:cubicBezTo>
                <a:pt x="757564" y="1542007"/>
                <a:pt x="779505" y="1563907"/>
                <a:pt x="806570" y="1563907"/>
              </a:cubicBezTo>
              <a:cubicBezTo>
                <a:pt x="833635" y="1563907"/>
                <a:pt x="855576" y="1542007"/>
                <a:pt x="855576" y="1514991"/>
              </a:cubicBezTo>
              <a:cubicBezTo>
                <a:pt x="855576" y="1487975"/>
                <a:pt x="833635" y="1466075"/>
                <a:pt x="806570" y="1466075"/>
              </a:cubicBezTo>
              <a:close/>
              <a:moveTo>
                <a:pt x="926522" y="1464936"/>
              </a:moveTo>
              <a:cubicBezTo>
                <a:pt x="899457" y="1464936"/>
                <a:pt x="877516" y="1486836"/>
                <a:pt x="877516" y="1513852"/>
              </a:cubicBezTo>
              <a:cubicBezTo>
                <a:pt x="877516" y="1540868"/>
                <a:pt x="899457" y="1562768"/>
                <a:pt x="926522" y="1562768"/>
              </a:cubicBezTo>
              <a:cubicBezTo>
                <a:pt x="953587" y="1562768"/>
                <a:pt x="975528" y="1540868"/>
                <a:pt x="975528" y="1513852"/>
              </a:cubicBezTo>
              <a:cubicBezTo>
                <a:pt x="975528" y="1486836"/>
                <a:pt x="953587" y="1464936"/>
                <a:pt x="926522" y="1464936"/>
              </a:cubicBezTo>
              <a:close/>
              <a:moveTo>
                <a:pt x="688274" y="1446533"/>
              </a:moveTo>
              <a:cubicBezTo>
                <a:pt x="661209" y="1446533"/>
                <a:pt x="639268" y="1468433"/>
                <a:pt x="639268" y="1495449"/>
              </a:cubicBezTo>
              <a:cubicBezTo>
                <a:pt x="639268" y="1522465"/>
                <a:pt x="661209" y="1544365"/>
                <a:pt x="688274" y="1544365"/>
              </a:cubicBezTo>
              <a:cubicBezTo>
                <a:pt x="715339" y="1544365"/>
                <a:pt x="737280" y="1522465"/>
                <a:pt x="737280" y="1495449"/>
              </a:cubicBezTo>
              <a:cubicBezTo>
                <a:pt x="737280" y="1468433"/>
                <a:pt x="715339" y="1446533"/>
                <a:pt x="688274" y="1446533"/>
              </a:cubicBezTo>
              <a:close/>
              <a:moveTo>
                <a:pt x="1044485" y="1443153"/>
              </a:moveTo>
              <a:cubicBezTo>
                <a:pt x="1017420" y="1443153"/>
                <a:pt x="995479" y="1465053"/>
                <a:pt x="995479" y="1492069"/>
              </a:cubicBezTo>
              <a:cubicBezTo>
                <a:pt x="995479" y="1519085"/>
                <a:pt x="1017420" y="1540985"/>
                <a:pt x="1044485" y="1540985"/>
              </a:cubicBezTo>
              <a:cubicBezTo>
                <a:pt x="1071550" y="1540985"/>
                <a:pt x="1093491" y="1519085"/>
                <a:pt x="1093491" y="1492069"/>
              </a:cubicBezTo>
              <a:cubicBezTo>
                <a:pt x="1093491" y="1465053"/>
                <a:pt x="1071550" y="1443153"/>
                <a:pt x="1044485" y="1443153"/>
              </a:cubicBezTo>
              <a:close/>
              <a:moveTo>
                <a:pt x="575227" y="1406907"/>
              </a:moveTo>
              <a:cubicBezTo>
                <a:pt x="548162" y="1406907"/>
                <a:pt x="526221" y="1428807"/>
                <a:pt x="526221" y="1455823"/>
              </a:cubicBezTo>
              <a:cubicBezTo>
                <a:pt x="526221" y="1482839"/>
                <a:pt x="548162" y="1504739"/>
                <a:pt x="575227" y="1504739"/>
              </a:cubicBezTo>
              <a:cubicBezTo>
                <a:pt x="602292" y="1504739"/>
                <a:pt x="624233" y="1482839"/>
                <a:pt x="624233" y="1455823"/>
              </a:cubicBezTo>
              <a:cubicBezTo>
                <a:pt x="624233" y="1428807"/>
                <a:pt x="602292" y="1406907"/>
                <a:pt x="575227" y="1406907"/>
              </a:cubicBezTo>
              <a:close/>
              <a:moveTo>
                <a:pt x="1156875" y="1401385"/>
              </a:moveTo>
              <a:cubicBezTo>
                <a:pt x="1129810" y="1401385"/>
                <a:pt x="1107869" y="1423285"/>
                <a:pt x="1107869" y="1450301"/>
              </a:cubicBezTo>
              <a:cubicBezTo>
                <a:pt x="1107869" y="1477317"/>
                <a:pt x="1129810" y="1499217"/>
                <a:pt x="1156875" y="1499217"/>
              </a:cubicBezTo>
              <a:cubicBezTo>
                <a:pt x="1183940" y="1499217"/>
                <a:pt x="1205881" y="1477317"/>
                <a:pt x="1205881" y="1450301"/>
              </a:cubicBezTo>
              <a:cubicBezTo>
                <a:pt x="1205881" y="1423285"/>
                <a:pt x="1183940" y="1401385"/>
                <a:pt x="1156875" y="1401385"/>
              </a:cubicBezTo>
              <a:close/>
              <a:moveTo>
                <a:pt x="470866" y="1348397"/>
              </a:moveTo>
              <a:cubicBezTo>
                <a:pt x="443801" y="1348397"/>
                <a:pt x="421860" y="1370297"/>
                <a:pt x="421860" y="1397313"/>
              </a:cubicBezTo>
              <a:cubicBezTo>
                <a:pt x="421860" y="1424329"/>
                <a:pt x="443801" y="1446229"/>
                <a:pt x="470866" y="1446229"/>
              </a:cubicBezTo>
              <a:cubicBezTo>
                <a:pt x="497931" y="1446229"/>
                <a:pt x="519872" y="1424329"/>
                <a:pt x="519872" y="1397313"/>
              </a:cubicBezTo>
              <a:cubicBezTo>
                <a:pt x="519872" y="1370297"/>
                <a:pt x="497931" y="1348397"/>
                <a:pt x="470866" y="1348397"/>
              </a:cubicBezTo>
              <a:close/>
              <a:moveTo>
                <a:pt x="1259961" y="1340504"/>
              </a:moveTo>
              <a:cubicBezTo>
                <a:pt x="1232896" y="1340504"/>
                <a:pt x="1210955" y="1362387"/>
                <a:pt x="1210955" y="1389381"/>
              </a:cubicBezTo>
              <a:cubicBezTo>
                <a:pt x="1210955" y="1416375"/>
                <a:pt x="1232896" y="1438258"/>
                <a:pt x="1259961" y="1438258"/>
              </a:cubicBezTo>
              <a:cubicBezTo>
                <a:pt x="1287026" y="1438258"/>
                <a:pt x="1308967" y="1416375"/>
                <a:pt x="1308967" y="1389381"/>
              </a:cubicBezTo>
              <a:cubicBezTo>
                <a:pt x="1308967" y="1362387"/>
                <a:pt x="1287026" y="1340504"/>
                <a:pt x="1259961" y="1340504"/>
              </a:cubicBezTo>
              <a:close/>
              <a:moveTo>
                <a:pt x="816063" y="1332051"/>
              </a:moveTo>
              <a:cubicBezTo>
                <a:pt x="794531" y="1330358"/>
                <a:pt x="775709" y="1346382"/>
                <a:pt x="774021" y="1367844"/>
              </a:cubicBezTo>
              <a:cubicBezTo>
                <a:pt x="772333" y="1389306"/>
                <a:pt x="788419" y="1408076"/>
                <a:pt x="809951" y="1409769"/>
              </a:cubicBezTo>
              <a:cubicBezTo>
                <a:pt x="831482" y="1411463"/>
                <a:pt x="850304" y="1395438"/>
                <a:pt x="851992" y="1373976"/>
              </a:cubicBezTo>
              <a:cubicBezTo>
                <a:pt x="853680" y="1352514"/>
                <a:pt x="837594" y="1333744"/>
                <a:pt x="816063" y="1332051"/>
              </a:cubicBezTo>
              <a:close/>
              <a:moveTo>
                <a:pt x="904986" y="1331190"/>
              </a:moveTo>
              <a:cubicBezTo>
                <a:pt x="883487" y="1333262"/>
                <a:pt x="867733" y="1352311"/>
                <a:pt x="869798" y="1373740"/>
              </a:cubicBezTo>
              <a:cubicBezTo>
                <a:pt x="871863" y="1395169"/>
                <a:pt x="890963" y="1410861"/>
                <a:pt x="912462" y="1408789"/>
              </a:cubicBezTo>
              <a:cubicBezTo>
                <a:pt x="933960" y="1406718"/>
                <a:pt x="949714" y="1387668"/>
                <a:pt x="947650" y="1366240"/>
              </a:cubicBezTo>
              <a:cubicBezTo>
                <a:pt x="945585" y="1344811"/>
                <a:pt x="926484" y="1329119"/>
                <a:pt x="904986" y="1331190"/>
              </a:cubicBezTo>
              <a:close/>
              <a:moveTo>
                <a:pt x="728369" y="1317613"/>
              </a:moveTo>
              <a:cubicBezTo>
                <a:pt x="707459" y="1312206"/>
                <a:pt x="686140" y="1324719"/>
                <a:pt x="680751" y="1345562"/>
              </a:cubicBezTo>
              <a:cubicBezTo>
                <a:pt x="675362" y="1366404"/>
                <a:pt x="687944" y="1387682"/>
                <a:pt x="708854" y="1393089"/>
              </a:cubicBezTo>
              <a:cubicBezTo>
                <a:pt x="729765" y="1398495"/>
                <a:pt x="751084" y="1385983"/>
                <a:pt x="756473" y="1365140"/>
              </a:cubicBezTo>
              <a:cubicBezTo>
                <a:pt x="761862" y="1344298"/>
                <a:pt x="749279" y="1323020"/>
                <a:pt x="728369" y="1317613"/>
              </a:cubicBezTo>
              <a:close/>
              <a:moveTo>
                <a:pt x="992437" y="1315057"/>
              </a:moveTo>
              <a:cubicBezTo>
                <a:pt x="971625" y="1320830"/>
                <a:pt x="959418" y="1342326"/>
                <a:pt x="965172" y="1363071"/>
              </a:cubicBezTo>
              <a:cubicBezTo>
                <a:pt x="970927" y="1383815"/>
                <a:pt x="992462" y="1395952"/>
                <a:pt x="1013274" y="1390179"/>
              </a:cubicBezTo>
              <a:cubicBezTo>
                <a:pt x="1034087" y="1384406"/>
                <a:pt x="1046293" y="1362910"/>
                <a:pt x="1040539" y="1342165"/>
              </a:cubicBezTo>
              <a:cubicBezTo>
                <a:pt x="1034785" y="1321421"/>
                <a:pt x="1013249" y="1309284"/>
                <a:pt x="992437" y="1315057"/>
              </a:cubicBezTo>
              <a:close/>
              <a:moveTo>
                <a:pt x="614674" y="1287239"/>
              </a:moveTo>
              <a:cubicBezTo>
                <a:pt x="605310" y="1290723"/>
                <a:pt x="597286" y="1297776"/>
                <a:pt x="592823" y="1307571"/>
              </a:cubicBezTo>
              <a:cubicBezTo>
                <a:pt x="583896" y="1327161"/>
                <a:pt x="592592" y="1350301"/>
                <a:pt x="612246" y="1359256"/>
              </a:cubicBezTo>
              <a:cubicBezTo>
                <a:pt x="631900" y="1368212"/>
                <a:pt x="655068" y="1359591"/>
                <a:pt x="663994" y="1340001"/>
              </a:cubicBezTo>
              <a:cubicBezTo>
                <a:pt x="672921" y="1320411"/>
                <a:pt x="664225" y="1297271"/>
                <a:pt x="644571" y="1288316"/>
              </a:cubicBezTo>
              <a:cubicBezTo>
                <a:pt x="634744" y="1283838"/>
                <a:pt x="624039" y="1283754"/>
                <a:pt x="614674" y="1287239"/>
              </a:cubicBezTo>
              <a:close/>
              <a:moveTo>
                <a:pt x="1105633" y="1282540"/>
              </a:moveTo>
              <a:cubicBezTo>
                <a:pt x="1096209" y="1279221"/>
                <a:pt x="1085506" y="1279492"/>
                <a:pt x="1075760" y="1284142"/>
              </a:cubicBezTo>
              <a:cubicBezTo>
                <a:pt x="1056266" y="1293441"/>
                <a:pt x="1047978" y="1316730"/>
                <a:pt x="1057247" y="1336161"/>
              </a:cubicBezTo>
              <a:cubicBezTo>
                <a:pt x="1066516" y="1355591"/>
                <a:pt x="1089832" y="1363803"/>
                <a:pt x="1109326" y="1354504"/>
              </a:cubicBezTo>
              <a:cubicBezTo>
                <a:pt x="1128819" y="1345205"/>
                <a:pt x="1137108" y="1321916"/>
                <a:pt x="1127839" y="1302486"/>
              </a:cubicBezTo>
              <a:cubicBezTo>
                <a:pt x="1123204" y="1292771"/>
                <a:pt x="1115058" y="1285860"/>
                <a:pt x="1105633" y="1282540"/>
              </a:cubicBezTo>
              <a:close/>
              <a:moveTo>
                <a:pt x="378360" y="1272382"/>
              </a:moveTo>
              <a:cubicBezTo>
                <a:pt x="351516" y="1272382"/>
                <a:pt x="329754" y="1294462"/>
                <a:pt x="329754" y="1321700"/>
              </a:cubicBezTo>
              <a:cubicBezTo>
                <a:pt x="329754" y="1348938"/>
                <a:pt x="351516" y="1371018"/>
                <a:pt x="378360" y="1371018"/>
              </a:cubicBezTo>
              <a:cubicBezTo>
                <a:pt x="405204" y="1371018"/>
                <a:pt x="426966" y="1348938"/>
                <a:pt x="426966" y="1321700"/>
              </a:cubicBezTo>
              <a:cubicBezTo>
                <a:pt x="426966" y="1294462"/>
                <a:pt x="405204" y="1272382"/>
                <a:pt x="378360" y="1272382"/>
              </a:cubicBezTo>
              <a:close/>
              <a:moveTo>
                <a:pt x="1351159" y="1263207"/>
              </a:moveTo>
              <a:cubicBezTo>
                <a:pt x="1324094" y="1263207"/>
                <a:pt x="1302153" y="1285090"/>
                <a:pt x="1302153" y="1312084"/>
              </a:cubicBezTo>
              <a:cubicBezTo>
                <a:pt x="1302153" y="1339078"/>
                <a:pt x="1324094" y="1360961"/>
                <a:pt x="1351159" y="1360961"/>
              </a:cubicBezTo>
              <a:cubicBezTo>
                <a:pt x="1378224" y="1360961"/>
                <a:pt x="1400165" y="1339078"/>
                <a:pt x="1400165" y="1312084"/>
              </a:cubicBezTo>
              <a:cubicBezTo>
                <a:pt x="1400165" y="1285090"/>
                <a:pt x="1378224" y="1263207"/>
                <a:pt x="1351159" y="1263207"/>
              </a:cubicBezTo>
              <a:close/>
              <a:moveTo>
                <a:pt x="537959" y="1238796"/>
              </a:moveTo>
              <a:cubicBezTo>
                <a:pt x="528131" y="1240601"/>
                <a:pt x="519005" y="1246154"/>
                <a:pt x="512909" y="1255025"/>
              </a:cubicBezTo>
              <a:cubicBezTo>
                <a:pt x="500716" y="1272767"/>
                <a:pt x="505262" y="1297066"/>
                <a:pt x="523062" y="1309298"/>
              </a:cubicBezTo>
              <a:cubicBezTo>
                <a:pt x="540862" y="1321530"/>
                <a:pt x="565175" y="1317064"/>
                <a:pt x="577368" y="1299321"/>
              </a:cubicBezTo>
              <a:cubicBezTo>
                <a:pt x="589560" y="1281579"/>
                <a:pt x="585015" y="1257280"/>
                <a:pt x="567215" y="1245048"/>
              </a:cubicBezTo>
              <a:cubicBezTo>
                <a:pt x="558315" y="1238932"/>
                <a:pt x="547786" y="1236991"/>
                <a:pt x="537959" y="1238796"/>
              </a:cubicBezTo>
              <a:close/>
              <a:moveTo>
                <a:pt x="1181325" y="1232288"/>
              </a:moveTo>
              <a:cubicBezTo>
                <a:pt x="1171471" y="1230660"/>
                <a:pt x="1160981" y="1232789"/>
                <a:pt x="1152189" y="1239060"/>
              </a:cubicBezTo>
              <a:cubicBezTo>
                <a:pt x="1134606" y="1251603"/>
                <a:pt x="1130481" y="1275967"/>
                <a:pt x="1142973" y="1293478"/>
              </a:cubicBezTo>
              <a:cubicBezTo>
                <a:pt x="1155464" y="1310989"/>
                <a:pt x="1179844" y="1315017"/>
                <a:pt x="1197427" y="1302474"/>
              </a:cubicBezTo>
              <a:cubicBezTo>
                <a:pt x="1215010" y="1289931"/>
                <a:pt x="1219135" y="1265567"/>
                <a:pt x="1206644" y="1248057"/>
              </a:cubicBezTo>
              <a:cubicBezTo>
                <a:pt x="1200398" y="1239301"/>
                <a:pt x="1191180" y="1233916"/>
                <a:pt x="1181325" y="1232288"/>
              </a:cubicBezTo>
              <a:close/>
              <a:moveTo>
                <a:pt x="300521" y="1181962"/>
              </a:moveTo>
              <a:cubicBezTo>
                <a:pt x="273677" y="1181962"/>
                <a:pt x="251915" y="1204042"/>
                <a:pt x="251915" y="1231280"/>
              </a:cubicBezTo>
              <a:cubicBezTo>
                <a:pt x="251915" y="1258518"/>
                <a:pt x="273677" y="1280598"/>
                <a:pt x="300521" y="1280598"/>
              </a:cubicBezTo>
              <a:cubicBezTo>
                <a:pt x="327365" y="1280598"/>
                <a:pt x="349127" y="1258518"/>
                <a:pt x="349127" y="1231280"/>
              </a:cubicBezTo>
              <a:cubicBezTo>
                <a:pt x="349127" y="1204042"/>
                <a:pt x="327365" y="1181962"/>
                <a:pt x="300521" y="1181962"/>
              </a:cubicBezTo>
              <a:close/>
              <a:moveTo>
                <a:pt x="471298" y="1177886"/>
              </a:moveTo>
              <a:cubicBezTo>
                <a:pt x="461307" y="1178054"/>
                <a:pt x="451319" y="1182033"/>
                <a:pt x="443702" y="1189785"/>
              </a:cubicBezTo>
              <a:cubicBezTo>
                <a:pt x="428469" y="1205288"/>
                <a:pt x="428489" y="1230010"/>
                <a:pt x="443747" y="1245002"/>
              </a:cubicBezTo>
              <a:cubicBezTo>
                <a:pt x="459005" y="1259995"/>
                <a:pt x="483723" y="1259580"/>
                <a:pt x="498957" y="1244077"/>
              </a:cubicBezTo>
              <a:cubicBezTo>
                <a:pt x="514190" y="1228573"/>
                <a:pt x="514170" y="1203852"/>
                <a:pt x="498912" y="1188859"/>
              </a:cubicBezTo>
              <a:cubicBezTo>
                <a:pt x="491283" y="1181363"/>
                <a:pt x="481289" y="1177719"/>
                <a:pt x="471298" y="1177886"/>
              </a:cubicBezTo>
              <a:close/>
              <a:moveTo>
                <a:pt x="1427468" y="1170995"/>
              </a:moveTo>
              <a:cubicBezTo>
                <a:pt x="1400624" y="1170995"/>
                <a:pt x="1378862" y="1193058"/>
                <a:pt x="1378862" y="1220274"/>
              </a:cubicBezTo>
              <a:cubicBezTo>
                <a:pt x="1378862" y="1247490"/>
                <a:pt x="1400624" y="1269553"/>
                <a:pt x="1427468" y="1269553"/>
              </a:cubicBezTo>
              <a:cubicBezTo>
                <a:pt x="1454312" y="1269553"/>
                <a:pt x="1476074" y="1247490"/>
                <a:pt x="1476074" y="1220274"/>
              </a:cubicBezTo>
              <a:cubicBezTo>
                <a:pt x="1476074" y="1193058"/>
                <a:pt x="1454312" y="1170995"/>
                <a:pt x="1427468" y="1170995"/>
              </a:cubicBezTo>
              <a:close/>
              <a:moveTo>
                <a:pt x="1247326" y="1170137"/>
              </a:moveTo>
              <a:cubicBezTo>
                <a:pt x="1237339" y="1170245"/>
                <a:pt x="1227377" y="1174163"/>
                <a:pt x="1219809" y="1181866"/>
              </a:cubicBezTo>
              <a:cubicBezTo>
                <a:pt x="1204671" y="1197272"/>
                <a:pt x="1204839" y="1221982"/>
                <a:pt x="1220182" y="1237057"/>
              </a:cubicBezTo>
              <a:cubicBezTo>
                <a:pt x="1235525" y="1252133"/>
                <a:pt x="1260234" y="1251866"/>
                <a:pt x="1275371" y="1236461"/>
              </a:cubicBezTo>
              <a:cubicBezTo>
                <a:pt x="1290509" y="1221055"/>
                <a:pt x="1290341" y="1196345"/>
                <a:pt x="1274998" y="1181269"/>
              </a:cubicBezTo>
              <a:cubicBezTo>
                <a:pt x="1267327" y="1173732"/>
                <a:pt x="1257314" y="1170029"/>
                <a:pt x="1247326" y="1170137"/>
              </a:cubicBezTo>
              <a:close/>
              <a:moveTo>
                <a:pt x="415975" y="1106429"/>
              </a:moveTo>
              <a:cubicBezTo>
                <a:pt x="406107" y="1104859"/>
                <a:pt x="395580" y="1107043"/>
                <a:pt x="386733" y="1113355"/>
              </a:cubicBezTo>
              <a:cubicBezTo>
                <a:pt x="369039" y="1125977"/>
                <a:pt x="364765" y="1150327"/>
                <a:pt x="377188" y="1167741"/>
              </a:cubicBezTo>
              <a:cubicBezTo>
                <a:pt x="389611" y="1185155"/>
                <a:pt x="414026" y="1189039"/>
                <a:pt x="431720" y="1176417"/>
              </a:cubicBezTo>
              <a:cubicBezTo>
                <a:pt x="449414" y="1163794"/>
                <a:pt x="453687" y="1139444"/>
                <a:pt x="441265" y="1122030"/>
              </a:cubicBezTo>
              <a:cubicBezTo>
                <a:pt x="435053" y="1113323"/>
                <a:pt x="425844" y="1107999"/>
                <a:pt x="415975" y="1106429"/>
              </a:cubicBezTo>
              <a:close/>
              <a:moveTo>
                <a:pt x="1301087" y="1097675"/>
              </a:moveTo>
              <a:cubicBezTo>
                <a:pt x="1291253" y="1099422"/>
                <a:pt x="1282141" y="1104909"/>
                <a:pt x="1276084" y="1113724"/>
              </a:cubicBezTo>
              <a:cubicBezTo>
                <a:pt x="1263969" y="1131353"/>
                <a:pt x="1268658" y="1155617"/>
                <a:pt x="1286556" y="1167916"/>
              </a:cubicBezTo>
              <a:cubicBezTo>
                <a:pt x="1304454" y="1180216"/>
                <a:pt x="1328786" y="1175895"/>
                <a:pt x="1340901" y="1158266"/>
              </a:cubicBezTo>
              <a:cubicBezTo>
                <a:pt x="1353016" y="1140636"/>
                <a:pt x="1348327" y="1116373"/>
                <a:pt x="1330429" y="1104074"/>
              </a:cubicBezTo>
              <a:cubicBezTo>
                <a:pt x="1321479" y="1097924"/>
                <a:pt x="1310922" y="1095929"/>
                <a:pt x="1301087" y="1097675"/>
              </a:cubicBezTo>
              <a:close/>
              <a:moveTo>
                <a:pt x="240204" y="1079289"/>
              </a:moveTo>
              <a:cubicBezTo>
                <a:pt x="213360" y="1079289"/>
                <a:pt x="191598" y="1101352"/>
                <a:pt x="191598" y="1128568"/>
              </a:cubicBezTo>
              <a:cubicBezTo>
                <a:pt x="191598" y="1155784"/>
                <a:pt x="213360" y="1177847"/>
                <a:pt x="240204" y="1177847"/>
              </a:cubicBezTo>
              <a:cubicBezTo>
                <a:pt x="267048" y="1177847"/>
                <a:pt x="288810" y="1155784"/>
                <a:pt x="288810" y="1128568"/>
              </a:cubicBezTo>
              <a:cubicBezTo>
                <a:pt x="288810" y="1101352"/>
                <a:pt x="267048" y="1079289"/>
                <a:pt x="240204" y="1079289"/>
              </a:cubicBezTo>
              <a:close/>
              <a:moveTo>
                <a:pt x="1487061" y="1067644"/>
              </a:moveTo>
              <a:cubicBezTo>
                <a:pt x="1460217" y="1067644"/>
                <a:pt x="1438455" y="1089724"/>
                <a:pt x="1438455" y="1116962"/>
              </a:cubicBezTo>
              <a:cubicBezTo>
                <a:pt x="1438455" y="1144200"/>
                <a:pt x="1460217" y="1166280"/>
                <a:pt x="1487061" y="1166280"/>
              </a:cubicBezTo>
              <a:cubicBezTo>
                <a:pt x="1513905" y="1166280"/>
                <a:pt x="1535667" y="1144200"/>
                <a:pt x="1535667" y="1116962"/>
              </a:cubicBezTo>
              <a:cubicBezTo>
                <a:pt x="1535667" y="1089724"/>
                <a:pt x="1513905" y="1067644"/>
                <a:pt x="1487061" y="1067644"/>
              </a:cubicBezTo>
              <a:close/>
              <a:moveTo>
                <a:pt x="374412" y="1026354"/>
              </a:moveTo>
              <a:cubicBezTo>
                <a:pt x="364971" y="1023092"/>
                <a:pt x="354232" y="1023412"/>
                <a:pt x="344431" y="1028087"/>
              </a:cubicBezTo>
              <a:cubicBezTo>
                <a:pt x="324830" y="1037437"/>
                <a:pt x="316406" y="1060669"/>
                <a:pt x="325616" y="1079976"/>
              </a:cubicBezTo>
              <a:cubicBezTo>
                <a:pt x="334826" y="1099283"/>
                <a:pt x="358183" y="1107353"/>
                <a:pt x="377784" y="1098003"/>
              </a:cubicBezTo>
              <a:cubicBezTo>
                <a:pt x="397385" y="1088652"/>
                <a:pt x="405809" y="1065421"/>
                <a:pt x="396599" y="1046114"/>
              </a:cubicBezTo>
              <a:cubicBezTo>
                <a:pt x="391994" y="1036460"/>
                <a:pt x="383853" y="1029616"/>
                <a:pt x="374412" y="1026354"/>
              </a:cubicBezTo>
              <a:close/>
              <a:moveTo>
                <a:pt x="1342089" y="1017202"/>
              </a:moveTo>
              <a:cubicBezTo>
                <a:pt x="1332701" y="1020627"/>
                <a:pt x="1324678" y="1027612"/>
                <a:pt x="1320243" y="1037345"/>
              </a:cubicBezTo>
              <a:cubicBezTo>
                <a:pt x="1311374" y="1056810"/>
                <a:pt x="1320217" y="1079896"/>
                <a:pt x="1339996" y="1088909"/>
              </a:cubicBezTo>
              <a:cubicBezTo>
                <a:pt x="1359774" y="1097921"/>
                <a:pt x="1382999" y="1089447"/>
                <a:pt x="1391868" y="1069981"/>
              </a:cubicBezTo>
              <a:cubicBezTo>
                <a:pt x="1400738" y="1050516"/>
                <a:pt x="1391894" y="1027430"/>
                <a:pt x="1372116" y="1018418"/>
              </a:cubicBezTo>
              <a:cubicBezTo>
                <a:pt x="1362226" y="1013912"/>
                <a:pt x="1351476" y="1013777"/>
                <a:pt x="1342089" y="1017202"/>
              </a:cubicBezTo>
              <a:close/>
              <a:moveTo>
                <a:pt x="198310" y="967953"/>
              </a:moveTo>
              <a:cubicBezTo>
                <a:pt x="171466" y="967953"/>
                <a:pt x="149704" y="990016"/>
                <a:pt x="149704" y="1017232"/>
              </a:cubicBezTo>
              <a:cubicBezTo>
                <a:pt x="149704" y="1044448"/>
                <a:pt x="171466" y="1066511"/>
                <a:pt x="198310" y="1066511"/>
              </a:cubicBezTo>
              <a:cubicBezTo>
                <a:pt x="225154" y="1066511"/>
                <a:pt x="246916" y="1044448"/>
                <a:pt x="246916" y="1017232"/>
              </a:cubicBezTo>
              <a:cubicBezTo>
                <a:pt x="246916" y="990016"/>
                <a:pt x="225154" y="967953"/>
                <a:pt x="198310" y="967953"/>
              </a:cubicBezTo>
              <a:close/>
              <a:moveTo>
                <a:pt x="1527185" y="955442"/>
              </a:moveTo>
              <a:cubicBezTo>
                <a:pt x="1500341" y="955442"/>
                <a:pt x="1478579" y="977522"/>
                <a:pt x="1478579" y="1004760"/>
              </a:cubicBezTo>
              <a:cubicBezTo>
                <a:pt x="1478579" y="1031998"/>
                <a:pt x="1500341" y="1054078"/>
                <a:pt x="1527185" y="1054078"/>
              </a:cubicBezTo>
              <a:cubicBezTo>
                <a:pt x="1554029" y="1054078"/>
                <a:pt x="1575791" y="1031998"/>
                <a:pt x="1575791" y="1004760"/>
              </a:cubicBezTo>
              <a:cubicBezTo>
                <a:pt x="1575791" y="977522"/>
                <a:pt x="1554029" y="955442"/>
                <a:pt x="1527185" y="955442"/>
              </a:cubicBezTo>
              <a:close/>
              <a:moveTo>
                <a:pt x="317336" y="937006"/>
              </a:moveTo>
              <a:cubicBezTo>
                <a:pt x="296409" y="942811"/>
                <a:pt x="284079" y="964227"/>
                <a:pt x="289796" y="984840"/>
              </a:cubicBezTo>
              <a:cubicBezTo>
                <a:pt x="295514" y="1005452"/>
                <a:pt x="317115" y="1017456"/>
                <a:pt x="338042" y="1011652"/>
              </a:cubicBezTo>
              <a:cubicBezTo>
                <a:pt x="358968" y="1005847"/>
                <a:pt x="371299" y="984431"/>
                <a:pt x="365581" y="963818"/>
              </a:cubicBezTo>
              <a:cubicBezTo>
                <a:pt x="359863" y="943205"/>
                <a:pt x="338263" y="931201"/>
                <a:pt x="317336" y="937006"/>
              </a:cubicBezTo>
              <a:close/>
              <a:moveTo>
                <a:pt x="1397780" y="926749"/>
              </a:moveTo>
              <a:cubicBezTo>
                <a:pt x="1376737" y="921309"/>
                <a:pt x="1355337" y="933687"/>
                <a:pt x="1349983" y="954397"/>
              </a:cubicBezTo>
              <a:cubicBezTo>
                <a:pt x="1344628" y="975107"/>
                <a:pt x="1357346" y="996306"/>
                <a:pt x="1378389" y="1001747"/>
              </a:cubicBezTo>
              <a:cubicBezTo>
                <a:pt x="1399432" y="1007188"/>
                <a:pt x="1420832" y="994810"/>
                <a:pt x="1426187" y="974100"/>
              </a:cubicBezTo>
              <a:cubicBezTo>
                <a:pt x="1431541" y="953390"/>
                <a:pt x="1418823" y="932190"/>
                <a:pt x="1397780" y="926749"/>
              </a:cubicBezTo>
              <a:close/>
              <a:moveTo>
                <a:pt x="176552" y="851062"/>
              </a:moveTo>
              <a:cubicBezTo>
                <a:pt x="149708" y="851062"/>
                <a:pt x="127946" y="873125"/>
                <a:pt x="127946" y="900341"/>
              </a:cubicBezTo>
              <a:cubicBezTo>
                <a:pt x="127946" y="927557"/>
                <a:pt x="149708" y="949620"/>
                <a:pt x="176552" y="949620"/>
              </a:cubicBezTo>
              <a:cubicBezTo>
                <a:pt x="203396" y="949620"/>
                <a:pt x="225158" y="927557"/>
                <a:pt x="225158" y="900341"/>
              </a:cubicBezTo>
              <a:cubicBezTo>
                <a:pt x="225158" y="873125"/>
                <a:pt x="203396" y="851062"/>
                <a:pt x="176552" y="851062"/>
              </a:cubicBezTo>
              <a:close/>
              <a:moveTo>
                <a:pt x="306625" y="842631"/>
              </a:moveTo>
              <a:cubicBezTo>
                <a:pt x="285008" y="844714"/>
                <a:pt x="269147" y="863664"/>
                <a:pt x="271198" y="884956"/>
              </a:cubicBezTo>
              <a:cubicBezTo>
                <a:pt x="273249" y="906248"/>
                <a:pt x="292437" y="921821"/>
                <a:pt x="314054" y="919738"/>
              </a:cubicBezTo>
              <a:cubicBezTo>
                <a:pt x="335671" y="917656"/>
                <a:pt x="351533" y="898706"/>
                <a:pt x="349482" y="877414"/>
              </a:cubicBezTo>
              <a:cubicBezTo>
                <a:pt x="347430" y="856121"/>
                <a:pt x="328242" y="840549"/>
                <a:pt x="306625" y="842631"/>
              </a:cubicBezTo>
              <a:close/>
              <a:moveTo>
                <a:pt x="1547068" y="838061"/>
              </a:moveTo>
              <a:cubicBezTo>
                <a:pt x="1520224" y="838061"/>
                <a:pt x="1498462" y="860141"/>
                <a:pt x="1498462" y="887379"/>
              </a:cubicBezTo>
              <a:cubicBezTo>
                <a:pt x="1498462" y="914617"/>
                <a:pt x="1520224" y="936697"/>
                <a:pt x="1547068" y="936697"/>
              </a:cubicBezTo>
              <a:cubicBezTo>
                <a:pt x="1573912" y="936697"/>
                <a:pt x="1595674" y="914617"/>
                <a:pt x="1595674" y="887379"/>
              </a:cubicBezTo>
              <a:cubicBezTo>
                <a:pt x="1595674" y="860141"/>
                <a:pt x="1573912" y="838061"/>
                <a:pt x="1547068" y="838061"/>
              </a:cubicBezTo>
              <a:close/>
              <a:moveTo>
                <a:pt x="1407000" y="832098"/>
              </a:moveTo>
              <a:cubicBezTo>
                <a:pt x="1385332" y="830393"/>
                <a:pt x="1366407" y="846300"/>
                <a:pt x="1364730" y="867625"/>
              </a:cubicBezTo>
              <a:cubicBezTo>
                <a:pt x="1363053" y="888950"/>
                <a:pt x="1379259" y="907619"/>
                <a:pt x="1400927" y="909323"/>
              </a:cubicBezTo>
              <a:cubicBezTo>
                <a:pt x="1422595" y="911027"/>
                <a:pt x="1441520" y="895121"/>
                <a:pt x="1443198" y="873796"/>
              </a:cubicBezTo>
              <a:cubicBezTo>
                <a:pt x="1444875" y="852471"/>
                <a:pt x="1428669" y="833802"/>
                <a:pt x="1407000" y="832098"/>
              </a:cubicBezTo>
              <a:close/>
              <a:moveTo>
                <a:pt x="312191" y="747797"/>
              </a:moveTo>
              <a:cubicBezTo>
                <a:pt x="290523" y="746092"/>
                <a:pt x="271598" y="761999"/>
                <a:pt x="269920" y="783324"/>
              </a:cubicBezTo>
              <a:cubicBezTo>
                <a:pt x="268243" y="804649"/>
                <a:pt x="284449" y="823318"/>
                <a:pt x="306118" y="825022"/>
              </a:cubicBezTo>
              <a:cubicBezTo>
                <a:pt x="327786" y="826726"/>
                <a:pt x="346711" y="810820"/>
                <a:pt x="348388" y="789495"/>
              </a:cubicBezTo>
              <a:cubicBezTo>
                <a:pt x="350065" y="768170"/>
                <a:pt x="333859" y="749501"/>
                <a:pt x="312191" y="747797"/>
              </a:cubicBezTo>
              <a:close/>
              <a:moveTo>
                <a:pt x="1399065" y="737380"/>
              </a:moveTo>
              <a:cubicBezTo>
                <a:pt x="1377448" y="739463"/>
                <a:pt x="1361586" y="758413"/>
                <a:pt x="1363637" y="779705"/>
              </a:cubicBezTo>
              <a:cubicBezTo>
                <a:pt x="1365689" y="800997"/>
                <a:pt x="1384877" y="816570"/>
                <a:pt x="1406494" y="814487"/>
              </a:cubicBezTo>
              <a:cubicBezTo>
                <a:pt x="1428111" y="812405"/>
                <a:pt x="1443972" y="793455"/>
                <a:pt x="1441921" y="772163"/>
              </a:cubicBezTo>
              <a:cubicBezTo>
                <a:pt x="1439870" y="750870"/>
                <a:pt x="1420682" y="735298"/>
                <a:pt x="1399065" y="737380"/>
              </a:cubicBezTo>
              <a:close/>
              <a:moveTo>
                <a:pt x="175050" y="732086"/>
              </a:moveTo>
              <a:cubicBezTo>
                <a:pt x="148206" y="732086"/>
                <a:pt x="126444" y="754166"/>
                <a:pt x="126444" y="781404"/>
              </a:cubicBezTo>
              <a:cubicBezTo>
                <a:pt x="126444" y="808642"/>
                <a:pt x="148206" y="830722"/>
                <a:pt x="175050" y="830722"/>
              </a:cubicBezTo>
              <a:cubicBezTo>
                <a:pt x="201894" y="830722"/>
                <a:pt x="223656" y="808642"/>
                <a:pt x="223656" y="781404"/>
              </a:cubicBezTo>
              <a:cubicBezTo>
                <a:pt x="223656" y="754166"/>
                <a:pt x="201894" y="732086"/>
                <a:pt x="175050" y="732086"/>
              </a:cubicBezTo>
              <a:close/>
              <a:moveTo>
                <a:pt x="1545567" y="719163"/>
              </a:moveTo>
              <a:cubicBezTo>
                <a:pt x="1518723" y="719163"/>
                <a:pt x="1496961" y="741226"/>
                <a:pt x="1496961" y="768442"/>
              </a:cubicBezTo>
              <a:cubicBezTo>
                <a:pt x="1496961" y="795658"/>
                <a:pt x="1518723" y="817721"/>
                <a:pt x="1545567" y="817721"/>
              </a:cubicBezTo>
              <a:cubicBezTo>
                <a:pt x="1572411" y="817721"/>
                <a:pt x="1594173" y="795658"/>
                <a:pt x="1594173" y="768442"/>
              </a:cubicBezTo>
              <a:cubicBezTo>
                <a:pt x="1594173" y="741226"/>
                <a:pt x="1572411" y="719163"/>
                <a:pt x="1545567" y="719163"/>
              </a:cubicBezTo>
              <a:close/>
              <a:moveTo>
                <a:pt x="334729" y="655372"/>
              </a:moveTo>
              <a:cubicBezTo>
                <a:pt x="313686" y="649932"/>
                <a:pt x="292286" y="662310"/>
                <a:pt x="286931" y="683020"/>
              </a:cubicBezTo>
              <a:cubicBezTo>
                <a:pt x="281577" y="703730"/>
                <a:pt x="294295" y="724929"/>
                <a:pt x="315338" y="730370"/>
              </a:cubicBezTo>
              <a:cubicBezTo>
                <a:pt x="336381" y="735811"/>
                <a:pt x="357781" y="723433"/>
                <a:pt x="363135" y="702723"/>
              </a:cubicBezTo>
              <a:cubicBezTo>
                <a:pt x="368490" y="682013"/>
                <a:pt x="355772" y="660813"/>
                <a:pt x="334729" y="655372"/>
              </a:cubicBezTo>
              <a:close/>
              <a:moveTo>
                <a:pt x="1375076" y="645466"/>
              </a:moveTo>
              <a:cubicBezTo>
                <a:pt x="1354150" y="651271"/>
                <a:pt x="1341819" y="672687"/>
                <a:pt x="1347537" y="693300"/>
              </a:cubicBezTo>
              <a:cubicBezTo>
                <a:pt x="1353255" y="713912"/>
                <a:pt x="1374855" y="725916"/>
                <a:pt x="1395782" y="720112"/>
              </a:cubicBezTo>
              <a:cubicBezTo>
                <a:pt x="1416709" y="714307"/>
                <a:pt x="1429039" y="692891"/>
                <a:pt x="1423322" y="672278"/>
              </a:cubicBezTo>
              <a:cubicBezTo>
                <a:pt x="1417604" y="651665"/>
                <a:pt x="1396003" y="639661"/>
                <a:pt x="1375076" y="645466"/>
              </a:cubicBezTo>
              <a:close/>
              <a:moveTo>
                <a:pt x="194934" y="614705"/>
              </a:moveTo>
              <a:cubicBezTo>
                <a:pt x="168090" y="614705"/>
                <a:pt x="146328" y="636785"/>
                <a:pt x="146328" y="664023"/>
              </a:cubicBezTo>
              <a:cubicBezTo>
                <a:pt x="146328" y="691261"/>
                <a:pt x="168090" y="713341"/>
                <a:pt x="194934" y="713341"/>
              </a:cubicBezTo>
              <a:cubicBezTo>
                <a:pt x="221778" y="713341"/>
                <a:pt x="243540" y="691261"/>
                <a:pt x="243540" y="664023"/>
              </a:cubicBezTo>
              <a:cubicBezTo>
                <a:pt x="243540" y="636785"/>
                <a:pt x="221778" y="614705"/>
                <a:pt x="194934" y="614705"/>
              </a:cubicBezTo>
              <a:close/>
              <a:moveTo>
                <a:pt x="1523809" y="602271"/>
              </a:moveTo>
              <a:cubicBezTo>
                <a:pt x="1496965" y="602271"/>
                <a:pt x="1475203" y="624334"/>
                <a:pt x="1475203" y="651550"/>
              </a:cubicBezTo>
              <a:cubicBezTo>
                <a:pt x="1475203" y="678766"/>
                <a:pt x="1496965" y="700829"/>
                <a:pt x="1523809" y="700829"/>
              </a:cubicBezTo>
              <a:cubicBezTo>
                <a:pt x="1550653" y="700829"/>
                <a:pt x="1572415" y="678766"/>
                <a:pt x="1572415" y="651550"/>
              </a:cubicBezTo>
              <a:cubicBezTo>
                <a:pt x="1572415" y="624334"/>
                <a:pt x="1550653" y="602271"/>
                <a:pt x="1523809" y="602271"/>
              </a:cubicBezTo>
              <a:close/>
              <a:moveTo>
                <a:pt x="343095" y="566995"/>
              </a:moveTo>
              <a:cubicBezTo>
                <a:pt x="333708" y="570420"/>
                <a:pt x="325685" y="577405"/>
                <a:pt x="321250" y="587138"/>
              </a:cubicBezTo>
              <a:cubicBezTo>
                <a:pt x="312380" y="606603"/>
                <a:pt x="321224" y="629689"/>
                <a:pt x="341002" y="638702"/>
              </a:cubicBezTo>
              <a:cubicBezTo>
                <a:pt x="360781" y="647714"/>
                <a:pt x="384005" y="639240"/>
                <a:pt x="392875" y="619774"/>
              </a:cubicBezTo>
              <a:cubicBezTo>
                <a:pt x="401744" y="600309"/>
                <a:pt x="392901" y="577223"/>
                <a:pt x="373122" y="568211"/>
              </a:cubicBezTo>
              <a:cubicBezTo>
                <a:pt x="363233" y="563705"/>
                <a:pt x="352482" y="563570"/>
                <a:pt x="343095" y="566995"/>
              </a:cubicBezTo>
              <a:close/>
              <a:moveTo>
                <a:pt x="1365315" y="557383"/>
              </a:moveTo>
              <a:cubicBezTo>
                <a:pt x="1355875" y="554121"/>
                <a:pt x="1345135" y="554441"/>
                <a:pt x="1335335" y="559116"/>
              </a:cubicBezTo>
              <a:cubicBezTo>
                <a:pt x="1315734" y="568466"/>
                <a:pt x="1307310" y="591698"/>
                <a:pt x="1316520" y="611005"/>
              </a:cubicBezTo>
              <a:cubicBezTo>
                <a:pt x="1325730" y="630312"/>
                <a:pt x="1349087" y="638382"/>
                <a:pt x="1368688" y="629032"/>
              </a:cubicBezTo>
              <a:cubicBezTo>
                <a:pt x="1388289" y="619681"/>
                <a:pt x="1396713" y="596450"/>
                <a:pt x="1387503" y="577143"/>
              </a:cubicBezTo>
              <a:cubicBezTo>
                <a:pt x="1382898" y="567490"/>
                <a:pt x="1374756" y="560645"/>
                <a:pt x="1365315" y="557383"/>
              </a:cubicBezTo>
              <a:close/>
              <a:moveTo>
                <a:pt x="235058" y="502503"/>
              </a:moveTo>
              <a:cubicBezTo>
                <a:pt x="208214" y="502503"/>
                <a:pt x="186452" y="524583"/>
                <a:pt x="186452" y="551821"/>
              </a:cubicBezTo>
              <a:cubicBezTo>
                <a:pt x="186452" y="579059"/>
                <a:pt x="208214" y="601139"/>
                <a:pt x="235058" y="601139"/>
              </a:cubicBezTo>
              <a:cubicBezTo>
                <a:pt x="261902" y="601139"/>
                <a:pt x="283664" y="579059"/>
                <a:pt x="283664" y="551821"/>
              </a:cubicBezTo>
              <a:cubicBezTo>
                <a:pt x="283664" y="524583"/>
                <a:pt x="261902" y="502503"/>
                <a:pt x="235058" y="502503"/>
              </a:cubicBezTo>
              <a:close/>
              <a:moveTo>
                <a:pt x="1481914" y="490935"/>
              </a:moveTo>
              <a:cubicBezTo>
                <a:pt x="1455070" y="490935"/>
                <a:pt x="1433308" y="512998"/>
                <a:pt x="1433308" y="540214"/>
              </a:cubicBezTo>
              <a:cubicBezTo>
                <a:pt x="1433308" y="567430"/>
                <a:pt x="1455070" y="589493"/>
                <a:pt x="1481914" y="589493"/>
              </a:cubicBezTo>
              <a:cubicBezTo>
                <a:pt x="1508758" y="589493"/>
                <a:pt x="1530520" y="567430"/>
                <a:pt x="1530520" y="540214"/>
              </a:cubicBezTo>
              <a:cubicBezTo>
                <a:pt x="1530520" y="512998"/>
                <a:pt x="1508758" y="490935"/>
                <a:pt x="1481914" y="490935"/>
              </a:cubicBezTo>
              <a:close/>
              <a:moveTo>
                <a:pt x="397222" y="482803"/>
              </a:moveTo>
              <a:cubicBezTo>
                <a:pt x="387387" y="484550"/>
                <a:pt x="378276" y="490037"/>
                <a:pt x="372218" y="498852"/>
              </a:cubicBezTo>
              <a:cubicBezTo>
                <a:pt x="360103" y="516481"/>
                <a:pt x="364792" y="540745"/>
                <a:pt x="382690" y="553044"/>
              </a:cubicBezTo>
              <a:cubicBezTo>
                <a:pt x="400589" y="565344"/>
                <a:pt x="424920" y="561023"/>
                <a:pt x="437035" y="543394"/>
              </a:cubicBezTo>
              <a:cubicBezTo>
                <a:pt x="449150" y="525764"/>
                <a:pt x="444461" y="501501"/>
                <a:pt x="426563" y="489202"/>
              </a:cubicBezTo>
              <a:cubicBezTo>
                <a:pt x="417614" y="483052"/>
                <a:pt x="407057" y="481057"/>
                <a:pt x="397222" y="482803"/>
              </a:cubicBezTo>
              <a:close/>
              <a:moveTo>
                <a:pt x="1310641" y="473778"/>
              </a:moveTo>
              <a:cubicBezTo>
                <a:pt x="1300772" y="472208"/>
                <a:pt x="1290245" y="474392"/>
                <a:pt x="1281398" y="480704"/>
              </a:cubicBezTo>
              <a:cubicBezTo>
                <a:pt x="1263704" y="493326"/>
                <a:pt x="1259431" y="517676"/>
                <a:pt x="1271854" y="535090"/>
              </a:cubicBezTo>
              <a:cubicBezTo>
                <a:pt x="1284276" y="552504"/>
                <a:pt x="1308691" y="556388"/>
                <a:pt x="1326385" y="543766"/>
              </a:cubicBezTo>
              <a:cubicBezTo>
                <a:pt x="1344079" y="531143"/>
                <a:pt x="1348353" y="506793"/>
                <a:pt x="1335930" y="489379"/>
              </a:cubicBezTo>
              <a:cubicBezTo>
                <a:pt x="1329719" y="480672"/>
                <a:pt x="1320509" y="475348"/>
                <a:pt x="1310641" y="473778"/>
              </a:cubicBezTo>
              <a:close/>
              <a:moveTo>
                <a:pt x="465264" y="408929"/>
              </a:moveTo>
              <a:cubicBezTo>
                <a:pt x="455277" y="409037"/>
                <a:pt x="445315" y="412955"/>
                <a:pt x="437746" y="420658"/>
              </a:cubicBezTo>
              <a:cubicBezTo>
                <a:pt x="422609" y="436064"/>
                <a:pt x="422776" y="460774"/>
                <a:pt x="438119" y="475849"/>
              </a:cubicBezTo>
              <a:cubicBezTo>
                <a:pt x="453462" y="490925"/>
                <a:pt x="478171" y="490658"/>
                <a:pt x="493309" y="475253"/>
              </a:cubicBezTo>
              <a:cubicBezTo>
                <a:pt x="508446" y="459847"/>
                <a:pt x="508279" y="435137"/>
                <a:pt x="492936" y="420061"/>
              </a:cubicBezTo>
              <a:cubicBezTo>
                <a:pt x="485264" y="412524"/>
                <a:pt x="475251" y="408821"/>
                <a:pt x="465264" y="408929"/>
              </a:cubicBezTo>
              <a:close/>
              <a:moveTo>
                <a:pt x="1241757" y="401146"/>
              </a:moveTo>
              <a:cubicBezTo>
                <a:pt x="1231766" y="401314"/>
                <a:pt x="1221778" y="405293"/>
                <a:pt x="1214161" y="413045"/>
              </a:cubicBezTo>
              <a:cubicBezTo>
                <a:pt x="1198927" y="428548"/>
                <a:pt x="1198947" y="453270"/>
                <a:pt x="1214205" y="468262"/>
              </a:cubicBezTo>
              <a:cubicBezTo>
                <a:pt x="1229463" y="483255"/>
                <a:pt x="1254182" y="482840"/>
                <a:pt x="1269415" y="467337"/>
              </a:cubicBezTo>
              <a:cubicBezTo>
                <a:pt x="1284648" y="451833"/>
                <a:pt x="1284629" y="427112"/>
                <a:pt x="1269371" y="412119"/>
              </a:cubicBezTo>
              <a:cubicBezTo>
                <a:pt x="1261742" y="404623"/>
                <a:pt x="1251748" y="400979"/>
                <a:pt x="1241757" y="401146"/>
              </a:cubicBezTo>
              <a:close/>
              <a:moveTo>
                <a:pt x="294651" y="399228"/>
              </a:moveTo>
              <a:cubicBezTo>
                <a:pt x="267807" y="399228"/>
                <a:pt x="246045" y="421291"/>
                <a:pt x="246045" y="448507"/>
              </a:cubicBezTo>
              <a:cubicBezTo>
                <a:pt x="246045" y="475723"/>
                <a:pt x="267807" y="497786"/>
                <a:pt x="294651" y="497786"/>
              </a:cubicBezTo>
              <a:cubicBezTo>
                <a:pt x="321495" y="497786"/>
                <a:pt x="343257" y="475723"/>
                <a:pt x="343257" y="448507"/>
              </a:cubicBezTo>
              <a:cubicBezTo>
                <a:pt x="343257" y="421291"/>
                <a:pt x="321495" y="399228"/>
                <a:pt x="294651" y="399228"/>
              </a:cubicBezTo>
              <a:close/>
              <a:moveTo>
                <a:pt x="1421598" y="388185"/>
              </a:moveTo>
              <a:cubicBezTo>
                <a:pt x="1394754" y="388185"/>
                <a:pt x="1372992" y="410265"/>
                <a:pt x="1372992" y="437503"/>
              </a:cubicBezTo>
              <a:cubicBezTo>
                <a:pt x="1372992" y="464741"/>
                <a:pt x="1394754" y="486821"/>
                <a:pt x="1421598" y="486821"/>
              </a:cubicBezTo>
              <a:cubicBezTo>
                <a:pt x="1448442" y="486821"/>
                <a:pt x="1470204" y="464741"/>
                <a:pt x="1470204" y="437503"/>
              </a:cubicBezTo>
              <a:cubicBezTo>
                <a:pt x="1470204" y="410265"/>
                <a:pt x="1448442" y="388185"/>
                <a:pt x="1421598" y="388185"/>
              </a:cubicBezTo>
              <a:close/>
              <a:moveTo>
                <a:pt x="544826" y="347873"/>
              </a:moveTo>
              <a:cubicBezTo>
                <a:pt x="534972" y="346245"/>
                <a:pt x="524481" y="348374"/>
                <a:pt x="515690" y="354645"/>
              </a:cubicBezTo>
              <a:cubicBezTo>
                <a:pt x="498107" y="367188"/>
                <a:pt x="493981" y="391552"/>
                <a:pt x="506473" y="409063"/>
              </a:cubicBezTo>
              <a:cubicBezTo>
                <a:pt x="518965" y="426574"/>
                <a:pt x="543345" y="430602"/>
                <a:pt x="560928" y="418059"/>
              </a:cubicBezTo>
              <a:cubicBezTo>
                <a:pt x="578510" y="405516"/>
                <a:pt x="582636" y="381152"/>
                <a:pt x="570144" y="363642"/>
              </a:cubicBezTo>
              <a:cubicBezTo>
                <a:pt x="563898" y="354886"/>
                <a:pt x="554680" y="349501"/>
                <a:pt x="544826" y="347873"/>
              </a:cubicBezTo>
              <a:close/>
              <a:moveTo>
                <a:pt x="1160801" y="341571"/>
              </a:moveTo>
              <a:cubicBezTo>
                <a:pt x="1150974" y="343377"/>
                <a:pt x="1141847" y="348929"/>
                <a:pt x="1135751" y="357800"/>
              </a:cubicBezTo>
              <a:cubicBezTo>
                <a:pt x="1123559" y="375542"/>
                <a:pt x="1128105" y="399841"/>
                <a:pt x="1145905" y="412073"/>
              </a:cubicBezTo>
              <a:cubicBezTo>
                <a:pt x="1163705" y="424305"/>
                <a:pt x="1188018" y="419839"/>
                <a:pt x="1200210" y="402096"/>
              </a:cubicBezTo>
              <a:cubicBezTo>
                <a:pt x="1212403" y="384354"/>
                <a:pt x="1207857" y="360055"/>
                <a:pt x="1190057" y="347823"/>
              </a:cubicBezTo>
              <a:cubicBezTo>
                <a:pt x="1181157" y="341707"/>
                <a:pt x="1170629" y="339766"/>
                <a:pt x="1160801" y="341571"/>
              </a:cubicBezTo>
              <a:close/>
              <a:moveTo>
                <a:pt x="370959" y="307821"/>
              </a:moveTo>
              <a:cubicBezTo>
                <a:pt x="343894" y="307821"/>
                <a:pt x="321953" y="329704"/>
                <a:pt x="321953" y="356698"/>
              </a:cubicBezTo>
              <a:cubicBezTo>
                <a:pt x="321953" y="383692"/>
                <a:pt x="343894" y="405575"/>
                <a:pt x="370959" y="405575"/>
              </a:cubicBezTo>
              <a:cubicBezTo>
                <a:pt x="398024" y="405575"/>
                <a:pt x="419965" y="383692"/>
                <a:pt x="419965" y="356698"/>
              </a:cubicBezTo>
              <a:cubicBezTo>
                <a:pt x="419965" y="329704"/>
                <a:pt x="398024" y="307821"/>
                <a:pt x="370959" y="307821"/>
              </a:cubicBezTo>
              <a:close/>
              <a:moveTo>
                <a:pt x="633665" y="301013"/>
              </a:moveTo>
              <a:cubicBezTo>
                <a:pt x="624241" y="297694"/>
                <a:pt x="613539" y="297966"/>
                <a:pt x="603792" y="302615"/>
              </a:cubicBezTo>
              <a:cubicBezTo>
                <a:pt x="584298" y="311914"/>
                <a:pt x="576010" y="335203"/>
                <a:pt x="585279" y="354634"/>
              </a:cubicBezTo>
              <a:cubicBezTo>
                <a:pt x="594548" y="374064"/>
                <a:pt x="617864" y="382276"/>
                <a:pt x="637357" y="372977"/>
              </a:cubicBezTo>
              <a:cubicBezTo>
                <a:pt x="656851" y="363678"/>
                <a:pt x="665139" y="340389"/>
                <a:pt x="655870" y="320959"/>
              </a:cubicBezTo>
              <a:cubicBezTo>
                <a:pt x="651236" y="311244"/>
                <a:pt x="643090" y="304333"/>
                <a:pt x="633665" y="301013"/>
              </a:cubicBezTo>
              <a:close/>
              <a:moveTo>
                <a:pt x="1343759" y="297766"/>
              </a:moveTo>
              <a:cubicBezTo>
                <a:pt x="1316915" y="297766"/>
                <a:pt x="1295153" y="319846"/>
                <a:pt x="1295153" y="347084"/>
              </a:cubicBezTo>
              <a:cubicBezTo>
                <a:pt x="1295153" y="374322"/>
                <a:pt x="1316915" y="396402"/>
                <a:pt x="1343759" y="396402"/>
              </a:cubicBezTo>
              <a:cubicBezTo>
                <a:pt x="1370603" y="396402"/>
                <a:pt x="1392365" y="374322"/>
                <a:pt x="1392365" y="347084"/>
              </a:cubicBezTo>
              <a:cubicBezTo>
                <a:pt x="1392365" y="319846"/>
                <a:pt x="1370603" y="297766"/>
                <a:pt x="1343759" y="297766"/>
              </a:cubicBezTo>
              <a:close/>
              <a:moveTo>
                <a:pt x="1070975" y="296789"/>
              </a:moveTo>
              <a:cubicBezTo>
                <a:pt x="1061611" y="300273"/>
                <a:pt x="1053587" y="307326"/>
                <a:pt x="1049124" y="317121"/>
              </a:cubicBezTo>
              <a:cubicBezTo>
                <a:pt x="1040197" y="336711"/>
                <a:pt x="1048893" y="359851"/>
                <a:pt x="1068547" y="368806"/>
              </a:cubicBezTo>
              <a:cubicBezTo>
                <a:pt x="1088201" y="377762"/>
                <a:pt x="1111369" y="369141"/>
                <a:pt x="1120296" y="349551"/>
              </a:cubicBezTo>
              <a:cubicBezTo>
                <a:pt x="1129222" y="329961"/>
                <a:pt x="1120526" y="306821"/>
                <a:pt x="1100872" y="297866"/>
              </a:cubicBezTo>
              <a:cubicBezTo>
                <a:pt x="1091045" y="293388"/>
                <a:pt x="1080340" y="293304"/>
                <a:pt x="1070975" y="296789"/>
              </a:cubicBezTo>
              <a:close/>
              <a:moveTo>
                <a:pt x="699843" y="266941"/>
              </a:moveTo>
              <a:cubicBezTo>
                <a:pt x="679031" y="272714"/>
                <a:pt x="666824" y="294210"/>
                <a:pt x="672578" y="314955"/>
              </a:cubicBezTo>
              <a:cubicBezTo>
                <a:pt x="678333" y="335699"/>
                <a:pt x="699868" y="347836"/>
                <a:pt x="720680" y="342063"/>
              </a:cubicBezTo>
              <a:cubicBezTo>
                <a:pt x="741493" y="336290"/>
                <a:pt x="753699" y="314794"/>
                <a:pt x="747945" y="294049"/>
              </a:cubicBezTo>
              <a:cubicBezTo>
                <a:pt x="742191" y="273305"/>
                <a:pt x="720655" y="261168"/>
                <a:pt x="699843" y="266941"/>
              </a:cubicBezTo>
              <a:close/>
              <a:moveTo>
                <a:pt x="1004264" y="264032"/>
              </a:moveTo>
              <a:cubicBezTo>
                <a:pt x="983354" y="258625"/>
                <a:pt x="962035" y="271138"/>
                <a:pt x="956646" y="291981"/>
              </a:cubicBezTo>
              <a:cubicBezTo>
                <a:pt x="951257" y="312823"/>
                <a:pt x="963839" y="334101"/>
                <a:pt x="984749" y="339508"/>
              </a:cubicBezTo>
              <a:cubicBezTo>
                <a:pt x="1005660" y="344914"/>
                <a:pt x="1026979" y="332402"/>
                <a:pt x="1032368" y="311559"/>
              </a:cubicBezTo>
              <a:cubicBezTo>
                <a:pt x="1037757" y="290717"/>
                <a:pt x="1025174" y="269439"/>
                <a:pt x="1004264" y="264032"/>
              </a:cubicBezTo>
              <a:close/>
              <a:moveTo>
                <a:pt x="800658" y="248331"/>
              </a:moveTo>
              <a:cubicBezTo>
                <a:pt x="779159" y="250403"/>
                <a:pt x="763405" y="269452"/>
                <a:pt x="765470" y="290881"/>
              </a:cubicBezTo>
              <a:cubicBezTo>
                <a:pt x="767535" y="312310"/>
                <a:pt x="786635" y="328001"/>
                <a:pt x="808134" y="325930"/>
              </a:cubicBezTo>
              <a:cubicBezTo>
                <a:pt x="829632" y="323859"/>
                <a:pt x="845386" y="304809"/>
                <a:pt x="843322" y="283381"/>
              </a:cubicBezTo>
              <a:cubicBezTo>
                <a:pt x="841257" y="261952"/>
                <a:pt x="822156" y="246260"/>
                <a:pt x="800658" y="248331"/>
              </a:cubicBezTo>
              <a:close/>
              <a:moveTo>
                <a:pt x="903169" y="247352"/>
              </a:moveTo>
              <a:cubicBezTo>
                <a:pt x="881637" y="245659"/>
                <a:pt x="862815" y="261683"/>
                <a:pt x="861127" y="283145"/>
              </a:cubicBezTo>
              <a:cubicBezTo>
                <a:pt x="859439" y="304607"/>
                <a:pt x="875525" y="323377"/>
                <a:pt x="897057" y="325070"/>
              </a:cubicBezTo>
              <a:cubicBezTo>
                <a:pt x="918588" y="326763"/>
                <a:pt x="937410" y="310739"/>
                <a:pt x="939098" y="289277"/>
              </a:cubicBezTo>
              <a:cubicBezTo>
                <a:pt x="940786" y="267815"/>
                <a:pt x="924700" y="249045"/>
                <a:pt x="903169" y="247352"/>
              </a:cubicBezTo>
              <a:close/>
              <a:moveTo>
                <a:pt x="462158" y="230525"/>
              </a:moveTo>
              <a:cubicBezTo>
                <a:pt x="435093" y="230525"/>
                <a:pt x="413152" y="252408"/>
                <a:pt x="413152" y="279402"/>
              </a:cubicBezTo>
              <a:cubicBezTo>
                <a:pt x="413152" y="306396"/>
                <a:pt x="435093" y="328279"/>
                <a:pt x="462158" y="328279"/>
              </a:cubicBezTo>
              <a:cubicBezTo>
                <a:pt x="489223" y="328279"/>
                <a:pt x="511164" y="306396"/>
                <a:pt x="511164" y="279402"/>
              </a:cubicBezTo>
              <a:cubicBezTo>
                <a:pt x="511164" y="252408"/>
                <a:pt x="489223" y="230525"/>
                <a:pt x="462158" y="230525"/>
              </a:cubicBezTo>
              <a:close/>
              <a:moveTo>
                <a:pt x="1251253" y="222555"/>
              </a:moveTo>
              <a:cubicBezTo>
                <a:pt x="1224188" y="222555"/>
                <a:pt x="1202247" y="244455"/>
                <a:pt x="1202247" y="271471"/>
              </a:cubicBezTo>
              <a:cubicBezTo>
                <a:pt x="1202247" y="298487"/>
                <a:pt x="1224188" y="320387"/>
                <a:pt x="1251253" y="320387"/>
              </a:cubicBezTo>
              <a:cubicBezTo>
                <a:pt x="1278318" y="320387"/>
                <a:pt x="1300259" y="298487"/>
                <a:pt x="1300259" y="271471"/>
              </a:cubicBezTo>
              <a:cubicBezTo>
                <a:pt x="1300259" y="244455"/>
                <a:pt x="1278318" y="222555"/>
                <a:pt x="1251253" y="222555"/>
              </a:cubicBezTo>
              <a:close/>
              <a:moveTo>
                <a:pt x="565244" y="169567"/>
              </a:moveTo>
              <a:cubicBezTo>
                <a:pt x="538179" y="169567"/>
                <a:pt x="516238" y="191467"/>
                <a:pt x="516238" y="218483"/>
              </a:cubicBezTo>
              <a:cubicBezTo>
                <a:pt x="516238" y="245499"/>
                <a:pt x="538179" y="267399"/>
                <a:pt x="565244" y="267399"/>
              </a:cubicBezTo>
              <a:cubicBezTo>
                <a:pt x="592309" y="267399"/>
                <a:pt x="614250" y="245499"/>
                <a:pt x="614250" y="218483"/>
              </a:cubicBezTo>
              <a:cubicBezTo>
                <a:pt x="614250" y="191467"/>
                <a:pt x="592309" y="169567"/>
                <a:pt x="565244" y="169567"/>
              </a:cubicBezTo>
              <a:close/>
              <a:moveTo>
                <a:pt x="1146892" y="164046"/>
              </a:moveTo>
              <a:cubicBezTo>
                <a:pt x="1119827" y="164046"/>
                <a:pt x="1097886" y="185946"/>
                <a:pt x="1097886" y="212962"/>
              </a:cubicBezTo>
              <a:cubicBezTo>
                <a:pt x="1097886" y="239978"/>
                <a:pt x="1119827" y="261878"/>
                <a:pt x="1146892" y="261878"/>
              </a:cubicBezTo>
              <a:cubicBezTo>
                <a:pt x="1173957" y="261878"/>
                <a:pt x="1195898" y="239978"/>
                <a:pt x="1195898" y="212962"/>
              </a:cubicBezTo>
              <a:cubicBezTo>
                <a:pt x="1195898" y="185946"/>
                <a:pt x="1173957" y="164046"/>
                <a:pt x="1146892" y="164046"/>
              </a:cubicBezTo>
              <a:close/>
              <a:moveTo>
                <a:pt x="677634" y="127800"/>
              </a:moveTo>
              <a:cubicBezTo>
                <a:pt x="650569" y="127800"/>
                <a:pt x="628628" y="149700"/>
                <a:pt x="628628" y="176716"/>
              </a:cubicBezTo>
              <a:cubicBezTo>
                <a:pt x="628628" y="203732"/>
                <a:pt x="650569" y="225632"/>
                <a:pt x="677634" y="225632"/>
              </a:cubicBezTo>
              <a:cubicBezTo>
                <a:pt x="704699" y="225632"/>
                <a:pt x="726640" y="203732"/>
                <a:pt x="726640" y="176716"/>
              </a:cubicBezTo>
              <a:cubicBezTo>
                <a:pt x="726640" y="149700"/>
                <a:pt x="704699" y="127800"/>
                <a:pt x="677634" y="127800"/>
              </a:cubicBezTo>
              <a:close/>
              <a:moveTo>
                <a:pt x="1033845" y="124419"/>
              </a:moveTo>
              <a:cubicBezTo>
                <a:pt x="1006780" y="124419"/>
                <a:pt x="984839" y="146319"/>
                <a:pt x="984839" y="173335"/>
              </a:cubicBezTo>
              <a:cubicBezTo>
                <a:pt x="984839" y="200351"/>
                <a:pt x="1006780" y="222251"/>
                <a:pt x="1033845" y="222251"/>
              </a:cubicBezTo>
              <a:cubicBezTo>
                <a:pt x="1060910" y="222251"/>
                <a:pt x="1082851" y="200351"/>
                <a:pt x="1082851" y="173335"/>
              </a:cubicBezTo>
              <a:cubicBezTo>
                <a:pt x="1082851" y="146319"/>
                <a:pt x="1060910" y="124419"/>
                <a:pt x="1033845" y="124419"/>
              </a:cubicBezTo>
              <a:close/>
              <a:moveTo>
                <a:pt x="795597" y="106016"/>
              </a:moveTo>
              <a:cubicBezTo>
                <a:pt x="768532" y="106016"/>
                <a:pt x="746591" y="127916"/>
                <a:pt x="746591" y="154932"/>
              </a:cubicBezTo>
              <a:cubicBezTo>
                <a:pt x="746591" y="181948"/>
                <a:pt x="768532" y="203848"/>
                <a:pt x="795597" y="203848"/>
              </a:cubicBezTo>
              <a:cubicBezTo>
                <a:pt x="822662" y="203848"/>
                <a:pt x="844603" y="181948"/>
                <a:pt x="844603" y="154932"/>
              </a:cubicBezTo>
              <a:cubicBezTo>
                <a:pt x="844603" y="127916"/>
                <a:pt x="822662" y="106016"/>
                <a:pt x="795597" y="106016"/>
              </a:cubicBezTo>
              <a:close/>
              <a:moveTo>
                <a:pt x="915549" y="104878"/>
              </a:moveTo>
              <a:cubicBezTo>
                <a:pt x="888484" y="104878"/>
                <a:pt x="866543" y="126778"/>
                <a:pt x="866543" y="153794"/>
              </a:cubicBezTo>
              <a:cubicBezTo>
                <a:pt x="866543" y="180810"/>
                <a:pt x="888484" y="202710"/>
                <a:pt x="915549" y="202710"/>
              </a:cubicBezTo>
              <a:cubicBezTo>
                <a:pt x="942614" y="202710"/>
                <a:pt x="964555" y="180810"/>
                <a:pt x="964555" y="153794"/>
              </a:cubicBezTo>
              <a:cubicBezTo>
                <a:pt x="964555" y="126778"/>
                <a:pt x="942614" y="104878"/>
                <a:pt x="915549" y="104878"/>
              </a:cubicBezTo>
              <a:close/>
              <a:moveTo>
                <a:pt x="0" y="0"/>
              </a:moveTo>
              <a:lnTo>
                <a:pt x="1737360" y="0"/>
              </a:lnTo>
              <a:lnTo>
                <a:pt x="1737360" y="1657350"/>
              </a:lnTo>
              <a:lnTo>
                <a:pt x="0" y="1657350"/>
              </a:lnTo>
              <a:close/>
            </a:path>
          </a:pathLst>
        </a:cu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8.892216550928" createdVersion="8" refreshedVersion="8" minRefreshableVersion="3" recordCount="384" xr:uid="{824940E7-CB67-4E95-900A-A4E7BD921E41}">
  <cacheSource type="worksheet">
    <worksheetSource name="mydata"/>
  </cacheSource>
  <cacheFields count="14">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Fixed Costs" numFmtId="3">
      <sharedItems containsSemiMixedTypes="0" containsString="0" containsNumber="1" containsInteger="1" minValue="3540" maxValue="100200"/>
    </cacheField>
    <cacheField name="Supplementary Pay" numFmtId="0">
      <sharedItems containsSemiMixedTypes="0" containsString="0" containsNumber="1" containsInteger="1" minValue="2260" maxValue="81050"/>
    </cacheField>
    <cacheField name="Productivity" numFmtId="9">
      <sharedItems containsSemiMixedTypes="0" containsString="0" containsNumber="1" minValue="0.2" maxValue="0.82"/>
    </cacheField>
    <cacheField name="Base Salary" numFmtId="0">
      <sharedItems containsSemiMixedTypes="0" containsString="0" containsNumber="1" containsInteger="1" minValue="1760" maxValue="28678"/>
    </cacheField>
    <cacheField name="Bonuses" numFmtId="0">
      <sharedItems containsSemiMixedTypes="0" containsString="0" containsNumber="1" containsInteger="1" minValue="2320" maxValue="9060"/>
    </cacheField>
    <cacheField name="Budget Fulfillment" numFmtId="9">
      <sharedItems containsSemiMixedTypes="0" containsString="0" containsNumber="1" minValue="0.15" maxValue="1.35"/>
    </cacheField>
    <cacheField name="Employee Productivity" numFmtId="9">
      <sharedItems containsSemiMixedTypes="0" containsString="0" containsNumber="1" minValue="0.15" maxValue="1.35"/>
    </cacheField>
    <cacheField name="Employee Satisfaction" numFmtId="9">
      <sharedItems containsSemiMixedTypes="0" containsString="0" containsNumber="1" minValue="0.19" maxValue="1.35"/>
    </cacheField>
    <cacheField name="Task Deadline Compliance" numFmtId="9">
      <sharedItems containsSemiMixedTypes="0" containsString="0" containsNumber="1" minValue="0.19" maxValue="1"/>
    </cacheField>
    <cacheField name="Employee Categories" numFmtId="0">
      <sharedItems count="8">
        <s v="Executives"/>
        <s v="Admin"/>
        <s v="Sales Reps"/>
        <s v="Operations"/>
        <s v="Remote"/>
        <s v="Contractors"/>
        <s v="Outsourcing"/>
        <s v="Service Staff"/>
      </sharedItems>
    </cacheField>
    <cacheField name="TotalCost" numFmtId="0" formula="'Fixed Costs'+'Supplementary Pay'" databaseField="0"/>
    <cacheField name="for max" numFmtId="0" formula="'Fixed Costs'+'Supplementary Pay'" databaseField="0"/>
  </cacheFields>
  <extLst>
    <ext xmlns:x14="http://schemas.microsoft.com/office/spreadsheetml/2009/9/main" uri="{725AE2AE-9491-48be-B2B4-4EB974FC3084}">
      <x14:pivotCacheDefinition pivotCacheId="240247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n v="23870"/>
    <n v="9280"/>
    <n v="0.4"/>
    <n v="1760"/>
    <n v="4140"/>
    <n v="0.15"/>
    <n v="0.15"/>
    <n v="0.19"/>
    <n v="0.19"/>
    <x v="0"/>
  </r>
  <r>
    <x v="0"/>
    <x v="1"/>
    <n v="27830"/>
    <n v="19340"/>
    <n v="0.32"/>
    <n v="3510"/>
    <n v="5410"/>
    <n v="0.23"/>
    <n v="0.28000000000000003"/>
    <n v="0.32"/>
    <n v="0.28000000000000003"/>
    <x v="0"/>
  </r>
  <r>
    <x v="0"/>
    <x v="2"/>
    <n v="26830"/>
    <n v="15090"/>
    <n v="0.55000000000000004"/>
    <n v="4960"/>
    <n v="5620"/>
    <n v="0.32"/>
    <n v="0.4"/>
    <n v="0.44"/>
    <n v="0.36"/>
    <x v="0"/>
  </r>
  <r>
    <x v="0"/>
    <x v="3"/>
    <n v="15720"/>
    <n v="21710"/>
    <n v="0.68"/>
    <n v="5500"/>
    <n v="4880"/>
    <n v="0.4"/>
    <n v="0.53"/>
    <n v="0.56999999999999995"/>
    <n v="0.44"/>
    <x v="0"/>
  </r>
  <r>
    <x v="0"/>
    <x v="4"/>
    <n v="41400"/>
    <n v="20390"/>
    <n v="0.52"/>
    <n v="4940"/>
    <n v="3140"/>
    <n v="0.49"/>
    <n v="0.66"/>
    <n v="0.7"/>
    <n v="0.53"/>
    <x v="0"/>
  </r>
  <r>
    <x v="0"/>
    <x v="5"/>
    <n v="25400"/>
    <n v="27520"/>
    <n v="0.62"/>
    <n v="3560"/>
    <n v="2320"/>
    <n v="0.56999999999999995"/>
    <n v="0.78"/>
    <n v="0.81"/>
    <n v="0.62"/>
    <x v="0"/>
  </r>
  <r>
    <x v="0"/>
    <x v="6"/>
    <n v="23780"/>
    <n v="24740"/>
    <n v="0.56999999999999995"/>
    <n v="2970"/>
    <n v="3480"/>
    <n v="0.66"/>
    <n v="0.89"/>
    <n v="0.92"/>
    <n v="0.7"/>
    <x v="0"/>
  </r>
  <r>
    <x v="0"/>
    <x v="7"/>
    <n v="9250"/>
    <n v="6980"/>
    <n v="0.72"/>
    <n v="4260"/>
    <n v="6750"/>
    <n v="0.74"/>
    <n v="1.33"/>
    <n v="1.22"/>
    <n v="0.78"/>
    <x v="0"/>
  </r>
  <r>
    <x v="0"/>
    <x v="8"/>
    <n v="11450"/>
    <n v="13440"/>
    <n v="0.77"/>
    <n v="6450"/>
    <n v="8200"/>
    <n v="0.81"/>
    <n v="0.15"/>
    <n v="0.2"/>
    <n v="0.85"/>
    <x v="0"/>
  </r>
  <r>
    <x v="0"/>
    <x v="9"/>
    <n v="23440"/>
    <n v="32360"/>
    <n v="0.67"/>
    <n v="7720"/>
    <n v="7040"/>
    <n v="0.89"/>
    <n v="0.3"/>
    <n v="0.35"/>
    <n v="0.92"/>
    <x v="0"/>
  </r>
  <r>
    <x v="0"/>
    <x v="10"/>
    <n v="9090"/>
    <n v="9850"/>
    <n v="0.57999999999999996"/>
    <n v="8000"/>
    <n v="5470"/>
    <n v="1.1499999999999999"/>
    <n v="0.45"/>
    <n v="0.5"/>
    <n v="0.96"/>
    <x v="0"/>
  </r>
  <r>
    <x v="0"/>
    <x v="11"/>
    <n v="15670"/>
    <n v="21640"/>
    <n v="0.65"/>
    <n v="7370"/>
    <n v="6050"/>
    <n v="1.24"/>
    <n v="0.6"/>
    <n v="0.65"/>
    <n v="1"/>
    <x v="0"/>
  </r>
  <r>
    <x v="1"/>
    <x v="0"/>
    <n v="16690"/>
    <n v="17370"/>
    <n v="0.4"/>
    <n v="6910"/>
    <n v="4320"/>
    <n v="0.15"/>
    <n v="0.74"/>
    <n v="0.78"/>
    <n v="0.2"/>
    <x v="0"/>
  </r>
  <r>
    <x v="1"/>
    <x v="1"/>
    <n v="18950"/>
    <n v="7370"/>
    <n v="0.2"/>
    <n v="5020"/>
    <n v="3240"/>
    <n v="0.25"/>
    <n v="0.85"/>
    <n v="0.88"/>
    <n v="0.3"/>
    <x v="0"/>
  </r>
  <r>
    <x v="1"/>
    <x v="2"/>
    <n v="39970"/>
    <n v="25560"/>
    <n v="0.55000000000000004"/>
    <n v="3780"/>
    <n v="3640"/>
    <n v="0.35"/>
    <n v="1.24"/>
    <n v="1.27"/>
    <n v="0.4"/>
    <x v="0"/>
  </r>
  <r>
    <x v="1"/>
    <x v="3"/>
    <n v="20820"/>
    <n v="26500"/>
    <n v="0.7"/>
    <n v="2910"/>
    <n v="6520"/>
    <n v="0.45"/>
    <n v="1.1100000000000001"/>
    <n v="1.2"/>
    <n v="0.5"/>
    <x v="0"/>
  </r>
  <r>
    <x v="1"/>
    <x v="4"/>
    <n v="8760"/>
    <n v="3410"/>
    <n v="0.5"/>
    <n v="3560"/>
    <n v="8120"/>
    <n v="0.55000000000000004"/>
    <n v="0.16"/>
    <n v="0.22"/>
    <n v="0.6"/>
    <x v="0"/>
  </r>
  <r>
    <x v="1"/>
    <x v="5"/>
    <n v="18710"/>
    <n v="21100"/>
    <n v="0.65"/>
    <n v="5260"/>
    <n v="7320"/>
    <n v="0.65"/>
    <n v="0.33"/>
    <n v="0.38"/>
    <n v="0.7"/>
    <x v="0"/>
  </r>
  <r>
    <x v="1"/>
    <x v="6"/>
    <n v="32680"/>
    <n v="18380"/>
    <n v="0.55000000000000004"/>
    <n v="7120"/>
    <n v="5740"/>
    <n v="0.74"/>
    <n v="0.48"/>
    <n v="0.53"/>
    <n v="0.78"/>
    <x v="0"/>
  </r>
  <r>
    <x v="1"/>
    <x v="7"/>
    <n v="37640"/>
    <n v="24070"/>
    <n v="0.75"/>
    <n v="8200"/>
    <n v="6100"/>
    <n v="0.82"/>
    <n v="0.63"/>
    <n v="0.68"/>
    <n v="0.85"/>
    <x v="0"/>
  </r>
  <r>
    <x v="1"/>
    <x v="8"/>
    <n v="33540"/>
    <n v="24290"/>
    <n v="0.8"/>
    <n v="7840"/>
    <n v="4520"/>
    <n v="0.88"/>
    <n v="0.76"/>
    <n v="0.8"/>
    <n v="0.91"/>
    <x v="0"/>
  </r>
  <r>
    <x v="1"/>
    <x v="9"/>
    <n v="10240"/>
    <n v="14140"/>
    <n v="0.65"/>
    <n v="6140"/>
    <n v="3360"/>
    <n v="1.17"/>
    <n v="0.86"/>
    <n v="0.89"/>
    <n v="0.96"/>
    <x v="0"/>
  </r>
  <r>
    <x v="1"/>
    <x v="10"/>
    <n v="11400"/>
    <n v="5370"/>
    <n v="0.55000000000000004"/>
    <n v="4320"/>
    <n v="3520"/>
    <n v="1.27"/>
    <n v="1.27"/>
    <n v="1.33"/>
    <n v="0.99"/>
    <x v="0"/>
  </r>
  <r>
    <x v="1"/>
    <x v="11"/>
    <n v="20590"/>
    <n v="9250"/>
    <n v="0.7"/>
    <n v="3540"/>
    <n v="6600"/>
    <n v="1.33"/>
    <n v="1.19"/>
    <n v="1.23"/>
    <n v="1"/>
    <x v="0"/>
  </r>
  <r>
    <x v="2"/>
    <x v="0"/>
    <n v="14610"/>
    <n v="21020"/>
    <n v="0.4"/>
    <n v="2970"/>
    <n v="8060"/>
    <n v="0.16"/>
    <n v="0.17"/>
    <n v="0.23"/>
    <n v="0.22"/>
    <x v="0"/>
  </r>
  <r>
    <x v="2"/>
    <x v="1"/>
    <n v="42130"/>
    <n v="20750"/>
    <n v="0.32"/>
    <n v="3840"/>
    <n v="7240"/>
    <n v="0.27"/>
    <n v="0.34"/>
    <n v="0.4"/>
    <n v="0.33"/>
    <x v="0"/>
  </r>
  <r>
    <x v="2"/>
    <x v="2"/>
    <n v="25350"/>
    <n v="7570"/>
    <n v="0.55000000000000004"/>
    <n v="5620"/>
    <n v="5660"/>
    <n v="0.38"/>
    <n v="0.5"/>
    <n v="0.55000000000000004"/>
    <n v="0.43"/>
    <x v="0"/>
  </r>
  <r>
    <x v="2"/>
    <x v="3"/>
    <n v="48190"/>
    <n v="39430"/>
    <n v="0.68"/>
    <n v="7440"/>
    <n v="6180"/>
    <n v="0.48"/>
    <n v="0.65"/>
    <n v="0.7"/>
    <n v="0.53"/>
    <x v="0"/>
  </r>
  <r>
    <x v="2"/>
    <x v="4"/>
    <n v="28450"/>
    <n v="30830"/>
    <n v="0.52"/>
    <n v="8460"/>
    <n v="4760"/>
    <n v="0.57999999999999996"/>
    <n v="0.78"/>
    <n v="0.82"/>
    <n v="0.63"/>
    <x v="0"/>
  </r>
  <r>
    <x v="2"/>
    <x v="5"/>
    <n v="50780"/>
    <n v="55010"/>
    <n v="0.62"/>
    <n v="8040"/>
    <n v="3420"/>
    <n v="0.68"/>
    <n v="0.88"/>
    <n v="0.91"/>
    <n v="0.73"/>
    <x v="0"/>
  </r>
  <r>
    <x v="2"/>
    <x v="6"/>
    <n v="32730"/>
    <n v="36910"/>
    <n v="0.56999999999999995"/>
    <n v="6340"/>
    <n v="3780"/>
    <n v="0.76"/>
    <n v="1.1200000000000001"/>
    <n v="1.32"/>
    <n v="0.8"/>
    <x v="0"/>
  </r>
  <r>
    <x v="2"/>
    <x v="7"/>
    <n v="31660"/>
    <n v="20240"/>
    <n v="0.72"/>
    <n v="4700"/>
    <n v="6820"/>
    <n v="0.83"/>
    <n v="1.31"/>
    <n v="1.1000000000000001"/>
    <n v="0.86"/>
    <x v="0"/>
  </r>
  <r>
    <x v="2"/>
    <x v="8"/>
    <n v="14790"/>
    <n v="20430"/>
    <n v="0.77"/>
    <n v="3820"/>
    <n v="8160"/>
    <n v="0.89"/>
    <n v="0.15"/>
    <n v="0.19"/>
    <n v="0.92"/>
    <x v="0"/>
  </r>
  <r>
    <x v="2"/>
    <x v="9"/>
    <n v="37190"/>
    <n v="20030"/>
    <n v="0.67"/>
    <n v="3120"/>
    <n v="7480"/>
    <n v="1.34"/>
    <n v="0.28000000000000003"/>
    <n v="0.32"/>
    <n v="0.97"/>
    <x v="0"/>
  </r>
  <r>
    <x v="2"/>
    <x v="10"/>
    <n v="23830"/>
    <n v="20300"/>
    <n v="0.57999999999999996"/>
    <n v="4220"/>
    <n v="5880"/>
    <n v="1.24"/>
    <n v="0.4"/>
    <n v="0.44"/>
    <n v="0.99"/>
    <x v="0"/>
  </r>
  <r>
    <x v="2"/>
    <x v="11"/>
    <n v="12110"/>
    <n v="4480"/>
    <n v="0.65"/>
    <n v="6180"/>
    <n v="6280"/>
    <n v="1.33"/>
    <n v="0.53"/>
    <n v="0.56999999999999995"/>
    <n v="1"/>
    <x v="0"/>
  </r>
  <r>
    <x v="3"/>
    <x v="0"/>
    <n v="16700"/>
    <n v="9390"/>
    <n v="0.35"/>
    <n v="7860"/>
    <n v="4960"/>
    <n v="0.17"/>
    <n v="0.66"/>
    <n v="0.7"/>
    <n v="0.23"/>
    <x v="0"/>
  </r>
  <r>
    <x v="3"/>
    <x v="1"/>
    <n v="31830"/>
    <n v="22120"/>
    <n v="0.42"/>
    <n v="8600"/>
    <n v="3620"/>
    <n v="0.28000000000000003"/>
    <n v="0.78"/>
    <n v="0.81"/>
    <n v="0.34"/>
    <x v="0"/>
  </r>
  <r>
    <x v="3"/>
    <x v="2"/>
    <n v="65880"/>
    <n v="63300"/>
    <n v="0.6"/>
    <n v="8080"/>
    <n v="3900"/>
    <n v="0.4"/>
    <n v="0.89"/>
    <n v="0.92"/>
    <n v="0.45"/>
    <x v="0"/>
  </r>
  <r>
    <x v="3"/>
    <x v="3"/>
    <n v="39190"/>
    <n v="22040"/>
    <n v="0.7"/>
    <n v="6300"/>
    <n v="6920"/>
    <n v="0.5"/>
    <n v="1.1599999999999999"/>
    <n v="1.25"/>
    <n v="0.55000000000000004"/>
    <x v="0"/>
  </r>
  <r>
    <x v="3"/>
    <x v="4"/>
    <n v="29980"/>
    <n v="21710"/>
    <n v="0.55000000000000004"/>
    <n v="4560"/>
    <n v="8260"/>
    <n v="0.6"/>
    <n v="0.15"/>
    <n v="0.2"/>
    <n v="0.65"/>
    <x v="0"/>
  </r>
  <r>
    <x v="3"/>
    <x v="5"/>
    <n v="25070"/>
    <n v="8360"/>
    <n v="0.65"/>
    <n v="3620"/>
    <n v="7680"/>
    <n v="0.7"/>
    <n v="0.3"/>
    <n v="0.35"/>
    <n v="0.75"/>
    <x v="0"/>
  </r>
  <r>
    <x v="3"/>
    <x v="6"/>
    <n v="30430"/>
    <n v="9090"/>
    <n v="0.6"/>
    <n v="2840"/>
    <n v="6060"/>
    <n v="0.78"/>
    <n v="0.45"/>
    <n v="0.5"/>
    <n v="0.82"/>
    <x v="0"/>
  </r>
  <r>
    <x v="3"/>
    <x v="7"/>
    <n v="39370"/>
    <n v="48110"/>
    <n v="0.75"/>
    <n v="3660"/>
    <n v="6360"/>
    <n v="0.85"/>
    <n v="0.6"/>
    <n v="0.65"/>
    <n v="0.88"/>
    <x v="0"/>
  </r>
  <r>
    <x v="3"/>
    <x v="8"/>
    <n v="80090"/>
    <n v="47040"/>
    <n v="0.8"/>
    <n v="5560"/>
    <n v="5120"/>
    <n v="0.91"/>
    <n v="0.74"/>
    <n v="0.78"/>
    <n v="0.94"/>
    <x v="0"/>
  </r>
  <r>
    <x v="3"/>
    <x v="9"/>
    <n v="18760"/>
    <n v="15980"/>
    <n v="0.7"/>
    <n v="7340"/>
    <n v="3740"/>
    <n v="1.31"/>
    <n v="0.85"/>
    <n v="0.88"/>
    <n v="0.98"/>
    <x v="0"/>
  </r>
  <r>
    <x v="3"/>
    <x v="10"/>
    <n v="15190"/>
    <n v="12940"/>
    <n v="0.6"/>
    <n v="8520"/>
    <n v="4040"/>
    <n v="1.1399999999999999"/>
    <n v="1.35"/>
    <n v="1.26"/>
    <n v="1"/>
    <x v="0"/>
  </r>
  <r>
    <x v="3"/>
    <x v="11"/>
    <n v="19970"/>
    <n v="25420"/>
    <n v="0.68"/>
    <n v="8160"/>
    <n v="7020"/>
    <n v="1.1399999999999999"/>
    <n v="1.27"/>
    <n v="1.19"/>
    <n v="1"/>
    <x v="0"/>
  </r>
  <r>
    <x v="0"/>
    <x v="0"/>
    <n v="12150"/>
    <n v="9950"/>
    <n v="0.45"/>
    <n v="6420"/>
    <n v="8340"/>
    <n v="0.15"/>
    <n v="0.16"/>
    <n v="0.22"/>
    <n v="0.19"/>
    <x v="1"/>
  </r>
  <r>
    <x v="0"/>
    <x v="1"/>
    <n v="16130"/>
    <n v="5090"/>
    <n v="0.38"/>
    <n v="4780"/>
    <n v="7840"/>
    <n v="0.23"/>
    <n v="0.33"/>
    <n v="0.38"/>
    <n v="0.28000000000000003"/>
    <x v="1"/>
  </r>
  <r>
    <x v="0"/>
    <x v="2"/>
    <n v="24390"/>
    <n v="25390"/>
    <n v="0.57999999999999996"/>
    <n v="3780"/>
    <n v="6220"/>
    <n v="0.32"/>
    <n v="0.48"/>
    <n v="0.53"/>
    <n v="0.36"/>
    <x v="1"/>
  </r>
  <r>
    <x v="0"/>
    <x v="3"/>
    <n v="8680"/>
    <n v="7700"/>
    <n v="0.65"/>
    <n v="2980"/>
    <n v="6500"/>
    <n v="0.4"/>
    <n v="0.63"/>
    <n v="0.68"/>
    <n v="0.44"/>
    <x v="1"/>
  </r>
  <r>
    <x v="0"/>
    <x v="4"/>
    <n v="39970"/>
    <n v="11940"/>
    <n v="0.5"/>
    <n v="4080"/>
    <n v="5260"/>
    <n v="0.49"/>
    <n v="0.76"/>
    <n v="0.8"/>
    <n v="0.53"/>
    <x v="1"/>
  </r>
  <r>
    <x v="0"/>
    <x v="5"/>
    <n v="31380"/>
    <n v="18430"/>
    <n v="0.63"/>
    <n v="6060"/>
    <n v="3920"/>
    <n v="0.56999999999999995"/>
    <n v="0.86"/>
    <n v="0.89"/>
    <n v="0.62"/>
    <x v="1"/>
  </r>
  <r>
    <x v="0"/>
    <x v="6"/>
    <n v="21350"/>
    <n v="14230"/>
    <n v="0.59"/>
    <n v="7760"/>
    <n v="4160"/>
    <n v="0.66"/>
    <n v="1.1299999999999999"/>
    <n v="1.17"/>
    <n v="0.7"/>
    <x v="1"/>
  </r>
  <r>
    <x v="0"/>
    <x v="7"/>
    <n v="3540"/>
    <n v="2260"/>
    <n v="0.7"/>
    <n v="8480"/>
    <n v="7100"/>
    <n v="0.74"/>
    <n v="1.35"/>
    <n v="1.33"/>
    <n v="0.78"/>
    <x v="1"/>
  </r>
  <r>
    <x v="0"/>
    <x v="8"/>
    <n v="31490"/>
    <n v="14150"/>
    <n v="0.75"/>
    <n v="8060"/>
    <n v="8400"/>
    <n v="0.81"/>
    <n v="0.17"/>
    <n v="0.23"/>
    <n v="0.85"/>
    <x v="1"/>
  </r>
  <r>
    <x v="0"/>
    <x v="9"/>
    <n v="27080"/>
    <n v="16590"/>
    <n v="0.68"/>
    <n v="6320"/>
    <n v="8000"/>
    <n v="0.89"/>
    <n v="0.34"/>
    <n v="0.4"/>
    <n v="0.92"/>
    <x v="1"/>
  </r>
  <r>
    <x v="0"/>
    <x v="10"/>
    <n v="14280"/>
    <n v="7030"/>
    <n v="0.6"/>
    <n v="4540"/>
    <n v="6340"/>
    <n v="1.28"/>
    <n v="0.5"/>
    <n v="0.55000000000000004"/>
    <n v="0.96"/>
    <x v="1"/>
  </r>
  <r>
    <x v="0"/>
    <x v="11"/>
    <n v="8690"/>
    <n v="11520"/>
    <n v="0.66"/>
    <n v="3660"/>
    <n v="6640"/>
    <n v="1.24"/>
    <n v="0.65"/>
    <n v="0.7"/>
    <n v="1"/>
    <x v="1"/>
  </r>
  <r>
    <x v="1"/>
    <x v="0"/>
    <n v="24450"/>
    <n v="7720"/>
    <n v="0.38"/>
    <n v="2860"/>
    <n v="5360"/>
    <n v="0.15"/>
    <n v="0.78"/>
    <n v="0.82"/>
    <n v="0.2"/>
    <x v="1"/>
  </r>
  <r>
    <x v="1"/>
    <x v="1"/>
    <n v="30700"/>
    <n v="13160"/>
    <n v="0.45"/>
    <n v="3560"/>
    <n v="4040"/>
    <n v="0.25"/>
    <n v="0.88"/>
    <n v="0.91"/>
    <n v="0.3"/>
    <x v="1"/>
  </r>
  <r>
    <x v="1"/>
    <x v="2"/>
    <n v="26460"/>
    <n v="23470"/>
    <n v="0.62"/>
    <n v="5400"/>
    <n v="4280"/>
    <n v="0.35"/>
    <n v="1.24"/>
    <n v="1.35"/>
    <n v="0.4"/>
    <x v="1"/>
  </r>
  <r>
    <x v="1"/>
    <x v="3"/>
    <n v="32360"/>
    <n v="10220"/>
    <n v="0.72"/>
    <n v="7220"/>
    <n v="7160"/>
    <n v="0.45"/>
    <n v="1.2"/>
    <n v="1.1299999999999999"/>
    <n v="0.5"/>
    <x v="1"/>
  </r>
  <r>
    <x v="1"/>
    <x v="4"/>
    <n v="7610"/>
    <n v="2540"/>
    <n v="0.57999999999999996"/>
    <n v="8340"/>
    <n v="8460"/>
    <n v="0.55000000000000004"/>
    <n v="0.15"/>
    <n v="0.19"/>
    <n v="0.6"/>
    <x v="1"/>
  </r>
  <r>
    <x v="1"/>
    <x v="5"/>
    <n v="23450"/>
    <n v="9120"/>
    <n v="0.68"/>
    <n v="8040"/>
    <n v="8140"/>
    <n v="0.65"/>
    <n v="0.28000000000000003"/>
    <n v="0.32"/>
    <n v="0.7"/>
    <x v="1"/>
  </r>
  <r>
    <x v="1"/>
    <x v="6"/>
    <n v="44910"/>
    <n v="24180"/>
    <n v="0.63"/>
    <n v="6440"/>
    <n v="6460"/>
    <n v="0.74"/>
    <n v="0.4"/>
    <n v="0.44"/>
    <n v="0.78"/>
    <x v="1"/>
  </r>
  <r>
    <x v="1"/>
    <x v="7"/>
    <n v="13880"/>
    <n v="8150"/>
    <n v="0.78"/>
    <n v="4840"/>
    <n v="6740"/>
    <n v="0.82"/>
    <n v="0.53"/>
    <n v="0.56999999999999995"/>
    <n v="0.85"/>
    <x v="1"/>
  </r>
  <r>
    <x v="1"/>
    <x v="8"/>
    <n v="12140"/>
    <n v="8090"/>
    <n v="0.82"/>
    <n v="3820"/>
    <n v="5460"/>
    <n v="0.88"/>
    <n v="0.66"/>
    <n v="0.7"/>
    <n v="0.91"/>
    <x v="1"/>
  </r>
  <r>
    <x v="1"/>
    <x v="9"/>
    <n v="20120"/>
    <n v="10360"/>
    <n v="0.72"/>
    <n v="3000"/>
    <n v="4140"/>
    <n v="1.19"/>
    <n v="0.78"/>
    <n v="0.81"/>
    <n v="0.96"/>
    <x v="1"/>
  </r>
  <r>
    <x v="1"/>
    <x v="10"/>
    <n v="9730"/>
    <n v="7040"/>
    <n v="0.62"/>
    <n v="3920"/>
    <n v="4360"/>
    <n v="1.27"/>
    <n v="0.89"/>
    <n v="0.92"/>
    <n v="0.99"/>
    <x v="1"/>
  </r>
  <r>
    <x v="1"/>
    <x v="11"/>
    <n v="16710"/>
    <n v="17390"/>
    <n v="0.7"/>
    <n v="5820"/>
    <n v="7220"/>
    <n v="1.33"/>
    <n v="1.1000000000000001"/>
    <n v="1.3"/>
    <n v="1"/>
    <x v="1"/>
  </r>
  <r>
    <x v="2"/>
    <x v="0"/>
    <n v="27080"/>
    <n v="20430"/>
    <n v="0.42"/>
    <n v="7640"/>
    <n v="8500"/>
    <n v="0.16"/>
    <n v="0.15"/>
    <n v="0.2"/>
    <n v="0.22"/>
    <x v="1"/>
  </r>
  <r>
    <x v="2"/>
    <x v="1"/>
    <n v="14530"/>
    <n v="7480"/>
    <n v="0.35"/>
    <n v="8440"/>
    <n v="8260"/>
    <n v="0.27"/>
    <n v="0.3"/>
    <n v="0.35"/>
    <n v="0.33"/>
    <x v="1"/>
  </r>
  <r>
    <x v="2"/>
    <x v="2"/>
    <n v="28150"/>
    <n v="34400"/>
    <n v="0.56000000000000005"/>
    <n v="8200"/>
    <n v="6560"/>
    <n v="0.38"/>
    <n v="0.45"/>
    <n v="0.5"/>
    <n v="0.43"/>
    <x v="1"/>
  </r>
  <r>
    <x v="2"/>
    <x v="3"/>
    <n v="34740"/>
    <n v="10970"/>
    <n v="0.69"/>
    <n v="6600"/>
    <n v="6860"/>
    <n v="0.48"/>
    <n v="0.6"/>
    <n v="0.65"/>
    <n v="0.53"/>
    <x v="1"/>
  </r>
  <r>
    <x v="2"/>
    <x v="4"/>
    <n v="34940"/>
    <n v="32250"/>
    <n v="0.53"/>
    <n v="4880"/>
    <n v="5540"/>
    <n v="0.57999999999999996"/>
    <n v="0.74"/>
    <n v="0.78"/>
    <n v="0.63"/>
    <x v="1"/>
  </r>
  <r>
    <x v="2"/>
    <x v="5"/>
    <n v="20270"/>
    <n v="18710"/>
    <n v="0.64"/>
    <n v="3840"/>
    <n v="4220"/>
    <n v="0.68"/>
    <n v="0.85"/>
    <n v="0.88"/>
    <n v="0.73"/>
    <x v="1"/>
  </r>
  <r>
    <x v="2"/>
    <x v="6"/>
    <n v="69220"/>
    <n v="28270"/>
    <n v="0.57999999999999996"/>
    <n v="3080"/>
    <n v="4480"/>
    <n v="0.76"/>
    <n v="1.22"/>
    <n v="1.23"/>
    <n v="0.8"/>
    <x v="1"/>
  </r>
  <r>
    <x v="2"/>
    <x v="7"/>
    <n v="14240"/>
    <n v="8010"/>
    <n v="0.73"/>
    <n v="3980"/>
    <n v="7260"/>
    <n v="0.83"/>
    <n v="1.33"/>
    <n v="1.1100000000000001"/>
    <n v="0.86"/>
    <x v="1"/>
  </r>
  <r>
    <x v="2"/>
    <x v="8"/>
    <n v="31160"/>
    <n v="31160"/>
    <n v="0.78"/>
    <n v="5780"/>
    <n v="8560"/>
    <n v="0.89"/>
    <n v="0.16"/>
    <n v="0.22"/>
    <n v="0.92"/>
    <x v="1"/>
  </r>
  <r>
    <x v="2"/>
    <x v="9"/>
    <n v="18060"/>
    <n v="7370"/>
    <n v="0.68"/>
    <n v="7600"/>
    <n v="8360"/>
    <n v="1.28"/>
    <n v="0.33"/>
    <n v="0.38"/>
    <n v="0.97"/>
    <x v="1"/>
  </r>
  <r>
    <x v="2"/>
    <x v="10"/>
    <n v="15170"/>
    <n v="12410"/>
    <n v="0.59"/>
    <n v="8380"/>
    <n v="6660"/>
    <n v="1.3"/>
    <n v="0.48"/>
    <n v="0.53"/>
    <n v="0.99"/>
    <x v="1"/>
  </r>
  <r>
    <x v="2"/>
    <x v="11"/>
    <n v="15260"/>
    <n v="6850"/>
    <n v="0.66"/>
    <n v="8240"/>
    <n v="6960"/>
    <n v="1.24"/>
    <n v="0.63"/>
    <n v="0.68"/>
    <n v="1"/>
    <x v="1"/>
  </r>
  <r>
    <x v="3"/>
    <x v="0"/>
    <n v="11360"/>
    <n v="8930"/>
    <n v="0.36"/>
    <n v="6680"/>
    <n v="5620"/>
    <n v="0.17"/>
    <n v="0.76"/>
    <n v="0.8"/>
    <n v="0.23"/>
    <x v="1"/>
  </r>
  <r>
    <x v="3"/>
    <x v="1"/>
    <n v="68330"/>
    <n v="21580"/>
    <n v="0.43"/>
    <n v="4960"/>
    <n v="4300"/>
    <n v="0.28000000000000003"/>
    <n v="0.86"/>
    <n v="0.89"/>
    <n v="0.34"/>
    <x v="1"/>
  </r>
  <r>
    <x v="3"/>
    <x v="2"/>
    <n v="39370"/>
    <n v="22150"/>
    <n v="0.61"/>
    <n v="3920"/>
    <n v="4540"/>
    <n v="0.4"/>
    <n v="1.28"/>
    <n v="1.34"/>
    <n v="0.45"/>
    <x v="1"/>
  </r>
  <r>
    <x v="3"/>
    <x v="3"/>
    <n v="32450"/>
    <n v="28780"/>
    <n v="0.71"/>
    <n v="3120"/>
    <n v="7300"/>
    <n v="0.5"/>
    <n v="1.17"/>
    <n v="1.1100000000000001"/>
    <n v="0.55000000000000004"/>
    <x v="1"/>
  </r>
  <r>
    <x v="3"/>
    <x v="4"/>
    <n v="51560"/>
    <n v="30280"/>
    <n v="0.56999999999999995"/>
    <n v="4220"/>
    <n v="8600"/>
    <n v="0.6"/>
    <n v="0.17"/>
    <n v="0.23"/>
    <n v="0.65"/>
    <x v="1"/>
  </r>
  <r>
    <x v="3"/>
    <x v="5"/>
    <n v="25260"/>
    <n v="21520"/>
    <n v="0.67"/>
    <n v="6060"/>
    <n v="8440"/>
    <n v="0.7"/>
    <n v="0.34"/>
    <n v="0.4"/>
    <n v="0.75"/>
    <x v="1"/>
  </r>
  <r>
    <x v="3"/>
    <x v="6"/>
    <n v="42250"/>
    <n v="43970"/>
    <n v="0.62"/>
    <n v="7900"/>
    <n v="6740"/>
    <n v="0.78"/>
    <n v="0.5"/>
    <n v="0.55000000000000004"/>
    <n v="0.82"/>
    <x v="1"/>
  </r>
  <r>
    <x v="3"/>
    <x v="7"/>
    <n v="34750"/>
    <n v="40800"/>
    <n v="0.77"/>
    <n v="8720"/>
    <n v="7040"/>
    <n v="0.85"/>
    <n v="0.65"/>
    <n v="0.7"/>
    <n v="0.88"/>
    <x v="1"/>
  </r>
  <r>
    <x v="3"/>
    <x v="8"/>
    <n v="59810"/>
    <n v="73100"/>
    <n v="0.81"/>
    <n v="8240"/>
    <n v="5700"/>
    <n v="0.91"/>
    <n v="0.78"/>
    <n v="0.82"/>
    <n v="0.94"/>
    <x v="1"/>
  </r>
  <r>
    <x v="3"/>
    <x v="9"/>
    <n v="60040"/>
    <n v="38390"/>
    <n v="0.71"/>
    <n v="6480"/>
    <n v="4400"/>
    <n v="1.22"/>
    <n v="0.88"/>
    <n v="0.91"/>
    <n v="0.98"/>
    <x v="1"/>
  </r>
  <r>
    <x v="3"/>
    <x v="10"/>
    <n v="29540"/>
    <n v="40790"/>
    <n v="0.61"/>
    <n v="4520"/>
    <n v="4640"/>
    <n v="1.19"/>
    <n v="1.1200000000000001"/>
    <n v="1.24"/>
    <n v="1"/>
    <x v="1"/>
  </r>
  <r>
    <x v="3"/>
    <x v="11"/>
    <n v="40260"/>
    <n v="18090"/>
    <n v="0.69"/>
    <n v="3680"/>
    <n v="7340"/>
    <n v="1.21"/>
    <n v="1.1399999999999999"/>
    <n v="1.22"/>
    <n v="1"/>
    <x v="1"/>
  </r>
  <r>
    <x v="0"/>
    <x v="0"/>
    <n v="21040"/>
    <n v="16530"/>
    <n v="0.69"/>
    <n v="2860"/>
    <n v="8640"/>
    <n v="0.15"/>
    <n v="0.15"/>
    <n v="0.19"/>
    <n v="0.19"/>
    <x v="2"/>
  </r>
  <r>
    <x v="0"/>
    <x v="1"/>
    <n v="9760"/>
    <n v="4390"/>
    <n v="0.61"/>
    <n v="3620"/>
    <n v="8520"/>
    <n v="0.23"/>
    <n v="0.28000000000000003"/>
    <n v="0.32"/>
    <n v="0.28000000000000003"/>
    <x v="2"/>
  </r>
  <r>
    <x v="0"/>
    <x v="2"/>
    <n v="12160"/>
    <n v="8810"/>
    <n v="0.71"/>
    <n v="5520"/>
    <n v="6820"/>
    <n v="0.32"/>
    <n v="0.4"/>
    <n v="0.44"/>
    <n v="0.36"/>
    <x v="2"/>
  </r>
  <r>
    <x v="0"/>
    <x v="3"/>
    <n v="28660"/>
    <n v="29830"/>
    <n v="0.81"/>
    <n v="7440"/>
    <n v="7120"/>
    <n v="0.4"/>
    <n v="0.53"/>
    <n v="0.56999999999999995"/>
    <n v="0.44"/>
    <x v="2"/>
  </r>
  <r>
    <x v="0"/>
    <x v="4"/>
    <n v="6530"/>
    <n v="8300"/>
    <n v="0.77"/>
    <n v="8600"/>
    <n v="5760"/>
    <n v="0.49"/>
    <n v="0.66"/>
    <n v="0.7"/>
    <n v="0.53"/>
    <x v="2"/>
  </r>
  <r>
    <x v="0"/>
    <x v="5"/>
    <n v="39040"/>
    <n v="29450"/>
    <n v="0.62"/>
    <n v="8220"/>
    <n v="4500"/>
    <n v="0.56999999999999995"/>
    <n v="0.78"/>
    <n v="0.81"/>
    <n v="0.62"/>
    <x v="2"/>
  </r>
  <r>
    <x v="0"/>
    <x v="6"/>
    <n v="10350"/>
    <n v="5820"/>
    <n v="0.67"/>
    <n v="6400"/>
    <n v="4720"/>
    <n v="0.66"/>
    <n v="0.89"/>
    <n v="0.92"/>
    <n v="0.7"/>
    <x v="2"/>
  </r>
  <r>
    <x v="0"/>
    <x v="7"/>
    <n v="17100"/>
    <n v="11880"/>
    <n v="0.56999999999999995"/>
    <n v="4600"/>
    <n v="7380"/>
    <n v="0.74"/>
    <n v="1.1100000000000001"/>
    <n v="1.1499999999999999"/>
    <n v="0.78"/>
    <x v="2"/>
  </r>
  <r>
    <x v="0"/>
    <x v="8"/>
    <n v="10950"/>
    <n v="5640"/>
    <n v="0.71"/>
    <n v="3700"/>
    <n v="8680"/>
    <n v="0.81"/>
    <n v="0.15"/>
    <n v="0.2"/>
    <n v="0.85"/>
    <x v="2"/>
  </r>
  <r>
    <x v="0"/>
    <x v="9"/>
    <n v="7960"/>
    <n v="11450"/>
    <n v="0.61"/>
    <n v="2920"/>
    <n v="8600"/>
    <n v="0.89"/>
    <n v="0.3"/>
    <n v="0.35"/>
    <n v="0.92"/>
    <x v="2"/>
  </r>
  <r>
    <x v="0"/>
    <x v="10"/>
    <n v="16580"/>
    <n v="16580"/>
    <n v="0.43"/>
    <n v="4140"/>
    <n v="6880"/>
    <n v="1.1200000000000001"/>
    <n v="0.45"/>
    <n v="0.5"/>
    <n v="0.96"/>
    <x v="2"/>
  </r>
  <r>
    <x v="0"/>
    <x v="11"/>
    <n v="17530"/>
    <n v="19770"/>
    <n v="0.36"/>
    <n v="6100"/>
    <n v="7200"/>
    <n v="1.31"/>
    <n v="0.6"/>
    <n v="0.65"/>
    <n v="1"/>
    <x v="2"/>
  </r>
  <r>
    <x v="1"/>
    <x v="0"/>
    <n v="8170"/>
    <n v="3180"/>
    <n v="0.66"/>
    <n v="7800"/>
    <n v="5820"/>
    <n v="0.15"/>
    <n v="0.74"/>
    <n v="0.78"/>
    <n v="0.2"/>
    <x v="2"/>
  </r>
  <r>
    <x v="1"/>
    <x v="1"/>
    <n v="36660"/>
    <n v="18890"/>
    <n v="0.59"/>
    <n v="8640"/>
    <n v="4560"/>
    <n v="0.25"/>
    <n v="0.85"/>
    <n v="0.88"/>
    <n v="0.3"/>
    <x v="2"/>
  </r>
  <r>
    <x v="1"/>
    <x v="2"/>
    <n v="17790"/>
    <n v="13420"/>
    <n v="0.68"/>
    <n v="8120"/>
    <n v="4780"/>
    <n v="0.35"/>
    <n v="1.1299999999999999"/>
    <n v="1.1000000000000001"/>
    <n v="0.4"/>
    <x v="2"/>
  </r>
  <r>
    <x v="1"/>
    <x v="3"/>
    <n v="36270"/>
    <n v="13410"/>
    <n v="0.78"/>
    <n v="6340"/>
    <n v="7420"/>
    <n v="0.45"/>
    <n v="1.35"/>
    <n v="1.2"/>
    <n v="0.5"/>
    <x v="2"/>
  </r>
  <r>
    <x v="1"/>
    <x v="4"/>
    <n v="27220"/>
    <n v="17400"/>
    <n v="0.73"/>
    <n v="4580"/>
    <n v="8720"/>
    <n v="0.55000000000000004"/>
    <n v="0.16"/>
    <n v="0.22"/>
    <n v="0.6"/>
    <x v="2"/>
  </r>
  <r>
    <x v="1"/>
    <x v="5"/>
    <n v="59710"/>
    <n v="19910"/>
    <n v="0.57999999999999996"/>
    <n v="3640"/>
    <n v="8640"/>
    <n v="0.65"/>
    <n v="0.33"/>
    <n v="0.38"/>
    <n v="0.7"/>
    <x v="2"/>
  </r>
  <r>
    <x v="1"/>
    <x v="6"/>
    <n v="12020"/>
    <n v="12020"/>
    <n v="0.64"/>
    <n v="2840"/>
    <n v="6940"/>
    <n v="0.74"/>
    <n v="0.48"/>
    <n v="0.53"/>
    <n v="0.78"/>
    <x v="2"/>
  </r>
  <r>
    <x v="1"/>
    <x v="7"/>
    <n v="32620"/>
    <n v="11460"/>
    <n v="0.53"/>
    <n v="3640"/>
    <n v="7260"/>
    <n v="0.82"/>
    <n v="0.63"/>
    <n v="0.68"/>
    <n v="0.85"/>
    <x v="2"/>
  </r>
  <r>
    <x v="1"/>
    <x v="8"/>
    <n v="11570"/>
    <n v="11570"/>
    <n v="0.69"/>
    <n v="5460"/>
    <n v="5880"/>
    <n v="0.88"/>
    <n v="0.76"/>
    <n v="0.8"/>
    <n v="0.91"/>
    <x v="2"/>
  </r>
  <r>
    <x v="1"/>
    <x v="9"/>
    <n v="37310"/>
    <n v="35840"/>
    <n v="0.56000000000000005"/>
    <n v="7260"/>
    <n v="4620"/>
    <n v="1.21"/>
    <n v="0.86"/>
    <n v="0.89"/>
    <n v="0.96"/>
    <x v="2"/>
  </r>
  <r>
    <x v="1"/>
    <x v="10"/>
    <n v="11150"/>
    <n v="8410"/>
    <n v="0.35"/>
    <n v="8460"/>
    <n v="4840"/>
    <n v="1.1100000000000001"/>
    <n v="1.2"/>
    <n v="1.1599999999999999"/>
    <n v="0.99"/>
    <x v="2"/>
  </r>
  <r>
    <x v="1"/>
    <x v="11"/>
    <n v="6660"/>
    <n v="3280"/>
    <n v="0.42"/>
    <n v="8120"/>
    <n v="7440"/>
    <n v="1.1599999999999999"/>
    <n v="1.21"/>
    <n v="1.35"/>
    <n v="1"/>
    <x v="2"/>
  </r>
  <r>
    <x v="2"/>
    <x v="0"/>
    <n v="11810"/>
    <n v="4820"/>
    <n v="0.7"/>
    <n v="6500"/>
    <n v="8760"/>
    <n v="0.16"/>
    <n v="0.17"/>
    <n v="0.23"/>
    <n v="0.22"/>
    <x v="2"/>
  </r>
  <r>
    <x v="2"/>
    <x v="1"/>
    <n v="48420"/>
    <n v="20750"/>
    <n v="0.62"/>
    <n v="4700"/>
    <n v="8680"/>
    <n v="0.27"/>
    <n v="0.34"/>
    <n v="0.4"/>
    <n v="0.33"/>
    <x v="2"/>
  </r>
  <r>
    <x v="2"/>
    <x v="2"/>
    <n v="13700"/>
    <n v="12640"/>
    <n v="0.72"/>
    <n v="3800"/>
    <n v="7000"/>
    <n v="0.38"/>
    <n v="0.5"/>
    <n v="0.55000000000000004"/>
    <n v="0.43"/>
    <x v="2"/>
  </r>
  <r>
    <x v="2"/>
    <x v="3"/>
    <n v="51200"/>
    <n v="40230"/>
    <n v="0.82"/>
    <n v="2940"/>
    <n v="7320"/>
    <n v="0.48"/>
    <n v="0.65"/>
    <n v="0.7"/>
    <n v="0.53"/>
    <x v="2"/>
  </r>
  <r>
    <x v="2"/>
    <x v="4"/>
    <n v="38890"/>
    <n v="55960"/>
    <n v="0.78"/>
    <n v="4040"/>
    <n v="5940"/>
    <n v="0.57999999999999996"/>
    <n v="0.78"/>
    <n v="0.82"/>
    <n v="0.63"/>
    <x v="2"/>
  </r>
  <r>
    <x v="2"/>
    <x v="5"/>
    <n v="36750"/>
    <n v="30070"/>
    <n v="0.63"/>
    <n v="5900"/>
    <n v="4680"/>
    <n v="0.68"/>
    <n v="0.88"/>
    <n v="0.91"/>
    <n v="0.73"/>
    <x v="2"/>
  </r>
  <r>
    <x v="2"/>
    <x v="6"/>
    <n v="16340"/>
    <n v="20800"/>
    <n v="0.68"/>
    <n v="7740"/>
    <n v="4900"/>
    <n v="0.76"/>
    <n v="1.17"/>
    <n v="1.1499999999999999"/>
    <n v="0.8"/>
    <x v="2"/>
  </r>
  <r>
    <x v="2"/>
    <x v="7"/>
    <n v="18350"/>
    <n v="15010"/>
    <n v="0.57999999999999996"/>
    <n v="8520"/>
    <n v="7460"/>
    <n v="0.83"/>
    <n v="1.28"/>
    <n v="1.21"/>
    <n v="0.86"/>
    <x v="2"/>
  </r>
  <r>
    <x v="2"/>
    <x v="8"/>
    <n v="36310"/>
    <n v="17880"/>
    <n v="0.72"/>
    <n v="8100"/>
    <n v="8780"/>
    <n v="0.89"/>
    <n v="0.15"/>
    <n v="0.19"/>
    <n v="0.92"/>
    <x v="2"/>
  </r>
  <r>
    <x v="2"/>
    <x v="9"/>
    <n v="7630"/>
    <n v="8270"/>
    <n v="0.62"/>
    <n v="6580"/>
    <n v="8720"/>
    <n v="1.21"/>
    <n v="0.28000000000000003"/>
    <n v="0.32"/>
    <n v="0.97"/>
    <x v="2"/>
  </r>
  <r>
    <x v="2"/>
    <x v="10"/>
    <n v="16490"/>
    <n v="19370"/>
    <n v="0.45"/>
    <n v="4760"/>
    <n v="7060"/>
    <n v="1.1299999999999999"/>
    <n v="0.4"/>
    <n v="0.44"/>
    <n v="0.99"/>
    <x v="2"/>
  </r>
  <r>
    <x v="2"/>
    <x v="11"/>
    <n v="21910"/>
    <n v="14010"/>
    <n v="0.38"/>
    <n v="3860"/>
    <n v="7380"/>
    <n v="1.29"/>
    <n v="0.53"/>
    <n v="0.56999999999999995"/>
    <n v="1"/>
    <x v="2"/>
  </r>
  <r>
    <x v="3"/>
    <x v="0"/>
    <n v="45220"/>
    <n v="24350"/>
    <n v="0.66"/>
    <n v="3020"/>
    <n v="6000"/>
    <n v="0.17"/>
    <n v="0.66"/>
    <n v="0.7"/>
    <n v="0.23"/>
    <x v="2"/>
  </r>
  <r>
    <x v="3"/>
    <x v="1"/>
    <n v="21400"/>
    <n v="20560"/>
    <n v="0.6"/>
    <n v="3960"/>
    <n v="4720"/>
    <n v="0.28000000000000003"/>
    <n v="0.78"/>
    <n v="0.81"/>
    <n v="0.34"/>
    <x v="2"/>
  </r>
  <r>
    <x v="3"/>
    <x v="2"/>
    <n v="90740"/>
    <n v="63050"/>
    <n v="0.68"/>
    <n v="5800"/>
    <n v="4960"/>
    <n v="0.4"/>
    <n v="0.89"/>
    <n v="0.92"/>
    <n v="0.45"/>
    <x v="2"/>
  </r>
  <r>
    <x v="3"/>
    <x v="3"/>
    <n v="37410"/>
    <n v="51660"/>
    <n v="0.75"/>
    <n v="7640"/>
    <n v="7480"/>
    <n v="0.5"/>
    <n v="1.1299999999999999"/>
    <n v="1.2"/>
    <n v="0.55000000000000004"/>
    <x v="2"/>
  </r>
  <r>
    <x v="3"/>
    <x v="4"/>
    <n v="44540"/>
    <n v="50230"/>
    <n v="0.7"/>
    <n v="8420"/>
    <n v="8800"/>
    <n v="0.6"/>
    <n v="0.15"/>
    <n v="0.2"/>
    <n v="0.65"/>
    <x v="2"/>
  </r>
  <r>
    <x v="3"/>
    <x v="5"/>
    <n v="59320"/>
    <n v="24230"/>
    <n v="0.59"/>
    <n v="8160"/>
    <n v="8740"/>
    <n v="0.7"/>
    <n v="0.3"/>
    <n v="0.35"/>
    <n v="0.75"/>
    <x v="2"/>
  </r>
  <r>
    <x v="3"/>
    <x v="6"/>
    <n v="38800"/>
    <n v="15090"/>
    <n v="0.63"/>
    <n v="6640"/>
    <n v="7100"/>
    <n v="0.78"/>
    <n v="0.45"/>
    <n v="0.5"/>
    <n v="0.82"/>
    <x v="2"/>
  </r>
  <r>
    <x v="3"/>
    <x v="7"/>
    <n v="25850"/>
    <n v="13920"/>
    <n v="0.5"/>
    <n v="4820"/>
    <n v="7420"/>
    <n v="0.85"/>
    <n v="0.6"/>
    <n v="0.65"/>
    <n v="0.88"/>
    <x v="2"/>
  </r>
  <r>
    <x v="3"/>
    <x v="8"/>
    <n v="30050"/>
    <n v="16180"/>
    <n v="0.65"/>
    <n v="3900"/>
    <n v="6040"/>
    <n v="0.91"/>
    <n v="0.74"/>
    <n v="0.78"/>
    <n v="0.94"/>
    <x v="2"/>
  </r>
  <r>
    <x v="3"/>
    <x v="9"/>
    <n v="64960"/>
    <n v="33470"/>
    <n v="0.57999999999999996"/>
    <n v="3100"/>
    <n v="4760"/>
    <n v="1.1399999999999999"/>
    <n v="0.85"/>
    <n v="0.88"/>
    <n v="0.98"/>
    <x v="2"/>
  </r>
  <r>
    <x v="3"/>
    <x v="10"/>
    <n v="38160"/>
    <n v="13410"/>
    <n v="0.38"/>
    <n v="4040"/>
    <n v="5020"/>
    <n v="1.26"/>
    <n v="1.27"/>
    <n v="1.1100000000000001"/>
    <n v="1"/>
    <x v="2"/>
  </r>
  <r>
    <x v="3"/>
    <x v="11"/>
    <n v="14300"/>
    <n v="8400"/>
    <n v="0.45"/>
    <n v="5960"/>
    <n v="7500"/>
    <n v="1.32"/>
    <n v="1.1299999999999999"/>
    <n v="1.1299999999999999"/>
    <n v="1"/>
    <x v="2"/>
  </r>
  <r>
    <x v="0"/>
    <x v="0"/>
    <n v="8840"/>
    <n v="8840"/>
    <n v="0.68"/>
    <n v="7800"/>
    <n v="8820"/>
    <n v="0.15"/>
    <n v="0.16"/>
    <n v="0.22"/>
    <n v="0.19"/>
    <x v="3"/>
  </r>
  <r>
    <x v="0"/>
    <x v="1"/>
    <n v="22680"/>
    <n v="7970"/>
    <n v="0.6"/>
    <n v="8480"/>
    <n v="8760"/>
    <n v="0.23"/>
    <n v="0.33"/>
    <n v="0.38"/>
    <n v="0.28000000000000003"/>
    <x v="3"/>
  </r>
  <r>
    <x v="0"/>
    <x v="2"/>
    <n v="12500"/>
    <n v="11080"/>
    <n v="0.7"/>
    <n v="8100"/>
    <n v="7140"/>
    <n v="0.32"/>
    <n v="0.48"/>
    <n v="0.53"/>
    <n v="0.36"/>
    <x v="3"/>
  </r>
  <r>
    <x v="0"/>
    <x v="3"/>
    <n v="5750"/>
    <n v="8280"/>
    <n v="0.8"/>
    <n v="6600"/>
    <n v="7460"/>
    <n v="0.4"/>
    <n v="0.63"/>
    <n v="0.68"/>
    <n v="0.44"/>
    <x v="3"/>
  </r>
  <r>
    <x v="0"/>
    <x v="4"/>
    <n v="14780"/>
    <n v="17350"/>
    <n v="0.75"/>
    <n v="4880"/>
    <n v="6080"/>
    <n v="0.49"/>
    <n v="0.76"/>
    <n v="0.8"/>
    <n v="0.53"/>
    <x v="3"/>
  </r>
  <r>
    <x v="0"/>
    <x v="5"/>
    <n v="23810"/>
    <n v="29110"/>
    <n v="0.6"/>
    <n v="3920"/>
    <n v="4800"/>
    <n v="0.56999999999999995"/>
    <n v="0.86"/>
    <n v="0.89"/>
    <n v="0.62"/>
    <x v="3"/>
  </r>
  <r>
    <x v="0"/>
    <x v="6"/>
    <n v="33960"/>
    <n v="14560"/>
    <n v="0.65"/>
    <n v="3120"/>
    <n v="5060"/>
    <n v="0.66"/>
    <n v="1.31"/>
    <n v="1.1599999999999999"/>
    <n v="0.7"/>
    <x v="3"/>
  </r>
  <r>
    <x v="0"/>
    <x v="7"/>
    <n v="11130"/>
    <n v="12060"/>
    <n v="0.55000000000000004"/>
    <n v="4080"/>
    <n v="7520"/>
    <n v="0.74"/>
    <n v="1.24"/>
    <n v="1.17"/>
    <n v="0.78"/>
    <x v="3"/>
  </r>
  <r>
    <x v="0"/>
    <x v="8"/>
    <n v="17010"/>
    <n v="24480"/>
    <n v="0.7"/>
    <n v="6040"/>
    <n v="8840"/>
    <n v="0.81"/>
    <n v="0.17"/>
    <n v="0.23"/>
    <n v="0.85"/>
    <x v="3"/>
  </r>
  <r>
    <x v="0"/>
    <x v="9"/>
    <n v="11550"/>
    <n v="5440"/>
    <n v="0.6"/>
    <n v="7780"/>
    <n v="8780"/>
    <n v="0.89"/>
    <n v="0.34"/>
    <n v="0.4"/>
    <n v="0.92"/>
    <x v="3"/>
  </r>
  <r>
    <x v="0"/>
    <x v="10"/>
    <n v="37300"/>
    <n v="21910"/>
    <n v="0.42"/>
    <n v="8600"/>
    <n v="7180"/>
    <n v="1.17"/>
    <n v="0.5"/>
    <n v="0.55000000000000004"/>
    <n v="0.96"/>
    <x v="3"/>
  </r>
  <r>
    <x v="0"/>
    <x v="11"/>
    <n v="24480"/>
    <n v="8160"/>
    <n v="0.35"/>
    <n v="8220"/>
    <n v="7500"/>
    <n v="1.33"/>
    <n v="0.65"/>
    <n v="0.7"/>
    <n v="1"/>
    <x v="3"/>
  </r>
  <r>
    <x v="1"/>
    <x v="0"/>
    <n v="16080"/>
    <n v="16080"/>
    <n v="0.65"/>
    <n v="6680"/>
    <n v="6120"/>
    <n v="0.15"/>
    <n v="0.78"/>
    <n v="0.82"/>
    <n v="0.2"/>
    <x v="3"/>
  </r>
  <r>
    <x v="1"/>
    <x v="1"/>
    <n v="45020"/>
    <n v="19300"/>
    <n v="0.57999999999999996"/>
    <n v="4940"/>
    <n v="4840"/>
    <n v="0.25"/>
    <n v="0.88"/>
    <n v="0.91"/>
    <n v="0.3"/>
    <x v="3"/>
  </r>
  <r>
    <x v="1"/>
    <x v="2"/>
    <n v="39320"/>
    <n v="16850"/>
    <n v="0.67"/>
    <n v="3960"/>
    <n v="5100"/>
    <n v="0.35"/>
    <n v="1.21"/>
    <n v="1.1200000000000001"/>
    <n v="0.4"/>
    <x v="3"/>
  </r>
  <r>
    <x v="1"/>
    <x v="3"/>
    <n v="11640"/>
    <n v="16750"/>
    <n v="0.77"/>
    <n v="3140"/>
    <n v="7540"/>
    <n v="0.45"/>
    <n v="1.1599999999999999"/>
    <n v="1.27"/>
    <n v="0.5"/>
    <x v="3"/>
  </r>
  <r>
    <x v="1"/>
    <x v="4"/>
    <n v="22720"/>
    <n v="17850"/>
    <n v="0.72"/>
    <n v="4140"/>
    <n v="8860"/>
    <n v="0.55000000000000004"/>
    <n v="0.15"/>
    <n v="0.19"/>
    <n v="0.6"/>
    <x v="3"/>
  </r>
  <r>
    <x v="1"/>
    <x v="5"/>
    <n v="11870"/>
    <n v="17080"/>
    <n v="0.56999999999999995"/>
    <n v="6100"/>
    <n v="8800"/>
    <n v="0.65"/>
    <n v="0.28000000000000003"/>
    <n v="0.32"/>
    <n v="0.7"/>
    <x v="3"/>
  </r>
  <r>
    <x v="1"/>
    <x v="6"/>
    <n v="34690"/>
    <n v="28390"/>
    <n v="0.62"/>
    <n v="7860"/>
    <n v="7220"/>
    <n v="0.74"/>
    <n v="0.4"/>
    <n v="0.44"/>
    <n v="0.78"/>
    <x v="3"/>
  </r>
  <r>
    <x v="1"/>
    <x v="7"/>
    <n v="24680"/>
    <n v="19400"/>
    <n v="0.52"/>
    <n v="8680"/>
    <n v="7540"/>
    <n v="0.82"/>
    <n v="0.53"/>
    <n v="0.56999999999999995"/>
    <n v="0.85"/>
    <x v="3"/>
  </r>
  <r>
    <x v="1"/>
    <x v="8"/>
    <n v="19520"/>
    <n v="23850"/>
    <n v="0.68"/>
    <n v="8280"/>
    <n v="6160"/>
    <n v="0.88"/>
    <n v="0.66"/>
    <n v="0.7"/>
    <n v="0.91"/>
    <x v="3"/>
  </r>
  <r>
    <x v="1"/>
    <x v="9"/>
    <n v="24380"/>
    <n v="24380"/>
    <n v="0.55000000000000004"/>
    <n v="6760"/>
    <n v="4880"/>
    <n v="1.1299999999999999"/>
    <n v="0.78"/>
    <n v="0.81"/>
    <n v="0.96"/>
    <x v="3"/>
  </r>
  <r>
    <x v="1"/>
    <x v="10"/>
    <n v="28510"/>
    <n v="13420"/>
    <n v="0.32"/>
    <n v="5000"/>
    <n v="5140"/>
    <n v="1.1499999999999999"/>
    <n v="0.89"/>
    <n v="0.92"/>
    <n v="0.99"/>
    <x v="3"/>
  </r>
  <r>
    <x v="1"/>
    <x v="11"/>
    <n v="8440"/>
    <n v="7190"/>
    <n v="0.4"/>
    <n v="4000"/>
    <n v="7560"/>
    <n v="1.1599999999999999"/>
    <n v="1.19"/>
    <n v="1.1499999999999999"/>
    <n v="1"/>
    <x v="3"/>
  </r>
  <r>
    <x v="2"/>
    <x v="0"/>
    <n v="40970"/>
    <n v="18410"/>
    <n v="0.7"/>
    <n v="3200"/>
    <n v="8880"/>
    <n v="0.16"/>
    <n v="0.15"/>
    <n v="0.2"/>
    <n v="0.22"/>
    <x v="3"/>
  </r>
  <r>
    <x v="2"/>
    <x v="1"/>
    <n v="21790"/>
    <n v="6510"/>
    <n v="0.55000000000000004"/>
    <n v="4160"/>
    <n v="8820"/>
    <n v="0.27"/>
    <n v="0.3"/>
    <n v="0.35"/>
    <n v="0.33"/>
    <x v="3"/>
  </r>
  <r>
    <x v="2"/>
    <x v="2"/>
    <n v="27650"/>
    <n v="11850"/>
    <n v="0.65"/>
    <n v="6180"/>
    <n v="7260"/>
    <n v="0.38"/>
    <n v="0.45"/>
    <n v="0.5"/>
    <n v="0.43"/>
    <x v="3"/>
  </r>
  <r>
    <x v="2"/>
    <x v="3"/>
    <n v="63690"/>
    <n v="20110"/>
    <n v="0.8"/>
    <n v="7940"/>
    <n v="7580"/>
    <n v="0.48"/>
    <n v="0.6"/>
    <n v="0.65"/>
    <n v="0.53"/>
    <x v="3"/>
  </r>
  <r>
    <x v="2"/>
    <x v="4"/>
    <n v="14620"/>
    <n v="5140"/>
    <n v="0.75"/>
    <n v="8740"/>
    <n v="6200"/>
    <n v="0.57999999999999996"/>
    <n v="0.74"/>
    <n v="0.78"/>
    <n v="0.63"/>
    <x v="3"/>
  </r>
  <r>
    <x v="2"/>
    <x v="5"/>
    <n v="89420"/>
    <n v="33080"/>
    <n v="0.55000000000000004"/>
    <n v="8360"/>
    <n v="4920"/>
    <n v="0.68"/>
    <n v="0.85"/>
    <n v="0.88"/>
    <n v="0.73"/>
    <x v="3"/>
  </r>
  <r>
    <x v="2"/>
    <x v="6"/>
    <n v="43780"/>
    <n v="63000"/>
    <n v="0.65"/>
    <n v="6820"/>
    <n v="5180"/>
    <n v="0.76"/>
    <n v="1.1200000000000001"/>
    <n v="1.23"/>
    <n v="0.8"/>
    <x v="3"/>
  </r>
  <r>
    <x v="2"/>
    <x v="7"/>
    <n v="49120"/>
    <n v="43560"/>
    <n v="0.5"/>
    <n v="5040"/>
    <n v="7580"/>
    <n v="0.83"/>
    <n v="1.1399999999999999"/>
    <n v="1.1399999999999999"/>
    <n v="0.86"/>
    <x v="3"/>
  </r>
  <r>
    <x v="2"/>
    <x v="8"/>
    <n v="24870"/>
    <n v="21190"/>
    <n v="0.7"/>
    <n v="4040"/>
    <n v="8900"/>
    <n v="0.89"/>
    <n v="0.16"/>
    <n v="0.22"/>
    <n v="0.92"/>
    <x v="3"/>
  </r>
  <r>
    <x v="2"/>
    <x v="9"/>
    <n v="20980"/>
    <n v="10810"/>
    <n v="0.55000000000000004"/>
    <n v="3280"/>
    <n v="8840"/>
    <n v="1.25"/>
    <n v="0.33"/>
    <n v="0.38"/>
    <n v="0.97"/>
    <x v="3"/>
  </r>
  <r>
    <x v="2"/>
    <x v="10"/>
    <n v="17930"/>
    <n v="9650"/>
    <n v="0.2"/>
    <n v="4240"/>
    <n v="7300"/>
    <n v="1.2"/>
    <n v="0.48"/>
    <n v="0.53"/>
    <n v="0.99"/>
    <x v="3"/>
  </r>
  <r>
    <x v="2"/>
    <x v="11"/>
    <n v="29710"/>
    <n v="39380"/>
    <n v="0.4"/>
    <n v="6260"/>
    <n v="7620"/>
    <n v="1.34"/>
    <n v="0.63"/>
    <n v="0.68"/>
    <n v="1"/>
    <x v="3"/>
  </r>
  <r>
    <x v="3"/>
    <x v="0"/>
    <n v="20290"/>
    <n v="20290"/>
    <n v="0.65"/>
    <n v="7980"/>
    <n v="6240"/>
    <n v="0.17"/>
    <n v="0.76"/>
    <n v="0.8"/>
    <n v="0.23"/>
    <x v="3"/>
  </r>
  <r>
    <x v="3"/>
    <x v="1"/>
    <n v="53940"/>
    <n v="35960"/>
    <n v="0.57999999999999996"/>
    <n v="8800"/>
    <n v="4960"/>
    <n v="0.28000000000000003"/>
    <n v="0.86"/>
    <n v="0.89"/>
    <n v="0.34"/>
    <x v="3"/>
  </r>
  <r>
    <x v="3"/>
    <x v="2"/>
    <n v="34320"/>
    <n v="21040"/>
    <n v="0.67"/>
    <n v="8380"/>
    <n v="5220"/>
    <n v="0.4"/>
    <n v="1.2"/>
    <n v="1.2"/>
    <n v="0.45"/>
    <x v="3"/>
  </r>
  <r>
    <x v="3"/>
    <x v="3"/>
    <n v="17150"/>
    <n v="21820"/>
    <n v="0.77"/>
    <n v="6880"/>
    <n v="7600"/>
    <n v="0.5"/>
    <n v="1.1399999999999999"/>
    <n v="1.28"/>
    <n v="0.55000000000000004"/>
    <x v="3"/>
  </r>
  <r>
    <x v="3"/>
    <x v="4"/>
    <n v="26060"/>
    <n v="21320"/>
    <n v="0.72"/>
    <n v="5100"/>
    <n v="8920"/>
    <n v="0.6"/>
    <n v="0.17"/>
    <n v="0.23"/>
    <n v="0.65"/>
    <x v="3"/>
  </r>
  <r>
    <x v="3"/>
    <x v="5"/>
    <n v="32280"/>
    <n v="37900"/>
    <n v="0.56999999999999995"/>
    <n v="4100"/>
    <n v="8860"/>
    <n v="0.7"/>
    <n v="0.34"/>
    <n v="0.4"/>
    <n v="0.75"/>
    <x v="3"/>
  </r>
  <r>
    <x v="3"/>
    <x v="6"/>
    <n v="33630"/>
    <n v="31040"/>
    <n v="0.62"/>
    <n v="3300"/>
    <n v="7340"/>
    <n v="0.78"/>
    <n v="0.5"/>
    <n v="0.55000000000000004"/>
    <n v="0.82"/>
    <x v="3"/>
  </r>
  <r>
    <x v="3"/>
    <x v="7"/>
    <n v="54280"/>
    <n v="29230"/>
    <n v="0.52"/>
    <n v="4280"/>
    <n v="7660"/>
    <n v="0.85"/>
    <n v="0.65"/>
    <n v="0.7"/>
    <n v="0.88"/>
    <x v="3"/>
  </r>
  <r>
    <x v="3"/>
    <x v="8"/>
    <n v="15310"/>
    <n v="13580"/>
    <n v="0.68"/>
    <n v="6320"/>
    <n v="6280"/>
    <n v="0.91"/>
    <n v="0.78"/>
    <n v="0.82"/>
    <n v="0.94"/>
    <x v="3"/>
  </r>
  <r>
    <x v="3"/>
    <x v="9"/>
    <n v="63690"/>
    <n v="81050"/>
    <n v="0.55000000000000004"/>
    <n v="8060"/>
    <n v="5000"/>
    <n v="1.27"/>
    <n v="0.88"/>
    <n v="0.91"/>
    <n v="0.98"/>
    <x v="3"/>
  </r>
  <r>
    <x v="3"/>
    <x v="10"/>
    <n v="15940"/>
    <n v="7500"/>
    <n v="0.32"/>
    <n v="8840"/>
    <n v="5260"/>
    <n v="1.35"/>
    <n v="1.28"/>
    <n v="1.35"/>
    <n v="1"/>
    <x v="3"/>
  </r>
  <r>
    <x v="3"/>
    <x v="11"/>
    <n v="42500"/>
    <n v="19090"/>
    <n v="0.4"/>
    <n v="8440"/>
    <n v="7620"/>
    <n v="1.29"/>
    <n v="1.24"/>
    <n v="1.33"/>
    <n v="1"/>
    <x v="3"/>
  </r>
  <r>
    <x v="0"/>
    <x v="0"/>
    <n v="16660"/>
    <n v="12070"/>
    <n v="0.55000000000000004"/>
    <n v="6940"/>
    <n v="8940"/>
    <n v="0.15"/>
    <n v="0.15"/>
    <n v="0.19"/>
    <n v="0.19"/>
    <x v="4"/>
  </r>
  <r>
    <x v="0"/>
    <x v="1"/>
    <n v="26980"/>
    <n v="24900"/>
    <n v="0.62"/>
    <n v="5160"/>
    <n v="8880"/>
    <n v="0.23"/>
    <n v="0.28000000000000003"/>
    <n v="0.32"/>
    <n v="0.28000000000000003"/>
    <x v="4"/>
  </r>
  <r>
    <x v="0"/>
    <x v="2"/>
    <n v="23400"/>
    <n v="26390"/>
    <n v="0.78"/>
    <n v="4140"/>
    <n v="7380"/>
    <n v="0.32"/>
    <n v="0.4"/>
    <n v="0.44"/>
    <n v="0.36"/>
    <x v="4"/>
  </r>
  <r>
    <x v="0"/>
    <x v="3"/>
    <n v="26250"/>
    <n v="25220"/>
    <n v="0.59"/>
    <n v="3340"/>
    <n v="7700"/>
    <n v="0.4"/>
    <n v="0.53"/>
    <n v="0.56999999999999995"/>
    <n v="0.44"/>
    <x v="4"/>
  </r>
  <r>
    <x v="0"/>
    <x v="4"/>
    <n v="21360"/>
    <n v="18190"/>
    <n v="0.68"/>
    <n v="4360"/>
    <n v="6320"/>
    <n v="0.49"/>
    <n v="0.66"/>
    <n v="0.7"/>
    <n v="0.53"/>
    <x v="4"/>
  </r>
  <r>
    <x v="0"/>
    <x v="5"/>
    <n v="18150"/>
    <n v="16100"/>
    <n v="0.6"/>
    <n v="6360"/>
    <n v="5040"/>
    <n v="0.56999999999999995"/>
    <n v="0.78"/>
    <n v="0.81"/>
    <n v="0.62"/>
    <x v="4"/>
  </r>
  <r>
    <x v="0"/>
    <x v="6"/>
    <n v="14720"/>
    <n v="7920"/>
    <n v="0.55000000000000004"/>
    <n v="8140"/>
    <n v="5300"/>
    <n v="0.66"/>
    <n v="0.89"/>
    <n v="0.92"/>
    <n v="0.7"/>
    <x v="4"/>
  </r>
  <r>
    <x v="0"/>
    <x v="7"/>
    <n v="9910"/>
    <n v="12110"/>
    <n v="0.7"/>
    <n v="8860"/>
    <n v="7640"/>
    <n v="0.74"/>
    <n v="1.33"/>
    <n v="1.1599999999999999"/>
    <n v="0.78"/>
    <x v="4"/>
  </r>
  <r>
    <x v="0"/>
    <x v="8"/>
    <n v="10490"/>
    <n v="12320"/>
    <n v="0.57999999999999996"/>
    <n v="8460"/>
    <n v="8960"/>
    <n v="0.81"/>
    <n v="0.15"/>
    <n v="0.2"/>
    <n v="0.85"/>
    <x v="4"/>
  </r>
  <r>
    <x v="0"/>
    <x v="9"/>
    <n v="29350"/>
    <n v="24020"/>
    <n v="0.68"/>
    <n v="6980"/>
    <n v="8900"/>
    <n v="0.89"/>
    <n v="0.3"/>
    <n v="0.35"/>
    <n v="0.92"/>
    <x v="4"/>
  </r>
  <r>
    <x v="0"/>
    <x v="10"/>
    <n v="31550"/>
    <n v="11080"/>
    <n v="0.67"/>
    <n v="5180"/>
    <n v="7420"/>
    <n v="1.1000000000000001"/>
    <n v="0.45"/>
    <n v="0.5"/>
    <n v="0.96"/>
    <x v="4"/>
  </r>
  <r>
    <x v="0"/>
    <x v="11"/>
    <n v="15060"/>
    <n v="11360"/>
    <n v="0.57999999999999996"/>
    <n v="4180"/>
    <n v="7740"/>
    <n v="1.2"/>
    <n v="0.6"/>
    <n v="0.65"/>
    <n v="1"/>
    <x v="4"/>
  </r>
  <r>
    <x v="1"/>
    <x v="0"/>
    <n v="12430"/>
    <n v="4600"/>
    <n v="0.4"/>
    <n v="3380"/>
    <n v="6360"/>
    <n v="0.15"/>
    <n v="0.74"/>
    <n v="0.78"/>
    <n v="0.2"/>
    <x v="4"/>
  </r>
  <r>
    <x v="1"/>
    <x v="1"/>
    <n v="9820"/>
    <n v="13570"/>
    <n v="0.7"/>
    <n v="4440"/>
    <n v="5080"/>
    <n v="0.25"/>
    <n v="0.85"/>
    <n v="0.88"/>
    <n v="0.3"/>
    <x v="4"/>
  </r>
  <r>
    <x v="1"/>
    <x v="2"/>
    <n v="12920"/>
    <n v="5810"/>
    <n v="0.62"/>
    <n v="6400"/>
    <n v="5340"/>
    <n v="0.35"/>
    <n v="1.35"/>
    <n v="1.1000000000000001"/>
    <n v="0.4"/>
    <x v="4"/>
  </r>
  <r>
    <x v="1"/>
    <x v="3"/>
    <n v="7240"/>
    <n v="6950"/>
    <n v="0.56999999999999995"/>
    <n v="8180"/>
    <n v="7660"/>
    <n v="0.45"/>
    <n v="1.34"/>
    <n v="1.28"/>
    <n v="0.5"/>
    <x v="4"/>
  </r>
  <r>
    <x v="1"/>
    <x v="4"/>
    <n v="24730"/>
    <n v="21930"/>
    <n v="0.7"/>
    <n v="8920"/>
    <n v="8980"/>
    <n v="0.55000000000000004"/>
    <n v="0.16"/>
    <n v="0.22"/>
    <n v="0.6"/>
    <x v="4"/>
  </r>
  <r>
    <x v="1"/>
    <x v="5"/>
    <n v="17950"/>
    <n v="11000"/>
    <n v="0.65"/>
    <n v="8500"/>
    <n v="8920"/>
    <n v="0.65"/>
    <n v="0.33"/>
    <n v="0.38"/>
    <n v="0.7"/>
    <x v="4"/>
  </r>
  <r>
    <x v="1"/>
    <x v="6"/>
    <n v="34600"/>
    <n v="13460"/>
    <n v="0.67"/>
    <n v="7040"/>
    <n v="7460"/>
    <n v="0.74"/>
    <n v="0.48"/>
    <n v="0.53"/>
    <n v="0.78"/>
    <x v="4"/>
  </r>
  <r>
    <x v="1"/>
    <x v="7"/>
    <n v="18780"/>
    <n v="7670"/>
    <n v="0.78"/>
    <n v="5240"/>
    <n v="7780"/>
    <n v="0.82"/>
    <n v="0.63"/>
    <n v="0.68"/>
    <n v="0.85"/>
    <x v="4"/>
  </r>
  <r>
    <x v="1"/>
    <x v="8"/>
    <n v="49210"/>
    <n v="17290"/>
    <n v="0.71"/>
    <n v="4220"/>
    <n v="6400"/>
    <n v="0.88"/>
    <n v="0.76"/>
    <n v="0.8"/>
    <n v="0.91"/>
    <x v="4"/>
  </r>
  <r>
    <x v="1"/>
    <x v="9"/>
    <n v="14140"/>
    <n v="10240"/>
    <n v="0.68"/>
    <n v="3420"/>
    <n v="5120"/>
    <n v="1.1399999999999999"/>
    <n v="0.86"/>
    <n v="0.89"/>
    <n v="0.96"/>
    <x v="4"/>
  </r>
  <r>
    <x v="1"/>
    <x v="10"/>
    <n v="9980"/>
    <n v="9590"/>
    <n v="0.4"/>
    <n v="4500"/>
    <n v="5380"/>
    <n v="1.22"/>
    <n v="1.1399999999999999"/>
    <n v="1.22"/>
    <n v="0.99"/>
    <x v="4"/>
  </r>
  <r>
    <x v="1"/>
    <x v="11"/>
    <n v="8180"/>
    <n v="8870"/>
    <n v="0.73"/>
    <n v="6440"/>
    <n v="7680"/>
    <n v="1.33"/>
    <n v="1.1599999999999999"/>
    <n v="1.3"/>
    <n v="1"/>
    <x v="4"/>
  </r>
  <r>
    <x v="2"/>
    <x v="0"/>
    <n v="12540"/>
    <n v="13590"/>
    <n v="0.71"/>
    <n v="8260"/>
    <n v="9000"/>
    <n v="0.16"/>
    <n v="0.17"/>
    <n v="0.23"/>
    <n v="0.22"/>
    <x v="4"/>
  </r>
  <r>
    <x v="2"/>
    <x v="1"/>
    <n v="15340"/>
    <n v="9810"/>
    <n v="0.63"/>
    <n v="8960"/>
    <n v="8940"/>
    <n v="0.27"/>
    <n v="0.34"/>
    <n v="0.4"/>
    <n v="0.33"/>
    <x v="4"/>
  </r>
  <r>
    <x v="2"/>
    <x v="2"/>
    <n v="44180"/>
    <n v="28250"/>
    <n v="0.35"/>
    <n v="8560"/>
    <n v="7500"/>
    <n v="0.38"/>
    <n v="0.5"/>
    <n v="0.55000000000000004"/>
    <n v="0.43"/>
    <x v="4"/>
  </r>
  <r>
    <x v="2"/>
    <x v="3"/>
    <n v="9520"/>
    <n v="9530"/>
    <n v="0.72"/>
    <n v="7100"/>
    <n v="7820"/>
    <n v="0.48"/>
    <n v="0.65"/>
    <n v="0.7"/>
    <n v="0.53"/>
    <x v="4"/>
  </r>
  <r>
    <x v="2"/>
    <x v="4"/>
    <n v="51730"/>
    <n v="15450"/>
    <n v="0.68"/>
    <n v="5300"/>
    <n v="6440"/>
    <n v="0.57999999999999996"/>
    <n v="0.78"/>
    <n v="0.82"/>
    <n v="0.63"/>
    <x v="4"/>
  </r>
  <r>
    <x v="2"/>
    <x v="5"/>
    <n v="44160"/>
    <n v="28230"/>
    <n v="0.57999999999999996"/>
    <n v="4260"/>
    <n v="5160"/>
    <n v="0.68"/>
    <n v="0.88"/>
    <n v="0.91"/>
    <n v="0.73"/>
    <x v="4"/>
  </r>
  <r>
    <x v="2"/>
    <x v="6"/>
    <n v="16710"/>
    <n v="20430"/>
    <n v="0.72"/>
    <n v="3460"/>
    <n v="5420"/>
    <n v="0.76"/>
    <n v="1.17"/>
    <n v="1.2"/>
    <n v="0.8"/>
    <x v="4"/>
  </r>
  <r>
    <x v="2"/>
    <x v="7"/>
    <n v="63170"/>
    <n v="25800"/>
    <n v="0.67"/>
    <n v="4560"/>
    <n v="7700"/>
    <n v="0.83"/>
    <n v="1.33"/>
    <n v="1.19"/>
    <n v="0.86"/>
    <x v="4"/>
  </r>
  <r>
    <x v="2"/>
    <x v="8"/>
    <n v="34550"/>
    <n v="33190"/>
    <n v="0.59"/>
    <n v="6480"/>
    <n v="9020"/>
    <n v="0.89"/>
    <n v="0.15"/>
    <n v="0.19"/>
    <n v="0.92"/>
    <x v="4"/>
  </r>
  <r>
    <x v="2"/>
    <x v="9"/>
    <n v="35600"/>
    <n v="15260"/>
    <n v="0.55000000000000004"/>
    <n v="8320"/>
    <n v="8960"/>
    <n v="1.23"/>
    <n v="0.28000000000000003"/>
    <n v="0.32"/>
    <n v="0.97"/>
    <x v="4"/>
  </r>
  <r>
    <x v="2"/>
    <x v="10"/>
    <n v="13650"/>
    <n v="16690"/>
    <n v="0.65"/>
    <n v="9000"/>
    <n v="7540"/>
    <n v="1.1000000000000001"/>
    <n v="0.4"/>
    <n v="0.44"/>
    <n v="0.99"/>
    <x v="4"/>
  </r>
  <r>
    <x v="2"/>
    <x v="11"/>
    <n v="11190"/>
    <n v="13680"/>
    <n v="0.7"/>
    <n v="8600"/>
    <n v="7860"/>
    <n v="1.1000000000000001"/>
    <n v="0.53"/>
    <n v="0.56999999999999995"/>
    <n v="1"/>
    <x v="4"/>
  </r>
  <r>
    <x v="3"/>
    <x v="0"/>
    <n v="22000"/>
    <n v="9890"/>
    <n v="0.62"/>
    <n v="7140"/>
    <n v="6480"/>
    <n v="0.17"/>
    <n v="0.66"/>
    <n v="0.7"/>
    <n v="0.23"/>
    <x v="4"/>
  </r>
  <r>
    <x v="3"/>
    <x v="1"/>
    <n v="16540"/>
    <n v="19420"/>
    <n v="0.52"/>
    <n v="5340"/>
    <n v="5200"/>
    <n v="0.28000000000000003"/>
    <n v="0.78"/>
    <n v="0.81"/>
    <n v="0.34"/>
    <x v="4"/>
  </r>
  <r>
    <x v="3"/>
    <x v="2"/>
    <n v="78490"/>
    <n v="56840"/>
    <n v="0.6"/>
    <n v="4300"/>
    <n v="5460"/>
    <n v="0.4"/>
    <n v="0.89"/>
    <n v="0.92"/>
    <n v="0.45"/>
    <x v="4"/>
  </r>
  <r>
    <x v="3"/>
    <x v="3"/>
    <n v="100200"/>
    <n v="38970"/>
    <n v="0.69"/>
    <n v="3500"/>
    <n v="7720"/>
    <n v="0.5"/>
    <n v="1.1299999999999999"/>
    <n v="1.23"/>
    <n v="0.55000000000000004"/>
    <x v="4"/>
  </r>
  <r>
    <x v="3"/>
    <x v="4"/>
    <n v="37910"/>
    <n v="31010"/>
    <n v="0.8"/>
    <n v="20789"/>
    <n v="9040"/>
    <n v="0.6"/>
    <n v="0.15"/>
    <n v="0.2"/>
    <n v="0.65"/>
    <x v="4"/>
  </r>
  <r>
    <x v="3"/>
    <x v="5"/>
    <n v="59180"/>
    <n v="17680"/>
    <n v="0.4"/>
    <n v="21123"/>
    <n v="8980"/>
    <n v="0.7"/>
    <n v="0.3"/>
    <n v="0.35"/>
    <n v="0.75"/>
    <x v="4"/>
  </r>
  <r>
    <x v="3"/>
    <x v="6"/>
    <n v="23570"/>
    <n v="33910"/>
    <n v="0.63"/>
    <n v="21345"/>
    <n v="7580"/>
    <n v="0.78"/>
    <n v="0.45"/>
    <n v="0.5"/>
    <n v="0.82"/>
    <x v="4"/>
  </r>
  <r>
    <x v="3"/>
    <x v="7"/>
    <n v="47600"/>
    <n v="35910"/>
    <n v="0.68"/>
    <n v="21123"/>
    <n v="7900"/>
    <n v="0.85"/>
    <n v="0.6"/>
    <n v="0.65"/>
    <n v="0.88"/>
    <x v="4"/>
  </r>
  <r>
    <x v="3"/>
    <x v="8"/>
    <n v="77440"/>
    <n v="38140"/>
    <n v="0.61"/>
    <n v="20901"/>
    <n v="6520"/>
    <n v="0.91"/>
    <n v="0.74"/>
    <n v="0.78"/>
    <n v="0.94"/>
    <x v="4"/>
  </r>
  <r>
    <x v="3"/>
    <x v="9"/>
    <n v="37520"/>
    <n v="14590"/>
    <n v="0.75"/>
    <n v="21234"/>
    <n v="5240"/>
    <n v="1.1399999999999999"/>
    <n v="0.85"/>
    <n v="0.88"/>
    <n v="0.98"/>
    <x v="4"/>
  </r>
  <r>
    <x v="3"/>
    <x v="10"/>
    <n v="47820"/>
    <n v="45950"/>
    <n v="0.55000000000000004"/>
    <n v="21567"/>
    <n v="5500"/>
    <n v="1.1299999999999999"/>
    <n v="1.34"/>
    <n v="1.25"/>
    <n v="1"/>
    <x v="4"/>
  </r>
  <r>
    <x v="3"/>
    <x v="11"/>
    <n v="29080"/>
    <n v="13070"/>
    <n v="0.65"/>
    <n v="21456"/>
    <n v="7740"/>
    <n v="1.29"/>
    <n v="1.33"/>
    <n v="1.18"/>
    <n v="1"/>
    <x v="4"/>
  </r>
  <r>
    <x v="0"/>
    <x v="0"/>
    <n v="12990"/>
    <n v="13520"/>
    <n v="0.5"/>
    <n v="21345"/>
    <n v="9060"/>
    <n v="0.15"/>
    <n v="0.16"/>
    <n v="0.22"/>
    <n v="0.19"/>
    <x v="5"/>
  </r>
  <r>
    <x v="0"/>
    <x v="1"/>
    <n v="7100"/>
    <n v="9410"/>
    <n v="0.77"/>
    <n v="21678"/>
    <n v="9000"/>
    <n v="0.23"/>
    <n v="0.33"/>
    <n v="0.38"/>
    <n v="0.28000000000000003"/>
    <x v="5"/>
  </r>
  <r>
    <x v="0"/>
    <x v="2"/>
    <n v="7730"/>
    <n v="5370"/>
    <n v="0.6"/>
    <n v="21901"/>
    <n v="7620"/>
    <n v="0.32"/>
    <n v="0.48"/>
    <n v="0.53"/>
    <n v="0.36"/>
    <x v="5"/>
  </r>
  <r>
    <x v="0"/>
    <x v="3"/>
    <n v="30320"/>
    <n v="11790"/>
    <n v="0.35"/>
    <n v="21789"/>
    <n v="8760"/>
    <n v="0.4"/>
    <n v="0.63"/>
    <n v="0.68"/>
    <n v="0.44"/>
    <x v="5"/>
  </r>
  <r>
    <x v="0"/>
    <x v="4"/>
    <n v="18790"/>
    <n v="5930"/>
    <n v="0.38"/>
    <n v="21678"/>
    <n v="8680"/>
    <n v="0.49"/>
    <n v="0.76"/>
    <n v="0.8"/>
    <n v="0.53"/>
    <x v="5"/>
  </r>
  <r>
    <x v="0"/>
    <x v="5"/>
    <n v="23070"/>
    <n v="17400"/>
    <n v="0.4"/>
    <n v="22012"/>
    <n v="7000"/>
    <n v="0.56999999999999995"/>
    <n v="0.86"/>
    <n v="0.89"/>
    <n v="0.62"/>
    <x v="5"/>
  </r>
  <r>
    <x v="0"/>
    <x v="6"/>
    <n v="37010"/>
    <n v="34160"/>
    <n v="0.62"/>
    <n v="21890"/>
    <n v="7320"/>
    <n v="0.66"/>
    <n v="1.26"/>
    <n v="1.34"/>
    <n v="0.7"/>
    <x v="5"/>
  </r>
  <r>
    <x v="0"/>
    <x v="7"/>
    <n v="11690"/>
    <n v="16140"/>
    <n v="0.53"/>
    <n v="21789"/>
    <n v="5940"/>
    <n v="0.74"/>
    <n v="1.1599999999999999"/>
    <n v="1.27"/>
    <n v="0.78"/>
    <x v="5"/>
  </r>
  <r>
    <x v="0"/>
    <x v="8"/>
    <n v="12510"/>
    <n v="6160"/>
    <n v="0.38"/>
    <n v="22123"/>
    <n v="4680"/>
    <n v="0.81"/>
    <n v="0.17"/>
    <n v="0.23"/>
    <n v="0.85"/>
    <x v="5"/>
  </r>
  <r>
    <x v="0"/>
    <x v="9"/>
    <n v="19480"/>
    <n v="7210"/>
    <n v="0.56999999999999995"/>
    <n v="22345"/>
    <n v="4900"/>
    <n v="0.89"/>
    <n v="0.34"/>
    <n v="0.4"/>
    <n v="0.92"/>
    <x v="5"/>
  </r>
  <r>
    <x v="0"/>
    <x v="10"/>
    <n v="6680"/>
    <n v="7530"/>
    <n v="0.72"/>
    <n v="22123"/>
    <n v="7460"/>
    <n v="1.34"/>
    <n v="0.5"/>
    <n v="0.55000000000000004"/>
    <n v="0.96"/>
    <x v="5"/>
  </r>
  <r>
    <x v="0"/>
    <x v="11"/>
    <n v="8210"/>
    <n v="4230"/>
    <n v="0.62"/>
    <n v="21901"/>
    <n v="8780"/>
    <n v="1.1499999999999999"/>
    <n v="0.65"/>
    <n v="0.7"/>
    <n v="1"/>
    <x v="5"/>
  </r>
  <r>
    <x v="1"/>
    <x v="0"/>
    <n v="31220"/>
    <n v="16080"/>
    <n v="0.68"/>
    <n v="22234"/>
    <n v="8720"/>
    <n v="0.15"/>
    <n v="0.78"/>
    <n v="0.82"/>
    <n v="0.2"/>
    <x v="5"/>
  </r>
  <r>
    <x v="1"/>
    <x v="1"/>
    <n v="40550"/>
    <n v="15000"/>
    <n v="0.59"/>
    <n v="22567"/>
    <n v="7060"/>
    <n v="0.25"/>
    <n v="0.88"/>
    <n v="0.91"/>
    <n v="0.3"/>
    <x v="5"/>
  </r>
  <r>
    <x v="1"/>
    <x v="2"/>
    <n v="36820"/>
    <n v="25590"/>
    <n v="0.7"/>
    <n v="22456"/>
    <n v="7380"/>
    <n v="0.35"/>
    <n v="1.1599999999999999"/>
    <n v="1.19"/>
    <n v="0.4"/>
    <x v="5"/>
  </r>
  <r>
    <x v="1"/>
    <x v="3"/>
    <n v="30230"/>
    <n v="12350"/>
    <n v="0.57999999999999996"/>
    <n v="22345"/>
    <n v="6000"/>
    <n v="0.45"/>
    <n v="1.32"/>
    <n v="1.25"/>
    <n v="0.5"/>
    <x v="5"/>
  </r>
  <r>
    <x v="1"/>
    <x v="4"/>
    <n v="20340"/>
    <n v="14140"/>
    <n v="0.7"/>
    <n v="22678"/>
    <n v="4720"/>
    <n v="0.55000000000000004"/>
    <n v="0.15"/>
    <n v="0.19"/>
    <n v="0.6"/>
    <x v="5"/>
  </r>
  <r>
    <x v="1"/>
    <x v="5"/>
    <n v="28700"/>
    <n v="18350"/>
    <n v="0.42"/>
    <n v="22901"/>
    <n v="4960"/>
    <n v="0.65"/>
    <n v="0.28000000000000003"/>
    <n v="0.32"/>
    <n v="0.7"/>
    <x v="5"/>
  </r>
  <r>
    <x v="1"/>
    <x v="6"/>
    <n v="39470"/>
    <n v="14600"/>
    <n v="0.57999999999999996"/>
    <n v="22789"/>
    <n v="7480"/>
    <n v="0.74"/>
    <n v="0.4"/>
    <n v="0.44"/>
    <n v="0.78"/>
    <x v="5"/>
  </r>
  <r>
    <x v="1"/>
    <x v="7"/>
    <n v="34120"/>
    <n v="45230"/>
    <n v="0.68"/>
    <n v="22678"/>
    <n v="8800"/>
    <n v="0.82"/>
    <n v="0.53"/>
    <n v="0.56999999999999995"/>
    <n v="0.85"/>
    <x v="5"/>
  </r>
  <r>
    <x v="1"/>
    <x v="8"/>
    <n v="13040"/>
    <n v="18770"/>
    <n v="0.5"/>
    <n v="23012"/>
    <n v="8740"/>
    <n v="0.88"/>
    <n v="0.66"/>
    <n v="0.7"/>
    <n v="0.91"/>
    <x v="5"/>
  </r>
  <r>
    <x v="1"/>
    <x v="9"/>
    <n v="21030"/>
    <n v="24690"/>
    <n v="0.62"/>
    <n v="22890"/>
    <n v="7100"/>
    <n v="1.22"/>
    <n v="0.78"/>
    <n v="0.81"/>
    <n v="0.96"/>
    <x v="5"/>
  </r>
  <r>
    <x v="1"/>
    <x v="10"/>
    <n v="37930"/>
    <n v="26360"/>
    <n v="0.75"/>
    <n v="22789"/>
    <n v="7420"/>
    <n v="1.23"/>
    <n v="0.89"/>
    <n v="0.92"/>
    <n v="0.99"/>
    <x v="5"/>
  </r>
  <r>
    <x v="1"/>
    <x v="11"/>
    <n v="15940"/>
    <n v="15320"/>
    <n v="0.45"/>
    <n v="23123"/>
    <n v="6040"/>
    <n v="1.1299999999999999"/>
    <n v="1.1399999999999999"/>
    <n v="1.2"/>
    <n v="1"/>
    <x v="5"/>
  </r>
  <r>
    <x v="2"/>
    <x v="0"/>
    <n v="7130"/>
    <n v="7130"/>
    <n v="0.55000000000000004"/>
    <n v="23345"/>
    <n v="4760"/>
    <n v="0.16"/>
    <n v="0.15"/>
    <n v="0.2"/>
    <n v="0.22"/>
    <x v="5"/>
  </r>
  <r>
    <x v="2"/>
    <x v="1"/>
    <n v="31070"/>
    <n v="9810"/>
    <n v="0.69"/>
    <n v="23123"/>
    <n v="5020"/>
    <n v="0.27"/>
    <n v="0.3"/>
    <n v="0.35"/>
    <n v="0.33"/>
    <x v="5"/>
  </r>
  <r>
    <x v="2"/>
    <x v="2"/>
    <n v="26300"/>
    <n v="29660"/>
    <n v="0.66"/>
    <n v="22901"/>
    <n v="7500"/>
    <n v="0.38"/>
    <n v="0.45"/>
    <n v="0.5"/>
    <n v="0.43"/>
    <x v="5"/>
  </r>
  <r>
    <x v="2"/>
    <x v="3"/>
    <n v="19500"/>
    <n v="10970"/>
    <n v="0.5"/>
    <n v="23234"/>
    <n v="8820"/>
    <n v="0.48"/>
    <n v="0.6"/>
    <n v="0.65"/>
    <n v="0.53"/>
    <x v="5"/>
  </r>
  <r>
    <x v="2"/>
    <x v="4"/>
    <n v="50390"/>
    <n v="48410"/>
    <n v="0.82"/>
    <n v="23567"/>
    <n v="8760"/>
    <n v="0.57999999999999996"/>
    <n v="0.74"/>
    <n v="0.78"/>
    <n v="0.63"/>
    <x v="5"/>
  </r>
  <r>
    <x v="2"/>
    <x v="5"/>
    <n v="51400"/>
    <n v="20990"/>
    <n v="0.42"/>
    <n v="23456"/>
    <n v="7140"/>
    <n v="0.68"/>
    <n v="0.85"/>
    <n v="0.88"/>
    <n v="0.73"/>
    <x v="5"/>
  </r>
  <r>
    <x v="2"/>
    <x v="6"/>
    <n v="31940"/>
    <n v="42340"/>
    <n v="0.36"/>
    <n v="23345"/>
    <n v="7460"/>
    <n v="0.76"/>
    <n v="1.1100000000000001"/>
    <n v="1.19"/>
    <n v="0.8"/>
    <x v="5"/>
  </r>
  <r>
    <x v="2"/>
    <x v="7"/>
    <n v="45670"/>
    <n v="35890"/>
    <n v="0.55000000000000004"/>
    <n v="23678"/>
    <n v="6080"/>
    <n v="0.83"/>
    <n v="1.2"/>
    <n v="1.1000000000000001"/>
    <n v="0.86"/>
    <x v="5"/>
  </r>
  <r>
    <x v="2"/>
    <x v="8"/>
    <n v="13660"/>
    <n v="18860"/>
    <n v="0.43"/>
    <n v="23901"/>
    <n v="4800"/>
    <n v="0.89"/>
    <n v="0.16"/>
    <n v="0.22"/>
    <n v="0.92"/>
    <x v="5"/>
  </r>
  <r>
    <x v="2"/>
    <x v="9"/>
    <n v="54040"/>
    <n v="25430"/>
    <n v="0.59"/>
    <n v="23789"/>
    <n v="5060"/>
    <n v="1.1499999999999999"/>
    <n v="0.33"/>
    <n v="0.38"/>
    <n v="0.97"/>
    <x v="5"/>
  </r>
  <r>
    <x v="2"/>
    <x v="10"/>
    <n v="36800"/>
    <n v="26650"/>
    <n v="0.55000000000000004"/>
    <n v="23678"/>
    <n v="7520"/>
    <n v="1.22"/>
    <n v="0.48"/>
    <n v="0.53"/>
    <n v="0.99"/>
    <x v="5"/>
  </r>
  <r>
    <x v="2"/>
    <x v="11"/>
    <n v="13040"/>
    <n v="9060"/>
    <n v="0.77"/>
    <n v="24012"/>
    <n v="8840"/>
    <n v="1.27"/>
    <n v="0.63"/>
    <n v="0.68"/>
    <n v="1"/>
    <x v="5"/>
  </r>
  <r>
    <x v="3"/>
    <x v="0"/>
    <n v="30610"/>
    <n v="38960"/>
    <n v="0.52"/>
    <n v="23890"/>
    <n v="8780"/>
    <n v="0.17"/>
    <n v="0.76"/>
    <n v="0.8"/>
    <n v="0.23"/>
    <x v="5"/>
  </r>
  <r>
    <x v="3"/>
    <x v="1"/>
    <n v="31950"/>
    <n v="45970"/>
    <n v="0.67"/>
    <n v="23789"/>
    <n v="7180"/>
    <n v="0.28000000000000003"/>
    <n v="0.86"/>
    <n v="0.89"/>
    <n v="0.34"/>
    <x v="5"/>
  </r>
  <r>
    <x v="3"/>
    <x v="2"/>
    <n v="45650"/>
    <n v="40480"/>
    <n v="0.7"/>
    <n v="24123"/>
    <n v="7500"/>
    <n v="0.4"/>
    <n v="1.28"/>
    <n v="1.1000000000000001"/>
    <n v="0.45"/>
    <x v="5"/>
  </r>
  <r>
    <x v="3"/>
    <x v="3"/>
    <n v="52330"/>
    <n v="59010"/>
    <n v="0.66"/>
    <n v="24345"/>
    <n v="6120"/>
    <n v="0.5"/>
    <n v="1.26"/>
    <n v="1.27"/>
    <n v="0.55000000000000004"/>
    <x v="5"/>
  </r>
  <r>
    <x v="3"/>
    <x v="4"/>
    <n v="43290"/>
    <n v="21320"/>
    <n v="0.45"/>
    <n v="24123"/>
    <n v="4840"/>
    <n v="0.6"/>
    <n v="0.17"/>
    <n v="0.23"/>
    <n v="0.65"/>
    <x v="5"/>
  </r>
  <r>
    <x v="3"/>
    <x v="5"/>
    <n v="29280"/>
    <n v="10830"/>
    <n v="0.71"/>
    <n v="23901"/>
    <n v="5100"/>
    <n v="0.7"/>
    <n v="0.34"/>
    <n v="0.4"/>
    <n v="0.75"/>
    <x v="5"/>
  </r>
  <r>
    <x v="3"/>
    <x v="6"/>
    <n v="54320"/>
    <n v="21120"/>
    <n v="0.69"/>
    <n v="24234"/>
    <n v="7540"/>
    <n v="0.78"/>
    <n v="0.5"/>
    <n v="0.55000000000000004"/>
    <n v="0.82"/>
    <x v="5"/>
  </r>
  <r>
    <x v="3"/>
    <x v="7"/>
    <n v="35070"/>
    <n v="48430"/>
    <n v="0.61"/>
    <n v="24567"/>
    <n v="8860"/>
    <n v="0.85"/>
    <n v="0.65"/>
    <n v="0.7"/>
    <n v="0.88"/>
    <x v="5"/>
  </r>
  <r>
    <x v="3"/>
    <x v="8"/>
    <n v="92810"/>
    <n v="34330"/>
    <n v="0.68"/>
    <n v="24456"/>
    <n v="8800"/>
    <n v="0.91"/>
    <n v="0.78"/>
    <n v="0.82"/>
    <n v="0.94"/>
    <x v="5"/>
  </r>
  <r>
    <x v="3"/>
    <x v="9"/>
    <n v="50950"/>
    <n v="64840"/>
    <n v="0.56000000000000005"/>
    <n v="24345"/>
    <n v="7220"/>
    <n v="1.23"/>
    <n v="0.88"/>
    <n v="0.91"/>
    <n v="0.98"/>
    <x v="5"/>
  </r>
  <r>
    <x v="3"/>
    <x v="10"/>
    <n v="69390"/>
    <n v="24380"/>
    <n v="0.8"/>
    <n v="24678"/>
    <n v="7540"/>
    <n v="1.34"/>
    <n v="1.26"/>
    <n v="1.22"/>
    <n v="1"/>
    <x v="5"/>
  </r>
  <r>
    <x v="3"/>
    <x v="11"/>
    <n v="8430"/>
    <n v="7780"/>
    <n v="0.57999999999999996"/>
    <n v="24901"/>
    <n v="6160"/>
    <n v="1.23"/>
    <n v="1.35"/>
    <n v="1.27"/>
    <n v="1"/>
    <x v="5"/>
  </r>
  <r>
    <x v="0"/>
    <x v="0"/>
    <n v="11840"/>
    <n v="5830"/>
    <n v="0.65"/>
    <n v="24789"/>
    <n v="4880"/>
    <n v="0.15"/>
    <n v="0.15"/>
    <n v="0.19"/>
    <n v="0.19"/>
    <x v="6"/>
  </r>
  <r>
    <x v="0"/>
    <x v="1"/>
    <n v="30910"/>
    <n v="23320"/>
    <n v="0.68"/>
    <n v="24678"/>
    <n v="5140"/>
    <n v="0.23"/>
    <n v="0.28000000000000003"/>
    <n v="0.32"/>
    <n v="0.28000000000000003"/>
    <x v="6"/>
  </r>
  <r>
    <x v="0"/>
    <x v="2"/>
    <n v="28250"/>
    <n v="8440"/>
    <n v="0.2"/>
    <n v="25012"/>
    <n v="7560"/>
    <n v="0.32"/>
    <n v="0.4"/>
    <n v="0.44"/>
    <n v="0.36"/>
    <x v="6"/>
  </r>
  <r>
    <x v="0"/>
    <x v="3"/>
    <n v="28630"/>
    <n v="13480"/>
    <n v="0.64"/>
    <n v="24890"/>
    <n v="8880"/>
    <n v="0.4"/>
    <n v="0.53"/>
    <n v="0.56999999999999995"/>
    <n v="0.44"/>
    <x v="6"/>
  </r>
  <r>
    <x v="0"/>
    <x v="4"/>
    <n v="28550"/>
    <n v="8530"/>
    <n v="0.72"/>
    <n v="24789"/>
    <n v="8820"/>
    <n v="0.49"/>
    <n v="0.66"/>
    <n v="0.7"/>
    <n v="0.53"/>
    <x v="6"/>
  </r>
  <r>
    <x v="0"/>
    <x v="5"/>
    <n v="6380"/>
    <n v="9180"/>
    <n v="0.81"/>
    <n v="25123"/>
    <n v="7260"/>
    <n v="0.56999999999999995"/>
    <n v="0.78"/>
    <n v="0.81"/>
    <n v="0.62"/>
    <x v="6"/>
  </r>
  <r>
    <x v="0"/>
    <x v="6"/>
    <n v="14750"/>
    <n v="4660"/>
    <n v="0.52"/>
    <n v="25345"/>
    <n v="7580"/>
    <n v="0.66"/>
    <n v="0.89"/>
    <n v="0.92"/>
    <n v="0.7"/>
    <x v="6"/>
  </r>
  <r>
    <x v="0"/>
    <x v="7"/>
    <n v="3760"/>
    <n v="3200"/>
    <n v="0.61"/>
    <n v="25123"/>
    <n v="6200"/>
    <n v="0.74"/>
    <n v="1.21"/>
    <n v="1.19"/>
    <n v="0.78"/>
    <x v="6"/>
  </r>
  <r>
    <x v="0"/>
    <x v="8"/>
    <n v="16840"/>
    <n v="12200"/>
    <n v="0.7"/>
    <n v="24901"/>
    <n v="4920"/>
    <n v="0.81"/>
    <n v="0.15"/>
    <n v="0.2"/>
    <n v="0.85"/>
    <x v="6"/>
  </r>
  <r>
    <x v="0"/>
    <x v="9"/>
    <n v="23050"/>
    <n v="23050"/>
    <n v="0.72"/>
    <n v="25234"/>
    <n v="5180"/>
    <n v="0.89"/>
    <n v="0.3"/>
    <n v="0.35"/>
    <n v="0.92"/>
    <x v="6"/>
  </r>
  <r>
    <x v="0"/>
    <x v="10"/>
    <n v="38080"/>
    <n v="18760"/>
    <n v="0.57999999999999996"/>
    <n v="25567"/>
    <n v="7580"/>
    <n v="1.33"/>
    <n v="0.45"/>
    <n v="0.5"/>
    <n v="0.96"/>
    <x v="6"/>
  </r>
  <r>
    <x v="0"/>
    <x v="11"/>
    <n v="8040"/>
    <n v="9060"/>
    <n v="0.68"/>
    <n v="25456"/>
    <n v="8900"/>
    <n v="1.18"/>
    <n v="0.6"/>
    <n v="0.65"/>
    <n v="1"/>
    <x v="6"/>
  </r>
  <r>
    <x v="1"/>
    <x v="0"/>
    <n v="19600"/>
    <n v="6890"/>
    <n v="0.2"/>
    <n v="25345"/>
    <n v="8840"/>
    <n v="0.15"/>
    <n v="0.74"/>
    <n v="0.78"/>
    <n v="0.2"/>
    <x v="6"/>
  </r>
  <r>
    <x v="1"/>
    <x v="1"/>
    <n v="7720"/>
    <n v="9820"/>
    <n v="0.6"/>
    <n v="25678"/>
    <n v="7300"/>
    <n v="0.25"/>
    <n v="0.85"/>
    <n v="0.88"/>
    <n v="0.3"/>
    <x v="6"/>
  </r>
  <r>
    <x v="1"/>
    <x v="2"/>
    <n v="19660"/>
    <n v="11540"/>
    <n v="0.56999999999999995"/>
    <n v="25901"/>
    <n v="7620"/>
    <n v="0.35"/>
    <n v="1.34"/>
    <n v="1.18"/>
    <n v="0.4"/>
    <x v="6"/>
  </r>
  <r>
    <x v="1"/>
    <x v="3"/>
    <n v="25170"/>
    <n v="7950"/>
    <n v="0.42"/>
    <n v="25789"/>
    <n v="8760"/>
    <n v="0.45"/>
    <n v="1.3"/>
    <n v="1.34"/>
    <n v="0.5"/>
    <x v="6"/>
  </r>
  <r>
    <x v="1"/>
    <x v="4"/>
    <n v="22720"/>
    <n v="17850"/>
    <n v="0.65"/>
    <n v="25678"/>
    <n v="8680"/>
    <n v="0.55000000000000004"/>
    <n v="0.16"/>
    <n v="0.22"/>
    <n v="0.6"/>
    <x v="6"/>
  </r>
  <r>
    <x v="1"/>
    <x v="5"/>
    <n v="59060"/>
    <n v="27800"/>
    <n v="0.42"/>
    <n v="26012"/>
    <n v="7000"/>
    <n v="0.65"/>
    <n v="0.33"/>
    <n v="0.38"/>
    <n v="0.7"/>
    <x v="6"/>
  </r>
  <r>
    <x v="1"/>
    <x v="6"/>
    <n v="30910"/>
    <n v="32170"/>
    <n v="0.77"/>
    <n v="25890"/>
    <n v="7320"/>
    <n v="0.74"/>
    <n v="0.48"/>
    <n v="0.53"/>
    <n v="0.78"/>
    <x v="6"/>
  </r>
  <r>
    <x v="1"/>
    <x v="7"/>
    <n v="35700"/>
    <n v="30410"/>
    <n v="0.75"/>
    <n v="25789"/>
    <n v="5940"/>
    <n v="0.82"/>
    <n v="0.63"/>
    <n v="0.68"/>
    <n v="0.85"/>
    <x v="6"/>
  </r>
  <r>
    <x v="1"/>
    <x v="8"/>
    <n v="43370"/>
    <n v="28910"/>
    <n v="0.78"/>
    <n v="26123"/>
    <n v="4680"/>
    <n v="0.88"/>
    <n v="0.76"/>
    <n v="0.8"/>
    <n v="0.91"/>
    <x v="6"/>
  </r>
  <r>
    <x v="1"/>
    <x v="9"/>
    <n v="22590"/>
    <n v="17040"/>
    <n v="0.52"/>
    <n v="26345"/>
    <n v="4900"/>
    <n v="1.3"/>
    <n v="0.86"/>
    <n v="0.89"/>
    <n v="0.96"/>
    <x v="6"/>
  </r>
  <r>
    <x v="1"/>
    <x v="10"/>
    <n v="20630"/>
    <n v="29690"/>
    <n v="0.32"/>
    <n v="26123"/>
    <n v="7460"/>
    <n v="1.22"/>
    <n v="1.22"/>
    <n v="1.21"/>
    <n v="0.99"/>
    <x v="6"/>
  </r>
  <r>
    <x v="1"/>
    <x v="11"/>
    <n v="22510"/>
    <n v="11590"/>
    <n v="0.35"/>
    <n v="25901"/>
    <n v="8780"/>
    <n v="1.24"/>
    <n v="1.26"/>
    <n v="1.24"/>
    <n v="1"/>
    <x v="6"/>
  </r>
  <r>
    <x v="2"/>
    <x v="0"/>
    <n v="38770"/>
    <n v="18240"/>
    <n v="0.7"/>
    <n v="26234"/>
    <n v="8720"/>
    <n v="0.16"/>
    <n v="0.17"/>
    <n v="0.23"/>
    <n v="0.22"/>
    <x v="6"/>
  </r>
  <r>
    <x v="2"/>
    <x v="1"/>
    <n v="27800"/>
    <n v="13080"/>
    <n v="0.4"/>
    <n v="26567"/>
    <n v="7060"/>
    <n v="0.27"/>
    <n v="0.34"/>
    <n v="0.4"/>
    <n v="0.33"/>
    <x v="6"/>
  </r>
  <r>
    <x v="2"/>
    <x v="2"/>
    <n v="44410"/>
    <n v="18140"/>
    <n v="0.63"/>
    <n v="26456"/>
    <n v="7380"/>
    <n v="0.38"/>
    <n v="0.5"/>
    <n v="0.55000000000000004"/>
    <n v="0.43"/>
    <x v="6"/>
  </r>
  <r>
    <x v="2"/>
    <x v="3"/>
    <n v="29140"/>
    <n v="28000"/>
    <n v="0.55000000000000004"/>
    <n v="26345"/>
    <n v="6000"/>
    <n v="0.48"/>
    <n v="0.65"/>
    <n v="0.7"/>
    <n v="0.53"/>
    <x v="6"/>
  </r>
  <r>
    <x v="2"/>
    <x v="4"/>
    <n v="39120"/>
    <n v="32010"/>
    <n v="0.4"/>
    <n v="26678"/>
    <n v="4720"/>
    <n v="0.57999999999999996"/>
    <n v="0.78"/>
    <n v="0.82"/>
    <n v="0.63"/>
    <x v="6"/>
  </r>
  <r>
    <x v="2"/>
    <x v="5"/>
    <n v="14030"/>
    <n v="19380"/>
    <n v="0.53"/>
    <n v="26901"/>
    <n v="4960"/>
    <n v="0.68"/>
    <n v="0.88"/>
    <n v="0.91"/>
    <n v="0.73"/>
    <x v="6"/>
  </r>
  <r>
    <x v="2"/>
    <x v="6"/>
    <n v="40110"/>
    <n v="15600"/>
    <n v="0.65"/>
    <n v="26789"/>
    <n v="7480"/>
    <n v="0.76"/>
    <n v="1.25"/>
    <n v="1.35"/>
    <n v="0.8"/>
    <x v="6"/>
  </r>
  <r>
    <x v="2"/>
    <x v="7"/>
    <n v="27580"/>
    <n v="16910"/>
    <n v="0.69"/>
    <n v="26678"/>
    <n v="8800"/>
    <n v="0.83"/>
    <n v="1.32"/>
    <n v="1.29"/>
    <n v="0.86"/>
    <x v="6"/>
  </r>
  <r>
    <x v="2"/>
    <x v="8"/>
    <n v="40100"/>
    <n v="14090"/>
    <n v="0.68"/>
    <n v="27012"/>
    <n v="8740"/>
    <n v="0.89"/>
    <n v="0.15"/>
    <n v="0.19"/>
    <n v="0.92"/>
    <x v="6"/>
  </r>
  <r>
    <x v="2"/>
    <x v="9"/>
    <n v="14300"/>
    <n v="14300"/>
    <n v="0.7"/>
    <n v="26890"/>
    <n v="7100"/>
    <n v="1.25"/>
    <n v="0.28000000000000003"/>
    <n v="0.32"/>
    <n v="0.97"/>
    <x v="6"/>
  </r>
  <r>
    <x v="2"/>
    <x v="10"/>
    <n v="16550"/>
    <n v="11030"/>
    <n v="0.55000000000000004"/>
    <n v="26789"/>
    <n v="7420"/>
    <n v="1.31"/>
    <n v="0.4"/>
    <n v="0.44"/>
    <n v="0.99"/>
    <x v="6"/>
  </r>
  <r>
    <x v="2"/>
    <x v="11"/>
    <n v="24540"/>
    <n v="8620"/>
    <n v="0.38"/>
    <n v="27123"/>
    <n v="6040"/>
    <n v="1.28"/>
    <n v="0.53"/>
    <n v="0.56999999999999995"/>
    <n v="1"/>
    <x v="6"/>
  </r>
  <r>
    <x v="3"/>
    <x v="0"/>
    <n v="31740"/>
    <n v="11740"/>
    <n v="0.61"/>
    <n v="27345"/>
    <n v="4760"/>
    <n v="0.17"/>
    <n v="0.66"/>
    <n v="0.7"/>
    <n v="0.23"/>
    <x v="6"/>
  </r>
  <r>
    <x v="3"/>
    <x v="1"/>
    <n v="47830"/>
    <n v="36080"/>
    <n v="0.73"/>
    <n v="27123"/>
    <n v="5020"/>
    <n v="0.28000000000000003"/>
    <n v="0.78"/>
    <n v="0.81"/>
    <n v="0.34"/>
    <x v="6"/>
  </r>
  <r>
    <x v="3"/>
    <x v="2"/>
    <n v="39920"/>
    <n v="27740"/>
    <n v="0.67"/>
    <n v="26901"/>
    <n v="7500"/>
    <n v="0.4"/>
    <n v="0.89"/>
    <n v="0.92"/>
    <n v="0.45"/>
    <x v="6"/>
  </r>
  <r>
    <x v="3"/>
    <x v="3"/>
    <n v="53940"/>
    <n v="51830"/>
    <n v="0.8"/>
    <n v="27234"/>
    <n v="8820"/>
    <n v="0.5"/>
    <n v="1.3"/>
    <n v="1.21"/>
    <n v="0.55000000000000004"/>
    <x v="6"/>
  </r>
  <r>
    <x v="3"/>
    <x v="4"/>
    <n v="66770"/>
    <n v="40920"/>
    <n v="0.57999999999999996"/>
    <n v="27567"/>
    <n v="8760"/>
    <n v="0.6"/>
    <n v="0.15"/>
    <n v="0.2"/>
    <n v="0.65"/>
    <x v="6"/>
  </r>
  <r>
    <x v="3"/>
    <x v="5"/>
    <n v="32880"/>
    <n v="47320"/>
    <n v="0.64"/>
    <n v="27456"/>
    <n v="7140"/>
    <n v="0.7"/>
    <n v="0.3"/>
    <n v="0.35"/>
    <n v="0.75"/>
    <x v="6"/>
  </r>
  <r>
    <x v="3"/>
    <x v="6"/>
    <n v="28020"/>
    <n v="25870"/>
    <n v="0.65"/>
    <n v="27345"/>
    <n v="7460"/>
    <n v="0.78"/>
    <n v="0.45"/>
    <n v="0.5"/>
    <n v="0.82"/>
    <x v="6"/>
  </r>
  <r>
    <x v="3"/>
    <x v="7"/>
    <n v="44540"/>
    <n v="19090"/>
    <n v="0.65"/>
    <n v="27678"/>
    <n v="6080"/>
    <n v="0.85"/>
    <n v="0.6"/>
    <n v="0.65"/>
    <n v="0.88"/>
    <x v="6"/>
  </r>
  <r>
    <x v="3"/>
    <x v="8"/>
    <n v="21380"/>
    <n v="7510"/>
    <n v="0.43"/>
    <n v="27901"/>
    <n v="4800"/>
    <n v="0.91"/>
    <n v="0.74"/>
    <n v="0.78"/>
    <n v="0.94"/>
    <x v="6"/>
  </r>
  <r>
    <x v="3"/>
    <x v="9"/>
    <n v="92630"/>
    <n v="52110"/>
    <n v="0.77"/>
    <n v="27789"/>
    <n v="5060"/>
    <n v="1.26"/>
    <n v="0.85"/>
    <n v="0.88"/>
    <n v="0.98"/>
    <x v="6"/>
  </r>
  <r>
    <x v="3"/>
    <x v="10"/>
    <n v="51760"/>
    <n v="60760"/>
    <n v="0.36"/>
    <n v="27678"/>
    <n v="7520"/>
    <n v="1.1599999999999999"/>
    <n v="1.17"/>
    <n v="1.1299999999999999"/>
    <n v="1"/>
    <x v="6"/>
  </r>
  <r>
    <x v="3"/>
    <x v="11"/>
    <n v="28660"/>
    <n v="26450"/>
    <n v="0.6"/>
    <n v="28012"/>
    <n v="8840"/>
    <n v="1.28"/>
    <n v="1.1399999999999999"/>
    <n v="1.2"/>
    <n v="1"/>
    <x v="6"/>
  </r>
  <r>
    <x v="0"/>
    <x v="0"/>
    <n v="19390"/>
    <n v="6810"/>
    <n v="0.72"/>
    <n v="27890"/>
    <n v="8780"/>
    <n v="0.15"/>
    <n v="0.16"/>
    <n v="0.22"/>
    <n v="0.19"/>
    <x v="7"/>
  </r>
  <r>
    <x v="0"/>
    <x v="1"/>
    <n v="24590"/>
    <n v="9100"/>
    <n v="0.32"/>
    <n v="27789"/>
    <n v="7180"/>
    <n v="0.23"/>
    <n v="0.33"/>
    <n v="0.38"/>
    <n v="0.28000000000000003"/>
    <x v="7"/>
  </r>
  <r>
    <x v="0"/>
    <x v="2"/>
    <n v="16500"/>
    <n v="17180"/>
    <n v="0.63"/>
    <n v="28123"/>
    <n v="7500"/>
    <n v="0.32"/>
    <n v="0.48"/>
    <n v="0.53"/>
    <n v="0.36"/>
    <x v="7"/>
  </r>
  <r>
    <x v="0"/>
    <x v="3"/>
    <n v="22460"/>
    <n v="14970"/>
    <n v="0.6"/>
    <n v="28345"/>
    <n v="6120"/>
    <n v="0.4"/>
    <n v="0.63"/>
    <n v="0.68"/>
    <n v="0.44"/>
    <x v="7"/>
  </r>
  <r>
    <x v="0"/>
    <x v="4"/>
    <n v="26570"/>
    <n v="10850"/>
    <n v="0.65"/>
    <n v="28123"/>
    <n v="4840"/>
    <n v="0.49"/>
    <n v="0.76"/>
    <n v="0.8"/>
    <n v="0.53"/>
    <x v="7"/>
  </r>
  <r>
    <x v="0"/>
    <x v="5"/>
    <n v="19760"/>
    <n v="25160"/>
    <n v="0.62"/>
    <n v="27901"/>
    <n v="5100"/>
    <n v="0.56999999999999995"/>
    <n v="0.86"/>
    <n v="0.89"/>
    <n v="0.62"/>
    <x v="7"/>
  </r>
  <r>
    <x v="0"/>
    <x v="6"/>
    <n v="16850"/>
    <n v="20590"/>
    <n v="0.71"/>
    <n v="28234"/>
    <n v="7540"/>
    <n v="0.66"/>
    <n v="1.18"/>
    <n v="1.18"/>
    <n v="0.7"/>
    <x v="7"/>
  </r>
  <r>
    <x v="0"/>
    <x v="7"/>
    <n v="9920"/>
    <n v="8800"/>
    <n v="0.62"/>
    <n v="28567"/>
    <n v="8860"/>
    <n v="0.74"/>
    <n v="1.26"/>
    <n v="1.1299999999999999"/>
    <n v="0.78"/>
    <x v="7"/>
  </r>
  <r>
    <x v="0"/>
    <x v="8"/>
    <n v="15650"/>
    <n v="12800"/>
    <n v="0.65"/>
    <n v="28456"/>
    <n v="8800"/>
    <n v="0.81"/>
    <n v="0.17"/>
    <n v="0.23"/>
    <n v="0.85"/>
    <x v="7"/>
  </r>
  <r>
    <x v="0"/>
    <x v="9"/>
    <n v="16470"/>
    <n v="20960"/>
    <n v="0.56999999999999995"/>
    <n v="28345"/>
    <n v="7220"/>
    <n v="0.89"/>
    <n v="0.34"/>
    <n v="0.4"/>
    <n v="0.92"/>
    <x v="7"/>
  </r>
  <r>
    <x v="0"/>
    <x v="10"/>
    <n v="20060"/>
    <n v="15130"/>
    <n v="0.45"/>
    <n v="28678"/>
    <n v="7540"/>
    <n v="1.29"/>
    <n v="0.5"/>
    <n v="0.55000000000000004"/>
    <n v="0.96"/>
    <x v="7"/>
  </r>
  <r>
    <x v="0"/>
    <x v="11"/>
    <n v="12320"/>
    <n v="13880"/>
    <n v="0.45"/>
    <n v="28678"/>
    <n v="6160"/>
    <n v="1.29"/>
    <n v="0.65"/>
    <n v="0.7"/>
    <n v="1"/>
    <x v="7"/>
  </r>
  <r>
    <x v="1"/>
    <x v="0"/>
    <n v="14900"/>
    <n v="13750"/>
    <n v="0.75"/>
    <n v="21345"/>
    <n v="4880"/>
    <n v="0.15"/>
    <n v="0.78"/>
    <n v="0.82"/>
    <n v="0.2"/>
    <x v="7"/>
  </r>
  <r>
    <x v="1"/>
    <x v="1"/>
    <n v="28240"/>
    <n v="12690"/>
    <n v="0.55000000000000004"/>
    <n v="21678"/>
    <n v="5140"/>
    <n v="0.25"/>
    <n v="0.88"/>
    <n v="0.91"/>
    <n v="0.3"/>
    <x v="7"/>
  </r>
  <r>
    <x v="1"/>
    <x v="2"/>
    <n v="34220"/>
    <n v="10810"/>
    <n v="0.56999999999999995"/>
    <n v="21901"/>
    <n v="7560"/>
    <n v="0.35"/>
    <n v="1.22"/>
    <n v="1.1399999999999999"/>
    <n v="0.4"/>
    <x v="7"/>
  </r>
  <r>
    <x v="1"/>
    <x v="3"/>
    <n v="22100"/>
    <n v="14730"/>
    <n v="0.56999999999999995"/>
    <n v="21789"/>
    <n v="8880"/>
    <n v="0.45"/>
    <n v="1.1100000000000001"/>
    <n v="1.1200000000000001"/>
    <n v="0.5"/>
    <x v="7"/>
  </r>
  <r>
    <x v="1"/>
    <x v="4"/>
    <n v="24230"/>
    <n v="8510"/>
    <n v="0.32"/>
    <n v="21678"/>
    <n v="8820"/>
    <n v="0.55000000000000004"/>
    <n v="0.15"/>
    <n v="0.19"/>
    <n v="0.6"/>
    <x v="7"/>
  </r>
  <r>
    <x v="1"/>
    <x v="5"/>
    <n v="31930"/>
    <n v="17190"/>
    <n v="0.78"/>
    <n v="22012"/>
    <n v="7260"/>
    <n v="0.65"/>
    <n v="0.28000000000000003"/>
    <n v="0.32"/>
    <n v="0.7"/>
    <x v="7"/>
  </r>
  <r>
    <x v="1"/>
    <x v="6"/>
    <n v="27670"/>
    <n v="25540"/>
    <n v="0.82"/>
    <n v="21890"/>
    <n v="7580"/>
    <n v="0.74"/>
    <n v="0.4"/>
    <n v="0.44"/>
    <n v="0.78"/>
    <x v="7"/>
  </r>
  <r>
    <x v="1"/>
    <x v="7"/>
    <n v="25540"/>
    <n v="23570"/>
    <n v="0.57999999999999996"/>
    <n v="21789"/>
    <n v="6200"/>
    <n v="0.82"/>
    <n v="0.53"/>
    <n v="0.56999999999999995"/>
    <n v="0.85"/>
    <x v="7"/>
  </r>
  <r>
    <x v="1"/>
    <x v="8"/>
    <n v="29720"/>
    <n v="15310"/>
    <n v="0.7"/>
    <n v="22123"/>
    <n v="4920"/>
    <n v="0.88"/>
    <n v="0.66"/>
    <n v="0.7"/>
    <n v="0.91"/>
    <x v="7"/>
  </r>
  <r>
    <x v="1"/>
    <x v="9"/>
    <n v="30690"/>
    <n v="10230"/>
    <n v="0.66"/>
    <n v="22345"/>
    <n v="5180"/>
    <n v="1.18"/>
    <n v="0.78"/>
    <n v="0.81"/>
    <n v="0.96"/>
    <x v="7"/>
  </r>
  <r>
    <x v="1"/>
    <x v="10"/>
    <n v="16370"/>
    <n v="16370"/>
    <n v="0.72"/>
    <n v="22123"/>
    <n v="7580"/>
    <n v="1.1599999999999999"/>
    <n v="0.89"/>
    <n v="0.92"/>
    <n v="0.99"/>
    <x v="7"/>
  </r>
  <r>
    <x v="1"/>
    <x v="11"/>
    <n v="17680"/>
    <n v="6880"/>
    <n v="0.5"/>
    <n v="21901"/>
    <n v="8900"/>
    <n v="1.3"/>
    <n v="1.19"/>
    <n v="1.25"/>
    <n v="1"/>
    <x v="7"/>
  </r>
  <r>
    <x v="2"/>
    <x v="0"/>
    <n v="23450"/>
    <n v="13190"/>
    <n v="0.65"/>
    <n v="22234"/>
    <n v="8840"/>
    <n v="0.16"/>
    <n v="0.15"/>
    <n v="0.2"/>
    <n v="0.22"/>
    <x v="7"/>
  </r>
  <r>
    <x v="2"/>
    <x v="1"/>
    <n v="19420"/>
    <n v="21900"/>
    <n v="0.55000000000000004"/>
    <n v="22567"/>
    <n v="7300"/>
    <n v="0.27"/>
    <n v="0.3"/>
    <n v="0.35"/>
    <n v="0.33"/>
    <x v="7"/>
  </r>
  <r>
    <x v="2"/>
    <x v="2"/>
    <n v="21130"/>
    <n v="29180"/>
    <n v="0.6"/>
    <n v="22456"/>
    <n v="7620"/>
    <n v="0.38"/>
    <n v="0.45"/>
    <n v="0.5"/>
    <n v="0.43"/>
    <x v="7"/>
  </r>
  <r>
    <x v="2"/>
    <x v="3"/>
    <n v="31430"/>
    <n v="27880"/>
    <n v="0.55000000000000004"/>
    <n v="22345"/>
    <n v="8760"/>
    <n v="0.48"/>
    <n v="0.6"/>
    <n v="0.65"/>
    <n v="0.53"/>
    <x v="7"/>
  </r>
  <r>
    <x v="2"/>
    <x v="4"/>
    <n v="36200"/>
    <n v="32100"/>
    <n v="0.72"/>
    <n v="22678"/>
    <n v="8680"/>
    <n v="0.57999999999999996"/>
    <n v="0.74"/>
    <n v="0.78"/>
    <n v="0.63"/>
    <x v="7"/>
  </r>
  <r>
    <x v="2"/>
    <x v="5"/>
    <n v="32930"/>
    <n v="40250"/>
    <n v="0.81"/>
    <n v="22901"/>
    <n v="7000"/>
    <n v="0.68"/>
    <n v="0.85"/>
    <n v="0.88"/>
    <n v="0.73"/>
    <x v="7"/>
  </r>
  <r>
    <x v="2"/>
    <x v="6"/>
    <n v="52600"/>
    <n v="15710"/>
    <n v="0.66"/>
    <n v="22789"/>
    <n v="7320"/>
    <n v="0.76"/>
    <n v="1.1399999999999999"/>
    <n v="1.31"/>
    <n v="0.8"/>
    <x v="7"/>
  </r>
  <r>
    <x v="2"/>
    <x v="7"/>
    <n v="45670"/>
    <n v="13640"/>
    <n v="0.77"/>
    <n v="22678"/>
    <n v="5940"/>
    <n v="0.83"/>
    <n v="1.23"/>
    <n v="1.22"/>
    <n v="0.86"/>
    <x v="7"/>
  </r>
  <r>
    <x v="2"/>
    <x v="8"/>
    <n v="30190"/>
    <n v="20130"/>
    <n v="0.35"/>
    <n v="23012"/>
    <n v="4680"/>
    <n v="0.89"/>
    <n v="0.16"/>
    <n v="0.22"/>
    <n v="0.92"/>
    <x v="7"/>
  </r>
  <r>
    <x v="2"/>
    <x v="9"/>
    <n v="17360"/>
    <n v="23970"/>
    <n v="0.68"/>
    <n v="22890"/>
    <n v="4900"/>
    <n v="1.24"/>
    <n v="0.33"/>
    <n v="0.38"/>
    <n v="0.97"/>
    <x v="7"/>
  </r>
  <r>
    <x v="2"/>
    <x v="10"/>
    <n v="28220"/>
    <n v="8430"/>
    <n v="0.32"/>
    <n v="22789"/>
    <n v="7460"/>
    <n v="1.35"/>
    <n v="0.48"/>
    <n v="0.53"/>
    <n v="0.99"/>
    <x v="7"/>
  </r>
  <r>
    <x v="2"/>
    <x v="11"/>
    <n v="18230"/>
    <n v="13750"/>
    <n v="0.65"/>
    <n v="23123"/>
    <n v="8780"/>
    <n v="1.34"/>
    <n v="0.63"/>
    <n v="0.68"/>
    <n v="1"/>
    <x v="7"/>
  </r>
  <r>
    <x v="3"/>
    <x v="0"/>
    <n v="24550"/>
    <n v="18520"/>
    <n v="0.77"/>
    <n v="23345"/>
    <n v="8720"/>
    <n v="0.17"/>
    <n v="0.76"/>
    <n v="0.8"/>
    <n v="0.23"/>
    <x v="7"/>
  </r>
  <r>
    <x v="3"/>
    <x v="1"/>
    <n v="30440"/>
    <n v="37200"/>
    <n v="0.57999999999999996"/>
    <n v="23123"/>
    <n v="7060"/>
    <n v="0.28000000000000003"/>
    <n v="0.86"/>
    <n v="0.89"/>
    <n v="0.34"/>
    <x v="7"/>
  </r>
  <r>
    <x v="3"/>
    <x v="2"/>
    <n v="68900"/>
    <n v="29530"/>
    <n v="0.67"/>
    <n v="22901"/>
    <n v="7380"/>
    <n v="0.4"/>
    <n v="1.19"/>
    <n v="1.26"/>
    <n v="0.45"/>
    <x v="7"/>
  </r>
  <r>
    <x v="3"/>
    <x v="3"/>
    <n v="49410"/>
    <n v="37280"/>
    <n v="0.75"/>
    <n v="23234"/>
    <n v="6000"/>
    <n v="0.5"/>
    <n v="1.32"/>
    <n v="1.23"/>
    <n v="0.55000000000000004"/>
    <x v="7"/>
  </r>
  <r>
    <x v="3"/>
    <x v="4"/>
    <n v="40620"/>
    <n v="33230"/>
    <n v="0.38"/>
    <n v="23567"/>
    <n v="4720"/>
    <n v="0.6"/>
    <n v="0.17"/>
    <n v="0.23"/>
    <n v="0.65"/>
    <x v="7"/>
  </r>
  <r>
    <x v="3"/>
    <x v="5"/>
    <n v="43730"/>
    <n v="17860"/>
    <n v="0.7"/>
    <n v="23456"/>
    <n v="4960"/>
    <n v="0.7"/>
    <n v="0.34"/>
    <n v="0.4"/>
    <n v="0.75"/>
    <x v="7"/>
  </r>
  <r>
    <x v="3"/>
    <x v="6"/>
    <n v="46190"/>
    <n v="15400"/>
    <n v="0.8"/>
    <n v="23345"/>
    <n v="7480"/>
    <n v="0.78"/>
    <n v="0.5"/>
    <n v="0.55000000000000004"/>
    <n v="0.82"/>
    <x v="7"/>
  </r>
  <r>
    <x v="3"/>
    <x v="7"/>
    <n v="45050"/>
    <n v="28800"/>
    <n v="0.62"/>
    <n v="23678"/>
    <n v="8800"/>
    <n v="0.85"/>
    <n v="0.65"/>
    <n v="0.7"/>
    <n v="0.88"/>
    <x v="7"/>
  </r>
  <r>
    <x v="3"/>
    <x v="8"/>
    <n v="51140"/>
    <n v="35540"/>
    <n v="0.56000000000000005"/>
    <n v="23901"/>
    <n v="8740"/>
    <n v="0.91"/>
    <n v="0.78"/>
    <n v="0.82"/>
    <n v="0.94"/>
    <x v="7"/>
  </r>
  <r>
    <x v="3"/>
    <x v="9"/>
    <n v="62990"/>
    <n v="35430"/>
    <n v="0.62"/>
    <n v="23789"/>
    <n v="7100"/>
    <n v="1.1100000000000001"/>
    <n v="0.88"/>
    <n v="0.91"/>
    <n v="0.98"/>
    <x v="7"/>
  </r>
  <r>
    <x v="3"/>
    <x v="10"/>
    <n v="48020"/>
    <n v="19620"/>
    <n v="0.55000000000000004"/>
    <n v="23678"/>
    <n v="7420"/>
    <n v="1.18"/>
    <n v="1.22"/>
    <n v="1.21"/>
    <n v="1"/>
    <x v="7"/>
  </r>
  <r>
    <x v="3"/>
    <x v="11"/>
    <n v="29720"/>
    <n v="13350"/>
    <n v="0.6"/>
    <n v="24012"/>
    <n v="6040"/>
    <n v="1.35"/>
    <n v="1.17"/>
    <n v="1.1000000000000001"/>
    <n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F11A6-B7E9-46E3-AAAA-DA286525803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7" firstHeaderRow="0" firstDataRow="1" firstDataCol="1"/>
  <pivotFields count="14">
    <pivotField showAll="0">
      <items count="5">
        <item h="1" x="0"/>
        <item h="1" x="1"/>
        <item h="1" x="2"/>
        <item x="3"/>
        <item t="default"/>
      </items>
    </pivotField>
    <pivotField axis="axisRow" showAll="0">
      <items count="13">
        <item h="1" x="0"/>
        <item h="1" x="1"/>
        <item h="1" x="2"/>
        <item x="3"/>
        <item x="4"/>
        <item x="5"/>
        <item h="1" x="6"/>
        <item h="1" x="7"/>
        <item h="1" x="8"/>
        <item h="1" x="9"/>
        <item h="1" x="10"/>
        <item h="1" x="11"/>
        <item t="default"/>
      </items>
    </pivotField>
    <pivotField dataField="1" numFmtId="3" showAll="0"/>
    <pivotField dataField="1" showAll="0"/>
    <pivotField dataField="1" numFmtId="9" showAll="0"/>
    <pivotField dataField="1" showAll="0"/>
    <pivotField dataField="1" showAll="0"/>
    <pivotField dataField="1" numFmtId="9" showAll="0"/>
    <pivotField dataField="1" numFmtId="9" showAll="0"/>
    <pivotField dataField="1" numFmtId="9" showAll="0"/>
    <pivotField dataField="1" numFmtId="9" showAll="0"/>
    <pivotField showAll="0">
      <items count="9">
        <item x="1"/>
        <item x="5"/>
        <item x="0"/>
        <item x="3"/>
        <item x="6"/>
        <item x="4"/>
        <item x="2"/>
        <item x="7"/>
        <item t="default"/>
      </items>
    </pivotField>
    <pivotField dragToRow="0" dragToCol="0" dragToPage="0" showAll="0" defaultSubtotal="0"/>
    <pivotField dragToRow="0" dragToCol="0" dragToPage="0" showAll="0" defaultSubtotal="0"/>
  </pivotFields>
  <rowFields count="1">
    <field x="1"/>
  </rowFields>
  <rowItems count="4">
    <i>
      <x v="3"/>
    </i>
    <i>
      <x v="4"/>
    </i>
    <i>
      <x v="5"/>
    </i>
    <i t="grand">
      <x/>
    </i>
  </rowItems>
  <colFields count="1">
    <field x="-2"/>
  </colFields>
  <colItems count="9">
    <i>
      <x/>
    </i>
    <i i="1">
      <x v="1"/>
    </i>
    <i i="2">
      <x v="2"/>
    </i>
    <i i="3">
      <x v="3"/>
    </i>
    <i i="4">
      <x v="4"/>
    </i>
    <i i="5">
      <x v="5"/>
    </i>
    <i i="6">
      <x v="6"/>
    </i>
    <i i="7">
      <x v="7"/>
    </i>
    <i i="8">
      <x v="8"/>
    </i>
  </colItems>
  <dataFields count="9">
    <dataField name="Average of Productivity" fld="4" subtotal="average" baseField="1" baseItem="0" numFmtId="9"/>
    <dataField name="Average of Budget Fulfillment" fld="7" subtotal="average" baseField="1" baseItem="0" numFmtId="9"/>
    <dataField name="Average of Employee Productivity" fld="8" subtotal="average" baseField="1" baseItem="0" numFmtId="9"/>
    <dataField name="Average of Employee Satisfaction" fld="9" subtotal="average" baseField="1" baseItem="0" numFmtId="9"/>
    <dataField name="Average of Task Deadline Compliance" fld="10" subtotal="average" baseField="1" baseItem="0" numFmtId="9"/>
    <dataField name="Sum of Fixed Costs" fld="2" baseField="0" baseItem="0" numFmtId="3"/>
    <dataField name="Sum of Supplementary Pay" fld="3" baseField="0" baseItem="0"/>
    <dataField name="Sum of Base Salary" fld="5" baseField="0" baseItem="0"/>
    <dataField name="Sum of Bonus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07FDC-2EB2-4665-B58F-EDDFF31B57C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D57" firstHeaderRow="0" firstDataRow="1" firstDataCol="1"/>
  <pivotFields count="14">
    <pivotField showAll="0">
      <items count="5">
        <item h="1" x="0"/>
        <item h="1" x="1"/>
        <item h="1" x="2"/>
        <item x="3"/>
        <item t="default"/>
      </items>
    </pivotField>
    <pivotField showAll="0">
      <items count="13">
        <item h="1" x="0"/>
        <item h="1" x="1"/>
        <item h="1" x="2"/>
        <item x="3"/>
        <item x="4"/>
        <item x="5"/>
        <item h="1" x="6"/>
        <item h="1" x="7"/>
        <item h="1" x="8"/>
        <item h="1" x="9"/>
        <item h="1" x="10"/>
        <item h="1" x="11"/>
        <item t="default"/>
      </items>
    </pivotField>
    <pivotField dataField="1" numFmtId="3" showAll="0"/>
    <pivotField dataField="1" showAll="0"/>
    <pivotField numFmtId="9" showAll="0"/>
    <pivotField showAll="0"/>
    <pivotField showAll="0"/>
    <pivotField numFmtId="9" showAll="0"/>
    <pivotField numFmtId="9" showAll="0"/>
    <pivotField numFmtId="9" showAll="0"/>
    <pivotField numFmtId="9" showAll="0"/>
    <pivotField axis="axisRow" showAll="0">
      <items count="9">
        <item x="1"/>
        <item x="5"/>
        <item x="0"/>
        <item x="3"/>
        <item x="6"/>
        <item x="4"/>
        <item x="2"/>
        <item x="7"/>
        <item t="default"/>
      </items>
    </pivotField>
    <pivotField dataField="1" dragToRow="0" dragToCol="0" dragToPage="0" showAll="0" defaultSubtotal="0"/>
    <pivotField dragToRow="0" dragToCol="0" dragToPage="0" showAll="0" defaultSubtotal="0"/>
  </pivotFields>
  <rowFields count="1">
    <field x="11"/>
  </rowFields>
  <rowItems count="9">
    <i>
      <x/>
    </i>
    <i>
      <x v="1"/>
    </i>
    <i>
      <x v="2"/>
    </i>
    <i>
      <x v="3"/>
    </i>
    <i>
      <x v="4"/>
    </i>
    <i>
      <x v="5"/>
    </i>
    <i>
      <x v="6"/>
    </i>
    <i>
      <x v="7"/>
    </i>
    <i t="grand">
      <x/>
    </i>
  </rowItems>
  <colFields count="1">
    <field x="-2"/>
  </colFields>
  <colItems count="3">
    <i>
      <x/>
    </i>
    <i i="1">
      <x v="1"/>
    </i>
    <i i="2">
      <x v="2"/>
    </i>
  </colItems>
  <dataFields count="3">
    <dataField name="Sum of Fixed Costs" fld="2" baseField="0" baseItem="0" numFmtId="3"/>
    <dataField name="Sum of Supplementary Pay" fld="3" baseField="0" baseItem="0"/>
    <dataField name="Sum of TotalCos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0F863-27E1-4516-A023-C68AED2A95E7}"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D45" firstHeaderRow="0" firstDataRow="1" firstDataCol="1"/>
  <pivotFields count="14">
    <pivotField showAll="0">
      <items count="5">
        <item h="1" x="0"/>
        <item h="1" x="1"/>
        <item h="1" x="2"/>
        <item x="3"/>
        <item t="default"/>
      </items>
    </pivotField>
    <pivotField showAll="0">
      <items count="13">
        <item h="1" x="0"/>
        <item h="1" x="1"/>
        <item h="1" x="2"/>
        <item x="3"/>
        <item x="4"/>
        <item x="5"/>
        <item h="1" x="6"/>
        <item h="1" x="7"/>
        <item h="1" x="8"/>
        <item h="1" x="9"/>
        <item h="1" x="10"/>
        <item h="1" x="11"/>
        <item t="default"/>
      </items>
    </pivotField>
    <pivotField dataField="1" numFmtId="3" showAll="0"/>
    <pivotField dataField="1" showAll="0"/>
    <pivotField numFmtId="9" showAll="0"/>
    <pivotField showAll="0"/>
    <pivotField showAll="0"/>
    <pivotField numFmtId="9" showAll="0"/>
    <pivotField numFmtId="9" showAll="0"/>
    <pivotField numFmtId="9" showAll="0"/>
    <pivotField numFmtId="9" showAll="0"/>
    <pivotField axis="axisRow" showAll="0">
      <items count="9">
        <item x="1"/>
        <item x="5"/>
        <item x="0"/>
        <item x="3"/>
        <item x="6"/>
        <item x="4"/>
        <item x="2"/>
        <item x="7"/>
        <item t="default"/>
      </items>
    </pivotField>
    <pivotField dataField="1" dragToRow="0" dragToCol="0" dragToPage="0" showAll="0" defaultSubtotal="0"/>
    <pivotField dragToRow="0" dragToCol="0" dragToPage="0" showAll="0" defaultSubtotal="0"/>
  </pivotFields>
  <rowFields count="1">
    <field x="11"/>
  </rowFields>
  <rowItems count="9">
    <i>
      <x/>
    </i>
    <i>
      <x v="1"/>
    </i>
    <i>
      <x v="2"/>
    </i>
    <i>
      <x v="3"/>
    </i>
    <i>
      <x v="4"/>
    </i>
    <i>
      <x v="5"/>
    </i>
    <i>
      <x v="6"/>
    </i>
    <i>
      <x v="7"/>
    </i>
    <i t="grand">
      <x/>
    </i>
  </rowItems>
  <colFields count="1">
    <field x="-2"/>
  </colFields>
  <colItems count="3">
    <i>
      <x/>
    </i>
    <i i="1">
      <x v="1"/>
    </i>
    <i i="2">
      <x v="2"/>
    </i>
  </colItems>
  <dataFields count="3">
    <dataField name="Sum of Fixed Costs" fld="2" baseField="0" baseItem="0" numFmtId="3"/>
    <dataField name="Sum of Supplementary Pay" fld="3" baseField="0" baseItem="0"/>
    <dataField name="Sum of TotalCos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828C1-2852-4B51-87DB-1E4EDCC988D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33" firstHeaderRow="0" firstDataRow="1" firstDataCol="1"/>
  <pivotFields count="14">
    <pivotField showAll="0">
      <items count="5">
        <item h="1" x="0"/>
        <item h="1" x="1"/>
        <item h="1" x="2"/>
        <item x="3"/>
        <item t="default"/>
      </items>
    </pivotField>
    <pivotField axis="axisRow" showAll="0">
      <items count="13">
        <item x="0"/>
        <item x="1"/>
        <item x="2"/>
        <item x="3"/>
        <item x="4"/>
        <item x="5"/>
        <item x="6"/>
        <item x="7"/>
        <item x="8"/>
        <item x="9"/>
        <item x="10"/>
        <item x="11"/>
        <item t="default"/>
      </items>
    </pivotField>
    <pivotField dataField="1" numFmtId="3" showAll="0"/>
    <pivotField dataField="1" showAll="0"/>
    <pivotField dataField="1" numFmtId="9" showAll="0"/>
    <pivotField dataField="1" showAll="0"/>
    <pivotField dataField="1" showAll="0"/>
    <pivotField numFmtId="9" showAll="0"/>
    <pivotField numFmtId="9" showAll="0"/>
    <pivotField numFmtId="9" showAll="0"/>
    <pivotField numFmtId="9" showAll="0"/>
    <pivotField showAll="0">
      <items count="9">
        <item x="1"/>
        <item x="5"/>
        <item x="0"/>
        <item x="3"/>
        <item x="6"/>
        <item x="4"/>
        <item x="2"/>
        <item x="7"/>
        <item t="default"/>
      </items>
    </pivotField>
    <pivotField dragToRow="0" dragToCol="0" dragToPage="0" showAll="0" defaultSubtota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Fixed Costs" fld="2" baseField="0" baseItem="0" numFmtId="3"/>
    <dataField name="Sum of Supplementary Pay" fld="3" baseField="0" baseItem="0"/>
    <dataField name="Average of Productivity" fld="4" subtotal="average" baseField="1" baseItem="0" numFmtId="9"/>
    <dataField name="Sum of Base Salary" fld="5" baseField="0" baseItem="0"/>
    <dataField name="Sum of Bonuses" fld="6" baseField="0" baseItem="0"/>
    <dataField name="Sum of for max"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D3562E-935A-4FDB-AF98-EFCDFDABEAB8}" sourceName="Year">
  <pivotTables>
    <pivotTable tabId="5" name="PivotTable1"/>
    <pivotTable tabId="5" name="PivotTable2"/>
    <pivotTable tabId="5" name="PivotTable3"/>
    <pivotTable tabId="5" name="PivotTable4"/>
  </pivotTables>
  <data>
    <tabular pivotCacheId="240247995">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FD05584-FEF7-4F08-9BA0-3AAC1D87FB86}" sourceName="Month">
  <pivotTables>
    <pivotTable tabId="5" name="PivotTable1"/>
    <pivotTable tabId="5" name="PivotTable3"/>
    <pivotTable tabId="5" name="PivotTable4"/>
  </pivotTables>
  <data>
    <tabular pivotCacheId="240247995">
      <items count="12">
        <i x="0"/>
        <i x="1"/>
        <i x="2"/>
        <i x="3" s="1"/>
        <i x="4" s="1"/>
        <i x="5" s="1"/>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ies" xr10:uid="{2C5E684B-A11A-4BAD-A694-7F78A2E0DEEB}" sourceName="Employee Categories">
  <pivotTables>
    <pivotTable tabId="5" name="PivotTable1"/>
    <pivotTable tabId="5" name="PivotTable2"/>
    <pivotTable tabId="5" name="PivotTable3"/>
  </pivotTables>
  <data>
    <tabular pivotCacheId="240247995">
      <items count="8">
        <i x="1" s="1"/>
        <i x="5" s="1"/>
        <i x="0" s="1"/>
        <i x="3" s="1"/>
        <i x="6" s="1"/>
        <i x="4"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375B56-1417-4B1A-8C40-E1C32860AA1D}" cache="Slicer_Year" caption="Year" showCaption="0" style="SlicerStyleLight1 2" rowHeight="247650"/>
  <slicer name="Month" xr10:uid="{3B7A0A08-0579-4EA7-9185-85726DC4D977}" cache="Slicer_Month" caption="Month" columnCount="12" showCaption="0" style="SlicerStyleLight1 2" rowHeight="247650"/>
  <slicer name="Employee Categories" xr10:uid="{9EBF3965-E367-4A17-87B8-08B5B7E35185}" cache="Slicer_Employee_Categories" caption="Employee Categories" showCaption="0"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01F39-B6D3-41AF-BA0A-12601108AB26}" name="mydata" displayName="mydata" ref="A1:L385" totalsRowShown="0" headerRowDxfId="11" dataDxfId="10" dataCellStyle="Percent">
  <autoFilter ref="A1:L385" xr:uid="{AB101F39-B6D3-41AF-BA0A-12601108AB26}"/>
  <tableColumns count="12">
    <tableColumn id="1" xr3:uid="{43F94622-F83F-452E-B259-A6EAC0A6DA57}" name="Year" dataDxfId="9"/>
    <tableColumn id="2" xr3:uid="{A307B999-1840-4194-BD5C-8475FD3104FB}" name="Month" dataDxfId="8"/>
    <tableColumn id="3" xr3:uid="{FD0F927A-45D3-44F7-9E78-ED0589531695}" name="Fixed Costs" dataDxfId="7"/>
    <tableColumn id="4" xr3:uid="{3B0D5191-B615-4CF2-9C72-58E0C49F3F67}" name="Supplementary Pay" dataDxfId="6"/>
    <tableColumn id="5" xr3:uid="{A06C6585-D2BA-486D-BFFD-AA8E6A607993}" name="Productivity" dataDxfId="5" dataCellStyle="Percent"/>
    <tableColumn id="6" xr3:uid="{E48688E4-84B1-466A-9C69-0A7414C64488}" name="Base Salary"/>
    <tableColumn id="7" xr3:uid="{4E2E80D3-BD6E-44DA-B7CB-65A29BF6B442}" name="Bonuses"/>
    <tableColumn id="8" xr3:uid="{F44B66F7-AC15-47D7-85A1-290E7AA1EAEF}" name="Budget Fulfillment" dataDxfId="4" dataCellStyle="Percent"/>
    <tableColumn id="9" xr3:uid="{D4E7F519-A8F4-4B6F-B157-F765E4C76043}" name="Employee Productivity" dataDxfId="3" dataCellStyle="Percent"/>
    <tableColumn id="10" xr3:uid="{88F54C62-E8A1-4E15-B73A-57B6068B9A71}" name="Employee Satisfaction" dataDxfId="2" dataCellStyle="Percent"/>
    <tableColumn id="11" xr3:uid="{CDEA8C1C-D1C2-4F83-BB40-54664565FA12}" name="Task Deadline Compliance" dataDxfId="1" dataCellStyle="Percent"/>
    <tableColumn id="12" xr3:uid="{0B7FFC2A-80CE-4910-9FD1-B27D20BD5EC9}" name="Employee Catego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BA725-BCFC-420A-B6A1-5C5826F7C3D9}">
  <dimension ref="A1:C1"/>
  <sheetViews>
    <sheetView showRowColHeaders="0" tabSelected="1" zoomScale="90" zoomScaleNormal="90" workbookViewId="0">
      <selection activeCell="W12" sqref="W12"/>
    </sheetView>
  </sheetViews>
  <sheetFormatPr defaultColWidth="8.85546875" defaultRowHeight="15" x14ac:dyDescent="0.25"/>
  <cols>
    <col min="1" max="16384" width="8.85546875" style="1"/>
  </cols>
  <sheetData>
    <row r="1" spans="1:3" x14ac:dyDescent="0.25">
      <c r="A1" s="36"/>
      <c r="B1" s="36"/>
      <c r="C1" s="36"/>
    </row>
  </sheetData>
  <mergeCells count="1">
    <mergeCell ref="A1:C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4DF7-2DEC-46EE-9D97-7DBB9FB3C323}">
  <dimension ref="A1:R94"/>
  <sheetViews>
    <sheetView workbookViewId="0">
      <selection activeCell="C1" sqref="C1"/>
    </sheetView>
  </sheetViews>
  <sheetFormatPr defaultRowHeight="15" x14ac:dyDescent="0.25"/>
  <cols>
    <col min="1" max="1" width="9.28515625" customWidth="1"/>
    <col min="2" max="2" width="12.28515625" bestFit="1" customWidth="1"/>
    <col min="3" max="3" width="20.140625" bestFit="1" customWidth="1"/>
    <col min="9" max="9" width="11.140625" customWidth="1"/>
  </cols>
  <sheetData>
    <row r="1" spans="1:18" x14ac:dyDescent="0.25">
      <c r="A1" t="s">
        <v>23</v>
      </c>
      <c r="C1" s="34"/>
      <c r="J1" t="s">
        <v>36</v>
      </c>
      <c r="K1" s="3">
        <f>GETPIVOTDATA("Average of Budget Fulfillment",Control!$A$3)</f>
        <v>0.59999999999999964</v>
      </c>
      <c r="L1" s="3">
        <f>IF(K1&lt;100%,K1,0)</f>
        <v>0.59999999999999964</v>
      </c>
      <c r="M1" s="8">
        <f>IF(K1&lt;100%,0.2%,K1-100%)</f>
        <v>2E-3</v>
      </c>
      <c r="N1" s="4">
        <f>IF(K1&lt;100%,100%-L1,0)</f>
        <v>0.40000000000000036</v>
      </c>
      <c r="O1" s="4">
        <f>IF(K1&lt;100%,0,100%-M1)</f>
        <v>0</v>
      </c>
      <c r="P1" t="s">
        <v>29</v>
      </c>
      <c r="Q1" s="3">
        <f>GETPIVOTDATA("Average of Task Deadline Compliance",Control!$A$3)</f>
        <v>0.65</v>
      </c>
    </row>
    <row r="2" spans="1:18" x14ac:dyDescent="0.25">
      <c r="Q2" s="3">
        <f>Q1</f>
        <v>0.65</v>
      </c>
      <c r="R2" s="4">
        <f>100%-Q2</f>
        <v>0.35</v>
      </c>
    </row>
    <row r="3" spans="1:18" x14ac:dyDescent="0.25">
      <c r="A3" t="s">
        <v>16</v>
      </c>
      <c r="B3" s="5">
        <f>GETPIVOTDATA("Sum of TotalCost",Control!$A$36,"Employee Categories",""&amp;A3)</f>
        <v>146350</v>
      </c>
      <c r="C3" s="5">
        <f t="shared" ref="C3:G11" si="0">$B3</f>
        <v>146350</v>
      </c>
      <c r="D3" s="5">
        <f t="shared" si="0"/>
        <v>146350</v>
      </c>
      <c r="E3" s="5">
        <f t="shared" si="0"/>
        <v>146350</v>
      </c>
      <c r="F3" s="5">
        <f t="shared" si="0"/>
        <v>146350</v>
      </c>
      <c r="G3" s="5">
        <f t="shared" si="0"/>
        <v>146350</v>
      </c>
      <c r="H3" s="5">
        <f>GETPIVOTDATA("Sum of TotalCost",Control!$A$48,"Employee Categories",""&amp;A3)</f>
        <v>146350</v>
      </c>
      <c r="J3" t="s">
        <v>30</v>
      </c>
      <c r="K3" s="3">
        <f>GETPIVOTDATA("Average of Employee Productivity",Control!$A$3)</f>
        <v>0.56041666666666679</v>
      </c>
      <c r="L3" s="3">
        <f>IF(K3&lt;100%,K3,100%)</f>
        <v>0.56041666666666679</v>
      </c>
      <c r="M3" s="4">
        <f>IF(K3&lt;100%,100%-K3,0)</f>
        <v>0.43958333333333321</v>
      </c>
      <c r="N3" t="s">
        <v>26</v>
      </c>
      <c r="Q3" s="3">
        <f>Q2</f>
        <v>0.65</v>
      </c>
      <c r="R3" s="3">
        <f>R2</f>
        <v>0.35</v>
      </c>
    </row>
    <row r="4" spans="1:18" x14ac:dyDescent="0.25">
      <c r="A4" t="s">
        <v>17</v>
      </c>
      <c r="B4" s="5">
        <f>GETPIVOTDATA("Sum of TotalCost",Control!$A$36,"Employee Categories",""&amp;A4)</f>
        <v>189850</v>
      </c>
      <c r="C4" s="5">
        <f t="shared" si="0"/>
        <v>189850</v>
      </c>
      <c r="D4" s="5">
        <f t="shared" si="0"/>
        <v>189850</v>
      </c>
      <c r="E4" s="5">
        <f t="shared" si="0"/>
        <v>189850</v>
      </c>
      <c r="F4" s="5">
        <f t="shared" si="0"/>
        <v>189850</v>
      </c>
      <c r="G4" s="5">
        <f t="shared" si="0"/>
        <v>189850</v>
      </c>
      <c r="H4" s="5">
        <f>GETPIVOTDATA("Sum of TotalCost",Control!$A$48,"Employee Categories",""&amp;A4)</f>
        <v>189850</v>
      </c>
      <c r="K4" s="3">
        <f>GETPIVOTDATA("Average of Employee Satisfaction",Control!$A$3)</f>
        <v>0.60416666666666663</v>
      </c>
      <c r="L4" s="3">
        <f>IF(K4&lt;100%,K4,100%)</f>
        <v>0.60416666666666663</v>
      </c>
      <c r="M4" s="4">
        <f>IF(K4&lt;100%,100%-K4,0)</f>
        <v>0.39583333333333337</v>
      </c>
      <c r="N4" t="s">
        <v>70</v>
      </c>
      <c r="Q4" s="3">
        <f>Q3</f>
        <v>0.65</v>
      </c>
      <c r="R4" s="3">
        <f>R3</f>
        <v>0.35</v>
      </c>
    </row>
    <row r="5" spans="1:18" x14ac:dyDescent="0.25">
      <c r="A5" t="s">
        <v>18</v>
      </c>
      <c r="B5" s="5">
        <f>GETPIVOTDATA("Sum of TotalCost",Control!$A$36,"Employee Categories",""&amp;A5)</f>
        <v>267390</v>
      </c>
      <c r="C5" s="5">
        <f t="shared" si="0"/>
        <v>267390</v>
      </c>
      <c r="D5" s="5">
        <f t="shared" si="0"/>
        <v>267390</v>
      </c>
      <c r="E5" s="5">
        <f t="shared" si="0"/>
        <v>267390</v>
      </c>
      <c r="F5" s="5">
        <f t="shared" si="0"/>
        <v>267390</v>
      </c>
      <c r="G5" s="5">
        <f t="shared" si="0"/>
        <v>267390</v>
      </c>
      <c r="H5" s="5">
        <f>GETPIVOTDATA("Sum of TotalCost",Control!$A$48,"Employee Categories",""&amp;A5)</f>
        <v>267390</v>
      </c>
      <c r="J5" t="s">
        <v>32</v>
      </c>
      <c r="K5" s="4">
        <f>IF(K4&lt;100%,K4,"")</f>
        <v>0.60416666666666663</v>
      </c>
      <c r="L5" s="4">
        <f>IF(K4&lt;100%,0,K4-100%)</f>
        <v>0</v>
      </c>
      <c r="M5" s="4">
        <f>IF(K4&lt;100%,0,100%-L5)</f>
        <v>0</v>
      </c>
      <c r="Q5" s="5">
        <v>1</v>
      </c>
      <c r="R5" s="5">
        <v>1</v>
      </c>
    </row>
    <row r="6" spans="1:18" x14ac:dyDescent="0.25">
      <c r="A6" t="s">
        <v>19</v>
      </c>
      <c r="B6" s="5">
        <f>GETPIVOTDATA("Sum of TotalCost",Control!$A$36,"Employee Categories",""&amp;A6)</f>
        <v>156530</v>
      </c>
      <c r="C6" s="5">
        <f t="shared" si="0"/>
        <v>156530</v>
      </c>
      <c r="D6" s="5">
        <f t="shared" si="0"/>
        <v>156530</v>
      </c>
      <c r="E6" s="5">
        <f t="shared" si="0"/>
        <v>156530</v>
      </c>
      <c r="F6" s="5">
        <f t="shared" si="0"/>
        <v>156530</v>
      </c>
      <c r="G6" s="5">
        <f t="shared" si="0"/>
        <v>156530</v>
      </c>
      <c r="H6" s="5">
        <f>GETPIVOTDATA("Sum of TotalCost",Control!$A$48,"Employee Categories",""&amp;A6)</f>
        <v>156530</v>
      </c>
      <c r="J6" t="s">
        <v>33</v>
      </c>
      <c r="K6" s="4">
        <f>IF(K3&lt;100%,K3,"")</f>
        <v>0.56041666666666679</v>
      </c>
      <c r="L6" s="4">
        <f>IF(K3&lt;100%,0,K3-100%)</f>
        <v>0</v>
      </c>
      <c r="M6" s="4">
        <f>IF(K3&lt;100%,0,100%-L6)</f>
        <v>0</v>
      </c>
      <c r="Q6" s="5">
        <v>2</v>
      </c>
      <c r="R6" s="5">
        <v>1</v>
      </c>
    </row>
    <row r="7" spans="1:18" x14ac:dyDescent="0.25">
      <c r="A7" t="s">
        <v>20</v>
      </c>
      <c r="B7" s="5">
        <f>GETPIVOTDATA("Sum of TotalCost",Control!$A$36,"Employee Categories",""&amp;A7)</f>
        <v>284950</v>
      </c>
      <c r="C7" s="5">
        <f t="shared" si="0"/>
        <v>284950</v>
      </c>
      <c r="D7" s="5">
        <f t="shared" si="0"/>
        <v>284950</v>
      </c>
      <c r="E7" s="5">
        <f t="shared" si="0"/>
        <v>284950</v>
      </c>
      <c r="F7" s="5">
        <f t="shared" si="0"/>
        <v>284950</v>
      </c>
      <c r="G7" s="5">
        <f t="shared" si="0"/>
        <v>284950</v>
      </c>
      <c r="H7" s="5">
        <f>GETPIVOTDATA("Sum of TotalCost",Control!$A$48,"Employee Categories",""&amp;A7)</f>
        <v>284950</v>
      </c>
      <c r="J7" t="s">
        <v>32</v>
      </c>
      <c r="K7" s="4" t="str">
        <f>IF(K4&gt;100%,K4,"")</f>
        <v/>
      </c>
      <c r="Q7" s="5">
        <v>3</v>
      </c>
      <c r="R7" s="5">
        <v>1</v>
      </c>
    </row>
    <row r="8" spans="1:18" x14ac:dyDescent="0.25">
      <c r="A8" t="s">
        <v>21</v>
      </c>
      <c r="B8" s="5">
        <f>GETPIVOTDATA("Sum of TotalCost",Control!$A$36,"Employee Categories",""&amp;A8)</f>
        <v>216060</v>
      </c>
      <c r="C8" s="5">
        <f t="shared" si="0"/>
        <v>216060</v>
      </c>
      <c r="D8" s="5">
        <f t="shared" si="0"/>
        <v>216060</v>
      </c>
      <c r="E8" s="5">
        <f t="shared" si="0"/>
        <v>216060</v>
      </c>
      <c r="F8" s="5">
        <f t="shared" si="0"/>
        <v>216060</v>
      </c>
      <c r="G8" s="5">
        <f t="shared" si="0"/>
        <v>216060</v>
      </c>
      <c r="H8" s="5">
        <f>GETPIVOTDATA("Sum of TotalCost",Control!$A$48,"Employee Categories",""&amp;A8)</f>
        <v>216060</v>
      </c>
      <c r="J8" t="s">
        <v>33</v>
      </c>
      <c r="K8" s="4" t="str">
        <f>IF(K3&gt;100%,K3,"")</f>
        <v/>
      </c>
      <c r="Q8" s="5">
        <v>4</v>
      </c>
      <c r="R8" s="5">
        <v>1</v>
      </c>
    </row>
    <row r="9" spans="1:18" x14ac:dyDescent="0.25">
      <c r="A9" t="s">
        <v>22</v>
      </c>
      <c r="B9" s="5">
        <f>GETPIVOTDATA("Sum of TotalCost",Control!$A$36,"Employee Categories",""&amp;A9)</f>
        <v>293660</v>
      </c>
      <c r="C9" s="5">
        <f t="shared" si="0"/>
        <v>293660</v>
      </c>
      <c r="D9" s="5">
        <f t="shared" si="0"/>
        <v>293660</v>
      </c>
      <c r="E9" s="5">
        <f t="shared" si="0"/>
        <v>293660</v>
      </c>
      <c r="F9" s="5">
        <f t="shared" si="0"/>
        <v>293660</v>
      </c>
      <c r="G9" s="5">
        <f t="shared" si="0"/>
        <v>293660</v>
      </c>
      <c r="H9" s="5">
        <f>GETPIVOTDATA("Sum of TotalCost",Control!$A$48,"Employee Categories",""&amp;A9)</f>
        <v>293660</v>
      </c>
      <c r="Q9" s="5">
        <v>5</v>
      </c>
      <c r="R9" s="5">
        <v>1</v>
      </c>
    </row>
    <row r="10" spans="1:18" x14ac:dyDescent="0.25">
      <c r="A10" t="s">
        <v>15</v>
      </c>
      <c r="B10" s="5">
        <f>GETPIVOTDATA("Sum of TotalCost",Control!$A$36,"Employee Categories",""&amp;A10)</f>
        <v>222130</v>
      </c>
      <c r="C10" s="5">
        <f t="shared" si="0"/>
        <v>222130</v>
      </c>
      <c r="D10" s="5">
        <f t="shared" si="0"/>
        <v>222130</v>
      </c>
      <c r="E10" s="5">
        <f t="shared" si="0"/>
        <v>222130</v>
      </c>
      <c r="F10" s="5">
        <f t="shared" si="0"/>
        <v>222130</v>
      </c>
      <c r="G10" s="5">
        <f t="shared" si="0"/>
        <v>222130</v>
      </c>
      <c r="H10" s="5">
        <f>GETPIVOTDATA("Sum of TotalCost",Control!$A$48,"Employee Categories",""&amp;A10)</f>
        <v>222130</v>
      </c>
      <c r="Q10" s="5">
        <v>6</v>
      </c>
      <c r="R10" s="5">
        <v>1</v>
      </c>
    </row>
    <row r="11" spans="1:18" x14ac:dyDescent="0.25">
      <c r="B11" cm="1">
        <f t="array" ref="B11">IF(AND(ISNUMBER(B3:B10)),0,SUM(H3:H10)-SUM(IFERROR(B3:B10,0)))</f>
        <v>0</v>
      </c>
      <c r="C11" s="5">
        <f t="shared" si="0"/>
        <v>0</v>
      </c>
      <c r="D11" s="5">
        <f t="shared" si="0"/>
        <v>0</v>
      </c>
      <c r="E11" s="5">
        <f t="shared" si="0"/>
        <v>0</v>
      </c>
      <c r="F11" s="5">
        <f t="shared" si="0"/>
        <v>0</v>
      </c>
      <c r="G11" s="5">
        <f t="shared" si="0"/>
        <v>0</v>
      </c>
      <c r="H11" s="5" t="e">
        <f>GETPIVOTDATA("Sum of TotalCost",Control!$A$48,"Employee Categories",""&amp;A11)</f>
        <v>#REF!</v>
      </c>
      <c r="Q11" s="5">
        <v>7</v>
      </c>
      <c r="R11" s="5">
        <v>1</v>
      </c>
    </row>
    <row r="12" spans="1:18" x14ac:dyDescent="0.25">
      <c r="A12" t="s">
        <v>51</v>
      </c>
      <c r="B12" s="17">
        <f>GETPIVOTDATA("Sum of Fixed Costs",Control!$A$36)+GETPIVOTDATA("Sum of Supplementary Pay",Control!$A$36)</f>
        <v>1776920</v>
      </c>
      <c r="Q12" s="5">
        <v>8</v>
      </c>
      <c r="R12" s="5">
        <v>1</v>
      </c>
    </row>
    <row r="13" spans="1:18" x14ac:dyDescent="0.25">
      <c r="B13" s="17">
        <f>GETPIVOTDATA("Sum of TotalCost",Control!$A$48)</f>
        <v>1776920</v>
      </c>
      <c r="P13" s="4"/>
      <c r="Q13" s="5">
        <v>9</v>
      </c>
      <c r="R13" s="5">
        <v>1</v>
      </c>
    </row>
    <row r="14" spans="1:18" x14ac:dyDescent="0.25">
      <c r="P14" s="4"/>
      <c r="Q14" s="5">
        <v>10</v>
      </c>
      <c r="R14" s="5">
        <v>1</v>
      </c>
    </row>
    <row r="15" spans="1:18" x14ac:dyDescent="0.25">
      <c r="A15" t="s">
        <v>31</v>
      </c>
      <c r="B15" t="s">
        <v>24</v>
      </c>
      <c r="C15" t="s">
        <v>25</v>
      </c>
      <c r="D15" t="s">
        <v>26</v>
      </c>
      <c r="H15" s="9" t="s">
        <v>69</v>
      </c>
      <c r="I15" s="6" t="s">
        <v>12</v>
      </c>
      <c r="J15" s="6" t="s">
        <v>13</v>
      </c>
      <c r="K15" s="7" t="s">
        <v>14</v>
      </c>
      <c r="Q15" s="5">
        <v>11</v>
      </c>
      <c r="R15" s="5">
        <v>1</v>
      </c>
    </row>
    <row r="16" spans="1:18" x14ac:dyDescent="0.25">
      <c r="A16" t="s">
        <v>0</v>
      </c>
      <c r="B16" s="4">
        <f>GETPIVOTDATA("Sum of Fixed Costs",Control!$A$20,"Month",""&amp;A16)/$B$30</f>
        <v>0.25713741427482856</v>
      </c>
      <c r="C16" s="4">
        <f>GETPIVOTDATA("Sum of Supplementary Pay",Control!$A$20,"Month",""&amp;A16)/$B$30</f>
        <v>0.18042926085852171</v>
      </c>
      <c r="D16" s="4">
        <f>GETPIVOTDATA("Average of Productivity",Control!$A$20,"Month",""&amp;A16)</f>
        <v>0.5675</v>
      </c>
      <c r="E16" s="4" t="e">
        <f>IF(ISNA(F16),F16,B16+C16)</f>
        <v>#N/A</v>
      </c>
      <c r="F16" s="4" t="e">
        <f>IFERROR(GETPIVOTDATA("Productivity",Control!$A$3,"Month",""&amp;A16),NA())</f>
        <v>#N/A</v>
      </c>
      <c r="H16" t="s">
        <v>0</v>
      </c>
      <c r="I16">
        <f>GETPIVOTDATA("Sum of Base Salary",Control!$A$20,"Month",""&amp;A16)</f>
        <v>107260</v>
      </c>
      <c r="J16">
        <f>GETPIVOTDATA("Sum of Bonuses",Control!$A$20,"Month",""&amp;A16)</f>
        <v>51560</v>
      </c>
      <c r="K16" s="5" t="e">
        <f>IF(ISNA(F16),F16,J16)</f>
        <v>#N/A</v>
      </c>
      <c r="Q16" s="5">
        <v>12</v>
      </c>
      <c r="R16" s="5">
        <v>1</v>
      </c>
    </row>
    <row r="17" spans="1:18" x14ac:dyDescent="0.25">
      <c r="A17" t="s">
        <v>1</v>
      </c>
      <c r="B17" s="4">
        <f>GETPIVOTDATA("Sum of Fixed Costs",Control!$A$20,"Month",""&amp;A17)/$B$30</f>
        <v>0.38387096774193546</v>
      </c>
      <c r="C17" s="4">
        <f>GETPIVOTDATA("Sum of Supplementary Pay",Control!$A$20,"Month",""&amp;A17)/$B$30</f>
        <v>0.30339090678181357</v>
      </c>
      <c r="D17" s="4">
        <f>GETPIVOTDATA("Average of Productivity",Control!$A$20,"Month",""&amp;A17)</f>
        <v>0.56624999999999992</v>
      </c>
      <c r="E17" s="4" t="e">
        <f t="shared" ref="E17:E27" si="1">IF(ISNA(F17),F17,B17+C17)</f>
        <v>#N/A</v>
      </c>
      <c r="F17" s="4" t="e">
        <f>IFERROR(GETPIVOTDATA("Productivity",Control!$A$3,"Month",""&amp;A17),NA())</f>
        <v>#N/A</v>
      </c>
      <c r="H17" t="s">
        <v>1</v>
      </c>
      <c r="I17">
        <f>GETPIVOTDATA("Sum of Base Salary",Control!$A$20,"Month",""&amp;A17)</f>
        <v>105695</v>
      </c>
      <c r="J17">
        <f>GETPIVOTDATA("Sum of Bonuses",Control!$A$20,"Month",""&amp;A17)</f>
        <v>42060</v>
      </c>
      <c r="K17" s="5" t="e">
        <f t="shared" ref="K17:K27" si="2">IF(ISNA(F17),F17,J17)</f>
        <v>#N/A</v>
      </c>
      <c r="Q17" s="5">
        <v>13</v>
      </c>
      <c r="R17" s="5">
        <v>1</v>
      </c>
    </row>
    <row r="18" spans="1:18" x14ac:dyDescent="0.25">
      <c r="A18" t="s">
        <v>2</v>
      </c>
      <c r="B18" s="4">
        <f>GETPIVOTDATA("Sum of Fixed Costs",Control!$A$20,"Month",""&amp;A18)/$B$30</f>
        <v>0.58835407670815343</v>
      </c>
      <c r="C18" s="4">
        <f>GETPIVOTDATA("Sum of Supplementary Pay",Control!$A$20,"Month",""&amp;A18)/$B$30</f>
        <v>0.41164592329184657</v>
      </c>
      <c r="D18" s="4">
        <f>GETPIVOTDATA("Average of Productivity",Control!$A$20,"Month",""&amp;A18)</f>
        <v>0.65</v>
      </c>
      <c r="E18" s="4" t="e">
        <f t="shared" si="1"/>
        <v>#N/A</v>
      </c>
      <c r="F18" s="4" t="e">
        <f>IFERROR(GETPIVOTDATA("Productivity",Control!$A$3,"Month",""&amp;A18),NA())</f>
        <v>#N/A</v>
      </c>
      <c r="H18" t="s">
        <v>2</v>
      </c>
      <c r="I18">
        <f>GETPIVOTDATA("Sum of Base Salary",Control!$A$20,"Month",""&amp;A18)</f>
        <v>104405</v>
      </c>
      <c r="J18">
        <f>GETPIVOTDATA("Sum of Bonuses",Control!$A$20,"Month",""&amp;A18)</f>
        <v>46460</v>
      </c>
      <c r="K18" s="5" t="e">
        <f t="shared" si="2"/>
        <v>#N/A</v>
      </c>
      <c r="Q18" s="5">
        <v>14</v>
      </c>
      <c r="R18" s="5">
        <v>1</v>
      </c>
    </row>
    <row r="19" spans="1:18" x14ac:dyDescent="0.25">
      <c r="A19" t="s">
        <v>3</v>
      </c>
      <c r="B19" s="4">
        <f>GETPIVOTDATA("Sum of Fixed Costs",Control!$A$20,"Month",""&amp;A19)/$B$30</f>
        <v>0.48524257048514097</v>
      </c>
      <c r="C19" s="4">
        <f>GETPIVOTDATA("Sum of Supplementary Pay",Control!$A$20,"Month",""&amp;A19)/$B$30</f>
        <v>0.39546609093218188</v>
      </c>
      <c r="D19" s="4">
        <f>GETPIVOTDATA("Average of Productivity",Control!$A$20,"Month",""&amp;A19)</f>
        <v>0.72875000000000001</v>
      </c>
      <c r="E19" s="4">
        <f t="shared" si="1"/>
        <v>0.88070866141732285</v>
      </c>
      <c r="F19" s="4">
        <f>IFERROR(GETPIVOTDATA("Productivity",Control!$A$3,"Month",""&amp;A19),NA())</f>
        <v>0.72875000000000001</v>
      </c>
      <c r="H19" t="s">
        <v>3</v>
      </c>
      <c r="I19">
        <f>GETPIVOTDATA("Sum of Base Salary",Control!$A$20,"Month",""&amp;A19)</f>
        <v>102253</v>
      </c>
      <c r="J19">
        <f>GETPIVOTDATA("Sum of Bonuses",Control!$A$20,"Month",""&amp;A19)</f>
        <v>57960</v>
      </c>
      <c r="K19" s="5">
        <f t="shared" si="2"/>
        <v>57960</v>
      </c>
      <c r="Q19" s="5">
        <v>15</v>
      </c>
      <c r="R19" s="5">
        <v>1</v>
      </c>
    </row>
    <row r="20" spans="1:18" x14ac:dyDescent="0.25">
      <c r="A20" t="s">
        <v>4</v>
      </c>
      <c r="B20" s="4">
        <f>GETPIVOTDATA("Sum of Fixed Costs",Control!$A$20,"Month",""&amp;A20)/$B$30</f>
        <v>0.4327279654559309</v>
      </c>
      <c r="C20" s="4">
        <f>GETPIVOTDATA("Sum of Supplementary Pay",Control!$A$20,"Month",""&amp;A20)/$B$30</f>
        <v>0.31752603505207011</v>
      </c>
      <c r="D20" s="4">
        <f>GETPIVOTDATA("Average of Productivity",Control!$A$20,"Month",""&amp;A20)</f>
        <v>0.59375</v>
      </c>
      <c r="E20" s="4">
        <f t="shared" si="1"/>
        <v>0.75025400050800095</v>
      </c>
      <c r="F20" s="4">
        <f>IFERROR(GETPIVOTDATA("Productivity",Control!$A$3,"Month",""&amp;A20),NA())</f>
        <v>0.59375</v>
      </c>
      <c r="H20" t="s">
        <v>4</v>
      </c>
      <c r="I20">
        <f>GETPIVOTDATA("Sum of Base Salary",Control!$A$20,"Month",""&amp;A20)</f>
        <v>118346</v>
      </c>
      <c r="J20">
        <f>GETPIVOTDATA("Sum of Bonuses",Control!$A$20,"Month",""&amp;A20)</f>
        <v>61940</v>
      </c>
      <c r="K20" s="5">
        <f t="shared" si="2"/>
        <v>61940</v>
      </c>
      <c r="Q20" s="5">
        <v>16</v>
      </c>
      <c r="R20" s="5">
        <v>1</v>
      </c>
    </row>
    <row r="21" spans="1:18" x14ac:dyDescent="0.25">
      <c r="A21" t="s">
        <v>5</v>
      </c>
      <c r="B21" s="4">
        <f>GETPIVOTDATA("Sum of Fixed Costs",Control!$A$20,"Month",""&amp;A21)/$B$30</f>
        <v>0.38989077978155956</v>
      </c>
      <c r="C21" s="4">
        <f>GETPIVOTDATA("Sum of Supplementary Pay",Control!$A$20,"Month",""&amp;A21)/$B$30</f>
        <v>0.23583947167894337</v>
      </c>
      <c r="D21" s="4">
        <f>GETPIVOTDATA("Average of Productivity",Control!$A$20,"Month",""&amp;A21)</f>
        <v>0.61624999999999996</v>
      </c>
      <c r="E21" s="4">
        <f t="shared" si="1"/>
        <v>0.62573025146050298</v>
      </c>
      <c r="F21" s="4">
        <f>IFERROR(GETPIVOTDATA("Productivity",Control!$A$3,"Month",""&amp;A21),NA())</f>
        <v>0.61624999999999996</v>
      </c>
      <c r="H21" t="s">
        <v>5</v>
      </c>
      <c r="I21">
        <f>GETPIVOTDATA("Sum of Base Salary",Control!$A$20,"Month",""&amp;A21)</f>
        <v>117876</v>
      </c>
      <c r="J21">
        <f>GETPIVOTDATA("Sum of Bonuses",Control!$A$20,"Month",""&amp;A21)</f>
        <v>59900</v>
      </c>
      <c r="K21" s="5">
        <f t="shared" si="2"/>
        <v>59900</v>
      </c>
      <c r="Q21" s="5">
        <v>17</v>
      </c>
      <c r="R21" s="5">
        <v>1</v>
      </c>
    </row>
    <row r="22" spans="1:18" x14ac:dyDescent="0.25">
      <c r="A22" t="s">
        <v>6</v>
      </c>
      <c r="B22" s="4">
        <f>GETPIVOTDATA("Sum of Fixed Costs",Control!$A$20,"Month",""&amp;A22)/$B$30</f>
        <v>0.37745745491490984</v>
      </c>
      <c r="C22" s="4">
        <f>GETPIVOTDATA("Sum of Supplementary Pay",Control!$A$20,"Month",""&amp;A22)/$B$30</f>
        <v>0.24827279654559309</v>
      </c>
      <c r="D22" s="4">
        <f>GETPIVOTDATA("Average of Productivity",Control!$A$20,"Month",""&amp;A22)</f>
        <v>0.65500000000000003</v>
      </c>
      <c r="E22" s="4" t="e">
        <f t="shared" si="1"/>
        <v>#N/A</v>
      </c>
      <c r="F22" s="4" t="e">
        <f>IFERROR(GETPIVOTDATA("Productivity",Control!$A$3,"Month",""&amp;A22),NA())</f>
        <v>#N/A</v>
      </c>
      <c r="H22" t="s">
        <v>6</v>
      </c>
      <c r="I22">
        <f>GETPIVOTDATA("Sum of Base Salary",Control!$A$20,"Month",""&amp;A22)</f>
        <v>116949</v>
      </c>
      <c r="J22">
        <f>GETPIVOTDATA("Sum of Bonuses",Control!$A$20,"Month",""&amp;A22)</f>
        <v>57300</v>
      </c>
      <c r="K22" s="5" t="e">
        <f t="shared" si="2"/>
        <v>#N/A</v>
      </c>
      <c r="Q22" s="5">
        <v>18</v>
      </c>
      <c r="R22" s="5">
        <v>1</v>
      </c>
    </row>
    <row r="23" spans="1:18" x14ac:dyDescent="0.25">
      <c r="A23" t="s">
        <v>7</v>
      </c>
      <c r="B23" s="4">
        <f>GETPIVOTDATA("Sum of Fixed Costs",Control!$A$20,"Month",""&amp;A23)/$B$30</f>
        <v>0.41466852933705867</v>
      </c>
      <c r="C23" s="4">
        <f>GETPIVOTDATA("Sum of Supplementary Pay",Control!$A$20,"Month",""&amp;A23)/$B$30</f>
        <v>0.33564897129794258</v>
      </c>
      <c r="D23" s="4">
        <f>GETPIVOTDATA("Average of Productivity",Control!$A$20,"Month",""&amp;A23)</f>
        <v>0.63749999999999996</v>
      </c>
      <c r="E23" s="4" t="e">
        <f t="shared" si="1"/>
        <v>#N/A</v>
      </c>
      <c r="F23" s="4" t="e">
        <f>IFERROR(GETPIVOTDATA("Productivity",Control!$A$3,"Month",""&amp;A23),NA())</f>
        <v>#N/A</v>
      </c>
      <c r="H23" t="s">
        <v>7</v>
      </c>
      <c r="I23">
        <f>GETPIVOTDATA("Sum of Base Salary",Control!$A$20,"Month",""&amp;A23)</f>
        <v>118526</v>
      </c>
      <c r="J23">
        <f>GETPIVOTDATA("Sum of Bonuses",Control!$A$20,"Month",""&amp;A23)</f>
        <v>60120</v>
      </c>
      <c r="K23" s="5" t="e">
        <f t="shared" si="2"/>
        <v>#N/A</v>
      </c>
      <c r="Q23" s="5">
        <v>19</v>
      </c>
      <c r="R23" s="5">
        <v>1</v>
      </c>
    </row>
    <row r="24" spans="1:18" x14ac:dyDescent="0.25">
      <c r="A24" t="s">
        <v>8</v>
      </c>
      <c r="B24" s="4">
        <f>GETPIVOTDATA("Sum of Fixed Costs",Control!$A$20,"Month",""&amp;A24)/$B$30</f>
        <v>0.54359918719837441</v>
      </c>
      <c r="C24" s="4">
        <f>GETPIVOTDATA("Sum of Supplementary Pay",Control!$A$20,"Month",""&amp;A24)/$B$30</f>
        <v>0.33708407416814834</v>
      </c>
      <c r="D24" s="4">
        <f>GETPIVOTDATA("Average of Productivity",Control!$A$20,"Month",""&amp;A24)</f>
        <v>0.65250000000000008</v>
      </c>
      <c r="E24" s="4" t="e">
        <f t="shared" si="1"/>
        <v>#N/A</v>
      </c>
      <c r="F24" s="4" t="e">
        <f>IFERROR(GETPIVOTDATA("Productivity",Control!$A$3,"Month",""&amp;A24),NA())</f>
        <v>#N/A</v>
      </c>
      <c r="H24" t="s">
        <v>8</v>
      </c>
      <c r="I24">
        <f>GETPIVOTDATA("Sum of Base Salary",Control!$A$20,"Month",""&amp;A24)</f>
        <v>121179</v>
      </c>
      <c r="J24">
        <f>GETPIVOTDATA("Sum of Bonuses",Control!$A$20,"Month",""&amp;A24)</f>
        <v>52000</v>
      </c>
      <c r="K24" s="5" t="e">
        <f t="shared" si="2"/>
        <v>#N/A</v>
      </c>
      <c r="Q24" s="5">
        <v>20</v>
      </c>
      <c r="R24" s="5">
        <v>1</v>
      </c>
    </row>
    <row r="25" spans="1:18" x14ac:dyDescent="0.25">
      <c r="A25" t="s">
        <v>9</v>
      </c>
      <c r="B25" s="4">
        <f>GETPIVOTDATA("Sum of Fixed Costs",Control!$A$20,"Month",""&amp;A25)/$B$30</f>
        <v>0.57345694691389382</v>
      </c>
      <c r="C25" s="4">
        <f>GETPIVOTDATA("Sum of Supplementary Pay",Control!$A$20,"Month",""&amp;A25)/$B$30</f>
        <v>0.42654305308610618</v>
      </c>
      <c r="D25" s="4">
        <f>GETPIVOTDATA("Average of Productivity",Control!$A$20,"Month",""&amp;A25)</f>
        <v>0.65500000000000003</v>
      </c>
      <c r="E25" s="4" t="e">
        <f t="shared" si="1"/>
        <v>#N/A</v>
      </c>
      <c r="F25" s="4" t="e">
        <f>IFERROR(GETPIVOTDATA("Productivity",Control!$A$3,"Month",""&amp;A25),NA())</f>
        <v>#N/A</v>
      </c>
      <c r="H25" t="s">
        <v>9</v>
      </c>
      <c r="I25">
        <f>GETPIVOTDATA("Sum of Base Salary",Control!$A$20,"Month",""&amp;A25)</f>
        <v>122137</v>
      </c>
      <c r="J25">
        <f>GETPIVOTDATA("Sum of Bonuses",Control!$A$20,"Month",""&amp;A25)</f>
        <v>42520</v>
      </c>
      <c r="K25" s="5" t="e">
        <f t="shared" si="2"/>
        <v>#N/A</v>
      </c>
      <c r="Q25" s="5">
        <v>21</v>
      </c>
      <c r="R25" s="5">
        <v>1</v>
      </c>
    </row>
    <row r="26" spans="1:18" x14ac:dyDescent="0.25">
      <c r="A26" t="s">
        <v>10</v>
      </c>
      <c r="B26" s="4">
        <f>GETPIVOTDATA("Sum of Fixed Costs",Control!$A$20,"Month",""&amp;A26)/$B$30</f>
        <v>0.40109220218440439</v>
      </c>
      <c r="C26" s="4">
        <f>GETPIVOTDATA("Sum of Supplementary Pay",Control!$A$20,"Month",""&amp;A26)/$B$30</f>
        <v>0.2861950723901448</v>
      </c>
      <c r="D26" s="4">
        <f>GETPIVOTDATA("Average of Productivity",Control!$A$20,"Month",""&amp;A26)</f>
        <v>0.52124999999999999</v>
      </c>
      <c r="E26" s="4" t="e">
        <f t="shared" si="1"/>
        <v>#N/A</v>
      </c>
      <c r="F26" s="4" t="e">
        <f>IFERROR(GETPIVOTDATA("Productivity",Control!$A$3,"Month",""&amp;A26),NA())</f>
        <v>#N/A</v>
      </c>
      <c r="H26" t="s">
        <v>10</v>
      </c>
      <c r="I26">
        <f>GETPIVOTDATA("Sum of Base Salary",Control!$A$20,"Month",""&amp;A26)</f>
        <v>123521</v>
      </c>
      <c r="J26">
        <f>GETPIVOTDATA("Sum of Bonuses",Control!$A$20,"Month",""&amp;A26)</f>
        <v>46940</v>
      </c>
      <c r="K26" s="5" t="e">
        <f t="shared" si="2"/>
        <v>#N/A</v>
      </c>
      <c r="Q26" s="5">
        <v>22</v>
      </c>
      <c r="R26" s="5">
        <v>1</v>
      </c>
    </row>
    <row r="27" spans="1:18" x14ac:dyDescent="0.25">
      <c r="A27" t="s">
        <v>11</v>
      </c>
      <c r="B27" s="4">
        <f>GETPIVOTDATA("Sum of Fixed Costs",Control!$A$20,"Month",""&amp;A27)/$B$30</f>
        <v>0.27040894081788164</v>
      </c>
      <c r="C27" s="4">
        <f>GETPIVOTDATA("Sum of Supplementary Pay",Control!$A$20,"Month",""&amp;A27)/$B$30</f>
        <v>0.1671958343916688</v>
      </c>
      <c r="D27" s="4">
        <f>GETPIVOTDATA("Average of Productivity",Control!$A$20,"Month",""&amp;A27)</f>
        <v>0.58125000000000004</v>
      </c>
      <c r="E27" s="4" t="e">
        <f t="shared" si="1"/>
        <v>#N/A</v>
      </c>
      <c r="F27" s="4" t="e">
        <f>IFERROR(GETPIVOTDATA("Productivity",Control!$A$3,"Month",""&amp;A27),NA())</f>
        <v>#N/A</v>
      </c>
      <c r="H27" t="s">
        <v>11</v>
      </c>
      <c r="I27">
        <f>GETPIVOTDATA("Sum of Base Salary",Control!$A$20,"Month",""&amp;A27)</f>
        <v>124621</v>
      </c>
      <c r="J27">
        <f>GETPIVOTDATA("Sum of Bonuses",Control!$A$20,"Month",""&amp;A27)</f>
        <v>58260</v>
      </c>
      <c r="K27" s="5" t="e">
        <f t="shared" si="2"/>
        <v>#N/A</v>
      </c>
      <c r="Q27" s="5">
        <v>23</v>
      </c>
      <c r="R27" s="5">
        <v>1</v>
      </c>
    </row>
    <row r="28" spans="1:18" x14ac:dyDescent="0.25">
      <c r="I28" s="17">
        <f>GETPIVOTDATA(""&amp;I15,Control!$A$3)</f>
        <v>338475</v>
      </c>
      <c r="J28" s="17">
        <f>GETPIVOTDATA(""&amp;J15,Control!$A$3)</f>
        <v>179800</v>
      </c>
      <c r="Q28" s="5">
        <v>24</v>
      </c>
      <c r="R28" s="5">
        <v>1</v>
      </c>
    </row>
    <row r="29" spans="1:18" x14ac:dyDescent="0.25">
      <c r="Q29" s="5">
        <v>25</v>
      </c>
      <c r="R29" s="5">
        <v>1</v>
      </c>
    </row>
    <row r="30" spans="1:18" x14ac:dyDescent="0.25">
      <c r="A30" t="s">
        <v>49</v>
      </c>
      <c r="B30" s="5">
        <f>MAX(Control!G21:G32)</f>
        <v>787400</v>
      </c>
      <c r="Q30" s="5">
        <v>26</v>
      </c>
      <c r="R30" s="5">
        <v>1</v>
      </c>
    </row>
    <row r="31" spans="1:18" x14ac:dyDescent="0.25">
      <c r="Q31" s="5">
        <v>27</v>
      </c>
      <c r="R31" s="5">
        <v>1</v>
      </c>
    </row>
    <row r="32" spans="1:18" x14ac:dyDescent="0.25">
      <c r="A32" t="s">
        <v>65</v>
      </c>
      <c r="B32" s="4">
        <f>GETPIVOTDATA(""&amp;D15,Control!$A$3)</f>
        <v>0.6462500000000001</v>
      </c>
      <c r="Q32" s="5">
        <v>28</v>
      </c>
      <c r="R32" s="5">
        <v>1</v>
      </c>
    </row>
    <row r="33" spans="1:18" x14ac:dyDescent="0.25">
      <c r="A33" t="s">
        <v>66</v>
      </c>
      <c r="B33" s="17">
        <f>GETPIVOTDATA(""&amp;B15,Control!$A$3)</f>
        <v>1029810</v>
      </c>
      <c r="Q33" s="5">
        <v>29</v>
      </c>
      <c r="R33" s="5">
        <v>1</v>
      </c>
    </row>
    <row r="34" spans="1:18" x14ac:dyDescent="0.25">
      <c r="A34" t="s">
        <v>67</v>
      </c>
      <c r="B34" s="17">
        <f>GETPIVOTDATA(""&amp;C15,Control!$A$3)</f>
        <v>747110</v>
      </c>
      <c r="Q34" s="5">
        <v>30</v>
      </c>
      <c r="R34" s="5">
        <v>1</v>
      </c>
    </row>
    <row r="35" spans="1:18" x14ac:dyDescent="0.25">
      <c r="A35" t="s">
        <v>68</v>
      </c>
      <c r="B35" s="17">
        <f>GETPIVOTDATA("Sum of for max",Control!$A$20)</f>
        <v>6900100</v>
      </c>
      <c r="Q35" s="5">
        <v>31</v>
      </c>
      <c r="R35" s="5">
        <v>1</v>
      </c>
    </row>
    <row r="36" spans="1:18" x14ac:dyDescent="0.25">
      <c r="Q36" s="5">
        <v>32</v>
      </c>
      <c r="R36" s="5">
        <v>1</v>
      </c>
    </row>
    <row r="37" spans="1:18" x14ac:dyDescent="0.25">
      <c r="Q37" s="5">
        <v>33</v>
      </c>
      <c r="R37" s="5">
        <v>1</v>
      </c>
    </row>
    <row r="38" spans="1:18" x14ac:dyDescent="0.25">
      <c r="Q38" s="5">
        <v>34</v>
      </c>
      <c r="R38" s="5">
        <v>1</v>
      </c>
    </row>
    <row r="39" spans="1:18" x14ac:dyDescent="0.25">
      <c r="Q39" s="5">
        <v>35</v>
      </c>
      <c r="R39" s="5">
        <v>1</v>
      </c>
    </row>
    <row r="40" spans="1:18" x14ac:dyDescent="0.25">
      <c r="Q40" s="5">
        <v>36</v>
      </c>
      <c r="R40" s="5">
        <v>1</v>
      </c>
    </row>
    <row r="41" spans="1:18" x14ac:dyDescent="0.25">
      <c r="Q41" s="5">
        <v>37</v>
      </c>
      <c r="R41" s="5">
        <v>1</v>
      </c>
    </row>
    <row r="42" spans="1:18" x14ac:dyDescent="0.25">
      <c r="Q42" s="5">
        <v>38</v>
      </c>
      <c r="R42" s="5">
        <v>1</v>
      </c>
    </row>
    <row r="43" spans="1:18" x14ac:dyDescent="0.25">
      <c r="Q43" s="5">
        <v>39</v>
      </c>
      <c r="R43" s="5">
        <v>1</v>
      </c>
    </row>
    <row r="44" spans="1:18" x14ac:dyDescent="0.25">
      <c r="Q44" s="5">
        <v>40</v>
      </c>
      <c r="R44" s="5">
        <v>1</v>
      </c>
    </row>
    <row r="45" spans="1:18" x14ac:dyDescent="0.25">
      <c r="Q45" s="5">
        <v>41</v>
      </c>
      <c r="R45" s="5">
        <v>1</v>
      </c>
    </row>
    <row r="46" spans="1:18" x14ac:dyDescent="0.25">
      <c r="Q46" s="5">
        <v>42</v>
      </c>
      <c r="R46" s="5">
        <v>1</v>
      </c>
    </row>
    <row r="47" spans="1:18" x14ac:dyDescent="0.25">
      <c r="Q47" s="5">
        <v>43</v>
      </c>
      <c r="R47" s="5">
        <v>1</v>
      </c>
    </row>
    <row r="48" spans="1:18" x14ac:dyDescent="0.25">
      <c r="Q48" s="5">
        <v>44</v>
      </c>
      <c r="R48" s="5">
        <v>1</v>
      </c>
    </row>
    <row r="49" spans="17:18" x14ac:dyDescent="0.25">
      <c r="Q49" s="5">
        <v>45</v>
      </c>
      <c r="R49" s="5">
        <v>1</v>
      </c>
    </row>
    <row r="50" spans="17:18" x14ac:dyDescent="0.25">
      <c r="Q50" s="5">
        <v>46</v>
      </c>
      <c r="R50" s="5">
        <v>1</v>
      </c>
    </row>
    <row r="51" spans="17:18" x14ac:dyDescent="0.25">
      <c r="Q51" s="5">
        <v>47</v>
      </c>
      <c r="R51" s="5">
        <v>1</v>
      </c>
    </row>
    <row r="52" spans="17:18" x14ac:dyDescent="0.25">
      <c r="Q52" s="5">
        <v>48</v>
      </c>
      <c r="R52" s="5">
        <v>1</v>
      </c>
    </row>
    <row r="53" spans="17:18" x14ac:dyDescent="0.25">
      <c r="Q53" s="5">
        <v>49</v>
      </c>
      <c r="R53" s="5">
        <v>1</v>
      </c>
    </row>
    <row r="54" spans="17:18" x14ac:dyDescent="0.25">
      <c r="Q54" s="5">
        <v>50</v>
      </c>
      <c r="R54" s="5">
        <v>1</v>
      </c>
    </row>
    <row r="55" spans="17:18" x14ac:dyDescent="0.25">
      <c r="Q55" s="5">
        <v>51</v>
      </c>
      <c r="R55" s="5">
        <v>1</v>
      </c>
    </row>
    <row r="56" spans="17:18" x14ac:dyDescent="0.25">
      <c r="Q56" s="5">
        <v>52</v>
      </c>
      <c r="R56" s="5">
        <v>1</v>
      </c>
    </row>
    <row r="57" spans="17:18" x14ac:dyDescent="0.25">
      <c r="Q57" s="5">
        <v>53</v>
      </c>
      <c r="R57" s="5">
        <v>1</v>
      </c>
    </row>
    <row r="58" spans="17:18" x14ac:dyDescent="0.25">
      <c r="Q58" s="5">
        <v>54</v>
      </c>
      <c r="R58" s="5">
        <v>1</v>
      </c>
    </row>
    <row r="59" spans="17:18" x14ac:dyDescent="0.25">
      <c r="Q59" s="5">
        <v>55</v>
      </c>
      <c r="R59" s="5">
        <v>1</v>
      </c>
    </row>
    <row r="60" spans="17:18" x14ac:dyDescent="0.25">
      <c r="Q60" s="5">
        <v>56</v>
      </c>
      <c r="R60" s="5">
        <v>1</v>
      </c>
    </row>
    <row r="61" spans="17:18" x14ac:dyDescent="0.25">
      <c r="Q61" s="5">
        <v>57</v>
      </c>
      <c r="R61" s="5">
        <v>1</v>
      </c>
    </row>
    <row r="62" spans="17:18" x14ac:dyDescent="0.25">
      <c r="Q62" s="5">
        <v>58</v>
      </c>
      <c r="R62" s="5">
        <v>1</v>
      </c>
    </row>
    <row r="63" spans="17:18" x14ac:dyDescent="0.25">
      <c r="Q63" s="5">
        <v>59</v>
      </c>
      <c r="R63" s="5">
        <v>1</v>
      </c>
    </row>
    <row r="64" spans="17:18" x14ac:dyDescent="0.25">
      <c r="Q64" s="5">
        <v>60</v>
      </c>
      <c r="R64" s="5">
        <v>1</v>
      </c>
    </row>
    <row r="65" spans="17:18" x14ac:dyDescent="0.25">
      <c r="Q65" s="5">
        <v>61</v>
      </c>
      <c r="R65" s="5">
        <v>1</v>
      </c>
    </row>
    <row r="66" spans="17:18" x14ac:dyDescent="0.25">
      <c r="Q66" s="5">
        <v>62</v>
      </c>
      <c r="R66" s="5">
        <v>1</v>
      </c>
    </row>
    <row r="67" spans="17:18" x14ac:dyDescent="0.25">
      <c r="Q67" s="5">
        <v>63</v>
      </c>
      <c r="R67" s="5">
        <v>1</v>
      </c>
    </row>
    <row r="68" spans="17:18" x14ac:dyDescent="0.25">
      <c r="Q68" s="5">
        <v>64</v>
      </c>
      <c r="R68" s="5">
        <v>1</v>
      </c>
    </row>
    <row r="69" spans="17:18" x14ac:dyDescent="0.25">
      <c r="Q69" s="5">
        <v>65</v>
      </c>
      <c r="R69" s="5">
        <v>1</v>
      </c>
    </row>
    <row r="70" spans="17:18" x14ac:dyDescent="0.25">
      <c r="Q70" s="5">
        <v>66</v>
      </c>
      <c r="R70" s="5">
        <v>1</v>
      </c>
    </row>
    <row r="71" spans="17:18" x14ac:dyDescent="0.25">
      <c r="Q71" s="5">
        <v>67</v>
      </c>
      <c r="R71" s="5">
        <v>1</v>
      </c>
    </row>
    <row r="72" spans="17:18" x14ac:dyDescent="0.25">
      <c r="Q72" s="5">
        <v>68</v>
      </c>
      <c r="R72" s="5">
        <v>1</v>
      </c>
    </row>
    <row r="73" spans="17:18" x14ac:dyDescent="0.25">
      <c r="Q73" s="5">
        <v>69</v>
      </c>
      <c r="R73" s="5">
        <v>1</v>
      </c>
    </row>
    <row r="74" spans="17:18" x14ac:dyDescent="0.25">
      <c r="Q74" s="5">
        <v>70</v>
      </c>
      <c r="R74" s="5">
        <v>1</v>
      </c>
    </row>
    <row r="75" spans="17:18" x14ac:dyDescent="0.25">
      <c r="Q75" s="5">
        <v>71</v>
      </c>
      <c r="R75" s="5">
        <v>1</v>
      </c>
    </row>
    <row r="76" spans="17:18" x14ac:dyDescent="0.25">
      <c r="Q76" s="5">
        <v>72</v>
      </c>
      <c r="R76" s="5">
        <v>1</v>
      </c>
    </row>
    <row r="77" spans="17:18" x14ac:dyDescent="0.25">
      <c r="Q77" s="5">
        <v>73</v>
      </c>
      <c r="R77" s="5">
        <v>1</v>
      </c>
    </row>
    <row r="78" spans="17:18" x14ac:dyDescent="0.25">
      <c r="Q78" s="5">
        <v>74</v>
      </c>
      <c r="R78" s="5">
        <v>1</v>
      </c>
    </row>
    <row r="79" spans="17:18" x14ac:dyDescent="0.25">
      <c r="Q79" s="5">
        <v>75</v>
      </c>
      <c r="R79" s="5">
        <v>1</v>
      </c>
    </row>
    <row r="80" spans="17:18" x14ac:dyDescent="0.25">
      <c r="Q80" s="5">
        <v>76</v>
      </c>
      <c r="R80" s="5">
        <v>1</v>
      </c>
    </row>
    <row r="81" spans="17:18" x14ac:dyDescent="0.25">
      <c r="Q81" s="5">
        <v>77</v>
      </c>
      <c r="R81" s="5">
        <v>1</v>
      </c>
    </row>
    <row r="82" spans="17:18" x14ac:dyDescent="0.25">
      <c r="Q82" s="5">
        <v>78</v>
      </c>
      <c r="R82" s="5">
        <v>1</v>
      </c>
    </row>
    <row r="83" spans="17:18" x14ac:dyDescent="0.25">
      <c r="Q83" s="5">
        <v>79</v>
      </c>
      <c r="R83" s="5">
        <v>1</v>
      </c>
    </row>
    <row r="84" spans="17:18" x14ac:dyDescent="0.25">
      <c r="Q84" s="5">
        <v>80</v>
      </c>
      <c r="R84" s="5">
        <v>1</v>
      </c>
    </row>
    <row r="85" spans="17:18" x14ac:dyDescent="0.25">
      <c r="Q85" s="5">
        <v>81</v>
      </c>
      <c r="R85" s="5">
        <v>1</v>
      </c>
    </row>
    <row r="86" spans="17:18" x14ac:dyDescent="0.25">
      <c r="Q86" s="5">
        <v>82</v>
      </c>
      <c r="R86" s="5">
        <v>1</v>
      </c>
    </row>
    <row r="87" spans="17:18" x14ac:dyDescent="0.25">
      <c r="Q87" s="5">
        <v>83</v>
      </c>
      <c r="R87" s="5">
        <v>1</v>
      </c>
    </row>
    <row r="88" spans="17:18" x14ac:dyDescent="0.25">
      <c r="Q88" s="5">
        <v>84</v>
      </c>
      <c r="R88" s="5">
        <v>1</v>
      </c>
    </row>
    <row r="89" spans="17:18" x14ac:dyDescent="0.25">
      <c r="Q89" s="5">
        <v>85</v>
      </c>
      <c r="R89" s="5">
        <v>1</v>
      </c>
    </row>
    <row r="90" spans="17:18" x14ac:dyDescent="0.25">
      <c r="Q90" s="5">
        <v>86</v>
      </c>
      <c r="R90" s="5">
        <v>1</v>
      </c>
    </row>
    <row r="91" spans="17:18" x14ac:dyDescent="0.25">
      <c r="Q91" s="5">
        <v>87</v>
      </c>
      <c r="R91" s="5">
        <v>1</v>
      </c>
    </row>
    <row r="92" spans="17:18" x14ac:dyDescent="0.25">
      <c r="Q92" s="5">
        <v>88</v>
      </c>
      <c r="R92" s="5">
        <v>1</v>
      </c>
    </row>
    <row r="93" spans="17:18" x14ac:dyDescent="0.25">
      <c r="Q93" s="5">
        <v>89</v>
      </c>
      <c r="R93" s="5">
        <v>1</v>
      </c>
    </row>
    <row r="94" spans="17:18" x14ac:dyDescent="0.25">
      <c r="Q94" s="5">
        <v>90</v>
      </c>
      <c r="R94" s="5">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1E2E-8666-4483-8E49-ADBE3CD0391E}">
  <dimension ref="A1:J57"/>
  <sheetViews>
    <sheetView workbookViewId="0">
      <selection activeCell="C1" sqref="C1"/>
    </sheetView>
  </sheetViews>
  <sheetFormatPr defaultRowHeight="15" x14ac:dyDescent="0.25"/>
  <cols>
    <col min="1" max="1" width="13.42578125" bestFit="1" customWidth="1"/>
    <col min="2" max="2" width="18.5703125" bestFit="1" customWidth="1"/>
    <col min="3" max="3" width="25.5703125" bestFit="1" customWidth="1"/>
    <col min="4" max="4" width="16.5703125" bestFit="1" customWidth="1"/>
    <col min="5" max="5" width="18.140625" bestFit="1" customWidth="1"/>
    <col min="6" max="6" width="15.5703125" bestFit="1" customWidth="1"/>
    <col min="7" max="7" width="14.5703125" bestFit="1" customWidth="1"/>
    <col min="8" max="8" width="25.5703125" bestFit="1" customWidth="1"/>
    <col min="9" max="9" width="18.140625" bestFit="1" customWidth="1"/>
    <col min="10" max="10" width="15.5703125" bestFit="1" customWidth="1"/>
  </cols>
  <sheetData>
    <row r="1" spans="1:10" x14ac:dyDescent="0.25">
      <c r="C1" s="34"/>
    </row>
    <row r="3" spans="1:10" x14ac:dyDescent="0.25">
      <c r="A3" s="16" t="s">
        <v>37</v>
      </c>
      <c r="B3" t="s">
        <v>41</v>
      </c>
      <c r="C3" t="s">
        <v>45</v>
      </c>
      <c r="D3" t="s">
        <v>46</v>
      </c>
      <c r="E3" t="s">
        <v>47</v>
      </c>
      <c r="F3" t="s">
        <v>48</v>
      </c>
      <c r="G3" t="s">
        <v>39</v>
      </c>
      <c r="H3" t="s">
        <v>40</v>
      </c>
      <c r="I3" t="s">
        <v>43</v>
      </c>
      <c r="J3" t="s">
        <v>44</v>
      </c>
    </row>
    <row r="4" spans="1:10" x14ac:dyDescent="0.25">
      <c r="A4" s="12" t="s">
        <v>3</v>
      </c>
      <c r="B4" s="2">
        <v>0.72875000000000001</v>
      </c>
      <c r="C4" s="2">
        <v>0.5</v>
      </c>
      <c r="D4" s="2">
        <v>1.2012499999999999</v>
      </c>
      <c r="E4" s="2">
        <v>1.2224999999999999</v>
      </c>
      <c r="F4" s="2">
        <v>0.54999999999999993</v>
      </c>
      <c r="G4" s="11">
        <v>382080</v>
      </c>
      <c r="H4" s="38">
        <v>311390</v>
      </c>
      <c r="I4" s="38">
        <v>102253</v>
      </c>
      <c r="J4" s="38">
        <v>57960</v>
      </c>
    </row>
    <row r="5" spans="1:10" x14ac:dyDescent="0.25">
      <c r="A5" s="12" t="s">
        <v>4</v>
      </c>
      <c r="B5" s="2">
        <v>0.59375</v>
      </c>
      <c r="C5" s="2">
        <v>0.6</v>
      </c>
      <c r="D5" s="2">
        <v>0.16</v>
      </c>
      <c r="E5" s="2">
        <v>0.215</v>
      </c>
      <c r="F5" s="2">
        <v>0.65</v>
      </c>
      <c r="G5" s="11">
        <v>340730</v>
      </c>
      <c r="H5" s="38">
        <v>250020</v>
      </c>
      <c r="I5" s="38">
        <v>118346</v>
      </c>
      <c r="J5" s="38">
        <v>61940</v>
      </c>
    </row>
    <row r="6" spans="1:10" x14ac:dyDescent="0.25">
      <c r="A6" s="12" t="s">
        <v>5</v>
      </c>
      <c r="B6" s="2">
        <v>0.61624999999999996</v>
      </c>
      <c r="C6" s="2">
        <v>0.70000000000000007</v>
      </c>
      <c r="D6" s="2">
        <v>0.32</v>
      </c>
      <c r="E6" s="2">
        <v>0.375</v>
      </c>
      <c r="F6" s="2">
        <v>0.75</v>
      </c>
      <c r="G6" s="11">
        <v>307000</v>
      </c>
      <c r="H6" s="38">
        <v>185700</v>
      </c>
      <c r="I6" s="38">
        <v>117876</v>
      </c>
      <c r="J6" s="38">
        <v>59900</v>
      </c>
    </row>
    <row r="7" spans="1:10" x14ac:dyDescent="0.25">
      <c r="A7" s="12" t="s">
        <v>38</v>
      </c>
      <c r="B7" s="2">
        <v>0.6462500000000001</v>
      </c>
      <c r="C7" s="2">
        <v>0.59999999999999964</v>
      </c>
      <c r="D7" s="2">
        <v>0.56041666666666679</v>
      </c>
      <c r="E7" s="2">
        <v>0.60416666666666663</v>
      </c>
      <c r="F7" s="2">
        <v>0.65</v>
      </c>
      <c r="G7" s="11">
        <v>1029810</v>
      </c>
      <c r="H7" s="38">
        <v>747110</v>
      </c>
      <c r="I7" s="38">
        <v>338475</v>
      </c>
      <c r="J7" s="38">
        <v>179800</v>
      </c>
    </row>
    <row r="20" spans="1:7" x14ac:dyDescent="0.25">
      <c r="A20" s="16" t="s">
        <v>37</v>
      </c>
      <c r="B20" t="s">
        <v>39</v>
      </c>
      <c r="C20" t="s">
        <v>40</v>
      </c>
      <c r="D20" t="s">
        <v>41</v>
      </c>
      <c r="E20" t="s">
        <v>43</v>
      </c>
      <c r="F20" t="s">
        <v>44</v>
      </c>
      <c r="G20" t="s">
        <v>50</v>
      </c>
    </row>
    <row r="21" spans="1:7" x14ac:dyDescent="0.25">
      <c r="A21" s="12" t="s">
        <v>0</v>
      </c>
      <c r="B21" s="11">
        <v>202470</v>
      </c>
      <c r="C21" s="38">
        <v>142070</v>
      </c>
      <c r="D21" s="2">
        <v>0.5675</v>
      </c>
      <c r="E21" s="38">
        <v>107260</v>
      </c>
      <c r="F21" s="38">
        <v>51560</v>
      </c>
      <c r="G21" s="38">
        <v>344540</v>
      </c>
    </row>
    <row r="22" spans="1:7" x14ac:dyDescent="0.25">
      <c r="A22" s="12" t="s">
        <v>1</v>
      </c>
      <c r="B22" s="11">
        <v>302260</v>
      </c>
      <c r="C22" s="38">
        <v>238890</v>
      </c>
      <c r="D22" s="2">
        <v>0.56624999999999992</v>
      </c>
      <c r="E22" s="38">
        <v>105695</v>
      </c>
      <c r="F22" s="38">
        <v>42060</v>
      </c>
      <c r="G22" s="38">
        <v>541150</v>
      </c>
    </row>
    <row r="23" spans="1:7" x14ac:dyDescent="0.25">
      <c r="A23" s="12" t="s">
        <v>2</v>
      </c>
      <c r="B23" s="11">
        <v>463270</v>
      </c>
      <c r="C23" s="38">
        <v>324130</v>
      </c>
      <c r="D23" s="2">
        <v>0.65</v>
      </c>
      <c r="E23" s="38">
        <v>104405</v>
      </c>
      <c r="F23" s="38">
        <v>46460</v>
      </c>
      <c r="G23" s="38">
        <v>787400</v>
      </c>
    </row>
    <row r="24" spans="1:7" x14ac:dyDescent="0.25">
      <c r="A24" s="12" t="s">
        <v>3</v>
      </c>
      <c r="B24" s="11">
        <v>382080</v>
      </c>
      <c r="C24" s="38">
        <v>311390</v>
      </c>
      <c r="D24" s="2">
        <v>0.72875000000000001</v>
      </c>
      <c r="E24" s="38">
        <v>102253</v>
      </c>
      <c r="F24" s="38">
        <v>57960</v>
      </c>
      <c r="G24" s="38">
        <v>693470</v>
      </c>
    </row>
    <row r="25" spans="1:7" x14ac:dyDescent="0.25">
      <c r="A25" s="12" t="s">
        <v>4</v>
      </c>
      <c r="B25" s="11">
        <v>340730</v>
      </c>
      <c r="C25" s="38">
        <v>250020</v>
      </c>
      <c r="D25" s="2">
        <v>0.59375</v>
      </c>
      <c r="E25" s="38">
        <v>118346</v>
      </c>
      <c r="F25" s="38">
        <v>61940</v>
      </c>
      <c r="G25" s="38">
        <v>590750</v>
      </c>
    </row>
    <row r="26" spans="1:7" x14ac:dyDescent="0.25">
      <c r="A26" s="12" t="s">
        <v>5</v>
      </c>
      <c r="B26" s="11">
        <v>307000</v>
      </c>
      <c r="C26" s="38">
        <v>185700</v>
      </c>
      <c r="D26" s="2">
        <v>0.61624999999999996</v>
      </c>
      <c r="E26" s="38">
        <v>117876</v>
      </c>
      <c r="F26" s="38">
        <v>59900</v>
      </c>
      <c r="G26" s="38">
        <v>492700</v>
      </c>
    </row>
    <row r="27" spans="1:7" x14ac:dyDescent="0.25">
      <c r="A27" s="12" t="s">
        <v>6</v>
      </c>
      <c r="B27" s="11">
        <v>297210</v>
      </c>
      <c r="C27" s="38">
        <v>195490</v>
      </c>
      <c r="D27" s="2">
        <v>0.65500000000000003</v>
      </c>
      <c r="E27" s="38">
        <v>116949</v>
      </c>
      <c r="F27" s="38">
        <v>57300</v>
      </c>
      <c r="G27" s="38">
        <v>492700</v>
      </c>
    </row>
    <row r="28" spans="1:7" x14ac:dyDescent="0.25">
      <c r="A28" s="12" t="s">
        <v>7</v>
      </c>
      <c r="B28" s="11">
        <v>326510</v>
      </c>
      <c r="C28" s="38">
        <v>264290</v>
      </c>
      <c r="D28" s="2">
        <v>0.63749999999999996</v>
      </c>
      <c r="E28" s="38">
        <v>118526</v>
      </c>
      <c r="F28" s="38">
        <v>60120</v>
      </c>
      <c r="G28" s="38">
        <v>590800</v>
      </c>
    </row>
    <row r="29" spans="1:7" x14ac:dyDescent="0.25">
      <c r="A29" s="12" t="s">
        <v>8</v>
      </c>
      <c r="B29" s="11">
        <v>428030</v>
      </c>
      <c r="C29" s="38">
        <v>265420</v>
      </c>
      <c r="D29" s="2">
        <v>0.65250000000000008</v>
      </c>
      <c r="E29" s="38">
        <v>121179</v>
      </c>
      <c r="F29" s="38">
        <v>52000</v>
      </c>
      <c r="G29" s="38">
        <v>693450</v>
      </c>
    </row>
    <row r="30" spans="1:7" x14ac:dyDescent="0.25">
      <c r="A30" s="12" t="s">
        <v>9</v>
      </c>
      <c r="B30" s="11">
        <v>451540</v>
      </c>
      <c r="C30" s="38">
        <v>335860</v>
      </c>
      <c r="D30" s="2">
        <v>0.65500000000000003</v>
      </c>
      <c r="E30" s="38">
        <v>122137</v>
      </c>
      <c r="F30" s="38">
        <v>42520</v>
      </c>
      <c r="G30" s="38">
        <v>787400</v>
      </c>
    </row>
    <row r="31" spans="1:7" x14ac:dyDescent="0.25">
      <c r="A31" s="12" t="s">
        <v>10</v>
      </c>
      <c r="B31" s="11">
        <v>315820</v>
      </c>
      <c r="C31" s="38">
        <v>225350</v>
      </c>
      <c r="D31" s="2">
        <v>0.52124999999999999</v>
      </c>
      <c r="E31" s="38">
        <v>123521</v>
      </c>
      <c r="F31" s="38">
        <v>46940</v>
      </c>
      <c r="G31" s="38">
        <v>541170</v>
      </c>
    </row>
    <row r="32" spans="1:7" x14ac:dyDescent="0.25">
      <c r="A32" s="12" t="s">
        <v>11</v>
      </c>
      <c r="B32" s="11">
        <v>212920</v>
      </c>
      <c r="C32" s="38">
        <v>131650</v>
      </c>
      <c r="D32" s="2">
        <v>0.58125000000000004</v>
      </c>
      <c r="E32" s="38">
        <v>124621</v>
      </c>
      <c r="F32" s="38">
        <v>58260</v>
      </c>
      <c r="G32" s="38">
        <v>344570</v>
      </c>
    </row>
    <row r="33" spans="1:7" x14ac:dyDescent="0.25">
      <c r="A33" s="12" t="s">
        <v>38</v>
      </c>
      <c r="B33" s="11">
        <v>4029840</v>
      </c>
      <c r="C33" s="38">
        <v>2870260</v>
      </c>
      <c r="D33" s="2">
        <v>0.61874999999999991</v>
      </c>
      <c r="E33" s="38">
        <v>1382768</v>
      </c>
      <c r="F33" s="38">
        <v>637020</v>
      </c>
      <c r="G33" s="38">
        <v>6900100</v>
      </c>
    </row>
    <row r="36" spans="1:7" x14ac:dyDescent="0.25">
      <c r="A36" s="16" t="s">
        <v>37</v>
      </c>
      <c r="B36" t="s">
        <v>39</v>
      </c>
      <c r="C36" t="s">
        <v>40</v>
      </c>
      <c r="D36" t="s">
        <v>42</v>
      </c>
    </row>
    <row r="37" spans="1:7" x14ac:dyDescent="0.25">
      <c r="A37" s="12" t="s">
        <v>17</v>
      </c>
      <c r="B37" s="11">
        <v>109270</v>
      </c>
      <c r="C37" s="38">
        <v>80580</v>
      </c>
      <c r="D37" s="38">
        <v>189850</v>
      </c>
    </row>
    <row r="38" spans="1:7" x14ac:dyDescent="0.25">
      <c r="A38" s="12" t="s">
        <v>21</v>
      </c>
      <c r="B38" s="11">
        <v>124900</v>
      </c>
      <c r="C38" s="38">
        <v>91160</v>
      </c>
      <c r="D38" s="38">
        <v>216060</v>
      </c>
    </row>
    <row r="39" spans="1:7" x14ac:dyDescent="0.25">
      <c r="A39" s="12" t="s">
        <v>16</v>
      </c>
      <c r="B39" s="11">
        <v>94240</v>
      </c>
      <c r="C39" s="38">
        <v>52110</v>
      </c>
      <c r="D39" s="38">
        <v>146350</v>
      </c>
    </row>
    <row r="40" spans="1:7" x14ac:dyDescent="0.25">
      <c r="A40" s="12" t="s">
        <v>19</v>
      </c>
      <c r="B40" s="11">
        <v>75490</v>
      </c>
      <c r="C40" s="38">
        <v>81040</v>
      </c>
      <c r="D40" s="38">
        <v>156530</v>
      </c>
    </row>
    <row r="41" spans="1:7" x14ac:dyDescent="0.25">
      <c r="A41" s="12" t="s">
        <v>22</v>
      </c>
      <c r="B41" s="11">
        <v>153590</v>
      </c>
      <c r="C41" s="38">
        <v>140070</v>
      </c>
      <c r="D41" s="38">
        <v>293660</v>
      </c>
    </row>
    <row r="42" spans="1:7" x14ac:dyDescent="0.25">
      <c r="A42" s="12" t="s">
        <v>20</v>
      </c>
      <c r="B42" s="11">
        <v>197290</v>
      </c>
      <c r="C42" s="38">
        <v>87660</v>
      </c>
      <c r="D42" s="38">
        <v>284950</v>
      </c>
    </row>
    <row r="43" spans="1:7" x14ac:dyDescent="0.25">
      <c r="A43" s="12" t="s">
        <v>18</v>
      </c>
      <c r="B43" s="11">
        <v>141270</v>
      </c>
      <c r="C43" s="38">
        <v>126120</v>
      </c>
      <c r="D43" s="38">
        <v>267390</v>
      </c>
    </row>
    <row r="44" spans="1:7" x14ac:dyDescent="0.25">
      <c r="A44" s="12" t="s">
        <v>15</v>
      </c>
      <c r="B44" s="11">
        <v>133760</v>
      </c>
      <c r="C44" s="38">
        <v>88370</v>
      </c>
      <c r="D44" s="38">
        <v>222130</v>
      </c>
    </row>
    <row r="45" spans="1:7" x14ac:dyDescent="0.25">
      <c r="A45" s="12" t="s">
        <v>38</v>
      </c>
      <c r="B45" s="11">
        <v>1029810</v>
      </c>
      <c r="C45" s="38">
        <v>747110</v>
      </c>
      <c r="D45" s="38">
        <v>1776920</v>
      </c>
    </row>
    <row r="48" spans="1:7" x14ac:dyDescent="0.25">
      <c r="A48" s="16" t="s">
        <v>37</v>
      </c>
      <c r="B48" t="s">
        <v>39</v>
      </c>
      <c r="C48" t="s">
        <v>40</v>
      </c>
      <c r="D48" t="s">
        <v>42</v>
      </c>
    </row>
    <row r="49" spans="1:4" x14ac:dyDescent="0.25">
      <c r="A49" s="12" t="s">
        <v>17</v>
      </c>
      <c r="B49" s="11">
        <v>109270</v>
      </c>
      <c r="C49" s="38">
        <v>80580</v>
      </c>
      <c r="D49" s="38">
        <v>189850</v>
      </c>
    </row>
    <row r="50" spans="1:4" x14ac:dyDescent="0.25">
      <c r="A50" s="12" t="s">
        <v>21</v>
      </c>
      <c r="B50" s="11">
        <v>124900</v>
      </c>
      <c r="C50" s="38">
        <v>91160</v>
      </c>
      <c r="D50" s="38">
        <v>216060</v>
      </c>
    </row>
    <row r="51" spans="1:4" x14ac:dyDescent="0.25">
      <c r="A51" s="12" t="s">
        <v>16</v>
      </c>
      <c r="B51" s="11">
        <v>94240</v>
      </c>
      <c r="C51" s="38">
        <v>52110</v>
      </c>
      <c r="D51" s="38">
        <v>146350</v>
      </c>
    </row>
    <row r="52" spans="1:4" x14ac:dyDescent="0.25">
      <c r="A52" s="12" t="s">
        <v>19</v>
      </c>
      <c r="B52" s="11">
        <v>75490</v>
      </c>
      <c r="C52" s="38">
        <v>81040</v>
      </c>
      <c r="D52" s="38">
        <v>156530</v>
      </c>
    </row>
    <row r="53" spans="1:4" x14ac:dyDescent="0.25">
      <c r="A53" s="12" t="s">
        <v>22</v>
      </c>
      <c r="B53" s="11">
        <v>153590</v>
      </c>
      <c r="C53" s="38">
        <v>140070</v>
      </c>
      <c r="D53" s="38">
        <v>293660</v>
      </c>
    </row>
    <row r="54" spans="1:4" x14ac:dyDescent="0.25">
      <c r="A54" s="12" t="s">
        <v>20</v>
      </c>
      <c r="B54" s="11">
        <v>197290</v>
      </c>
      <c r="C54" s="38">
        <v>87660</v>
      </c>
      <c r="D54" s="38">
        <v>284950</v>
      </c>
    </row>
    <row r="55" spans="1:4" x14ac:dyDescent="0.25">
      <c r="A55" s="12" t="s">
        <v>18</v>
      </c>
      <c r="B55" s="11">
        <v>141270</v>
      </c>
      <c r="C55" s="38">
        <v>126120</v>
      </c>
      <c r="D55" s="38">
        <v>267390</v>
      </c>
    </row>
    <row r="56" spans="1:4" x14ac:dyDescent="0.25">
      <c r="A56" s="12" t="s">
        <v>15</v>
      </c>
      <c r="B56" s="11">
        <v>133760</v>
      </c>
      <c r="C56" s="38">
        <v>88370</v>
      </c>
      <c r="D56" s="38">
        <v>222130</v>
      </c>
    </row>
    <row r="57" spans="1:4" x14ac:dyDescent="0.25">
      <c r="A57" s="12" t="s">
        <v>38</v>
      </c>
      <c r="B57" s="11">
        <v>1029810</v>
      </c>
      <c r="C57" s="38">
        <v>747110</v>
      </c>
      <c r="D57" s="38">
        <v>1776920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47DE-7A17-4CBF-B83B-B656385BB478}">
  <dimension ref="A1:N385"/>
  <sheetViews>
    <sheetView workbookViewId="0"/>
  </sheetViews>
  <sheetFormatPr defaultRowHeight="15" x14ac:dyDescent="0.25"/>
  <cols>
    <col min="3" max="3" width="12.42578125" style="5" customWidth="1"/>
    <col min="4" max="4" width="19" style="5" customWidth="1"/>
    <col min="5" max="5" width="13" style="4" customWidth="1"/>
    <col min="6" max="6" width="12.42578125" customWidth="1"/>
    <col min="7" max="7" width="9.7109375" customWidth="1"/>
    <col min="8" max="8" width="18.140625" customWidth="1"/>
    <col min="9" max="9" width="21.5703125" customWidth="1"/>
    <col min="10" max="10" width="21.42578125" customWidth="1"/>
    <col min="11" max="11" width="24.85546875" customWidth="1"/>
    <col min="12" max="12" width="20.28515625" style="5" customWidth="1"/>
    <col min="14" max="14" width="20.140625" bestFit="1" customWidth="1"/>
  </cols>
  <sheetData>
    <row r="1" spans="1:14" s="5" customFormat="1" ht="28.9" customHeight="1" x14ac:dyDescent="0.25">
      <c r="A1" s="14" t="s">
        <v>34</v>
      </c>
      <c r="B1" s="14" t="s">
        <v>35</v>
      </c>
      <c r="C1" s="14" t="s">
        <v>24</v>
      </c>
      <c r="D1" s="14" t="s">
        <v>25</v>
      </c>
      <c r="E1" s="15" t="s">
        <v>26</v>
      </c>
      <c r="F1" s="14" t="s">
        <v>12</v>
      </c>
      <c r="G1" s="14" t="s">
        <v>13</v>
      </c>
      <c r="H1" s="14" t="s">
        <v>36</v>
      </c>
      <c r="I1" s="14" t="s">
        <v>28</v>
      </c>
      <c r="J1" s="14" t="s">
        <v>27</v>
      </c>
      <c r="K1" s="14" t="s">
        <v>29</v>
      </c>
      <c r="L1" s="14" t="s">
        <v>23</v>
      </c>
      <c r="N1" s="35"/>
    </row>
    <row r="2" spans="1:14" x14ac:dyDescent="0.25">
      <c r="A2" s="5">
        <v>2025</v>
      </c>
      <c r="B2" s="5" t="s">
        <v>0</v>
      </c>
      <c r="C2" s="10">
        <v>23870</v>
      </c>
      <c r="D2" s="5">
        <v>9280</v>
      </c>
      <c r="E2" s="4">
        <v>0.4</v>
      </c>
      <c r="F2">
        <v>1760</v>
      </c>
      <c r="G2">
        <v>4140</v>
      </c>
      <c r="H2" s="4">
        <v>0.15</v>
      </c>
      <c r="I2" s="4">
        <v>0.14000000000000001</v>
      </c>
      <c r="J2" s="4">
        <v>0.19600000000000001</v>
      </c>
      <c r="K2" s="4">
        <v>0.19</v>
      </c>
      <c r="L2" s="5" t="s">
        <v>16</v>
      </c>
    </row>
    <row r="3" spans="1:14" x14ac:dyDescent="0.25">
      <c r="A3" s="5">
        <v>2025</v>
      </c>
      <c r="B3" s="5" t="s">
        <v>1</v>
      </c>
      <c r="C3" s="10">
        <v>27830</v>
      </c>
      <c r="D3" s="5">
        <v>19340</v>
      </c>
      <c r="E3" s="4">
        <v>0.32</v>
      </c>
      <c r="F3">
        <v>3510</v>
      </c>
      <c r="G3">
        <v>5410</v>
      </c>
      <c r="H3" s="4">
        <v>0.23</v>
      </c>
      <c r="I3" s="4">
        <v>0.27800000000000002</v>
      </c>
      <c r="J3" s="4">
        <v>0.33100000000000007</v>
      </c>
      <c r="K3" s="4">
        <v>0.28000000000000003</v>
      </c>
      <c r="L3" s="5" t="s">
        <v>16</v>
      </c>
    </row>
    <row r="4" spans="1:14" x14ac:dyDescent="0.25">
      <c r="A4" s="5">
        <v>2025</v>
      </c>
      <c r="B4" s="5" t="s">
        <v>2</v>
      </c>
      <c r="C4" s="10">
        <v>26830</v>
      </c>
      <c r="D4" s="5">
        <v>15090</v>
      </c>
      <c r="E4" s="4">
        <v>0.55000000000000004</v>
      </c>
      <c r="F4">
        <v>4960</v>
      </c>
      <c r="G4">
        <v>5620</v>
      </c>
      <c r="H4" s="4">
        <v>0.32</v>
      </c>
      <c r="I4" s="4">
        <v>0.38900000000000001</v>
      </c>
      <c r="J4" s="4">
        <v>0.44000000000000017</v>
      </c>
      <c r="K4" s="4">
        <v>0.36</v>
      </c>
      <c r="L4" s="5" t="s">
        <v>16</v>
      </c>
    </row>
    <row r="5" spans="1:14" x14ac:dyDescent="0.25">
      <c r="A5" s="5">
        <v>2025</v>
      </c>
      <c r="B5" s="5" t="s">
        <v>3</v>
      </c>
      <c r="C5" s="10">
        <v>15720</v>
      </c>
      <c r="D5" s="5">
        <v>21710</v>
      </c>
      <c r="E5" s="4">
        <v>0.68</v>
      </c>
      <c r="F5">
        <v>5500</v>
      </c>
      <c r="G5">
        <v>4880</v>
      </c>
      <c r="H5" s="4">
        <v>0.4</v>
      </c>
      <c r="I5" s="4">
        <v>0.52400000000000013</v>
      </c>
      <c r="J5" s="4">
        <v>0.58320000000000027</v>
      </c>
      <c r="K5" s="4">
        <v>0.44</v>
      </c>
      <c r="L5" s="5" t="s">
        <v>16</v>
      </c>
    </row>
    <row r="6" spans="1:14" x14ac:dyDescent="0.25">
      <c r="A6" s="5">
        <v>2025</v>
      </c>
      <c r="B6" s="5" t="s">
        <v>4</v>
      </c>
      <c r="C6" s="10">
        <v>41400</v>
      </c>
      <c r="D6" s="5">
        <v>20390</v>
      </c>
      <c r="E6" s="4">
        <v>0.52</v>
      </c>
      <c r="F6">
        <v>4940</v>
      </c>
      <c r="G6">
        <v>3140</v>
      </c>
      <c r="H6" s="4">
        <v>0.49</v>
      </c>
      <c r="I6" s="4">
        <v>0.66300000000000026</v>
      </c>
      <c r="J6" s="4">
        <v>0.69660000000000044</v>
      </c>
      <c r="K6" s="4">
        <v>0.53</v>
      </c>
      <c r="L6" s="5" t="s">
        <v>16</v>
      </c>
    </row>
    <row r="7" spans="1:14" x14ac:dyDescent="0.25">
      <c r="A7" s="5">
        <v>2025</v>
      </c>
      <c r="B7" s="5" t="s">
        <v>5</v>
      </c>
      <c r="C7" s="10">
        <v>25400</v>
      </c>
      <c r="D7" s="5">
        <v>27520</v>
      </c>
      <c r="E7" s="4">
        <v>0.62</v>
      </c>
      <c r="F7">
        <v>3560</v>
      </c>
      <c r="G7">
        <v>2320</v>
      </c>
      <c r="H7" s="4">
        <v>0.56999999999999995</v>
      </c>
      <c r="I7" s="4">
        <v>0.77500000000000036</v>
      </c>
      <c r="J7" s="4">
        <v>0.80460000000000054</v>
      </c>
      <c r="K7" s="4">
        <v>0.62</v>
      </c>
      <c r="L7" s="5" t="s">
        <v>16</v>
      </c>
    </row>
    <row r="8" spans="1:14" x14ac:dyDescent="0.25">
      <c r="A8" s="5">
        <v>2025</v>
      </c>
      <c r="B8" s="5" t="s">
        <v>6</v>
      </c>
      <c r="C8" s="10">
        <v>23780</v>
      </c>
      <c r="D8" s="5">
        <v>24740</v>
      </c>
      <c r="E8" s="4">
        <v>0.56999999999999995</v>
      </c>
      <c r="F8">
        <v>2970</v>
      </c>
      <c r="G8">
        <v>3480</v>
      </c>
      <c r="H8" s="4">
        <v>0.66</v>
      </c>
      <c r="I8" s="4">
        <v>0.88700000000000045</v>
      </c>
      <c r="J8" s="4">
        <v>0.91260000000000063</v>
      </c>
      <c r="K8" s="4">
        <v>0.7</v>
      </c>
      <c r="L8" s="5" t="s">
        <v>16</v>
      </c>
    </row>
    <row r="9" spans="1:14" x14ac:dyDescent="0.25">
      <c r="A9" s="5">
        <v>2025</v>
      </c>
      <c r="B9" s="5" t="s">
        <v>7</v>
      </c>
      <c r="C9" s="10">
        <v>9250</v>
      </c>
      <c r="D9" s="5">
        <v>6980</v>
      </c>
      <c r="E9" s="4">
        <v>0.72</v>
      </c>
      <c r="F9">
        <v>4260</v>
      </c>
      <c r="G9">
        <v>6750</v>
      </c>
      <c r="H9" s="4">
        <v>0.74</v>
      </c>
      <c r="I9" s="4">
        <v>1.3350000000000009</v>
      </c>
      <c r="J9" s="4">
        <v>1.2096</v>
      </c>
      <c r="K9" s="4">
        <v>0.78</v>
      </c>
      <c r="L9" s="5" t="s">
        <v>16</v>
      </c>
    </row>
    <row r="10" spans="1:14" x14ac:dyDescent="0.25">
      <c r="A10" s="5">
        <v>2025</v>
      </c>
      <c r="B10" s="5" t="s">
        <v>8</v>
      </c>
      <c r="C10" s="10">
        <v>11450</v>
      </c>
      <c r="D10" s="5">
        <v>13440</v>
      </c>
      <c r="E10" s="4">
        <v>0.77</v>
      </c>
      <c r="F10">
        <v>6450</v>
      </c>
      <c r="G10">
        <v>8200</v>
      </c>
      <c r="H10" s="4">
        <v>0.81</v>
      </c>
      <c r="I10" s="4">
        <v>0.14000000000000001</v>
      </c>
      <c r="J10" s="4">
        <v>0.19600000000000001</v>
      </c>
      <c r="K10" s="4">
        <v>0.85</v>
      </c>
      <c r="L10" s="5" t="s">
        <v>16</v>
      </c>
    </row>
    <row r="11" spans="1:14" x14ac:dyDescent="0.25">
      <c r="A11" s="5">
        <v>2025</v>
      </c>
      <c r="B11" s="5" t="s">
        <v>9</v>
      </c>
      <c r="C11" s="10">
        <v>23440</v>
      </c>
      <c r="D11" s="5">
        <v>32360</v>
      </c>
      <c r="E11" s="4">
        <v>0.67</v>
      </c>
      <c r="F11">
        <v>7720</v>
      </c>
      <c r="G11">
        <v>7040</v>
      </c>
      <c r="H11" s="4">
        <v>0.89</v>
      </c>
      <c r="I11" s="4">
        <v>0.30499999999999999</v>
      </c>
      <c r="J11" s="4">
        <v>0.3580000000000001</v>
      </c>
      <c r="K11" s="4">
        <v>0.92</v>
      </c>
      <c r="L11" s="5" t="s">
        <v>16</v>
      </c>
    </row>
    <row r="12" spans="1:14" x14ac:dyDescent="0.25">
      <c r="A12" s="5">
        <v>2025</v>
      </c>
      <c r="B12" s="5" t="s">
        <v>10</v>
      </c>
      <c r="C12" s="10">
        <v>9090</v>
      </c>
      <c r="D12" s="5">
        <v>9850</v>
      </c>
      <c r="E12" s="4">
        <v>0.57999999999999996</v>
      </c>
      <c r="F12">
        <v>8000</v>
      </c>
      <c r="G12">
        <v>5470</v>
      </c>
      <c r="H12" s="4">
        <v>1.1499999999999999</v>
      </c>
      <c r="I12" s="4">
        <v>0.44300000000000006</v>
      </c>
      <c r="J12" s="4">
        <v>0.49680000000000019</v>
      </c>
      <c r="K12" s="4">
        <v>0.96</v>
      </c>
      <c r="L12" s="5" t="s">
        <v>16</v>
      </c>
    </row>
    <row r="13" spans="1:14" x14ac:dyDescent="0.25">
      <c r="A13" s="5">
        <v>2025</v>
      </c>
      <c r="B13" s="5" t="s">
        <v>11</v>
      </c>
      <c r="C13" s="10">
        <v>15670</v>
      </c>
      <c r="D13" s="5">
        <v>21640</v>
      </c>
      <c r="E13" s="4">
        <v>0.65</v>
      </c>
      <c r="F13">
        <v>7370</v>
      </c>
      <c r="G13">
        <v>6050</v>
      </c>
      <c r="H13" s="4">
        <v>1.24</v>
      </c>
      <c r="I13" s="4">
        <v>0.60700000000000021</v>
      </c>
      <c r="J13" s="4">
        <v>0.64080000000000037</v>
      </c>
      <c r="K13" s="4">
        <v>1</v>
      </c>
      <c r="L13" s="5" t="s">
        <v>16</v>
      </c>
    </row>
    <row r="14" spans="1:14" x14ac:dyDescent="0.25">
      <c r="A14" s="5">
        <v>2026</v>
      </c>
      <c r="B14" s="5" t="s">
        <v>0</v>
      </c>
      <c r="C14" s="10">
        <v>16690</v>
      </c>
      <c r="D14" s="5">
        <v>17370</v>
      </c>
      <c r="E14" s="4">
        <v>0.4</v>
      </c>
      <c r="F14">
        <v>6910</v>
      </c>
      <c r="G14">
        <v>4320</v>
      </c>
      <c r="H14" s="4">
        <v>0.15</v>
      </c>
      <c r="I14" s="4">
        <v>0.74700000000000033</v>
      </c>
      <c r="J14" s="4">
        <v>0.77760000000000051</v>
      </c>
      <c r="K14" s="4">
        <v>0.2</v>
      </c>
      <c r="L14" s="5" t="s">
        <v>16</v>
      </c>
    </row>
    <row r="15" spans="1:14" x14ac:dyDescent="0.25">
      <c r="A15" s="5">
        <v>2026</v>
      </c>
      <c r="B15" s="5" t="s">
        <v>1</v>
      </c>
      <c r="C15" s="10">
        <v>18950</v>
      </c>
      <c r="D15" s="5">
        <v>7370</v>
      </c>
      <c r="E15" s="4">
        <v>0.2</v>
      </c>
      <c r="F15">
        <v>5020</v>
      </c>
      <c r="G15">
        <v>3240</v>
      </c>
      <c r="H15" s="4">
        <v>0.25</v>
      </c>
      <c r="I15" s="4">
        <v>0.85900000000000043</v>
      </c>
      <c r="J15" s="4">
        <v>0.88560000000000061</v>
      </c>
      <c r="K15" s="4">
        <v>0.3</v>
      </c>
      <c r="L15" s="5" t="s">
        <v>16</v>
      </c>
    </row>
    <row r="16" spans="1:14" x14ac:dyDescent="0.25">
      <c r="A16" s="5">
        <v>2026</v>
      </c>
      <c r="B16" s="5" t="s">
        <v>2</v>
      </c>
      <c r="C16" s="10">
        <v>39970</v>
      </c>
      <c r="D16" s="5">
        <v>25560</v>
      </c>
      <c r="E16" s="4">
        <v>0.55000000000000004</v>
      </c>
      <c r="F16">
        <v>3780</v>
      </c>
      <c r="G16">
        <v>3640</v>
      </c>
      <c r="H16" s="4">
        <v>0.35</v>
      </c>
      <c r="I16" s="4">
        <v>1.2510000000000008</v>
      </c>
      <c r="J16" s="4">
        <v>1.2635999999999998</v>
      </c>
      <c r="K16" s="4">
        <v>0.4</v>
      </c>
      <c r="L16" s="5" t="s">
        <v>16</v>
      </c>
    </row>
    <row r="17" spans="1:12" x14ac:dyDescent="0.25">
      <c r="A17" s="5">
        <v>2026</v>
      </c>
      <c r="B17" s="5" t="s">
        <v>3</v>
      </c>
      <c r="C17" s="10">
        <v>20820</v>
      </c>
      <c r="D17" s="5">
        <v>26500</v>
      </c>
      <c r="E17" s="4">
        <v>0.7</v>
      </c>
      <c r="F17">
        <v>2910</v>
      </c>
      <c r="G17">
        <v>6520</v>
      </c>
      <c r="H17" s="4">
        <v>0.45</v>
      </c>
      <c r="I17" s="4">
        <v>1.1110000000000007</v>
      </c>
      <c r="J17" s="4">
        <v>1.2096</v>
      </c>
      <c r="K17" s="4">
        <v>0.5</v>
      </c>
      <c r="L17" s="5" t="s">
        <v>16</v>
      </c>
    </row>
    <row r="18" spans="1:12" x14ac:dyDescent="0.25">
      <c r="A18" s="5">
        <v>2026</v>
      </c>
      <c r="B18" s="5" t="s">
        <v>4</v>
      </c>
      <c r="C18" s="10">
        <v>8760</v>
      </c>
      <c r="D18" s="5">
        <v>3410</v>
      </c>
      <c r="E18" s="4">
        <v>0.5</v>
      </c>
      <c r="F18">
        <v>3560</v>
      </c>
      <c r="G18">
        <v>8120</v>
      </c>
      <c r="H18" s="4">
        <v>0.55000000000000004</v>
      </c>
      <c r="I18" s="4">
        <v>0.16800000000000001</v>
      </c>
      <c r="J18" s="4">
        <v>0.223</v>
      </c>
      <c r="K18" s="4">
        <v>0.6</v>
      </c>
      <c r="L18" s="5" t="s">
        <v>16</v>
      </c>
    </row>
    <row r="19" spans="1:12" x14ac:dyDescent="0.25">
      <c r="A19" s="5">
        <v>2026</v>
      </c>
      <c r="B19" s="5" t="s">
        <v>5</v>
      </c>
      <c r="C19" s="10">
        <v>18710</v>
      </c>
      <c r="D19" s="5">
        <v>21100</v>
      </c>
      <c r="E19" s="4">
        <v>0.65</v>
      </c>
      <c r="F19">
        <v>5260</v>
      </c>
      <c r="G19">
        <v>7320</v>
      </c>
      <c r="H19" s="4">
        <v>0.65</v>
      </c>
      <c r="I19" s="4">
        <v>0.33</v>
      </c>
      <c r="J19" s="4">
        <v>0.38500000000000012</v>
      </c>
      <c r="K19" s="4">
        <v>0.7</v>
      </c>
      <c r="L19" s="5" t="s">
        <v>16</v>
      </c>
    </row>
    <row r="20" spans="1:12" x14ac:dyDescent="0.25">
      <c r="A20" s="5">
        <v>2026</v>
      </c>
      <c r="B20" s="5" t="s">
        <v>6</v>
      </c>
      <c r="C20" s="10">
        <v>32680</v>
      </c>
      <c r="D20" s="5">
        <v>18380</v>
      </c>
      <c r="E20" s="4">
        <v>0.55000000000000004</v>
      </c>
      <c r="F20">
        <v>7120</v>
      </c>
      <c r="G20">
        <v>5740</v>
      </c>
      <c r="H20" s="4">
        <v>0.74</v>
      </c>
      <c r="I20" s="4">
        <v>0.47000000000000008</v>
      </c>
      <c r="J20" s="4">
        <v>0.52560000000000018</v>
      </c>
      <c r="K20" s="4">
        <v>0.78</v>
      </c>
      <c r="L20" s="5" t="s">
        <v>16</v>
      </c>
    </row>
    <row r="21" spans="1:12" x14ac:dyDescent="0.25">
      <c r="A21" s="5">
        <v>2026</v>
      </c>
      <c r="B21" s="5" t="s">
        <v>7</v>
      </c>
      <c r="C21" s="10">
        <v>37640</v>
      </c>
      <c r="D21" s="5">
        <v>24070</v>
      </c>
      <c r="E21" s="4">
        <v>0.75</v>
      </c>
      <c r="F21">
        <v>8200</v>
      </c>
      <c r="G21">
        <v>6100</v>
      </c>
      <c r="H21" s="4">
        <v>0.82</v>
      </c>
      <c r="I21" s="4">
        <v>0.63500000000000023</v>
      </c>
      <c r="J21" s="4">
        <v>0.66960000000000042</v>
      </c>
      <c r="K21" s="4">
        <v>0.85</v>
      </c>
      <c r="L21" s="5" t="s">
        <v>16</v>
      </c>
    </row>
    <row r="22" spans="1:12" x14ac:dyDescent="0.25">
      <c r="A22" s="5">
        <v>2026</v>
      </c>
      <c r="B22" s="5" t="s">
        <v>8</v>
      </c>
      <c r="C22" s="10">
        <v>33540</v>
      </c>
      <c r="D22" s="5">
        <v>24290</v>
      </c>
      <c r="E22" s="4">
        <v>0.8</v>
      </c>
      <c r="F22">
        <v>7840</v>
      </c>
      <c r="G22">
        <v>4520</v>
      </c>
      <c r="H22" s="4">
        <v>0.88</v>
      </c>
      <c r="I22" s="4">
        <v>0.74700000000000033</v>
      </c>
      <c r="J22" s="4">
        <v>0.80460000000000054</v>
      </c>
      <c r="K22" s="4">
        <v>0.91</v>
      </c>
      <c r="L22" s="5" t="s">
        <v>16</v>
      </c>
    </row>
    <row r="23" spans="1:12" x14ac:dyDescent="0.25">
      <c r="A23" s="5">
        <v>2026</v>
      </c>
      <c r="B23" s="5" t="s">
        <v>9</v>
      </c>
      <c r="C23" s="10">
        <v>10240</v>
      </c>
      <c r="D23" s="5">
        <v>14140</v>
      </c>
      <c r="E23" s="4">
        <v>0.65</v>
      </c>
      <c r="F23">
        <v>6140</v>
      </c>
      <c r="G23">
        <v>3360</v>
      </c>
      <c r="H23" s="4">
        <v>1.17</v>
      </c>
      <c r="I23" s="4">
        <v>0.85900000000000043</v>
      </c>
      <c r="J23" s="4">
        <v>0.88560000000000061</v>
      </c>
      <c r="K23" s="4">
        <v>0.96</v>
      </c>
      <c r="L23" s="5" t="s">
        <v>16</v>
      </c>
    </row>
    <row r="24" spans="1:12" x14ac:dyDescent="0.25">
      <c r="A24" s="5">
        <v>2026</v>
      </c>
      <c r="B24" s="5" t="s">
        <v>10</v>
      </c>
      <c r="C24" s="10">
        <v>11400</v>
      </c>
      <c r="D24" s="5">
        <v>5370</v>
      </c>
      <c r="E24" s="4">
        <v>0.55000000000000004</v>
      </c>
      <c r="F24">
        <v>4320</v>
      </c>
      <c r="G24">
        <v>3520</v>
      </c>
      <c r="H24" s="4">
        <v>1.27</v>
      </c>
      <c r="I24" s="4">
        <v>1.2790000000000008</v>
      </c>
      <c r="J24" s="4">
        <v>1.3175999999999997</v>
      </c>
      <c r="K24" s="4">
        <v>0.99</v>
      </c>
      <c r="L24" s="5" t="s">
        <v>16</v>
      </c>
    </row>
    <row r="25" spans="1:12" x14ac:dyDescent="0.25">
      <c r="A25" s="5">
        <v>2026</v>
      </c>
      <c r="B25" s="5" t="s">
        <v>11</v>
      </c>
      <c r="C25" s="10">
        <v>20590</v>
      </c>
      <c r="D25" s="5">
        <v>9250</v>
      </c>
      <c r="E25" s="4">
        <v>0.7</v>
      </c>
      <c r="F25">
        <v>3540</v>
      </c>
      <c r="G25">
        <v>6600</v>
      </c>
      <c r="H25" s="4">
        <v>1.33</v>
      </c>
      <c r="I25" s="4">
        <v>1.1950000000000007</v>
      </c>
      <c r="J25" s="4">
        <v>1.2365999999999999</v>
      </c>
      <c r="K25" s="4">
        <v>1</v>
      </c>
      <c r="L25" s="5" t="s">
        <v>16</v>
      </c>
    </row>
    <row r="26" spans="1:12" x14ac:dyDescent="0.25">
      <c r="A26" s="5">
        <v>2027</v>
      </c>
      <c r="B26" s="5" t="s">
        <v>0</v>
      </c>
      <c r="C26" s="10">
        <v>14610</v>
      </c>
      <c r="D26" s="5">
        <v>21020</v>
      </c>
      <c r="E26" s="4">
        <v>0.4</v>
      </c>
      <c r="F26">
        <v>2970</v>
      </c>
      <c r="G26">
        <v>8060</v>
      </c>
      <c r="H26" s="4">
        <v>0.16</v>
      </c>
      <c r="I26" s="4">
        <v>0.16800000000000001</v>
      </c>
      <c r="J26" s="4">
        <v>0.223</v>
      </c>
      <c r="K26" s="4">
        <v>0.22</v>
      </c>
      <c r="L26" s="5" t="s">
        <v>16</v>
      </c>
    </row>
    <row r="27" spans="1:12" x14ac:dyDescent="0.25">
      <c r="A27" s="5">
        <v>2027</v>
      </c>
      <c r="B27" s="5" t="s">
        <v>1</v>
      </c>
      <c r="C27" s="10">
        <v>42130</v>
      </c>
      <c r="D27" s="5">
        <v>20750</v>
      </c>
      <c r="E27" s="4">
        <v>0.32</v>
      </c>
      <c r="F27">
        <v>3840</v>
      </c>
      <c r="G27">
        <v>7240</v>
      </c>
      <c r="H27" s="4">
        <v>0.27</v>
      </c>
      <c r="I27" s="4">
        <v>0.33</v>
      </c>
      <c r="J27" s="4">
        <v>0.41200000000000014</v>
      </c>
      <c r="K27" s="4">
        <v>0.33</v>
      </c>
      <c r="L27" s="5" t="s">
        <v>16</v>
      </c>
    </row>
    <row r="28" spans="1:12" x14ac:dyDescent="0.25">
      <c r="A28" s="5">
        <v>2027</v>
      </c>
      <c r="B28" s="5" t="s">
        <v>2</v>
      </c>
      <c r="C28" s="10">
        <v>25350</v>
      </c>
      <c r="D28" s="5">
        <v>7570</v>
      </c>
      <c r="E28" s="4">
        <v>0.55000000000000004</v>
      </c>
      <c r="F28">
        <v>5620</v>
      </c>
      <c r="G28">
        <v>5660</v>
      </c>
      <c r="H28" s="4">
        <v>0.38</v>
      </c>
      <c r="I28" s="4">
        <v>0.49700000000000011</v>
      </c>
      <c r="J28" s="4">
        <v>0.55440000000000023</v>
      </c>
      <c r="K28" s="4">
        <v>0.43</v>
      </c>
      <c r="L28" s="5" t="s">
        <v>16</v>
      </c>
    </row>
    <row r="29" spans="1:12" x14ac:dyDescent="0.25">
      <c r="A29" s="5">
        <v>2027</v>
      </c>
      <c r="B29" s="5" t="s">
        <v>3</v>
      </c>
      <c r="C29" s="10">
        <v>48190</v>
      </c>
      <c r="D29" s="5">
        <v>39430</v>
      </c>
      <c r="E29" s="4">
        <v>0.68</v>
      </c>
      <c r="F29">
        <v>7440</v>
      </c>
      <c r="G29">
        <v>6180</v>
      </c>
      <c r="H29" s="4">
        <v>0.48</v>
      </c>
      <c r="I29" s="4">
        <v>0.66300000000000026</v>
      </c>
      <c r="J29" s="4">
        <v>0.69660000000000044</v>
      </c>
      <c r="K29" s="4">
        <v>0.53</v>
      </c>
      <c r="L29" s="5" t="s">
        <v>16</v>
      </c>
    </row>
    <row r="30" spans="1:12" x14ac:dyDescent="0.25">
      <c r="A30" s="5">
        <v>2027</v>
      </c>
      <c r="B30" s="5" t="s">
        <v>4</v>
      </c>
      <c r="C30" s="10">
        <v>28450</v>
      </c>
      <c r="D30" s="5">
        <v>30830</v>
      </c>
      <c r="E30" s="4">
        <v>0.52</v>
      </c>
      <c r="F30">
        <v>8460</v>
      </c>
      <c r="G30">
        <v>4760</v>
      </c>
      <c r="H30" s="4">
        <v>0.57999999999999996</v>
      </c>
      <c r="I30" s="4">
        <v>0.77500000000000036</v>
      </c>
      <c r="J30" s="4">
        <v>0.83160000000000056</v>
      </c>
      <c r="K30" s="4">
        <v>0.63</v>
      </c>
      <c r="L30" s="5" t="s">
        <v>16</v>
      </c>
    </row>
    <row r="31" spans="1:12" x14ac:dyDescent="0.25">
      <c r="A31" s="5">
        <v>2027</v>
      </c>
      <c r="B31" s="5" t="s">
        <v>5</v>
      </c>
      <c r="C31" s="10">
        <v>50780</v>
      </c>
      <c r="D31" s="5">
        <v>55010</v>
      </c>
      <c r="E31" s="4">
        <v>0.62</v>
      </c>
      <c r="F31">
        <v>8040</v>
      </c>
      <c r="G31">
        <v>3420</v>
      </c>
      <c r="H31" s="4">
        <v>0.68</v>
      </c>
      <c r="I31" s="4">
        <v>0.88700000000000045</v>
      </c>
      <c r="J31" s="4">
        <v>0.91260000000000063</v>
      </c>
      <c r="K31" s="4">
        <v>0.73</v>
      </c>
      <c r="L31" s="5" t="s">
        <v>16</v>
      </c>
    </row>
    <row r="32" spans="1:12" x14ac:dyDescent="0.25">
      <c r="A32" s="5">
        <v>2027</v>
      </c>
      <c r="B32" s="5" t="s">
        <v>6</v>
      </c>
      <c r="C32" s="10">
        <v>32730</v>
      </c>
      <c r="D32" s="5">
        <v>36910</v>
      </c>
      <c r="E32" s="4">
        <v>0.56999999999999995</v>
      </c>
      <c r="F32">
        <v>6340</v>
      </c>
      <c r="G32">
        <v>3780</v>
      </c>
      <c r="H32" s="4">
        <v>0.76</v>
      </c>
      <c r="I32" s="4">
        <v>1.1110000000000007</v>
      </c>
      <c r="J32" s="4">
        <v>1.3175999999999997</v>
      </c>
      <c r="K32" s="4">
        <v>0.8</v>
      </c>
      <c r="L32" s="5" t="s">
        <v>16</v>
      </c>
    </row>
    <row r="33" spans="1:12" x14ac:dyDescent="0.25">
      <c r="A33" s="5">
        <v>2027</v>
      </c>
      <c r="B33" s="5" t="s">
        <v>7</v>
      </c>
      <c r="C33" s="10">
        <v>31660</v>
      </c>
      <c r="D33" s="5">
        <v>20240</v>
      </c>
      <c r="E33" s="4">
        <v>0.72</v>
      </c>
      <c r="F33">
        <v>4700</v>
      </c>
      <c r="G33">
        <v>6820</v>
      </c>
      <c r="H33" s="4">
        <v>0.83</v>
      </c>
      <c r="I33" s="4">
        <v>1.3070000000000008</v>
      </c>
      <c r="J33" s="4">
        <v>1.1016000000000004</v>
      </c>
      <c r="K33" s="4">
        <v>0.86</v>
      </c>
      <c r="L33" s="5" t="s">
        <v>16</v>
      </c>
    </row>
    <row r="34" spans="1:12" x14ac:dyDescent="0.25">
      <c r="A34" s="5">
        <v>2027</v>
      </c>
      <c r="B34" s="5" t="s">
        <v>8</v>
      </c>
      <c r="C34" s="10">
        <v>14790</v>
      </c>
      <c r="D34" s="5">
        <v>20430</v>
      </c>
      <c r="E34" s="4">
        <v>0.77</v>
      </c>
      <c r="F34">
        <v>3820</v>
      </c>
      <c r="G34">
        <v>8160</v>
      </c>
      <c r="H34" s="4">
        <v>0.89</v>
      </c>
      <c r="I34" s="4">
        <v>0.14000000000000001</v>
      </c>
      <c r="J34" s="4">
        <v>0.19600000000000001</v>
      </c>
      <c r="K34" s="4">
        <v>0.92</v>
      </c>
      <c r="L34" s="5" t="s">
        <v>16</v>
      </c>
    </row>
    <row r="35" spans="1:12" x14ac:dyDescent="0.25">
      <c r="A35" s="5">
        <v>2027</v>
      </c>
      <c r="B35" s="5" t="s">
        <v>9</v>
      </c>
      <c r="C35" s="10">
        <v>37190</v>
      </c>
      <c r="D35" s="5">
        <v>20030</v>
      </c>
      <c r="E35" s="4">
        <v>0.67</v>
      </c>
      <c r="F35">
        <v>3120</v>
      </c>
      <c r="G35">
        <v>7480</v>
      </c>
      <c r="H35" s="4">
        <v>1.34</v>
      </c>
      <c r="I35" s="4">
        <v>0.27800000000000002</v>
      </c>
      <c r="J35" s="4">
        <v>0.33100000000000007</v>
      </c>
      <c r="K35" s="4">
        <v>0.97</v>
      </c>
      <c r="L35" s="5" t="s">
        <v>16</v>
      </c>
    </row>
    <row r="36" spans="1:12" x14ac:dyDescent="0.25">
      <c r="A36" s="5">
        <v>2027</v>
      </c>
      <c r="B36" s="5" t="s">
        <v>10</v>
      </c>
      <c r="C36" s="10">
        <v>23830</v>
      </c>
      <c r="D36" s="5">
        <v>20300</v>
      </c>
      <c r="E36" s="4">
        <v>0.57999999999999996</v>
      </c>
      <c r="F36">
        <v>4220</v>
      </c>
      <c r="G36">
        <v>5880</v>
      </c>
      <c r="H36" s="4">
        <v>1.24</v>
      </c>
      <c r="I36" s="4">
        <v>0.38900000000000001</v>
      </c>
      <c r="J36" s="4">
        <v>0.44000000000000017</v>
      </c>
      <c r="K36" s="4">
        <v>0.99</v>
      </c>
      <c r="L36" s="5" t="s">
        <v>16</v>
      </c>
    </row>
    <row r="37" spans="1:12" x14ac:dyDescent="0.25">
      <c r="A37" s="5">
        <v>2027</v>
      </c>
      <c r="B37" s="5" t="s">
        <v>11</v>
      </c>
      <c r="C37" s="10">
        <v>12110</v>
      </c>
      <c r="D37" s="5">
        <v>4480</v>
      </c>
      <c r="E37" s="4">
        <v>0.65</v>
      </c>
      <c r="F37">
        <v>6180</v>
      </c>
      <c r="G37">
        <v>6280</v>
      </c>
      <c r="H37" s="4">
        <v>1.33</v>
      </c>
      <c r="I37" s="4">
        <v>0.52400000000000013</v>
      </c>
      <c r="J37" s="4">
        <v>0.58320000000000027</v>
      </c>
      <c r="K37" s="4">
        <v>1</v>
      </c>
      <c r="L37" s="5" t="s">
        <v>16</v>
      </c>
    </row>
    <row r="38" spans="1:12" x14ac:dyDescent="0.25">
      <c r="A38" s="5">
        <v>2028</v>
      </c>
      <c r="B38" s="5" t="s">
        <v>0</v>
      </c>
      <c r="C38" s="10">
        <v>16700</v>
      </c>
      <c r="D38" s="5">
        <v>9390</v>
      </c>
      <c r="E38" s="4">
        <v>0.35</v>
      </c>
      <c r="F38">
        <v>7860</v>
      </c>
      <c r="G38">
        <v>4960</v>
      </c>
      <c r="H38" s="4">
        <v>0.17</v>
      </c>
      <c r="I38" s="4">
        <v>0.66300000000000026</v>
      </c>
      <c r="J38" s="4">
        <v>0.69660000000000044</v>
      </c>
      <c r="K38" s="4">
        <v>0.23</v>
      </c>
      <c r="L38" s="5" t="s">
        <v>16</v>
      </c>
    </row>
    <row r="39" spans="1:12" x14ac:dyDescent="0.25">
      <c r="A39" s="5">
        <v>2028</v>
      </c>
      <c r="B39" s="5" t="s">
        <v>1</v>
      </c>
      <c r="C39" s="10">
        <v>31830</v>
      </c>
      <c r="D39" s="5">
        <v>22120</v>
      </c>
      <c r="E39" s="4">
        <v>0.42</v>
      </c>
      <c r="F39">
        <v>8600</v>
      </c>
      <c r="G39">
        <v>3620</v>
      </c>
      <c r="H39" s="4">
        <v>0.28000000000000003</v>
      </c>
      <c r="I39" s="4">
        <v>0.77500000000000036</v>
      </c>
      <c r="J39" s="4">
        <v>0.80460000000000054</v>
      </c>
      <c r="K39" s="4">
        <v>0.34</v>
      </c>
      <c r="L39" s="5" t="s">
        <v>16</v>
      </c>
    </row>
    <row r="40" spans="1:12" x14ac:dyDescent="0.25">
      <c r="A40" s="5">
        <v>2028</v>
      </c>
      <c r="B40" s="5" t="s">
        <v>2</v>
      </c>
      <c r="C40" s="10">
        <v>65880</v>
      </c>
      <c r="D40" s="5">
        <v>63300</v>
      </c>
      <c r="E40" s="4">
        <v>0.6</v>
      </c>
      <c r="F40">
        <v>8080</v>
      </c>
      <c r="G40">
        <v>3900</v>
      </c>
      <c r="H40" s="4">
        <v>0.4</v>
      </c>
      <c r="I40" s="4">
        <v>0.88700000000000045</v>
      </c>
      <c r="J40" s="4">
        <v>0.91260000000000063</v>
      </c>
      <c r="K40" s="4">
        <v>0.45</v>
      </c>
      <c r="L40" s="5" t="s">
        <v>16</v>
      </c>
    </row>
    <row r="41" spans="1:12" x14ac:dyDescent="0.25">
      <c r="A41" s="5">
        <v>2028</v>
      </c>
      <c r="B41" s="5" t="s">
        <v>3</v>
      </c>
      <c r="C41" s="10">
        <v>39190</v>
      </c>
      <c r="D41" s="5">
        <v>22040</v>
      </c>
      <c r="E41" s="4">
        <v>0.7</v>
      </c>
      <c r="F41">
        <v>6300</v>
      </c>
      <c r="G41">
        <v>6920</v>
      </c>
      <c r="H41" s="4">
        <v>0.5</v>
      </c>
      <c r="I41" s="4">
        <v>1.1670000000000007</v>
      </c>
      <c r="J41" s="4">
        <v>1.2365999999999999</v>
      </c>
      <c r="K41" s="4">
        <v>0.55000000000000004</v>
      </c>
      <c r="L41" s="5" t="s">
        <v>16</v>
      </c>
    </row>
    <row r="42" spans="1:12" x14ac:dyDescent="0.25">
      <c r="A42" s="5">
        <v>2028</v>
      </c>
      <c r="B42" s="5" t="s">
        <v>4</v>
      </c>
      <c r="C42" s="10">
        <v>29980</v>
      </c>
      <c r="D42" s="5">
        <v>21710</v>
      </c>
      <c r="E42" s="4">
        <v>0.55000000000000004</v>
      </c>
      <c r="F42">
        <v>4560</v>
      </c>
      <c r="G42">
        <v>8260</v>
      </c>
      <c r="H42" s="4">
        <v>0.6</v>
      </c>
      <c r="I42" s="4">
        <v>0.14000000000000001</v>
      </c>
      <c r="J42" s="4">
        <v>0.19600000000000001</v>
      </c>
      <c r="K42" s="4">
        <v>0.65</v>
      </c>
      <c r="L42" s="5" t="s">
        <v>16</v>
      </c>
    </row>
    <row r="43" spans="1:12" x14ac:dyDescent="0.25">
      <c r="A43" s="5">
        <v>2028</v>
      </c>
      <c r="B43" s="5" t="s">
        <v>5</v>
      </c>
      <c r="C43" s="10">
        <v>25070</v>
      </c>
      <c r="D43" s="5">
        <v>8360</v>
      </c>
      <c r="E43" s="4">
        <v>0.65</v>
      </c>
      <c r="F43">
        <v>3620</v>
      </c>
      <c r="G43">
        <v>7680</v>
      </c>
      <c r="H43" s="4">
        <v>0.7</v>
      </c>
      <c r="I43" s="4">
        <v>0.30499999999999999</v>
      </c>
      <c r="J43" s="4">
        <v>0.3580000000000001</v>
      </c>
      <c r="K43" s="4">
        <v>0.75</v>
      </c>
      <c r="L43" s="5" t="s">
        <v>16</v>
      </c>
    </row>
    <row r="44" spans="1:12" x14ac:dyDescent="0.25">
      <c r="A44" s="5">
        <v>2028</v>
      </c>
      <c r="B44" s="5" t="s">
        <v>6</v>
      </c>
      <c r="C44" s="10">
        <v>30430</v>
      </c>
      <c r="D44" s="5">
        <v>9090</v>
      </c>
      <c r="E44" s="4">
        <v>0.6</v>
      </c>
      <c r="F44">
        <v>2840</v>
      </c>
      <c r="G44">
        <v>6060</v>
      </c>
      <c r="H44" s="4">
        <v>0.78</v>
      </c>
      <c r="I44" s="4">
        <v>0.44300000000000006</v>
      </c>
      <c r="J44" s="4">
        <v>0.49680000000000019</v>
      </c>
      <c r="K44" s="4">
        <v>0.82</v>
      </c>
      <c r="L44" s="5" t="s">
        <v>16</v>
      </c>
    </row>
    <row r="45" spans="1:12" x14ac:dyDescent="0.25">
      <c r="A45" s="5">
        <v>2028</v>
      </c>
      <c r="B45" s="5" t="s">
        <v>7</v>
      </c>
      <c r="C45" s="10">
        <v>39370</v>
      </c>
      <c r="D45" s="5">
        <v>48110</v>
      </c>
      <c r="E45" s="4">
        <v>0.75</v>
      </c>
      <c r="F45">
        <v>3660</v>
      </c>
      <c r="G45">
        <v>6360</v>
      </c>
      <c r="H45" s="4">
        <v>0.85</v>
      </c>
      <c r="I45" s="4">
        <v>0.60700000000000021</v>
      </c>
      <c r="J45" s="4">
        <v>0.64080000000000037</v>
      </c>
      <c r="K45" s="4">
        <v>0.88</v>
      </c>
      <c r="L45" s="5" t="s">
        <v>16</v>
      </c>
    </row>
    <row r="46" spans="1:12" x14ac:dyDescent="0.25">
      <c r="A46" s="5">
        <v>2028</v>
      </c>
      <c r="B46" s="5" t="s">
        <v>8</v>
      </c>
      <c r="C46" s="10">
        <v>80090</v>
      </c>
      <c r="D46" s="5">
        <v>47040</v>
      </c>
      <c r="E46" s="4">
        <v>0.8</v>
      </c>
      <c r="F46">
        <v>5560</v>
      </c>
      <c r="G46">
        <v>5120</v>
      </c>
      <c r="H46" s="4">
        <v>0.91</v>
      </c>
      <c r="I46" s="4">
        <v>0.74700000000000033</v>
      </c>
      <c r="J46" s="4">
        <v>0.77760000000000051</v>
      </c>
      <c r="K46" s="4">
        <v>0.94</v>
      </c>
      <c r="L46" s="5" t="s">
        <v>16</v>
      </c>
    </row>
    <row r="47" spans="1:12" x14ac:dyDescent="0.25">
      <c r="A47" s="5">
        <v>2028</v>
      </c>
      <c r="B47" s="5" t="s">
        <v>9</v>
      </c>
      <c r="C47" s="10">
        <v>18760</v>
      </c>
      <c r="D47" s="5">
        <v>15980</v>
      </c>
      <c r="E47" s="4">
        <v>0.7</v>
      </c>
      <c r="F47">
        <v>7340</v>
      </c>
      <c r="G47">
        <v>3740</v>
      </c>
      <c r="H47" s="4">
        <v>1.31</v>
      </c>
      <c r="I47" s="4">
        <v>0.85900000000000043</v>
      </c>
      <c r="J47" s="4">
        <v>0.88560000000000061</v>
      </c>
      <c r="K47" s="4">
        <v>0.98</v>
      </c>
      <c r="L47" s="5" t="s">
        <v>16</v>
      </c>
    </row>
    <row r="48" spans="1:12" x14ac:dyDescent="0.25">
      <c r="A48" s="5">
        <v>2028</v>
      </c>
      <c r="B48" s="5" t="s">
        <v>10</v>
      </c>
      <c r="C48" s="10">
        <v>15190</v>
      </c>
      <c r="D48" s="5">
        <v>12940</v>
      </c>
      <c r="E48" s="4">
        <v>0.6</v>
      </c>
      <c r="F48">
        <v>8520</v>
      </c>
      <c r="G48">
        <v>4040</v>
      </c>
      <c r="H48" s="4">
        <v>1.1399999999999999</v>
      </c>
      <c r="I48" s="4">
        <v>1.3350000000000009</v>
      </c>
      <c r="J48" s="4">
        <v>1.2635999999999998</v>
      </c>
      <c r="K48" s="4">
        <v>1</v>
      </c>
      <c r="L48" s="5" t="s">
        <v>16</v>
      </c>
    </row>
    <row r="49" spans="1:12" x14ac:dyDescent="0.25">
      <c r="A49" s="5">
        <v>2028</v>
      </c>
      <c r="B49" s="5" t="s">
        <v>11</v>
      </c>
      <c r="C49" s="10">
        <v>19970</v>
      </c>
      <c r="D49" s="5">
        <v>25420</v>
      </c>
      <c r="E49" s="4">
        <v>0.68</v>
      </c>
      <c r="F49">
        <v>8160</v>
      </c>
      <c r="G49">
        <v>7020</v>
      </c>
      <c r="H49" s="4">
        <v>1.1399999999999999</v>
      </c>
      <c r="I49" s="4">
        <v>1.2790000000000008</v>
      </c>
      <c r="J49" s="4">
        <v>1.1826000000000001</v>
      </c>
      <c r="K49" s="4">
        <v>1</v>
      </c>
      <c r="L49" s="5" t="s">
        <v>16</v>
      </c>
    </row>
    <row r="50" spans="1:12" x14ac:dyDescent="0.25">
      <c r="A50" s="5">
        <v>2025</v>
      </c>
      <c r="B50" s="5" t="s">
        <v>0</v>
      </c>
      <c r="C50" s="10">
        <v>12150</v>
      </c>
      <c r="D50" s="5">
        <v>9950</v>
      </c>
      <c r="E50" s="4">
        <v>0.45</v>
      </c>
      <c r="F50">
        <v>6420</v>
      </c>
      <c r="G50">
        <v>8340</v>
      </c>
      <c r="H50" s="4">
        <v>0.15</v>
      </c>
      <c r="I50" s="4">
        <v>0.16800000000000001</v>
      </c>
      <c r="J50" s="4">
        <v>0.223</v>
      </c>
      <c r="K50" s="4">
        <v>0.19</v>
      </c>
      <c r="L50" s="5" t="s">
        <v>17</v>
      </c>
    </row>
    <row r="51" spans="1:12" x14ac:dyDescent="0.25">
      <c r="A51" s="5">
        <v>2025</v>
      </c>
      <c r="B51" s="5" t="s">
        <v>1</v>
      </c>
      <c r="C51" s="10">
        <v>16130</v>
      </c>
      <c r="D51" s="5">
        <v>5090</v>
      </c>
      <c r="E51" s="4">
        <v>0.38</v>
      </c>
      <c r="F51">
        <v>4780</v>
      </c>
      <c r="G51">
        <v>7840</v>
      </c>
      <c r="H51" s="4">
        <v>0.23</v>
      </c>
      <c r="I51" s="4">
        <v>0.33</v>
      </c>
      <c r="J51" s="4">
        <v>0.38500000000000012</v>
      </c>
      <c r="K51" s="4">
        <v>0.28000000000000003</v>
      </c>
      <c r="L51" s="5" t="s">
        <v>17</v>
      </c>
    </row>
    <row r="52" spans="1:12" x14ac:dyDescent="0.25">
      <c r="A52" s="5">
        <v>2025</v>
      </c>
      <c r="B52" s="5" t="s">
        <v>2</v>
      </c>
      <c r="C52" s="10">
        <v>24390</v>
      </c>
      <c r="D52" s="5">
        <v>25390</v>
      </c>
      <c r="E52" s="4">
        <v>0.57999999999999996</v>
      </c>
      <c r="F52">
        <v>3780</v>
      </c>
      <c r="G52">
        <v>6220</v>
      </c>
      <c r="H52" s="4">
        <v>0.32</v>
      </c>
      <c r="I52" s="4">
        <v>0.47000000000000008</v>
      </c>
      <c r="J52" s="4">
        <v>0.52560000000000018</v>
      </c>
      <c r="K52" s="4">
        <v>0.36</v>
      </c>
      <c r="L52" s="5" t="s">
        <v>17</v>
      </c>
    </row>
    <row r="53" spans="1:12" x14ac:dyDescent="0.25">
      <c r="A53" s="5">
        <v>2025</v>
      </c>
      <c r="B53" s="5" t="s">
        <v>3</v>
      </c>
      <c r="C53" s="10">
        <v>8680</v>
      </c>
      <c r="D53" s="5">
        <v>7700</v>
      </c>
      <c r="E53" s="4">
        <v>0.65</v>
      </c>
      <c r="F53">
        <v>2980</v>
      </c>
      <c r="G53">
        <v>6500</v>
      </c>
      <c r="H53" s="4">
        <v>0.4</v>
      </c>
      <c r="I53" s="4">
        <v>0.63500000000000023</v>
      </c>
      <c r="J53" s="4">
        <v>0.66960000000000042</v>
      </c>
      <c r="K53" s="4">
        <v>0.44</v>
      </c>
      <c r="L53" s="5" t="s">
        <v>17</v>
      </c>
    </row>
    <row r="54" spans="1:12" x14ac:dyDescent="0.25">
      <c r="A54" s="5">
        <v>2025</v>
      </c>
      <c r="B54" s="5" t="s">
        <v>4</v>
      </c>
      <c r="C54" s="10">
        <v>39970</v>
      </c>
      <c r="D54" s="5">
        <v>11940</v>
      </c>
      <c r="E54" s="4">
        <v>0.5</v>
      </c>
      <c r="F54">
        <v>4080</v>
      </c>
      <c r="G54">
        <v>5260</v>
      </c>
      <c r="H54" s="4">
        <v>0.49</v>
      </c>
      <c r="I54" s="4">
        <v>0.74700000000000033</v>
      </c>
      <c r="J54" s="4">
        <v>0.80460000000000054</v>
      </c>
      <c r="K54" s="4">
        <v>0.53</v>
      </c>
      <c r="L54" s="5" t="s">
        <v>17</v>
      </c>
    </row>
    <row r="55" spans="1:12" x14ac:dyDescent="0.25">
      <c r="A55" s="5">
        <v>2025</v>
      </c>
      <c r="B55" s="5" t="s">
        <v>5</v>
      </c>
      <c r="C55" s="10">
        <v>31380</v>
      </c>
      <c r="D55" s="5">
        <v>18430</v>
      </c>
      <c r="E55" s="4">
        <v>0.63</v>
      </c>
      <c r="F55">
        <v>6060</v>
      </c>
      <c r="G55">
        <v>3920</v>
      </c>
      <c r="H55" s="4">
        <v>0.56999999999999995</v>
      </c>
      <c r="I55" s="4">
        <v>0.85900000000000043</v>
      </c>
      <c r="J55" s="4">
        <v>0.88560000000000061</v>
      </c>
      <c r="K55" s="4">
        <v>0.62</v>
      </c>
      <c r="L55" s="5" t="s">
        <v>17</v>
      </c>
    </row>
    <row r="56" spans="1:12" x14ac:dyDescent="0.25">
      <c r="A56" s="5">
        <v>2025</v>
      </c>
      <c r="B56" s="5" t="s">
        <v>6</v>
      </c>
      <c r="C56" s="10">
        <v>21350</v>
      </c>
      <c r="D56" s="5">
        <v>14230</v>
      </c>
      <c r="E56" s="4">
        <v>0.59</v>
      </c>
      <c r="F56">
        <v>7760</v>
      </c>
      <c r="G56">
        <v>4160</v>
      </c>
      <c r="H56" s="4">
        <v>0.66</v>
      </c>
      <c r="I56" s="4">
        <v>1.1390000000000007</v>
      </c>
      <c r="J56" s="4">
        <v>1.1826000000000001</v>
      </c>
      <c r="K56" s="4">
        <v>0.7</v>
      </c>
      <c r="L56" s="5" t="s">
        <v>17</v>
      </c>
    </row>
    <row r="57" spans="1:12" x14ac:dyDescent="0.25">
      <c r="A57" s="5">
        <v>2025</v>
      </c>
      <c r="B57" s="5" t="s">
        <v>7</v>
      </c>
      <c r="C57" s="10">
        <v>3540</v>
      </c>
      <c r="D57" s="5">
        <v>2260</v>
      </c>
      <c r="E57" s="4">
        <v>0.7</v>
      </c>
      <c r="F57">
        <v>8480</v>
      </c>
      <c r="G57">
        <v>7100</v>
      </c>
      <c r="H57" s="4">
        <v>0.74</v>
      </c>
      <c r="I57" s="4">
        <v>1.3350000000000009</v>
      </c>
      <c r="J57" s="4">
        <v>1.3175999999999997</v>
      </c>
      <c r="K57" s="4">
        <v>0.78</v>
      </c>
      <c r="L57" s="5" t="s">
        <v>17</v>
      </c>
    </row>
    <row r="58" spans="1:12" x14ac:dyDescent="0.25">
      <c r="A58" s="5">
        <v>2025</v>
      </c>
      <c r="B58" s="5" t="s">
        <v>8</v>
      </c>
      <c r="C58" s="10">
        <v>31490</v>
      </c>
      <c r="D58" s="5">
        <v>14150</v>
      </c>
      <c r="E58" s="4">
        <v>0.75</v>
      </c>
      <c r="F58">
        <v>8060</v>
      </c>
      <c r="G58">
        <v>8400</v>
      </c>
      <c r="H58" s="4">
        <v>0.81</v>
      </c>
      <c r="I58" s="4">
        <v>0.16800000000000001</v>
      </c>
      <c r="J58" s="4">
        <v>0.223</v>
      </c>
      <c r="K58" s="4">
        <v>0.85</v>
      </c>
      <c r="L58" s="5" t="s">
        <v>17</v>
      </c>
    </row>
    <row r="59" spans="1:12" x14ac:dyDescent="0.25">
      <c r="A59" s="5">
        <v>2025</v>
      </c>
      <c r="B59" s="5" t="s">
        <v>9</v>
      </c>
      <c r="C59" s="10">
        <v>27080</v>
      </c>
      <c r="D59" s="5">
        <v>16590</v>
      </c>
      <c r="E59" s="4">
        <v>0.68</v>
      </c>
      <c r="F59">
        <v>6320</v>
      </c>
      <c r="G59">
        <v>8000</v>
      </c>
      <c r="H59" s="4">
        <v>0.89</v>
      </c>
      <c r="I59" s="4">
        <v>0.33</v>
      </c>
      <c r="J59" s="4">
        <v>0.41200000000000014</v>
      </c>
      <c r="K59" s="4">
        <v>0.92</v>
      </c>
      <c r="L59" s="5" t="s">
        <v>17</v>
      </c>
    </row>
    <row r="60" spans="1:12" x14ac:dyDescent="0.25">
      <c r="A60" s="5">
        <v>2025</v>
      </c>
      <c r="B60" s="5" t="s">
        <v>10</v>
      </c>
      <c r="C60" s="10">
        <v>14280</v>
      </c>
      <c r="D60" s="5">
        <v>7030</v>
      </c>
      <c r="E60" s="4">
        <v>0.6</v>
      </c>
      <c r="F60">
        <v>4540</v>
      </c>
      <c r="G60">
        <v>6340</v>
      </c>
      <c r="H60" s="4">
        <v>1.28</v>
      </c>
      <c r="I60" s="4">
        <v>0.49700000000000011</v>
      </c>
      <c r="J60" s="4">
        <v>0.55440000000000023</v>
      </c>
      <c r="K60" s="4">
        <v>0.96</v>
      </c>
      <c r="L60" s="5" t="s">
        <v>17</v>
      </c>
    </row>
    <row r="61" spans="1:12" x14ac:dyDescent="0.25">
      <c r="A61" s="5">
        <v>2025</v>
      </c>
      <c r="B61" s="5" t="s">
        <v>11</v>
      </c>
      <c r="C61" s="10">
        <v>8690</v>
      </c>
      <c r="D61" s="5">
        <v>11520</v>
      </c>
      <c r="E61" s="4">
        <v>0.66</v>
      </c>
      <c r="F61">
        <v>3660</v>
      </c>
      <c r="G61">
        <v>6640</v>
      </c>
      <c r="H61" s="4">
        <v>1.24</v>
      </c>
      <c r="I61" s="4">
        <v>0.66300000000000026</v>
      </c>
      <c r="J61" s="4">
        <v>0.69660000000000044</v>
      </c>
      <c r="K61" s="4">
        <v>1</v>
      </c>
      <c r="L61" s="5" t="s">
        <v>17</v>
      </c>
    </row>
    <row r="62" spans="1:12" x14ac:dyDescent="0.25">
      <c r="A62" s="5">
        <v>2026</v>
      </c>
      <c r="B62" s="5" t="s">
        <v>0</v>
      </c>
      <c r="C62" s="10">
        <v>24450</v>
      </c>
      <c r="D62" s="5">
        <v>7720</v>
      </c>
      <c r="E62" s="4">
        <v>0.38</v>
      </c>
      <c r="F62">
        <v>2860</v>
      </c>
      <c r="G62">
        <v>5360</v>
      </c>
      <c r="H62" s="4">
        <v>0.15</v>
      </c>
      <c r="I62" s="4">
        <v>0.77500000000000036</v>
      </c>
      <c r="J62" s="4">
        <v>0.83160000000000056</v>
      </c>
      <c r="K62" s="4">
        <v>0.2</v>
      </c>
      <c r="L62" s="5" t="s">
        <v>17</v>
      </c>
    </row>
    <row r="63" spans="1:12" x14ac:dyDescent="0.25">
      <c r="A63" s="5">
        <v>2026</v>
      </c>
      <c r="B63" s="5" t="s">
        <v>1</v>
      </c>
      <c r="C63" s="10">
        <v>30700</v>
      </c>
      <c r="D63" s="5">
        <v>13160</v>
      </c>
      <c r="E63" s="4">
        <v>0.45</v>
      </c>
      <c r="F63">
        <v>3560</v>
      </c>
      <c r="G63">
        <v>4040</v>
      </c>
      <c r="H63" s="4">
        <v>0.25</v>
      </c>
      <c r="I63" s="4">
        <v>0.88700000000000045</v>
      </c>
      <c r="J63" s="4">
        <v>0.91260000000000063</v>
      </c>
      <c r="K63" s="4">
        <v>0.3</v>
      </c>
      <c r="L63" s="5" t="s">
        <v>17</v>
      </c>
    </row>
    <row r="64" spans="1:12" x14ac:dyDescent="0.25">
      <c r="A64" s="5">
        <v>2026</v>
      </c>
      <c r="B64" s="5" t="s">
        <v>2</v>
      </c>
      <c r="C64" s="10">
        <v>26460</v>
      </c>
      <c r="D64" s="5">
        <v>23470</v>
      </c>
      <c r="E64" s="4">
        <v>0.62</v>
      </c>
      <c r="F64">
        <v>5400</v>
      </c>
      <c r="G64">
        <v>4280</v>
      </c>
      <c r="H64" s="4">
        <v>0.35</v>
      </c>
      <c r="I64" s="4">
        <v>1.2510000000000008</v>
      </c>
      <c r="J64" s="4">
        <v>1.3445999999999996</v>
      </c>
      <c r="K64" s="4">
        <v>0.4</v>
      </c>
      <c r="L64" s="5" t="s">
        <v>17</v>
      </c>
    </row>
    <row r="65" spans="1:12" x14ac:dyDescent="0.25">
      <c r="A65" s="5">
        <v>2026</v>
      </c>
      <c r="B65" s="5" t="s">
        <v>3</v>
      </c>
      <c r="C65" s="10">
        <v>32360</v>
      </c>
      <c r="D65" s="5">
        <v>10220</v>
      </c>
      <c r="E65" s="4">
        <v>0.72</v>
      </c>
      <c r="F65">
        <v>7220</v>
      </c>
      <c r="G65">
        <v>7160</v>
      </c>
      <c r="H65" s="4">
        <v>0.45</v>
      </c>
      <c r="I65" s="4">
        <v>1.1950000000000007</v>
      </c>
      <c r="J65" s="4">
        <v>1.1286000000000003</v>
      </c>
      <c r="K65" s="4">
        <v>0.5</v>
      </c>
      <c r="L65" s="5" t="s">
        <v>17</v>
      </c>
    </row>
    <row r="66" spans="1:12" x14ac:dyDescent="0.25">
      <c r="A66" s="5">
        <v>2026</v>
      </c>
      <c r="B66" s="5" t="s">
        <v>4</v>
      </c>
      <c r="C66" s="10">
        <v>7610</v>
      </c>
      <c r="D66" s="5">
        <v>2540</v>
      </c>
      <c r="E66" s="4">
        <v>0.57999999999999996</v>
      </c>
      <c r="F66">
        <v>8340</v>
      </c>
      <c r="G66">
        <v>8460</v>
      </c>
      <c r="H66" s="4">
        <v>0.55000000000000004</v>
      </c>
      <c r="I66" s="4">
        <v>0.14000000000000001</v>
      </c>
      <c r="J66" s="4">
        <v>0.19600000000000001</v>
      </c>
      <c r="K66" s="4">
        <v>0.6</v>
      </c>
      <c r="L66" s="5" t="s">
        <v>17</v>
      </c>
    </row>
    <row r="67" spans="1:12" x14ac:dyDescent="0.25">
      <c r="A67" s="5">
        <v>2026</v>
      </c>
      <c r="B67" s="5" t="s">
        <v>5</v>
      </c>
      <c r="C67" s="10">
        <v>23450</v>
      </c>
      <c r="D67" s="5">
        <v>9120</v>
      </c>
      <c r="E67" s="4">
        <v>0.68</v>
      </c>
      <c r="F67">
        <v>8040</v>
      </c>
      <c r="G67">
        <v>8140</v>
      </c>
      <c r="H67" s="4">
        <v>0.65</v>
      </c>
      <c r="I67" s="4">
        <v>0.27800000000000002</v>
      </c>
      <c r="J67" s="4">
        <v>0.33100000000000007</v>
      </c>
      <c r="K67" s="4">
        <v>0.7</v>
      </c>
      <c r="L67" s="5" t="s">
        <v>17</v>
      </c>
    </row>
    <row r="68" spans="1:12" x14ac:dyDescent="0.25">
      <c r="A68" s="5">
        <v>2026</v>
      </c>
      <c r="B68" s="5" t="s">
        <v>6</v>
      </c>
      <c r="C68" s="10">
        <v>44910</v>
      </c>
      <c r="D68" s="5">
        <v>24180</v>
      </c>
      <c r="E68" s="4">
        <v>0.63</v>
      </c>
      <c r="F68">
        <v>6440</v>
      </c>
      <c r="G68">
        <v>6460</v>
      </c>
      <c r="H68" s="4">
        <v>0.74</v>
      </c>
      <c r="I68" s="4">
        <v>0.38900000000000001</v>
      </c>
      <c r="J68" s="4">
        <v>0.44000000000000017</v>
      </c>
      <c r="K68" s="4">
        <v>0.78</v>
      </c>
      <c r="L68" s="5" t="s">
        <v>17</v>
      </c>
    </row>
    <row r="69" spans="1:12" x14ac:dyDescent="0.25">
      <c r="A69" s="5">
        <v>2026</v>
      </c>
      <c r="B69" s="5" t="s">
        <v>7</v>
      </c>
      <c r="C69" s="10">
        <v>13880</v>
      </c>
      <c r="D69" s="5">
        <v>8150</v>
      </c>
      <c r="E69" s="4">
        <v>0.78</v>
      </c>
      <c r="F69">
        <v>4840</v>
      </c>
      <c r="G69">
        <v>6740</v>
      </c>
      <c r="H69" s="4">
        <v>0.82</v>
      </c>
      <c r="I69" s="4">
        <v>0.52400000000000013</v>
      </c>
      <c r="J69" s="4">
        <v>0.58320000000000027</v>
      </c>
      <c r="K69" s="4">
        <v>0.85</v>
      </c>
      <c r="L69" s="5" t="s">
        <v>17</v>
      </c>
    </row>
    <row r="70" spans="1:12" x14ac:dyDescent="0.25">
      <c r="A70" s="5">
        <v>2026</v>
      </c>
      <c r="B70" s="5" t="s">
        <v>8</v>
      </c>
      <c r="C70" s="10">
        <v>12140</v>
      </c>
      <c r="D70" s="5">
        <v>8090</v>
      </c>
      <c r="E70" s="4">
        <v>0.82</v>
      </c>
      <c r="F70">
        <v>3820</v>
      </c>
      <c r="G70">
        <v>5460</v>
      </c>
      <c r="H70" s="4">
        <v>0.88</v>
      </c>
      <c r="I70" s="4">
        <v>0.66300000000000026</v>
      </c>
      <c r="J70" s="4">
        <v>0.69660000000000044</v>
      </c>
      <c r="K70" s="4">
        <v>0.91</v>
      </c>
      <c r="L70" s="5" t="s">
        <v>17</v>
      </c>
    </row>
    <row r="71" spans="1:12" x14ac:dyDescent="0.25">
      <c r="A71" s="5">
        <v>2026</v>
      </c>
      <c r="B71" s="5" t="s">
        <v>9</v>
      </c>
      <c r="C71" s="10">
        <v>20120</v>
      </c>
      <c r="D71" s="5">
        <v>10360</v>
      </c>
      <c r="E71" s="4">
        <v>0.72</v>
      </c>
      <c r="F71">
        <v>3000</v>
      </c>
      <c r="G71">
        <v>4140</v>
      </c>
      <c r="H71" s="4">
        <v>1.19</v>
      </c>
      <c r="I71" s="4">
        <v>0.77500000000000036</v>
      </c>
      <c r="J71" s="4">
        <v>0.80460000000000054</v>
      </c>
      <c r="K71" s="4">
        <v>0.96</v>
      </c>
      <c r="L71" s="5" t="s">
        <v>17</v>
      </c>
    </row>
    <row r="72" spans="1:12" x14ac:dyDescent="0.25">
      <c r="A72" s="5">
        <v>2026</v>
      </c>
      <c r="B72" s="5" t="s">
        <v>10</v>
      </c>
      <c r="C72" s="10">
        <v>9730</v>
      </c>
      <c r="D72" s="5">
        <v>7040</v>
      </c>
      <c r="E72" s="4">
        <v>0.62</v>
      </c>
      <c r="F72">
        <v>3920</v>
      </c>
      <c r="G72">
        <v>4360</v>
      </c>
      <c r="H72" s="4">
        <v>1.27</v>
      </c>
      <c r="I72" s="4">
        <v>0.88700000000000045</v>
      </c>
      <c r="J72" s="4">
        <v>0.91260000000000063</v>
      </c>
      <c r="K72" s="4">
        <v>0.99</v>
      </c>
      <c r="L72" s="5" t="s">
        <v>17</v>
      </c>
    </row>
    <row r="73" spans="1:12" x14ac:dyDescent="0.25">
      <c r="A73" s="5">
        <v>2026</v>
      </c>
      <c r="B73" s="5" t="s">
        <v>11</v>
      </c>
      <c r="C73" s="10">
        <v>16710</v>
      </c>
      <c r="D73" s="5">
        <v>17390</v>
      </c>
      <c r="E73" s="4">
        <v>0.7</v>
      </c>
      <c r="F73">
        <v>5820</v>
      </c>
      <c r="G73">
        <v>7220</v>
      </c>
      <c r="H73" s="4">
        <v>1.33</v>
      </c>
      <c r="I73" s="4">
        <v>1.1110000000000007</v>
      </c>
      <c r="J73" s="4">
        <v>1.2905999999999997</v>
      </c>
      <c r="K73" s="4">
        <v>1</v>
      </c>
      <c r="L73" s="5" t="s">
        <v>17</v>
      </c>
    </row>
    <row r="74" spans="1:12" x14ac:dyDescent="0.25">
      <c r="A74" s="5">
        <v>2027</v>
      </c>
      <c r="B74" s="5" t="s">
        <v>0</v>
      </c>
      <c r="C74" s="10">
        <v>27080</v>
      </c>
      <c r="D74" s="5">
        <v>20430</v>
      </c>
      <c r="E74" s="4">
        <v>0.42</v>
      </c>
      <c r="F74">
        <v>7640</v>
      </c>
      <c r="G74">
        <v>8500</v>
      </c>
      <c r="H74" s="4">
        <v>0.16</v>
      </c>
      <c r="I74" s="4">
        <v>0.14000000000000001</v>
      </c>
      <c r="J74" s="4">
        <v>0.19600000000000001</v>
      </c>
      <c r="K74" s="4">
        <v>0.22</v>
      </c>
      <c r="L74" s="5" t="s">
        <v>17</v>
      </c>
    </row>
    <row r="75" spans="1:12" x14ac:dyDescent="0.25">
      <c r="A75" s="5">
        <v>2027</v>
      </c>
      <c r="B75" s="5" t="s">
        <v>1</v>
      </c>
      <c r="C75" s="10">
        <v>14530</v>
      </c>
      <c r="D75" s="5">
        <v>7480</v>
      </c>
      <c r="E75" s="4">
        <v>0.35</v>
      </c>
      <c r="F75">
        <v>8440</v>
      </c>
      <c r="G75">
        <v>8260</v>
      </c>
      <c r="H75" s="4">
        <v>0.27</v>
      </c>
      <c r="I75" s="4">
        <v>0.30499999999999999</v>
      </c>
      <c r="J75" s="4">
        <v>0.3580000000000001</v>
      </c>
      <c r="K75" s="4">
        <v>0.33</v>
      </c>
      <c r="L75" s="5" t="s">
        <v>17</v>
      </c>
    </row>
    <row r="76" spans="1:12" x14ac:dyDescent="0.25">
      <c r="A76" s="5">
        <v>2027</v>
      </c>
      <c r="B76" s="5" t="s">
        <v>2</v>
      </c>
      <c r="C76" s="10">
        <v>28150</v>
      </c>
      <c r="D76" s="5">
        <v>34400</v>
      </c>
      <c r="E76" s="4">
        <v>0.56000000000000005</v>
      </c>
      <c r="F76">
        <v>8200</v>
      </c>
      <c r="G76">
        <v>6560</v>
      </c>
      <c r="H76" s="4">
        <v>0.38</v>
      </c>
      <c r="I76" s="4">
        <v>0.44300000000000006</v>
      </c>
      <c r="J76" s="4">
        <v>0.49680000000000019</v>
      </c>
      <c r="K76" s="4">
        <v>0.43</v>
      </c>
      <c r="L76" s="5" t="s">
        <v>17</v>
      </c>
    </row>
    <row r="77" spans="1:12" x14ac:dyDescent="0.25">
      <c r="A77" s="5">
        <v>2027</v>
      </c>
      <c r="B77" s="5" t="s">
        <v>3</v>
      </c>
      <c r="C77" s="10">
        <v>34740</v>
      </c>
      <c r="D77" s="5">
        <v>10970</v>
      </c>
      <c r="E77" s="4">
        <v>0.69</v>
      </c>
      <c r="F77">
        <v>6600</v>
      </c>
      <c r="G77">
        <v>6860</v>
      </c>
      <c r="H77" s="4">
        <v>0.48</v>
      </c>
      <c r="I77" s="4">
        <v>0.60700000000000021</v>
      </c>
      <c r="J77" s="4">
        <v>0.64080000000000037</v>
      </c>
      <c r="K77" s="4">
        <v>0.53</v>
      </c>
      <c r="L77" s="5" t="s">
        <v>17</v>
      </c>
    </row>
    <row r="78" spans="1:12" x14ac:dyDescent="0.25">
      <c r="A78" s="5">
        <v>2027</v>
      </c>
      <c r="B78" s="5" t="s">
        <v>4</v>
      </c>
      <c r="C78" s="10">
        <v>34940</v>
      </c>
      <c r="D78" s="5">
        <v>32250</v>
      </c>
      <c r="E78" s="4">
        <v>0.53</v>
      </c>
      <c r="F78">
        <v>4880</v>
      </c>
      <c r="G78">
        <v>5540</v>
      </c>
      <c r="H78" s="4">
        <v>0.57999999999999996</v>
      </c>
      <c r="I78" s="4">
        <v>0.74700000000000033</v>
      </c>
      <c r="J78" s="4">
        <v>0.77760000000000051</v>
      </c>
      <c r="K78" s="4">
        <v>0.63</v>
      </c>
      <c r="L78" s="5" t="s">
        <v>17</v>
      </c>
    </row>
    <row r="79" spans="1:12" x14ac:dyDescent="0.25">
      <c r="A79" s="5">
        <v>2027</v>
      </c>
      <c r="B79" s="5" t="s">
        <v>5</v>
      </c>
      <c r="C79" s="10">
        <v>20270</v>
      </c>
      <c r="D79" s="5">
        <v>18710</v>
      </c>
      <c r="E79" s="4">
        <v>0.64</v>
      </c>
      <c r="F79">
        <v>3840</v>
      </c>
      <c r="G79">
        <v>4220</v>
      </c>
      <c r="H79" s="4">
        <v>0.68</v>
      </c>
      <c r="I79" s="4">
        <v>0.85900000000000043</v>
      </c>
      <c r="J79" s="4">
        <v>0.88560000000000061</v>
      </c>
      <c r="K79" s="4">
        <v>0.73</v>
      </c>
      <c r="L79" s="5" t="s">
        <v>17</v>
      </c>
    </row>
    <row r="80" spans="1:12" x14ac:dyDescent="0.25">
      <c r="A80" s="5">
        <v>2027</v>
      </c>
      <c r="B80" s="5" t="s">
        <v>6</v>
      </c>
      <c r="C80" s="10">
        <v>69220</v>
      </c>
      <c r="D80" s="5">
        <v>28270</v>
      </c>
      <c r="E80" s="4">
        <v>0.57999999999999996</v>
      </c>
      <c r="F80">
        <v>3080</v>
      </c>
      <c r="G80">
        <v>4480</v>
      </c>
      <c r="H80" s="4">
        <v>0.76</v>
      </c>
      <c r="I80" s="4">
        <v>1.2230000000000008</v>
      </c>
      <c r="J80" s="4">
        <v>1.2365999999999999</v>
      </c>
      <c r="K80" s="4">
        <v>0.8</v>
      </c>
      <c r="L80" s="5" t="s">
        <v>17</v>
      </c>
    </row>
    <row r="81" spans="1:12" x14ac:dyDescent="0.25">
      <c r="A81" s="5">
        <v>2027</v>
      </c>
      <c r="B81" s="5" t="s">
        <v>7</v>
      </c>
      <c r="C81" s="10">
        <v>14240</v>
      </c>
      <c r="D81" s="5">
        <v>8010</v>
      </c>
      <c r="E81" s="4">
        <v>0.73</v>
      </c>
      <c r="F81">
        <v>3980</v>
      </c>
      <c r="G81">
        <v>7260</v>
      </c>
      <c r="H81" s="4">
        <v>0.83</v>
      </c>
      <c r="I81" s="4">
        <v>1.3350000000000009</v>
      </c>
      <c r="J81" s="4">
        <v>1.1016000000000004</v>
      </c>
      <c r="K81" s="4">
        <v>0.86</v>
      </c>
      <c r="L81" s="5" t="s">
        <v>17</v>
      </c>
    </row>
    <row r="82" spans="1:12" x14ac:dyDescent="0.25">
      <c r="A82" s="5">
        <v>2027</v>
      </c>
      <c r="B82" s="5" t="s">
        <v>8</v>
      </c>
      <c r="C82" s="10">
        <v>31160</v>
      </c>
      <c r="D82" s="5">
        <v>31160</v>
      </c>
      <c r="E82" s="4">
        <v>0.78</v>
      </c>
      <c r="F82">
        <v>5780</v>
      </c>
      <c r="G82">
        <v>8560</v>
      </c>
      <c r="H82" s="4">
        <v>0.89</v>
      </c>
      <c r="I82" s="4">
        <v>0.16800000000000001</v>
      </c>
      <c r="J82" s="4">
        <v>0.223</v>
      </c>
      <c r="K82" s="4">
        <v>0.92</v>
      </c>
      <c r="L82" s="5" t="s">
        <v>17</v>
      </c>
    </row>
    <row r="83" spans="1:12" x14ac:dyDescent="0.25">
      <c r="A83" s="5">
        <v>2027</v>
      </c>
      <c r="B83" s="5" t="s">
        <v>9</v>
      </c>
      <c r="C83" s="10">
        <v>18060</v>
      </c>
      <c r="D83" s="5">
        <v>7370</v>
      </c>
      <c r="E83" s="4">
        <v>0.68</v>
      </c>
      <c r="F83">
        <v>7600</v>
      </c>
      <c r="G83">
        <v>8360</v>
      </c>
      <c r="H83" s="4">
        <v>1.28</v>
      </c>
      <c r="I83" s="4">
        <v>0.33</v>
      </c>
      <c r="J83" s="4">
        <v>0.38500000000000012</v>
      </c>
      <c r="K83" s="4">
        <v>0.97</v>
      </c>
      <c r="L83" s="5" t="s">
        <v>17</v>
      </c>
    </row>
    <row r="84" spans="1:12" x14ac:dyDescent="0.25">
      <c r="A84" s="5">
        <v>2027</v>
      </c>
      <c r="B84" s="5" t="s">
        <v>10</v>
      </c>
      <c r="C84" s="10">
        <v>15170</v>
      </c>
      <c r="D84" s="5">
        <v>12410</v>
      </c>
      <c r="E84" s="4">
        <v>0.59</v>
      </c>
      <c r="F84">
        <v>8380</v>
      </c>
      <c r="G84">
        <v>6660</v>
      </c>
      <c r="H84" s="4">
        <v>1.3</v>
      </c>
      <c r="I84" s="4">
        <v>0.47000000000000008</v>
      </c>
      <c r="J84" s="4">
        <v>0.52560000000000018</v>
      </c>
      <c r="K84" s="4">
        <v>0.99</v>
      </c>
      <c r="L84" s="5" t="s">
        <v>17</v>
      </c>
    </row>
    <row r="85" spans="1:12" x14ac:dyDescent="0.25">
      <c r="A85" s="5">
        <v>2027</v>
      </c>
      <c r="B85" s="5" t="s">
        <v>11</v>
      </c>
      <c r="C85" s="10">
        <v>15260</v>
      </c>
      <c r="D85" s="5">
        <v>6850</v>
      </c>
      <c r="E85" s="4">
        <v>0.66</v>
      </c>
      <c r="F85">
        <v>8240</v>
      </c>
      <c r="G85">
        <v>6960</v>
      </c>
      <c r="H85" s="4">
        <v>1.24</v>
      </c>
      <c r="I85" s="4">
        <v>0.63500000000000023</v>
      </c>
      <c r="J85" s="4">
        <v>0.66960000000000042</v>
      </c>
      <c r="K85" s="4">
        <v>1</v>
      </c>
      <c r="L85" s="5" t="s">
        <v>17</v>
      </c>
    </row>
    <row r="86" spans="1:12" x14ac:dyDescent="0.25">
      <c r="A86" s="5">
        <v>2028</v>
      </c>
      <c r="B86" s="5" t="s">
        <v>0</v>
      </c>
      <c r="C86" s="10">
        <v>11360</v>
      </c>
      <c r="D86" s="5">
        <v>8930</v>
      </c>
      <c r="E86" s="4">
        <v>0.36</v>
      </c>
      <c r="F86">
        <v>6680</v>
      </c>
      <c r="G86">
        <v>5620</v>
      </c>
      <c r="H86" s="4">
        <v>0.17</v>
      </c>
      <c r="I86" s="4">
        <v>0.74700000000000033</v>
      </c>
      <c r="J86" s="4">
        <v>0.80460000000000054</v>
      </c>
      <c r="K86" s="4">
        <v>0.23</v>
      </c>
      <c r="L86" s="5" t="s">
        <v>17</v>
      </c>
    </row>
    <row r="87" spans="1:12" x14ac:dyDescent="0.25">
      <c r="A87" s="5">
        <v>2028</v>
      </c>
      <c r="B87" s="5" t="s">
        <v>1</v>
      </c>
      <c r="C87" s="10">
        <v>68330</v>
      </c>
      <c r="D87" s="5">
        <v>21580</v>
      </c>
      <c r="E87" s="4">
        <v>0.43</v>
      </c>
      <c r="F87">
        <v>4960</v>
      </c>
      <c r="G87">
        <v>4300</v>
      </c>
      <c r="H87" s="4">
        <v>0.28000000000000003</v>
      </c>
      <c r="I87" s="4">
        <v>0.85900000000000043</v>
      </c>
      <c r="J87" s="4">
        <v>0.88560000000000061</v>
      </c>
      <c r="K87" s="4">
        <v>0.34</v>
      </c>
      <c r="L87" s="5" t="s">
        <v>17</v>
      </c>
    </row>
    <row r="88" spans="1:12" x14ac:dyDescent="0.25">
      <c r="A88" s="5">
        <v>2028</v>
      </c>
      <c r="B88" s="5" t="s">
        <v>2</v>
      </c>
      <c r="C88" s="10">
        <v>39370</v>
      </c>
      <c r="D88" s="5">
        <v>22150</v>
      </c>
      <c r="E88" s="4">
        <v>0.61</v>
      </c>
      <c r="F88">
        <v>3920</v>
      </c>
      <c r="G88">
        <v>4540</v>
      </c>
      <c r="H88" s="4">
        <v>0.4</v>
      </c>
      <c r="I88" s="4">
        <v>1.2790000000000008</v>
      </c>
      <c r="J88" s="4">
        <v>1.3445999999999996</v>
      </c>
      <c r="K88" s="4">
        <v>0.45</v>
      </c>
      <c r="L88" s="5" t="s">
        <v>17</v>
      </c>
    </row>
    <row r="89" spans="1:12" x14ac:dyDescent="0.25">
      <c r="A89" s="5">
        <v>2028</v>
      </c>
      <c r="B89" s="5" t="s">
        <v>3</v>
      </c>
      <c r="C89" s="10">
        <v>32450</v>
      </c>
      <c r="D89" s="5">
        <v>28780</v>
      </c>
      <c r="E89" s="4">
        <v>0.71</v>
      </c>
      <c r="F89">
        <v>3120</v>
      </c>
      <c r="G89">
        <v>7300</v>
      </c>
      <c r="H89" s="4">
        <v>0.5</v>
      </c>
      <c r="I89" s="4">
        <v>1.1670000000000007</v>
      </c>
      <c r="J89" s="4">
        <v>1.1016000000000004</v>
      </c>
      <c r="K89" s="4">
        <v>0.55000000000000004</v>
      </c>
      <c r="L89" s="5" t="s">
        <v>17</v>
      </c>
    </row>
    <row r="90" spans="1:12" x14ac:dyDescent="0.25">
      <c r="A90" s="5">
        <v>2028</v>
      </c>
      <c r="B90" s="5" t="s">
        <v>4</v>
      </c>
      <c r="C90" s="10">
        <v>51560</v>
      </c>
      <c r="D90" s="5">
        <v>30280</v>
      </c>
      <c r="E90" s="4">
        <v>0.56999999999999995</v>
      </c>
      <c r="F90">
        <v>4220</v>
      </c>
      <c r="G90">
        <v>8600</v>
      </c>
      <c r="H90" s="4">
        <v>0.6</v>
      </c>
      <c r="I90" s="4">
        <v>0.16800000000000001</v>
      </c>
      <c r="J90" s="4">
        <v>0.223</v>
      </c>
      <c r="K90" s="4">
        <v>0.65</v>
      </c>
      <c r="L90" s="5" t="s">
        <v>17</v>
      </c>
    </row>
    <row r="91" spans="1:12" x14ac:dyDescent="0.25">
      <c r="A91" s="5">
        <v>2028</v>
      </c>
      <c r="B91" s="5" t="s">
        <v>5</v>
      </c>
      <c r="C91" s="10">
        <v>25260</v>
      </c>
      <c r="D91" s="5">
        <v>21520</v>
      </c>
      <c r="E91" s="4">
        <v>0.67</v>
      </c>
      <c r="F91">
        <v>6060</v>
      </c>
      <c r="G91">
        <v>8440</v>
      </c>
      <c r="H91" s="4">
        <v>0.7</v>
      </c>
      <c r="I91" s="4">
        <v>0.33</v>
      </c>
      <c r="J91" s="4">
        <v>0.41200000000000014</v>
      </c>
      <c r="K91" s="4">
        <v>0.75</v>
      </c>
      <c r="L91" s="5" t="s">
        <v>17</v>
      </c>
    </row>
    <row r="92" spans="1:12" x14ac:dyDescent="0.25">
      <c r="A92" s="5">
        <v>2028</v>
      </c>
      <c r="B92" s="5" t="s">
        <v>6</v>
      </c>
      <c r="C92" s="10">
        <v>42250</v>
      </c>
      <c r="D92" s="5">
        <v>43970</v>
      </c>
      <c r="E92" s="4">
        <v>0.62</v>
      </c>
      <c r="F92">
        <v>7900</v>
      </c>
      <c r="G92">
        <v>6740</v>
      </c>
      <c r="H92" s="4">
        <v>0.78</v>
      </c>
      <c r="I92" s="4">
        <v>0.49700000000000011</v>
      </c>
      <c r="J92" s="4">
        <v>0.55440000000000023</v>
      </c>
      <c r="K92" s="4">
        <v>0.82</v>
      </c>
      <c r="L92" s="5" t="s">
        <v>17</v>
      </c>
    </row>
    <row r="93" spans="1:12" x14ac:dyDescent="0.25">
      <c r="A93" s="5">
        <v>2028</v>
      </c>
      <c r="B93" s="5" t="s">
        <v>7</v>
      </c>
      <c r="C93" s="10">
        <v>34750</v>
      </c>
      <c r="D93" s="5">
        <v>40800</v>
      </c>
      <c r="E93" s="4">
        <v>0.77</v>
      </c>
      <c r="F93">
        <v>8720</v>
      </c>
      <c r="G93">
        <v>7040</v>
      </c>
      <c r="H93" s="4">
        <v>0.85</v>
      </c>
      <c r="I93" s="4">
        <v>0.66300000000000026</v>
      </c>
      <c r="J93" s="4">
        <v>0.69660000000000044</v>
      </c>
      <c r="K93" s="4">
        <v>0.88</v>
      </c>
      <c r="L93" s="5" t="s">
        <v>17</v>
      </c>
    </row>
    <row r="94" spans="1:12" x14ac:dyDescent="0.25">
      <c r="A94" s="5">
        <v>2028</v>
      </c>
      <c r="B94" s="5" t="s">
        <v>8</v>
      </c>
      <c r="C94" s="10">
        <v>59810</v>
      </c>
      <c r="D94" s="5">
        <v>73100</v>
      </c>
      <c r="E94" s="4">
        <v>0.81</v>
      </c>
      <c r="F94">
        <v>8240</v>
      </c>
      <c r="G94">
        <v>5700</v>
      </c>
      <c r="H94" s="4">
        <v>0.91</v>
      </c>
      <c r="I94" s="4">
        <v>0.77500000000000036</v>
      </c>
      <c r="J94" s="4">
        <v>0.83160000000000056</v>
      </c>
      <c r="K94" s="4">
        <v>0.94</v>
      </c>
      <c r="L94" s="5" t="s">
        <v>17</v>
      </c>
    </row>
    <row r="95" spans="1:12" x14ac:dyDescent="0.25">
      <c r="A95" s="5">
        <v>2028</v>
      </c>
      <c r="B95" s="5" t="s">
        <v>9</v>
      </c>
      <c r="C95" s="10">
        <v>60040</v>
      </c>
      <c r="D95" s="5">
        <v>38390</v>
      </c>
      <c r="E95" s="4">
        <v>0.71</v>
      </c>
      <c r="F95">
        <v>6480</v>
      </c>
      <c r="G95">
        <v>4400</v>
      </c>
      <c r="H95" s="4">
        <v>1.22</v>
      </c>
      <c r="I95" s="4">
        <v>0.88700000000000045</v>
      </c>
      <c r="J95" s="4">
        <v>0.91260000000000063</v>
      </c>
      <c r="K95" s="4">
        <v>0.98</v>
      </c>
      <c r="L95" s="5" t="s">
        <v>17</v>
      </c>
    </row>
    <row r="96" spans="1:12" x14ac:dyDescent="0.25">
      <c r="A96" s="5">
        <v>2028</v>
      </c>
      <c r="B96" s="5" t="s">
        <v>10</v>
      </c>
      <c r="C96" s="10">
        <v>29540</v>
      </c>
      <c r="D96" s="5">
        <v>40790</v>
      </c>
      <c r="E96" s="4">
        <v>0.61</v>
      </c>
      <c r="F96">
        <v>4520</v>
      </c>
      <c r="G96">
        <v>4640</v>
      </c>
      <c r="H96" s="4">
        <v>1.19</v>
      </c>
      <c r="I96" s="4">
        <v>1.1110000000000007</v>
      </c>
      <c r="J96" s="4">
        <v>1.2365999999999999</v>
      </c>
      <c r="K96" s="4">
        <v>1</v>
      </c>
      <c r="L96" s="5" t="s">
        <v>17</v>
      </c>
    </row>
    <row r="97" spans="1:12" x14ac:dyDescent="0.25">
      <c r="A97" s="5">
        <v>2028</v>
      </c>
      <c r="B97" s="5" t="s">
        <v>11</v>
      </c>
      <c r="C97" s="10">
        <v>40260</v>
      </c>
      <c r="D97" s="5">
        <v>18090</v>
      </c>
      <c r="E97" s="4">
        <v>0.69</v>
      </c>
      <c r="F97">
        <v>3680</v>
      </c>
      <c r="G97">
        <v>7340</v>
      </c>
      <c r="H97" s="4">
        <v>1.21</v>
      </c>
      <c r="I97" s="4">
        <v>1.1390000000000007</v>
      </c>
      <c r="J97" s="4">
        <v>1.2096</v>
      </c>
      <c r="K97" s="4">
        <v>1</v>
      </c>
      <c r="L97" s="5" t="s">
        <v>17</v>
      </c>
    </row>
    <row r="98" spans="1:12" x14ac:dyDescent="0.25">
      <c r="A98" s="5">
        <v>2025</v>
      </c>
      <c r="B98" s="5" t="s">
        <v>0</v>
      </c>
      <c r="C98" s="10">
        <v>21040</v>
      </c>
      <c r="D98" s="5">
        <v>16530</v>
      </c>
      <c r="E98" s="4">
        <v>0.69</v>
      </c>
      <c r="F98">
        <v>2860</v>
      </c>
      <c r="G98">
        <v>8640</v>
      </c>
      <c r="H98" s="4">
        <v>0.15</v>
      </c>
      <c r="I98" s="4">
        <v>0.14000000000000001</v>
      </c>
      <c r="J98" s="4">
        <v>0.19600000000000001</v>
      </c>
      <c r="K98" s="4">
        <v>0.19</v>
      </c>
      <c r="L98" s="5" t="s">
        <v>18</v>
      </c>
    </row>
    <row r="99" spans="1:12" x14ac:dyDescent="0.25">
      <c r="A99" s="5">
        <v>2025</v>
      </c>
      <c r="B99" s="5" t="s">
        <v>1</v>
      </c>
      <c r="C99" s="10">
        <v>9760</v>
      </c>
      <c r="D99" s="5">
        <v>4390</v>
      </c>
      <c r="E99" s="4">
        <v>0.61</v>
      </c>
      <c r="F99">
        <v>3620</v>
      </c>
      <c r="G99">
        <v>8520</v>
      </c>
      <c r="H99" s="4">
        <v>0.23</v>
      </c>
      <c r="I99" s="4">
        <v>0.27800000000000002</v>
      </c>
      <c r="J99" s="4">
        <v>0.33100000000000007</v>
      </c>
      <c r="K99" s="4">
        <v>0.28000000000000003</v>
      </c>
      <c r="L99" s="5" t="s">
        <v>18</v>
      </c>
    </row>
    <row r="100" spans="1:12" x14ac:dyDescent="0.25">
      <c r="A100" s="5">
        <v>2025</v>
      </c>
      <c r="B100" s="5" t="s">
        <v>2</v>
      </c>
      <c r="C100" s="10">
        <v>12160</v>
      </c>
      <c r="D100" s="5">
        <v>8810</v>
      </c>
      <c r="E100" s="4">
        <v>0.71</v>
      </c>
      <c r="F100">
        <v>5520</v>
      </c>
      <c r="G100">
        <v>6820</v>
      </c>
      <c r="H100" s="4">
        <v>0.32</v>
      </c>
      <c r="I100" s="4">
        <v>0.38900000000000001</v>
      </c>
      <c r="J100" s="4">
        <v>0.44000000000000017</v>
      </c>
      <c r="K100" s="4">
        <v>0.36</v>
      </c>
      <c r="L100" s="5" t="s">
        <v>18</v>
      </c>
    </row>
    <row r="101" spans="1:12" x14ac:dyDescent="0.25">
      <c r="A101" s="5">
        <v>2025</v>
      </c>
      <c r="B101" s="5" t="s">
        <v>3</v>
      </c>
      <c r="C101" s="10">
        <v>28660</v>
      </c>
      <c r="D101" s="5">
        <v>29830</v>
      </c>
      <c r="E101" s="4">
        <v>0.81</v>
      </c>
      <c r="F101">
        <v>7440</v>
      </c>
      <c r="G101">
        <v>7120</v>
      </c>
      <c r="H101" s="4">
        <v>0.4</v>
      </c>
      <c r="I101" s="4">
        <v>0.52400000000000013</v>
      </c>
      <c r="J101" s="4">
        <v>0.58320000000000027</v>
      </c>
      <c r="K101" s="4">
        <v>0.44</v>
      </c>
      <c r="L101" s="5" t="s">
        <v>18</v>
      </c>
    </row>
    <row r="102" spans="1:12" x14ac:dyDescent="0.25">
      <c r="A102" s="5">
        <v>2025</v>
      </c>
      <c r="B102" s="5" t="s">
        <v>4</v>
      </c>
      <c r="C102" s="10">
        <v>6530</v>
      </c>
      <c r="D102" s="5">
        <v>8300</v>
      </c>
      <c r="E102" s="4">
        <v>0.77</v>
      </c>
      <c r="F102">
        <v>8600</v>
      </c>
      <c r="G102">
        <v>5760</v>
      </c>
      <c r="H102" s="4">
        <v>0.49</v>
      </c>
      <c r="I102" s="4">
        <v>0.66300000000000026</v>
      </c>
      <c r="J102" s="4">
        <v>0.69660000000000044</v>
      </c>
      <c r="K102" s="4">
        <v>0.53</v>
      </c>
      <c r="L102" s="5" t="s">
        <v>18</v>
      </c>
    </row>
    <row r="103" spans="1:12" x14ac:dyDescent="0.25">
      <c r="A103" s="5">
        <v>2025</v>
      </c>
      <c r="B103" s="5" t="s">
        <v>5</v>
      </c>
      <c r="C103" s="10">
        <v>39040</v>
      </c>
      <c r="D103" s="5">
        <v>29450</v>
      </c>
      <c r="E103" s="4">
        <v>0.62</v>
      </c>
      <c r="F103">
        <v>8220</v>
      </c>
      <c r="G103">
        <v>4500</v>
      </c>
      <c r="H103" s="4">
        <v>0.56999999999999995</v>
      </c>
      <c r="I103" s="4">
        <v>0.77500000000000036</v>
      </c>
      <c r="J103" s="4">
        <v>0.80460000000000054</v>
      </c>
      <c r="K103" s="4">
        <v>0.62</v>
      </c>
      <c r="L103" s="5" t="s">
        <v>18</v>
      </c>
    </row>
    <row r="104" spans="1:12" x14ac:dyDescent="0.25">
      <c r="A104" s="5">
        <v>2025</v>
      </c>
      <c r="B104" s="5" t="s">
        <v>6</v>
      </c>
      <c r="C104" s="10">
        <v>10350</v>
      </c>
      <c r="D104" s="5">
        <v>5820</v>
      </c>
      <c r="E104" s="4">
        <v>0.67</v>
      </c>
      <c r="F104">
        <v>6400</v>
      </c>
      <c r="G104">
        <v>4720</v>
      </c>
      <c r="H104" s="4">
        <v>0.66</v>
      </c>
      <c r="I104" s="4">
        <v>0.88700000000000045</v>
      </c>
      <c r="J104" s="4">
        <v>0.91260000000000063</v>
      </c>
      <c r="K104" s="4">
        <v>0.7</v>
      </c>
      <c r="L104" s="5" t="s">
        <v>18</v>
      </c>
    </row>
    <row r="105" spans="1:12" x14ac:dyDescent="0.25">
      <c r="A105" s="5">
        <v>2025</v>
      </c>
      <c r="B105" s="5" t="s">
        <v>7</v>
      </c>
      <c r="C105" s="10">
        <v>17100</v>
      </c>
      <c r="D105" s="5">
        <v>11880</v>
      </c>
      <c r="E105" s="4">
        <v>0.56999999999999995</v>
      </c>
      <c r="F105">
        <v>4600</v>
      </c>
      <c r="G105">
        <v>7380</v>
      </c>
      <c r="H105" s="4">
        <v>0.74</v>
      </c>
      <c r="I105" s="4">
        <v>1.1110000000000007</v>
      </c>
      <c r="J105" s="4">
        <v>1.1556000000000002</v>
      </c>
      <c r="K105" s="4">
        <v>0.78</v>
      </c>
      <c r="L105" s="5" t="s">
        <v>18</v>
      </c>
    </row>
    <row r="106" spans="1:12" x14ac:dyDescent="0.25">
      <c r="A106" s="5">
        <v>2025</v>
      </c>
      <c r="B106" s="5" t="s">
        <v>8</v>
      </c>
      <c r="C106" s="10">
        <v>10950</v>
      </c>
      <c r="D106" s="5">
        <v>5640</v>
      </c>
      <c r="E106" s="4">
        <v>0.71</v>
      </c>
      <c r="F106">
        <v>3700</v>
      </c>
      <c r="G106">
        <v>8680</v>
      </c>
      <c r="H106" s="4">
        <v>0.81</v>
      </c>
      <c r="I106" s="4">
        <v>0.14000000000000001</v>
      </c>
      <c r="J106" s="4">
        <v>0.19600000000000001</v>
      </c>
      <c r="K106" s="4">
        <v>0.85</v>
      </c>
      <c r="L106" s="5" t="s">
        <v>18</v>
      </c>
    </row>
    <row r="107" spans="1:12" x14ac:dyDescent="0.25">
      <c r="A107" s="5">
        <v>2025</v>
      </c>
      <c r="B107" s="5" t="s">
        <v>9</v>
      </c>
      <c r="C107" s="10">
        <v>7960</v>
      </c>
      <c r="D107" s="5">
        <v>11450</v>
      </c>
      <c r="E107" s="4">
        <v>0.61</v>
      </c>
      <c r="F107">
        <v>2920</v>
      </c>
      <c r="G107">
        <v>8600</v>
      </c>
      <c r="H107" s="4">
        <v>0.89</v>
      </c>
      <c r="I107" s="4">
        <v>0.30499999999999999</v>
      </c>
      <c r="J107" s="4">
        <v>0.3580000000000001</v>
      </c>
      <c r="K107" s="4">
        <v>0.92</v>
      </c>
      <c r="L107" s="5" t="s">
        <v>18</v>
      </c>
    </row>
    <row r="108" spans="1:12" x14ac:dyDescent="0.25">
      <c r="A108" s="5">
        <v>2025</v>
      </c>
      <c r="B108" s="5" t="s">
        <v>10</v>
      </c>
      <c r="C108" s="10">
        <v>16580</v>
      </c>
      <c r="D108" s="5">
        <v>16580</v>
      </c>
      <c r="E108" s="4">
        <v>0.43</v>
      </c>
      <c r="F108">
        <v>4140</v>
      </c>
      <c r="G108">
        <v>6880</v>
      </c>
      <c r="H108" s="4">
        <v>1.1200000000000001</v>
      </c>
      <c r="I108" s="4">
        <v>0.44300000000000006</v>
      </c>
      <c r="J108" s="4">
        <v>0.49680000000000019</v>
      </c>
      <c r="K108" s="4">
        <v>0.96</v>
      </c>
      <c r="L108" s="5" t="s">
        <v>18</v>
      </c>
    </row>
    <row r="109" spans="1:12" x14ac:dyDescent="0.25">
      <c r="A109" s="5">
        <v>2025</v>
      </c>
      <c r="B109" s="5" t="s">
        <v>11</v>
      </c>
      <c r="C109" s="10">
        <v>17530</v>
      </c>
      <c r="D109" s="5">
        <v>19770</v>
      </c>
      <c r="E109" s="4">
        <v>0.36</v>
      </c>
      <c r="F109">
        <v>6100</v>
      </c>
      <c r="G109">
        <v>7200</v>
      </c>
      <c r="H109" s="4">
        <v>1.31</v>
      </c>
      <c r="I109" s="4">
        <v>0.60700000000000021</v>
      </c>
      <c r="J109" s="4">
        <v>0.64080000000000037</v>
      </c>
      <c r="K109" s="4">
        <v>1</v>
      </c>
      <c r="L109" s="5" t="s">
        <v>18</v>
      </c>
    </row>
    <row r="110" spans="1:12" x14ac:dyDescent="0.25">
      <c r="A110" s="5">
        <v>2026</v>
      </c>
      <c r="B110" s="5" t="s">
        <v>0</v>
      </c>
      <c r="C110" s="10">
        <v>8170</v>
      </c>
      <c r="D110" s="5">
        <v>3180</v>
      </c>
      <c r="E110" s="4">
        <v>0.66</v>
      </c>
      <c r="F110">
        <v>7800</v>
      </c>
      <c r="G110">
        <v>5820</v>
      </c>
      <c r="H110" s="4">
        <v>0.15</v>
      </c>
      <c r="I110" s="4">
        <v>0.74700000000000033</v>
      </c>
      <c r="J110" s="4">
        <v>0.77760000000000051</v>
      </c>
      <c r="K110" s="4">
        <v>0.2</v>
      </c>
      <c r="L110" s="5" t="s">
        <v>18</v>
      </c>
    </row>
    <row r="111" spans="1:12" x14ac:dyDescent="0.25">
      <c r="A111" s="5">
        <v>2026</v>
      </c>
      <c r="B111" s="5" t="s">
        <v>1</v>
      </c>
      <c r="C111" s="10">
        <v>36660</v>
      </c>
      <c r="D111" s="5">
        <v>18890</v>
      </c>
      <c r="E111" s="4">
        <v>0.59</v>
      </c>
      <c r="F111">
        <v>8640</v>
      </c>
      <c r="G111">
        <v>4560</v>
      </c>
      <c r="H111" s="4">
        <v>0.25</v>
      </c>
      <c r="I111" s="4">
        <v>0.85900000000000043</v>
      </c>
      <c r="J111" s="4">
        <v>0.88560000000000061</v>
      </c>
      <c r="K111" s="4">
        <v>0.3</v>
      </c>
      <c r="L111" s="5" t="s">
        <v>18</v>
      </c>
    </row>
    <row r="112" spans="1:12" x14ac:dyDescent="0.25">
      <c r="A112" s="5">
        <v>2026</v>
      </c>
      <c r="B112" s="5" t="s">
        <v>2</v>
      </c>
      <c r="C112" s="10">
        <v>17790</v>
      </c>
      <c r="D112" s="5">
        <v>13420</v>
      </c>
      <c r="E112" s="4">
        <v>0.68</v>
      </c>
      <c r="F112">
        <v>8120</v>
      </c>
      <c r="G112">
        <v>4780</v>
      </c>
      <c r="H112" s="4">
        <v>0.35</v>
      </c>
      <c r="I112" s="4">
        <v>1.1390000000000007</v>
      </c>
      <c r="J112" s="4">
        <v>1.1016000000000004</v>
      </c>
      <c r="K112" s="4">
        <v>0.4</v>
      </c>
      <c r="L112" s="5" t="s">
        <v>18</v>
      </c>
    </row>
    <row r="113" spans="1:12" x14ac:dyDescent="0.25">
      <c r="A113" s="5">
        <v>2026</v>
      </c>
      <c r="B113" s="5" t="s">
        <v>3</v>
      </c>
      <c r="C113" s="10">
        <v>36270</v>
      </c>
      <c r="D113" s="5">
        <v>13410</v>
      </c>
      <c r="E113" s="4">
        <v>0.78</v>
      </c>
      <c r="F113">
        <v>6340</v>
      </c>
      <c r="G113">
        <v>7420</v>
      </c>
      <c r="H113" s="4">
        <v>0.45</v>
      </c>
      <c r="I113" s="4">
        <v>1.3350000000000009</v>
      </c>
      <c r="J113" s="4">
        <v>1.2096</v>
      </c>
      <c r="K113" s="4">
        <v>0.5</v>
      </c>
      <c r="L113" s="5" t="s">
        <v>18</v>
      </c>
    </row>
    <row r="114" spans="1:12" x14ac:dyDescent="0.25">
      <c r="A114" s="5">
        <v>2026</v>
      </c>
      <c r="B114" s="5" t="s">
        <v>4</v>
      </c>
      <c r="C114" s="10">
        <v>27220</v>
      </c>
      <c r="D114" s="5">
        <v>17400</v>
      </c>
      <c r="E114" s="4">
        <v>0.73</v>
      </c>
      <c r="F114">
        <v>4580</v>
      </c>
      <c r="G114">
        <v>8720</v>
      </c>
      <c r="H114" s="4">
        <v>0.55000000000000004</v>
      </c>
      <c r="I114" s="4">
        <v>0.16800000000000001</v>
      </c>
      <c r="J114" s="4">
        <v>0.223</v>
      </c>
      <c r="K114" s="4">
        <v>0.6</v>
      </c>
      <c r="L114" s="5" t="s">
        <v>18</v>
      </c>
    </row>
    <row r="115" spans="1:12" x14ac:dyDescent="0.25">
      <c r="A115" s="5">
        <v>2026</v>
      </c>
      <c r="B115" s="5" t="s">
        <v>5</v>
      </c>
      <c r="C115" s="10">
        <v>59710</v>
      </c>
      <c r="D115" s="5">
        <v>19910</v>
      </c>
      <c r="E115" s="4">
        <v>0.57999999999999996</v>
      </c>
      <c r="F115">
        <v>3640</v>
      </c>
      <c r="G115">
        <v>8640</v>
      </c>
      <c r="H115" s="4">
        <v>0.65</v>
      </c>
      <c r="I115" s="4">
        <v>0.33</v>
      </c>
      <c r="J115" s="4">
        <v>0.38500000000000012</v>
      </c>
      <c r="K115" s="4">
        <v>0.7</v>
      </c>
      <c r="L115" s="5" t="s">
        <v>18</v>
      </c>
    </row>
    <row r="116" spans="1:12" x14ac:dyDescent="0.25">
      <c r="A116" s="5">
        <v>2026</v>
      </c>
      <c r="B116" s="5" t="s">
        <v>6</v>
      </c>
      <c r="C116" s="10">
        <v>12020</v>
      </c>
      <c r="D116" s="5">
        <v>12020</v>
      </c>
      <c r="E116" s="4">
        <v>0.64</v>
      </c>
      <c r="F116">
        <v>2840</v>
      </c>
      <c r="G116">
        <v>6940</v>
      </c>
      <c r="H116" s="4">
        <v>0.74</v>
      </c>
      <c r="I116" s="4">
        <v>0.47000000000000008</v>
      </c>
      <c r="J116" s="4">
        <v>0.52560000000000018</v>
      </c>
      <c r="K116" s="4">
        <v>0.78</v>
      </c>
      <c r="L116" s="5" t="s">
        <v>18</v>
      </c>
    </row>
    <row r="117" spans="1:12" x14ac:dyDescent="0.25">
      <c r="A117" s="5">
        <v>2026</v>
      </c>
      <c r="B117" s="5" t="s">
        <v>7</v>
      </c>
      <c r="C117" s="10">
        <v>32620</v>
      </c>
      <c r="D117" s="5">
        <v>11460</v>
      </c>
      <c r="E117" s="4">
        <v>0.53</v>
      </c>
      <c r="F117">
        <v>3640</v>
      </c>
      <c r="G117">
        <v>7260</v>
      </c>
      <c r="H117" s="4">
        <v>0.82</v>
      </c>
      <c r="I117" s="4">
        <v>0.63500000000000023</v>
      </c>
      <c r="J117" s="4">
        <v>0.66960000000000042</v>
      </c>
      <c r="K117" s="4">
        <v>0.85</v>
      </c>
      <c r="L117" s="5" t="s">
        <v>18</v>
      </c>
    </row>
    <row r="118" spans="1:12" x14ac:dyDescent="0.25">
      <c r="A118" s="5">
        <v>2026</v>
      </c>
      <c r="B118" s="5" t="s">
        <v>8</v>
      </c>
      <c r="C118" s="10">
        <v>11570</v>
      </c>
      <c r="D118" s="5">
        <v>11570</v>
      </c>
      <c r="E118" s="4">
        <v>0.69</v>
      </c>
      <c r="F118">
        <v>5460</v>
      </c>
      <c r="G118">
        <v>5880</v>
      </c>
      <c r="H118" s="4">
        <v>0.88</v>
      </c>
      <c r="I118" s="4">
        <v>0.74700000000000033</v>
      </c>
      <c r="J118" s="4">
        <v>0.80460000000000054</v>
      </c>
      <c r="K118" s="4">
        <v>0.91</v>
      </c>
      <c r="L118" s="5" t="s">
        <v>18</v>
      </c>
    </row>
    <row r="119" spans="1:12" x14ac:dyDescent="0.25">
      <c r="A119" s="5">
        <v>2026</v>
      </c>
      <c r="B119" s="5" t="s">
        <v>9</v>
      </c>
      <c r="C119" s="10">
        <v>37310</v>
      </c>
      <c r="D119" s="5">
        <v>35840</v>
      </c>
      <c r="E119" s="4">
        <v>0.56000000000000005</v>
      </c>
      <c r="F119">
        <v>7260</v>
      </c>
      <c r="G119">
        <v>4620</v>
      </c>
      <c r="H119" s="4">
        <v>1.21</v>
      </c>
      <c r="I119" s="4">
        <v>0.85900000000000043</v>
      </c>
      <c r="J119" s="4">
        <v>0.88560000000000061</v>
      </c>
      <c r="K119" s="4">
        <v>0.96</v>
      </c>
      <c r="L119" s="5" t="s">
        <v>18</v>
      </c>
    </row>
    <row r="120" spans="1:12" x14ac:dyDescent="0.25">
      <c r="A120" s="5">
        <v>2026</v>
      </c>
      <c r="B120" s="5" t="s">
        <v>10</v>
      </c>
      <c r="C120" s="10">
        <v>11150</v>
      </c>
      <c r="D120" s="5">
        <v>8410</v>
      </c>
      <c r="E120" s="4">
        <v>0.35</v>
      </c>
      <c r="F120">
        <v>8460</v>
      </c>
      <c r="G120">
        <v>4840</v>
      </c>
      <c r="H120" s="4">
        <v>1.1100000000000001</v>
      </c>
      <c r="I120" s="4">
        <v>1.1950000000000007</v>
      </c>
      <c r="J120" s="4">
        <v>1.1556000000000002</v>
      </c>
      <c r="K120" s="4">
        <v>0.99</v>
      </c>
      <c r="L120" s="5" t="s">
        <v>18</v>
      </c>
    </row>
    <row r="121" spans="1:12" x14ac:dyDescent="0.25">
      <c r="A121" s="5">
        <v>2026</v>
      </c>
      <c r="B121" s="5" t="s">
        <v>11</v>
      </c>
      <c r="C121" s="10">
        <v>6660</v>
      </c>
      <c r="D121" s="5">
        <v>3280</v>
      </c>
      <c r="E121" s="4">
        <v>0.42</v>
      </c>
      <c r="F121">
        <v>8120</v>
      </c>
      <c r="G121">
        <v>7440</v>
      </c>
      <c r="H121" s="4">
        <v>1.1599999999999999</v>
      </c>
      <c r="I121" s="4">
        <v>1.2230000000000008</v>
      </c>
      <c r="J121" s="4">
        <v>1.3445999999999996</v>
      </c>
      <c r="K121" s="4">
        <v>1</v>
      </c>
      <c r="L121" s="5" t="s">
        <v>18</v>
      </c>
    </row>
    <row r="122" spans="1:12" x14ac:dyDescent="0.25">
      <c r="A122" s="5">
        <v>2027</v>
      </c>
      <c r="B122" s="5" t="s">
        <v>0</v>
      </c>
      <c r="C122" s="10">
        <v>11810</v>
      </c>
      <c r="D122" s="5">
        <v>4820</v>
      </c>
      <c r="E122" s="4">
        <v>0.7</v>
      </c>
      <c r="F122">
        <v>6500</v>
      </c>
      <c r="G122">
        <v>8760</v>
      </c>
      <c r="H122" s="4">
        <v>0.16</v>
      </c>
      <c r="I122" s="4">
        <v>0.16800000000000001</v>
      </c>
      <c r="J122" s="4">
        <v>0.223</v>
      </c>
      <c r="K122" s="4">
        <v>0.22</v>
      </c>
      <c r="L122" s="5" t="s">
        <v>18</v>
      </c>
    </row>
    <row r="123" spans="1:12" x14ac:dyDescent="0.25">
      <c r="A123" s="5">
        <v>2027</v>
      </c>
      <c r="B123" s="5" t="s">
        <v>1</v>
      </c>
      <c r="C123" s="10">
        <v>48420</v>
      </c>
      <c r="D123" s="5">
        <v>20750</v>
      </c>
      <c r="E123" s="4">
        <v>0.62</v>
      </c>
      <c r="F123">
        <v>4700</v>
      </c>
      <c r="G123">
        <v>8680</v>
      </c>
      <c r="H123" s="4">
        <v>0.27</v>
      </c>
      <c r="I123" s="4">
        <v>0.33</v>
      </c>
      <c r="J123" s="4">
        <v>0.41200000000000014</v>
      </c>
      <c r="K123" s="4">
        <v>0.33</v>
      </c>
      <c r="L123" s="5" t="s">
        <v>18</v>
      </c>
    </row>
    <row r="124" spans="1:12" x14ac:dyDescent="0.25">
      <c r="A124" s="5">
        <v>2027</v>
      </c>
      <c r="B124" s="5" t="s">
        <v>2</v>
      </c>
      <c r="C124" s="10">
        <v>13700</v>
      </c>
      <c r="D124" s="5">
        <v>12640</v>
      </c>
      <c r="E124" s="4">
        <v>0.72</v>
      </c>
      <c r="F124">
        <v>3800</v>
      </c>
      <c r="G124">
        <v>7000</v>
      </c>
      <c r="H124" s="4">
        <v>0.38</v>
      </c>
      <c r="I124" s="4">
        <v>0.49700000000000011</v>
      </c>
      <c r="J124" s="4">
        <v>0.55440000000000023</v>
      </c>
      <c r="K124" s="4">
        <v>0.43</v>
      </c>
      <c r="L124" s="5" t="s">
        <v>18</v>
      </c>
    </row>
    <row r="125" spans="1:12" x14ac:dyDescent="0.25">
      <c r="A125" s="5">
        <v>2027</v>
      </c>
      <c r="B125" s="5" t="s">
        <v>3</v>
      </c>
      <c r="C125" s="10">
        <v>51200</v>
      </c>
      <c r="D125" s="5">
        <v>40230</v>
      </c>
      <c r="E125" s="4">
        <v>0.82</v>
      </c>
      <c r="F125">
        <v>2940</v>
      </c>
      <c r="G125">
        <v>7320</v>
      </c>
      <c r="H125" s="4">
        <v>0.48</v>
      </c>
      <c r="I125" s="4">
        <v>0.66300000000000026</v>
      </c>
      <c r="J125" s="4">
        <v>0.69660000000000044</v>
      </c>
      <c r="K125" s="4">
        <v>0.53</v>
      </c>
      <c r="L125" s="5" t="s">
        <v>18</v>
      </c>
    </row>
    <row r="126" spans="1:12" x14ac:dyDescent="0.25">
      <c r="A126" s="5">
        <v>2027</v>
      </c>
      <c r="B126" s="5" t="s">
        <v>4</v>
      </c>
      <c r="C126" s="10">
        <v>38890</v>
      </c>
      <c r="D126" s="5">
        <v>55960</v>
      </c>
      <c r="E126" s="4">
        <v>0.78</v>
      </c>
      <c r="F126">
        <v>4040</v>
      </c>
      <c r="G126">
        <v>5940</v>
      </c>
      <c r="H126" s="4">
        <v>0.57999999999999996</v>
      </c>
      <c r="I126" s="4">
        <v>0.77500000000000036</v>
      </c>
      <c r="J126" s="4">
        <v>0.83160000000000056</v>
      </c>
      <c r="K126" s="4">
        <v>0.63</v>
      </c>
      <c r="L126" s="5" t="s">
        <v>18</v>
      </c>
    </row>
    <row r="127" spans="1:12" x14ac:dyDescent="0.25">
      <c r="A127" s="5">
        <v>2027</v>
      </c>
      <c r="B127" s="5" t="s">
        <v>5</v>
      </c>
      <c r="C127" s="10">
        <v>36750</v>
      </c>
      <c r="D127" s="5">
        <v>30070</v>
      </c>
      <c r="E127" s="4">
        <v>0.63</v>
      </c>
      <c r="F127">
        <v>5900</v>
      </c>
      <c r="G127">
        <v>4680</v>
      </c>
      <c r="H127" s="4">
        <v>0.68</v>
      </c>
      <c r="I127" s="4">
        <v>0.88700000000000045</v>
      </c>
      <c r="J127" s="4">
        <v>0.91260000000000063</v>
      </c>
      <c r="K127" s="4">
        <v>0.73</v>
      </c>
      <c r="L127" s="5" t="s">
        <v>18</v>
      </c>
    </row>
    <row r="128" spans="1:12" x14ac:dyDescent="0.25">
      <c r="A128" s="5">
        <v>2027</v>
      </c>
      <c r="B128" s="5" t="s">
        <v>6</v>
      </c>
      <c r="C128" s="10">
        <v>16340</v>
      </c>
      <c r="D128" s="5">
        <v>20800</v>
      </c>
      <c r="E128" s="4">
        <v>0.68</v>
      </c>
      <c r="F128">
        <v>7740</v>
      </c>
      <c r="G128">
        <v>4900</v>
      </c>
      <c r="H128" s="4">
        <v>0.76</v>
      </c>
      <c r="I128" s="4">
        <v>1.1670000000000007</v>
      </c>
      <c r="J128" s="4">
        <v>1.1556000000000002</v>
      </c>
      <c r="K128" s="4">
        <v>0.8</v>
      </c>
      <c r="L128" s="5" t="s">
        <v>18</v>
      </c>
    </row>
    <row r="129" spans="1:12" x14ac:dyDescent="0.25">
      <c r="A129" s="5">
        <v>2027</v>
      </c>
      <c r="B129" s="5" t="s">
        <v>7</v>
      </c>
      <c r="C129" s="10">
        <v>18350</v>
      </c>
      <c r="D129" s="5">
        <v>15010</v>
      </c>
      <c r="E129" s="4">
        <v>0.57999999999999996</v>
      </c>
      <c r="F129">
        <v>8520</v>
      </c>
      <c r="G129">
        <v>7460</v>
      </c>
      <c r="H129" s="4">
        <v>0.83</v>
      </c>
      <c r="I129" s="4">
        <v>1.2790000000000008</v>
      </c>
      <c r="J129" s="4">
        <v>1.2096</v>
      </c>
      <c r="K129" s="4">
        <v>0.86</v>
      </c>
      <c r="L129" s="5" t="s">
        <v>18</v>
      </c>
    </row>
    <row r="130" spans="1:12" x14ac:dyDescent="0.25">
      <c r="A130" s="5">
        <v>2027</v>
      </c>
      <c r="B130" s="5" t="s">
        <v>8</v>
      </c>
      <c r="C130" s="10">
        <v>36310</v>
      </c>
      <c r="D130" s="5">
        <v>17880</v>
      </c>
      <c r="E130" s="4">
        <v>0.72</v>
      </c>
      <c r="F130">
        <v>8100</v>
      </c>
      <c r="G130">
        <v>8780</v>
      </c>
      <c r="H130" s="4">
        <v>0.89</v>
      </c>
      <c r="I130" s="4">
        <v>0.14000000000000001</v>
      </c>
      <c r="J130" s="4">
        <v>0.19600000000000001</v>
      </c>
      <c r="K130" s="4">
        <v>0.92</v>
      </c>
      <c r="L130" s="5" t="s">
        <v>18</v>
      </c>
    </row>
    <row r="131" spans="1:12" x14ac:dyDescent="0.25">
      <c r="A131" s="5">
        <v>2027</v>
      </c>
      <c r="B131" s="5" t="s">
        <v>9</v>
      </c>
      <c r="C131" s="10">
        <v>7630</v>
      </c>
      <c r="D131" s="5">
        <v>8270</v>
      </c>
      <c r="E131" s="4">
        <v>0.62</v>
      </c>
      <c r="F131">
        <v>6580</v>
      </c>
      <c r="G131">
        <v>8720</v>
      </c>
      <c r="H131" s="4">
        <v>1.21</v>
      </c>
      <c r="I131" s="4">
        <v>0.27800000000000002</v>
      </c>
      <c r="J131" s="4">
        <v>0.33100000000000007</v>
      </c>
      <c r="K131" s="4">
        <v>0.97</v>
      </c>
      <c r="L131" s="5" t="s">
        <v>18</v>
      </c>
    </row>
    <row r="132" spans="1:12" x14ac:dyDescent="0.25">
      <c r="A132" s="5">
        <v>2027</v>
      </c>
      <c r="B132" s="5" t="s">
        <v>10</v>
      </c>
      <c r="C132" s="10">
        <v>16490</v>
      </c>
      <c r="D132" s="5">
        <v>19370</v>
      </c>
      <c r="E132" s="4">
        <v>0.45</v>
      </c>
      <c r="F132">
        <v>4760</v>
      </c>
      <c r="G132">
        <v>7060</v>
      </c>
      <c r="H132" s="4">
        <v>1.1299999999999999</v>
      </c>
      <c r="I132" s="4">
        <v>0.38900000000000001</v>
      </c>
      <c r="J132" s="4">
        <v>0.44000000000000017</v>
      </c>
      <c r="K132" s="4">
        <v>0.99</v>
      </c>
      <c r="L132" s="5" t="s">
        <v>18</v>
      </c>
    </row>
    <row r="133" spans="1:12" x14ac:dyDescent="0.25">
      <c r="A133" s="5">
        <v>2027</v>
      </c>
      <c r="B133" s="5" t="s">
        <v>11</v>
      </c>
      <c r="C133" s="10">
        <v>21910</v>
      </c>
      <c r="D133" s="5">
        <v>14010</v>
      </c>
      <c r="E133" s="4">
        <v>0.38</v>
      </c>
      <c r="F133">
        <v>3860</v>
      </c>
      <c r="G133">
        <v>7380</v>
      </c>
      <c r="H133" s="4">
        <v>1.29</v>
      </c>
      <c r="I133" s="4">
        <v>0.52400000000000013</v>
      </c>
      <c r="J133" s="4">
        <v>0.58320000000000027</v>
      </c>
      <c r="K133" s="4">
        <v>1</v>
      </c>
      <c r="L133" s="5" t="s">
        <v>18</v>
      </c>
    </row>
    <row r="134" spans="1:12" x14ac:dyDescent="0.25">
      <c r="A134" s="5">
        <v>2028</v>
      </c>
      <c r="B134" s="5" t="s">
        <v>0</v>
      </c>
      <c r="C134" s="10">
        <v>45220</v>
      </c>
      <c r="D134" s="5">
        <v>24350</v>
      </c>
      <c r="E134" s="4">
        <v>0.66</v>
      </c>
      <c r="F134">
        <v>3020</v>
      </c>
      <c r="G134">
        <v>6000</v>
      </c>
      <c r="H134" s="4">
        <v>0.17</v>
      </c>
      <c r="I134" s="4">
        <v>0.66300000000000026</v>
      </c>
      <c r="J134" s="4">
        <v>0.69660000000000044</v>
      </c>
      <c r="K134" s="4">
        <v>0.23</v>
      </c>
      <c r="L134" s="5" t="s">
        <v>18</v>
      </c>
    </row>
    <row r="135" spans="1:12" x14ac:dyDescent="0.25">
      <c r="A135" s="5">
        <v>2028</v>
      </c>
      <c r="B135" s="5" t="s">
        <v>1</v>
      </c>
      <c r="C135" s="10">
        <v>21400</v>
      </c>
      <c r="D135" s="5">
        <v>20560</v>
      </c>
      <c r="E135" s="4">
        <v>0.6</v>
      </c>
      <c r="F135">
        <v>3960</v>
      </c>
      <c r="G135">
        <v>4720</v>
      </c>
      <c r="H135" s="4">
        <v>0.28000000000000003</v>
      </c>
      <c r="I135" s="4">
        <v>0.77500000000000036</v>
      </c>
      <c r="J135" s="4">
        <v>0.80460000000000054</v>
      </c>
      <c r="K135" s="4">
        <v>0.34</v>
      </c>
      <c r="L135" s="5" t="s">
        <v>18</v>
      </c>
    </row>
    <row r="136" spans="1:12" x14ac:dyDescent="0.25">
      <c r="A136" s="5">
        <v>2028</v>
      </c>
      <c r="B136" s="5" t="s">
        <v>2</v>
      </c>
      <c r="C136" s="10">
        <v>90740</v>
      </c>
      <c r="D136" s="5">
        <v>63050</v>
      </c>
      <c r="E136" s="4">
        <v>0.68</v>
      </c>
      <c r="F136">
        <v>5800</v>
      </c>
      <c r="G136">
        <v>4960</v>
      </c>
      <c r="H136" s="4">
        <v>0.4</v>
      </c>
      <c r="I136" s="4">
        <v>0.88700000000000045</v>
      </c>
      <c r="J136" s="4">
        <v>0.91260000000000063</v>
      </c>
      <c r="K136" s="4">
        <v>0.45</v>
      </c>
      <c r="L136" s="5" t="s">
        <v>18</v>
      </c>
    </row>
    <row r="137" spans="1:12" x14ac:dyDescent="0.25">
      <c r="A137" s="5">
        <v>2028</v>
      </c>
      <c r="B137" s="5" t="s">
        <v>3</v>
      </c>
      <c r="C137" s="10">
        <v>37410</v>
      </c>
      <c r="D137" s="5">
        <v>51660</v>
      </c>
      <c r="E137" s="4">
        <v>0.75</v>
      </c>
      <c r="F137">
        <v>7640</v>
      </c>
      <c r="G137">
        <v>7480</v>
      </c>
      <c r="H137" s="4">
        <v>0.5</v>
      </c>
      <c r="I137" s="4">
        <v>1.1390000000000007</v>
      </c>
      <c r="J137" s="4">
        <v>1.2096</v>
      </c>
      <c r="K137" s="4">
        <v>0.55000000000000004</v>
      </c>
      <c r="L137" s="5" t="s">
        <v>18</v>
      </c>
    </row>
    <row r="138" spans="1:12" x14ac:dyDescent="0.25">
      <c r="A138" s="5">
        <v>2028</v>
      </c>
      <c r="B138" s="5" t="s">
        <v>4</v>
      </c>
      <c r="C138" s="10">
        <v>44540</v>
      </c>
      <c r="D138" s="5">
        <v>50230</v>
      </c>
      <c r="E138" s="4">
        <v>0.7</v>
      </c>
      <c r="F138">
        <v>8420</v>
      </c>
      <c r="G138">
        <v>8800</v>
      </c>
      <c r="H138" s="4">
        <v>0.6</v>
      </c>
      <c r="I138" s="4">
        <v>0.14000000000000001</v>
      </c>
      <c r="J138" s="4">
        <v>0.19600000000000001</v>
      </c>
      <c r="K138" s="4">
        <v>0.65</v>
      </c>
      <c r="L138" s="5" t="s">
        <v>18</v>
      </c>
    </row>
    <row r="139" spans="1:12" x14ac:dyDescent="0.25">
      <c r="A139" s="5">
        <v>2028</v>
      </c>
      <c r="B139" s="5" t="s">
        <v>5</v>
      </c>
      <c r="C139" s="10">
        <v>59320</v>
      </c>
      <c r="D139" s="5">
        <v>24230</v>
      </c>
      <c r="E139" s="4">
        <v>0.59</v>
      </c>
      <c r="F139">
        <v>8160</v>
      </c>
      <c r="G139">
        <v>8740</v>
      </c>
      <c r="H139" s="4">
        <v>0.7</v>
      </c>
      <c r="I139" s="4">
        <v>0.30499999999999999</v>
      </c>
      <c r="J139" s="4">
        <v>0.3580000000000001</v>
      </c>
      <c r="K139" s="4">
        <v>0.75</v>
      </c>
      <c r="L139" s="5" t="s">
        <v>18</v>
      </c>
    </row>
    <row r="140" spans="1:12" x14ac:dyDescent="0.25">
      <c r="A140" s="5">
        <v>2028</v>
      </c>
      <c r="B140" s="5" t="s">
        <v>6</v>
      </c>
      <c r="C140" s="10">
        <v>38800</v>
      </c>
      <c r="D140" s="5">
        <v>15090</v>
      </c>
      <c r="E140" s="4">
        <v>0.63</v>
      </c>
      <c r="F140">
        <v>6640</v>
      </c>
      <c r="G140">
        <v>7100</v>
      </c>
      <c r="H140" s="4">
        <v>0.78</v>
      </c>
      <c r="I140" s="4">
        <v>0.44300000000000006</v>
      </c>
      <c r="J140" s="4">
        <v>0.49680000000000019</v>
      </c>
      <c r="K140" s="4">
        <v>0.82</v>
      </c>
      <c r="L140" s="5" t="s">
        <v>18</v>
      </c>
    </row>
    <row r="141" spans="1:12" x14ac:dyDescent="0.25">
      <c r="A141" s="5">
        <v>2028</v>
      </c>
      <c r="B141" s="5" t="s">
        <v>7</v>
      </c>
      <c r="C141" s="10">
        <v>25850</v>
      </c>
      <c r="D141" s="5">
        <v>13920</v>
      </c>
      <c r="E141" s="4">
        <v>0.5</v>
      </c>
      <c r="F141">
        <v>4820</v>
      </c>
      <c r="G141">
        <v>7420</v>
      </c>
      <c r="H141" s="4">
        <v>0.85</v>
      </c>
      <c r="I141" s="4">
        <v>0.60700000000000021</v>
      </c>
      <c r="J141" s="4">
        <v>0.64080000000000037</v>
      </c>
      <c r="K141" s="4">
        <v>0.88</v>
      </c>
      <c r="L141" s="5" t="s">
        <v>18</v>
      </c>
    </row>
    <row r="142" spans="1:12" x14ac:dyDescent="0.25">
      <c r="A142" s="5">
        <v>2028</v>
      </c>
      <c r="B142" s="5" t="s">
        <v>8</v>
      </c>
      <c r="C142" s="10">
        <v>30050</v>
      </c>
      <c r="D142" s="5">
        <v>16180</v>
      </c>
      <c r="E142" s="4">
        <v>0.65</v>
      </c>
      <c r="F142">
        <v>3900</v>
      </c>
      <c r="G142">
        <v>6040</v>
      </c>
      <c r="H142" s="4">
        <v>0.91</v>
      </c>
      <c r="I142" s="4">
        <v>0.74700000000000033</v>
      </c>
      <c r="J142" s="4">
        <v>0.77760000000000051</v>
      </c>
      <c r="K142" s="4">
        <v>0.94</v>
      </c>
      <c r="L142" s="5" t="s">
        <v>18</v>
      </c>
    </row>
    <row r="143" spans="1:12" x14ac:dyDescent="0.25">
      <c r="A143" s="5">
        <v>2028</v>
      </c>
      <c r="B143" s="5" t="s">
        <v>9</v>
      </c>
      <c r="C143" s="10">
        <v>64960</v>
      </c>
      <c r="D143" s="5">
        <v>33470</v>
      </c>
      <c r="E143" s="4">
        <v>0.57999999999999996</v>
      </c>
      <c r="F143">
        <v>3100</v>
      </c>
      <c r="G143">
        <v>4760</v>
      </c>
      <c r="H143" s="4">
        <v>1.1399999999999999</v>
      </c>
      <c r="I143" s="4">
        <v>0.85900000000000043</v>
      </c>
      <c r="J143" s="4">
        <v>0.88560000000000061</v>
      </c>
      <c r="K143" s="4">
        <v>0.98</v>
      </c>
      <c r="L143" s="5" t="s">
        <v>18</v>
      </c>
    </row>
    <row r="144" spans="1:12" x14ac:dyDescent="0.25">
      <c r="A144" s="5">
        <v>2028</v>
      </c>
      <c r="B144" s="5" t="s">
        <v>10</v>
      </c>
      <c r="C144" s="10">
        <v>38160</v>
      </c>
      <c r="D144" s="5">
        <v>13410</v>
      </c>
      <c r="E144" s="4">
        <v>0.38</v>
      </c>
      <c r="F144">
        <v>4040</v>
      </c>
      <c r="G144">
        <v>5020</v>
      </c>
      <c r="H144" s="4">
        <v>1.26</v>
      </c>
      <c r="I144" s="4">
        <v>1.2790000000000008</v>
      </c>
      <c r="J144" s="4">
        <v>1.1016000000000004</v>
      </c>
      <c r="K144" s="4">
        <v>1</v>
      </c>
      <c r="L144" s="5" t="s">
        <v>18</v>
      </c>
    </row>
    <row r="145" spans="1:12" x14ac:dyDescent="0.25">
      <c r="A145" s="5">
        <v>2028</v>
      </c>
      <c r="B145" s="5" t="s">
        <v>11</v>
      </c>
      <c r="C145" s="10">
        <v>14300</v>
      </c>
      <c r="D145" s="5">
        <v>8400</v>
      </c>
      <c r="E145" s="4">
        <v>0.45</v>
      </c>
      <c r="F145">
        <v>5960</v>
      </c>
      <c r="G145">
        <v>7500</v>
      </c>
      <c r="H145" s="4">
        <v>1.32</v>
      </c>
      <c r="I145" s="4">
        <v>1.1390000000000007</v>
      </c>
      <c r="J145" s="4">
        <v>1.1286000000000003</v>
      </c>
      <c r="K145" s="4">
        <v>1</v>
      </c>
      <c r="L145" s="5" t="s">
        <v>18</v>
      </c>
    </row>
    <row r="146" spans="1:12" x14ac:dyDescent="0.25">
      <c r="A146" s="5">
        <v>2025</v>
      </c>
      <c r="B146" s="5" t="s">
        <v>0</v>
      </c>
      <c r="C146" s="10">
        <v>8840</v>
      </c>
      <c r="D146" s="5">
        <v>8840</v>
      </c>
      <c r="E146" s="4">
        <v>0.68</v>
      </c>
      <c r="F146">
        <v>7800</v>
      </c>
      <c r="G146">
        <v>8820</v>
      </c>
      <c r="H146" s="4">
        <v>0.15</v>
      </c>
      <c r="I146" s="4">
        <v>0.16800000000000001</v>
      </c>
      <c r="J146" s="4">
        <v>0.223</v>
      </c>
      <c r="K146" s="4">
        <v>0.19</v>
      </c>
      <c r="L146" s="5" t="s">
        <v>19</v>
      </c>
    </row>
    <row r="147" spans="1:12" x14ac:dyDescent="0.25">
      <c r="A147" s="5">
        <v>2025</v>
      </c>
      <c r="B147" s="5" t="s">
        <v>1</v>
      </c>
      <c r="C147" s="10">
        <v>22680</v>
      </c>
      <c r="D147" s="5">
        <v>7970</v>
      </c>
      <c r="E147" s="4">
        <v>0.6</v>
      </c>
      <c r="F147">
        <v>8480</v>
      </c>
      <c r="G147">
        <v>8760</v>
      </c>
      <c r="H147" s="4">
        <v>0.23</v>
      </c>
      <c r="I147" s="4">
        <v>0.33</v>
      </c>
      <c r="J147" s="4">
        <v>0.38500000000000012</v>
      </c>
      <c r="K147" s="4">
        <v>0.28000000000000003</v>
      </c>
      <c r="L147" s="5" t="s">
        <v>19</v>
      </c>
    </row>
    <row r="148" spans="1:12" x14ac:dyDescent="0.25">
      <c r="A148" s="5">
        <v>2025</v>
      </c>
      <c r="B148" s="5" t="s">
        <v>2</v>
      </c>
      <c r="C148" s="10">
        <v>12500</v>
      </c>
      <c r="D148" s="5">
        <v>11080</v>
      </c>
      <c r="E148" s="4">
        <v>0.7</v>
      </c>
      <c r="F148">
        <v>8100</v>
      </c>
      <c r="G148">
        <v>7140</v>
      </c>
      <c r="H148" s="4">
        <v>0.32</v>
      </c>
      <c r="I148" s="4">
        <v>0.47000000000000008</v>
      </c>
      <c r="J148" s="4">
        <v>0.52560000000000018</v>
      </c>
      <c r="K148" s="4">
        <v>0.36</v>
      </c>
      <c r="L148" s="5" t="s">
        <v>19</v>
      </c>
    </row>
    <row r="149" spans="1:12" x14ac:dyDescent="0.25">
      <c r="A149" s="5">
        <v>2025</v>
      </c>
      <c r="B149" s="5" t="s">
        <v>3</v>
      </c>
      <c r="C149" s="10">
        <v>5750</v>
      </c>
      <c r="D149" s="5">
        <v>8280</v>
      </c>
      <c r="E149" s="4">
        <v>0.8</v>
      </c>
      <c r="F149">
        <v>6600</v>
      </c>
      <c r="G149">
        <v>7460</v>
      </c>
      <c r="H149" s="4">
        <v>0.4</v>
      </c>
      <c r="I149" s="4">
        <v>0.63500000000000023</v>
      </c>
      <c r="J149" s="4">
        <v>0.66960000000000042</v>
      </c>
      <c r="K149" s="4">
        <v>0.44</v>
      </c>
      <c r="L149" s="5" t="s">
        <v>19</v>
      </c>
    </row>
    <row r="150" spans="1:12" x14ac:dyDescent="0.25">
      <c r="A150" s="5">
        <v>2025</v>
      </c>
      <c r="B150" s="5" t="s">
        <v>4</v>
      </c>
      <c r="C150" s="10">
        <v>14780</v>
      </c>
      <c r="D150" s="5">
        <v>17350</v>
      </c>
      <c r="E150" s="4">
        <v>0.75</v>
      </c>
      <c r="F150">
        <v>4880</v>
      </c>
      <c r="G150">
        <v>6080</v>
      </c>
      <c r="H150" s="4">
        <v>0.49</v>
      </c>
      <c r="I150" s="4">
        <v>0.74700000000000033</v>
      </c>
      <c r="J150" s="4">
        <v>0.80460000000000054</v>
      </c>
      <c r="K150" s="4">
        <v>0.53</v>
      </c>
      <c r="L150" s="5" t="s">
        <v>19</v>
      </c>
    </row>
    <row r="151" spans="1:12" x14ac:dyDescent="0.25">
      <c r="A151" s="5">
        <v>2025</v>
      </c>
      <c r="B151" s="5" t="s">
        <v>5</v>
      </c>
      <c r="C151" s="10">
        <v>23810</v>
      </c>
      <c r="D151" s="5">
        <v>29110</v>
      </c>
      <c r="E151" s="4">
        <v>0.6</v>
      </c>
      <c r="F151">
        <v>3920</v>
      </c>
      <c r="G151">
        <v>4800</v>
      </c>
      <c r="H151" s="4">
        <v>0.56999999999999995</v>
      </c>
      <c r="I151" s="4">
        <v>0.85900000000000043</v>
      </c>
      <c r="J151" s="4">
        <v>0.88560000000000061</v>
      </c>
      <c r="K151" s="4">
        <v>0.62</v>
      </c>
      <c r="L151" s="5" t="s">
        <v>19</v>
      </c>
    </row>
    <row r="152" spans="1:12" x14ac:dyDescent="0.25">
      <c r="A152" s="5">
        <v>2025</v>
      </c>
      <c r="B152" s="5" t="s">
        <v>6</v>
      </c>
      <c r="C152" s="10">
        <v>33960</v>
      </c>
      <c r="D152" s="5">
        <v>14560</v>
      </c>
      <c r="E152" s="4">
        <v>0.65</v>
      </c>
      <c r="F152">
        <v>3120</v>
      </c>
      <c r="G152">
        <v>5060</v>
      </c>
      <c r="H152" s="4">
        <v>0.66</v>
      </c>
      <c r="I152" s="4">
        <v>1.3070000000000008</v>
      </c>
      <c r="J152" s="4">
        <v>1.1556000000000002</v>
      </c>
      <c r="K152" s="4">
        <v>0.7</v>
      </c>
      <c r="L152" s="5" t="s">
        <v>19</v>
      </c>
    </row>
    <row r="153" spans="1:12" x14ac:dyDescent="0.25">
      <c r="A153" s="5">
        <v>2025</v>
      </c>
      <c r="B153" s="5" t="s">
        <v>7</v>
      </c>
      <c r="C153" s="10">
        <v>11130</v>
      </c>
      <c r="D153" s="5">
        <v>12060</v>
      </c>
      <c r="E153" s="4">
        <v>0.55000000000000004</v>
      </c>
      <c r="F153">
        <v>4080</v>
      </c>
      <c r="G153">
        <v>7520</v>
      </c>
      <c r="H153" s="4">
        <v>0.74</v>
      </c>
      <c r="I153" s="4">
        <v>1.2510000000000008</v>
      </c>
      <c r="J153" s="4">
        <v>1.1826000000000001</v>
      </c>
      <c r="K153" s="4">
        <v>0.78</v>
      </c>
      <c r="L153" s="5" t="s">
        <v>19</v>
      </c>
    </row>
    <row r="154" spans="1:12" x14ac:dyDescent="0.25">
      <c r="A154" s="5">
        <v>2025</v>
      </c>
      <c r="B154" s="5" t="s">
        <v>8</v>
      </c>
      <c r="C154" s="10">
        <v>17010</v>
      </c>
      <c r="D154" s="5">
        <v>24480</v>
      </c>
      <c r="E154" s="4">
        <v>0.7</v>
      </c>
      <c r="F154">
        <v>6040</v>
      </c>
      <c r="G154">
        <v>8840</v>
      </c>
      <c r="H154" s="4">
        <v>0.81</v>
      </c>
      <c r="I154" s="4">
        <v>0.16800000000000001</v>
      </c>
      <c r="J154" s="4">
        <v>0.223</v>
      </c>
      <c r="K154" s="4">
        <v>0.85</v>
      </c>
      <c r="L154" s="5" t="s">
        <v>19</v>
      </c>
    </row>
    <row r="155" spans="1:12" x14ac:dyDescent="0.25">
      <c r="A155" s="5">
        <v>2025</v>
      </c>
      <c r="B155" s="5" t="s">
        <v>9</v>
      </c>
      <c r="C155" s="10">
        <v>11550</v>
      </c>
      <c r="D155" s="5">
        <v>5440</v>
      </c>
      <c r="E155" s="4">
        <v>0.6</v>
      </c>
      <c r="F155">
        <v>7780</v>
      </c>
      <c r="G155">
        <v>8780</v>
      </c>
      <c r="H155" s="4">
        <v>0.89</v>
      </c>
      <c r="I155" s="4">
        <v>0.33</v>
      </c>
      <c r="J155" s="4">
        <v>0.41200000000000014</v>
      </c>
      <c r="K155" s="4">
        <v>0.92</v>
      </c>
      <c r="L155" s="5" t="s">
        <v>19</v>
      </c>
    </row>
    <row r="156" spans="1:12" x14ac:dyDescent="0.25">
      <c r="A156" s="5">
        <v>2025</v>
      </c>
      <c r="B156" s="5" t="s">
        <v>10</v>
      </c>
      <c r="C156" s="10">
        <v>37300</v>
      </c>
      <c r="D156" s="5">
        <v>21910</v>
      </c>
      <c r="E156" s="4">
        <v>0.42</v>
      </c>
      <c r="F156">
        <v>8600</v>
      </c>
      <c r="G156">
        <v>7180</v>
      </c>
      <c r="H156" s="4">
        <v>1.17</v>
      </c>
      <c r="I156" s="4">
        <v>0.49700000000000011</v>
      </c>
      <c r="J156" s="4">
        <v>0.55440000000000023</v>
      </c>
      <c r="K156" s="4">
        <v>0.96</v>
      </c>
      <c r="L156" s="5" t="s">
        <v>19</v>
      </c>
    </row>
    <row r="157" spans="1:12" x14ac:dyDescent="0.25">
      <c r="A157" s="5">
        <v>2025</v>
      </c>
      <c r="B157" s="5" t="s">
        <v>11</v>
      </c>
      <c r="C157" s="10">
        <v>24480</v>
      </c>
      <c r="D157" s="5">
        <v>8160</v>
      </c>
      <c r="E157" s="4">
        <v>0.35</v>
      </c>
      <c r="F157">
        <v>8220</v>
      </c>
      <c r="G157">
        <v>7500</v>
      </c>
      <c r="H157" s="4">
        <v>1.33</v>
      </c>
      <c r="I157" s="4">
        <v>0.66300000000000026</v>
      </c>
      <c r="J157" s="4">
        <v>0.69660000000000044</v>
      </c>
      <c r="K157" s="4">
        <v>1</v>
      </c>
      <c r="L157" s="5" t="s">
        <v>19</v>
      </c>
    </row>
    <row r="158" spans="1:12" x14ac:dyDescent="0.25">
      <c r="A158" s="5">
        <v>2026</v>
      </c>
      <c r="B158" s="5" t="s">
        <v>0</v>
      </c>
      <c r="C158" s="10">
        <v>16080</v>
      </c>
      <c r="D158" s="5">
        <v>16080</v>
      </c>
      <c r="E158" s="4">
        <v>0.65</v>
      </c>
      <c r="F158">
        <v>6680</v>
      </c>
      <c r="G158">
        <v>6120</v>
      </c>
      <c r="H158" s="4">
        <v>0.15</v>
      </c>
      <c r="I158" s="4">
        <v>0.77500000000000036</v>
      </c>
      <c r="J158" s="4">
        <v>0.83160000000000056</v>
      </c>
      <c r="K158" s="4">
        <v>0.2</v>
      </c>
      <c r="L158" s="5" t="s">
        <v>19</v>
      </c>
    </row>
    <row r="159" spans="1:12" x14ac:dyDescent="0.25">
      <c r="A159" s="5">
        <v>2026</v>
      </c>
      <c r="B159" s="5" t="s">
        <v>1</v>
      </c>
      <c r="C159" s="10">
        <v>45020</v>
      </c>
      <c r="D159" s="5">
        <v>19300</v>
      </c>
      <c r="E159" s="4">
        <v>0.57999999999999996</v>
      </c>
      <c r="F159">
        <v>4940</v>
      </c>
      <c r="G159">
        <v>4840</v>
      </c>
      <c r="H159" s="4">
        <v>0.25</v>
      </c>
      <c r="I159" s="4">
        <v>0.88700000000000045</v>
      </c>
      <c r="J159" s="4">
        <v>0.91260000000000063</v>
      </c>
      <c r="K159" s="4">
        <v>0.3</v>
      </c>
      <c r="L159" s="5" t="s">
        <v>19</v>
      </c>
    </row>
    <row r="160" spans="1:12" x14ac:dyDescent="0.25">
      <c r="A160" s="5">
        <v>2026</v>
      </c>
      <c r="B160" s="5" t="s">
        <v>2</v>
      </c>
      <c r="C160" s="10">
        <v>39320</v>
      </c>
      <c r="D160" s="5">
        <v>16850</v>
      </c>
      <c r="E160" s="4">
        <v>0.67</v>
      </c>
      <c r="F160">
        <v>3960</v>
      </c>
      <c r="G160">
        <v>5100</v>
      </c>
      <c r="H160" s="4">
        <v>0.35</v>
      </c>
      <c r="I160" s="4">
        <v>1.2230000000000008</v>
      </c>
      <c r="J160" s="4">
        <v>1.1286000000000003</v>
      </c>
      <c r="K160" s="4">
        <v>0.4</v>
      </c>
      <c r="L160" s="5" t="s">
        <v>19</v>
      </c>
    </row>
    <row r="161" spans="1:12" x14ac:dyDescent="0.25">
      <c r="A161" s="5">
        <v>2026</v>
      </c>
      <c r="B161" s="5" t="s">
        <v>3</v>
      </c>
      <c r="C161" s="10">
        <v>11640</v>
      </c>
      <c r="D161" s="5">
        <v>16750</v>
      </c>
      <c r="E161" s="4">
        <v>0.77</v>
      </c>
      <c r="F161">
        <v>3140</v>
      </c>
      <c r="G161">
        <v>7540</v>
      </c>
      <c r="H161" s="4">
        <v>0.45</v>
      </c>
      <c r="I161" s="4">
        <v>1.1670000000000007</v>
      </c>
      <c r="J161" s="4">
        <v>1.2635999999999998</v>
      </c>
      <c r="K161" s="4">
        <v>0.5</v>
      </c>
      <c r="L161" s="5" t="s">
        <v>19</v>
      </c>
    </row>
    <row r="162" spans="1:12" x14ac:dyDescent="0.25">
      <c r="A162" s="5">
        <v>2026</v>
      </c>
      <c r="B162" s="5" t="s">
        <v>4</v>
      </c>
      <c r="C162" s="10">
        <v>22720</v>
      </c>
      <c r="D162" s="5">
        <v>17850</v>
      </c>
      <c r="E162" s="4">
        <v>0.72</v>
      </c>
      <c r="F162">
        <v>4140</v>
      </c>
      <c r="G162">
        <v>8860</v>
      </c>
      <c r="H162" s="4">
        <v>0.55000000000000004</v>
      </c>
      <c r="I162" s="4">
        <v>0.14000000000000001</v>
      </c>
      <c r="J162" s="4">
        <v>0.19600000000000001</v>
      </c>
      <c r="K162" s="4">
        <v>0.6</v>
      </c>
      <c r="L162" s="5" t="s">
        <v>19</v>
      </c>
    </row>
    <row r="163" spans="1:12" x14ac:dyDescent="0.25">
      <c r="A163" s="5">
        <v>2026</v>
      </c>
      <c r="B163" s="5" t="s">
        <v>5</v>
      </c>
      <c r="C163" s="10">
        <v>11870</v>
      </c>
      <c r="D163" s="5">
        <v>17080</v>
      </c>
      <c r="E163" s="4">
        <v>0.56999999999999995</v>
      </c>
      <c r="F163">
        <v>6100</v>
      </c>
      <c r="G163">
        <v>8800</v>
      </c>
      <c r="H163" s="4">
        <v>0.65</v>
      </c>
      <c r="I163" s="4">
        <v>0.27800000000000002</v>
      </c>
      <c r="J163" s="4">
        <v>0.33100000000000007</v>
      </c>
      <c r="K163" s="4">
        <v>0.7</v>
      </c>
      <c r="L163" s="5" t="s">
        <v>19</v>
      </c>
    </row>
    <row r="164" spans="1:12" x14ac:dyDescent="0.25">
      <c r="A164" s="5">
        <v>2026</v>
      </c>
      <c r="B164" s="5" t="s">
        <v>6</v>
      </c>
      <c r="C164" s="10">
        <v>34690</v>
      </c>
      <c r="D164" s="5">
        <v>28390</v>
      </c>
      <c r="E164" s="4">
        <v>0.62</v>
      </c>
      <c r="F164">
        <v>7860</v>
      </c>
      <c r="G164">
        <v>7220</v>
      </c>
      <c r="H164" s="4">
        <v>0.74</v>
      </c>
      <c r="I164" s="4">
        <v>0.38900000000000001</v>
      </c>
      <c r="J164" s="4">
        <v>0.44000000000000017</v>
      </c>
      <c r="K164" s="4">
        <v>0.78</v>
      </c>
      <c r="L164" s="5" t="s">
        <v>19</v>
      </c>
    </row>
    <row r="165" spans="1:12" x14ac:dyDescent="0.25">
      <c r="A165" s="5">
        <v>2026</v>
      </c>
      <c r="B165" s="5" t="s">
        <v>7</v>
      </c>
      <c r="C165" s="10">
        <v>24680</v>
      </c>
      <c r="D165" s="5">
        <v>19400</v>
      </c>
      <c r="E165" s="4">
        <v>0.52</v>
      </c>
      <c r="F165">
        <v>8680</v>
      </c>
      <c r="G165">
        <v>7540</v>
      </c>
      <c r="H165" s="4">
        <v>0.82</v>
      </c>
      <c r="I165" s="4">
        <v>0.52400000000000013</v>
      </c>
      <c r="J165" s="4">
        <v>0.58320000000000027</v>
      </c>
      <c r="K165" s="4">
        <v>0.85</v>
      </c>
      <c r="L165" s="5" t="s">
        <v>19</v>
      </c>
    </row>
    <row r="166" spans="1:12" x14ac:dyDescent="0.25">
      <c r="A166" s="5">
        <v>2026</v>
      </c>
      <c r="B166" s="5" t="s">
        <v>8</v>
      </c>
      <c r="C166" s="10">
        <v>19520</v>
      </c>
      <c r="D166" s="5">
        <v>23850</v>
      </c>
      <c r="E166" s="4">
        <v>0.68</v>
      </c>
      <c r="F166">
        <v>8280</v>
      </c>
      <c r="G166">
        <v>6160</v>
      </c>
      <c r="H166" s="4">
        <v>0.88</v>
      </c>
      <c r="I166" s="4">
        <v>0.66300000000000026</v>
      </c>
      <c r="J166" s="4">
        <v>0.69660000000000044</v>
      </c>
      <c r="K166" s="4">
        <v>0.91</v>
      </c>
      <c r="L166" s="5" t="s">
        <v>19</v>
      </c>
    </row>
    <row r="167" spans="1:12" x14ac:dyDescent="0.25">
      <c r="A167" s="5">
        <v>2026</v>
      </c>
      <c r="B167" s="5" t="s">
        <v>9</v>
      </c>
      <c r="C167" s="10">
        <v>24380</v>
      </c>
      <c r="D167" s="5">
        <v>24380</v>
      </c>
      <c r="E167" s="4">
        <v>0.55000000000000004</v>
      </c>
      <c r="F167">
        <v>6760</v>
      </c>
      <c r="G167">
        <v>4880</v>
      </c>
      <c r="H167" s="4">
        <v>1.1299999999999999</v>
      </c>
      <c r="I167" s="4">
        <v>0.77500000000000036</v>
      </c>
      <c r="J167" s="4">
        <v>0.80460000000000054</v>
      </c>
      <c r="K167" s="4">
        <v>0.96</v>
      </c>
      <c r="L167" s="5" t="s">
        <v>19</v>
      </c>
    </row>
    <row r="168" spans="1:12" x14ac:dyDescent="0.25">
      <c r="A168" s="5">
        <v>2026</v>
      </c>
      <c r="B168" s="5" t="s">
        <v>10</v>
      </c>
      <c r="C168" s="10">
        <v>28510</v>
      </c>
      <c r="D168" s="5">
        <v>13420</v>
      </c>
      <c r="E168" s="4">
        <v>0.32</v>
      </c>
      <c r="F168">
        <v>5000</v>
      </c>
      <c r="G168">
        <v>5140</v>
      </c>
      <c r="H168" s="4">
        <v>1.1499999999999999</v>
      </c>
      <c r="I168" s="4">
        <v>0.88700000000000045</v>
      </c>
      <c r="J168" s="4">
        <v>0.91260000000000063</v>
      </c>
      <c r="K168" s="4">
        <v>0.99</v>
      </c>
      <c r="L168" s="5" t="s">
        <v>19</v>
      </c>
    </row>
    <row r="169" spans="1:12" x14ac:dyDescent="0.25">
      <c r="A169" s="5">
        <v>2026</v>
      </c>
      <c r="B169" s="5" t="s">
        <v>11</v>
      </c>
      <c r="C169" s="10">
        <v>8440</v>
      </c>
      <c r="D169" s="5">
        <v>7190</v>
      </c>
      <c r="E169" s="4">
        <v>0.4</v>
      </c>
      <c r="F169">
        <v>4000</v>
      </c>
      <c r="G169">
        <v>7560</v>
      </c>
      <c r="H169" s="4">
        <v>1.1599999999999999</v>
      </c>
      <c r="I169" s="4">
        <v>1.1950000000000007</v>
      </c>
      <c r="J169" s="4">
        <v>1.1556000000000002</v>
      </c>
      <c r="K169" s="4">
        <v>1</v>
      </c>
      <c r="L169" s="5" t="s">
        <v>19</v>
      </c>
    </row>
    <row r="170" spans="1:12" x14ac:dyDescent="0.25">
      <c r="A170" s="5">
        <v>2027</v>
      </c>
      <c r="B170" s="5" t="s">
        <v>0</v>
      </c>
      <c r="C170" s="10">
        <v>40970</v>
      </c>
      <c r="D170" s="5">
        <v>18410</v>
      </c>
      <c r="E170" s="4">
        <v>0.7</v>
      </c>
      <c r="F170">
        <v>3200</v>
      </c>
      <c r="G170">
        <v>8880</v>
      </c>
      <c r="H170" s="4">
        <v>0.16</v>
      </c>
      <c r="I170" s="4">
        <v>0.14000000000000001</v>
      </c>
      <c r="J170" s="4">
        <v>0.19600000000000001</v>
      </c>
      <c r="K170" s="4">
        <v>0.22</v>
      </c>
      <c r="L170" s="5" t="s">
        <v>19</v>
      </c>
    </row>
    <row r="171" spans="1:12" x14ac:dyDescent="0.25">
      <c r="A171" s="5">
        <v>2027</v>
      </c>
      <c r="B171" s="5" t="s">
        <v>1</v>
      </c>
      <c r="C171" s="10">
        <v>21790</v>
      </c>
      <c r="D171" s="5">
        <v>6510</v>
      </c>
      <c r="E171" s="4">
        <v>0.55000000000000004</v>
      </c>
      <c r="F171">
        <v>4160</v>
      </c>
      <c r="G171">
        <v>8820</v>
      </c>
      <c r="H171" s="4">
        <v>0.27</v>
      </c>
      <c r="I171" s="4">
        <v>0.30499999999999999</v>
      </c>
      <c r="J171" s="4">
        <v>0.3580000000000001</v>
      </c>
      <c r="K171" s="4">
        <v>0.33</v>
      </c>
      <c r="L171" s="5" t="s">
        <v>19</v>
      </c>
    </row>
    <row r="172" spans="1:12" x14ac:dyDescent="0.25">
      <c r="A172" s="5">
        <v>2027</v>
      </c>
      <c r="B172" s="5" t="s">
        <v>2</v>
      </c>
      <c r="C172" s="10">
        <v>27650</v>
      </c>
      <c r="D172" s="5">
        <v>11850</v>
      </c>
      <c r="E172" s="4">
        <v>0.65</v>
      </c>
      <c r="F172">
        <v>6180</v>
      </c>
      <c r="G172">
        <v>7260</v>
      </c>
      <c r="H172" s="4">
        <v>0.38</v>
      </c>
      <c r="I172" s="4">
        <v>0.44300000000000006</v>
      </c>
      <c r="J172" s="4">
        <v>0.49680000000000019</v>
      </c>
      <c r="K172" s="4">
        <v>0.43</v>
      </c>
      <c r="L172" s="5" t="s">
        <v>19</v>
      </c>
    </row>
    <row r="173" spans="1:12" x14ac:dyDescent="0.25">
      <c r="A173" s="5">
        <v>2027</v>
      </c>
      <c r="B173" s="5" t="s">
        <v>3</v>
      </c>
      <c r="C173" s="10">
        <v>63690</v>
      </c>
      <c r="D173" s="5">
        <v>20110</v>
      </c>
      <c r="E173" s="4">
        <v>0.8</v>
      </c>
      <c r="F173">
        <v>7940</v>
      </c>
      <c r="G173">
        <v>7580</v>
      </c>
      <c r="H173" s="4">
        <v>0.48</v>
      </c>
      <c r="I173" s="4">
        <v>0.60700000000000021</v>
      </c>
      <c r="J173" s="4">
        <v>0.64080000000000037</v>
      </c>
      <c r="K173" s="4">
        <v>0.53</v>
      </c>
      <c r="L173" s="5" t="s">
        <v>19</v>
      </c>
    </row>
    <row r="174" spans="1:12" x14ac:dyDescent="0.25">
      <c r="A174" s="5">
        <v>2027</v>
      </c>
      <c r="B174" s="5" t="s">
        <v>4</v>
      </c>
      <c r="C174" s="10">
        <v>14620</v>
      </c>
      <c r="D174" s="5">
        <v>5140</v>
      </c>
      <c r="E174" s="4">
        <v>0.75</v>
      </c>
      <c r="F174">
        <v>8740</v>
      </c>
      <c r="G174">
        <v>6200</v>
      </c>
      <c r="H174" s="4">
        <v>0.57999999999999996</v>
      </c>
      <c r="I174" s="4">
        <v>0.74700000000000033</v>
      </c>
      <c r="J174" s="4">
        <v>0.77760000000000051</v>
      </c>
      <c r="K174" s="4">
        <v>0.63</v>
      </c>
      <c r="L174" s="5" t="s">
        <v>19</v>
      </c>
    </row>
    <row r="175" spans="1:12" x14ac:dyDescent="0.25">
      <c r="A175" s="5">
        <v>2027</v>
      </c>
      <c r="B175" s="5" t="s">
        <v>5</v>
      </c>
      <c r="C175" s="10">
        <v>89420</v>
      </c>
      <c r="D175" s="5">
        <v>33080</v>
      </c>
      <c r="E175" s="4">
        <v>0.55000000000000004</v>
      </c>
      <c r="F175">
        <v>8360</v>
      </c>
      <c r="G175">
        <v>4920</v>
      </c>
      <c r="H175" s="4">
        <v>0.68</v>
      </c>
      <c r="I175" s="4">
        <v>0.85900000000000043</v>
      </c>
      <c r="J175" s="4">
        <v>0.88560000000000061</v>
      </c>
      <c r="K175" s="4">
        <v>0.73</v>
      </c>
      <c r="L175" s="5" t="s">
        <v>19</v>
      </c>
    </row>
    <row r="176" spans="1:12" x14ac:dyDescent="0.25">
      <c r="A176" s="5">
        <v>2027</v>
      </c>
      <c r="B176" s="5" t="s">
        <v>6</v>
      </c>
      <c r="C176" s="10">
        <v>43780</v>
      </c>
      <c r="D176" s="5">
        <v>63000</v>
      </c>
      <c r="E176" s="4">
        <v>0.65</v>
      </c>
      <c r="F176">
        <v>6820</v>
      </c>
      <c r="G176">
        <v>5180</v>
      </c>
      <c r="H176" s="4">
        <v>0.76</v>
      </c>
      <c r="I176" s="4">
        <v>1.1110000000000007</v>
      </c>
      <c r="J176" s="4">
        <v>1.2365999999999999</v>
      </c>
      <c r="K176" s="4">
        <v>0.8</v>
      </c>
      <c r="L176" s="5" t="s">
        <v>19</v>
      </c>
    </row>
    <row r="177" spans="1:12" x14ac:dyDescent="0.25">
      <c r="A177" s="5">
        <v>2027</v>
      </c>
      <c r="B177" s="5" t="s">
        <v>7</v>
      </c>
      <c r="C177" s="10">
        <v>49120</v>
      </c>
      <c r="D177" s="5">
        <v>43560</v>
      </c>
      <c r="E177" s="4">
        <v>0.5</v>
      </c>
      <c r="F177">
        <v>5040</v>
      </c>
      <c r="G177">
        <v>7580</v>
      </c>
      <c r="H177" s="4">
        <v>0.83</v>
      </c>
      <c r="I177" s="4">
        <v>1.1390000000000007</v>
      </c>
      <c r="J177" s="4">
        <v>1.1286000000000003</v>
      </c>
      <c r="K177" s="4">
        <v>0.86</v>
      </c>
      <c r="L177" s="5" t="s">
        <v>19</v>
      </c>
    </row>
    <row r="178" spans="1:12" x14ac:dyDescent="0.25">
      <c r="A178" s="5">
        <v>2027</v>
      </c>
      <c r="B178" s="5" t="s">
        <v>8</v>
      </c>
      <c r="C178" s="10">
        <v>24870</v>
      </c>
      <c r="D178" s="5">
        <v>21190</v>
      </c>
      <c r="E178" s="4">
        <v>0.7</v>
      </c>
      <c r="F178">
        <v>4040</v>
      </c>
      <c r="G178">
        <v>8900</v>
      </c>
      <c r="H178" s="4">
        <v>0.89</v>
      </c>
      <c r="I178" s="4">
        <v>0.16800000000000001</v>
      </c>
      <c r="J178" s="4">
        <v>0.223</v>
      </c>
      <c r="K178" s="4">
        <v>0.92</v>
      </c>
      <c r="L178" s="5" t="s">
        <v>19</v>
      </c>
    </row>
    <row r="179" spans="1:12" x14ac:dyDescent="0.25">
      <c r="A179" s="5">
        <v>2027</v>
      </c>
      <c r="B179" s="5" t="s">
        <v>9</v>
      </c>
      <c r="C179" s="10">
        <v>20980</v>
      </c>
      <c r="D179" s="5">
        <v>10810</v>
      </c>
      <c r="E179" s="4">
        <v>0.55000000000000004</v>
      </c>
      <c r="F179">
        <v>3280</v>
      </c>
      <c r="G179">
        <v>8840</v>
      </c>
      <c r="H179" s="4">
        <v>1.25</v>
      </c>
      <c r="I179" s="4">
        <v>0.33</v>
      </c>
      <c r="J179" s="4">
        <v>0.38500000000000012</v>
      </c>
      <c r="K179" s="4">
        <v>0.97</v>
      </c>
      <c r="L179" s="5" t="s">
        <v>19</v>
      </c>
    </row>
    <row r="180" spans="1:12" x14ac:dyDescent="0.25">
      <c r="A180" s="5">
        <v>2027</v>
      </c>
      <c r="B180" s="5" t="s">
        <v>10</v>
      </c>
      <c r="C180" s="10">
        <v>17930</v>
      </c>
      <c r="D180" s="5">
        <v>9650</v>
      </c>
      <c r="E180" s="4">
        <v>0.2</v>
      </c>
      <c r="F180">
        <v>4240</v>
      </c>
      <c r="G180">
        <v>7300</v>
      </c>
      <c r="H180" s="4">
        <v>1.2</v>
      </c>
      <c r="I180" s="4">
        <v>0.47000000000000008</v>
      </c>
      <c r="J180" s="4">
        <v>0.52560000000000018</v>
      </c>
      <c r="K180" s="4">
        <v>0.99</v>
      </c>
      <c r="L180" s="5" t="s">
        <v>19</v>
      </c>
    </row>
    <row r="181" spans="1:12" x14ac:dyDescent="0.25">
      <c r="A181" s="5">
        <v>2027</v>
      </c>
      <c r="B181" s="5" t="s">
        <v>11</v>
      </c>
      <c r="C181" s="10">
        <v>29710</v>
      </c>
      <c r="D181" s="5">
        <v>39380</v>
      </c>
      <c r="E181" s="4">
        <v>0.4</v>
      </c>
      <c r="F181">
        <v>6260</v>
      </c>
      <c r="G181">
        <v>7620</v>
      </c>
      <c r="H181" s="4">
        <v>1.34</v>
      </c>
      <c r="I181" s="4">
        <v>0.63500000000000023</v>
      </c>
      <c r="J181" s="4">
        <v>0.66960000000000042</v>
      </c>
      <c r="K181" s="4">
        <v>1</v>
      </c>
      <c r="L181" s="5" t="s">
        <v>19</v>
      </c>
    </row>
    <row r="182" spans="1:12" x14ac:dyDescent="0.25">
      <c r="A182" s="5">
        <v>2028</v>
      </c>
      <c r="B182" s="5" t="s">
        <v>0</v>
      </c>
      <c r="C182" s="10">
        <v>20290</v>
      </c>
      <c r="D182" s="5">
        <v>20290</v>
      </c>
      <c r="E182" s="4">
        <v>0.65</v>
      </c>
      <c r="F182">
        <v>7980</v>
      </c>
      <c r="G182">
        <v>6240</v>
      </c>
      <c r="H182" s="4">
        <v>0.17</v>
      </c>
      <c r="I182" s="4">
        <v>0.74700000000000033</v>
      </c>
      <c r="J182" s="4">
        <v>0.80460000000000054</v>
      </c>
      <c r="K182" s="4">
        <v>0.23</v>
      </c>
      <c r="L182" s="5" t="s">
        <v>19</v>
      </c>
    </row>
    <row r="183" spans="1:12" x14ac:dyDescent="0.25">
      <c r="A183" s="5">
        <v>2028</v>
      </c>
      <c r="B183" s="5" t="s">
        <v>1</v>
      </c>
      <c r="C183" s="10">
        <v>53940</v>
      </c>
      <c r="D183" s="5">
        <v>35960</v>
      </c>
      <c r="E183" s="4">
        <v>0.57999999999999996</v>
      </c>
      <c r="F183">
        <v>8800</v>
      </c>
      <c r="G183">
        <v>4960</v>
      </c>
      <c r="H183" s="4">
        <v>0.28000000000000003</v>
      </c>
      <c r="I183" s="4">
        <v>0.85900000000000043</v>
      </c>
      <c r="J183" s="4">
        <v>0.88560000000000061</v>
      </c>
      <c r="K183" s="4">
        <v>0.34</v>
      </c>
      <c r="L183" s="5" t="s">
        <v>19</v>
      </c>
    </row>
    <row r="184" spans="1:12" x14ac:dyDescent="0.25">
      <c r="A184" s="5">
        <v>2028</v>
      </c>
      <c r="B184" s="5" t="s">
        <v>2</v>
      </c>
      <c r="C184" s="10">
        <v>34320</v>
      </c>
      <c r="D184" s="5">
        <v>21040</v>
      </c>
      <c r="E184" s="4">
        <v>0.67</v>
      </c>
      <c r="F184">
        <v>8380</v>
      </c>
      <c r="G184">
        <v>5220</v>
      </c>
      <c r="H184" s="4">
        <v>0.4</v>
      </c>
      <c r="I184" s="4">
        <v>1.1950000000000007</v>
      </c>
      <c r="J184" s="4">
        <v>1.2096</v>
      </c>
      <c r="K184" s="4">
        <v>0.45</v>
      </c>
      <c r="L184" s="5" t="s">
        <v>19</v>
      </c>
    </row>
    <row r="185" spans="1:12" x14ac:dyDescent="0.25">
      <c r="A185" s="5">
        <v>2028</v>
      </c>
      <c r="B185" s="5" t="s">
        <v>3</v>
      </c>
      <c r="C185" s="10">
        <v>17150</v>
      </c>
      <c r="D185" s="5">
        <v>21820</v>
      </c>
      <c r="E185" s="4">
        <v>0.77</v>
      </c>
      <c r="F185">
        <v>6880</v>
      </c>
      <c r="G185">
        <v>7600</v>
      </c>
      <c r="H185" s="4">
        <v>0.5</v>
      </c>
      <c r="I185" s="4">
        <v>1.1390000000000007</v>
      </c>
      <c r="J185" s="4">
        <v>1.2905999999999997</v>
      </c>
      <c r="K185" s="4">
        <v>0.55000000000000004</v>
      </c>
      <c r="L185" s="5" t="s">
        <v>19</v>
      </c>
    </row>
    <row r="186" spans="1:12" x14ac:dyDescent="0.25">
      <c r="A186" s="5">
        <v>2028</v>
      </c>
      <c r="B186" s="5" t="s">
        <v>4</v>
      </c>
      <c r="C186" s="10">
        <v>26060</v>
      </c>
      <c r="D186" s="5">
        <v>21320</v>
      </c>
      <c r="E186" s="4">
        <v>0.72</v>
      </c>
      <c r="F186">
        <v>5100</v>
      </c>
      <c r="G186">
        <v>8920</v>
      </c>
      <c r="H186" s="4">
        <v>0.6</v>
      </c>
      <c r="I186" s="4">
        <v>0.16800000000000001</v>
      </c>
      <c r="J186" s="4">
        <v>0.223</v>
      </c>
      <c r="K186" s="4">
        <v>0.65</v>
      </c>
      <c r="L186" s="5" t="s">
        <v>19</v>
      </c>
    </row>
    <row r="187" spans="1:12" x14ac:dyDescent="0.25">
      <c r="A187" s="5">
        <v>2028</v>
      </c>
      <c r="B187" s="5" t="s">
        <v>5</v>
      </c>
      <c r="C187" s="10">
        <v>32280</v>
      </c>
      <c r="D187" s="5">
        <v>37900</v>
      </c>
      <c r="E187" s="4">
        <v>0.56999999999999995</v>
      </c>
      <c r="F187">
        <v>4100</v>
      </c>
      <c r="G187">
        <v>8860</v>
      </c>
      <c r="H187" s="4">
        <v>0.7</v>
      </c>
      <c r="I187" s="4">
        <v>0.33</v>
      </c>
      <c r="J187" s="4">
        <v>0.41200000000000014</v>
      </c>
      <c r="K187" s="4">
        <v>0.75</v>
      </c>
      <c r="L187" s="5" t="s">
        <v>19</v>
      </c>
    </row>
    <row r="188" spans="1:12" x14ac:dyDescent="0.25">
      <c r="A188" s="5">
        <v>2028</v>
      </c>
      <c r="B188" s="5" t="s">
        <v>6</v>
      </c>
      <c r="C188" s="10">
        <v>33630</v>
      </c>
      <c r="D188" s="5">
        <v>31040</v>
      </c>
      <c r="E188" s="4">
        <v>0.62</v>
      </c>
      <c r="F188">
        <v>3300</v>
      </c>
      <c r="G188">
        <v>7340</v>
      </c>
      <c r="H188" s="4">
        <v>0.78</v>
      </c>
      <c r="I188" s="4">
        <v>0.49700000000000011</v>
      </c>
      <c r="J188" s="4">
        <v>0.55440000000000023</v>
      </c>
      <c r="K188" s="4">
        <v>0.82</v>
      </c>
      <c r="L188" s="5" t="s">
        <v>19</v>
      </c>
    </row>
    <row r="189" spans="1:12" x14ac:dyDescent="0.25">
      <c r="A189" s="5">
        <v>2028</v>
      </c>
      <c r="B189" s="5" t="s">
        <v>7</v>
      </c>
      <c r="C189" s="10">
        <v>54280</v>
      </c>
      <c r="D189" s="5">
        <v>29230</v>
      </c>
      <c r="E189" s="4">
        <v>0.52</v>
      </c>
      <c r="F189">
        <v>4280</v>
      </c>
      <c r="G189">
        <v>7660</v>
      </c>
      <c r="H189" s="4">
        <v>0.85</v>
      </c>
      <c r="I189" s="4">
        <v>0.66300000000000026</v>
      </c>
      <c r="J189" s="4">
        <v>0.69660000000000044</v>
      </c>
      <c r="K189" s="4">
        <v>0.88</v>
      </c>
      <c r="L189" s="5" t="s">
        <v>19</v>
      </c>
    </row>
    <row r="190" spans="1:12" x14ac:dyDescent="0.25">
      <c r="A190" s="5">
        <v>2028</v>
      </c>
      <c r="B190" s="5" t="s">
        <v>8</v>
      </c>
      <c r="C190" s="10">
        <v>15310</v>
      </c>
      <c r="D190" s="5">
        <v>13580</v>
      </c>
      <c r="E190" s="4">
        <v>0.68</v>
      </c>
      <c r="F190">
        <v>6320</v>
      </c>
      <c r="G190">
        <v>6280</v>
      </c>
      <c r="H190" s="4">
        <v>0.91</v>
      </c>
      <c r="I190" s="4">
        <v>0.77500000000000036</v>
      </c>
      <c r="J190" s="4">
        <v>0.83160000000000056</v>
      </c>
      <c r="K190" s="4">
        <v>0.94</v>
      </c>
      <c r="L190" s="5" t="s">
        <v>19</v>
      </c>
    </row>
    <row r="191" spans="1:12" x14ac:dyDescent="0.25">
      <c r="A191" s="5">
        <v>2028</v>
      </c>
      <c r="B191" s="5" t="s">
        <v>9</v>
      </c>
      <c r="C191" s="10">
        <v>63690</v>
      </c>
      <c r="D191" s="5">
        <v>81050</v>
      </c>
      <c r="E191" s="4">
        <v>0.55000000000000004</v>
      </c>
      <c r="F191">
        <v>8060</v>
      </c>
      <c r="G191">
        <v>5000</v>
      </c>
      <c r="H191" s="4">
        <v>1.27</v>
      </c>
      <c r="I191" s="4">
        <v>0.88700000000000045</v>
      </c>
      <c r="J191" s="4">
        <v>0.91260000000000063</v>
      </c>
      <c r="K191" s="4">
        <v>0.98</v>
      </c>
      <c r="L191" s="5" t="s">
        <v>19</v>
      </c>
    </row>
    <row r="192" spans="1:12" x14ac:dyDescent="0.25">
      <c r="A192" s="5">
        <v>2028</v>
      </c>
      <c r="B192" s="5" t="s">
        <v>10</v>
      </c>
      <c r="C192" s="10">
        <v>15940</v>
      </c>
      <c r="D192" s="5">
        <v>7500</v>
      </c>
      <c r="E192" s="4">
        <v>0.32</v>
      </c>
      <c r="F192">
        <v>8840</v>
      </c>
      <c r="G192">
        <v>5260</v>
      </c>
      <c r="H192" s="4">
        <v>1.35</v>
      </c>
      <c r="I192" s="4">
        <v>1.2790000000000008</v>
      </c>
      <c r="J192" s="4">
        <v>1.3445999999999996</v>
      </c>
      <c r="K192" s="4">
        <v>1</v>
      </c>
      <c r="L192" s="5" t="s">
        <v>19</v>
      </c>
    </row>
    <row r="193" spans="1:12" x14ac:dyDescent="0.25">
      <c r="A193" s="5">
        <v>2028</v>
      </c>
      <c r="B193" s="5" t="s">
        <v>11</v>
      </c>
      <c r="C193" s="10">
        <v>42500</v>
      </c>
      <c r="D193" s="5">
        <v>19090</v>
      </c>
      <c r="E193" s="4">
        <v>0.4</v>
      </c>
      <c r="F193">
        <v>8440</v>
      </c>
      <c r="G193">
        <v>7620</v>
      </c>
      <c r="H193" s="4">
        <v>1.29</v>
      </c>
      <c r="I193" s="4">
        <v>1.2510000000000008</v>
      </c>
      <c r="J193" s="4">
        <v>1.3175999999999997</v>
      </c>
      <c r="K193" s="4">
        <v>1</v>
      </c>
      <c r="L193" s="5" t="s">
        <v>19</v>
      </c>
    </row>
    <row r="194" spans="1:12" x14ac:dyDescent="0.25">
      <c r="A194" s="5">
        <v>2025</v>
      </c>
      <c r="B194" s="5" t="s">
        <v>0</v>
      </c>
      <c r="C194" s="10">
        <v>16660</v>
      </c>
      <c r="D194" s="5">
        <v>12070</v>
      </c>
      <c r="E194" s="13">
        <v>0.55000000000000004</v>
      </c>
      <c r="F194">
        <v>6940</v>
      </c>
      <c r="G194">
        <v>8940</v>
      </c>
      <c r="H194" s="4">
        <v>0.15</v>
      </c>
      <c r="I194" s="4">
        <v>0.14000000000000001</v>
      </c>
      <c r="J194" s="4">
        <v>0.19600000000000001</v>
      </c>
      <c r="K194" s="4">
        <v>0.19</v>
      </c>
      <c r="L194" s="5" t="s">
        <v>20</v>
      </c>
    </row>
    <row r="195" spans="1:12" x14ac:dyDescent="0.25">
      <c r="A195" s="5">
        <v>2025</v>
      </c>
      <c r="B195" s="5" t="s">
        <v>1</v>
      </c>
      <c r="C195" s="10">
        <v>26980</v>
      </c>
      <c r="D195" s="5">
        <v>24900</v>
      </c>
      <c r="E195" s="13">
        <v>0.62</v>
      </c>
      <c r="F195">
        <v>5160</v>
      </c>
      <c r="G195">
        <v>8880</v>
      </c>
      <c r="H195" s="4">
        <v>0.23</v>
      </c>
      <c r="I195" s="4">
        <v>0.27800000000000002</v>
      </c>
      <c r="J195" s="4">
        <v>0.33100000000000007</v>
      </c>
      <c r="K195" s="4">
        <v>0.28000000000000003</v>
      </c>
      <c r="L195" s="5" t="s">
        <v>20</v>
      </c>
    </row>
    <row r="196" spans="1:12" x14ac:dyDescent="0.25">
      <c r="A196" s="5">
        <v>2025</v>
      </c>
      <c r="B196" s="5" t="s">
        <v>2</v>
      </c>
      <c r="C196" s="10">
        <v>23400</v>
      </c>
      <c r="D196" s="5">
        <v>26390</v>
      </c>
      <c r="E196" s="13">
        <v>0.78</v>
      </c>
      <c r="F196">
        <v>4140</v>
      </c>
      <c r="G196">
        <v>7380</v>
      </c>
      <c r="H196" s="4">
        <v>0.32</v>
      </c>
      <c r="I196" s="4">
        <v>0.38900000000000001</v>
      </c>
      <c r="J196" s="4">
        <v>0.44000000000000017</v>
      </c>
      <c r="K196" s="4">
        <v>0.36</v>
      </c>
      <c r="L196" s="5" t="s">
        <v>20</v>
      </c>
    </row>
    <row r="197" spans="1:12" x14ac:dyDescent="0.25">
      <c r="A197" s="5">
        <v>2025</v>
      </c>
      <c r="B197" s="5" t="s">
        <v>3</v>
      </c>
      <c r="C197" s="10">
        <v>26250</v>
      </c>
      <c r="D197" s="5">
        <v>25220</v>
      </c>
      <c r="E197" s="13">
        <v>0.59</v>
      </c>
      <c r="F197">
        <v>3340</v>
      </c>
      <c r="G197">
        <v>7700</v>
      </c>
      <c r="H197" s="4">
        <v>0.4</v>
      </c>
      <c r="I197" s="4">
        <v>0.52400000000000013</v>
      </c>
      <c r="J197" s="4">
        <v>0.58320000000000027</v>
      </c>
      <c r="K197" s="4">
        <v>0.44</v>
      </c>
      <c r="L197" s="5" t="s">
        <v>20</v>
      </c>
    </row>
    <row r="198" spans="1:12" x14ac:dyDescent="0.25">
      <c r="A198" s="5">
        <v>2025</v>
      </c>
      <c r="B198" s="5" t="s">
        <v>4</v>
      </c>
      <c r="C198" s="10">
        <v>21360</v>
      </c>
      <c r="D198" s="5">
        <v>18190</v>
      </c>
      <c r="E198" s="13">
        <v>0.68</v>
      </c>
      <c r="F198">
        <v>4360</v>
      </c>
      <c r="G198">
        <v>6320</v>
      </c>
      <c r="H198" s="4">
        <v>0.49</v>
      </c>
      <c r="I198" s="4">
        <v>0.66300000000000026</v>
      </c>
      <c r="J198" s="4">
        <v>0.69660000000000044</v>
      </c>
      <c r="K198" s="4">
        <v>0.53</v>
      </c>
      <c r="L198" s="5" t="s">
        <v>20</v>
      </c>
    </row>
    <row r="199" spans="1:12" x14ac:dyDescent="0.25">
      <c r="A199" s="5">
        <v>2025</v>
      </c>
      <c r="B199" s="5" t="s">
        <v>5</v>
      </c>
      <c r="C199" s="10">
        <v>18150</v>
      </c>
      <c r="D199" s="5">
        <v>16100</v>
      </c>
      <c r="E199" s="13">
        <v>0.6</v>
      </c>
      <c r="F199">
        <v>6360</v>
      </c>
      <c r="G199">
        <v>5040</v>
      </c>
      <c r="H199" s="4">
        <v>0.56999999999999995</v>
      </c>
      <c r="I199" s="4">
        <v>0.77500000000000036</v>
      </c>
      <c r="J199" s="4">
        <v>0.80460000000000054</v>
      </c>
      <c r="K199" s="4">
        <v>0.62</v>
      </c>
      <c r="L199" s="5" t="s">
        <v>20</v>
      </c>
    </row>
    <row r="200" spans="1:12" x14ac:dyDescent="0.25">
      <c r="A200" s="5">
        <v>2025</v>
      </c>
      <c r="B200" s="5" t="s">
        <v>6</v>
      </c>
      <c r="C200" s="10">
        <v>14720</v>
      </c>
      <c r="D200" s="5">
        <v>7920</v>
      </c>
      <c r="E200" s="13">
        <v>0.55000000000000004</v>
      </c>
      <c r="F200">
        <v>8140</v>
      </c>
      <c r="G200">
        <v>5300</v>
      </c>
      <c r="H200" s="4">
        <v>0.66</v>
      </c>
      <c r="I200" s="4">
        <v>0.88700000000000045</v>
      </c>
      <c r="J200" s="4">
        <v>0.91260000000000063</v>
      </c>
      <c r="K200" s="4">
        <v>0.7</v>
      </c>
      <c r="L200" s="5" t="s">
        <v>20</v>
      </c>
    </row>
    <row r="201" spans="1:12" x14ac:dyDescent="0.25">
      <c r="A201" s="5">
        <v>2025</v>
      </c>
      <c r="B201" s="5" t="s">
        <v>7</v>
      </c>
      <c r="C201" s="10">
        <v>9910</v>
      </c>
      <c r="D201" s="5">
        <v>12110</v>
      </c>
      <c r="E201" s="13">
        <v>0.7</v>
      </c>
      <c r="F201">
        <v>8860</v>
      </c>
      <c r="G201">
        <v>7640</v>
      </c>
      <c r="H201" s="4">
        <v>0.74</v>
      </c>
      <c r="I201" s="4">
        <v>1.3350000000000009</v>
      </c>
      <c r="J201" s="4">
        <v>1.1556000000000002</v>
      </c>
      <c r="K201" s="4">
        <v>0.78</v>
      </c>
      <c r="L201" s="5" t="s">
        <v>20</v>
      </c>
    </row>
    <row r="202" spans="1:12" x14ac:dyDescent="0.25">
      <c r="A202" s="5">
        <v>2025</v>
      </c>
      <c r="B202" s="5" t="s">
        <v>8</v>
      </c>
      <c r="C202" s="10">
        <v>10490</v>
      </c>
      <c r="D202" s="5">
        <v>12320</v>
      </c>
      <c r="E202" s="13">
        <v>0.57999999999999996</v>
      </c>
      <c r="F202">
        <v>8460</v>
      </c>
      <c r="G202">
        <v>8960</v>
      </c>
      <c r="H202" s="4">
        <v>0.81</v>
      </c>
      <c r="I202" s="4">
        <v>0.14000000000000001</v>
      </c>
      <c r="J202" s="4">
        <v>0.19600000000000001</v>
      </c>
      <c r="K202" s="4">
        <v>0.85</v>
      </c>
      <c r="L202" s="5" t="s">
        <v>20</v>
      </c>
    </row>
    <row r="203" spans="1:12" x14ac:dyDescent="0.25">
      <c r="A203" s="5">
        <v>2025</v>
      </c>
      <c r="B203" s="5" t="s">
        <v>9</v>
      </c>
      <c r="C203" s="10">
        <v>29350</v>
      </c>
      <c r="D203" s="5">
        <v>24020</v>
      </c>
      <c r="E203" s="13">
        <v>0.68</v>
      </c>
      <c r="F203">
        <v>6980</v>
      </c>
      <c r="G203">
        <v>8900</v>
      </c>
      <c r="H203" s="4">
        <v>0.89</v>
      </c>
      <c r="I203" s="4">
        <v>0.30499999999999999</v>
      </c>
      <c r="J203" s="4">
        <v>0.3580000000000001</v>
      </c>
      <c r="K203" s="4">
        <v>0.92</v>
      </c>
      <c r="L203" s="5" t="s">
        <v>20</v>
      </c>
    </row>
    <row r="204" spans="1:12" x14ac:dyDescent="0.25">
      <c r="A204" s="5">
        <v>2025</v>
      </c>
      <c r="B204" s="5" t="s">
        <v>10</v>
      </c>
      <c r="C204" s="10">
        <v>31550</v>
      </c>
      <c r="D204" s="5">
        <v>11080</v>
      </c>
      <c r="E204" s="13">
        <v>0.67</v>
      </c>
      <c r="F204">
        <v>5180</v>
      </c>
      <c r="G204">
        <v>7420</v>
      </c>
      <c r="H204" s="4">
        <v>1.1000000000000001</v>
      </c>
      <c r="I204" s="4">
        <v>0.44300000000000006</v>
      </c>
      <c r="J204" s="4">
        <v>0.49680000000000019</v>
      </c>
      <c r="K204" s="4">
        <v>0.96</v>
      </c>
      <c r="L204" s="5" t="s">
        <v>20</v>
      </c>
    </row>
    <row r="205" spans="1:12" x14ac:dyDescent="0.25">
      <c r="A205" s="5">
        <v>2025</v>
      </c>
      <c r="B205" s="5" t="s">
        <v>11</v>
      </c>
      <c r="C205" s="10">
        <v>15060</v>
      </c>
      <c r="D205" s="5">
        <v>11360</v>
      </c>
      <c r="E205" s="13">
        <v>0.57999999999999996</v>
      </c>
      <c r="F205">
        <v>4180</v>
      </c>
      <c r="G205">
        <v>7740</v>
      </c>
      <c r="H205" s="4">
        <v>1.2</v>
      </c>
      <c r="I205" s="4">
        <v>0.60700000000000021</v>
      </c>
      <c r="J205" s="4">
        <v>0.64080000000000037</v>
      </c>
      <c r="K205" s="4">
        <v>1</v>
      </c>
      <c r="L205" s="5" t="s">
        <v>20</v>
      </c>
    </row>
    <row r="206" spans="1:12" x14ac:dyDescent="0.25">
      <c r="A206" s="5">
        <v>2026</v>
      </c>
      <c r="B206" s="5" t="s">
        <v>0</v>
      </c>
      <c r="C206" s="10">
        <v>12430</v>
      </c>
      <c r="D206" s="5">
        <v>4600</v>
      </c>
      <c r="E206" s="13">
        <v>0.4</v>
      </c>
      <c r="F206">
        <v>3380</v>
      </c>
      <c r="G206">
        <v>6360</v>
      </c>
      <c r="H206" s="4">
        <v>0.15</v>
      </c>
      <c r="I206" s="4">
        <v>0.74700000000000033</v>
      </c>
      <c r="J206" s="4">
        <v>0.77760000000000051</v>
      </c>
      <c r="K206" s="4">
        <v>0.2</v>
      </c>
      <c r="L206" s="5" t="s">
        <v>20</v>
      </c>
    </row>
    <row r="207" spans="1:12" x14ac:dyDescent="0.25">
      <c r="A207" s="5">
        <v>2026</v>
      </c>
      <c r="B207" s="5" t="s">
        <v>1</v>
      </c>
      <c r="C207" s="10">
        <v>9820</v>
      </c>
      <c r="D207" s="5">
        <v>13570</v>
      </c>
      <c r="E207" s="13">
        <v>0.7</v>
      </c>
      <c r="F207">
        <v>4440</v>
      </c>
      <c r="G207">
        <v>5080</v>
      </c>
      <c r="H207" s="4">
        <v>0.25</v>
      </c>
      <c r="I207" s="4">
        <v>0.85900000000000043</v>
      </c>
      <c r="J207" s="4">
        <v>0.88560000000000061</v>
      </c>
      <c r="K207" s="4">
        <v>0.3</v>
      </c>
      <c r="L207" s="5" t="s">
        <v>20</v>
      </c>
    </row>
    <row r="208" spans="1:12" x14ac:dyDescent="0.25">
      <c r="A208" s="5">
        <v>2026</v>
      </c>
      <c r="B208" s="5" t="s">
        <v>2</v>
      </c>
      <c r="C208" s="10">
        <v>12920</v>
      </c>
      <c r="D208" s="5">
        <v>5810</v>
      </c>
      <c r="E208" s="13">
        <v>0.62</v>
      </c>
      <c r="F208">
        <v>6400</v>
      </c>
      <c r="G208">
        <v>5340</v>
      </c>
      <c r="H208" s="4">
        <v>0.35</v>
      </c>
      <c r="I208" s="4">
        <v>1.3350000000000009</v>
      </c>
      <c r="J208" s="4">
        <v>1.1016000000000004</v>
      </c>
      <c r="K208" s="4">
        <v>0.4</v>
      </c>
      <c r="L208" s="5" t="s">
        <v>20</v>
      </c>
    </row>
    <row r="209" spans="1:12" x14ac:dyDescent="0.25">
      <c r="A209" s="5">
        <v>2026</v>
      </c>
      <c r="B209" s="5" t="s">
        <v>3</v>
      </c>
      <c r="C209" s="10">
        <v>7240</v>
      </c>
      <c r="D209" s="5">
        <v>6950</v>
      </c>
      <c r="E209" s="13">
        <v>0.56999999999999995</v>
      </c>
      <c r="F209">
        <v>8180</v>
      </c>
      <c r="G209">
        <v>7660</v>
      </c>
      <c r="H209" s="4">
        <v>0.45</v>
      </c>
      <c r="I209" s="4">
        <v>1.3350000000000009</v>
      </c>
      <c r="J209" s="4">
        <v>1.2905999999999997</v>
      </c>
      <c r="K209" s="4">
        <v>0.5</v>
      </c>
      <c r="L209" s="5" t="s">
        <v>20</v>
      </c>
    </row>
    <row r="210" spans="1:12" x14ac:dyDescent="0.25">
      <c r="A210" s="5">
        <v>2026</v>
      </c>
      <c r="B210" s="5" t="s">
        <v>4</v>
      </c>
      <c r="C210" s="10">
        <v>24730</v>
      </c>
      <c r="D210" s="5">
        <v>21930</v>
      </c>
      <c r="E210" s="13">
        <v>0.7</v>
      </c>
      <c r="F210">
        <v>8920</v>
      </c>
      <c r="G210">
        <v>8980</v>
      </c>
      <c r="H210" s="4">
        <v>0.55000000000000004</v>
      </c>
      <c r="I210" s="4">
        <v>0.16800000000000001</v>
      </c>
      <c r="J210" s="4">
        <v>0.223</v>
      </c>
      <c r="K210" s="4">
        <v>0.6</v>
      </c>
      <c r="L210" s="5" t="s">
        <v>20</v>
      </c>
    </row>
    <row r="211" spans="1:12" x14ac:dyDescent="0.25">
      <c r="A211" s="5">
        <v>2026</v>
      </c>
      <c r="B211" s="5" t="s">
        <v>5</v>
      </c>
      <c r="C211" s="10">
        <v>17950</v>
      </c>
      <c r="D211" s="5">
        <v>11000</v>
      </c>
      <c r="E211" s="13">
        <v>0.65</v>
      </c>
      <c r="F211">
        <v>8500</v>
      </c>
      <c r="G211">
        <v>8920</v>
      </c>
      <c r="H211" s="4">
        <v>0.65</v>
      </c>
      <c r="I211" s="4">
        <v>0.33</v>
      </c>
      <c r="J211" s="4">
        <v>0.38500000000000012</v>
      </c>
      <c r="K211" s="4">
        <v>0.7</v>
      </c>
      <c r="L211" s="5" t="s">
        <v>20</v>
      </c>
    </row>
    <row r="212" spans="1:12" x14ac:dyDescent="0.25">
      <c r="A212" s="5">
        <v>2026</v>
      </c>
      <c r="B212" s="5" t="s">
        <v>6</v>
      </c>
      <c r="C212" s="10">
        <v>34600</v>
      </c>
      <c r="D212" s="5">
        <v>13460</v>
      </c>
      <c r="E212" s="13">
        <v>0.67</v>
      </c>
      <c r="F212">
        <v>7040</v>
      </c>
      <c r="G212">
        <v>7460</v>
      </c>
      <c r="H212" s="4">
        <v>0.74</v>
      </c>
      <c r="I212" s="4">
        <v>0.47000000000000008</v>
      </c>
      <c r="J212" s="4">
        <v>0.52560000000000018</v>
      </c>
      <c r="K212" s="4">
        <v>0.78</v>
      </c>
      <c r="L212" s="5" t="s">
        <v>20</v>
      </c>
    </row>
    <row r="213" spans="1:12" x14ac:dyDescent="0.25">
      <c r="A213" s="5">
        <v>2026</v>
      </c>
      <c r="B213" s="5" t="s">
        <v>7</v>
      </c>
      <c r="C213" s="10">
        <v>18780</v>
      </c>
      <c r="D213" s="5">
        <v>7670</v>
      </c>
      <c r="E213" s="13">
        <v>0.78</v>
      </c>
      <c r="F213">
        <v>5240</v>
      </c>
      <c r="G213">
        <v>7780</v>
      </c>
      <c r="H213" s="4">
        <v>0.82</v>
      </c>
      <c r="I213" s="4">
        <v>0.63500000000000023</v>
      </c>
      <c r="J213" s="4">
        <v>0.66960000000000042</v>
      </c>
      <c r="K213" s="4">
        <v>0.85</v>
      </c>
      <c r="L213" s="5" t="s">
        <v>20</v>
      </c>
    </row>
    <row r="214" spans="1:12" x14ac:dyDescent="0.25">
      <c r="A214" s="5">
        <v>2026</v>
      </c>
      <c r="B214" s="5" t="s">
        <v>8</v>
      </c>
      <c r="C214" s="10">
        <v>49210</v>
      </c>
      <c r="D214" s="5">
        <v>17290</v>
      </c>
      <c r="E214" s="13">
        <v>0.71</v>
      </c>
      <c r="F214">
        <v>4220</v>
      </c>
      <c r="G214">
        <v>6400</v>
      </c>
      <c r="H214" s="4">
        <v>0.88</v>
      </c>
      <c r="I214" s="4">
        <v>0.74700000000000033</v>
      </c>
      <c r="J214" s="4">
        <v>0.80460000000000054</v>
      </c>
      <c r="K214" s="4">
        <v>0.91</v>
      </c>
      <c r="L214" s="5" t="s">
        <v>20</v>
      </c>
    </row>
    <row r="215" spans="1:12" x14ac:dyDescent="0.25">
      <c r="A215" s="5">
        <v>2026</v>
      </c>
      <c r="B215" s="5" t="s">
        <v>9</v>
      </c>
      <c r="C215" s="10">
        <v>14140</v>
      </c>
      <c r="D215" s="5">
        <v>10240</v>
      </c>
      <c r="E215" s="13">
        <v>0.68</v>
      </c>
      <c r="F215">
        <v>3420</v>
      </c>
      <c r="G215">
        <v>5120</v>
      </c>
      <c r="H215" s="4">
        <v>1.1399999999999999</v>
      </c>
      <c r="I215" s="4">
        <v>0.85900000000000043</v>
      </c>
      <c r="J215" s="4">
        <v>0.88560000000000061</v>
      </c>
      <c r="K215" s="4">
        <v>0.96</v>
      </c>
      <c r="L215" s="5" t="s">
        <v>20</v>
      </c>
    </row>
    <row r="216" spans="1:12" x14ac:dyDescent="0.25">
      <c r="A216" s="5">
        <v>2026</v>
      </c>
      <c r="B216" s="5" t="s">
        <v>10</v>
      </c>
      <c r="C216" s="10">
        <v>9980</v>
      </c>
      <c r="D216" s="5">
        <v>9590</v>
      </c>
      <c r="E216" s="13">
        <v>0.4</v>
      </c>
      <c r="F216">
        <v>4500</v>
      </c>
      <c r="G216">
        <v>5380</v>
      </c>
      <c r="H216" s="4">
        <v>1.22</v>
      </c>
      <c r="I216" s="4">
        <v>1.1390000000000007</v>
      </c>
      <c r="J216" s="4">
        <v>1.2096</v>
      </c>
      <c r="K216" s="4">
        <v>0.99</v>
      </c>
      <c r="L216" s="5" t="s">
        <v>20</v>
      </c>
    </row>
    <row r="217" spans="1:12" x14ac:dyDescent="0.25">
      <c r="A217" s="5">
        <v>2026</v>
      </c>
      <c r="B217" s="5" t="s">
        <v>11</v>
      </c>
      <c r="C217" s="10">
        <v>8180</v>
      </c>
      <c r="D217" s="5">
        <v>8870</v>
      </c>
      <c r="E217" s="13">
        <v>0.73</v>
      </c>
      <c r="F217">
        <v>6440</v>
      </c>
      <c r="G217">
        <v>7680</v>
      </c>
      <c r="H217" s="4">
        <v>1.33</v>
      </c>
      <c r="I217" s="4">
        <v>1.1670000000000007</v>
      </c>
      <c r="J217" s="4">
        <v>1.2905999999999997</v>
      </c>
      <c r="K217" s="4">
        <v>1</v>
      </c>
      <c r="L217" s="5" t="s">
        <v>20</v>
      </c>
    </row>
    <row r="218" spans="1:12" x14ac:dyDescent="0.25">
      <c r="A218" s="5">
        <v>2027</v>
      </c>
      <c r="B218" s="5" t="s">
        <v>0</v>
      </c>
      <c r="C218" s="10">
        <v>12540</v>
      </c>
      <c r="D218" s="5">
        <v>13590</v>
      </c>
      <c r="E218" s="13">
        <v>0.71</v>
      </c>
      <c r="F218">
        <v>8260</v>
      </c>
      <c r="G218">
        <v>9000</v>
      </c>
      <c r="H218" s="4">
        <v>0.16</v>
      </c>
      <c r="I218" s="4">
        <v>0.16800000000000001</v>
      </c>
      <c r="J218" s="4">
        <v>0.223</v>
      </c>
      <c r="K218" s="4">
        <v>0.22</v>
      </c>
      <c r="L218" s="5" t="s">
        <v>20</v>
      </c>
    </row>
    <row r="219" spans="1:12" x14ac:dyDescent="0.25">
      <c r="A219" s="5">
        <v>2027</v>
      </c>
      <c r="B219" s="5" t="s">
        <v>1</v>
      </c>
      <c r="C219" s="10">
        <v>15340</v>
      </c>
      <c r="D219" s="5">
        <v>9810</v>
      </c>
      <c r="E219" s="13">
        <v>0.63</v>
      </c>
      <c r="F219">
        <v>8960</v>
      </c>
      <c r="G219">
        <v>8940</v>
      </c>
      <c r="H219" s="4">
        <v>0.27</v>
      </c>
      <c r="I219" s="4">
        <v>0.33</v>
      </c>
      <c r="J219" s="4">
        <v>0.41200000000000014</v>
      </c>
      <c r="K219" s="4">
        <v>0.33</v>
      </c>
      <c r="L219" s="5" t="s">
        <v>20</v>
      </c>
    </row>
    <row r="220" spans="1:12" x14ac:dyDescent="0.25">
      <c r="A220" s="5">
        <v>2027</v>
      </c>
      <c r="B220" s="5" t="s">
        <v>2</v>
      </c>
      <c r="C220" s="10">
        <v>44180</v>
      </c>
      <c r="D220" s="5">
        <v>28250</v>
      </c>
      <c r="E220" s="13">
        <v>0.35</v>
      </c>
      <c r="F220">
        <v>8560</v>
      </c>
      <c r="G220">
        <v>7500</v>
      </c>
      <c r="H220" s="4">
        <v>0.38</v>
      </c>
      <c r="I220" s="4">
        <v>0.49700000000000011</v>
      </c>
      <c r="J220" s="4">
        <v>0.55440000000000023</v>
      </c>
      <c r="K220" s="4">
        <v>0.43</v>
      </c>
      <c r="L220" s="5" t="s">
        <v>20</v>
      </c>
    </row>
    <row r="221" spans="1:12" x14ac:dyDescent="0.25">
      <c r="A221" s="5">
        <v>2027</v>
      </c>
      <c r="B221" s="5" t="s">
        <v>3</v>
      </c>
      <c r="C221" s="10">
        <v>9520</v>
      </c>
      <c r="D221" s="5">
        <v>9530</v>
      </c>
      <c r="E221" s="13">
        <v>0.72</v>
      </c>
      <c r="F221">
        <v>7100</v>
      </c>
      <c r="G221">
        <v>7820</v>
      </c>
      <c r="H221" s="4">
        <v>0.48</v>
      </c>
      <c r="I221" s="4">
        <v>0.66300000000000026</v>
      </c>
      <c r="J221" s="4">
        <v>0.69660000000000044</v>
      </c>
      <c r="K221" s="4">
        <v>0.53</v>
      </c>
      <c r="L221" s="5" t="s">
        <v>20</v>
      </c>
    </row>
    <row r="222" spans="1:12" x14ac:dyDescent="0.25">
      <c r="A222" s="5">
        <v>2027</v>
      </c>
      <c r="B222" s="5" t="s">
        <v>4</v>
      </c>
      <c r="C222" s="10">
        <v>51730</v>
      </c>
      <c r="D222" s="5">
        <v>15450</v>
      </c>
      <c r="E222" s="13">
        <v>0.68</v>
      </c>
      <c r="F222">
        <v>5300</v>
      </c>
      <c r="G222">
        <v>6440</v>
      </c>
      <c r="H222" s="4">
        <v>0.57999999999999996</v>
      </c>
      <c r="I222" s="4">
        <v>0.77500000000000036</v>
      </c>
      <c r="J222" s="4">
        <v>0.83160000000000056</v>
      </c>
      <c r="K222" s="4">
        <v>0.63</v>
      </c>
      <c r="L222" s="5" t="s">
        <v>20</v>
      </c>
    </row>
    <row r="223" spans="1:12" x14ac:dyDescent="0.25">
      <c r="A223" s="5">
        <v>2027</v>
      </c>
      <c r="B223" s="5" t="s">
        <v>5</v>
      </c>
      <c r="C223" s="10">
        <v>44160</v>
      </c>
      <c r="D223" s="5">
        <v>28230</v>
      </c>
      <c r="E223" s="13">
        <v>0.57999999999999996</v>
      </c>
      <c r="F223">
        <v>4260</v>
      </c>
      <c r="G223">
        <v>5160</v>
      </c>
      <c r="H223" s="4">
        <v>0.68</v>
      </c>
      <c r="I223" s="4">
        <v>0.88700000000000045</v>
      </c>
      <c r="J223" s="4">
        <v>0.91260000000000063</v>
      </c>
      <c r="K223" s="4">
        <v>0.73</v>
      </c>
      <c r="L223" s="5" t="s">
        <v>20</v>
      </c>
    </row>
    <row r="224" spans="1:12" x14ac:dyDescent="0.25">
      <c r="A224" s="5">
        <v>2027</v>
      </c>
      <c r="B224" s="5" t="s">
        <v>6</v>
      </c>
      <c r="C224" s="10">
        <v>16710</v>
      </c>
      <c r="D224" s="5">
        <v>20430</v>
      </c>
      <c r="E224" s="13">
        <v>0.72</v>
      </c>
      <c r="F224">
        <v>3460</v>
      </c>
      <c r="G224">
        <v>5420</v>
      </c>
      <c r="H224" s="4">
        <v>0.76</v>
      </c>
      <c r="I224" s="4">
        <v>1.1670000000000007</v>
      </c>
      <c r="J224" s="4">
        <v>1.2096</v>
      </c>
      <c r="K224" s="4">
        <v>0.8</v>
      </c>
      <c r="L224" s="5" t="s">
        <v>20</v>
      </c>
    </row>
    <row r="225" spans="1:12" x14ac:dyDescent="0.25">
      <c r="A225" s="5">
        <v>2027</v>
      </c>
      <c r="B225" s="5" t="s">
        <v>7</v>
      </c>
      <c r="C225" s="10">
        <v>63170</v>
      </c>
      <c r="D225" s="5">
        <v>25800</v>
      </c>
      <c r="E225" s="13">
        <v>0.67</v>
      </c>
      <c r="F225">
        <v>4560</v>
      </c>
      <c r="G225">
        <v>7700</v>
      </c>
      <c r="H225" s="4">
        <v>0.83</v>
      </c>
      <c r="I225" s="4">
        <v>1.3350000000000009</v>
      </c>
      <c r="J225" s="4">
        <v>1.1826000000000001</v>
      </c>
      <c r="K225" s="4">
        <v>0.86</v>
      </c>
      <c r="L225" s="5" t="s">
        <v>20</v>
      </c>
    </row>
    <row r="226" spans="1:12" x14ac:dyDescent="0.25">
      <c r="A226" s="5">
        <v>2027</v>
      </c>
      <c r="B226" s="5" t="s">
        <v>8</v>
      </c>
      <c r="C226" s="10">
        <v>34550</v>
      </c>
      <c r="D226" s="5">
        <v>33190</v>
      </c>
      <c r="E226" s="13">
        <v>0.59</v>
      </c>
      <c r="F226">
        <v>6480</v>
      </c>
      <c r="G226">
        <v>9020</v>
      </c>
      <c r="H226" s="4">
        <v>0.89</v>
      </c>
      <c r="I226" s="4">
        <v>0.14000000000000001</v>
      </c>
      <c r="J226" s="4">
        <v>0.19600000000000001</v>
      </c>
      <c r="K226" s="4">
        <v>0.92</v>
      </c>
      <c r="L226" s="5" t="s">
        <v>20</v>
      </c>
    </row>
    <row r="227" spans="1:12" x14ac:dyDescent="0.25">
      <c r="A227" s="5">
        <v>2027</v>
      </c>
      <c r="B227" s="5" t="s">
        <v>9</v>
      </c>
      <c r="C227" s="10">
        <v>35600</v>
      </c>
      <c r="D227" s="5">
        <v>15260</v>
      </c>
      <c r="E227" s="13">
        <v>0.55000000000000004</v>
      </c>
      <c r="F227">
        <v>8320</v>
      </c>
      <c r="G227">
        <v>8960</v>
      </c>
      <c r="H227" s="4">
        <v>1.23</v>
      </c>
      <c r="I227" s="4">
        <v>0.27800000000000002</v>
      </c>
      <c r="J227" s="4">
        <v>0.33100000000000007</v>
      </c>
      <c r="K227" s="4">
        <v>0.97</v>
      </c>
      <c r="L227" s="5" t="s">
        <v>20</v>
      </c>
    </row>
    <row r="228" spans="1:12" x14ac:dyDescent="0.25">
      <c r="A228" s="5">
        <v>2027</v>
      </c>
      <c r="B228" s="5" t="s">
        <v>10</v>
      </c>
      <c r="C228" s="10">
        <v>13650</v>
      </c>
      <c r="D228" s="5">
        <v>16690</v>
      </c>
      <c r="E228" s="13">
        <v>0.65</v>
      </c>
      <c r="F228">
        <v>9000</v>
      </c>
      <c r="G228">
        <v>7540</v>
      </c>
      <c r="H228" s="4">
        <v>1.1000000000000001</v>
      </c>
      <c r="I228" s="4">
        <v>0.38900000000000001</v>
      </c>
      <c r="J228" s="4">
        <v>0.44000000000000017</v>
      </c>
      <c r="K228" s="4">
        <v>0.99</v>
      </c>
      <c r="L228" s="5" t="s">
        <v>20</v>
      </c>
    </row>
    <row r="229" spans="1:12" x14ac:dyDescent="0.25">
      <c r="A229" s="5">
        <v>2027</v>
      </c>
      <c r="B229" s="5" t="s">
        <v>11</v>
      </c>
      <c r="C229" s="10">
        <v>11190</v>
      </c>
      <c r="D229" s="5">
        <v>13680</v>
      </c>
      <c r="E229" s="13">
        <v>0.7</v>
      </c>
      <c r="F229">
        <v>8600</v>
      </c>
      <c r="G229">
        <v>7860</v>
      </c>
      <c r="H229" s="4">
        <v>1.1000000000000001</v>
      </c>
      <c r="I229" s="4">
        <v>0.52400000000000013</v>
      </c>
      <c r="J229" s="4">
        <v>0.58320000000000027</v>
      </c>
      <c r="K229" s="4">
        <v>1</v>
      </c>
      <c r="L229" s="5" t="s">
        <v>20</v>
      </c>
    </row>
    <row r="230" spans="1:12" x14ac:dyDescent="0.25">
      <c r="A230" s="5">
        <v>2028</v>
      </c>
      <c r="B230" s="5" t="s">
        <v>0</v>
      </c>
      <c r="C230" s="10">
        <v>22000</v>
      </c>
      <c r="D230" s="5">
        <v>9890</v>
      </c>
      <c r="E230" s="13">
        <v>0.62</v>
      </c>
      <c r="F230">
        <v>7140</v>
      </c>
      <c r="G230">
        <v>6480</v>
      </c>
      <c r="H230" s="4">
        <v>0.17</v>
      </c>
      <c r="I230" s="4">
        <v>0.66300000000000026</v>
      </c>
      <c r="J230" s="4">
        <v>0.69660000000000044</v>
      </c>
      <c r="K230" s="4">
        <v>0.23</v>
      </c>
      <c r="L230" s="5" t="s">
        <v>20</v>
      </c>
    </row>
    <row r="231" spans="1:12" x14ac:dyDescent="0.25">
      <c r="A231" s="5">
        <v>2028</v>
      </c>
      <c r="B231" s="5" t="s">
        <v>1</v>
      </c>
      <c r="C231" s="10">
        <v>16540</v>
      </c>
      <c r="D231" s="5">
        <v>19420</v>
      </c>
      <c r="E231" s="13">
        <v>0.52</v>
      </c>
      <c r="F231">
        <v>5340</v>
      </c>
      <c r="G231">
        <v>5200</v>
      </c>
      <c r="H231" s="4">
        <v>0.28000000000000003</v>
      </c>
      <c r="I231" s="4">
        <v>0.77500000000000036</v>
      </c>
      <c r="J231" s="4">
        <v>0.80460000000000054</v>
      </c>
      <c r="K231" s="4">
        <v>0.34</v>
      </c>
      <c r="L231" s="5" t="s">
        <v>20</v>
      </c>
    </row>
    <row r="232" spans="1:12" x14ac:dyDescent="0.25">
      <c r="A232" s="5">
        <v>2028</v>
      </c>
      <c r="B232" s="5" t="s">
        <v>2</v>
      </c>
      <c r="C232" s="10">
        <v>78490</v>
      </c>
      <c r="D232" s="5">
        <v>56840</v>
      </c>
      <c r="E232" s="13">
        <v>0.6</v>
      </c>
      <c r="F232">
        <v>4300</v>
      </c>
      <c r="G232">
        <v>5460</v>
      </c>
      <c r="H232" s="4">
        <v>0.4</v>
      </c>
      <c r="I232" s="4">
        <v>0.88700000000000045</v>
      </c>
      <c r="J232" s="4">
        <v>0.91260000000000063</v>
      </c>
      <c r="K232" s="4">
        <v>0.45</v>
      </c>
      <c r="L232" s="5" t="s">
        <v>20</v>
      </c>
    </row>
    <row r="233" spans="1:12" x14ac:dyDescent="0.25">
      <c r="A233" s="5">
        <v>2028</v>
      </c>
      <c r="B233" s="5" t="s">
        <v>3</v>
      </c>
      <c r="C233" s="10">
        <v>100200</v>
      </c>
      <c r="D233" s="5">
        <v>38970</v>
      </c>
      <c r="E233" s="13">
        <v>0.69</v>
      </c>
      <c r="F233">
        <v>3500</v>
      </c>
      <c r="G233">
        <v>7720</v>
      </c>
      <c r="H233" s="4">
        <v>0.5</v>
      </c>
      <c r="I233" s="4">
        <v>1.1390000000000007</v>
      </c>
      <c r="J233" s="4">
        <v>1.2365999999999999</v>
      </c>
      <c r="K233" s="4">
        <v>0.55000000000000004</v>
      </c>
      <c r="L233" s="5" t="s">
        <v>20</v>
      </c>
    </row>
    <row r="234" spans="1:12" x14ac:dyDescent="0.25">
      <c r="A234" s="5">
        <v>2028</v>
      </c>
      <c r="B234" s="5" t="s">
        <v>4</v>
      </c>
      <c r="C234" s="10">
        <v>37910</v>
      </c>
      <c r="D234" s="5">
        <v>31010</v>
      </c>
      <c r="E234" s="13">
        <v>0.8</v>
      </c>
      <c r="F234">
        <v>20789</v>
      </c>
      <c r="G234">
        <v>9040</v>
      </c>
      <c r="H234" s="4">
        <v>0.6</v>
      </c>
      <c r="I234" s="4">
        <v>0.14000000000000001</v>
      </c>
      <c r="J234" s="4">
        <v>0.19600000000000001</v>
      </c>
      <c r="K234" s="4">
        <v>0.65</v>
      </c>
      <c r="L234" s="5" t="s">
        <v>20</v>
      </c>
    </row>
    <row r="235" spans="1:12" x14ac:dyDescent="0.25">
      <c r="A235" s="5">
        <v>2028</v>
      </c>
      <c r="B235" s="5" t="s">
        <v>5</v>
      </c>
      <c r="C235" s="10">
        <v>59180</v>
      </c>
      <c r="D235" s="5">
        <v>17680</v>
      </c>
      <c r="E235" s="13">
        <v>0.4</v>
      </c>
      <c r="F235">
        <v>21123</v>
      </c>
      <c r="G235">
        <v>8980</v>
      </c>
      <c r="H235" s="4">
        <v>0.7</v>
      </c>
      <c r="I235" s="4">
        <v>0.30499999999999999</v>
      </c>
      <c r="J235" s="4">
        <v>0.3580000000000001</v>
      </c>
      <c r="K235" s="4">
        <v>0.75</v>
      </c>
      <c r="L235" s="5" t="s">
        <v>20</v>
      </c>
    </row>
    <row r="236" spans="1:12" x14ac:dyDescent="0.25">
      <c r="A236" s="5">
        <v>2028</v>
      </c>
      <c r="B236" s="5" t="s">
        <v>6</v>
      </c>
      <c r="C236" s="10">
        <v>23570</v>
      </c>
      <c r="D236" s="5">
        <v>33910</v>
      </c>
      <c r="E236" s="13">
        <v>0.63</v>
      </c>
      <c r="F236">
        <v>21345</v>
      </c>
      <c r="G236">
        <v>7580</v>
      </c>
      <c r="H236" s="4">
        <v>0.78</v>
      </c>
      <c r="I236" s="4">
        <v>0.44300000000000006</v>
      </c>
      <c r="J236" s="4">
        <v>0.49680000000000019</v>
      </c>
      <c r="K236" s="4">
        <v>0.82</v>
      </c>
      <c r="L236" s="5" t="s">
        <v>20</v>
      </c>
    </row>
    <row r="237" spans="1:12" x14ac:dyDescent="0.25">
      <c r="A237" s="5">
        <v>2028</v>
      </c>
      <c r="B237" s="5" t="s">
        <v>7</v>
      </c>
      <c r="C237" s="10">
        <v>47600</v>
      </c>
      <c r="D237" s="5">
        <v>35910</v>
      </c>
      <c r="E237" s="13">
        <v>0.68</v>
      </c>
      <c r="F237">
        <v>21123</v>
      </c>
      <c r="G237">
        <v>7900</v>
      </c>
      <c r="H237" s="4">
        <v>0.85</v>
      </c>
      <c r="I237" s="4">
        <v>0.60700000000000021</v>
      </c>
      <c r="J237" s="4">
        <v>0.64080000000000037</v>
      </c>
      <c r="K237" s="4">
        <v>0.88</v>
      </c>
      <c r="L237" s="5" t="s">
        <v>20</v>
      </c>
    </row>
    <row r="238" spans="1:12" x14ac:dyDescent="0.25">
      <c r="A238" s="5">
        <v>2028</v>
      </c>
      <c r="B238" s="5" t="s">
        <v>8</v>
      </c>
      <c r="C238" s="10">
        <v>77440</v>
      </c>
      <c r="D238" s="5">
        <v>38140</v>
      </c>
      <c r="E238" s="13">
        <v>0.61</v>
      </c>
      <c r="F238">
        <v>20901</v>
      </c>
      <c r="G238">
        <v>6520</v>
      </c>
      <c r="H238" s="4">
        <v>0.91</v>
      </c>
      <c r="I238" s="4">
        <v>0.74700000000000033</v>
      </c>
      <c r="J238" s="4">
        <v>0.77760000000000051</v>
      </c>
      <c r="K238" s="4">
        <v>0.94</v>
      </c>
      <c r="L238" s="5" t="s">
        <v>20</v>
      </c>
    </row>
    <row r="239" spans="1:12" x14ac:dyDescent="0.25">
      <c r="A239" s="5">
        <v>2028</v>
      </c>
      <c r="B239" s="5" t="s">
        <v>9</v>
      </c>
      <c r="C239" s="10">
        <v>37520</v>
      </c>
      <c r="D239" s="5">
        <v>14590</v>
      </c>
      <c r="E239" s="13">
        <v>0.75</v>
      </c>
      <c r="F239">
        <v>21234</v>
      </c>
      <c r="G239">
        <v>5240</v>
      </c>
      <c r="H239" s="4">
        <v>1.1399999999999999</v>
      </c>
      <c r="I239" s="4">
        <v>0.85900000000000043</v>
      </c>
      <c r="J239" s="4">
        <v>0.88560000000000061</v>
      </c>
      <c r="K239" s="4">
        <v>0.98</v>
      </c>
      <c r="L239" s="5" t="s">
        <v>20</v>
      </c>
    </row>
    <row r="240" spans="1:12" x14ac:dyDescent="0.25">
      <c r="A240" s="5">
        <v>2028</v>
      </c>
      <c r="B240" s="5" t="s">
        <v>10</v>
      </c>
      <c r="C240" s="10">
        <v>47820</v>
      </c>
      <c r="D240" s="5">
        <v>45950</v>
      </c>
      <c r="E240" s="13">
        <v>0.55000000000000004</v>
      </c>
      <c r="F240">
        <v>21567</v>
      </c>
      <c r="G240">
        <v>5500</v>
      </c>
      <c r="H240" s="4">
        <v>1.1299999999999999</v>
      </c>
      <c r="I240" s="4">
        <v>1.3350000000000009</v>
      </c>
      <c r="J240" s="4">
        <v>1.2365999999999999</v>
      </c>
      <c r="K240" s="4">
        <v>1</v>
      </c>
      <c r="L240" s="5" t="s">
        <v>20</v>
      </c>
    </row>
    <row r="241" spans="1:12" x14ac:dyDescent="0.25">
      <c r="A241" s="5">
        <v>2028</v>
      </c>
      <c r="B241" s="5" t="s">
        <v>11</v>
      </c>
      <c r="C241" s="10">
        <v>29080</v>
      </c>
      <c r="D241" s="5">
        <v>13070</v>
      </c>
      <c r="E241" s="13">
        <v>0.65</v>
      </c>
      <c r="F241">
        <v>21456</v>
      </c>
      <c r="G241">
        <v>7740</v>
      </c>
      <c r="H241" s="4">
        <v>1.29</v>
      </c>
      <c r="I241" s="4">
        <v>1.3350000000000009</v>
      </c>
      <c r="J241" s="4">
        <v>1.1826000000000001</v>
      </c>
      <c r="K241" s="4">
        <v>1</v>
      </c>
      <c r="L241" s="5" t="s">
        <v>20</v>
      </c>
    </row>
    <row r="242" spans="1:12" x14ac:dyDescent="0.25">
      <c r="A242" s="5">
        <v>2025</v>
      </c>
      <c r="B242" s="5" t="s">
        <v>0</v>
      </c>
      <c r="C242" s="10">
        <v>12990</v>
      </c>
      <c r="D242" s="5">
        <v>13520</v>
      </c>
      <c r="E242" s="13">
        <v>0.5</v>
      </c>
      <c r="F242">
        <v>21345</v>
      </c>
      <c r="G242">
        <v>9060</v>
      </c>
      <c r="H242" s="4">
        <v>0.15</v>
      </c>
      <c r="I242" s="4">
        <v>0.16800000000000001</v>
      </c>
      <c r="J242" s="4">
        <v>0.223</v>
      </c>
      <c r="K242" s="4">
        <v>0.19</v>
      </c>
      <c r="L242" s="5" t="s">
        <v>21</v>
      </c>
    </row>
    <row r="243" spans="1:12" x14ac:dyDescent="0.25">
      <c r="A243" s="5">
        <v>2025</v>
      </c>
      <c r="B243" s="5" t="s">
        <v>1</v>
      </c>
      <c r="C243" s="10">
        <v>7100</v>
      </c>
      <c r="D243" s="5">
        <v>9410</v>
      </c>
      <c r="E243" s="13">
        <v>0.77</v>
      </c>
      <c r="F243">
        <v>21678</v>
      </c>
      <c r="G243">
        <v>9000</v>
      </c>
      <c r="H243" s="4">
        <v>0.23</v>
      </c>
      <c r="I243" s="4">
        <v>0.33</v>
      </c>
      <c r="J243" s="4">
        <v>0.38500000000000012</v>
      </c>
      <c r="K243" s="4">
        <v>0.28000000000000003</v>
      </c>
      <c r="L243" s="5" t="s">
        <v>21</v>
      </c>
    </row>
    <row r="244" spans="1:12" x14ac:dyDescent="0.25">
      <c r="A244" s="5">
        <v>2025</v>
      </c>
      <c r="B244" s="5" t="s">
        <v>2</v>
      </c>
      <c r="C244" s="10">
        <v>7730</v>
      </c>
      <c r="D244" s="5">
        <v>5370</v>
      </c>
      <c r="E244" s="13">
        <v>0.6</v>
      </c>
      <c r="F244">
        <v>21901</v>
      </c>
      <c r="G244">
        <v>7620</v>
      </c>
      <c r="H244" s="4">
        <v>0.32</v>
      </c>
      <c r="I244" s="4">
        <v>0.47000000000000008</v>
      </c>
      <c r="J244" s="4">
        <v>0.52560000000000018</v>
      </c>
      <c r="K244" s="4">
        <v>0.36</v>
      </c>
      <c r="L244" s="5" t="s">
        <v>21</v>
      </c>
    </row>
    <row r="245" spans="1:12" x14ac:dyDescent="0.25">
      <c r="A245" s="5">
        <v>2025</v>
      </c>
      <c r="B245" s="5" t="s">
        <v>3</v>
      </c>
      <c r="C245" s="10">
        <v>30320</v>
      </c>
      <c r="D245" s="5">
        <v>11790</v>
      </c>
      <c r="E245" s="13">
        <v>0.35</v>
      </c>
      <c r="F245">
        <v>21789</v>
      </c>
      <c r="G245">
        <v>8760</v>
      </c>
      <c r="H245" s="4">
        <v>0.4</v>
      </c>
      <c r="I245" s="4">
        <v>0.63500000000000023</v>
      </c>
      <c r="J245" s="4">
        <v>0.66960000000000042</v>
      </c>
      <c r="K245" s="4">
        <v>0.44</v>
      </c>
      <c r="L245" s="5" t="s">
        <v>21</v>
      </c>
    </row>
    <row r="246" spans="1:12" x14ac:dyDescent="0.25">
      <c r="A246" s="5">
        <v>2025</v>
      </c>
      <c r="B246" s="5" t="s">
        <v>4</v>
      </c>
      <c r="C246" s="10">
        <v>18790</v>
      </c>
      <c r="D246" s="5">
        <v>5930</v>
      </c>
      <c r="E246" s="13">
        <v>0.38</v>
      </c>
      <c r="F246">
        <v>21678</v>
      </c>
      <c r="G246">
        <v>8680</v>
      </c>
      <c r="H246" s="4">
        <v>0.49</v>
      </c>
      <c r="I246" s="4">
        <v>0.74700000000000033</v>
      </c>
      <c r="J246" s="4">
        <v>0.80460000000000054</v>
      </c>
      <c r="K246" s="4">
        <v>0.53</v>
      </c>
      <c r="L246" s="5" t="s">
        <v>21</v>
      </c>
    </row>
    <row r="247" spans="1:12" x14ac:dyDescent="0.25">
      <c r="A247" s="5">
        <v>2025</v>
      </c>
      <c r="B247" s="5" t="s">
        <v>5</v>
      </c>
      <c r="C247" s="10">
        <v>23070</v>
      </c>
      <c r="D247" s="5">
        <v>17400</v>
      </c>
      <c r="E247" s="13">
        <v>0.4</v>
      </c>
      <c r="F247">
        <v>22012</v>
      </c>
      <c r="G247">
        <v>7000</v>
      </c>
      <c r="H247" s="4">
        <v>0.56999999999999995</v>
      </c>
      <c r="I247" s="4">
        <v>0.85900000000000043</v>
      </c>
      <c r="J247" s="4">
        <v>0.88560000000000061</v>
      </c>
      <c r="K247" s="4">
        <v>0.62</v>
      </c>
      <c r="L247" s="5" t="s">
        <v>21</v>
      </c>
    </row>
    <row r="248" spans="1:12" x14ac:dyDescent="0.25">
      <c r="A248" s="5">
        <v>2025</v>
      </c>
      <c r="B248" s="5" t="s">
        <v>6</v>
      </c>
      <c r="C248" s="10">
        <v>37010</v>
      </c>
      <c r="D248" s="5">
        <v>34160</v>
      </c>
      <c r="E248" s="13">
        <v>0.62</v>
      </c>
      <c r="F248">
        <v>21890</v>
      </c>
      <c r="G248">
        <v>7320</v>
      </c>
      <c r="H248" s="4">
        <v>0.66</v>
      </c>
      <c r="I248" s="4">
        <v>1.2510000000000008</v>
      </c>
      <c r="J248" s="4">
        <v>1.3445999999999996</v>
      </c>
      <c r="K248" s="4">
        <v>0.7</v>
      </c>
      <c r="L248" s="5" t="s">
        <v>21</v>
      </c>
    </row>
    <row r="249" spans="1:12" x14ac:dyDescent="0.25">
      <c r="A249" s="5">
        <v>2025</v>
      </c>
      <c r="B249" s="5" t="s">
        <v>7</v>
      </c>
      <c r="C249" s="10">
        <v>11690</v>
      </c>
      <c r="D249" s="5">
        <v>16140</v>
      </c>
      <c r="E249" s="13">
        <v>0.53</v>
      </c>
      <c r="F249">
        <v>21789</v>
      </c>
      <c r="G249">
        <v>5940</v>
      </c>
      <c r="H249" s="4">
        <v>0.74</v>
      </c>
      <c r="I249" s="4">
        <v>1.1670000000000007</v>
      </c>
      <c r="J249" s="4">
        <v>1.2635999999999998</v>
      </c>
      <c r="K249" s="4">
        <v>0.78</v>
      </c>
      <c r="L249" s="5" t="s">
        <v>21</v>
      </c>
    </row>
    <row r="250" spans="1:12" x14ac:dyDescent="0.25">
      <c r="A250" s="5">
        <v>2025</v>
      </c>
      <c r="B250" s="5" t="s">
        <v>8</v>
      </c>
      <c r="C250" s="10">
        <v>12510</v>
      </c>
      <c r="D250" s="5">
        <v>6160</v>
      </c>
      <c r="E250" s="13">
        <v>0.38</v>
      </c>
      <c r="F250">
        <v>22123</v>
      </c>
      <c r="G250">
        <v>4680</v>
      </c>
      <c r="H250" s="4">
        <v>0.81</v>
      </c>
      <c r="I250" s="4">
        <v>0.16800000000000001</v>
      </c>
      <c r="J250" s="4">
        <v>0.223</v>
      </c>
      <c r="K250" s="4">
        <v>0.85</v>
      </c>
      <c r="L250" s="5" t="s">
        <v>21</v>
      </c>
    </row>
    <row r="251" spans="1:12" x14ac:dyDescent="0.25">
      <c r="A251" s="5">
        <v>2025</v>
      </c>
      <c r="B251" s="5" t="s">
        <v>9</v>
      </c>
      <c r="C251" s="10">
        <v>19480</v>
      </c>
      <c r="D251" s="5">
        <v>7210</v>
      </c>
      <c r="E251" s="13">
        <v>0.56999999999999995</v>
      </c>
      <c r="F251">
        <v>22345</v>
      </c>
      <c r="G251">
        <v>4900</v>
      </c>
      <c r="H251" s="4">
        <v>0.89</v>
      </c>
      <c r="I251" s="4">
        <v>0.33</v>
      </c>
      <c r="J251" s="4">
        <v>0.41200000000000014</v>
      </c>
      <c r="K251" s="4">
        <v>0.92</v>
      </c>
      <c r="L251" s="5" t="s">
        <v>21</v>
      </c>
    </row>
    <row r="252" spans="1:12" x14ac:dyDescent="0.25">
      <c r="A252" s="5">
        <v>2025</v>
      </c>
      <c r="B252" s="5" t="s">
        <v>10</v>
      </c>
      <c r="C252" s="10">
        <v>6680</v>
      </c>
      <c r="D252" s="5">
        <v>7530</v>
      </c>
      <c r="E252" s="13">
        <v>0.72</v>
      </c>
      <c r="F252">
        <v>22123</v>
      </c>
      <c r="G252">
        <v>7460</v>
      </c>
      <c r="H252" s="4">
        <v>1.34</v>
      </c>
      <c r="I252" s="4">
        <v>0.49700000000000011</v>
      </c>
      <c r="J252" s="4">
        <v>0.55440000000000023</v>
      </c>
      <c r="K252" s="4">
        <v>0.96</v>
      </c>
      <c r="L252" s="5" t="s">
        <v>21</v>
      </c>
    </row>
    <row r="253" spans="1:12" x14ac:dyDescent="0.25">
      <c r="A253" s="5">
        <v>2025</v>
      </c>
      <c r="B253" s="5" t="s">
        <v>11</v>
      </c>
      <c r="C253" s="10">
        <v>8210</v>
      </c>
      <c r="D253" s="5">
        <v>4230</v>
      </c>
      <c r="E253" s="13">
        <v>0.62</v>
      </c>
      <c r="F253">
        <v>21901</v>
      </c>
      <c r="G253">
        <v>8780</v>
      </c>
      <c r="H253" s="4">
        <v>1.1499999999999999</v>
      </c>
      <c r="I253" s="4">
        <v>0.66300000000000026</v>
      </c>
      <c r="J253" s="4">
        <v>0.69660000000000044</v>
      </c>
      <c r="K253" s="4">
        <v>1</v>
      </c>
      <c r="L253" s="5" t="s">
        <v>21</v>
      </c>
    </row>
    <row r="254" spans="1:12" x14ac:dyDescent="0.25">
      <c r="A254" s="5">
        <v>2026</v>
      </c>
      <c r="B254" s="5" t="s">
        <v>0</v>
      </c>
      <c r="C254" s="10">
        <v>31220</v>
      </c>
      <c r="D254" s="5">
        <v>16080</v>
      </c>
      <c r="E254" s="13">
        <v>0.68</v>
      </c>
      <c r="F254">
        <v>22234</v>
      </c>
      <c r="G254">
        <v>8720</v>
      </c>
      <c r="H254" s="4">
        <v>0.15</v>
      </c>
      <c r="I254" s="4">
        <v>0.77500000000000036</v>
      </c>
      <c r="J254" s="4">
        <v>0.83160000000000056</v>
      </c>
      <c r="K254" s="4">
        <v>0.2</v>
      </c>
      <c r="L254" s="5" t="s">
        <v>21</v>
      </c>
    </row>
    <row r="255" spans="1:12" x14ac:dyDescent="0.25">
      <c r="A255" s="5">
        <v>2026</v>
      </c>
      <c r="B255" s="5" t="s">
        <v>1</v>
      </c>
      <c r="C255" s="10">
        <v>40550</v>
      </c>
      <c r="D255" s="5">
        <v>15000</v>
      </c>
      <c r="E255" s="13">
        <v>0.59</v>
      </c>
      <c r="F255">
        <v>22567</v>
      </c>
      <c r="G255">
        <v>7060</v>
      </c>
      <c r="H255" s="4">
        <v>0.25</v>
      </c>
      <c r="I255" s="4">
        <v>0.88700000000000045</v>
      </c>
      <c r="J255" s="4">
        <v>0.91260000000000063</v>
      </c>
      <c r="K255" s="4">
        <v>0.3</v>
      </c>
      <c r="L255" s="5" t="s">
        <v>21</v>
      </c>
    </row>
    <row r="256" spans="1:12" x14ac:dyDescent="0.25">
      <c r="A256" s="5">
        <v>2026</v>
      </c>
      <c r="B256" s="5" t="s">
        <v>2</v>
      </c>
      <c r="C256" s="10">
        <v>36820</v>
      </c>
      <c r="D256" s="5">
        <v>25590</v>
      </c>
      <c r="E256" s="13">
        <v>0.7</v>
      </c>
      <c r="F256">
        <v>22456</v>
      </c>
      <c r="G256">
        <v>7380</v>
      </c>
      <c r="H256" s="4">
        <v>0.35</v>
      </c>
      <c r="I256" s="4">
        <v>1.1670000000000007</v>
      </c>
      <c r="J256" s="4">
        <v>1.1826000000000001</v>
      </c>
      <c r="K256" s="4">
        <v>0.4</v>
      </c>
      <c r="L256" s="5" t="s">
        <v>21</v>
      </c>
    </row>
    <row r="257" spans="1:12" x14ac:dyDescent="0.25">
      <c r="A257" s="5">
        <v>2026</v>
      </c>
      <c r="B257" s="5" t="s">
        <v>3</v>
      </c>
      <c r="C257" s="10">
        <v>30230</v>
      </c>
      <c r="D257" s="5">
        <v>12350</v>
      </c>
      <c r="E257" s="13">
        <v>0.57999999999999996</v>
      </c>
      <c r="F257">
        <v>22345</v>
      </c>
      <c r="G257">
        <v>6000</v>
      </c>
      <c r="H257" s="4">
        <v>0.45</v>
      </c>
      <c r="I257" s="4">
        <v>1.3070000000000008</v>
      </c>
      <c r="J257" s="4">
        <v>1.2365999999999999</v>
      </c>
      <c r="K257" s="4">
        <v>0.5</v>
      </c>
      <c r="L257" s="5" t="s">
        <v>21</v>
      </c>
    </row>
    <row r="258" spans="1:12" x14ac:dyDescent="0.25">
      <c r="A258" s="5">
        <v>2026</v>
      </c>
      <c r="B258" s="5" t="s">
        <v>4</v>
      </c>
      <c r="C258" s="10">
        <v>20340</v>
      </c>
      <c r="D258" s="5">
        <v>14140</v>
      </c>
      <c r="E258" s="13">
        <v>0.7</v>
      </c>
      <c r="F258">
        <v>22678</v>
      </c>
      <c r="G258">
        <v>4720</v>
      </c>
      <c r="H258" s="4">
        <v>0.55000000000000004</v>
      </c>
      <c r="I258" s="4">
        <v>0.14000000000000001</v>
      </c>
      <c r="J258" s="4">
        <v>0.19600000000000001</v>
      </c>
      <c r="K258" s="4">
        <v>0.6</v>
      </c>
      <c r="L258" s="5" t="s">
        <v>21</v>
      </c>
    </row>
    <row r="259" spans="1:12" x14ac:dyDescent="0.25">
      <c r="A259" s="5">
        <v>2026</v>
      </c>
      <c r="B259" s="5" t="s">
        <v>5</v>
      </c>
      <c r="C259" s="10">
        <v>28700</v>
      </c>
      <c r="D259" s="5">
        <v>18350</v>
      </c>
      <c r="E259" s="13">
        <v>0.42</v>
      </c>
      <c r="F259">
        <v>22901</v>
      </c>
      <c r="G259">
        <v>4960</v>
      </c>
      <c r="H259" s="4">
        <v>0.65</v>
      </c>
      <c r="I259" s="4">
        <v>0.27800000000000002</v>
      </c>
      <c r="J259" s="4">
        <v>0.33100000000000007</v>
      </c>
      <c r="K259" s="4">
        <v>0.7</v>
      </c>
      <c r="L259" s="5" t="s">
        <v>21</v>
      </c>
    </row>
    <row r="260" spans="1:12" x14ac:dyDescent="0.25">
      <c r="A260" s="5">
        <v>2026</v>
      </c>
      <c r="B260" s="5" t="s">
        <v>6</v>
      </c>
      <c r="C260" s="10">
        <v>39470</v>
      </c>
      <c r="D260" s="5">
        <v>14600</v>
      </c>
      <c r="E260" s="13">
        <v>0.57999999999999996</v>
      </c>
      <c r="F260">
        <v>22789</v>
      </c>
      <c r="G260">
        <v>7480</v>
      </c>
      <c r="H260" s="4">
        <v>0.74</v>
      </c>
      <c r="I260" s="4">
        <v>0.38900000000000001</v>
      </c>
      <c r="J260" s="4">
        <v>0.44000000000000017</v>
      </c>
      <c r="K260" s="4">
        <v>0.78</v>
      </c>
      <c r="L260" s="5" t="s">
        <v>21</v>
      </c>
    </row>
    <row r="261" spans="1:12" x14ac:dyDescent="0.25">
      <c r="A261" s="5">
        <v>2026</v>
      </c>
      <c r="B261" s="5" t="s">
        <v>7</v>
      </c>
      <c r="C261" s="10">
        <v>34120</v>
      </c>
      <c r="D261" s="5">
        <v>45230</v>
      </c>
      <c r="E261" s="13">
        <v>0.68</v>
      </c>
      <c r="F261">
        <v>22678</v>
      </c>
      <c r="G261">
        <v>8800</v>
      </c>
      <c r="H261" s="4">
        <v>0.82</v>
      </c>
      <c r="I261" s="4">
        <v>0.52400000000000013</v>
      </c>
      <c r="J261" s="4">
        <v>0.58320000000000027</v>
      </c>
      <c r="K261" s="4">
        <v>0.85</v>
      </c>
      <c r="L261" s="5" t="s">
        <v>21</v>
      </c>
    </row>
    <row r="262" spans="1:12" x14ac:dyDescent="0.25">
      <c r="A262" s="5">
        <v>2026</v>
      </c>
      <c r="B262" s="5" t="s">
        <v>8</v>
      </c>
      <c r="C262" s="10">
        <v>13040</v>
      </c>
      <c r="D262" s="5">
        <v>18770</v>
      </c>
      <c r="E262" s="13">
        <v>0.5</v>
      </c>
      <c r="F262">
        <v>23012</v>
      </c>
      <c r="G262">
        <v>8740</v>
      </c>
      <c r="H262" s="4">
        <v>0.88</v>
      </c>
      <c r="I262" s="4">
        <v>0.66300000000000026</v>
      </c>
      <c r="J262" s="4">
        <v>0.69660000000000044</v>
      </c>
      <c r="K262" s="4">
        <v>0.91</v>
      </c>
      <c r="L262" s="5" t="s">
        <v>21</v>
      </c>
    </row>
    <row r="263" spans="1:12" x14ac:dyDescent="0.25">
      <c r="A263" s="5">
        <v>2026</v>
      </c>
      <c r="B263" s="5" t="s">
        <v>9</v>
      </c>
      <c r="C263" s="10">
        <v>21030</v>
      </c>
      <c r="D263" s="5">
        <v>24690</v>
      </c>
      <c r="E263" s="13">
        <v>0.62</v>
      </c>
      <c r="F263">
        <v>22890</v>
      </c>
      <c r="G263">
        <v>7100</v>
      </c>
      <c r="H263" s="4">
        <v>1.22</v>
      </c>
      <c r="I263" s="4">
        <v>0.77500000000000036</v>
      </c>
      <c r="J263" s="4">
        <v>0.80460000000000054</v>
      </c>
      <c r="K263" s="4">
        <v>0.96</v>
      </c>
      <c r="L263" s="5" t="s">
        <v>21</v>
      </c>
    </row>
    <row r="264" spans="1:12" x14ac:dyDescent="0.25">
      <c r="A264" s="5">
        <v>2026</v>
      </c>
      <c r="B264" s="5" t="s">
        <v>10</v>
      </c>
      <c r="C264" s="10">
        <v>37930</v>
      </c>
      <c r="D264" s="5">
        <v>26360</v>
      </c>
      <c r="E264" s="13">
        <v>0.75</v>
      </c>
      <c r="F264">
        <v>22789</v>
      </c>
      <c r="G264">
        <v>7420</v>
      </c>
      <c r="H264" s="4">
        <v>1.23</v>
      </c>
      <c r="I264" s="4">
        <v>0.88700000000000045</v>
      </c>
      <c r="J264" s="4">
        <v>0.91260000000000063</v>
      </c>
      <c r="K264" s="4">
        <v>0.99</v>
      </c>
      <c r="L264" s="5" t="s">
        <v>21</v>
      </c>
    </row>
    <row r="265" spans="1:12" x14ac:dyDescent="0.25">
      <c r="A265" s="5">
        <v>2026</v>
      </c>
      <c r="B265" s="5" t="s">
        <v>11</v>
      </c>
      <c r="C265" s="10">
        <v>15940</v>
      </c>
      <c r="D265" s="5">
        <v>15320</v>
      </c>
      <c r="E265" s="13">
        <v>0.45</v>
      </c>
      <c r="F265">
        <v>23123</v>
      </c>
      <c r="G265">
        <v>6040</v>
      </c>
      <c r="H265" s="4">
        <v>1.1299999999999999</v>
      </c>
      <c r="I265" s="4">
        <v>1.1390000000000007</v>
      </c>
      <c r="J265" s="4">
        <v>1.2096</v>
      </c>
      <c r="K265" s="4">
        <v>1</v>
      </c>
      <c r="L265" s="5" t="s">
        <v>21</v>
      </c>
    </row>
    <row r="266" spans="1:12" x14ac:dyDescent="0.25">
      <c r="A266" s="5">
        <v>2027</v>
      </c>
      <c r="B266" s="5" t="s">
        <v>0</v>
      </c>
      <c r="C266" s="10">
        <v>7130</v>
      </c>
      <c r="D266" s="5">
        <v>7130</v>
      </c>
      <c r="E266" s="13">
        <v>0.55000000000000004</v>
      </c>
      <c r="F266">
        <v>23345</v>
      </c>
      <c r="G266">
        <v>4760</v>
      </c>
      <c r="H266" s="4">
        <v>0.16</v>
      </c>
      <c r="I266" s="4">
        <v>0.14000000000000001</v>
      </c>
      <c r="J266" s="4">
        <v>0.19600000000000001</v>
      </c>
      <c r="K266" s="4">
        <v>0.22</v>
      </c>
      <c r="L266" s="5" t="s">
        <v>21</v>
      </c>
    </row>
    <row r="267" spans="1:12" x14ac:dyDescent="0.25">
      <c r="A267" s="5">
        <v>2027</v>
      </c>
      <c r="B267" s="5" t="s">
        <v>1</v>
      </c>
      <c r="C267" s="10">
        <v>31070</v>
      </c>
      <c r="D267" s="5">
        <v>9810</v>
      </c>
      <c r="E267" s="13">
        <v>0.69</v>
      </c>
      <c r="F267">
        <v>23123</v>
      </c>
      <c r="G267">
        <v>5020</v>
      </c>
      <c r="H267" s="4">
        <v>0.27</v>
      </c>
      <c r="I267" s="4">
        <v>0.30499999999999999</v>
      </c>
      <c r="J267" s="4">
        <v>0.3580000000000001</v>
      </c>
      <c r="K267" s="4">
        <v>0.33</v>
      </c>
      <c r="L267" s="5" t="s">
        <v>21</v>
      </c>
    </row>
    <row r="268" spans="1:12" x14ac:dyDescent="0.25">
      <c r="A268" s="5">
        <v>2027</v>
      </c>
      <c r="B268" s="5" t="s">
        <v>2</v>
      </c>
      <c r="C268" s="10">
        <v>26300</v>
      </c>
      <c r="D268" s="5">
        <v>29660</v>
      </c>
      <c r="E268" s="13">
        <v>0.66</v>
      </c>
      <c r="F268">
        <v>22901</v>
      </c>
      <c r="G268">
        <v>7500</v>
      </c>
      <c r="H268" s="4">
        <v>0.38</v>
      </c>
      <c r="I268" s="4">
        <v>0.44300000000000006</v>
      </c>
      <c r="J268" s="4">
        <v>0.49680000000000019</v>
      </c>
      <c r="K268" s="4">
        <v>0.43</v>
      </c>
      <c r="L268" s="5" t="s">
        <v>21</v>
      </c>
    </row>
    <row r="269" spans="1:12" x14ac:dyDescent="0.25">
      <c r="A269" s="5">
        <v>2027</v>
      </c>
      <c r="B269" s="5" t="s">
        <v>3</v>
      </c>
      <c r="C269" s="10">
        <v>19500</v>
      </c>
      <c r="D269" s="5">
        <v>10970</v>
      </c>
      <c r="E269" s="13">
        <v>0.5</v>
      </c>
      <c r="F269">
        <v>23234</v>
      </c>
      <c r="G269">
        <v>8820</v>
      </c>
      <c r="H269" s="4">
        <v>0.48</v>
      </c>
      <c r="I269" s="4">
        <v>0.60700000000000021</v>
      </c>
      <c r="J269" s="4">
        <v>0.64080000000000037</v>
      </c>
      <c r="K269" s="4">
        <v>0.53</v>
      </c>
      <c r="L269" s="5" t="s">
        <v>21</v>
      </c>
    </row>
    <row r="270" spans="1:12" x14ac:dyDescent="0.25">
      <c r="A270" s="5">
        <v>2027</v>
      </c>
      <c r="B270" s="5" t="s">
        <v>4</v>
      </c>
      <c r="C270" s="10">
        <v>50390</v>
      </c>
      <c r="D270" s="5">
        <v>48410</v>
      </c>
      <c r="E270" s="13">
        <v>0.82</v>
      </c>
      <c r="F270">
        <v>23567</v>
      </c>
      <c r="G270">
        <v>8760</v>
      </c>
      <c r="H270" s="4">
        <v>0.57999999999999996</v>
      </c>
      <c r="I270" s="4">
        <v>0.74700000000000033</v>
      </c>
      <c r="J270" s="4">
        <v>0.77760000000000051</v>
      </c>
      <c r="K270" s="4">
        <v>0.63</v>
      </c>
      <c r="L270" s="5" t="s">
        <v>21</v>
      </c>
    </row>
    <row r="271" spans="1:12" x14ac:dyDescent="0.25">
      <c r="A271" s="5">
        <v>2027</v>
      </c>
      <c r="B271" s="5" t="s">
        <v>5</v>
      </c>
      <c r="C271" s="10">
        <v>51400</v>
      </c>
      <c r="D271" s="5">
        <v>20990</v>
      </c>
      <c r="E271" s="13">
        <v>0.42</v>
      </c>
      <c r="F271">
        <v>23456</v>
      </c>
      <c r="G271">
        <v>7140</v>
      </c>
      <c r="H271" s="4">
        <v>0.68</v>
      </c>
      <c r="I271" s="4">
        <v>0.85900000000000043</v>
      </c>
      <c r="J271" s="4">
        <v>0.88560000000000061</v>
      </c>
      <c r="K271" s="4">
        <v>0.73</v>
      </c>
      <c r="L271" s="5" t="s">
        <v>21</v>
      </c>
    </row>
    <row r="272" spans="1:12" x14ac:dyDescent="0.25">
      <c r="A272" s="5">
        <v>2027</v>
      </c>
      <c r="B272" s="5" t="s">
        <v>6</v>
      </c>
      <c r="C272" s="10">
        <v>31940</v>
      </c>
      <c r="D272" s="5">
        <v>42340</v>
      </c>
      <c r="E272" s="13">
        <v>0.36</v>
      </c>
      <c r="F272">
        <v>23345</v>
      </c>
      <c r="G272">
        <v>7460</v>
      </c>
      <c r="H272" s="4">
        <v>0.76</v>
      </c>
      <c r="I272" s="4">
        <v>1.1110000000000007</v>
      </c>
      <c r="J272" s="4">
        <v>1.1826000000000001</v>
      </c>
      <c r="K272" s="4">
        <v>0.8</v>
      </c>
      <c r="L272" s="5" t="s">
        <v>21</v>
      </c>
    </row>
    <row r="273" spans="1:12" x14ac:dyDescent="0.25">
      <c r="A273" s="5">
        <v>2027</v>
      </c>
      <c r="B273" s="5" t="s">
        <v>7</v>
      </c>
      <c r="C273" s="10">
        <v>45670</v>
      </c>
      <c r="D273" s="5">
        <v>35890</v>
      </c>
      <c r="E273" s="13">
        <v>0.55000000000000004</v>
      </c>
      <c r="F273">
        <v>23678</v>
      </c>
      <c r="G273">
        <v>6080</v>
      </c>
      <c r="H273" s="4">
        <v>0.83</v>
      </c>
      <c r="I273" s="4">
        <v>1.1950000000000007</v>
      </c>
      <c r="J273" s="4">
        <v>1.1016000000000004</v>
      </c>
      <c r="K273" s="4">
        <v>0.86</v>
      </c>
      <c r="L273" s="5" t="s">
        <v>21</v>
      </c>
    </row>
    <row r="274" spans="1:12" x14ac:dyDescent="0.25">
      <c r="A274" s="5">
        <v>2027</v>
      </c>
      <c r="B274" s="5" t="s">
        <v>8</v>
      </c>
      <c r="C274" s="10">
        <v>13660</v>
      </c>
      <c r="D274" s="5">
        <v>18860</v>
      </c>
      <c r="E274" s="13">
        <v>0.43</v>
      </c>
      <c r="F274">
        <v>23901</v>
      </c>
      <c r="G274">
        <v>4800</v>
      </c>
      <c r="H274" s="4">
        <v>0.89</v>
      </c>
      <c r="I274" s="4">
        <v>0.16800000000000001</v>
      </c>
      <c r="J274" s="4">
        <v>0.223</v>
      </c>
      <c r="K274" s="4">
        <v>0.92</v>
      </c>
      <c r="L274" s="5" t="s">
        <v>21</v>
      </c>
    </row>
    <row r="275" spans="1:12" x14ac:dyDescent="0.25">
      <c r="A275" s="5">
        <v>2027</v>
      </c>
      <c r="B275" s="5" t="s">
        <v>9</v>
      </c>
      <c r="C275" s="10">
        <v>54040</v>
      </c>
      <c r="D275" s="5">
        <v>25430</v>
      </c>
      <c r="E275" s="13">
        <v>0.59</v>
      </c>
      <c r="F275">
        <v>23789</v>
      </c>
      <c r="G275">
        <v>5060</v>
      </c>
      <c r="H275" s="4">
        <v>1.1499999999999999</v>
      </c>
      <c r="I275" s="4">
        <v>0.33</v>
      </c>
      <c r="J275" s="4">
        <v>0.38500000000000012</v>
      </c>
      <c r="K275" s="4">
        <v>0.97</v>
      </c>
      <c r="L275" s="5" t="s">
        <v>21</v>
      </c>
    </row>
    <row r="276" spans="1:12" x14ac:dyDescent="0.25">
      <c r="A276" s="5">
        <v>2027</v>
      </c>
      <c r="B276" s="5" t="s">
        <v>10</v>
      </c>
      <c r="C276" s="10">
        <v>36800</v>
      </c>
      <c r="D276" s="5">
        <v>26650</v>
      </c>
      <c r="E276" s="13">
        <v>0.55000000000000004</v>
      </c>
      <c r="F276">
        <v>23678</v>
      </c>
      <c r="G276">
        <v>7520</v>
      </c>
      <c r="H276" s="4">
        <v>1.22</v>
      </c>
      <c r="I276" s="4">
        <v>0.47000000000000008</v>
      </c>
      <c r="J276" s="4">
        <v>0.52560000000000018</v>
      </c>
      <c r="K276" s="4">
        <v>0.99</v>
      </c>
      <c r="L276" s="5" t="s">
        <v>21</v>
      </c>
    </row>
    <row r="277" spans="1:12" x14ac:dyDescent="0.25">
      <c r="A277" s="5">
        <v>2027</v>
      </c>
      <c r="B277" s="5" t="s">
        <v>11</v>
      </c>
      <c r="C277" s="10">
        <v>13040</v>
      </c>
      <c r="D277" s="5">
        <v>9060</v>
      </c>
      <c r="E277" s="13">
        <v>0.77</v>
      </c>
      <c r="F277">
        <v>24012</v>
      </c>
      <c r="G277">
        <v>8840</v>
      </c>
      <c r="H277" s="4">
        <v>1.27</v>
      </c>
      <c r="I277" s="4">
        <v>0.63500000000000023</v>
      </c>
      <c r="J277" s="4">
        <v>0.66960000000000042</v>
      </c>
      <c r="K277" s="4">
        <v>1</v>
      </c>
      <c r="L277" s="5" t="s">
        <v>21</v>
      </c>
    </row>
    <row r="278" spans="1:12" x14ac:dyDescent="0.25">
      <c r="A278" s="5">
        <v>2028</v>
      </c>
      <c r="B278" s="5" t="s">
        <v>0</v>
      </c>
      <c r="C278" s="10">
        <v>30610</v>
      </c>
      <c r="D278" s="5">
        <v>38960</v>
      </c>
      <c r="E278" s="13">
        <v>0.52</v>
      </c>
      <c r="F278">
        <v>23890</v>
      </c>
      <c r="G278">
        <v>8780</v>
      </c>
      <c r="H278" s="4">
        <v>0.17</v>
      </c>
      <c r="I278" s="4">
        <v>0.74700000000000033</v>
      </c>
      <c r="J278" s="4">
        <v>0.80460000000000054</v>
      </c>
      <c r="K278" s="4">
        <v>0.23</v>
      </c>
      <c r="L278" s="5" t="s">
        <v>21</v>
      </c>
    </row>
    <row r="279" spans="1:12" x14ac:dyDescent="0.25">
      <c r="A279" s="5">
        <v>2028</v>
      </c>
      <c r="B279" s="5" t="s">
        <v>1</v>
      </c>
      <c r="C279" s="10">
        <v>31950</v>
      </c>
      <c r="D279" s="5">
        <v>45970</v>
      </c>
      <c r="E279" s="13">
        <v>0.67</v>
      </c>
      <c r="F279">
        <v>23789</v>
      </c>
      <c r="G279">
        <v>7180</v>
      </c>
      <c r="H279" s="4">
        <v>0.28000000000000003</v>
      </c>
      <c r="I279" s="4">
        <v>0.85900000000000043</v>
      </c>
      <c r="J279" s="4">
        <v>0.88560000000000061</v>
      </c>
      <c r="K279" s="4">
        <v>0.34</v>
      </c>
      <c r="L279" s="5" t="s">
        <v>21</v>
      </c>
    </row>
    <row r="280" spans="1:12" x14ac:dyDescent="0.25">
      <c r="A280" s="5">
        <v>2028</v>
      </c>
      <c r="B280" s="5" t="s">
        <v>2</v>
      </c>
      <c r="C280" s="10">
        <v>45650</v>
      </c>
      <c r="D280" s="5">
        <v>40480</v>
      </c>
      <c r="E280" s="13">
        <v>0.7</v>
      </c>
      <c r="F280">
        <v>24123</v>
      </c>
      <c r="G280">
        <v>7500</v>
      </c>
      <c r="H280" s="4">
        <v>0.4</v>
      </c>
      <c r="I280" s="4">
        <v>1.2790000000000008</v>
      </c>
      <c r="J280" s="4">
        <v>1.1016000000000004</v>
      </c>
      <c r="K280" s="4">
        <v>0.45</v>
      </c>
      <c r="L280" s="5" t="s">
        <v>21</v>
      </c>
    </row>
    <row r="281" spans="1:12" x14ac:dyDescent="0.25">
      <c r="A281" s="5">
        <v>2028</v>
      </c>
      <c r="B281" s="5" t="s">
        <v>3</v>
      </c>
      <c r="C281" s="10">
        <v>52330</v>
      </c>
      <c r="D281" s="5">
        <v>59010</v>
      </c>
      <c r="E281" s="13">
        <v>0.66</v>
      </c>
      <c r="F281">
        <v>24345</v>
      </c>
      <c r="G281">
        <v>6120</v>
      </c>
      <c r="H281" s="4">
        <v>0.5</v>
      </c>
      <c r="I281" s="4">
        <v>1.2510000000000008</v>
      </c>
      <c r="J281" s="4">
        <v>1.2635999999999998</v>
      </c>
      <c r="K281" s="4">
        <v>0.55000000000000004</v>
      </c>
      <c r="L281" s="5" t="s">
        <v>21</v>
      </c>
    </row>
    <row r="282" spans="1:12" x14ac:dyDescent="0.25">
      <c r="A282" s="5">
        <v>2028</v>
      </c>
      <c r="B282" s="5" t="s">
        <v>4</v>
      </c>
      <c r="C282" s="10">
        <v>43290</v>
      </c>
      <c r="D282" s="5">
        <v>21320</v>
      </c>
      <c r="E282" s="13">
        <v>0.45</v>
      </c>
      <c r="F282">
        <v>24123</v>
      </c>
      <c r="G282">
        <v>4840</v>
      </c>
      <c r="H282" s="4">
        <v>0.6</v>
      </c>
      <c r="I282" s="4">
        <v>0.16800000000000001</v>
      </c>
      <c r="J282" s="4">
        <v>0.223</v>
      </c>
      <c r="K282" s="4">
        <v>0.65</v>
      </c>
      <c r="L282" s="5" t="s">
        <v>21</v>
      </c>
    </row>
    <row r="283" spans="1:12" x14ac:dyDescent="0.25">
      <c r="A283" s="5">
        <v>2028</v>
      </c>
      <c r="B283" s="5" t="s">
        <v>5</v>
      </c>
      <c r="C283" s="10">
        <v>29280</v>
      </c>
      <c r="D283" s="5">
        <v>10830</v>
      </c>
      <c r="E283" s="13">
        <v>0.71</v>
      </c>
      <c r="F283">
        <v>23901</v>
      </c>
      <c r="G283">
        <v>5100</v>
      </c>
      <c r="H283" s="4">
        <v>0.7</v>
      </c>
      <c r="I283" s="4">
        <v>0.33</v>
      </c>
      <c r="J283" s="4">
        <v>0.41200000000000014</v>
      </c>
      <c r="K283" s="4">
        <v>0.75</v>
      </c>
      <c r="L283" s="5" t="s">
        <v>21</v>
      </c>
    </row>
    <row r="284" spans="1:12" x14ac:dyDescent="0.25">
      <c r="A284" s="5">
        <v>2028</v>
      </c>
      <c r="B284" s="5" t="s">
        <v>6</v>
      </c>
      <c r="C284" s="10">
        <v>54320</v>
      </c>
      <c r="D284" s="5">
        <v>21120</v>
      </c>
      <c r="E284" s="13">
        <v>0.69</v>
      </c>
      <c r="F284">
        <v>24234</v>
      </c>
      <c r="G284">
        <v>7540</v>
      </c>
      <c r="H284" s="4">
        <v>0.78</v>
      </c>
      <c r="I284" s="4">
        <v>0.49700000000000011</v>
      </c>
      <c r="J284" s="4">
        <v>0.55440000000000023</v>
      </c>
      <c r="K284" s="4">
        <v>0.82</v>
      </c>
      <c r="L284" s="5" t="s">
        <v>21</v>
      </c>
    </row>
    <row r="285" spans="1:12" x14ac:dyDescent="0.25">
      <c r="A285" s="5">
        <v>2028</v>
      </c>
      <c r="B285" s="5" t="s">
        <v>7</v>
      </c>
      <c r="C285" s="10">
        <v>35070</v>
      </c>
      <c r="D285" s="5">
        <v>48430</v>
      </c>
      <c r="E285" s="13">
        <v>0.61</v>
      </c>
      <c r="F285">
        <v>24567</v>
      </c>
      <c r="G285">
        <v>8860</v>
      </c>
      <c r="H285" s="4">
        <v>0.85</v>
      </c>
      <c r="I285" s="4">
        <v>0.66300000000000026</v>
      </c>
      <c r="J285" s="4">
        <v>0.69660000000000044</v>
      </c>
      <c r="K285" s="4">
        <v>0.88</v>
      </c>
      <c r="L285" s="5" t="s">
        <v>21</v>
      </c>
    </row>
    <row r="286" spans="1:12" x14ac:dyDescent="0.25">
      <c r="A286" s="5">
        <v>2028</v>
      </c>
      <c r="B286" s="5" t="s">
        <v>8</v>
      </c>
      <c r="C286" s="10">
        <v>92810</v>
      </c>
      <c r="D286" s="5">
        <v>34330</v>
      </c>
      <c r="E286" s="13">
        <v>0.68</v>
      </c>
      <c r="F286">
        <v>24456</v>
      </c>
      <c r="G286">
        <v>8800</v>
      </c>
      <c r="H286" s="4">
        <v>0.91</v>
      </c>
      <c r="I286" s="4">
        <v>0.77500000000000036</v>
      </c>
      <c r="J286" s="4">
        <v>0.83160000000000056</v>
      </c>
      <c r="K286" s="4">
        <v>0.94</v>
      </c>
      <c r="L286" s="5" t="s">
        <v>21</v>
      </c>
    </row>
    <row r="287" spans="1:12" x14ac:dyDescent="0.25">
      <c r="A287" s="5">
        <v>2028</v>
      </c>
      <c r="B287" s="5" t="s">
        <v>9</v>
      </c>
      <c r="C287" s="10">
        <v>50950</v>
      </c>
      <c r="D287" s="5">
        <v>64840</v>
      </c>
      <c r="E287" s="13">
        <v>0.56000000000000005</v>
      </c>
      <c r="F287">
        <v>24345</v>
      </c>
      <c r="G287">
        <v>7220</v>
      </c>
      <c r="H287" s="4">
        <v>1.23</v>
      </c>
      <c r="I287" s="4">
        <v>0.88700000000000045</v>
      </c>
      <c r="J287" s="4">
        <v>0.91260000000000063</v>
      </c>
      <c r="K287" s="4">
        <v>0.98</v>
      </c>
      <c r="L287" s="5" t="s">
        <v>21</v>
      </c>
    </row>
    <row r="288" spans="1:12" x14ac:dyDescent="0.25">
      <c r="A288" s="5">
        <v>2028</v>
      </c>
      <c r="B288" s="5" t="s">
        <v>10</v>
      </c>
      <c r="C288" s="10">
        <v>69390</v>
      </c>
      <c r="D288" s="5">
        <v>24380</v>
      </c>
      <c r="E288" s="13">
        <v>0.8</v>
      </c>
      <c r="F288">
        <v>24678</v>
      </c>
      <c r="G288">
        <v>7540</v>
      </c>
      <c r="H288" s="4">
        <v>1.34</v>
      </c>
      <c r="I288" s="4">
        <v>1.2510000000000008</v>
      </c>
      <c r="J288" s="4">
        <v>1.2096</v>
      </c>
      <c r="K288" s="4">
        <v>1</v>
      </c>
      <c r="L288" s="5" t="s">
        <v>21</v>
      </c>
    </row>
    <row r="289" spans="1:12" x14ac:dyDescent="0.25">
      <c r="A289" s="5">
        <v>2028</v>
      </c>
      <c r="B289" s="5" t="s">
        <v>11</v>
      </c>
      <c r="C289" s="10">
        <v>8430</v>
      </c>
      <c r="D289" s="5">
        <v>7780</v>
      </c>
      <c r="E289" s="13">
        <v>0.57999999999999996</v>
      </c>
      <c r="F289">
        <v>24901</v>
      </c>
      <c r="G289">
        <v>6160</v>
      </c>
      <c r="H289" s="4">
        <v>1.23</v>
      </c>
      <c r="I289" s="4">
        <v>1.3350000000000009</v>
      </c>
      <c r="J289" s="4">
        <v>1.2635999999999998</v>
      </c>
      <c r="K289" s="4">
        <v>1</v>
      </c>
      <c r="L289" s="5" t="s">
        <v>21</v>
      </c>
    </row>
    <row r="290" spans="1:12" x14ac:dyDescent="0.25">
      <c r="A290" s="5">
        <v>2025</v>
      </c>
      <c r="B290" s="5" t="s">
        <v>0</v>
      </c>
      <c r="C290" s="10">
        <v>11840</v>
      </c>
      <c r="D290" s="5">
        <v>5830</v>
      </c>
      <c r="E290" s="13">
        <v>0.65</v>
      </c>
      <c r="F290">
        <v>24789</v>
      </c>
      <c r="G290">
        <v>4880</v>
      </c>
      <c r="H290" s="4">
        <v>0.15</v>
      </c>
      <c r="I290" s="4">
        <v>0.14000000000000001</v>
      </c>
      <c r="J290" s="4">
        <v>0.19600000000000001</v>
      </c>
      <c r="K290" s="4">
        <v>0.19</v>
      </c>
      <c r="L290" s="5" t="s">
        <v>22</v>
      </c>
    </row>
    <row r="291" spans="1:12" x14ac:dyDescent="0.25">
      <c r="A291" s="5">
        <v>2025</v>
      </c>
      <c r="B291" s="5" t="s">
        <v>1</v>
      </c>
      <c r="C291" s="10">
        <v>30910</v>
      </c>
      <c r="D291" s="5">
        <v>23320</v>
      </c>
      <c r="E291" s="13">
        <v>0.68</v>
      </c>
      <c r="F291">
        <v>24678</v>
      </c>
      <c r="G291">
        <v>5140</v>
      </c>
      <c r="H291" s="4">
        <v>0.23</v>
      </c>
      <c r="I291" s="4">
        <v>0.27800000000000002</v>
      </c>
      <c r="J291" s="4">
        <v>0.33100000000000007</v>
      </c>
      <c r="K291" s="4">
        <v>0.28000000000000003</v>
      </c>
      <c r="L291" s="5" t="s">
        <v>22</v>
      </c>
    </row>
    <row r="292" spans="1:12" x14ac:dyDescent="0.25">
      <c r="A292" s="5">
        <v>2025</v>
      </c>
      <c r="B292" s="5" t="s">
        <v>2</v>
      </c>
      <c r="C292" s="10">
        <v>28250</v>
      </c>
      <c r="D292" s="5">
        <v>8440</v>
      </c>
      <c r="E292" s="13">
        <v>0.2</v>
      </c>
      <c r="F292">
        <v>25012</v>
      </c>
      <c r="G292">
        <v>7560</v>
      </c>
      <c r="H292" s="4">
        <v>0.32</v>
      </c>
      <c r="I292" s="4">
        <v>0.38900000000000001</v>
      </c>
      <c r="J292" s="4">
        <v>0.44000000000000017</v>
      </c>
      <c r="K292" s="4">
        <v>0.36</v>
      </c>
      <c r="L292" s="5" t="s">
        <v>22</v>
      </c>
    </row>
    <row r="293" spans="1:12" x14ac:dyDescent="0.25">
      <c r="A293" s="5">
        <v>2025</v>
      </c>
      <c r="B293" s="5" t="s">
        <v>3</v>
      </c>
      <c r="C293" s="10">
        <v>28630</v>
      </c>
      <c r="D293" s="5">
        <v>13480</v>
      </c>
      <c r="E293" s="13">
        <v>0.64</v>
      </c>
      <c r="F293">
        <v>24890</v>
      </c>
      <c r="G293">
        <v>8880</v>
      </c>
      <c r="H293" s="4">
        <v>0.4</v>
      </c>
      <c r="I293" s="4">
        <v>0.52400000000000013</v>
      </c>
      <c r="J293" s="4">
        <v>0.58320000000000027</v>
      </c>
      <c r="K293" s="4">
        <v>0.44</v>
      </c>
      <c r="L293" s="5" t="s">
        <v>22</v>
      </c>
    </row>
    <row r="294" spans="1:12" x14ac:dyDescent="0.25">
      <c r="A294" s="5">
        <v>2025</v>
      </c>
      <c r="B294" s="5" t="s">
        <v>4</v>
      </c>
      <c r="C294" s="10">
        <v>28550</v>
      </c>
      <c r="D294" s="5">
        <v>8530</v>
      </c>
      <c r="E294" s="13">
        <v>0.72</v>
      </c>
      <c r="F294">
        <v>24789</v>
      </c>
      <c r="G294">
        <v>8820</v>
      </c>
      <c r="H294" s="4">
        <v>0.49</v>
      </c>
      <c r="I294" s="4">
        <v>0.66300000000000026</v>
      </c>
      <c r="J294" s="4">
        <v>0.69660000000000044</v>
      </c>
      <c r="K294" s="4">
        <v>0.53</v>
      </c>
      <c r="L294" s="5" t="s">
        <v>22</v>
      </c>
    </row>
    <row r="295" spans="1:12" x14ac:dyDescent="0.25">
      <c r="A295" s="5">
        <v>2025</v>
      </c>
      <c r="B295" s="5" t="s">
        <v>5</v>
      </c>
      <c r="C295" s="10">
        <v>6380</v>
      </c>
      <c r="D295" s="5">
        <v>9180</v>
      </c>
      <c r="E295" s="13">
        <v>0.81</v>
      </c>
      <c r="F295">
        <v>25123</v>
      </c>
      <c r="G295">
        <v>7260</v>
      </c>
      <c r="H295" s="4">
        <v>0.56999999999999995</v>
      </c>
      <c r="I295" s="4">
        <v>0.77500000000000036</v>
      </c>
      <c r="J295" s="4">
        <v>0.80460000000000054</v>
      </c>
      <c r="K295" s="4">
        <v>0.62</v>
      </c>
      <c r="L295" s="5" t="s">
        <v>22</v>
      </c>
    </row>
    <row r="296" spans="1:12" x14ac:dyDescent="0.25">
      <c r="A296" s="5">
        <v>2025</v>
      </c>
      <c r="B296" s="5" t="s">
        <v>6</v>
      </c>
      <c r="C296" s="10">
        <v>14750</v>
      </c>
      <c r="D296" s="5">
        <v>4660</v>
      </c>
      <c r="E296" s="13">
        <v>0.52</v>
      </c>
      <c r="F296">
        <v>25345</v>
      </c>
      <c r="G296">
        <v>7580</v>
      </c>
      <c r="H296" s="4">
        <v>0.66</v>
      </c>
      <c r="I296" s="4">
        <v>0.88700000000000045</v>
      </c>
      <c r="J296" s="4">
        <v>0.91260000000000063</v>
      </c>
      <c r="K296" s="4">
        <v>0.7</v>
      </c>
      <c r="L296" s="5" t="s">
        <v>22</v>
      </c>
    </row>
    <row r="297" spans="1:12" x14ac:dyDescent="0.25">
      <c r="A297" s="5">
        <v>2025</v>
      </c>
      <c r="B297" s="5" t="s">
        <v>7</v>
      </c>
      <c r="C297" s="10">
        <v>3760</v>
      </c>
      <c r="D297" s="5">
        <v>3200</v>
      </c>
      <c r="E297" s="13">
        <v>0.61</v>
      </c>
      <c r="F297">
        <v>25123</v>
      </c>
      <c r="G297">
        <v>6200</v>
      </c>
      <c r="H297" s="4">
        <v>0.74</v>
      </c>
      <c r="I297" s="4">
        <v>1.2230000000000008</v>
      </c>
      <c r="J297" s="4">
        <v>1.1826000000000001</v>
      </c>
      <c r="K297" s="4">
        <v>0.78</v>
      </c>
      <c r="L297" s="5" t="s">
        <v>22</v>
      </c>
    </row>
    <row r="298" spans="1:12" x14ac:dyDescent="0.25">
      <c r="A298" s="5">
        <v>2025</v>
      </c>
      <c r="B298" s="5" t="s">
        <v>8</v>
      </c>
      <c r="C298" s="10">
        <v>16840</v>
      </c>
      <c r="D298" s="5">
        <v>12200</v>
      </c>
      <c r="E298" s="13">
        <v>0.7</v>
      </c>
      <c r="F298">
        <v>24901</v>
      </c>
      <c r="G298">
        <v>4920</v>
      </c>
      <c r="H298" s="4">
        <v>0.81</v>
      </c>
      <c r="I298" s="4">
        <v>0.14000000000000001</v>
      </c>
      <c r="J298" s="4">
        <v>0.19600000000000001</v>
      </c>
      <c r="K298" s="4">
        <v>0.85</v>
      </c>
      <c r="L298" s="5" t="s">
        <v>22</v>
      </c>
    </row>
    <row r="299" spans="1:12" x14ac:dyDescent="0.25">
      <c r="A299" s="5">
        <v>2025</v>
      </c>
      <c r="B299" s="5" t="s">
        <v>9</v>
      </c>
      <c r="C299" s="10">
        <v>23050</v>
      </c>
      <c r="D299" s="5">
        <v>23050</v>
      </c>
      <c r="E299" s="13">
        <v>0.72</v>
      </c>
      <c r="F299">
        <v>25234</v>
      </c>
      <c r="G299">
        <v>5180</v>
      </c>
      <c r="H299" s="4">
        <v>0.89</v>
      </c>
      <c r="I299" s="4">
        <v>0.30499999999999999</v>
      </c>
      <c r="J299" s="4">
        <v>0.3580000000000001</v>
      </c>
      <c r="K299" s="4">
        <v>0.92</v>
      </c>
      <c r="L299" s="5" t="s">
        <v>22</v>
      </c>
    </row>
    <row r="300" spans="1:12" x14ac:dyDescent="0.25">
      <c r="A300" s="5">
        <v>2025</v>
      </c>
      <c r="B300" s="5" t="s">
        <v>10</v>
      </c>
      <c r="C300" s="10">
        <v>38080</v>
      </c>
      <c r="D300" s="5">
        <v>18760</v>
      </c>
      <c r="E300" s="13">
        <v>0.57999999999999996</v>
      </c>
      <c r="F300">
        <v>25567</v>
      </c>
      <c r="G300">
        <v>7580</v>
      </c>
      <c r="H300" s="4">
        <v>1.33</v>
      </c>
      <c r="I300" s="4">
        <v>0.44300000000000006</v>
      </c>
      <c r="J300" s="4">
        <v>0.49680000000000019</v>
      </c>
      <c r="K300" s="4">
        <v>0.96</v>
      </c>
      <c r="L300" s="5" t="s">
        <v>22</v>
      </c>
    </row>
    <row r="301" spans="1:12" x14ac:dyDescent="0.25">
      <c r="A301" s="5">
        <v>2025</v>
      </c>
      <c r="B301" s="5" t="s">
        <v>11</v>
      </c>
      <c r="C301" s="10">
        <v>8040</v>
      </c>
      <c r="D301" s="5">
        <v>9060</v>
      </c>
      <c r="E301" s="13">
        <v>0.68</v>
      </c>
      <c r="F301">
        <v>25456</v>
      </c>
      <c r="G301">
        <v>8900</v>
      </c>
      <c r="H301" s="4">
        <v>1.18</v>
      </c>
      <c r="I301" s="4">
        <v>0.60700000000000021</v>
      </c>
      <c r="J301" s="4">
        <v>0.64080000000000037</v>
      </c>
      <c r="K301" s="4">
        <v>1</v>
      </c>
      <c r="L301" s="5" t="s">
        <v>22</v>
      </c>
    </row>
    <row r="302" spans="1:12" x14ac:dyDescent="0.25">
      <c r="A302" s="5">
        <v>2026</v>
      </c>
      <c r="B302" s="5" t="s">
        <v>0</v>
      </c>
      <c r="C302" s="10">
        <v>19600</v>
      </c>
      <c r="D302" s="5">
        <v>6890</v>
      </c>
      <c r="E302" s="13">
        <v>0.2</v>
      </c>
      <c r="F302">
        <v>25345</v>
      </c>
      <c r="G302">
        <v>8840</v>
      </c>
      <c r="H302" s="4">
        <v>0.15</v>
      </c>
      <c r="I302" s="4">
        <v>0.74700000000000033</v>
      </c>
      <c r="J302" s="4">
        <v>0.77760000000000051</v>
      </c>
      <c r="K302" s="4">
        <v>0.2</v>
      </c>
      <c r="L302" s="5" t="s">
        <v>22</v>
      </c>
    </row>
    <row r="303" spans="1:12" x14ac:dyDescent="0.25">
      <c r="A303" s="5">
        <v>2026</v>
      </c>
      <c r="B303" s="5" t="s">
        <v>1</v>
      </c>
      <c r="C303" s="10">
        <v>7720</v>
      </c>
      <c r="D303" s="5">
        <v>9820</v>
      </c>
      <c r="E303" s="13">
        <v>0.6</v>
      </c>
      <c r="F303">
        <v>25678</v>
      </c>
      <c r="G303">
        <v>7300</v>
      </c>
      <c r="H303" s="4">
        <v>0.25</v>
      </c>
      <c r="I303" s="4">
        <v>0.85900000000000043</v>
      </c>
      <c r="J303" s="4">
        <v>0.88560000000000061</v>
      </c>
      <c r="K303" s="4">
        <v>0.3</v>
      </c>
      <c r="L303" s="5" t="s">
        <v>22</v>
      </c>
    </row>
    <row r="304" spans="1:12" x14ac:dyDescent="0.25">
      <c r="A304" s="5">
        <v>2026</v>
      </c>
      <c r="B304" s="5" t="s">
        <v>2</v>
      </c>
      <c r="C304" s="10">
        <v>19660</v>
      </c>
      <c r="D304" s="5">
        <v>11540</v>
      </c>
      <c r="E304" s="13">
        <v>0.56999999999999995</v>
      </c>
      <c r="F304">
        <v>25901</v>
      </c>
      <c r="G304">
        <v>7620</v>
      </c>
      <c r="H304" s="4">
        <v>0.35</v>
      </c>
      <c r="I304" s="4">
        <v>1.3350000000000009</v>
      </c>
      <c r="J304" s="4">
        <v>1.1826000000000001</v>
      </c>
      <c r="K304" s="4">
        <v>0.4</v>
      </c>
      <c r="L304" s="5" t="s">
        <v>22</v>
      </c>
    </row>
    <row r="305" spans="1:12" x14ac:dyDescent="0.25">
      <c r="A305" s="5">
        <v>2026</v>
      </c>
      <c r="B305" s="5" t="s">
        <v>3</v>
      </c>
      <c r="C305" s="10">
        <v>25170</v>
      </c>
      <c r="D305" s="5">
        <v>7950</v>
      </c>
      <c r="E305" s="13">
        <v>0.42</v>
      </c>
      <c r="F305">
        <v>25789</v>
      </c>
      <c r="G305">
        <v>8760</v>
      </c>
      <c r="H305" s="4">
        <v>0.45</v>
      </c>
      <c r="I305" s="4">
        <v>1.3070000000000008</v>
      </c>
      <c r="J305" s="4">
        <v>1.3445999999999996</v>
      </c>
      <c r="K305" s="4">
        <v>0.5</v>
      </c>
      <c r="L305" s="5" t="s">
        <v>22</v>
      </c>
    </row>
    <row r="306" spans="1:12" x14ac:dyDescent="0.25">
      <c r="A306" s="5">
        <v>2026</v>
      </c>
      <c r="B306" s="5" t="s">
        <v>4</v>
      </c>
      <c r="C306" s="10">
        <v>22720</v>
      </c>
      <c r="D306" s="5">
        <v>17850</v>
      </c>
      <c r="E306" s="13">
        <v>0.65</v>
      </c>
      <c r="F306">
        <v>25678</v>
      </c>
      <c r="G306">
        <v>8680</v>
      </c>
      <c r="H306" s="4">
        <v>0.55000000000000004</v>
      </c>
      <c r="I306" s="4">
        <v>0.16800000000000001</v>
      </c>
      <c r="J306" s="4">
        <v>0.223</v>
      </c>
      <c r="K306" s="4">
        <v>0.6</v>
      </c>
      <c r="L306" s="5" t="s">
        <v>22</v>
      </c>
    </row>
    <row r="307" spans="1:12" x14ac:dyDescent="0.25">
      <c r="A307" s="5">
        <v>2026</v>
      </c>
      <c r="B307" s="5" t="s">
        <v>5</v>
      </c>
      <c r="C307" s="10">
        <v>59060</v>
      </c>
      <c r="D307" s="5">
        <v>27800</v>
      </c>
      <c r="E307" s="13">
        <v>0.42</v>
      </c>
      <c r="F307">
        <v>26012</v>
      </c>
      <c r="G307">
        <v>7000</v>
      </c>
      <c r="H307" s="4">
        <v>0.65</v>
      </c>
      <c r="I307" s="4">
        <v>0.33</v>
      </c>
      <c r="J307" s="4">
        <v>0.38500000000000012</v>
      </c>
      <c r="K307" s="4">
        <v>0.7</v>
      </c>
      <c r="L307" s="5" t="s">
        <v>22</v>
      </c>
    </row>
    <row r="308" spans="1:12" x14ac:dyDescent="0.25">
      <c r="A308" s="5">
        <v>2026</v>
      </c>
      <c r="B308" s="5" t="s">
        <v>6</v>
      </c>
      <c r="C308" s="10">
        <v>30910</v>
      </c>
      <c r="D308" s="5">
        <v>32170</v>
      </c>
      <c r="E308" s="13">
        <v>0.77</v>
      </c>
      <c r="F308">
        <v>25890</v>
      </c>
      <c r="G308">
        <v>7320</v>
      </c>
      <c r="H308" s="4">
        <v>0.74</v>
      </c>
      <c r="I308" s="4">
        <v>0.47000000000000008</v>
      </c>
      <c r="J308" s="4">
        <v>0.52560000000000018</v>
      </c>
      <c r="K308" s="4">
        <v>0.78</v>
      </c>
      <c r="L308" s="5" t="s">
        <v>22</v>
      </c>
    </row>
    <row r="309" spans="1:12" x14ac:dyDescent="0.25">
      <c r="A309" s="5">
        <v>2026</v>
      </c>
      <c r="B309" s="5" t="s">
        <v>7</v>
      </c>
      <c r="C309" s="10">
        <v>35700</v>
      </c>
      <c r="D309" s="5">
        <v>30410</v>
      </c>
      <c r="E309" s="13">
        <v>0.75</v>
      </c>
      <c r="F309">
        <v>25789</v>
      </c>
      <c r="G309">
        <v>5940</v>
      </c>
      <c r="H309" s="4">
        <v>0.82</v>
      </c>
      <c r="I309" s="4">
        <v>0.63500000000000023</v>
      </c>
      <c r="J309" s="4">
        <v>0.66960000000000042</v>
      </c>
      <c r="K309" s="4">
        <v>0.85</v>
      </c>
      <c r="L309" s="5" t="s">
        <v>22</v>
      </c>
    </row>
    <row r="310" spans="1:12" x14ac:dyDescent="0.25">
      <c r="A310" s="5">
        <v>2026</v>
      </c>
      <c r="B310" s="5" t="s">
        <v>8</v>
      </c>
      <c r="C310" s="10">
        <v>43370</v>
      </c>
      <c r="D310" s="5">
        <v>28910</v>
      </c>
      <c r="E310" s="13">
        <v>0.78</v>
      </c>
      <c r="F310">
        <v>26123</v>
      </c>
      <c r="G310">
        <v>4680</v>
      </c>
      <c r="H310" s="4">
        <v>0.88</v>
      </c>
      <c r="I310" s="4">
        <v>0.74700000000000033</v>
      </c>
      <c r="J310" s="4">
        <v>0.80460000000000054</v>
      </c>
      <c r="K310" s="4">
        <v>0.91</v>
      </c>
      <c r="L310" s="5" t="s">
        <v>22</v>
      </c>
    </row>
    <row r="311" spans="1:12" x14ac:dyDescent="0.25">
      <c r="A311" s="5">
        <v>2026</v>
      </c>
      <c r="B311" s="5" t="s">
        <v>9</v>
      </c>
      <c r="C311" s="10">
        <v>22590</v>
      </c>
      <c r="D311" s="5">
        <v>17040</v>
      </c>
      <c r="E311" s="13">
        <v>0.52</v>
      </c>
      <c r="F311">
        <v>26345</v>
      </c>
      <c r="G311">
        <v>4900</v>
      </c>
      <c r="H311" s="4">
        <v>1.3</v>
      </c>
      <c r="I311" s="4">
        <v>0.85900000000000043</v>
      </c>
      <c r="J311" s="4">
        <v>0.88560000000000061</v>
      </c>
      <c r="K311" s="4">
        <v>0.96</v>
      </c>
      <c r="L311" s="5" t="s">
        <v>22</v>
      </c>
    </row>
    <row r="312" spans="1:12" x14ac:dyDescent="0.25">
      <c r="A312" s="5">
        <v>2026</v>
      </c>
      <c r="B312" s="5" t="s">
        <v>10</v>
      </c>
      <c r="C312" s="10">
        <v>20630</v>
      </c>
      <c r="D312" s="5">
        <v>29690</v>
      </c>
      <c r="E312" s="13">
        <v>0.32</v>
      </c>
      <c r="F312">
        <v>26123</v>
      </c>
      <c r="G312">
        <v>7460</v>
      </c>
      <c r="H312" s="4">
        <v>1.22</v>
      </c>
      <c r="I312" s="4">
        <v>1.2230000000000008</v>
      </c>
      <c r="J312" s="4">
        <v>1.2096</v>
      </c>
      <c r="K312" s="4">
        <v>0.99</v>
      </c>
      <c r="L312" s="5" t="s">
        <v>22</v>
      </c>
    </row>
    <row r="313" spans="1:12" x14ac:dyDescent="0.25">
      <c r="A313" s="5">
        <v>2026</v>
      </c>
      <c r="B313" s="5" t="s">
        <v>11</v>
      </c>
      <c r="C313" s="10">
        <v>22510</v>
      </c>
      <c r="D313" s="5">
        <v>11590</v>
      </c>
      <c r="E313" s="13">
        <v>0.35</v>
      </c>
      <c r="F313">
        <v>25901</v>
      </c>
      <c r="G313">
        <v>8780</v>
      </c>
      <c r="H313" s="4">
        <v>1.24</v>
      </c>
      <c r="I313" s="4">
        <v>1.2510000000000008</v>
      </c>
      <c r="J313" s="4">
        <v>1.2365999999999999</v>
      </c>
      <c r="K313" s="4">
        <v>1</v>
      </c>
      <c r="L313" s="5" t="s">
        <v>22</v>
      </c>
    </row>
    <row r="314" spans="1:12" x14ac:dyDescent="0.25">
      <c r="A314" s="5">
        <v>2027</v>
      </c>
      <c r="B314" s="5" t="s">
        <v>0</v>
      </c>
      <c r="C314" s="10">
        <v>38770</v>
      </c>
      <c r="D314" s="5">
        <v>18240</v>
      </c>
      <c r="E314" s="13">
        <v>0.7</v>
      </c>
      <c r="F314">
        <v>26234</v>
      </c>
      <c r="G314">
        <v>8720</v>
      </c>
      <c r="H314" s="4">
        <v>0.16</v>
      </c>
      <c r="I314" s="4">
        <v>0.16800000000000001</v>
      </c>
      <c r="J314" s="4">
        <v>0.223</v>
      </c>
      <c r="K314" s="4">
        <v>0.22</v>
      </c>
      <c r="L314" s="5" t="s">
        <v>22</v>
      </c>
    </row>
    <row r="315" spans="1:12" x14ac:dyDescent="0.25">
      <c r="A315" s="5">
        <v>2027</v>
      </c>
      <c r="B315" s="5" t="s">
        <v>1</v>
      </c>
      <c r="C315" s="10">
        <v>27800</v>
      </c>
      <c r="D315" s="5">
        <v>13080</v>
      </c>
      <c r="E315" s="13">
        <v>0.4</v>
      </c>
      <c r="F315">
        <v>26567</v>
      </c>
      <c r="G315">
        <v>7060</v>
      </c>
      <c r="H315" s="4">
        <v>0.27</v>
      </c>
      <c r="I315" s="4">
        <v>0.33</v>
      </c>
      <c r="J315" s="4">
        <v>0.41200000000000014</v>
      </c>
      <c r="K315" s="4">
        <v>0.33</v>
      </c>
      <c r="L315" s="5" t="s">
        <v>22</v>
      </c>
    </row>
    <row r="316" spans="1:12" x14ac:dyDescent="0.25">
      <c r="A316" s="5">
        <v>2027</v>
      </c>
      <c r="B316" s="5" t="s">
        <v>2</v>
      </c>
      <c r="C316" s="10">
        <v>44410</v>
      </c>
      <c r="D316" s="5">
        <v>18140</v>
      </c>
      <c r="E316" s="13">
        <v>0.63</v>
      </c>
      <c r="F316">
        <v>26456</v>
      </c>
      <c r="G316">
        <v>7380</v>
      </c>
      <c r="H316" s="4">
        <v>0.38</v>
      </c>
      <c r="I316" s="4">
        <v>0.49700000000000011</v>
      </c>
      <c r="J316" s="4">
        <v>0.55440000000000023</v>
      </c>
      <c r="K316" s="4">
        <v>0.43</v>
      </c>
      <c r="L316" s="5" t="s">
        <v>22</v>
      </c>
    </row>
    <row r="317" spans="1:12" x14ac:dyDescent="0.25">
      <c r="A317" s="5">
        <v>2027</v>
      </c>
      <c r="B317" s="5" t="s">
        <v>3</v>
      </c>
      <c r="C317" s="10">
        <v>29140</v>
      </c>
      <c r="D317" s="5">
        <v>28000</v>
      </c>
      <c r="E317" s="13">
        <v>0.55000000000000004</v>
      </c>
      <c r="F317">
        <v>26345</v>
      </c>
      <c r="G317">
        <v>6000</v>
      </c>
      <c r="H317" s="4">
        <v>0.48</v>
      </c>
      <c r="I317" s="4">
        <v>0.66300000000000026</v>
      </c>
      <c r="J317" s="4">
        <v>0.69660000000000044</v>
      </c>
      <c r="K317" s="4">
        <v>0.53</v>
      </c>
      <c r="L317" s="5" t="s">
        <v>22</v>
      </c>
    </row>
    <row r="318" spans="1:12" x14ac:dyDescent="0.25">
      <c r="A318" s="5">
        <v>2027</v>
      </c>
      <c r="B318" s="5" t="s">
        <v>4</v>
      </c>
      <c r="C318" s="10">
        <v>39120</v>
      </c>
      <c r="D318" s="5">
        <v>32010</v>
      </c>
      <c r="E318" s="13">
        <v>0.4</v>
      </c>
      <c r="F318">
        <v>26678</v>
      </c>
      <c r="G318">
        <v>4720</v>
      </c>
      <c r="H318" s="4">
        <v>0.57999999999999996</v>
      </c>
      <c r="I318" s="4">
        <v>0.77500000000000036</v>
      </c>
      <c r="J318" s="4">
        <v>0.83160000000000056</v>
      </c>
      <c r="K318" s="4">
        <v>0.63</v>
      </c>
      <c r="L318" s="5" t="s">
        <v>22</v>
      </c>
    </row>
    <row r="319" spans="1:12" x14ac:dyDescent="0.25">
      <c r="A319" s="5">
        <v>2027</v>
      </c>
      <c r="B319" s="5" t="s">
        <v>5</v>
      </c>
      <c r="C319" s="10">
        <v>14030</v>
      </c>
      <c r="D319" s="5">
        <v>19380</v>
      </c>
      <c r="E319" s="13">
        <v>0.53</v>
      </c>
      <c r="F319">
        <v>26901</v>
      </c>
      <c r="G319">
        <v>4960</v>
      </c>
      <c r="H319" s="4">
        <v>0.68</v>
      </c>
      <c r="I319" s="4">
        <v>0.88700000000000045</v>
      </c>
      <c r="J319" s="4">
        <v>0.91260000000000063</v>
      </c>
      <c r="K319" s="4">
        <v>0.73</v>
      </c>
      <c r="L319" s="5" t="s">
        <v>22</v>
      </c>
    </row>
    <row r="320" spans="1:12" x14ac:dyDescent="0.25">
      <c r="A320" s="5">
        <v>2027</v>
      </c>
      <c r="B320" s="5" t="s">
        <v>6</v>
      </c>
      <c r="C320" s="10">
        <v>40110</v>
      </c>
      <c r="D320" s="5">
        <v>15600</v>
      </c>
      <c r="E320" s="13">
        <v>0.65</v>
      </c>
      <c r="F320">
        <v>26789</v>
      </c>
      <c r="G320">
        <v>7480</v>
      </c>
      <c r="H320" s="4">
        <v>0.76</v>
      </c>
      <c r="I320" s="4">
        <v>1.2510000000000008</v>
      </c>
      <c r="J320" s="4">
        <v>1.3445999999999996</v>
      </c>
      <c r="K320" s="4">
        <v>0.8</v>
      </c>
      <c r="L320" s="5" t="s">
        <v>22</v>
      </c>
    </row>
    <row r="321" spans="1:12" x14ac:dyDescent="0.25">
      <c r="A321" s="5">
        <v>2027</v>
      </c>
      <c r="B321" s="5" t="s">
        <v>7</v>
      </c>
      <c r="C321" s="10">
        <v>27580</v>
      </c>
      <c r="D321" s="5">
        <v>16910</v>
      </c>
      <c r="E321" s="13">
        <v>0.69</v>
      </c>
      <c r="F321">
        <v>26678</v>
      </c>
      <c r="G321">
        <v>8800</v>
      </c>
      <c r="H321" s="4">
        <v>0.83</v>
      </c>
      <c r="I321" s="4">
        <v>1.3070000000000008</v>
      </c>
      <c r="J321" s="4">
        <v>1.2905999999999997</v>
      </c>
      <c r="K321" s="4">
        <v>0.86</v>
      </c>
      <c r="L321" s="5" t="s">
        <v>22</v>
      </c>
    </row>
    <row r="322" spans="1:12" x14ac:dyDescent="0.25">
      <c r="A322" s="5">
        <v>2027</v>
      </c>
      <c r="B322" s="5" t="s">
        <v>8</v>
      </c>
      <c r="C322" s="10">
        <v>40100</v>
      </c>
      <c r="D322" s="5">
        <v>14090</v>
      </c>
      <c r="E322" s="13">
        <v>0.68</v>
      </c>
      <c r="F322">
        <v>27012</v>
      </c>
      <c r="G322">
        <v>8740</v>
      </c>
      <c r="H322" s="4">
        <v>0.89</v>
      </c>
      <c r="I322" s="4">
        <v>0.14000000000000001</v>
      </c>
      <c r="J322" s="4">
        <v>0.19600000000000001</v>
      </c>
      <c r="K322" s="4">
        <v>0.92</v>
      </c>
      <c r="L322" s="5" t="s">
        <v>22</v>
      </c>
    </row>
    <row r="323" spans="1:12" x14ac:dyDescent="0.25">
      <c r="A323" s="5">
        <v>2027</v>
      </c>
      <c r="B323" s="5" t="s">
        <v>9</v>
      </c>
      <c r="C323" s="10">
        <v>14300</v>
      </c>
      <c r="D323" s="5">
        <v>14300</v>
      </c>
      <c r="E323" s="13">
        <v>0.7</v>
      </c>
      <c r="F323">
        <v>26890</v>
      </c>
      <c r="G323">
        <v>7100</v>
      </c>
      <c r="H323" s="4">
        <v>1.25</v>
      </c>
      <c r="I323" s="4">
        <v>0.27800000000000002</v>
      </c>
      <c r="J323" s="4">
        <v>0.33100000000000007</v>
      </c>
      <c r="K323" s="4">
        <v>0.97</v>
      </c>
      <c r="L323" s="5" t="s">
        <v>22</v>
      </c>
    </row>
    <row r="324" spans="1:12" x14ac:dyDescent="0.25">
      <c r="A324" s="5">
        <v>2027</v>
      </c>
      <c r="B324" s="5" t="s">
        <v>10</v>
      </c>
      <c r="C324" s="10">
        <v>16550</v>
      </c>
      <c r="D324" s="5">
        <v>11030</v>
      </c>
      <c r="E324" s="13">
        <v>0.55000000000000004</v>
      </c>
      <c r="F324">
        <v>26789</v>
      </c>
      <c r="G324">
        <v>7420</v>
      </c>
      <c r="H324" s="4">
        <v>1.31</v>
      </c>
      <c r="I324" s="4">
        <v>0.38900000000000001</v>
      </c>
      <c r="J324" s="4">
        <v>0.44000000000000017</v>
      </c>
      <c r="K324" s="4">
        <v>0.99</v>
      </c>
      <c r="L324" s="5" t="s">
        <v>22</v>
      </c>
    </row>
    <row r="325" spans="1:12" x14ac:dyDescent="0.25">
      <c r="A325" s="5">
        <v>2027</v>
      </c>
      <c r="B325" s="5" t="s">
        <v>11</v>
      </c>
      <c r="C325" s="10">
        <v>24540</v>
      </c>
      <c r="D325" s="5">
        <v>8620</v>
      </c>
      <c r="E325" s="13">
        <v>0.38</v>
      </c>
      <c r="F325">
        <v>27123</v>
      </c>
      <c r="G325">
        <v>6040</v>
      </c>
      <c r="H325" s="4">
        <v>1.28</v>
      </c>
      <c r="I325" s="4">
        <v>0.52400000000000013</v>
      </c>
      <c r="J325" s="4">
        <v>0.58320000000000027</v>
      </c>
      <c r="K325" s="4">
        <v>1</v>
      </c>
      <c r="L325" s="5" t="s">
        <v>22</v>
      </c>
    </row>
    <row r="326" spans="1:12" x14ac:dyDescent="0.25">
      <c r="A326" s="5">
        <v>2028</v>
      </c>
      <c r="B326" s="5" t="s">
        <v>0</v>
      </c>
      <c r="C326" s="10">
        <v>31740</v>
      </c>
      <c r="D326" s="5">
        <v>11740</v>
      </c>
      <c r="E326" s="13">
        <v>0.61</v>
      </c>
      <c r="F326">
        <v>27345</v>
      </c>
      <c r="G326">
        <v>4760</v>
      </c>
      <c r="H326" s="4">
        <v>0.17</v>
      </c>
      <c r="I326" s="4">
        <v>0.66300000000000026</v>
      </c>
      <c r="J326" s="4">
        <v>0.69660000000000044</v>
      </c>
      <c r="K326" s="4">
        <v>0.23</v>
      </c>
      <c r="L326" s="5" t="s">
        <v>22</v>
      </c>
    </row>
    <row r="327" spans="1:12" x14ac:dyDescent="0.25">
      <c r="A327" s="5">
        <v>2028</v>
      </c>
      <c r="B327" s="5" t="s">
        <v>1</v>
      </c>
      <c r="C327" s="10">
        <v>47830</v>
      </c>
      <c r="D327" s="5">
        <v>36080</v>
      </c>
      <c r="E327" s="13">
        <v>0.73</v>
      </c>
      <c r="F327">
        <v>27123</v>
      </c>
      <c r="G327">
        <v>5020</v>
      </c>
      <c r="H327" s="4">
        <v>0.28000000000000003</v>
      </c>
      <c r="I327" s="4">
        <v>0.77500000000000036</v>
      </c>
      <c r="J327" s="4">
        <v>0.80460000000000054</v>
      </c>
      <c r="K327" s="4">
        <v>0.34</v>
      </c>
      <c r="L327" s="5" t="s">
        <v>22</v>
      </c>
    </row>
    <row r="328" spans="1:12" x14ac:dyDescent="0.25">
      <c r="A328" s="5">
        <v>2028</v>
      </c>
      <c r="B328" s="5" t="s">
        <v>2</v>
      </c>
      <c r="C328" s="10">
        <v>39920</v>
      </c>
      <c r="D328" s="5">
        <v>27740</v>
      </c>
      <c r="E328" s="13">
        <v>0.67</v>
      </c>
      <c r="F328">
        <v>26901</v>
      </c>
      <c r="G328">
        <v>7500</v>
      </c>
      <c r="H328" s="4">
        <v>0.4</v>
      </c>
      <c r="I328" s="4">
        <v>0.88700000000000045</v>
      </c>
      <c r="J328" s="4">
        <v>0.91260000000000063</v>
      </c>
      <c r="K328" s="4">
        <v>0.45</v>
      </c>
      <c r="L328" s="5" t="s">
        <v>22</v>
      </c>
    </row>
    <row r="329" spans="1:12" x14ac:dyDescent="0.25">
      <c r="A329" s="5">
        <v>2028</v>
      </c>
      <c r="B329" s="5" t="s">
        <v>3</v>
      </c>
      <c r="C329" s="10">
        <v>53940</v>
      </c>
      <c r="D329" s="5">
        <v>51830</v>
      </c>
      <c r="E329" s="13">
        <v>0.8</v>
      </c>
      <c r="F329">
        <v>27234</v>
      </c>
      <c r="G329">
        <v>8820</v>
      </c>
      <c r="H329" s="4">
        <v>0.5</v>
      </c>
      <c r="I329" s="4">
        <v>1.3070000000000008</v>
      </c>
      <c r="J329" s="4">
        <v>1.2096</v>
      </c>
      <c r="K329" s="4">
        <v>0.55000000000000004</v>
      </c>
      <c r="L329" s="5" t="s">
        <v>22</v>
      </c>
    </row>
    <row r="330" spans="1:12" x14ac:dyDescent="0.25">
      <c r="A330" s="5">
        <v>2028</v>
      </c>
      <c r="B330" s="5" t="s">
        <v>4</v>
      </c>
      <c r="C330" s="10">
        <v>66770</v>
      </c>
      <c r="D330" s="5">
        <v>40920</v>
      </c>
      <c r="E330" s="13">
        <v>0.57999999999999996</v>
      </c>
      <c r="F330">
        <v>27567</v>
      </c>
      <c r="G330">
        <v>8760</v>
      </c>
      <c r="H330" s="4">
        <v>0.6</v>
      </c>
      <c r="I330" s="4">
        <v>0.14000000000000001</v>
      </c>
      <c r="J330" s="4">
        <v>0.19600000000000001</v>
      </c>
      <c r="K330" s="4">
        <v>0.65</v>
      </c>
      <c r="L330" s="5" t="s">
        <v>22</v>
      </c>
    </row>
    <row r="331" spans="1:12" x14ac:dyDescent="0.25">
      <c r="A331" s="5">
        <v>2028</v>
      </c>
      <c r="B331" s="5" t="s">
        <v>5</v>
      </c>
      <c r="C331" s="10">
        <v>32880</v>
      </c>
      <c r="D331" s="5">
        <v>47320</v>
      </c>
      <c r="E331" s="13">
        <v>0.64</v>
      </c>
      <c r="F331">
        <v>27456</v>
      </c>
      <c r="G331">
        <v>7140</v>
      </c>
      <c r="H331" s="4">
        <v>0.7</v>
      </c>
      <c r="I331" s="4">
        <v>0.30499999999999999</v>
      </c>
      <c r="J331" s="4">
        <v>0.3580000000000001</v>
      </c>
      <c r="K331" s="4">
        <v>0.75</v>
      </c>
      <c r="L331" s="5" t="s">
        <v>22</v>
      </c>
    </row>
    <row r="332" spans="1:12" x14ac:dyDescent="0.25">
      <c r="A332" s="5">
        <v>2028</v>
      </c>
      <c r="B332" s="5" t="s">
        <v>6</v>
      </c>
      <c r="C332" s="10">
        <v>28020</v>
      </c>
      <c r="D332" s="5">
        <v>25870</v>
      </c>
      <c r="E332" s="13">
        <v>0.65</v>
      </c>
      <c r="F332">
        <v>27345</v>
      </c>
      <c r="G332">
        <v>7460</v>
      </c>
      <c r="H332" s="4">
        <v>0.78</v>
      </c>
      <c r="I332" s="4">
        <v>0.44300000000000006</v>
      </c>
      <c r="J332" s="4">
        <v>0.49680000000000019</v>
      </c>
      <c r="K332" s="4">
        <v>0.82</v>
      </c>
      <c r="L332" s="5" t="s">
        <v>22</v>
      </c>
    </row>
    <row r="333" spans="1:12" x14ac:dyDescent="0.25">
      <c r="A333" s="5">
        <v>2028</v>
      </c>
      <c r="B333" s="5" t="s">
        <v>7</v>
      </c>
      <c r="C333" s="10">
        <v>44540</v>
      </c>
      <c r="D333" s="5">
        <v>19090</v>
      </c>
      <c r="E333" s="13">
        <v>0.65</v>
      </c>
      <c r="F333">
        <v>27678</v>
      </c>
      <c r="G333">
        <v>6080</v>
      </c>
      <c r="H333" s="4">
        <v>0.85</v>
      </c>
      <c r="I333" s="4">
        <v>0.60700000000000021</v>
      </c>
      <c r="J333" s="4">
        <v>0.64080000000000037</v>
      </c>
      <c r="K333" s="4">
        <v>0.88</v>
      </c>
      <c r="L333" s="5" t="s">
        <v>22</v>
      </c>
    </row>
    <row r="334" spans="1:12" x14ac:dyDescent="0.25">
      <c r="A334" s="5">
        <v>2028</v>
      </c>
      <c r="B334" s="5" t="s">
        <v>8</v>
      </c>
      <c r="C334" s="10">
        <v>21380</v>
      </c>
      <c r="D334" s="5">
        <v>7510</v>
      </c>
      <c r="E334" s="13">
        <v>0.43</v>
      </c>
      <c r="F334">
        <v>27901</v>
      </c>
      <c r="G334">
        <v>4800</v>
      </c>
      <c r="H334" s="4">
        <v>0.91</v>
      </c>
      <c r="I334" s="4">
        <v>0.74700000000000033</v>
      </c>
      <c r="J334" s="4">
        <v>0.77760000000000051</v>
      </c>
      <c r="K334" s="4">
        <v>0.94</v>
      </c>
      <c r="L334" s="5" t="s">
        <v>22</v>
      </c>
    </row>
    <row r="335" spans="1:12" x14ac:dyDescent="0.25">
      <c r="A335" s="5">
        <v>2028</v>
      </c>
      <c r="B335" s="5" t="s">
        <v>9</v>
      </c>
      <c r="C335" s="10">
        <v>92630</v>
      </c>
      <c r="D335" s="5">
        <v>52110</v>
      </c>
      <c r="E335" s="13">
        <v>0.77</v>
      </c>
      <c r="F335">
        <v>27789</v>
      </c>
      <c r="G335">
        <v>5060</v>
      </c>
      <c r="H335" s="4">
        <v>1.26</v>
      </c>
      <c r="I335" s="4">
        <v>0.85900000000000043</v>
      </c>
      <c r="J335" s="4">
        <v>0.88560000000000061</v>
      </c>
      <c r="K335" s="4">
        <v>0.98</v>
      </c>
      <c r="L335" s="5" t="s">
        <v>22</v>
      </c>
    </row>
    <row r="336" spans="1:12" x14ac:dyDescent="0.25">
      <c r="A336" s="5">
        <v>2028</v>
      </c>
      <c r="B336" s="5" t="s">
        <v>10</v>
      </c>
      <c r="C336" s="10">
        <v>51760</v>
      </c>
      <c r="D336" s="5">
        <v>60760</v>
      </c>
      <c r="E336" s="13">
        <v>0.36</v>
      </c>
      <c r="F336">
        <v>27678</v>
      </c>
      <c r="G336">
        <v>7520</v>
      </c>
      <c r="H336" s="4">
        <v>1.1599999999999999</v>
      </c>
      <c r="I336" s="4">
        <v>1.1670000000000007</v>
      </c>
      <c r="J336" s="4">
        <v>1.1286000000000003</v>
      </c>
      <c r="K336" s="4">
        <v>1</v>
      </c>
      <c r="L336" s="5" t="s">
        <v>22</v>
      </c>
    </row>
    <row r="337" spans="1:12" x14ac:dyDescent="0.25">
      <c r="A337" s="5">
        <v>2028</v>
      </c>
      <c r="B337" s="5" t="s">
        <v>11</v>
      </c>
      <c r="C337" s="10">
        <v>28660</v>
      </c>
      <c r="D337" s="5">
        <v>26450</v>
      </c>
      <c r="E337" s="13">
        <v>0.6</v>
      </c>
      <c r="F337">
        <v>28012</v>
      </c>
      <c r="G337">
        <v>8840</v>
      </c>
      <c r="H337" s="4">
        <v>1.28</v>
      </c>
      <c r="I337" s="4">
        <v>1.1390000000000007</v>
      </c>
      <c r="J337" s="4">
        <v>1.2096</v>
      </c>
      <c r="K337" s="4">
        <v>1</v>
      </c>
      <c r="L337" s="5" t="s">
        <v>22</v>
      </c>
    </row>
    <row r="338" spans="1:12" x14ac:dyDescent="0.25">
      <c r="A338" s="5">
        <v>2025</v>
      </c>
      <c r="B338" s="5" t="s">
        <v>0</v>
      </c>
      <c r="C338" s="10">
        <v>19390</v>
      </c>
      <c r="D338" s="5">
        <v>6810</v>
      </c>
      <c r="E338" s="13">
        <v>0.72</v>
      </c>
      <c r="F338">
        <v>27890</v>
      </c>
      <c r="G338">
        <v>8780</v>
      </c>
      <c r="H338" s="4">
        <v>0.15</v>
      </c>
      <c r="I338" s="4">
        <v>0.16800000000000001</v>
      </c>
      <c r="J338" s="4">
        <v>0.223</v>
      </c>
      <c r="K338" s="4">
        <v>0.19</v>
      </c>
      <c r="L338" s="5" t="s">
        <v>15</v>
      </c>
    </row>
    <row r="339" spans="1:12" x14ac:dyDescent="0.25">
      <c r="A339" s="5">
        <v>2025</v>
      </c>
      <c r="B339" s="5" t="s">
        <v>1</v>
      </c>
      <c r="C339" s="10">
        <v>24590</v>
      </c>
      <c r="D339" s="5">
        <v>9100</v>
      </c>
      <c r="E339" s="13">
        <v>0.32</v>
      </c>
      <c r="F339">
        <v>27789</v>
      </c>
      <c r="G339">
        <v>7180</v>
      </c>
      <c r="H339" s="4">
        <v>0.23</v>
      </c>
      <c r="I339" s="4">
        <v>0.33</v>
      </c>
      <c r="J339" s="4">
        <v>0.38500000000000012</v>
      </c>
      <c r="K339" s="4">
        <v>0.28000000000000003</v>
      </c>
      <c r="L339" s="5" t="s">
        <v>15</v>
      </c>
    </row>
    <row r="340" spans="1:12" x14ac:dyDescent="0.25">
      <c r="A340" s="5">
        <v>2025</v>
      </c>
      <c r="B340" s="5" t="s">
        <v>2</v>
      </c>
      <c r="C340" s="10">
        <v>16500</v>
      </c>
      <c r="D340" s="5">
        <v>17180</v>
      </c>
      <c r="E340" s="13">
        <v>0.63</v>
      </c>
      <c r="F340">
        <v>28123</v>
      </c>
      <c r="G340">
        <v>7500</v>
      </c>
      <c r="H340" s="4">
        <v>0.32</v>
      </c>
      <c r="I340" s="4">
        <v>0.47000000000000008</v>
      </c>
      <c r="J340" s="4">
        <v>0.52560000000000018</v>
      </c>
      <c r="K340" s="4">
        <v>0.36</v>
      </c>
      <c r="L340" s="5" t="s">
        <v>15</v>
      </c>
    </row>
    <row r="341" spans="1:12" x14ac:dyDescent="0.25">
      <c r="A341" s="5">
        <v>2025</v>
      </c>
      <c r="B341" s="5" t="s">
        <v>3</v>
      </c>
      <c r="C341" s="10">
        <v>22460</v>
      </c>
      <c r="D341" s="5">
        <v>14970</v>
      </c>
      <c r="E341" s="13">
        <v>0.6</v>
      </c>
      <c r="F341">
        <v>28345</v>
      </c>
      <c r="G341">
        <v>6120</v>
      </c>
      <c r="H341" s="4">
        <v>0.4</v>
      </c>
      <c r="I341" s="4">
        <v>0.63500000000000023</v>
      </c>
      <c r="J341" s="4">
        <v>0.66960000000000042</v>
      </c>
      <c r="K341" s="4">
        <v>0.44</v>
      </c>
      <c r="L341" s="5" t="s">
        <v>15</v>
      </c>
    </row>
    <row r="342" spans="1:12" x14ac:dyDescent="0.25">
      <c r="A342" s="5">
        <v>2025</v>
      </c>
      <c r="B342" s="5" t="s">
        <v>4</v>
      </c>
      <c r="C342" s="10">
        <v>26570</v>
      </c>
      <c r="D342" s="5">
        <v>10850</v>
      </c>
      <c r="E342" s="13">
        <v>0.65</v>
      </c>
      <c r="F342">
        <v>28123</v>
      </c>
      <c r="G342">
        <v>4840</v>
      </c>
      <c r="H342" s="4">
        <v>0.49</v>
      </c>
      <c r="I342" s="4">
        <v>0.74700000000000033</v>
      </c>
      <c r="J342" s="4">
        <v>0.80460000000000054</v>
      </c>
      <c r="K342" s="4">
        <v>0.53</v>
      </c>
      <c r="L342" s="5" t="s">
        <v>15</v>
      </c>
    </row>
    <row r="343" spans="1:12" x14ac:dyDescent="0.25">
      <c r="A343" s="5">
        <v>2025</v>
      </c>
      <c r="B343" s="5" t="s">
        <v>5</v>
      </c>
      <c r="C343" s="10">
        <v>19760</v>
      </c>
      <c r="D343" s="5">
        <v>25160</v>
      </c>
      <c r="E343" s="13">
        <v>0.62</v>
      </c>
      <c r="F343">
        <v>27901</v>
      </c>
      <c r="G343">
        <v>5100</v>
      </c>
      <c r="H343" s="4">
        <v>0.56999999999999995</v>
      </c>
      <c r="I343" s="4">
        <v>0.85900000000000043</v>
      </c>
      <c r="J343" s="4">
        <v>0.88560000000000061</v>
      </c>
      <c r="K343" s="4">
        <v>0.62</v>
      </c>
      <c r="L343" s="5" t="s">
        <v>15</v>
      </c>
    </row>
    <row r="344" spans="1:12" x14ac:dyDescent="0.25">
      <c r="A344" s="5">
        <v>2025</v>
      </c>
      <c r="B344" s="5" t="s">
        <v>6</v>
      </c>
      <c r="C344" s="10">
        <v>16850</v>
      </c>
      <c r="D344" s="5">
        <v>20590</v>
      </c>
      <c r="E344" s="13">
        <v>0.71</v>
      </c>
      <c r="F344">
        <v>28234</v>
      </c>
      <c r="G344">
        <v>7540</v>
      </c>
      <c r="H344" s="4">
        <v>0.66</v>
      </c>
      <c r="I344" s="4">
        <v>1.1670000000000007</v>
      </c>
      <c r="J344" s="4">
        <v>1.1826000000000001</v>
      </c>
      <c r="K344" s="4">
        <v>0.7</v>
      </c>
      <c r="L344" s="5" t="s">
        <v>15</v>
      </c>
    </row>
    <row r="345" spans="1:12" x14ac:dyDescent="0.25">
      <c r="A345" s="5">
        <v>2025</v>
      </c>
      <c r="B345" s="5" t="s">
        <v>7</v>
      </c>
      <c r="C345" s="10">
        <v>9920</v>
      </c>
      <c r="D345" s="5">
        <v>8800</v>
      </c>
      <c r="E345" s="13">
        <v>0.62</v>
      </c>
      <c r="F345">
        <v>28567</v>
      </c>
      <c r="G345">
        <v>8860</v>
      </c>
      <c r="H345" s="4">
        <v>0.74</v>
      </c>
      <c r="I345" s="4">
        <v>1.2510000000000008</v>
      </c>
      <c r="J345" s="4">
        <v>1.1286000000000003</v>
      </c>
      <c r="K345" s="4">
        <v>0.78</v>
      </c>
      <c r="L345" s="5" t="s">
        <v>15</v>
      </c>
    </row>
    <row r="346" spans="1:12" x14ac:dyDescent="0.25">
      <c r="A346" s="5">
        <v>2025</v>
      </c>
      <c r="B346" s="5" t="s">
        <v>8</v>
      </c>
      <c r="C346" s="10">
        <v>15650</v>
      </c>
      <c r="D346" s="5">
        <v>12800</v>
      </c>
      <c r="E346" s="13">
        <v>0.65</v>
      </c>
      <c r="F346">
        <v>28456</v>
      </c>
      <c r="G346">
        <v>8800</v>
      </c>
      <c r="H346" s="4">
        <v>0.81</v>
      </c>
      <c r="I346" s="4">
        <v>0.16800000000000001</v>
      </c>
      <c r="J346" s="4">
        <v>0.223</v>
      </c>
      <c r="K346" s="4">
        <v>0.85</v>
      </c>
      <c r="L346" s="5" t="s">
        <v>15</v>
      </c>
    </row>
    <row r="347" spans="1:12" x14ac:dyDescent="0.25">
      <c r="A347" s="5">
        <v>2025</v>
      </c>
      <c r="B347" s="5" t="s">
        <v>9</v>
      </c>
      <c r="C347" s="10">
        <v>16470</v>
      </c>
      <c r="D347" s="5">
        <v>20960</v>
      </c>
      <c r="E347" s="13">
        <v>0.56999999999999995</v>
      </c>
      <c r="F347">
        <v>28345</v>
      </c>
      <c r="G347">
        <v>7220</v>
      </c>
      <c r="H347" s="4">
        <v>0.89</v>
      </c>
      <c r="I347" s="4">
        <v>0.33</v>
      </c>
      <c r="J347" s="4">
        <v>0.41200000000000014</v>
      </c>
      <c r="K347" s="4">
        <v>0.92</v>
      </c>
      <c r="L347" s="5" t="s">
        <v>15</v>
      </c>
    </row>
    <row r="348" spans="1:12" x14ac:dyDescent="0.25">
      <c r="A348" s="5">
        <v>2025</v>
      </c>
      <c r="B348" s="5" t="s">
        <v>10</v>
      </c>
      <c r="C348" s="10">
        <v>20060</v>
      </c>
      <c r="D348" s="5">
        <v>15130</v>
      </c>
      <c r="E348" s="13">
        <v>0.45</v>
      </c>
      <c r="F348">
        <v>28678</v>
      </c>
      <c r="G348">
        <v>7540</v>
      </c>
      <c r="H348" s="4">
        <v>1.29</v>
      </c>
      <c r="I348" s="4">
        <v>0.49700000000000011</v>
      </c>
      <c r="J348" s="4">
        <v>0.55440000000000023</v>
      </c>
      <c r="K348" s="4">
        <v>0.96</v>
      </c>
      <c r="L348" s="5" t="s">
        <v>15</v>
      </c>
    </row>
    <row r="349" spans="1:12" x14ac:dyDescent="0.25">
      <c r="A349" s="5">
        <v>2025</v>
      </c>
      <c r="B349" s="5" t="s">
        <v>11</v>
      </c>
      <c r="C349" s="10">
        <v>12320</v>
      </c>
      <c r="D349" s="5">
        <v>13880</v>
      </c>
      <c r="E349" s="13">
        <v>0.45</v>
      </c>
      <c r="F349">
        <v>28678</v>
      </c>
      <c r="G349">
        <v>6160</v>
      </c>
      <c r="H349" s="4">
        <v>1.29</v>
      </c>
      <c r="I349" s="4">
        <v>0.66300000000000026</v>
      </c>
      <c r="J349" s="4">
        <v>0.69660000000000044</v>
      </c>
      <c r="K349" s="4">
        <v>1</v>
      </c>
      <c r="L349" s="5" t="s">
        <v>15</v>
      </c>
    </row>
    <row r="350" spans="1:12" x14ac:dyDescent="0.25">
      <c r="A350" s="5">
        <v>2026</v>
      </c>
      <c r="B350" s="5" t="s">
        <v>0</v>
      </c>
      <c r="C350" s="10">
        <v>14900</v>
      </c>
      <c r="D350" s="5">
        <v>13750</v>
      </c>
      <c r="E350" s="13">
        <v>0.75</v>
      </c>
      <c r="F350">
        <v>21345</v>
      </c>
      <c r="G350">
        <v>4880</v>
      </c>
      <c r="H350" s="4">
        <v>0.15</v>
      </c>
      <c r="I350" s="4">
        <v>0.77500000000000036</v>
      </c>
      <c r="J350" s="4">
        <v>0.83160000000000056</v>
      </c>
      <c r="K350" s="4">
        <v>0.2</v>
      </c>
      <c r="L350" s="5" t="s">
        <v>15</v>
      </c>
    </row>
    <row r="351" spans="1:12" x14ac:dyDescent="0.25">
      <c r="A351" s="5">
        <v>2026</v>
      </c>
      <c r="B351" s="5" t="s">
        <v>1</v>
      </c>
      <c r="C351" s="10">
        <v>28240</v>
      </c>
      <c r="D351" s="5">
        <v>12690</v>
      </c>
      <c r="E351" s="13">
        <v>0.55000000000000004</v>
      </c>
      <c r="F351">
        <v>21678</v>
      </c>
      <c r="G351">
        <v>5140</v>
      </c>
      <c r="H351" s="4">
        <v>0.25</v>
      </c>
      <c r="I351" s="4">
        <v>0.88700000000000045</v>
      </c>
      <c r="J351" s="4">
        <v>0.91260000000000063</v>
      </c>
      <c r="K351" s="4">
        <v>0.3</v>
      </c>
      <c r="L351" s="5" t="s">
        <v>15</v>
      </c>
    </row>
    <row r="352" spans="1:12" x14ac:dyDescent="0.25">
      <c r="A352" s="5">
        <v>2026</v>
      </c>
      <c r="B352" s="5" t="s">
        <v>2</v>
      </c>
      <c r="C352" s="10">
        <v>34220</v>
      </c>
      <c r="D352" s="5">
        <v>10810</v>
      </c>
      <c r="E352" s="13">
        <v>0.56999999999999995</v>
      </c>
      <c r="F352">
        <v>21901</v>
      </c>
      <c r="G352">
        <v>7560</v>
      </c>
      <c r="H352" s="4">
        <v>0.35</v>
      </c>
      <c r="I352" s="4">
        <v>1.2230000000000008</v>
      </c>
      <c r="J352" s="4">
        <v>1.1286000000000003</v>
      </c>
      <c r="K352" s="4">
        <v>0.4</v>
      </c>
      <c r="L352" s="5" t="s">
        <v>15</v>
      </c>
    </row>
    <row r="353" spans="1:12" x14ac:dyDescent="0.25">
      <c r="A353" s="5">
        <v>2026</v>
      </c>
      <c r="B353" s="5" t="s">
        <v>3</v>
      </c>
      <c r="C353" s="10">
        <v>22100</v>
      </c>
      <c r="D353" s="5">
        <v>14730</v>
      </c>
      <c r="E353" s="13">
        <v>0.56999999999999995</v>
      </c>
      <c r="F353">
        <v>21789</v>
      </c>
      <c r="G353">
        <v>8880</v>
      </c>
      <c r="H353" s="4">
        <v>0.45</v>
      </c>
      <c r="I353" s="4">
        <v>1.1110000000000007</v>
      </c>
      <c r="J353" s="4">
        <v>1.1286000000000003</v>
      </c>
      <c r="K353" s="4">
        <v>0.5</v>
      </c>
      <c r="L353" s="5" t="s">
        <v>15</v>
      </c>
    </row>
    <row r="354" spans="1:12" x14ac:dyDescent="0.25">
      <c r="A354" s="5">
        <v>2026</v>
      </c>
      <c r="B354" s="5" t="s">
        <v>4</v>
      </c>
      <c r="C354" s="10">
        <v>24230</v>
      </c>
      <c r="D354" s="5">
        <v>8510</v>
      </c>
      <c r="E354" s="13">
        <v>0.32</v>
      </c>
      <c r="F354">
        <v>21678</v>
      </c>
      <c r="G354">
        <v>8820</v>
      </c>
      <c r="H354" s="4">
        <v>0.55000000000000004</v>
      </c>
      <c r="I354" s="4">
        <v>0.14000000000000001</v>
      </c>
      <c r="J354" s="4">
        <v>0.19600000000000001</v>
      </c>
      <c r="K354" s="4">
        <v>0.6</v>
      </c>
      <c r="L354" s="5" t="s">
        <v>15</v>
      </c>
    </row>
    <row r="355" spans="1:12" x14ac:dyDescent="0.25">
      <c r="A355" s="5">
        <v>2026</v>
      </c>
      <c r="B355" s="5" t="s">
        <v>5</v>
      </c>
      <c r="C355" s="10">
        <v>31930</v>
      </c>
      <c r="D355" s="5">
        <v>17190</v>
      </c>
      <c r="E355" s="13">
        <v>0.78</v>
      </c>
      <c r="F355">
        <v>22012</v>
      </c>
      <c r="G355">
        <v>7260</v>
      </c>
      <c r="H355" s="4">
        <v>0.65</v>
      </c>
      <c r="I355" s="4">
        <v>0.27800000000000002</v>
      </c>
      <c r="J355" s="4">
        <v>0.33100000000000007</v>
      </c>
      <c r="K355" s="4">
        <v>0.7</v>
      </c>
      <c r="L355" s="5" t="s">
        <v>15</v>
      </c>
    </row>
    <row r="356" spans="1:12" x14ac:dyDescent="0.25">
      <c r="A356" s="5">
        <v>2026</v>
      </c>
      <c r="B356" s="5" t="s">
        <v>6</v>
      </c>
      <c r="C356" s="10">
        <v>27670</v>
      </c>
      <c r="D356" s="5">
        <v>25540</v>
      </c>
      <c r="E356" s="13">
        <v>0.82</v>
      </c>
      <c r="F356">
        <v>21890</v>
      </c>
      <c r="G356">
        <v>7580</v>
      </c>
      <c r="H356" s="4">
        <v>0.74</v>
      </c>
      <c r="I356" s="4">
        <v>0.38900000000000001</v>
      </c>
      <c r="J356" s="4">
        <v>0.44000000000000017</v>
      </c>
      <c r="K356" s="4">
        <v>0.78</v>
      </c>
      <c r="L356" s="5" t="s">
        <v>15</v>
      </c>
    </row>
    <row r="357" spans="1:12" x14ac:dyDescent="0.25">
      <c r="A357" s="5">
        <v>2026</v>
      </c>
      <c r="B357" s="5" t="s">
        <v>7</v>
      </c>
      <c r="C357" s="10">
        <v>25540</v>
      </c>
      <c r="D357" s="5">
        <v>23570</v>
      </c>
      <c r="E357" s="13">
        <v>0.57999999999999996</v>
      </c>
      <c r="F357">
        <v>21789</v>
      </c>
      <c r="G357">
        <v>6200</v>
      </c>
      <c r="H357" s="4">
        <v>0.82</v>
      </c>
      <c r="I357" s="4">
        <v>0.52400000000000013</v>
      </c>
      <c r="J357" s="4">
        <v>0.58320000000000027</v>
      </c>
      <c r="K357" s="4">
        <v>0.85</v>
      </c>
      <c r="L357" s="5" t="s">
        <v>15</v>
      </c>
    </row>
    <row r="358" spans="1:12" x14ac:dyDescent="0.25">
      <c r="A358" s="5">
        <v>2026</v>
      </c>
      <c r="B358" s="5" t="s">
        <v>8</v>
      </c>
      <c r="C358" s="10">
        <v>29720</v>
      </c>
      <c r="D358" s="5">
        <v>15310</v>
      </c>
      <c r="E358" s="13">
        <v>0.7</v>
      </c>
      <c r="F358">
        <v>22123</v>
      </c>
      <c r="G358">
        <v>4920</v>
      </c>
      <c r="H358" s="4">
        <v>0.88</v>
      </c>
      <c r="I358" s="4">
        <v>0.66300000000000026</v>
      </c>
      <c r="J358" s="4">
        <v>0.69660000000000044</v>
      </c>
      <c r="K358" s="4">
        <v>0.91</v>
      </c>
      <c r="L358" s="5" t="s">
        <v>15</v>
      </c>
    </row>
    <row r="359" spans="1:12" x14ac:dyDescent="0.25">
      <c r="A359" s="5">
        <v>2026</v>
      </c>
      <c r="B359" s="5" t="s">
        <v>9</v>
      </c>
      <c r="C359" s="10">
        <v>30690</v>
      </c>
      <c r="D359" s="5">
        <v>10230</v>
      </c>
      <c r="E359" s="13">
        <v>0.66</v>
      </c>
      <c r="F359">
        <v>22345</v>
      </c>
      <c r="G359">
        <v>5180</v>
      </c>
      <c r="H359" s="4">
        <v>1.18</v>
      </c>
      <c r="I359" s="4">
        <v>0.77500000000000036</v>
      </c>
      <c r="J359" s="4">
        <v>0.80460000000000054</v>
      </c>
      <c r="K359" s="4">
        <v>0.96</v>
      </c>
      <c r="L359" s="5" t="s">
        <v>15</v>
      </c>
    </row>
    <row r="360" spans="1:12" x14ac:dyDescent="0.25">
      <c r="A360" s="5">
        <v>2026</v>
      </c>
      <c r="B360" s="5" t="s">
        <v>10</v>
      </c>
      <c r="C360" s="10">
        <v>16370</v>
      </c>
      <c r="D360" s="5">
        <v>16370</v>
      </c>
      <c r="E360" s="13">
        <v>0.72</v>
      </c>
      <c r="F360">
        <v>22123</v>
      </c>
      <c r="G360">
        <v>7580</v>
      </c>
      <c r="H360" s="4">
        <v>1.1599999999999999</v>
      </c>
      <c r="I360" s="4">
        <v>0.88700000000000045</v>
      </c>
      <c r="J360" s="4">
        <v>0.91260000000000063</v>
      </c>
      <c r="K360" s="4">
        <v>0.99</v>
      </c>
      <c r="L360" s="5" t="s">
        <v>15</v>
      </c>
    </row>
    <row r="361" spans="1:12" x14ac:dyDescent="0.25">
      <c r="A361" s="5">
        <v>2026</v>
      </c>
      <c r="B361" s="5" t="s">
        <v>11</v>
      </c>
      <c r="C361" s="10">
        <v>17680</v>
      </c>
      <c r="D361" s="5">
        <v>6880</v>
      </c>
      <c r="E361" s="13">
        <v>0.5</v>
      </c>
      <c r="F361">
        <v>21901</v>
      </c>
      <c r="G361">
        <v>8900</v>
      </c>
      <c r="H361" s="4">
        <v>1.3</v>
      </c>
      <c r="I361" s="4">
        <v>1.1950000000000007</v>
      </c>
      <c r="J361" s="4">
        <v>1.2365999999999999</v>
      </c>
      <c r="K361" s="4">
        <v>1</v>
      </c>
      <c r="L361" s="5" t="s">
        <v>15</v>
      </c>
    </row>
    <row r="362" spans="1:12" x14ac:dyDescent="0.25">
      <c r="A362" s="5">
        <v>2027</v>
      </c>
      <c r="B362" s="5" t="s">
        <v>0</v>
      </c>
      <c r="C362" s="10">
        <v>23450</v>
      </c>
      <c r="D362" s="5">
        <v>13190</v>
      </c>
      <c r="E362" s="13">
        <v>0.65</v>
      </c>
      <c r="F362">
        <v>22234</v>
      </c>
      <c r="G362">
        <v>8840</v>
      </c>
      <c r="H362" s="4">
        <v>0.16</v>
      </c>
      <c r="I362" s="4">
        <v>0.14000000000000001</v>
      </c>
      <c r="J362" s="4">
        <v>0.19600000000000001</v>
      </c>
      <c r="K362" s="4">
        <v>0.22</v>
      </c>
      <c r="L362" s="5" t="s">
        <v>15</v>
      </c>
    </row>
    <row r="363" spans="1:12" x14ac:dyDescent="0.25">
      <c r="A363" s="5">
        <v>2027</v>
      </c>
      <c r="B363" s="5" t="s">
        <v>1</v>
      </c>
      <c r="C363" s="10">
        <v>19420</v>
      </c>
      <c r="D363" s="5">
        <v>21900</v>
      </c>
      <c r="E363" s="13">
        <v>0.55000000000000004</v>
      </c>
      <c r="F363">
        <v>22567</v>
      </c>
      <c r="G363">
        <v>7300</v>
      </c>
      <c r="H363" s="4">
        <v>0.27</v>
      </c>
      <c r="I363" s="4">
        <v>0.30499999999999999</v>
      </c>
      <c r="J363" s="4">
        <v>0.3580000000000001</v>
      </c>
      <c r="K363" s="4">
        <v>0.33</v>
      </c>
      <c r="L363" s="5" t="s">
        <v>15</v>
      </c>
    </row>
    <row r="364" spans="1:12" x14ac:dyDescent="0.25">
      <c r="A364" s="5">
        <v>2027</v>
      </c>
      <c r="B364" s="5" t="s">
        <v>2</v>
      </c>
      <c r="C364" s="10">
        <v>21130</v>
      </c>
      <c r="D364" s="5">
        <v>29180</v>
      </c>
      <c r="E364" s="13">
        <v>0.6</v>
      </c>
      <c r="F364">
        <v>22456</v>
      </c>
      <c r="G364">
        <v>7620</v>
      </c>
      <c r="H364" s="4">
        <v>0.38</v>
      </c>
      <c r="I364" s="4">
        <v>0.44300000000000006</v>
      </c>
      <c r="J364" s="4">
        <v>0.49680000000000019</v>
      </c>
      <c r="K364" s="4">
        <v>0.43</v>
      </c>
      <c r="L364" s="5" t="s">
        <v>15</v>
      </c>
    </row>
    <row r="365" spans="1:12" x14ac:dyDescent="0.25">
      <c r="A365" s="5">
        <v>2027</v>
      </c>
      <c r="B365" s="5" t="s">
        <v>3</v>
      </c>
      <c r="C365" s="10">
        <v>31430</v>
      </c>
      <c r="D365" s="5">
        <v>27880</v>
      </c>
      <c r="E365" s="13">
        <v>0.55000000000000004</v>
      </c>
      <c r="F365">
        <v>22345</v>
      </c>
      <c r="G365">
        <v>8760</v>
      </c>
      <c r="H365" s="4">
        <v>0.48</v>
      </c>
      <c r="I365" s="4">
        <v>0.60700000000000021</v>
      </c>
      <c r="J365" s="4">
        <v>0.64080000000000037</v>
      </c>
      <c r="K365" s="4">
        <v>0.53</v>
      </c>
      <c r="L365" s="5" t="s">
        <v>15</v>
      </c>
    </row>
    <row r="366" spans="1:12" x14ac:dyDescent="0.25">
      <c r="A366" s="5">
        <v>2027</v>
      </c>
      <c r="B366" s="5" t="s">
        <v>4</v>
      </c>
      <c r="C366" s="10">
        <v>36200</v>
      </c>
      <c r="D366" s="5">
        <v>32100</v>
      </c>
      <c r="E366" s="13">
        <v>0.72</v>
      </c>
      <c r="F366">
        <v>22678</v>
      </c>
      <c r="G366">
        <v>8680</v>
      </c>
      <c r="H366" s="4">
        <v>0.57999999999999996</v>
      </c>
      <c r="I366" s="4">
        <v>0.74700000000000033</v>
      </c>
      <c r="J366" s="4">
        <v>0.77760000000000051</v>
      </c>
      <c r="K366" s="4">
        <v>0.63</v>
      </c>
      <c r="L366" s="5" t="s">
        <v>15</v>
      </c>
    </row>
    <row r="367" spans="1:12" x14ac:dyDescent="0.25">
      <c r="A367" s="5">
        <v>2027</v>
      </c>
      <c r="B367" s="5" t="s">
        <v>5</v>
      </c>
      <c r="C367" s="10">
        <v>32930</v>
      </c>
      <c r="D367" s="5">
        <v>40250</v>
      </c>
      <c r="E367" s="13">
        <v>0.81</v>
      </c>
      <c r="F367">
        <v>22901</v>
      </c>
      <c r="G367">
        <v>7000</v>
      </c>
      <c r="H367" s="4">
        <v>0.68</v>
      </c>
      <c r="I367" s="4">
        <v>0.85900000000000043</v>
      </c>
      <c r="J367" s="4">
        <v>0.88560000000000061</v>
      </c>
      <c r="K367" s="4">
        <v>0.73</v>
      </c>
      <c r="L367" s="5" t="s">
        <v>15</v>
      </c>
    </row>
    <row r="368" spans="1:12" x14ac:dyDescent="0.25">
      <c r="A368" s="5">
        <v>2027</v>
      </c>
      <c r="B368" s="5" t="s">
        <v>6</v>
      </c>
      <c r="C368" s="10">
        <v>52600</v>
      </c>
      <c r="D368" s="5">
        <v>15710</v>
      </c>
      <c r="E368" s="13">
        <v>0.66</v>
      </c>
      <c r="F368">
        <v>22789</v>
      </c>
      <c r="G368">
        <v>7320</v>
      </c>
      <c r="H368" s="4">
        <v>0.76</v>
      </c>
      <c r="I368" s="4">
        <v>1.1390000000000007</v>
      </c>
      <c r="J368" s="4">
        <v>1.3175999999999997</v>
      </c>
      <c r="K368" s="4">
        <v>0.8</v>
      </c>
      <c r="L368" s="5" t="s">
        <v>15</v>
      </c>
    </row>
    <row r="369" spans="1:12" x14ac:dyDescent="0.25">
      <c r="A369" s="5">
        <v>2027</v>
      </c>
      <c r="B369" s="5" t="s">
        <v>7</v>
      </c>
      <c r="C369" s="10">
        <v>45670</v>
      </c>
      <c r="D369" s="5">
        <v>13640</v>
      </c>
      <c r="E369" s="13">
        <v>0.77</v>
      </c>
      <c r="F369">
        <v>22678</v>
      </c>
      <c r="G369">
        <v>5940</v>
      </c>
      <c r="H369" s="4">
        <v>0.83</v>
      </c>
      <c r="I369" s="4">
        <v>1.2230000000000008</v>
      </c>
      <c r="J369" s="4">
        <v>1.2096</v>
      </c>
      <c r="K369" s="4">
        <v>0.86</v>
      </c>
      <c r="L369" s="5" t="s">
        <v>15</v>
      </c>
    </row>
    <row r="370" spans="1:12" x14ac:dyDescent="0.25">
      <c r="A370" s="5">
        <v>2027</v>
      </c>
      <c r="B370" s="5" t="s">
        <v>8</v>
      </c>
      <c r="C370" s="10">
        <v>30190</v>
      </c>
      <c r="D370" s="5">
        <v>20130</v>
      </c>
      <c r="E370" s="13">
        <v>0.35</v>
      </c>
      <c r="F370">
        <v>23012</v>
      </c>
      <c r="G370">
        <v>4680</v>
      </c>
      <c r="H370" s="4">
        <v>0.89</v>
      </c>
      <c r="I370" s="4">
        <v>0.16800000000000001</v>
      </c>
      <c r="J370" s="4">
        <v>0.223</v>
      </c>
      <c r="K370" s="4">
        <v>0.92</v>
      </c>
      <c r="L370" s="5" t="s">
        <v>15</v>
      </c>
    </row>
    <row r="371" spans="1:12" x14ac:dyDescent="0.25">
      <c r="A371" s="5">
        <v>2027</v>
      </c>
      <c r="B371" s="5" t="s">
        <v>9</v>
      </c>
      <c r="C371" s="10">
        <v>17360</v>
      </c>
      <c r="D371" s="5">
        <v>23970</v>
      </c>
      <c r="E371" s="13">
        <v>0.68</v>
      </c>
      <c r="F371">
        <v>22890</v>
      </c>
      <c r="G371">
        <v>4900</v>
      </c>
      <c r="H371" s="4">
        <v>1.24</v>
      </c>
      <c r="I371" s="4">
        <v>0.33</v>
      </c>
      <c r="J371" s="4">
        <v>0.38500000000000012</v>
      </c>
      <c r="K371" s="4">
        <v>0.97</v>
      </c>
      <c r="L371" s="5" t="s">
        <v>15</v>
      </c>
    </row>
    <row r="372" spans="1:12" x14ac:dyDescent="0.25">
      <c r="A372" s="5">
        <v>2027</v>
      </c>
      <c r="B372" s="5" t="s">
        <v>10</v>
      </c>
      <c r="C372" s="10">
        <v>28220</v>
      </c>
      <c r="D372" s="5">
        <v>8430</v>
      </c>
      <c r="E372" s="13">
        <v>0.32</v>
      </c>
      <c r="F372">
        <v>22789</v>
      </c>
      <c r="G372">
        <v>7460</v>
      </c>
      <c r="H372" s="4">
        <v>1.35</v>
      </c>
      <c r="I372" s="4">
        <v>0.47000000000000008</v>
      </c>
      <c r="J372" s="4">
        <v>0.52560000000000018</v>
      </c>
      <c r="K372" s="4">
        <v>0.99</v>
      </c>
      <c r="L372" s="5" t="s">
        <v>15</v>
      </c>
    </row>
    <row r="373" spans="1:12" x14ac:dyDescent="0.25">
      <c r="A373" s="5">
        <v>2027</v>
      </c>
      <c r="B373" s="5" t="s">
        <v>11</v>
      </c>
      <c r="C373" s="10">
        <v>18230</v>
      </c>
      <c r="D373" s="5">
        <v>13750</v>
      </c>
      <c r="E373" s="13">
        <v>0.65</v>
      </c>
      <c r="F373">
        <v>23123</v>
      </c>
      <c r="G373">
        <v>8780</v>
      </c>
      <c r="H373" s="4">
        <v>1.34</v>
      </c>
      <c r="I373" s="4">
        <v>0.63500000000000023</v>
      </c>
      <c r="J373" s="4">
        <v>0.66960000000000042</v>
      </c>
      <c r="K373" s="4">
        <v>1</v>
      </c>
      <c r="L373" s="5" t="s">
        <v>15</v>
      </c>
    </row>
    <row r="374" spans="1:12" x14ac:dyDescent="0.25">
      <c r="A374" s="5">
        <v>2028</v>
      </c>
      <c r="B374" s="5" t="s">
        <v>0</v>
      </c>
      <c r="C374" s="10">
        <v>24550</v>
      </c>
      <c r="D374" s="5">
        <v>18520</v>
      </c>
      <c r="E374" s="13">
        <v>0.77</v>
      </c>
      <c r="F374">
        <v>23345</v>
      </c>
      <c r="G374">
        <v>8720</v>
      </c>
      <c r="H374" s="4">
        <v>0.17</v>
      </c>
      <c r="I374" s="4">
        <v>0.74700000000000033</v>
      </c>
      <c r="J374" s="4">
        <v>0.80460000000000054</v>
      </c>
      <c r="K374" s="4">
        <v>0.23</v>
      </c>
      <c r="L374" s="5" t="s">
        <v>15</v>
      </c>
    </row>
    <row r="375" spans="1:12" x14ac:dyDescent="0.25">
      <c r="A375" s="5">
        <v>2028</v>
      </c>
      <c r="B375" s="5" t="s">
        <v>1</v>
      </c>
      <c r="C375" s="10">
        <v>30440</v>
      </c>
      <c r="D375" s="5">
        <v>37200</v>
      </c>
      <c r="E375" s="13">
        <v>0.57999999999999996</v>
      </c>
      <c r="F375">
        <v>23123</v>
      </c>
      <c r="G375">
        <v>7060</v>
      </c>
      <c r="H375" s="4">
        <v>0.28000000000000003</v>
      </c>
      <c r="I375" s="4">
        <v>0.85900000000000043</v>
      </c>
      <c r="J375" s="4">
        <v>0.88560000000000061</v>
      </c>
      <c r="K375" s="4">
        <v>0.34</v>
      </c>
      <c r="L375" s="5" t="s">
        <v>15</v>
      </c>
    </row>
    <row r="376" spans="1:12" x14ac:dyDescent="0.25">
      <c r="A376" s="5">
        <v>2028</v>
      </c>
      <c r="B376" s="5" t="s">
        <v>2</v>
      </c>
      <c r="C376" s="10">
        <v>68900</v>
      </c>
      <c r="D376" s="5">
        <v>29530</v>
      </c>
      <c r="E376" s="13">
        <v>0.67</v>
      </c>
      <c r="F376">
        <v>22901</v>
      </c>
      <c r="G376">
        <v>7380</v>
      </c>
      <c r="H376" s="4">
        <v>0.4</v>
      </c>
      <c r="I376" s="4">
        <v>1.1950000000000007</v>
      </c>
      <c r="J376" s="4">
        <v>1.2635999999999998</v>
      </c>
      <c r="K376" s="4">
        <v>0.45</v>
      </c>
      <c r="L376" s="5" t="s">
        <v>15</v>
      </c>
    </row>
    <row r="377" spans="1:12" x14ac:dyDescent="0.25">
      <c r="A377" s="5">
        <v>2028</v>
      </c>
      <c r="B377" s="5" t="s">
        <v>3</v>
      </c>
      <c r="C377" s="10">
        <v>49410</v>
      </c>
      <c r="D377" s="5">
        <v>37280</v>
      </c>
      <c r="E377" s="13">
        <v>0.75</v>
      </c>
      <c r="F377">
        <v>23234</v>
      </c>
      <c r="G377">
        <v>6000</v>
      </c>
      <c r="H377" s="4">
        <v>0.5</v>
      </c>
      <c r="I377" s="4">
        <v>1.3070000000000008</v>
      </c>
      <c r="J377" s="4">
        <v>1.2365999999999999</v>
      </c>
      <c r="K377" s="4">
        <v>0.55000000000000004</v>
      </c>
      <c r="L377" s="5" t="s">
        <v>15</v>
      </c>
    </row>
    <row r="378" spans="1:12" x14ac:dyDescent="0.25">
      <c r="A378" s="5">
        <v>2028</v>
      </c>
      <c r="B378" s="5" t="s">
        <v>4</v>
      </c>
      <c r="C378" s="10">
        <v>40620</v>
      </c>
      <c r="D378" s="5">
        <v>33230</v>
      </c>
      <c r="E378" s="13">
        <v>0.38</v>
      </c>
      <c r="F378">
        <v>23567</v>
      </c>
      <c r="G378">
        <v>4720</v>
      </c>
      <c r="H378" s="4">
        <v>0.6</v>
      </c>
      <c r="I378" s="4">
        <v>0.16800000000000001</v>
      </c>
      <c r="J378" s="4">
        <v>0.223</v>
      </c>
      <c r="K378" s="4">
        <v>0.65</v>
      </c>
      <c r="L378" s="5" t="s">
        <v>15</v>
      </c>
    </row>
    <row r="379" spans="1:12" x14ac:dyDescent="0.25">
      <c r="A379" s="5">
        <v>2028</v>
      </c>
      <c r="B379" s="5" t="s">
        <v>5</v>
      </c>
      <c r="C379" s="10">
        <v>43730</v>
      </c>
      <c r="D379" s="5">
        <v>17860</v>
      </c>
      <c r="E379" s="13">
        <v>0.7</v>
      </c>
      <c r="F379">
        <v>23456</v>
      </c>
      <c r="G379">
        <v>4960</v>
      </c>
      <c r="H379" s="4">
        <v>0.7</v>
      </c>
      <c r="I379" s="4">
        <v>0.33</v>
      </c>
      <c r="J379" s="4">
        <v>0.41200000000000014</v>
      </c>
      <c r="K379" s="4">
        <v>0.75</v>
      </c>
      <c r="L379" s="5" t="s">
        <v>15</v>
      </c>
    </row>
    <row r="380" spans="1:12" x14ac:dyDescent="0.25">
      <c r="A380" s="5">
        <v>2028</v>
      </c>
      <c r="B380" s="5" t="s">
        <v>6</v>
      </c>
      <c r="C380" s="10">
        <v>46190</v>
      </c>
      <c r="D380" s="5">
        <v>15400</v>
      </c>
      <c r="E380" s="13">
        <v>0.8</v>
      </c>
      <c r="F380">
        <v>23345</v>
      </c>
      <c r="G380">
        <v>7480</v>
      </c>
      <c r="H380" s="4">
        <v>0.78</v>
      </c>
      <c r="I380" s="4">
        <v>0.49700000000000011</v>
      </c>
      <c r="J380" s="4">
        <v>0.55440000000000023</v>
      </c>
      <c r="K380" s="4">
        <v>0.82</v>
      </c>
      <c r="L380" s="5" t="s">
        <v>15</v>
      </c>
    </row>
    <row r="381" spans="1:12" x14ac:dyDescent="0.25">
      <c r="A381" s="5">
        <v>2028</v>
      </c>
      <c r="B381" s="5" t="s">
        <v>7</v>
      </c>
      <c r="C381" s="10">
        <v>45050</v>
      </c>
      <c r="D381" s="5">
        <v>28800</v>
      </c>
      <c r="E381" s="13">
        <v>0.62</v>
      </c>
      <c r="F381">
        <v>23678</v>
      </c>
      <c r="G381">
        <v>8800</v>
      </c>
      <c r="H381" s="4">
        <v>0.85</v>
      </c>
      <c r="I381" s="4">
        <v>0.66300000000000026</v>
      </c>
      <c r="J381" s="4">
        <v>0.69660000000000044</v>
      </c>
      <c r="K381" s="4">
        <v>0.88</v>
      </c>
      <c r="L381" s="5" t="s">
        <v>15</v>
      </c>
    </row>
    <row r="382" spans="1:12" x14ac:dyDescent="0.25">
      <c r="A382" s="5">
        <v>2028</v>
      </c>
      <c r="B382" s="5" t="s">
        <v>8</v>
      </c>
      <c r="C382" s="10">
        <v>51140</v>
      </c>
      <c r="D382" s="5">
        <v>35540</v>
      </c>
      <c r="E382" s="13">
        <v>0.56000000000000005</v>
      </c>
      <c r="F382">
        <v>23901</v>
      </c>
      <c r="G382">
        <v>8740</v>
      </c>
      <c r="H382" s="4">
        <v>0.91</v>
      </c>
      <c r="I382" s="4">
        <v>0.77500000000000036</v>
      </c>
      <c r="J382" s="4">
        <v>0.83160000000000056</v>
      </c>
      <c r="K382" s="4">
        <v>0.94</v>
      </c>
      <c r="L382" s="5" t="s">
        <v>15</v>
      </c>
    </row>
    <row r="383" spans="1:12" x14ac:dyDescent="0.25">
      <c r="A383" s="5">
        <v>2028</v>
      </c>
      <c r="B383" s="5" t="s">
        <v>9</v>
      </c>
      <c r="C383" s="10">
        <v>62990</v>
      </c>
      <c r="D383" s="5">
        <v>35430</v>
      </c>
      <c r="E383" s="13">
        <v>0.62</v>
      </c>
      <c r="F383">
        <v>23789</v>
      </c>
      <c r="G383">
        <v>7100</v>
      </c>
      <c r="H383" s="4">
        <v>1.1100000000000001</v>
      </c>
      <c r="I383" s="4">
        <v>0.88700000000000045</v>
      </c>
      <c r="J383" s="4">
        <v>0.91260000000000063</v>
      </c>
      <c r="K383" s="4">
        <v>0.98</v>
      </c>
      <c r="L383" s="5" t="s">
        <v>15</v>
      </c>
    </row>
    <row r="384" spans="1:12" x14ac:dyDescent="0.25">
      <c r="A384" s="5">
        <v>2028</v>
      </c>
      <c r="B384" s="5" t="s">
        <v>10</v>
      </c>
      <c r="C384" s="10">
        <v>48020</v>
      </c>
      <c r="D384" s="5">
        <v>19620</v>
      </c>
      <c r="E384" s="13">
        <v>0.55000000000000004</v>
      </c>
      <c r="F384">
        <v>23678</v>
      </c>
      <c r="G384">
        <v>7420</v>
      </c>
      <c r="H384" s="4">
        <v>1.18</v>
      </c>
      <c r="I384" s="4">
        <v>1.2230000000000008</v>
      </c>
      <c r="J384" s="4">
        <v>1.2096</v>
      </c>
      <c r="K384" s="4">
        <v>1</v>
      </c>
      <c r="L384" s="5" t="s">
        <v>15</v>
      </c>
    </row>
    <row r="385" spans="1:12" x14ac:dyDescent="0.25">
      <c r="A385" s="5">
        <v>2028</v>
      </c>
      <c r="B385" s="5" t="s">
        <v>11</v>
      </c>
      <c r="C385" s="10">
        <v>29720</v>
      </c>
      <c r="D385" s="5">
        <v>13350</v>
      </c>
      <c r="E385" s="13">
        <v>0.6</v>
      </c>
      <c r="F385">
        <v>24012</v>
      </c>
      <c r="G385">
        <v>6040</v>
      </c>
      <c r="H385" s="4">
        <v>1.35</v>
      </c>
      <c r="I385" s="4">
        <v>1.1670000000000007</v>
      </c>
      <c r="J385" s="4">
        <v>1.1016000000000004</v>
      </c>
      <c r="K385" s="4">
        <v>1</v>
      </c>
      <c r="L385" s="5"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7D7B-80F3-446B-8754-1D8AFB7BB719}">
  <dimension ref="B1:G17"/>
  <sheetViews>
    <sheetView zoomScaleNormal="100" workbookViewId="0">
      <selection activeCell="G20" sqref="G20"/>
    </sheetView>
  </sheetViews>
  <sheetFormatPr defaultRowHeight="15" x14ac:dyDescent="0.25"/>
  <sheetData>
    <row r="1" spans="2:7" x14ac:dyDescent="0.25">
      <c r="B1" s="18" t="s">
        <v>52</v>
      </c>
      <c r="D1" s="37" t="s">
        <v>71</v>
      </c>
      <c r="E1" s="37"/>
      <c r="F1" s="37"/>
      <c r="G1" s="37"/>
    </row>
    <row r="2" spans="2:7" x14ac:dyDescent="0.25">
      <c r="B2" s="19" t="s">
        <v>53</v>
      </c>
    </row>
    <row r="3" spans="2:7" x14ac:dyDescent="0.25">
      <c r="B3" s="21" t="s">
        <v>54</v>
      </c>
    </row>
    <row r="4" spans="2:7" x14ac:dyDescent="0.25">
      <c r="B4" s="20" t="s">
        <v>55</v>
      </c>
    </row>
    <row r="5" spans="2:7" x14ac:dyDescent="0.25">
      <c r="B5" s="23" t="s">
        <v>56</v>
      </c>
    </row>
    <row r="6" spans="2:7" x14ac:dyDescent="0.25">
      <c r="B6" s="22" t="s">
        <v>57</v>
      </c>
    </row>
    <row r="7" spans="2:7" x14ac:dyDescent="0.25">
      <c r="B7" s="24" t="s">
        <v>58</v>
      </c>
    </row>
    <row r="8" spans="2:7" x14ac:dyDescent="0.25">
      <c r="B8" s="25" t="s">
        <v>59</v>
      </c>
    </row>
    <row r="9" spans="2:7" x14ac:dyDescent="0.25">
      <c r="B9" s="26" t="s">
        <v>60</v>
      </c>
    </row>
    <row r="10" spans="2:7" x14ac:dyDescent="0.25">
      <c r="B10" s="27"/>
    </row>
    <row r="11" spans="2:7" x14ac:dyDescent="0.25">
      <c r="B11" s="28" t="s">
        <v>61</v>
      </c>
    </row>
    <row r="12" spans="2:7" x14ac:dyDescent="0.25">
      <c r="B12" s="29" t="s">
        <v>62</v>
      </c>
    </row>
    <row r="13" spans="2:7" x14ac:dyDescent="0.25">
      <c r="B13" s="30" t="s">
        <v>63</v>
      </c>
    </row>
    <row r="14" spans="2:7" x14ac:dyDescent="0.25">
      <c r="B14" s="31" t="s">
        <v>64</v>
      </c>
    </row>
    <row r="15" spans="2:7" x14ac:dyDescent="0.25">
      <c r="B15" s="32">
        <v>246691</v>
      </c>
    </row>
    <row r="17" spans="2:2" x14ac:dyDescent="0.25">
      <c r="B17" s="33">
        <v>21428</v>
      </c>
    </row>
  </sheetData>
  <mergeCells count="1">
    <mergeCell ref="D1:G1"/>
  </mergeCells>
  <hyperlinks>
    <hyperlink ref="D1" r:id="rId1" xr:uid="{A13CC8AB-79A6-401E-B9E2-8B41E477B23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2025-03-21T15:00:54Z</dcterms:created>
  <dcterms:modified xsi:type="dcterms:W3CDTF">2026-09-18T06:16:34Z</dcterms:modified>
</cp:coreProperties>
</file>