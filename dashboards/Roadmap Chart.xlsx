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c6e5fe5563ab6cfd/Desktop/Dashboard Projects/Dashboard/Chart61/"/>
    </mc:Choice>
  </mc:AlternateContent>
  <xr:revisionPtr revIDLastSave="1" documentId="13_ncr:1_{7AEF2138-FA2C-4B95-923D-2D7A72D59050}" xr6:coauthVersionLast="47" xr6:coauthVersionMax="47" xr10:uidLastSave="{9AF9EF10-21E0-40EE-9D38-C9152C1F8A8A}"/>
  <bookViews>
    <workbookView xWindow="-120" yWindow="-120" windowWidth="20730" windowHeight="11310" xr2:uid="{25BB23E1-369F-4C28-A9F5-1E0BF0DDAD96}"/>
  </bookViews>
  <sheets>
    <sheet name="DASHBOARD" sheetId="1" r:id="rId1"/>
    <sheet name="DASHBOARD Dark" sheetId="8" r:id="rId2"/>
    <sheet name="Processing" sheetId="2" r:id="rId3"/>
    <sheet name="Control" sheetId="5" r:id="rId4"/>
    <sheet name="Data" sheetId="4" r:id="rId5"/>
    <sheet name="R" sheetId="9" r:id="rId6"/>
  </sheets>
  <definedNames>
    <definedName name="Slicer_Button_Value">#N/A</definedName>
    <definedName name="Slicer_half_year">#N/A</definedName>
  </definedNames>
  <calcPr calcId="191029"/>
  <pivotCaches>
    <pivotCache cacheId="1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a="1"/>
  <c r="D9" i="2" a="1"/>
  <c r="D10" i="2" a="1"/>
  <c r="D11" i="2" a="1"/>
  <c r="D12" i="2" a="1"/>
  <c r="D7" i="2" a="1"/>
  <c r="B4" i="2"/>
  <c r="F7" i="2" l="1"/>
  <c r="E7" i="2"/>
  <c r="B2" i="2" a="1"/>
  <c r="E11" i="2" l="1"/>
  <c r="E12" i="2"/>
  <c r="E10" i="2"/>
  <c r="F8" i="2" l="1"/>
  <c r="E8" i="2"/>
  <c r="F9" i="2"/>
  <c r="E9" i="2"/>
  <c r="G12" i="2"/>
  <c r="F12" i="2"/>
  <c r="G11" i="2"/>
  <c r="F11" i="2"/>
  <c r="G10" i="2"/>
  <c r="F10" i="2"/>
  <c r="G7" i="2"/>
  <c r="G8" i="2"/>
  <c r="G9" i="2"/>
  <c r="H11" i="2"/>
  <c r="H8" i="2"/>
  <c r="H9" i="2"/>
  <c r="H10" i="2"/>
  <c r="H12" i="2"/>
  <c r="H7" i="2"/>
  <c r="E4" i="2" l="1" a="1"/>
  <c r="C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<sst xmlns="http://schemas.openxmlformats.org/spreadsheetml/2006/main" count="95" uniqueCount="78">
  <si>
    <t>Done</t>
  </si>
  <si>
    <t>Roadmap Chart</t>
  </si>
  <si>
    <t>JANUARY</t>
  </si>
  <si>
    <t>FEBRUARY</t>
  </si>
  <si>
    <t>MARCH</t>
  </si>
  <si>
    <t>APRIL</t>
  </si>
  <si>
    <t>MAY</t>
  </si>
  <si>
    <t>JUNE</t>
  </si>
  <si>
    <t>JULY</t>
  </si>
  <si>
    <t>AUGUST</t>
  </si>
  <si>
    <t>SEPTEMBER</t>
  </si>
  <si>
    <t>OCTOBER</t>
  </si>
  <si>
    <t>NOVEMBER</t>
  </si>
  <si>
    <t>DECEMBER</t>
  </si>
  <si>
    <t>Month</t>
  </si>
  <si>
    <t>half-year</t>
  </si>
  <si>
    <t>H1 2025</t>
  </si>
  <si>
    <t>H2 2025</t>
  </si>
  <si>
    <t>Pie Chart Value</t>
  </si>
  <si>
    <t>Task</t>
  </si>
  <si>
    <t>Description</t>
  </si>
  <si>
    <t>Market Analysis</t>
  </si>
  <si>
    <t>Market analysis and location selection – studying competitors, target audience, foot traffic, and rental options.</t>
  </si>
  <si>
    <t>Lease</t>
  </si>
  <si>
    <t>Signing the lease agreement – negotiating terms, signing the contract, and handling necessary paperwork.</t>
  </si>
  <si>
    <t>Design Project</t>
  </si>
  <si>
    <t>Design project development – planning the layout, branding, and visual design.</t>
  </si>
  <si>
    <t>Renovation</t>
  </si>
  <si>
    <t>Renovation and site preparation – construction work, finishing, and setting up utilities.</t>
  </si>
  <si>
    <t>Equipment</t>
  </si>
  <si>
    <r>
      <t>Purchasing and installing equipment</t>
    </r>
    <r>
      <rPr>
        <sz val="11"/>
        <color theme="1"/>
        <rFont val="Aptos Narrow"/>
        <family val="2"/>
        <scheme val="minor"/>
      </rPr>
      <t xml:space="preserve"> – shelves, cash registers, lighting, and furniture.</t>
    </r>
  </si>
  <si>
    <t>Assortment</t>
  </si>
  <si>
    <t>Forming the product assortment – signing contracts with suppliers and purchasing initial inventory.</t>
  </si>
  <si>
    <t>Staff</t>
  </si>
  <si>
    <t>Hiring and training staff – recruiting employees, conducting training, and processing paperwork.</t>
  </si>
  <si>
    <t>Strategy</t>
  </si>
  <si>
    <t>Developing a marketing strategy – advertising campaigns, social media setup, and promotions.</t>
  </si>
  <si>
    <t>Test Processes</t>
  </si>
  <si>
    <t>Testing internal processes – trial sales, POS system setup, and logistics testing.</t>
  </si>
  <si>
    <t>Advertising</t>
  </si>
  <si>
    <t>Launching an advertising campaign – announcements, promotions, and attracting first customers.</t>
  </si>
  <si>
    <t>Store Opening</t>
  </si>
  <si>
    <t>Store grand opening – hosting an opening event and starting sales.</t>
  </si>
  <si>
    <t>Adjustments</t>
  </si>
  <si>
    <t>Performance analysis and strategy adjustments – evaluating KPIs, improving processes, and planning future growth.</t>
  </si>
  <si>
    <t>Row Labels</t>
  </si>
  <si>
    <t>Grand Total</t>
  </si>
  <si>
    <t>Button Value</t>
  </si>
  <si>
    <t>STEEP 1</t>
  </si>
  <si>
    <t>STEEP 2</t>
  </si>
  <si>
    <t>STEEP 3</t>
  </si>
  <si>
    <t>STEEP 4</t>
  </si>
  <si>
    <t>STEEP 5</t>
  </si>
  <si>
    <t>STEEP 6</t>
  </si>
  <si>
    <t>Number</t>
  </si>
  <si>
    <t>Max of Number</t>
  </si>
  <si>
    <t>START</t>
  </si>
  <si>
    <t>On</t>
  </si>
  <si>
    <t>Off</t>
  </si>
  <si>
    <t>Light</t>
  </si>
  <si>
    <t>Dark</t>
  </si>
  <si>
    <t>32A19B</t>
  </si>
  <si>
    <t>0085BC</t>
  </si>
  <si>
    <t>00B0F0</t>
  </si>
  <si>
    <t>596FB5</t>
  </si>
  <si>
    <t>9E396C</t>
  </si>
  <si>
    <t>FDB733</t>
  </si>
  <si>
    <t>07BEE3</t>
  </si>
  <si>
    <t>FF3F5F</t>
  </si>
  <si>
    <t>00AE50</t>
  </si>
  <si>
    <t>FF6903</t>
  </si>
  <si>
    <t>994CFE</t>
  </si>
  <si>
    <t>EEFCFB</t>
  </si>
  <si>
    <t>002A3D</t>
  </si>
  <si>
    <t>68EAFE</t>
  </si>
  <si>
    <t>7F7F7F</t>
  </si>
  <si>
    <t>334B49</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</si>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</sst>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name val="Aptos Narrow"/>
      <family val="2"/>
      <scheme val="minor"/>
    </font>
    <font>
      <sz val="10"/>
      <color theme="1"/>
      <name val="Arial Unicode MS"/>
    </font>
    <font>
      <u/>
      <sz val="11"/>
      <color theme="10"/>
      <name val="Aptos Narrow"/>
      <family val="2"/>
      <scheme val="minor"/>
    </font>
  </fonts>
  <fills count="20">
    <fill>
      <patternFill patternType="none"/>
    </fill>
    <fill>
      <patternFill patternType="gray125"/>
    </fill>
    <fill>
      <patternFill patternType="solid">
        <fgColor rgb="FFEEFCFB"/>
        <bgColor indexed="64"/>
      </patternFill>
    </fill>
    <fill>
      <patternFill patternType="solid">
        <fgColor theme="0" tint="-4.9989318521683403E-2"/>
        <bgColor indexed="64"/>
      </patternFill>
    </fill>
    <fill>
      <patternFill patternType="solid">
        <fgColor rgb="FF002A3D"/>
        <bgColor indexed="64"/>
      </patternFill>
    </fill>
    <fill>
      <patternFill patternType="solid">
        <fgColor rgb="FF32A19B"/>
        <bgColor indexed="64"/>
      </patternFill>
    </fill>
    <fill>
      <patternFill patternType="solid">
        <fgColor rgb="FF0085BC"/>
        <bgColor indexed="64"/>
      </patternFill>
    </fill>
    <fill>
      <patternFill patternType="solid">
        <fgColor rgb="FF00B0F0"/>
        <bgColor indexed="64"/>
      </patternFill>
    </fill>
    <fill>
      <patternFill patternType="solid">
        <fgColor rgb="FF596FB5"/>
        <bgColor indexed="64"/>
      </patternFill>
    </fill>
    <fill>
      <patternFill patternType="solid">
        <fgColor rgb="FF875599"/>
        <bgColor indexed="64"/>
      </patternFill>
    </fill>
    <fill>
      <patternFill patternType="solid">
        <fgColor rgb="FF9E396C"/>
        <bgColor indexed="64"/>
      </patternFill>
    </fill>
    <fill>
      <patternFill patternType="solid">
        <fgColor rgb="FFFDB733"/>
        <bgColor indexed="64"/>
      </patternFill>
    </fill>
    <fill>
      <patternFill patternType="solid">
        <fgColor rgb="FF07BEE3"/>
        <bgColor indexed="64"/>
      </patternFill>
    </fill>
    <fill>
      <patternFill patternType="solid">
        <fgColor rgb="FFFF3F5F"/>
        <bgColor indexed="64"/>
      </patternFill>
    </fill>
    <fill>
      <patternFill patternType="solid">
        <fgColor rgb="FF00AE50"/>
        <bgColor indexed="64"/>
      </patternFill>
    </fill>
    <fill>
      <patternFill patternType="solid">
        <fgColor rgb="FFFF6903"/>
        <bgColor indexed="64"/>
      </patternFill>
    </fill>
    <fill>
      <patternFill patternType="solid">
        <fgColor rgb="FF994CFE"/>
        <bgColor indexed="64"/>
      </patternFill>
    </fill>
    <fill>
      <patternFill patternType="solid">
        <fgColor rgb="FF68EAFE"/>
        <bgColor indexed="64"/>
      </patternFill>
    </fill>
    <fill>
      <patternFill patternType="solid">
        <fgColor rgb="FF7F7F7F"/>
        <bgColor indexed="64"/>
      </patternFill>
    </fill>
    <fill>
      <patternFill patternType="solid">
        <fgColor rgb="FF334B49"/>
        <bgColor indexed="64"/>
      </patternFill>
    </fill>
  </fills>
  <borders count="2">
    <border>
      <left/>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33">
    <xf numFmtId="0" fontId="0" fillId="0" borderId="0" xfId="0"/>
    <xf numFmtId="0" fontId="0" fillId="2" borderId="0" xfId="0" applyFill="1"/>
    <xf numFmtId="9" fontId="0" fillId="0" borderId="0" xfId="0" applyNumberFormat="1"/>
    <xf numFmtId="9" fontId="0" fillId="0" borderId="0" xfId="0" applyNumberFormat="1" applyAlignment="1">
      <alignment horizontal="center"/>
    </xf>
    <xf numFmtId="9" fontId="0" fillId="0" borderId="0" xfId="1" applyFont="1" applyFill="1" applyAlignment="1">
      <alignment horizontal="center"/>
    </xf>
    <xf numFmtId="0" fontId="2" fillId="0" borderId="0" xfId="0" applyFont="1" applyAlignment="1">
      <alignment horizontal="center"/>
    </xf>
    <xf numFmtId="0" fontId="0" fillId="0" borderId="0" xfId="0" applyAlignment="1">
      <alignment horizontal="center"/>
    </xf>
    <xf numFmtId="0" fontId="4" fillId="3" borderId="1" xfId="0" applyFont="1" applyFill="1" applyBorder="1" applyAlignment="1">
      <alignment horizontal="center"/>
    </xf>
    <xf numFmtId="0" fontId="0" fillId="0" borderId="0" xfId="0" pivotButton="1"/>
    <xf numFmtId="0" fontId="0" fillId="0" borderId="0" xfId="0" applyAlignment="1">
      <alignment horizontal="left"/>
    </xf>
    <xf numFmtId="9" fontId="2" fillId="0" borderId="0" xfId="0" applyNumberFormat="1" applyFont="1"/>
    <xf numFmtId="9" fontId="0" fillId="0" borderId="0" xfId="0" applyNumberFormat="1" applyAlignment="1">
      <alignment horizontal="left"/>
    </xf>
    <xf numFmtId="9" fontId="0" fillId="0" borderId="0" xfId="1" applyFont="1" applyAlignment="1">
      <alignment horizontal="center"/>
    </xf>
    <xf numFmtId="0" fontId="0" fillId="4" borderId="0" xfId="0" applyFill="1"/>
    <xf numFmtId="0" fontId="5" fillId="0" borderId="0" xfId="0" applyFont="1" applyAlignment="1">
      <alignment vertical="center"/>
    </xf>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xf numFmtId="11" fontId="0" fillId="10" borderId="0" xfId="0" applyNumberFormat="1"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6" fillId="0" borderId="0" xfId="2"/>
    <xf numFmtId="0" fontId="2" fillId="0" borderId="0" xfId="0" applyFont="1" applyAlignment="1">
      <alignment horizontal="center"/>
    </xf>
    <xf numFmtId="0" fontId="0" fillId="0" borderId="0" xfId="0" applyNumberFormat="1"/>
  </cellXfs>
  <cellStyles count="3">
    <cellStyle name="Hyperlink" xfId="2" builtinId="8"/>
    <cellStyle name="Normal" xfId="0" builtinId="0"/>
    <cellStyle name="Percent" xfId="1" builtinId="5"/>
  </cellStyles>
  <dxfs count="9">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fill>
        <patternFill>
          <bgColor rgb="FF002A3D"/>
        </patternFill>
      </fill>
      <border diagonalUp="0" diagonalDown="0">
        <left/>
        <right/>
        <top/>
        <bottom/>
        <vertical/>
        <horizontal/>
      </border>
    </dxf>
    <dxf>
      <font>
        <b/>
        <color theme="1"/>
      </font>
      <border>
        <bottom style="thin">
          <color theme="4"/>
        </bottom>
        <vertical/>
        <horizontal/>
      </border>
    </dxf>
    <dxf>
      <font>
        <color theme="1"/>
      </font>
      <fill>
        <patternFill>
          <bgColor rgb="FFEEFCFB"/>
        </patternFill>
      </fill>
      <border diagonalUp="0" diagonalDown="0">
        <left/>
        <right/>
        <top/>
        <bottom/>
        <vertical/>
        <horizontal/>
      </border>
    </dxf>
  </dxfs>
  <tableStyles count="2" defaultTableStyle="TableStyleMedium2" defaultPivotStyle="PivotStyleLight16">
    <tableStyle name="SlicerStyleLight1 2" pivot="0" table="0" count="10" xr9:uid="{BE4BBB03-D42B-4FD1-8266-26DEDDCF6E3F}">
      <tableStyleElement type="wholeTable" dxfId="8"/>
      <tableStyleElement type="headerRow" dxfId="7"/>
    </tableStyle>
    <tableStyle name="SlicerStyleLight1 2 2" pivot="0" table="0" count="10" xr9:uid="{D64EC077-FE21-44BD-8217-663339280906}">
      <tableStyleElement type="wholeTable" dxfId="6"/>
      <tableStyleElement type="headerRow" dxfId="5"/>
    </tableStyle>
  </tableStyles>
  <colors>
    <mruColors>
      <color rgb="FF334B49"/>
      <color rgb="FF7F7F7F"/>
      <color rgb="FF68EAFE"/>
      <color rgb="FF994CFE"/>
      <color rgb="FFFF6903"/>
      <color rgb="FF00AE50"/>
      <color rgb="FFFF3F5F"/>
      <color rgb="FF07BEE3"/>
      <color rgb="FFFDB733"/>
      <color rgb="FF9E396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96D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1B2CE"/>
          </font>
          <fill>
            <patternFill patternType="solid">
              <fgColor rgb="FFFFFFFF"/>
              <bgColor rgb="FF004E7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32A19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2430-4B31-A39D-9D963CB002D6}"/>
              </c:ext>
            </c:extLst>
          </c:dPt>
          <c:dPt>
            <c:idx val="1"/>
            <c:bubble3D val="0"/>
            <c:spPr>
              <a:solidFill>
                <a:srgbClr val="334B49"/>
              </a:solidFill>
              <a:ln w="19050">
                <a:noFill/>
              </a:ln>
              <a:effectLst/>
            </c:spPr>
            <c:extLst>
              <c:ext xmlns:c16="http://schemas.microsoft.com/office/drawing/2014/chart" uri="{C3380CC4-5D6E-409C-BE32-E72D297353CC}">
                <c16:uniqueId val="{00000003-2430-4B31-A39D-9D963CB002D6}"/>
              </c:ext>
            </c:extLst>
          </c:dPt>
          <c:val>
            <c:numRef>
              <c:f>Processing!$B$2:$C$2</c:f>
              <c:numCache>
                <c:formatCode>0%</c:formatCode>
                <c:ptCount val="2"/>
                <c:pt idx="0">
                  <c:v>0</c:v>
                </c:pt>
                <c:pt idx="1">
                  <c:v>1</c:v>
                </c:pt>
              </c:numCache>
            </c:numRef>
          </c:val>
          <c:extLst>
            <c:ext xmlns:c16="http://schemas.microsoft.com/office/drawing/2014/chart" uri="{C3380CC4-5D6E-409C-BE32-E72D297353CC}">
              <c16:uniqueId val="{00000004-2430-4B31-A39D-9D963CB002D6}"/>
            </c:ext>
          </c:extLst>
        </c:ser>
        <c:dLbls>
          <c:showLegendKey val="0"/>
          <c:showVal val="0"/>
          <c:showCatName val="0"/>
          <c:showSerName val="0"/>
          <c:showPercent val="0"/>
          <c:showBubbleSize val="0"/>
          <c:showLeaderLines val="1"/>
        </c:dLbls>
        <c:firstSliceAng val="3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1298-46B5-9619-9855FF926077}"/>
              </c:ext>
            </c:extLst>
          </c:dPt>
          <c:dPt>
            <c:idx val="1"/>
            <c:bubble3D val="0"/>
            <c:spPr>
              <a:solidFill>
                <a:srgbClr val="7F7F7F"/>
              </a:solidFill>
              <a:ln w="19050">
                <a:noFill/>
              </a:ln>
              <a:effectLst/>
            </c:spPr>
            <c:extLst>
              <c:ext xmlns:c16="http://schemas.microsoft.com/office/drawing/2014/chart" uri="{C3380CC4-5D6E-409C-BE32-E72D297353CC}">
                <c16:uniqueId val="{00000003-1298-46B5-9619-9855FF926077}"/>
              </c:ext>
            </c:extLst>
          </c:dPt>
          <c:val>
            <c:numRef>
              <c:f>Processing!$B$2:$C$2</c:f>
              <c:numCache>
                <c:formatCode>0%</c:formatCode>
                <c:ptCount val="2"/>
                <c:pt idx="0">
                  <c:v>0</c:v>
                </c:pt>
                <c:pt idx="1">
                  <c:v>1</c:v>
                </c:pt>
              </c:numCache>
            </c:numRef>
          </c:val>
          <c:extLst>
            <c:ext xmlns:c16="http://schemas.microsoft.com/office/drawing/2014/chart" uri="{C3380CC4-5D6E-409C-BE32-E72D297353CC}">
              <c16:uniqueId val="{00000004-1298-46B5-9619-9855FF926077}"/>
            </c:ext>
          </c:extLst>
        </c:ser>
        <c:dLbls>
          <c:showLegendKey val="0"/>
          <c:showVal val="0"/>
          <c:showCatName val="0"/>
          <c:showSerName val="0"/>
          <c:showPercent val="0"/>
          <c:showBubbleSize val="0"/>
          <c:showLeaderLines val="1"/>
        </c:dLbls>
        <c:firstSliceAng val="3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 Dark'!A1"/></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2.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8</xdr:col>
      <xdr:colOff>312420</xdr:colOff>
      <xdr:row>10</xdr:row>
      <xdr:rowOff>182571</xdr:rowOff>
    </xdr:from>
    <xdr:to>
      <xdr:col>14</xdr:col>
      <xdr:colOff>508253</xdr:colOff>
      <xdr:row>25</xdr:row>
      <xdr:rowOff>168864</xdr:rowOff>
    </xdr:to>
    <xdr:grpSp>
      <xdr:nvGrpSpPr>
        <xdr:cNvPr id="2" name="Group 1">
          <a:extLst>
            <a:ext uri="{FF2B5EF4-FFF2-40B4-BE49-F238E27FC236}">
              <a16:creationId xmlns:a16="http://schemas.microsoft.com/office/drawing/2014/main" id="{E05EAC1E-A62C-EF2E-537A-E2476474E3C0}"/>
            </a:ext>
          </a:extLst>
        </xdr:cNvPr>
        <xdr:cNvGrpSpPr/>
      </xdr:nvGrpSpPr>
      <xdr:grpSpPr>
        <a:xfrm>
          <a:off x="5036820" y="2087571"/>
          <a:ext cx="3739133" cy="2843793"/>
          <a:chOff x="4949192" y="1902151"/>
          <a:chExt cx="3853433" cy="2729493"/>
        </a:xfrm>
        <a:solidFill>
          <a:srgbClr val="334B49"/>
        </a:solidFill>
      </xdr:grpSpPr>
      <xdr:sp macro="" textlink="">
        <xdr:nvSpPr>
          <xdr:cNvPr id="6" name="Freeform: Shape 5">
            <a:extLst>
              <a:ext uri="{FF2B5EF4-FFF2-40B4-BE49-F238E27FC236}">
                <a16:creationId xmlns:a16="http://schemas.microsoft.com/office/drawing/2014/main" id="{B289A562-07F0-B640-5743-DB404A6A9C48}"/>
              </a:ext>
            </a:extLst>
          </xdr:cNvPr>
          <xdr:cNvSpPr/>
        </xdr:nvSpPr>
        <xdr:spPr>
          <a:xfrm>
            <a:off x="4958716" y="1902151"/>
            <a:ext cx="657225" cy="112706"/>
          </a:xfrm>
          <a:custGeom>
            <a:avLst/>
            <a:gdLst>
              <a:gd name="connsiteX0" fmla="*/ 633178 w 657225"/>
              <a:gd name="connsiteY0" fmla="*/ 111 h 112706"/>
              <a:gd name="connsiteX1" fmla="*/ 657225 w 657225"/>
              <a:gd name="connsiteY1" fmla="*/ 311 h 112706"/>
              <a:gd name="connsiteX2" fmla="*/ 609600 w 657225"/>
              <a:gd name="connsiteY2" fmla="*/ 112706 h 112706"/>
              <a:gd name="connsiteX3" fmla="*/ 0 w 657225"/>
              <a:gd name="connsiteY3" fmla="*/ 80321 h 112706"/>
              <a:gd name="connsiteX4" fmla="*/ 633178 w 657225"/>
              <a:gd name="connsiteY4" fmla="*/ 111 h 1127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7225" h="112706">
                <a:moveTo>
                  <a:pt x="633178" y="111"/>
                </a:moveTo>
                <a:cubicBezTo>
                  <a:pt x="642779" y="-83"/>
                  <a:pt x="650875" y="-26"/>
                  <a:pt x="657225" y="311"/>
                </a:cubicBezTo>
                <a:lnTo>
                  <a:pt x="609600" y="112706"/>
                </a:lnTo>
                <a:cubicBezTo>
                  <a:pt x="377190" y="93973"/>
                  <a:pt x="341630" y="89845"/>
                  <a:pt x="0" y="80321"/>
                </a:cubicBezTo>
                <a:cubicBezTo>
                  <a:pt x="6549" y="62462"/>
                  <a:pt x="489161" y="3024"/>
                  <a:pt x="633178" y="111"/>
                </a:cubicBezTo>
                <a:close/>
              </a:path>
            </a:pathLst>
          </a:custGeom>
          <a:solidFill>
            <a:srgbClr val="32A19B"/>
          </a:solidFill>
          <a:ln w="47625">
            <a:solidFill>
              <a:srgbClr val="32A19B"/>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Freeform: Shape 6">
            <a:extLst>
              <a:ext uri="{FF2B5EF4-FFF2-40B4-BE49-F238E27FC236}">
                <a16:creationId xmlns:a16="http://schemas.microsoft.com/office/drawing/2014/main" id="{BE77C02E-6FA6-D211-3FCC-7CBA50D80221}"/>
              </a:ext>
            </a:extLst>
          </xdr:cNvPr>
          <xdr:cNvSpPr/>
        </xdr:nvSpPr>
        <xdr:spPr>
          <a:xfrm>
            <a:off x="5671192" y="1905294"/>
            <a:ext cx="1243737" cy="281027"/>
          </a:xfrm>
          <a:custGeom>
            <a:avLst/>
            <a:gdLst>
              <a:gd name="connsiteX0" fmla="*/ 55472 w 1243737"/>
              <a:gd name="connsiteY0" fmla="*/ 0 h 281027"/>
              <a:gd name="connsiteX1" fmla="*/ 315719 w 1243737"/>
              <a:gd name="connsiteY1" fmla="*/ 5632 h 281027"/>
              <a:gd name="connsiteX2" fmla="*/ 1162855 w 1243737"/>
              <a:gd name="connsiteY2" fmla="*/ 94960 h 281027"/>
              <a:gd name="connsiteX3" fmla="*/ 1243737 w 1243737"/>
              <a:gd name="connsiteY3" fmla="*/ 110756 h 281027"/>
              <a:gd name="connsiteX4" fmla="*/ 1137390 w 1243737"/>
              <a:gd name="connsiteY4" fmla="*/ 281027 h 281027"/>
              <a:gd name="connsiteX5" fmla="*/ 1055342 w 1243737"/>
              <a:gd name="connsiteY5" fmla="*/ 259775 h 281027"/>
              <a:gd name="connsiteX6" fmla="*/ 202169 w 1243737"/>
              <a:gd name="connsiteY6" fmla="*/ 129660 h 281027"/>
              <a:gd name="connsiteX7" fmla="*/ 0 w 1243737"/>
              <a:gd name="connsiteY7" fmla="*/ 117675 h 281027"/>
              <a:gd name="connsiteX8" fmla="*/ 55472 w 1243737"/>
              <a:gd name="connsiteY8" fmla="*/ 0 h 281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3737" h="281027">
                <a:moveTo>
                  <a:pt x="55472" y="0"/>
                </a:moveTo>
                <a:lnTo>
                  <a:pt x="315719" y="5632"/>
                </a:lnTo>
                <a:cubicBezTo>
                  <a:pt x="612258" y="18539"/>
                  <a:pt x="896585" y="49150"/>
                  <a:pt x="1162855" y="94960"/>
                </a:cubicBezTo>
                <a:lnTo>
                  <a:pt x="1243737" y="110756"/>
                </a:lnTo>
                <a:lnTo>
                  <a:pt x="1137390" y="281027"/>
                </a:lnTo>
                <a:lnTo>
                  <a:pt x="1055342" y="259775"/>
                </a:lnTo>
                <a:cubicBezTo>
                  <a:pt x="796387" y="198655"/>
                  <a:pt x="508773" y="154032"/>
                  <a:pt x="202169" y="129660"/>
                </a:cubicBezTo>
                <a:lnTo>
                  <a:pt x="0" y="117675"/>
                </a:lnTo>
                <a:lnTo>
                  <a:pt x="55472" y="0"/>
                </a:lnTo>
                <a:close/>
              </a:path>
            </a:pathLst>
          </a:custGeom>
          <a:solidFill>
            <a:srgbClr val="32A19B"/>
          </a:solidFill>
          <a:ln w="47625">
            <a:solidFill>
              <a:srgbClr val="32A19B"/>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Freeform: Shape 7">
            <a:extLst>
              <a:ext uri="{FF2B5EF4-FFF2-40B4-BE49-F238E27FC236}">
                <a16:creationId xmlns:a16="http://schemas.microsoft.com/office/drawing/2014/main" id="{8B5730B2-FADA-23F0-67E5-E11C8E38D8EF}"/>
              </a:ext>
            </a:extLst>
          </xdr:cNvPr>
          <xdr:cNvSpPr/>
        </xdr:nvSpPr>
        <xdr:spPr>
          <a:xfrm>
            <a:off x="6913000" y="2037713"/>
            <a:ext cx="753660" cy="392303"/>
          </a:xfrm>
          <a:custGeom>
            <a:avLst/>
            <a:gdLst>
              <a:gd name="connsiteX0" fmla="*/ 112850 w 753660"/>
              <a:gd name="connsiteY0" fmla="*/ 0 h 392303"/>
              <a:gd name="connsiteX1" fmla="*/ 181079 w 753660"/>
              <a:gd name="connsiteY1" fmla="*/ 13325 h 392303"/>
              <a:gd name="connsiteX2" fmla="*/ 659834 w 753660"/>
              <a:gd name="connsiteY2" fmla="*/ 143064 h 392303"/>
              <a:gd name="connsiteX3" fmla="*/ 753660 w 753660"/>
              <a:gd name="connsiteY3" fmla="*/ 176858 h 392303"/>
              <a:gd name="connsiteX4" fmla="*/ 564636 w 753660"/>
              <a:gd name="connsiteY4" fmla="*/ 392303 h 392303"/>
              <a:gd name="connsiteX5" fmla="*/ 494755 w 753660"/>
              <a:gd name="connsiteY5" fmla="*/ 356453 h 392303"/>
              <a:gd name="connsiteX6" fmla="*/ 2224 w 753660"/>
              <a:gd name="connsiteY6" fmla="*/ 176231 h 392303"/>
              <a:gd name="connsiteX7" fmla="*/ 0 w 753660"/>
              <a:gd name="connsiteY7" fmla="*/ 175655 h 392303"/>
              <a:gd name="connsiteX8" fmla="*/ 112850 w 753660"/>
              <a:gd name="connsiteY8" fmla="*/ 0 h 3923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53660" h="392303">
                <a:moveTo>
                  <a:pt x="112850" y="0"/>
                </a:moveTo>
                <a:lnTo>
                  <a:pt x="181079" y="13325"/>
                </a:lnTo>
                <a:cubicBezTo>
                  <a:pt x="350133" y="50434"/>
                  <a:pt x="510296" y="93928"/>
                  <a:pt x="659834" y="143064"/>
                </a:cubicBezTo>
                <a:lnTo>
                  <a:pt x="753660" y="176858"/>
                </a:lnTo>
                <a:lnTo>
                  <a:pt x="564636" y="392303"/>
                </a:lnTo>
                <a:lnTo>
                  <a:pt x="494755" y="356453"/>
                </a:lnTo>
                <a:cubicBezTo>
                  <a:pt x="350777" y="288684"/>
                  <a:pt x="185241" y="228082"/>
                  <a:pt x="2224" y="176231"/>
                </a:cubicBezTo>
                <a:lnTo>
                  <a:pt x="0" y="175655"/>
                </a:lnTo>
                <a:lnTo>
                  <a:pt x="112850" y="0"/>
                </a:lnTo>
                <a:close/>
              </a:path>
            </a:pathLst>
          </a:custGeom>
          <a:solidFill>
            <a:srgbClr val="0095B0"/>
          </a:solidFill>
          <a:ln w="47625">
            <a:solidFill>
              <a:srgbClr val="0095B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Freeform: Shape 8">
            <a:extLst>
              <a:ext uri="{FF2B5EF4-FFF2-40B4-BE49-F238E27FC236}">
                <a16:creationId xmlns:a16="http://schemas.microsoft.com/office/drawing/2014/main" id="{712AB1E6-8601-C10E-A7CB-6F87B6D476D1}"/>
              </a:ext>
            </a:extLst>
          </xdr:cNvPr>
          <xdr:cNvSpPr/>
        </xdr:nvSpPr>
        <xdr:spPr>
          <a:xfrm>
            <a:off x="7581343" y="2257769"/>
            <a:ext cx="876765" cy="576256"/>
          </a:xfrm>
          <a:custGeom>
            <a:avLst/>
            <a:gdLst>
              <a:gd name="connsiteX0" fmla="*/ 205262 w 876765"/>
              <a:gd name="connsiteY0" fmla="*/ 0 h 576256"/>
              <a:gd name="connsiteX1" fmla="*/ 207615 w 876765"/>
              <a:gd name="connsiteY1" fmla="*/ 848 h 576256"/>
              <a:gd name="connsiteX2" fmla="*/ 747381 w 876765"/>
              <a:gd name="connsiteY2" fmla="*/ 279582 h 576256"/>
              <a:gd name="connsiteX3" fmla="*/ 876765 w 876765"/>
              <a:gd name="connsiteY3" fmla="*/ 378088 h 576256"/>
              <a:gd name="connsiteX4" fmla="*/ 375827 w 876765"/>
              <a:gd name="connsiteY4" fmla="*/ 576256 h 576256"/>
              <a:gd name="connsiteX5" fmla="*/ 347771 w 876765"/>
              <a:gd name="connsiteY5" fmla="*/ 527633 h 576256"/>
              <a:gd name="connsiteX6" fmla="*/ 84416 w 876765"/>
              <a:gd name="connsiteY6" fmla="*/ 281020 h 576256"/>
              <a:gd name="connsiteX7" fmla="*/ 0 w 876765"/>
              <a:gd name="connsiteY7" fmla="*/ 229182 h 576256"/>
              <a:gd name="connsiteX8" fmla="*/ 205262 w 876765"/>
              <a:gd name="connsiteY8" fmla="*/ 0 h 5762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76765" h="576256">
                <a:moveTo>
                  <a:pt x="205262" y="0"/>
                </a:moveTo>
                <a:lnTo>
                  <a:pt x="207615" y="848"/>
                </a:lnTo>
                <a:cubicBezTo>
                  <a:pt x="415338" y="82735"/>
                  <a:pt x="597209" y="176482"/>
                  <a:pt x="747381" y="279582"/>
                </a:cubicBezTo>
                <a:lnTo>
                  <a:pt x="876765" y="378088"/>
                </a:lnTo>
                <a:lnTo>
                  <a:pt x="375827" y="576256"/>
                </a:lnTo>
                <a:lnTo>
                  <a:pt x="347771" y="527633"/>
                </a:lnTo>
                <a:cubicBezTo>
                  <a:pt x="286983" y="440374"/>
                  <a:pt x="197838" y="357641"/>
                  <a:pt x="84416" y="281020"/>
                </a:cubicBezTo>
                <a:lnTo>
                  <a:pt x="0" y="229182"/>
                </a:lnTo>
                <a:lnTo>
                  <a:pt x="205262" y="0"/>
                </a:lnTo>
                <a:close/>
              </a:path>
            </a:pathLst>
          </a:custGeom>
          <a:solidFill>
            <a:srgbClr val="0085BC"/>
          </a:solidFill>
          <a:ln w="47625">
            <a:solidFill>
              <a:srgbClr val="0085BC"/>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81323339-608E-71D4-603A-A7289E72D935}"/>
              </a:ext>
            </a:extLst>
          </xdr:cNvPr>
          <xdr:cNvSpPr/>
        </xdr:nvSpPr>
        <xdr:spPr>
          <a:xfrm>
            <a:off x="7880110" y="2741159"/>
            <a:ext cx="922515" cy="977728"/>
          </a:xfrm>
          <a:custGeom>
            <a:avLst/>
            <a:gdLst>
              <a:gd name="connsiteX0" fmla="*/ 690193 w 922515"/>
              <a:gd name="connsiteY0" fmla="*/ 0 h 977728"/>
              <a:gd name="connsiteX1" fmla="*/ 704964 w 922515"/>
              <a:gd name="connsiteY1" fmla="*/ 14121 h 977728"/>
              <a:gd name="connsiteX2" fmla="*/ 922515 w 922515"/>
              <a:gd name="connsiteY2" fmla="*/ 506993 h 977728"/>
              <a:gd name="connsiteX3" fmla="*/ 781509 w 922515"/>
              <a:gd name="connsiteY3" fmla="*/ 906707 h 977728"/>
              <a:gd name="connsiteX4" fmla="*/ 720857 w 922515"/>
              <a:gd name="connsiteY4" fmla="*/ 977728 h 977728"/>
              <a:gd name="connsiteX5" fmla="*/ 0 w 922515"/>
              <a:gd name="connsiteY5" fmla="*/ 650828 h 977728"/>
              <a:gd name="connsiteX6" fmla="*/ 35546 w 922515"/>
              <a:gd name="connsiteY6" fmla="*/ 610420 h 977728"/>
              <a:gd name="connsiteX7" fmla="*/ 142227 w 922515"/>
              <a:gd name="connsiteY7" fmla="*/ 318017 h 977728"/>
              <a:gd name="connsiteX8" fmla="*/ 131567 w 922515"/>
              <a:gd name="connsiteY8" fmla="*/ 224328 h 977728"/>
              <a:gd name="connsiteX9" fmla="*/ 125213 w 922515"/>
              <a:gd name="connsiteY9" fmla="*/ 205823 h 977728"/>
              <a:gd name="connsiteX10" fmla="*/ 690193 w 922515"/>
              <a:gd name="connsiteY10" fmla="*/ 0 h 9777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922515" h="977728">
                <a:moveTo>
                  <a:pt x="690193" y="0"/>
                </a:moveTo>
                <a:lnTo>
                  <a:pt x="704964" y="14121"/>
                </a:lnTo>
                <a:cubicBezTo>
                  <a:pt x="845380" y="166732"/>
                  <a:pt x="922515" y="333002"/>
                  <a:pt x="922515" y="506993"/>
                </a:cubicBezTo>
                <a:cubicBezTo>
                  <a:pt x="922515" y="646186"/>
                  <a:pt x="873148" y="780438"/>
                  <a:pt x="781509" y="906707"/>
                </a:cubicBezTo>
                <a:lnTo>
                  <a:pt x="720857" y="977728"/>
                </a:lnTo>
                <a:lnTo>
                  <a:pt x="0" y="650828"/>
                </a:lnTo>
                <a:lnTo>
                  <a:pt x="35546" y="610420"/>
                </a:lnTo>
                <a:cubicBezTo>
                  <a:pt x="104995" y="517629"/>
                  <a:pt x="142227" y="419512"/>
                  <a:pt x="142227" y="318017"/>
                </a:cubicBezTo>
                <a:cubicBezTo>
                  <a:pt x="142227" y="286441"/>
                  <a:pt x="138624" y="255192"/>
                  <a:pt x="131567" y="224328"/>
                </a:cubicBezTo>
                <a:lnTo>
                  <a:pt x="125213" y="205823"/>
                </a:lnTo>
                <a:lnTo>
                  <a:pt x="690193" y="0"/>
                </a:lnTo>
                <a:close/>
              </a:path>
            </a:pathLst>
          </a:custGeom>
          <a:solidFill>
            <a:srgbClr val="596FB5"/>
          </a:solidFill>
          <a:ln w="47625">
            <a:solidFill>
              <a:srgbClr val="596FB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Freeform: Shape 10">
            <a:extLst>
              <a:ext uri="{FF2B5EF4-FFF2-40B4-BE49-F238E27FC236}">
                <a16:creationId xmlns:a16="http://schemas.microsoft.com/office/drawing/2014/main" id="{35CCE3B6-517E-7878-380B-8F186966C892}"/>
              </a:ext>
            </a:extLst>
          </xdr:cNvPr>
          <xdr:cNvSpPr/>
        </xdr:nvSpPr>
        <xdr:spPr>
          <a:xfrm>
            <a:off x="6935878" y="3506487"/>
            <a:ext cx="1543781" cy="920453"/>
          </a:xfrm>
          <a:custGeom>
            <a:avLst/>
            <a:gdLst>
              <a:gd name="connsiteX0" fmla="*/ 825951 w 1543781"/>
              <a:gd name="connsiteY0" fmla="*/ 0 h 920453"/>
              <a:gd name="connsiteX1" fmla="*/ 1543781 w 1543781"/>
              <a:gd name="connsiteY1" fmla="*/ 332930 h 920453"/>
              <a:gd name="connsiteX2" fmla="*/ 1488201 w 1543781"/>
              <a:gd name="connsiteY2" fmla="*/ 382376 h 920453"/>
              <a:gd name="connsiteX3" fmla="*/ 483941 w 1543781"/>
              <a:gd name="connsiteY3" fmla="*/ 856271 h 920453"/>
              <a:gd name="connsiteX4" fmla="*/ 237433 w 1543781"/>
              <a:gd name="connsiteY4" fmla="*/ 920453 h 920453"/>
              <a:gd name="connsiteX5" fmla="*/ 0 w 1543781"/>
              <a:gd name="connsiteY5" fmla="*/ 391317 h 920453"/>
              <a:gd name="connsiteX6" fmla="*/ 31158 w 1543781"/>
              <a:gd name="connsiteY6" fmla="*/ 382873 h 920453"/>
              <a:gd name="connsiteX7" fmla="*/ 799411 w 1543781"/>
              <a:gd name="connsiteY7" fmla="*/ 22994 h 920453"/>
              <a:gd name="connsiteX8" fmla="*/ 825951 w 1543781"/>
              <a:gd name="connsiteY8" fmla="*/ 0 h 92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43781" h="920453">
                <a:moveTo>
                  <a:pt x="825951" y="0"/>
                </a:moveTo>
                <a:lnTo>
                  <a:pt x="1543781" y="332930"/>
                </a:lnTo>
                <a:lnTo>
                  <a:pt x="1488201" y="382376"/>
                </a:lnTo>
                <a:cubicBezTo>
                  <a:pt x="1246786" y="572836"/>
                  <a:pt x="901084" y="735493"/>
                  <a:pt x="483941" y="856271"/>
                </a:cubicBezTo>
                <a:lnTo>
                  <a:pt x="237433" y="920453"/>
                </a:lnTo>
                <a:lnTo>
                  <a:pt x="0" y="391317"/>
                </a:lnTo>
                <a:lnTo>
                  <a:pt x="31158" y="382873"/>
                </a:lnTo>
                <a:cubicBezTo>
                  <a:pt x="351961" y="287332"/>
                  <a:pt x="615787" y="164365"/>
                  <a:pt x="799411" y="22994"/>
                </a:cubicBezTo>
                <a:lnTo>
                  <a:pt x="825951" y="0"/>
                </a:lnTo>
                <a:close/>
              </a:path>
            </a:pathLst>
          </a:custGeom>
          <a:solidFill>
            <a:srgbClr val="875599"/>
          </a:solidFill>
          <a:ln w="47625">
            <a:solidFill>
              <a:srgbClr val="87559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 name="Freeform: Shape 11">
            <a:extLst>
              <a:ext uri="{FF2B5EF4-FFF2-40B4-BE49-F238E27FC236}">
                <a16:creationId xmlns:a16="http://schemas.microsoft.com/office/drawing/2014/main" id="{AACAB3C4-04F5-D80A-7BD7-FFEE82BC29C5}"/>
              </a:ext>
            </a:extLst>
          </xdr:cNvPr>
          <xdr:cNvSpPr/>
        </xdr:nvSpPr>
        <xdr:spPr>
          <a:xfrm>
            <a:off x="4949192" y="3934050"/>
            <a:ext cx="2064332" cy="697594"/>
          </a:xfrm>
          <a:custGeom>
            <a:avLst/>
            <a:gdLst>
              <a:gd name="connsiteX0" fmla="*/ 1852922 w 2064332"/>
              <a:gd name="connsiteY0" fmla="*/ 0 h 697594"/>
              <a:gd name="connsiteX1" fmla="*/ 2064332 w 2064332"/>
              <a:gd name="connsiteY1" fmla="*/ 526530 h 697594"/>
              <a:gd name="connsiteX2" fmla="*/ 457948 w 2064332"/>
              <a:gd name="connsiteY2" fmla="*/ 696674 h 697594"/>
              <a:gd name="connsiteX3" fmla="*/ 0 w 2064332"/>
              <a:gd name="connsiteY3" fmla="*/ 340770 h 697594"/>
              <a:gd name="connsiteX4" fmla="*/ 478725 w 2064332"/>
              <a:gd name="connsiteY4" fmla="*/ 77646 h 697594"/>
              <a:gd name="connsiteX5" fmla="*/ 1852922 w 2064332"/>
              <a:gd name="connsiteY5" fmla="*/ 0 h 6975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64332" h="697594">
                <a:moveTo>
                  <a:pt x="1852922" y="0"/>
                </a:moveTo>
                <a:lnTo>
                  <a:pt x="2064332" y="526530"/>
                </a:lnTo>
                <a:cubicBezTo>
                  <a:pt x="1540625" y="639213"/>
                  <a:pt x="948815" y="706340"/>
                  <a:pt x="457948" y="696674"/>
                </a:cubicBezTo>
                <a:lnTo>
                  <a:pt x="0" y="340770"/>
                </a:lnTo>
                <a:lnTo>
                  <a:pt x="478725" y="77646"/>
                </a:lnTo>
                <a:cubicBezTo>
                  <a:pt x="958804" y="78857"/>
                  <a:pt x="1199107" y="109533"/>
                  <a:pt x="1852922" y="0"/>
                </a:cubicBezTo>
                <a:close/>
              </a:path>
            </a:pathLst>
          </a:custGeom>
          <a:solidFill>
            <a:srgbClr val="9E396C"/>
          </a:solidFill>
          <a:ln w="47625">
            <a:solidFill>
              <a:srgbClr val="9E396C"/>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333443</xdr:colOff>
      <xdr:row>11</xdr:row>
      <xdr:rowOff>45265</xdr:rowOff>
    </xdr:from>
    <xdr:to>
      <xdr:col>11</xdr:col>
      <xdr:colOff>412183</xdr:colOff>
      <xdr:row>13</xdr:row>
      <xdr:rowOff>31943</xdr:rowOff>
    </xdr:to>
    <xdr:sp macro="" textlink="">
      <xdr:nvSpPr>
        <xdr:cNvPr id="3" name="Freeform: Shape 2">
          <a:extLst>
            <a:ext uri="{FF2B5EF4-FFF2-40B4-BE49-F238E27FC236}">
              <a16:creationId xmlns:a16="http://schemas.microsoft.com/office/drawing/2014/main" id="{BDCA8774-C02A-9C29-C85A-8C25032620F9}"/>
            </a:ext>
          </a:extLst>
        </xdr:cNvPr>
        <xdr:cNvSpPr/>
      </xdr:nvSpPr>
      <xdr:spPr>
        <a:xfrm>
          <a:off x="5819843" y="2056945"/>
          <a:ext cx="1297940" cy="352438"/>
        </a:xfrm>
        <a:custGeom>
          <a:avLst/>
          <a:gdLst>
            <a:gd name="connsiteX0" fmla="*/ 55472 w 1243737"/>
            <a:gd name="connsiteY0" fmla="*/ 0 h 281027"/>
            <a:gd name="connsiteX1" fmla="*/ 315719 w 1243737"/>
            <a:gd name="connsiteY1" fmla="*/ 5632 h 281027"/>
            <a:gd name="connsiteX2" fmla="*/ 1162855 w 1243737"/>
            <a:gd name="connsiteY2" fmla="*/ 94960 h 281027"/>
            <a:gd name="connsiteX3" fmla="*/ 1243737 w 1243737"/>
            <a:gd name="connsiteY3" fmla="*/ 110756 h 281027"/>
            <a:gd name="connsiteX4" fmla="*/ 1137390 w 1243737"/>
            <a:gd name="connsiteY4" fmla="*/ 281027 h 281027"/>
            <a:gd name="connsiteX5" fmla="*/ 1055342 w 1243737"/>
            <a:gd name="connsiteY5" fmla="*/ 259775 h 281027"/>
            <a:gd name="connsiteX6" fmla="*/ 202169 w 1243737"/>
            <a:gd name="connsiteY6" fmla="*/ 129660 h 281027"/>
            <a:gd name="connsiteX7" fmla="*/ 0 w 1243737"/>
            <a:gd name="connsiteY7" fmla="*/ 117675 h 281027"/>
            <a:gd name="connsiteX8" fmla="*/ 55472 w 1243737"/>
            <a:gd name="connsiteY8" fmla="*/ 0 h 281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3737" h="281027">
              <a:moveTo>
                <a:pt x="55472" y="0"/>
              </a:moveTo>
              <a:lnTo>
                <a:pt x="315719" y="5632"/>
              </a:lnTo>
              <a:cubicBezTo>
                <a:pt x="612258" y="18539"/>
                <a:pt x="896585" y="49150"/>
                <a:pt x="1162855" y="94960"/>
              </a:cubicBezTo>
              <a:lnTo>
                <a:pt x="1243737" y="110756"/>
              </a:lnTo>
              <a:lnTo>
                <a:pt x="1137390" y="281027"/>
              </a:lnTo>
              <a:lnTo>
                <a:pt x="1055342" y="259775"/>
              </a:lnTo>
              <a:cubicBezTo>
                <a:pt x="796387" y="198655"/>
                <a:pt x="508773" y="154032"/>
                <a:pt x="202169" y="129660"/>
              </a:cubicBezTo>
              <a:lnTo>
                <a:pt x="0" y="117675"/>
              </a:lnTo>
              <a:lnTo>
                <a:pt x="55472" y="0"/>
              </a:lnTo>
              <a:close/>
            </a:path>
          </a:pathLst>
        </a:custGeom>
        <a:solidFill>
          <a:srgbClr val="32A19B"/>
        </a:solidFill>
        <a:ln w="9525">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527140</xdr:colOff>
      <xdr:row>3</xdr:row>
      <xdr:rowOff>35379</xdr:rowOff>
    </xdr:from>
    <xdr:to>
      <xdr:col>17</xdr:col>
      <xdr:colOff>439510</xdr:colOff>
      <xdr:row>32</xdr:row>
      <xdr:rowOff>111579</xdr:rowOff>
    </xdr:to>
    <xdr:graphicFrame macro="">
      <xdr:nvGraphicFramePr>
        <xdr:cNvPr id="21" name="Chart 20">
          <a:extLst>
            <a:ext uri="{FF2B5EF4-FFF2-40B4-BE49-F238E27FC236}">
              <a16:creationId xmlns:a16="http://schemas.microsoft.com/office/drawing/2014/main" id="{7CC4E36A-A16F-40D8-ADC8-DCA3F657E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520431</xdr:colOff>
      <xdr:row>11</xdr:row>
      <xdr:rowOff>55473</xdr:rowOff>
    </xdr:from>
    <xdr:to>
      <xdr:col>14</xdr:col>
      <xdr:colOff>107231</xdr:colOff>
      <xdr:row>24</xdr:row>
      <xdr:rowOff>13063</xdr:rowOff>
    </xdr:to>
    <xdr:sp macro="" textlink="">
      <xdr:nvSpPr>
        <xdr:cNvPr id="1029" name="Oval 1028">
          <a:extLst>
            <a:ext uri="{FF2B5EF4-FFF2-40B4-BE49-F238E27FC236}">
              <a16:creationId xmlns:a16="http://schemas.microsoft.com/office/drawing/2014/main" id="{B4B51BB1-F205-FC6A-1B37-95D6E2DFA749}"/>
            </a:ext>
          </a:extLst>
        </xdr:cNvPr>
        <xdr:cNvSpPr/>
      </xdr:nvSpPr>
      <xdr:spPr>
        <a:xfrm>
          <a:off x="2958831" y="2067153"/>
          <a:ext cx="5682800" cy="2335030"/>
        </a:xfrm>
        <a:prstGeom prst="ellipse">
          <a:avLst/>
        </a:prstGeom>
        <a:noFill/>
        <a:ln w="12700">
          <a:solidFill>
            <a:schemeClr val="bg1"/>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clientData/>
  </xdr:twoCellAnchor>
  <xdr:twoCellAnchor>
    <xdr:from>
      <xdr:col>4</xdr:col>
      <xdr:colOff>289560</xdr:colOff>
      <xdr:row>6</xdr:row>
      <xdr:rowOff>38100</xdr:rowOff>
    </xdr:from>
    <xdr:to>
      <xdr:col>17</xdr:col>
      <xdr:colOff>604519</xdr:colOff>
      <xdr:row>30</xdr:row>
      <xdr:rowOff>48260</xdr:rowOff>
    </xdr:to>
    <xdr:sp macro="" textlink="">
      <xdr:nvSpPr>
        <xdr:cNvPr id="5" name="Freeform: Shape 4">
          <a:extLst>
            <a:ext uri="{FF2B5EF4-FFF2-40B4-BE49-F238E27FC236}">
              <a16:creationId xmlns:a16="http://schemas.microsoft.com/office/drawing/2014/main" id="{0424B57F-F4C9-602E-D230-647904042F11}"/>
            </a:ext>
          </a:extLst>
        </xdr:cNvPr>
        <xdr:cNvSpPr/>
      </xdr:nvSpPr>
      <xdr:spPr>
        <a:xfrm>
          <a:off x="2727960" y="1141686"/>
          <a:ext cx="8239759" cy="4424505"/>
        </a:xfrm>
        <a:custGeom>
          <a:avLst/>
          <a:gdLst>
            <a:gd name="connsiteX0" fmla="*/ 4302752 w 8239759"/>
            <a:gd name="connsiteY0" fmla="*/ 2907890 h 4399280"/>
            <a:gd name="connsiteX1" fmla="*/ 4268541 w 8239759"/>
            <a:gd name="connsiteY1" fmla="*/ 2917160 h 4399280"/>
            <a:gd name="connsiteX2" fmla="*/ 3106770 w 8239759"/>
            <a:gd name="connsiteY2" fmla="*/ 3073082 h 4399280"/>
            <a:gd name="connsiteX3" fmla="*/ 2973005 w 8239759"/>
            <a:gd name="connsiteY3" fmla="*/ 3075706 h 4399280"/>
            <a:gd name="connsiteX4" fmla="*/ 2556510 w 8239759"/>
            <a:gd name="connsiteY4" fmla="*/ 3326130 h 4399280"/>
            <a:gd name="connsiteX5" fmla="*/ 2934448 w 8239759"/>
            <a:gd name="connsiteY5" fmla="*/ 3561130 h 4399280"/>
            <a:gd name="connsiteX6" fmla="*/ 3166872 w 8239759"/>
            <a:gd name="connsiteY6" fmla="*/ 3566160 h 4399280"/>
            <a:gd name="connsiteX7" fmla="*/ 4387696 w 8239759"/>
            <a:gd name="connsiteY7" fmla="*/ 3460529 h 4399280"/>
            <a:gd name="connsiteX8" fmla="*/ 4514162 w 8239759"/>
            <a:gd name="connsiteY8" fmla="*/ 343442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3227302 w 8239759"/>
            <a:gd name="connsiteY43" fmla="*/ 879133 h 4399280"/>
            <a:gd name="connsiteX44" fmla="*/ 3171830 w 8239759"/>
            <a:gd name="connsiteY44" fmla="*/ 996808 h 4399280"/>
            <a:gd name="connsiteX45" fmla="*/ 3373999 w 8239759"/>
            <a:gd name="connsiteY45" fmla="*/ 1008793 h 4399280"/>
            <a:gd name="connsiteX46" fmla="*/ 4227172 w 8239759"/>
            <a:gd name="connsiteY46" fmla="*/ 1138908 h 4399280"/>
            <a:gd name="connsiteX47" fmla="*/ 4309220 w 8239759"/>
            <a:gd name="connsiteY47" fmla="*/ 1160160 h 4399280"/>
            <a:gd name="connsiteX48" fmla="*/ 4415567 w 8239759"/>
            <a:gd name="connsiteY48" fmla="*/ 989889 h 4399280"/>
            <a:gd name="connsiteX49" fmla="*/ 4334685 w 8239759"/>
            <a:gd name="connsiteY49" fmla="*/ 974093 h 4399280"/>
            <a:gd name="connsiteX50" fmla="*/ 3487549 w 8239759"/>
            <a:gd name="connsiteY50" fmla="*/ 884765 h 4399280"/>
            <a:gd name="connsiteX51" fmla="*/ 3116579 w 8239759"/>
            <a:gd name="connsiteY51" fmla="*/ 876302 h 4399280"/>
            <a:gd name="connsiteX52" fmla="*/ 2459354 w 8239759"/>
            <a:gd name="connsiteY52" fmla="*/ 956312 h 4399280"/>
            <a:gd name="connsiteX53" fmla="*/ 3068954 w 8239759"/>
            <a:gd name="connsiteY53" fmla="*/ 988697 h 4399280"/>
            <a:gd name="connsiteX54" fmla="*/ 0 w 8239759"/>
            <a:gd name="connsiteY54" fmla="*/ 0 h 4399280"/>
            <a:gd name="connsiteX55" fmla="*/ 8239759 w 8239759"/>
            <a:gd name="connsiteY55" fmla="*/ 0 h 4399280"/>
            <a:gd name="connsiteX56" fmla="*/ 8239759 w 8239759"/>
            <a:gd name="connsiteY56" fmla="*/ 4399280 h 4399280"/>
            <a:gd name="connsiteX57" fmla="*/ 0 w 8239759"/>
            <a:gd name="connsiteY57" fmla="*/ 4399280 h 4399280"/>
            <a:gd name="connsiteX0" fmla="*/ 4302752 w 8239759"/>
            <a:gd name="connsiteY0" fmla="*/ 2907890 h 4399280"/>
            <a:gd name="connsiteX1" fmla="*/ 4268541 w 8239759"/>
            <a:gd name="connsiteY1" fmla="*/ 2917160 h 4399280"/>
            <a:gd name="connsiteX2" fmla="*/ 2973005 w 8239759"/>
            <a:gd name="connsiteY2" fmla="*/ 307570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3299458 w 8239759"/>
            <a:gd name="connsiteY2" fmla="*/ 3012440 h 4399280"/>
            <a:gd name="connsiteX3" fmla="*/ 2931095 w 8239759"/>
            <a:gd name="connsiteY3" fmla="*/ 2991886 h 4399280"/>
            <a:gd name="connsiteX4" fmla="*/ 2556510 w 8239759"/>
            <a:gd name="connsiteY4" fmla="*/ 3326130 h 4399280"/>
            <a:gd name="connsiteX5" fmla="*/ 2934448 w 8239759"/>
            <a:gd name="connsiteY5" fmla="*/ 3561130 h 4399280"/>
            <a:gd name="connsiteX6" fmla="*/ 3166872 w 8239759"/>
            <a:gd name="connsiteY6" fmla="*/ 3566160 h 4399280"/>
            <a:gd name="connsiteX7" fmla="*/ 4387696 w 8239759"/>
            <a:gd name="connsiteY7" fmla="*/ 3460529 h 4399280"/>
            <a:gd name="connsiteX8" fmla="*/ 4514162 w 8239759"/>
            <a:gd name="connsiteY8" fmla="*/ 3434420 h 4399280"/>
            <a:gd name="connsiteX9" fmla="*/ 4302752 w 8239759"/>
            <a:gd name="connsiteY9" fmla="*/ 2907890 h 4399280"/>
            <a:gd name="connsiteX10" fmla="*/ 5262467 w 8239759"/>
            <a:gd name="connsiteY10" fmla="*/ 2480326 h 4399280"/>
            <a:gd name="connsiteX11" fmla="*/ 5235927 w 8239759"/>
            <a:gd name="connsiteY11" fmla="*/ 2503320 h 4399280"/>
            <a:gd name="connsiteX12" fmla="*/ 4467674 w 8239759"/>
            <a:gd name="connsiteY12" fmla="*/ 2863199 h 4399280"/>
            <a:gd name="connsiteX13" fmla="*/ 4436516 w 8239759"/>
            <a:gd name="connsiteY13" fmla="*/ 2871643 h 4399280"/>
            <a:gd name="connsiteX14" fmla="*/ 4673949 w 8239759"/>
            <a:gd name="connsiteY14" fmla="*/ 3400779 h 4399280"/>
            <a:gd name="connsiteX15" fmla="*/ 4920457 w 8239759"/>
            <a:gd name="connsiteY15" fmla="*/ 3336597 h 4399280"/>
            <a:gd name="connsiteX16" fmla="*/ 5924717 w 8239759"/>
            <a:gd name="connsiteY16" fmla="*/ 2862702 h 4399280"/>
            <a:gd name="connsiteX17" fmla="*/ 5980297 w 8239759"/>
            <a:gd name="connsiteY17" fmla="*/ 2813256 h 4399280"/>
            <a:gd name="connsiteX18" fmla="*/ 5262467 w 8239759"/>
            <a:gd name="connsiteY18" fmla="*/ 2480326 h 4399280"/>
            <a:gd name="connsiteX19" fmla="*/ 6070941 w 8239759"/>
            <a:gd name="connsiteY19" fmla="*/ 1714999 h 4399280"/>
            <a:gd name="connsiteX20" fmla="*/ 5505961 w 8239759"/>
            <a:gd name="connsiteY20" fmla="*/ 1920822 h 4399280"/>
            <a:gd name="connsiteX21" fmla="*/ 5512315 w 8239759"/>
            <a:gd name="connsiteY21" fmla="*/ 1939327 h 4399280"/>
            <a:gd name="connsiteX22" fmla="*/ 5522975 w 8239759"/>
            <a:gd name="connsiteY22" fmla="*/ 2033016 h 4399280"/>
            <a:gd name="connsiteX23" fmla="*/ 5416294 w 8239759"/>
            <a:gd name="connsiteY23" fmla="*/ 2325419 h 4399280"/>
            <a:gd name="connsiteX24" fmla="*/ 5380748 w 8239759"/>
            <a:gd name="connsiteY24" fmla="*/ 2365827 h 4399280"/>
            <a:gd name="connsiteX25" fmla="*/ 6101605 w 8239759"/>
            <a:gd name="connsiteY25" fmla="*/ 2692727 h 4399280"/>
            <a:gd name="connsiteX26" fmla="*/ 6162257 w 8239759"/>
            <a:gd name="connsiteY26" fmla="*/ 2621706 h 4399280"/>
            <a:gd name="connsiteX27" fmla="*/ 6303263 w 8239759"/>
            <a:gd name="connsiteY27" fmla="*/ 2221992 h 4399280"/>
            <a:gd name="connsiteX28" fmla="*/ 6085712 w 8239759"/>
            <a:gd name="connsiteY28" fmla="*/ 1729120 h 4399280"/>
            <a:gd name="connsiteX29" fmla="*/ 6070941 w 8239759"/>
            <a:gd name="connsiteY29" fmla="*/ 1714999 h 4399280"/>
            <a:gd name="connsiteX30" fmla="*/ 5287243 w 8239759"/>
            <a:gd name="connsiteY30" fmla="*/ 1231609 h 4399280"/>
            <a:gd name="connsiteX31" fmla="*/ 5081981 w 8239759"/>
            <a:gd name="connsiteY31" fmla="*/ 1460791 h 4399280"/>
            <a:gd name="connsiteX32" fmla="*/ 5166397 w 8239759"/>
            <a:gd name="connsiteY32" fmla="*/ 1512629 h 4399280"/>
            <a:gd name="connsiteX33" fmla="*/ 5429752 w 8239759"/>
            <a:gd name="connsiteY33" fmla="*/ 1759242 h 4399280"/>
            <a:gd name="connsiteX34" fmla="*/ 5457808 w 8239759"/>
            <a:gd name="connsiteY34" fmla="*/ 1807865 h 4399280"/>
            <a:gd name="connsiteX35" fmla="*/ 5958746 w 8239759"/>
            <a:gd name="connsiteY35" fmla="*/ 1609697 h 4399280"/>
            <a:gd name="connsiteX36" fmla="*/ 5829362 w 8239759"/>
            <a:gd name="connsiteY36" fmla="*/ 1511191 h 4399280"/>
            <a:gd name="connsiteX37" fmla="*/ 5289596 w 8239759"/>
            <a:gd name="connsiteY37" fmla="*/ 1232457 h 4399280"/>
            <a:gd name="connsiteX38" fmla="*/ 5287243 w 8239759"/>
            <a:gd name="connsiteY38" fmla="*/ 1231609 h 4399280"/>
            <a:gd name="connsiteX39" fmla="*/ 4526488 w 8239759"/>
            <a:gd name="connsiteY39" fmla="*/ 1011552 h 4399280"/>
            <a:gd name="connsiteX40" fmla="*/ 4413638 w 8239759"/>
            <a:gd name="connsiteY40" fmla="*/ 1187207 h 4399280"/>
            <a:gd name="connsiteX41" fmla="*/ 4415862 w 8239759"/>
            <a:gd name="connsiteY41" fmla="*/ 1187783 h 4399280"/>
            <a:gd name="connsiteX42" fmla="*/ 4908393 w 8239759"/>
            <a:gd name="connsiteY42" fmla="*/ 1368005 h 4399280"/>
            <a:gd name="connsiteX43" fmla="*/ 4978274 w 8239759"/>
            <a:gd name="connsiteY43" fmla="*/ 1403855 h 4399280"/>
            <a:gd name="connsiteX44" fmla="*/ 5167298 w 8239759"/>
            <a:gd name="connsiteY44" fmla="*/ 1188410 h 4399280"/>
            <a:gd name="connsiteX45" fmla="*/ 5073472 w 8239759"/>
            <a:gd name="connsiteY45" fmla="*/ 1154616 h 4399280"/>
            <a:gd name="connsiteX46" fmla="*/ 4594717 w 8239759"/>
            <a:gd name="connsiteY46" fmla="*/ 1024877 h 4399280"/>
            <a:gd name="connsiteX47" fmla="*/ 4526488 w 8239759"/>
            <a:gd name="connsiteY47" fmla="*/ 1011552 h 4399280"/>
            <a:gd name="connsiteX48" fmla="*/ 3227302 w 8239759"/>
            <a:gd name="connsiteY48" fmla="*/ 879133 h 4399280"/>
            <a:gd name="connsiteX49" fmla="*/ 3171830 w 8239759"/>
            <a:gd name="connsiteY49" fmla="*/ 996808 h 4399280"/>
            <a:gd name="connsiteX50" fmla="*/ 3373999 w 8239759"/>
            <a:gd name="connsiteY50" fmla="*/ 1008793 h 4399280"/>
            <a:gd name="connsiteX51" fmla="*/ 4227172 w 8239759"/>
            <a:gd name="connsiteY51" fmla="*/ 1138908 h 4399280"/>
            <a:gd name="connsiteX52" fmla="*/ 4309220 w 8239759"/>
            <a:gd name="connsiteY52" fmla="*/ 1160160 h 4399280"/>
            <a:gd name="connsiteX53" fmla="*/ 4415567 w 8239759"/>
            <a:gd name="connsiteY53" fmla="*/ 989889 h 4399280"/>
            <a:gd name="connsiteX54" fmla="*/ 4334685 w 8239759"/>
            <a:gd name="connsiteY54" fmla="*/ 974093 h 4399280"/>
            <a:gd name="connsiteX55" fmla="*/ 3487549 w 8239759"/>
            <a:gd name="connsiteY55" fmla="*/ 884765 h 4399280"/>
            <a:gd name="connsiteX56" fmla="*/ 3227302 w 8239759"/>
            <a:gd name="connsiteY56" fmla="*/ 879133 h 4399280"/>
            <a:gd name="connsiteX57" fmla="*/ 3116579 w 8239759"/>
            <a:gd name="connsiteY57" fmla="*/ 876302 h 4399280"/>
            <a:gd name="connsiteX58" fmla="*/ 2459354 w 8239759"/>
            <a:gd name="connsiteY58" fmla="*/ 956312 h 4399280"/>
            <a:gd name="connsiteX59" fmla="*/ 3068954 w 8239759"/>
            <a:gd name="connsiteY59" fmla="*/ 988697 h 4399280"/>
            <a:gd name="connsiteX60" fmla="*/ 3116579 w 8239759"/>
            <a:gd name="connsiteY60" fmla="*/ 876302 h 4399280"/>
            <a:gd name="connsiteX61" fmla="*/ 0 w 8239759"/>
            <a:gd name="connsiteY61" fmla="*/ 0 h 4399280"/>
            <a:gd name="connsiteX62" fmla="*/ 8239759 w 8239759"/>
            <a:gd name="connsiteY62" fmla="*/ 0 h 4399280"/>
            <a:gd name="connsiteX63" fmla="*/ 8239759 w 8239759"/>
            <a:gd name="connsiteY63" fmla="*/ 4399280 h 4399280"/>
            <a:gd name="connsiteX64" fmla="*/ 0 w 8239759"/>
            <a:gd name="connsiteY64" fmla="*/ 4399280 h 4399280"/>
            <a:gd name="connsiteX65" fmla="*/ 0 w 8239759"/>
            <a:gd name="connsiteY65"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495550 w 8239759"/>
            <a:gd name="connsiteY3" fmla="*/ 327660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495550 w 8239759"/>
            <a:gd name="connsiteY3" fmla="*/ 327660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82850 w 8239759"/>
            <a:gd name="connsiteY2" fmla="*/ 322834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8285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16160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7778 w 8239759"/>
            <a:gd name="connsiteY3" fmla="*/ 360456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Lst>
          <a:rect l="l" t="t" r="r" b="b"/>
          <a:pathLst>
            <a:path w="8239759" h="4399280">
              <a:moveTo>
                <a:pt x="4302752" y="2907890"/>
              </a:moveTo>
              <a:cubicBezTo>
                <a:pt x="3648937" y="3017423"/>
                <a:pt x="3408634" y="2986747"/>
                <a:pt x="2928555" y="2985536"/>
              </a:cubicBezTo>
              <a:lnTo>
                <a:pt x="2449830" y="3248660"/>
              </a:lnTo>
              <a:lnTo>
                <a:pt x="2907778" y="3604564"/>
              </a:lnTo>
              <a:cubicBezTo>
                <a:pt x="3398645" y="3614230"/>
                <a:pt x="3990455" y="3547103"/>
                <a:pt x="4514162" y="3434420"/>
              </a:cubicBezTo>
              <a:lnTo>
                <a:pt x="4302752" y="2907890"/>
              </a:lnTo>
              <a:close/>
              <a:moveTo>
                <a:pt x="5262467" y="2480326"/>
              </a:moveTo>
              <a:lnTo>
                <a:pt x="5235927" y="2503320"/>
              </a:lnTo>
              <a:cubicBezTo>
                <a:pt x="5052303" y="2644691"/>
                <a:pt x="4788477" y="2767658"/>
                <a:pt x="4467674" y="2863199"/>
              </a:cubicBezTo>
              <a:lnTo>
                <a:pt x="4436516" y="2871643"/>
              </a:lnTo>
              <a:lnTo>
                <a:pt x="4673949" y="3400779"/>
              </a:lnTo>
              <a:lnTo>
                <a:pt x="4920457" y="3336597"/>
              </a:lnTo>
              <a:cubicBezTo>
                <a:pt x="5337600" y="3215819"/>
                <a:pt x="5683302" y="3053162"/>
                <a:pt x="5924717" y="2862702"/>
              </a:cubicBezTo>
              <a:lnTo>
                <a:pt x="5980297" y="2813256"/>
              </a:lnTo>
              <a:lnTo>
                <a:pt x="5262467" y="2480326"/>
              </a:lnTo>
              <a:close/>
              <a:moveTo>
                <a:pt x="6070941" y="1714999"/>
              </a:moveTo>
              <a:lnTo>
                <a:pt x="5505961" y="1920822"/>
              </a:lnTo>
              <a:lnTo>
                <a:pt x="5512315" y="1939327"/>
              </a:lnTo>
              <a:cubicBezTo>
                <a:pt x="5519372" y="1970191"/>
                <a:pt x="5522975" y="2001440"/>
                <a:pt x="5522975" y="2033016"/>
              </a:cubicBezTo>
              <a:cubicBezTo>
                <a:pt x="5522975" y="2134511"/>
                <a:pt x="5485743" y="2232628"/>
                <a:pt x="5416294" y="2325419"/>
              </a:cubicBezTo>
              <a:lnTo>
                <a:pt x="5380748" y="2365827"/>
              </a:lnTo>
              <a:lnTo>
                <a:pt x="6101605" y="2692727"/>
              </a:lnTo>
              <a:lnTo>
                <a:pt x="6162257" y="2621706"/>
              </a:lnTo>
              <a:cubicBezTo>
                <a:pt x="6253896" y="2495437"/>
                <a:pt x="6303263" y="2361185"/>
                <a:pt x="6303263" y="2221992"/>
              </a:cubicBezTo>
              <a:cubicBezTo>
                <a:pt x="6303263" y="2048001"/>
                <a:pt x="6226128" y="1881731"/>
                <a:pt x="6085712" y="1729120"/>
              </a:cubicBezTo>
              <a:lnTo>
                <a:pt x="6070941" y="1714999"/>
              </a:lnTo>
              <a:close/>
              <a:moveTo>
                <a:pt x="5287243" y="1231609"/>
              </a:moveTo>
              <a:lnTo>
                <a:pt x="5081981" y="1460791"/>
              </a:lnTo>
              <a:lnTo>
                <a:pt x="5166397" y="1512629"/>
              </a:lnTo>
              <a:cubicBezTo>
                <a:pt x="5279819" y="1589250"/>
                <a:pt x="5368964" y="1671983"/>
                <a:pt x="5429752" y="1759242"/>
              </a:cubicBezTo>
              <a:lnTo>
                <a:pt x="5457808" y="1807865"/>
              </a:lnTo>
              <a:lnTo>
                <a:pt x="5958746" y="1609697"/>
              </a:lnTo>
              <a:lnTo>
                <a:pt x="5829362" y="1511191"/>
              </a:lnTo>
              <a:cubicBezTo>
                <a:pt x="5679190" y="1408091"/>
                <a:pt x="5497319" y="1314344"/>
                <a:pt x="5289596" y="1232457"/>
              </a:cubicBezTo>
              <a:lnTo>
                <a:pt x="5287243" y="1231609"/>
              </a:lnTo>
              <a:close/>
              <a:moveTo>
                <a:pt x="4526488" y="1011552"/>
              </a:moveTo>
              <a:lnTo>
                <a:pt x="4413638" y="1187207"/>
              </a:lnTo>
              <a:lnTo>
                <a:pt x="4415862" y="1187783"/>
              </a:lnTo>
              <a:cubicBezTo>
                <a:pt x="4598879" y="1239634"/>
                <a:pt x="4764415" y="1300236"/>
                <a:pt x="4908393" y="1368005"/>
              </a:cubicBezTo>
              <a:lnTo>
                <a:pt x="4978274" y="1403855"/>
              </a:lnTo>
              <a:lnTo>
                <a:pt x="5167298" y="1188410"/>
              </a:lnTo>
              <a:lnTo>
                <a:pt x="5073472" y="1154616"/>
              </a:lnTo>
              <a:cubicBezTo>
                <a:pt x="4923934" y="1105480"/>
                <a:pt x="4763771" y="1061986"/>
                <a:pt x="4594717" y="1024877"/>
              </a:cubicBezTo>
              <a:lnTo>
                <a:pt x="4526488" y="1011552"/>
              </a:lnTo>
              <a:close/>
              <a:moveTo>
                <a:pt x="3227302" y="879133"/>
              </a:moveTo>
              <a:lnTo>
                <a:pt x="3171830" y="996808"/>
              </a:lnTo>
              <a:lnTo>
                <a:pt x="3373999" y="1008793"/>
              </a:lnTo>
              <a:cubicBezTo>
                <a:pt x="3680603" y="1033165"/>
                <a:pt x="3968217" y="1077788"/>
                <a:pt x="4227172" y="1138908"/>
              </a:cubicBezTo>
              <a:lnTo>
                <a:pt x="4309220" y="1160160"/>
              </a:lnTo>
              <a:lnTo>
                <a:pt x="4415567" y="989889"/>
              </a:lnTo>
              <a:lnTo>
                <a:pt x="4334685" y="974093"/>
              </a:lnTo>
              <a:cubicBezTo>
                <a:pt x="4068415" y="928283"/>
                <a:pt x="3784088" y="897672"/>
                <a:pt x="3487549" y="884765"/>
              </a:cubicBezTo>
              <a:lnTo>
                <a:pt x="3227302" y="879133"/>
              </a:lnTo>
              <a:close/>
              <a:moveTo>
                <a:pt x="3116579" y="876302"/>
              </a:moveTo>
              <a:cubicBezTo>
                <a:pt x="3014979" y="870905"/>
                <a:pt x="2466339" y="937262"/>
                <a:pt x="2459354" y="956312"/>
              </a:cubicBezTo>
              <a:cubicBezTo>
                <a:pt x="2800984" y="965836"/>
                <a:pt x="2836544" y="969964"/>
                <a:pt x="3068954" y="988697"/>
              </a:cubicBezTo>
              <a:lnTo>
                <a:pt x="3116579" y="876302"/>
              </a:lnTo>
              <a:close/>
              <a:moveTo>
                <a:pt x="0" y="0"/>
              </a:moveTo>
              <a:lnTo>
                <a:pt x="8239759" y="0"/>
              </a:lnTo>
              <a:lnTo>
                <a:pt x="8239759" y="4399280"/>
              </a:lnTo>
              <a:lnTo>
                <a:pt x="0" y="4399280"/>
              </a:lnTo>
              <a:lnTo>
                <a:pt x="0" y="0"/>
              </a:lnTo>
              <a:close/>
            </a:path>
          </a:pathLst>
        </a:custGeom>
        <a:solidFill>
          <a:srgbClr val="EEFC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518160</xdr:colOff>
      <xdr:row>21</xdr:row>
      <xdr:rowOff>68580</xdr:rowOff>
    </xdr:from>
    <xdr:to>
      <xdr:col>10</xdr:col>
      <xdr:colOff>255271</xdr:colOff>
      <xdr:row>24</xdr:row>
      <xdr:rowOff>3810</xdr:rowOff>
    </xdr:to>
    <xdr:sp macro="" textlink="">
      <xdr:nvSpPr>
        <xdr:cNvPr id="13" name="Circle: Hollow 4">
          <a:extLst>
            <a:ext uri="{FF2B5EF4-FFF2-40B4-BE49-F238E27FC236}">
              <a16:creationId xmlns:a16="http://schemas.microsoft.com/office/drawing/2014/main" id="{01388349-26B2-6422-DD65-AD61CA0B93DA}"/>
            </a:ext>
          </a:extLst>
        </xdr:cNvPr>
        <xdr:cNvSpPr/>
      </xdr:nvSpPr>
      <xdr:spPr>
        <a:xfrm>
          <a:off x="6004560" y="3909060"/>
          <a:ext cx="346711" cy="483870"/>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9E396C"/>
        </a:solidFill>
        <a:ln w="9525">
          <a:solidFill>
            <a:schemeClr val="bg1"/>
          </a:solidFill>
        </a:ln>
        <a:effectLst>
          <a:outerShdw blurRad="50800" dist="88900" dir="12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12</xdr:col>
      <xdr:colOff>409921</xdr:colOff>
      <xdr:row>19</xdr:row>
      <xdr:rowOff>141975</xdr:rowOff>
    </xdr:from>
    <xdr:to>
      <xdr:col>13</xdr:col>
      <xdr:colOff>101476</xdr:colOff>
      <xdr:row>22</xdr:row>
      <xdr:rowOff>13627</xdr:rowOff>
    </xdr:to>
    <xdr:sp macro="" textlink="">
      <xdr:nvSpPr>
        <xdr:cNvPr id="16" name="Circle: Hollow 4">
          <a:extLst>
            <a:ext uri="{FF2B5EF4-FFF2-40B4-BE49-F238E27FC236}">
              <a16:creationId xmlns:a16="http://schemas.microsoft.com/office/drawing/2014/main" id="{4DE68B0C-16E3-3192-9A1C-7FF7079169BE}"/>
            </a:ext>
          </a:extLst>
        </xdr:cNvPr>
        <xdr:cNvSpPr/>
      </xdr:nvSpPr>
      <xdr:spPr>
        <a:xfrm>
          <a:off x="7725121" y="3616695"/>
          <a:ext cx="301155" cy="420292"/>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875599"/>
        </a:solidFill>
        <a:ln w="9525">
          <a:solidFill>
            <a:schemeClr val="bg1"/>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13</xdr:col>
      <xdr:colOff>562322</xdr:colOff>
      <xdr:row>16</xdr:row>
      <xdr:rowOff>8625</xdr:rowOff>
    </xdr:from>
    <xdr:to>
      <xdr:col>14</xdr:col>
      <xdr:colOff>210062</xdr:colOff>
      <xdr:row>18</xdr:row>
      <xdr:rowOff>2009</xdr:rowOff>
    </xdr:to>
    <xdr:sp macro="" textlink="">
      <xdr:nvSpPr>
        <xdr:cNvPr id="17" name="Circle: Hollow 4">
          <a:extLst>
            <a:ext uri="{FF2B5EF4-FFF2-40B4-BE49-F238E27FC236}">
              <a16:creationId xmlns:a16="http://schemas.microsoft.com/office/drawing/2014/main" id="{2D6CFE84-1B34-0CA5-97EE-CB7D67D505FA}"/>
            </a:ext>
          </a:extLst>
        </xdr:cNvPr>
        <xdr:cNvSpPr/>
      </xdr:nvSpPr>
      <xdr:spPr>
        <a:xfrm>
          <a:off x="8487122" y="2934705"/>
          <a:ext cx="257340" cy="359144"/>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596FB5"/>
        </a:solidFill>
        <a:ln w="9525">
          <a:solidFill>
            <a:schemeClr val="bg1"/>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13</xdr:col>
      <xdr:colOff>217170</xdr:colOff>
      <xdr:row>12</xdr:row>
      <xdr:rowOff>124828</xdr:rowOff>
    </xdr:from>
    <xdr:to>
      <xdr:col>13</xdr:col>
      <xdr:colOff>444376</xdr:colOff>
      <xdr:row>14</xdr:row>
      <xdr:rowOff>76157</xdr:rowOff>
    </xdr:to>
    <xdr:sp macro="" textlink="">
      <xdr:nvSpPr>
        <xdr:cNvPr id="18" name="Circle: Hollow 4">
          <a:extLst>
            <a:ext uri="{FF2B5EF4-FFF2-40B4-BE49-F238E27FC236}">
              <a16:creationId xmlns:a16="http://schemas.microsoft.com/office/drawing/2014/main" id="{E68BF720-882F-66AA-CE16-4528CA492ED5}"/>
            </a:ext>
          </a:extLst>
        </xdr:cNvPr>
        <xdr:cNvSpPr/>
      </xdr:nvSpPr>
      <xdr:spPr>
        <a:xfrm>
          <a:off x="8141970" y="2319388"/>
          <a:ext cx="227206" cy="317089"/>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0085BC"/>
        </a:solidFill>
        <a:ln w="9525">
          <a:solidFill>
            <a:schemeClr val="bg1"/>
          </a:solidFill>
        </a:ln>
        <a:effectLst>
          <a:outerShdw blurRad="50800" dist="762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12</xdr:col>
      <xdr:colOff>93345</xdr:colOff>
      <xdr:row>10</xdr:row>
      <xdr:rowOff>168644</xdr:rowOff>
    </xdr:from>
    <xdr:to>
      <xdr:col>12</xdr:col>
      <xdr:colOff>311026</xdr:colOff>
      <xdr:row>12</xdr:row>
      <xdr:rowOff>106680</xdr:rowOff>
    </xdr:to>
    <xdr:sp macro="" textlink="">
      <xdr:nvSpPr>
        <xdr:cNvPr id="19" name="Circle: Hollow 4">
          <a:extLst>
            <a:ext uri="{FF2B5EF4-FFF2-40B4-BE49-F238E27FC236}">
              <a16:creationId xmlns:a16="http://schemas.microsoft.com/office/drawing/2014/main" id="{0DFF63B9-6D68-3ADE-B966-B80675B06BDE}"/>
            </a:ext>
          </a:extLst>
        </xdr:cNvPr>
        <xdr:cNvSpPr/>
      </xdr:nvSpPr>
      <xdr:spPr>
        <a:xfrm>
          <a:off x="7408545" y="1997444"/>
          <a:ext cx="217681" cy="303796"/>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0095B0"/>
        </a:solidFill>
        <a:ln w="9525">
          <a:solidFill>
            <a:schemeClr val="bg1"/>
          </a:solidFill>
        </a:ln>
        <a:effectLst>
          <a:outerShdw blurRad="50800" dist="762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10</xdr:col>
      <xdr:colOff>312420</xdr:colOff>
      <xdr:row>10</xdr:row>
      <xdr:rowOff>7620</xdr:rowOff>
    </xdr:from>
    <xdr:to>
      <xdr:col>10</xdr:col>
      <xdr:colOff>504885</xdr:colOff>
      <xdr:row>11</xdr:row>
      <xdr:rowOff>93345</xdr:rowOff>
    </xdr:to>
    <xdr:sp macro="" textlink="">
      <xdr:nvSpPr>
        <xdr:cNvPr id="20" name="Circle: Hollow 4">
          <a:extLst>
            <a:ext uri="{FF2B5EF4-FFF2-40B4-BE49-F238E27FC236}">
              <a16:creationId xmlns:a16="http://schemas.microsoft.com/office/drawing/2014/main" id="{D9DE9590-3589-AB8B-B1AA-D2DF41A16ECC}"/>
            </a:ext>
          </a:extLst>
        </xdr:cNvPr>
        <xdr:cNvSpPr/>
      </xdr:nvSpPr>
      <xdr:spPr>
        <a:xfrm>
          <a:off x="6408420" y="1836420"/>
          <a:ext cx="192465" cy="268605"/>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32A19B"/>
        </a:solidFill>
        <a:ln w="9525">
          <a:solidFill>
            <a:schemeClr val="bg1"/>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7</xdr:col>
      <xdr:colOff>235694</xdr:colOff>
      <xdr:row>0</xdr:row>
      <xdr:rowOff>0</xdr:rowOff>
    </xdr:from>
    <xdr:to>
      <xdr:col>16</xdr:col>
      <xdr:colOff>182354</xdr:colOff>
      <xdr:row>6</xdr:row>
      <xdr:rowOff>129540</xdr:rowOff>
    </xdr:to>
    <xdr:sp macro="" textlink="">
      <xdr:nvSpPr>
        <xdr:cNvPr id="22" name="Rectangle 21">
          <a:extLst>
            <a:ext uri="{FF2B5EF4-FFF2-40B4-BE49-F238E27FC236}">
              <a16:creationId xmlns:a16="http://schemas.microsoft.com/office/drawing/2014/main" id="{1EE43CCA-27A4-60A3-5458-7B20B67A9E59}"/>
            </a:ext>
          </a:extLst>
        </xdr:cNvPr>
        <xdr:cNvSpPr/>
      </xdr:nvSpPr>
      <xdr:spPr>
        <a:xfrm>
          <a:off x="4502894" y="0"/>
          <a:ext cx="5433060" cy="1233126"/>
        </a:xfrm>
        <a:prstGeom prst="rect">
          <a:avLst/>
        </a:prstGeom>
        <a:solidFill>
          <a:srgbClr val="EEFC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403860</xdr:colOff>
      <xdr:row>28</xdr:row>
      <xdr:rowOff>160020</xdr:rowOff>
    </xdr:from>
    <xdr:to>
      <xdr:col>15</xdr:col>
      <xdr:colOff>350520</xdr:colOff>
      <xdr:row>35</xdr:row>
      <xdr:rowOff>106680</xdr:rowOff>
    </xdr:to>
    <xdr:sp macro="" textlink="">
      <xdr:nvSpPr>
        <xdr:cNvPr id="23" name="Rectangle 22">
          <a:extLst>
            <a:ext uri="{FF2B5EF4-FFF2-40B4-BE49-F238E27FC236}">
              <a16:creationId xmlns:a16="http://schemas.microsoft.com/office/drawing/2014/main" id="{4296E611-870C-81BE-E953-2A3F41B2437B}"/>
            </a:ext>
          </a:extLst>
        </xdr:cNvPr>
        <xdr:cNvSpPr/>
      </xdr:nvSpPr>
      <xdr:spPr>
        <a:xfrm>
          <a:off x="4061460" y="5310089"/>
          <a:ext cx="5433060" cy="1234177"/>
        </a:xfrm>
        <a:prstGeom prst="rect">
          <a:avLst/>
        </a:prstGeom>
        <a:solidFill>
          <a:srgbClr val="EEFC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303301</xdr:colOff>
      <xdr:row>11</xdr:row>
      <xdr:rowOff>3502</xdr:rowOff>
    </xdr:from>
    <xdr:to>
      <xdr:col>9</xdr:col>
      <xdr:colOff>350926</xdr:colOff>
      <xdr:row>11</xdr:row>
      <xdr:rowOff>117850</xdr:rowOff>
    </xdr:to>
    <xdr:sp macro="" textlink="">
      <xdr:nvSpPr>
        <xdr:cNvPr id="1028" name="Freeform: Shape 1027">
          <a:extLst>
            <a:ext uri="{FF2B5EF4-FFF2-40B4-BE49-F238E27FC236}">
              <a16:creationId xmlns:a16="http://schemas.microsoft.com/office/drawing/2014/main" id="{F84AA30F-9095-402B-A5AD-FCECE1C4DE2C}"/>
            </a:ext>
          </a:extLst>
        </xdr:cNvPr>
        <xdr:cNvSpPr/>
      </xdr:nvSpPr>
      <xdr:spPr>
        <a:xfrm>
          <a:off x="5180101" y="2027834"/>
          <a:ext cx="657225" cy="114348"/>
        </a:xfrm>
        <a:custGeom>
          <a:avLst/>
          <a:gdLst>
            <a:gd name="connsiteX0" fmla="*/ 633178 w 657225"/>
            <a:gd name="connsiteY0" fmla="*/ 111 h 112706"/>
            <a:gd name="connsiteX1" fmla="*/ 657225 w 657225"/>
            <a:gd name="connsiteY1" fmla="*/ 311 h 112706"/>
            <a:gd name="connsiteX2" fmla="*/ 609600 w 657225"/>
            <a:gd name="connsiteY2" fmla="*/ 112706 h 112706"/>
            <a:gd name="connsiteX3" fmla="*/ 0 w 657225"/>
            <a:gd name="connsiteY3" fmla="*/ 80321 h 112706"/>
            <a:gd name="connsiteX4" fmla="*/ 633178 w 657225"/>
            <a:gd name="connsiteY4" fmla="*/ 111 h 1127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7225" h="112706">
              <a:moveTo>
                <a:pt x="633178" y="111"/>
              </a:moveTo>
              <a:cubicBezTo>
                <a:pt x="642779" y="-83"/>
                <a:pt x="650875" y="-26"/>
                <a:pt x="657225" y="311"/>
              </a:cubicBezTo>
              <a:lnTo>
                <a:pt x="609600" y="112706"/>
              </a:lnTo>
              <a:cubicBezTo>
                <a:pt x="377190" y="93973"/>
                <a:pt x="341630" y="89845"/>
                <a:pt x="0" y="80321"/>
              </a:cubicBezTo>
              <a:cubicBezTo>
                <a:pt x="6549" y="62462"/>
                <a:pt x="489161" y="3024"/>
                <a:pt x="633178" y="111"/>
              </a:cubicBezTo>
              <a:close/>
            </a:path>
          </a:pathLst>
        </a:custGeom>
        <a:solidFill>
          <a:srgbClr val="32A19B"/>
        </a:solidFill>
        <a:ln w="47625">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320040</xdr:colOff>
      <xdr:row>9</xdr:row>
      <xdr:rowOff>53340</xdr:rowOff>
    </xdr:from>
    <xdr:to>
      <xdr:col>9</xdr:col>
      <xdr:colOff>350520</xdr:colOff>
      <xdr:row>10</xdr:row>
      <xdr:rowOff>129540</xdr:rowOff>
    </xdr:to>
    <xdr:sp macro="" textlink="">
      <xdr:nvSpPr>
        <xdr:cNvPr id="14" name="TextBox 13">
          <a:extLst>
            <a:ext uri="{FF2B5EF4-FFF2-40B4-BE49-F238E27FC236}">
              <a16:creationId xmlns:a16="http://schemas.microsoft.com/office/drawing/2014/main" id="{D0D82A7F-257B-1B36-A4CD-E8D784023622}"/>
            </a:ext>
          </a:extLst>
        </xdr:cNvPr>
        <xdr:cNvSpPr txBox="1"/>
      </xdr:nvSpPr>
      <xdr:spPr>
        <a:xfrm>
          <a:off x="5196840" y="1699260"/>
          <a:ext cx="6400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2A19B"/>
              </a:solidFill>
            </a:rPr>
            <a:t>START</a:t>
          </a:r>
          <a:endParaRPr lang="ru-RU" sz="1400" b="1">
            <a:solidFill>
              <a:srgbClr val="32A19B"/>
            </a:solidFill>
          </a:endParaRPr>
        </a:p>
      </xdr:txBody>
    </xdr:sp>
    <xdr:clientData/>
  </xdr:twoCellAnchor>
  <xdr:twoCellAnchor>
    <xdr:from>
      <xdr:col>13</xdr:col>
      <xdr:colOff>184194</xdr:colOff>
      <xdr:row>6</xdr:row>
      <xdr:rowOff>45720</xdr:rowOff>
    </xdr:from>
    <xdr:to>
      <xdr:col>16</xdr:col>
      <xdr:colOff>275634</xdr:colOff>
      <xdr:row>7</xdr:row>
      <xdr:rowOff>121920</xdr:rowOff>
    </xdr:to>
    <xdr:sp macro="" textlink="Processing!F8">
      <xdr:nvSpPr>
        <xdr:cNvPr id="25" name="TextBox 24">
          <a:extLst>
            <a:ext uri="{FF2B5EF4-FFF2-40B4-BE49-F238E27FC236}">
              <a16:creationId xmlns:a16="http://schemas.microsoft.com/office/drawing/2014/main" id="{D8DD8A0A-F1F8-4DD3-9544-2177ADE1BD74}"/>
            </a:ext>
          </a:extLst>
        </xdr:cNvPr>
        <xdr:cNvSpPr txBox="1"/>
      </xdr:nvSpPr>
      <xdr:spPr>
        <a:xfrm>
          <a:off x="8108994" y="1149306"/>
          <a:ext cx="1920240" cy="26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5BF732-635D-4689-9D10-F547B147261A}" type="TxLink">
            <a:rPr lang="en-US" sz="1100" b="1" i="0" u="none" strike="noStrike">
              <a:solidFill>
                <a:srgbClr val="0095B0"/>
              </a:solidFill>
              <a:latin typeface="Aptos Narrow"/>
            </a:rPr>
            <a:pPr/>
            <a:t> </a:t>
          </a:fld>
          <a:endParaRPr lang="ru-RU" sz="1400" b="1">
            <a:solidFill>
              <a:srgbClr val="0095B0"/>
            </a:solidFill>
          </a:endParaRPr>
        </a:p>
      </xdr:txBody>
    </xdr:sp>
    <xdr:clientData/>
  </xdr:twoCellAnchor>
  <xdr:twoCellAnchor>
    <xdr:from>
      <xdr:col>15</xdr:col>
      <xdr:colOff>38100</xdr:colOff>
      <xdr:row>10</xdr:row>
      <xdr:rowOff>30480</xdr:rowOff>
    </xdr:from>
    <xdr:to>
      <xdr:col>18</xdr:col>
      <xdr:colOff>129540</xdr:colOff>
      <xdr:row>11</xdr:row>
      <xdr:rowOff>106680</xdr:rowOff>
    </xdr:to>
    <xdr:sp macro="" textlink="Processing!F9">
      <xdr:nvSpPr>
        <xdr:cNvPr id="26" name="TextBox 25">
          <a:extLst>
            <a:ext uri="{FF2B5EF4-FFF2-40B4-BE49-F238E27FC236}">
              <a16:creationId xmlns:a16="http://schemas.microsoft.com/office/drawing/2014/main" id="{511C38E1-7566-3EF7-583A-072B482FB18B}"/>
            </a:ext>
          </a:extLst>
        </xdr:cNvPr>
        <xdr:cNvSpPr txBox="1"/>
      </xdr:nvSpPr>
      <xdr:spPr>
        <a:xfrm>
          <a:off x="9182100" y="18592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365EFF-EB7E-4919-972A-80B97F224B96}" type="TxLink">
            <a:rPr lang="en-US" sz="1100" b="1" i="0" u="none" strike="noStrike">
              <a:solidFill>
                <a:srgbClr val="0085BC"/>
              </a:solidFill>
              <a:latin typeface="Aptos Narrow"/>
            </a:rPr>
            <a:pPr/>
            <a:t> </a:t>
          </a:fld>
          <a:endParaRPr lang="ru-RU" sz="1400" b="1">
            <a:solidFill>
              <a:srgbClr val="0085BC"/>
            </a:solidFill>
          </a:endParaRPr>
        </a:p>
      </xdr:txBody>
    </xdr:sp>
    <xdr:clientData/>
  </xdr:twoCellAnchor>
  <xdr:twoCellAnchor>
    <xdr:from>
      <xdr:col>15</xdr:col>
      <xdr:colOff>594360</xdr:colOff>
      <xdr:row>15</xdr:row>
      <xdr:rowOff>129540</xdr:rowOff>
    </xdr:from>
    <xdr:to>
      <xdr:col>19</xdr:col>
      <xdr:colOff>76200</xdr:colOff>
      <xdr:row>17</xdr:row>
      <xdr:rowOff>22860</xdr:rowOff>
    </xdr:to>
    <xdr:sp macro="" textlink="Processing!F10">
      <xdr:nvSpPr>
        <xdr:cNvPr id="27" name="TextBox 26">
          <a:extLst>
            <a:ext uri="{FF2B5EF4-FFF2-40B4-BE49-F238E27FC236}">
              <a16:creationId xmlns:a16="http://schemas.microsoft.com/office/drawing/2014/main" id="{4993F792-BFDB-F622-E933-2A2B0868BD83}"/>
            </a:ext>
          </a:extLst>
        </xdr:cNvPr>
        <xdr:cNvSpPr txBox="1"/>
      </xdr:nvSpPr>
      <xdr:spPr>
        <a:xfrm>
          <a:off x="9738360" y="28727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2811A6-A163-4A21-AFC4-49E261EF835D}" type="TxLink">
            <a:rPr lang="en-US" sz="1100" b="1" i="0" u="none" strike="noStrike">
              <a:solidFill>
                <a:srgbClr val="596FB5"/>
              </a:solidFill>
              <a:latin typeface="Aptos Narrow"/>
            </a:rPr>
            <a:pPr/>
            <a:t> </a:t>
          </a:fld>
          <a:endParaRPr lang="ru-RU" sz="1400" b="1">
            <a:solidFill>
              <a:srgbClr val="596FB5"/>
            </a:solidFill>
          </a:endParaRPr>
        </a:p>
      </xdr:txBody>
    </xdr:sp>
    <xdr:clientData/>
  </xdr:twoCellAnchor>
  <xdr:twoCellAnchor>
    <xdr:from>
      <xdr:col>14</xdr:col>
      <xdr:colOff>137160</xdr:colOff>
      <xdr:row>23</xdr:row>
      <xdr:rowOff>68580</xdr:rowOff>
    </xdr:from>
    <xdr:to>
      <xdr:col>17</xdr:col>
      <xdr:colOff>228600</xdr:colOff>
      <xdr:row>24</xdr:row>
      <xdr:rowOff>144780</xdr:rowOff>
    </xdr:to>
    <xdr:sp macro="" textlink="Processing!F11">
      <xdr:nvSpPr>
        <xdr:cNvPr id="28" name="TextBox 27">
          <a:extLst>
            <a:ext uri="{FF2B5EF4-FFF2-40B4-BE49-F238E27FC236}">
              <a16:creationId xmlns:a16="http://schemas.microsoft.com/office/drawing/2014/main" id="{0E00C1A2-5778-01BA-FECC-52B6000F5146}"/>
            </a:ext>
          </a:extLst>
        </xdr:cNvPr>
        <xdr:cNvSpPr txBox="1"/>
      </xdr:nvSpPr>
      <xdr:spPr>
        <a:xfrm>
          <a:off x="8671560" y="42748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04F4CC-D620-4A1A-91E2-A0DB22E7ED6C}" type="TxLink">
            <a:rPr lang="en-US" sz="1100" b="1" i="0" u="none" strike="noStrike">
              <a:solidFill>
                <a:srgbClr val="875599"/>
              </a:solidFill>
              <a:latin typeface="Aptos Narrow"/>
            </a:rPr>
            <a:pPr/>
            <a:t> </a:t>
          </a:fld>
          <a:endParaRPr lang="ru-RU" sz="1400" b="1">
            <a:solidFill>
              <a:srgbClr val="875599"/>
            </a:solidFill>
          </a:endParaRPr>
        </a:p>
      </xdr:txBody>
    </xdr:sp>
    <xdr:clientData/>
  </xdr:twoCellAnchor>
  <xdr:twoCellAnchor>
    <xdr:from>
      <xdr:col>9</xdr:col>
      <xdr:colOff>464820</xdr:colOff>
      <xdr:row>27</xdr:row>
      <xdr:rowOff>22860</xdr:rowOff>
    </xdr:from>
    <xdr:to>
      <xdr:col>12</xdr:col>
      <xdr:colOff>556260</xdr:colOff>
      <xdr:row>28</xdr:row>
      <xdr:rowOff>99060</xdr:rowOff>
    </xdr:to>
    <xdr:sp macro="" textlink="Processing!F12">
      <xdr:nvSpPr>
        <xdr:cNvPr id="29" name="TextBox 28">
          <a:extLst>
            <a:ext uri="{FF2B5EF4-FFF2-40B4-BE49-F238E27FC236}">
              <a16:creationId xmlns:a16="http://schemas.microsoft.com/office/drawing/2014/main" id="{41178DD9-D5F1-7B22-FB76-877AB7C4D092}"/>
            </a:ext>
          </a:extLst>
        </xdr:cNvPr>
        <xdr:cNvSpPr txBox="1"/>
      </xdr:nvSpPr>
      <xdr:spPr>
        <a:xfrm>
          <a:off x="5951220" y="49606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6761FB-A856-4177-ADEA-AFEEBA6D3E2D}" type="TxLink">
            <a:rPr lang="en-US" sz="1100" b="1" i="0" u="none" strike="noStrike">
              <a:solidFill>
                <a:srgbClr val="9E396C"/>
              </a:solidFill>
              <a:latin typeface="Aptos Narrow"/>
            </a:rPr>
            <a:pPr/>
            <a:t> </a:t>
          </a:fld>
          <a:endParaRPr lang="ru-RU" sz="1400" b="1">
            <a:solidFill>
              <a:srgbClr val="9E396C"/>
            </a:solidFill>
          </a:endParaRPr>
        </a:p>
      </xdr:txBody>
    </xdr:sp>
    <xdr:clientData/>
  </xdr:twoCellAnchor>
  <xdr:twoCellAnchor>
    <xdr:from>
      <xdr:col>10</xdr:col>
      <xdr:colOff>0</xdr:colOff>
      <xdr:row>4</xdr:row>
      <xdr:rowOff>175260</xdr:rowOff>
    </xdr:from>
    <xdr:to>
      <xdr:col>13</xdr:col>
      <xdr:colOff>91440</xdr:colOff>
      <xdr:row>6</xdr:row>
      <xdr:rowOff>68580</xdr:rowOff>
    </xdr:to>
    <xdr:sp macro="" textlink="Processing!F7">
      <xdr:nvSpPr>
        <xdr:cNvPr id="30" name="TextBox 29">
          <a:extLst>
            <a:ext uri="{FF2B5EF4-FFF2-40B4-BE49-F238E27FC236}">
              <a16:creationId xmlns:a16="http://schemas.microsoft.com/office/drawing/2014/main" id="{DAE12727-1B1F-D606-12A3-FC294B90326C}"/>
            </a:ext>
          </a:extLst>
        </xdr:cNvPr>
        <xdr:cNvSpPr txBox="1"/>
      </xdr:nvSpPr>
      <xdr:spPr>
        <a:xfrm>
          <a:off x="6096000" y="9067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21EE7-FFAB-4B53-87C6-AFC303FECE52}" type="TxLink">
            <a:rPr lang="en-US" sz="1100" b="1" i="0" u="none" strike="noStrike">
              <a:solidFill>
                <a:srgbClr val="32A19B"/>
              </a:solidFill>
              <a:latin typeface="Aptos Narrow"/>
            </a:rPr>
            <a:pPr/>
            <a:t> </a:t>
          </a:fld>
          <a:endParaRPr lang="ru-RU" sz="1400" b="1">
            <a:solidFill>
              <a:srgbClr val="32A19B"/>
            </a:solidFill>
          </a:endParaRPr>
        </a:p>
      </xdr:txBody>
    </xdr:sp>
    <xdr:clientData/>
  </xdr:twoCellAnchor>
  <xdr:twoCellAnchor>
    <xdr:from>
      <xdr:col>10</xdr:col>
      <xdr:colOff>0</xdr:colOff>
      <xdr:row>6</xdr:row>
      <xdr:rowOff>7620</xdr:rowOff>
    </xdr:from>
    <xdr:to>
      <xdr:col>13</xdr:col>
      <xdr:colOff>91440</xdr:colOff>
      <xdr:row>9</xdr:row>
      <xdr:rowOff>4467</xdr:rowOff>
    </xdr:to>
    <xdr:sp macro="" textlink="Processing!H7">
      <xdr:nvSpPr>
        <xdr:cNvPr id="31" name="TextBox 30">
          <a:extLst>
            <a:ext uri="{FF2B5EF4-FFF2-40B4-BE49-F238E27FC236}">
              <a16:creationId xmlns:a16="http://schemas.microsoft.com/office/drawing/2014/main" id="{6CD35385-B591-70F8-8430-F11FED0E62C0}"/>
            </a:ext>
          </a:extLst>
        </xdr:cNvPr>
        <xdr:cNvSpPr txBox="1"/>
      </xdr:nvSpPr>
      <xdr:spPr>
        <a:xfrm>
          <a:off x="6096000" y="1111206"/>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00660B-EFA5-4D0C-8FD0-CFA5982F4F02}" type="TxLink">
            <a:rPr lang="en-US" sz="800" b="0" i="0" u="none" strike="noStrike">
              <a:solidFill>
                <a:srgbClr val="000000"/>
              </a:solidFill>
              <a:latin typeface="Aptos Narrow"/>
            </a:rPr>
            <a:pPr/>
            <a:t>Market analysis and location selection – studying competitors, target audience, foot traffic, and rental options.</a:t>
          </a:fld>
          <a:endParaRPr lang="ru-RU" sz="1000" b="1">
            <a:solidFill>
              <a:sysClr val="windowText" lastClr="000000"/>
            </a:solidFill>
          </a:endParaRPr>
        </a:p>
      </xdr:txBody>
    </xdr:sp>
    <xdr:clientData/>
  </xdr:twoCellAnchor>
  <xdr:twoCellAnchor>
    <xdr:from>
      <xdr:col>13</xdr:col>
      <xdr:colOff>184194</xdr:colOff>
      <xdr:row>7</xdr:row>
      <xdr:rowOff>60960</xdr:rowOff>
    </xdr:from>
    <xdr:to>
      <xdr:col>16</xdr:col>
      <xdr:colOff>275634</xdr:colOff>
      <xdr:row>10</xdr:row>
      <xdr:rowOff>57807</xdr:rowOff>
    </xdr:to>
    <xdr:sp macro="" textlink="Processing!H8">
      <xdr:nvSpPr>
        <xdr:cNvPr id="32" name="TextBox 31">
          <a:extLst>
            <a:ext uri="{FF2B5EF4-FFF2-40B4-BE49-F238E27FC236}">
              <a16:creationId xmlns:a16="http://schemas.microsoft.com/office/drawing/2014/main" id="{D6798540-5D87-CF7C-7B58-E540F0D70AE8}"/>
            </a:ext>
          </a:extLst>
        </xdr:cNvPr>
        <xdr:cNvSpPr txBox="1"/>
      </xdr:nvSpPr>
      <xdr:spPr>
        <a:xfrm>
          <a:off x="8108994" y="1348477"/>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C54F8-BE00-4E26-878E-A5D0CD4E069C}" type="TxLink">
            <a:rPr lang="en-US" sz="800" b="0" i="0" u="none" strike="noStrike">
              <a:solidFill>
                <a:srgbClr val="000000"/>
              </a:solidFill>
              <a:latin typeface="Aptos Narrow"/>
            </a:rPr>
            <a:pPr/>
            <a:t>Renovation and site preparation – construction work, finishing, and setting up utilities.</a:t>
          </a:fld>
          <a:endParaRPr lang="ru-RU" sz="1000" b="1">
            <a:solidFill>
              <a:sysClr val="windowText" lastClr="000000"/>
            </a:solidFill>
          </a:endParaRPr>
        </a:p>
      </xdr:txBody>
    </xdr:sp>
    <xdr:clientData/>
  </xdr:twoCellAnchor>
  <xdr:twoCellAnchor>
    <xdr:from>
      <xdr:col>15</xdr:col>
      <xdr:colOff>38100</xdr:colOff>
      <xdr:row>11</xdr:row>
      <xdr:rowOff>45720</xdr:rowOff>
    </xdr:from>
    <xdr:to>
      <xdr:col>18</xdr:col>
      <xdr:colOff>129540</xdr:colOff>
      <xdr:row>14</xdr:row>
      <xdr:rowOff>42567</xdr:rowOff>
    </xdr:to>
    <xdr:sp macro="" textlink="Processing!H9">
      <xdr:nvSpPr>
        <xdr:cNvPr id="33" name="TextBox 32">
          <a:extLst>
            <a:ext uri="{FF2B5EF4-FFF2-40B4-BE49-F238E27FC236}">
              <a16:creationId xmlns:a16="http://schemas.microsoft.com/office/drawing/2014/main" id="{7269456E-1BCE-ACF5-1D22-A3B4160F4BC8}"/>
            </a:ext>
          </a:extLst>
        </xdr:cNvPr>
        <xdr:cNvSpPr txBox="1"/>
      </xdr:nvSpPr>
      <xdr:spPr>
        <a:xfrm>
          <a:off x="9182100" y="2068961"/>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96858D-3C9E-4FFF-ACB4-633D6F2EC52D}" type="TxLink">
            <a:rPr lang="en-US" sz="800" b="0" i="0" u="none" strike="noStrike">
              <a:solidFill>
                <a:srgbClr val="000000"/>
              </a:solidFill>
              <a:latin typeface="Aptos Narrow"/>
            </a:rPr>
            <a:pPr/>
            <a:t>Purchasing and installing equipment – shelves, cash registers, lighting, and furniture.</a:t>
          </a:fld>
          <a:endParaRPr lang="ru-RU" sz="1000" b="1">
            <a:solidFill>
              <a:sysClr val="windowText" lastClr="000000"/>
            </a:solidFill>
          </a:endParaRPr>
        </a:p>
      </xdr:txBody>
    </xdr:sp>
    <xdr:clientData/>
  </xdr:twoCellAnchor>
  <xdr:twoCellAnchor>
    <xdr:from>
      <xdr:col>15</xdr:col>
      <xdr:colOff>594360</xdr:colOff>
      <xdr:row>16</xdr:row>
      <xdr:rowOff>144779</xdr:rowOff>
    </xdr:from>
    <xdr:to>
      <xdr:col>19</xdr:col>
      <xdr:colOff>76200</xdr:colOff>
      <xdr:row>19</xdr:row>
      <xdr:rowOff>141626</xdr:rowOff>
    </xdr:to>
    <xdr:sp macro="" textlink="Processing!H10">
      <xdr:nvSpPr>
        <xdr:cNvPr id="34" name="TextBox 33">
          <a:extLst>
            <a:ext uri="{FF2B5EF4-FFF2-40B4-BE49-F238E27FC236}">
              <a16:creationId xmlns:a16="http://schemas.microsoft.com/office/drawing/2014/main" id="{69C5E343-7A1C-2AB6-49E7-21D99CA4EA14}"/>
            </a:ext>
          </a:extLst>
        </xdr:cNvPr>
        <xdr:cNvSpPr txBox="1"/>
      </xdr:nvSpPr>
      <xdr:spPr>
        <a:xfrm>
          <a:off x="9738360" y="3087676"/>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BF6636-4927-473C-BE43-7C06611F6FB6}" type="TxLink">
            <a:rPr lang="en-US" sz="800" b="0" i="0" u="none" strike="noStrike">
              <a:solidFill>
                <a:srgbClr val="000000"/>
              </a:solidFill>
              <a:latin typeface="Aptos Narrow"/>
            </a:rPr>
            <a:pPr/>
            <a:t>Forming the product assortment – signing contracts with suppliers and purchasing initial inventory.</a:t>
          </a:fld>
          <a:endParaRPr lang="ru-RU" sz="1000" b="1">
            <a:solidFill>
              <a:sysClr val="windowText" lastClr="000000"/>
            </a:solidFill>
          </a:endParaRPr>
        </a:p>
      </xdr:txBody>
    </xdr:sp>
    <xdr:clientData/>
  </xdr:twoCellAnchor>
  <xdr:twoCellAnchor>
    <xdr:from>
      <xdr:col>14</xdr:col>
      <xdr:colOff>137160</xdr:colOff>
      <xdr:row>24</xdr:row>
      <xdr:rowOff>83820</xdr:rowOff>
    </xdr:from>
    <xdr:to>
      <xdr:col>17</xdr:col>
      <xdr:colOff>228600</xdr:colOff>
      <xdr:row>27</xdr:row>
      <xdr:rowOff>80667</xdr:rowOff>
    </xdr:to>
    <xdr:sp macro="" textlink="Processing!H11">
      <xdr:nvSpPr>
        <xdr:cNvPr id="35" name="TextBox 34">
          <a:extLst>
            <a:ext uri="{FF2B5EF4-FFF2-40B4-BE49-F238E27FC236}">
              <a16:creationId xmlns:a16="http://schemas.microsoft.com/office/drawing/2014/main" id="{941365B1-A8B7-BC1F-D4E4-F2CB4D827D6B}"/>
            </a:ext>
          </a:extLst>
        </xdr:cNvPr>
        <xdr:cNvSpPr txBox="1"/>
      </xdr:nvSpPr>
      <xdr:spPr>
        <a:xfrm>
          <a:off x="8671560" y="4498165"/>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8F3ACE-80B2-47FB-91F4-78214FCAC328}" type="TxLink">
            <a:rPr lang="en-US" sz="800" b="0" i="0" u="none" strike="noStrike">
              <a:solidFill>
                <a:srgbClr val="000000"/>
              </a:solidFill>
              <a:latin typeface="Aptos Narrow"/>
            </a:rPr>
            <a:pPr/>
            <a:t>Hiring and training staff – recruiting employees, conducting training, and processing paperwork.</a:t>
          </a:fld>
          <a:endParaRPr lang="ru-RU" sz="1000" b="1">
            <a:solidFill>
              <a:sysClr val="windowText" lastClr="000000"/>
            </a:solidFill>
          </a:endParaRPr>
        </a:p>
      </xdr:txBody>
    </xdr:sp>
    <xdr:clientData/>
  </xdr:twoCellAnchor>
  <xdr:twoCellAnchor>
    <xdr:from>
      <xdr:col>9</xdr:col>
      <xdr:colOff>464820</xdr:colOff>
      <xdr:row>28</xdr:row>
      <xdr:rowOff>38100</xdr:rowOff>
    </xdr:from>
    <xdr:to>
      <xdr:col>12</xdr:col>
      <xdr:colOff>556260</xdr:colOff>
      <xdr:row>31</xdr:row>
      <xdr:rowOff>34947</xdr:rowOff>
    </xdr:to>
    <xdr:sp macro="" textlink="Processing!H12">
      <xdr:nvSpPr>
        <xdr:cNvPr id="36" name="TextBox 35">
          <a:extLst>
            <a:ext uri="{FF2B5EF4-FFF2-40B4-BE49-F238E27FC236}">
              <a16:creationId xmlns:a16="http://schemas.microsoft.com/office/drawing/2014/main" id="{9239903C-1690-A867-2A98-0EEEF1269D52}"/>
            </a:ext>
          </a:extLst>
        </xdr:cNvPr>
        <xdr:cNvSpPr txBox="1"/>
      </xdr:nvSpPr>
      <xdr:spPr>
        <a:xfrm>
          <a:off x="5951220" y="5188169"/>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483B82-9154-41B4-BDFF-B1DB336B1B9C}" type="TxLink">
            <a:rPr lang="en-US" sz="800" b="0" i="0" u="none" strike="noStrike">
              <a:solidFill>
                <a:srgbClr val="000000"/>
              </a:solidFill>
              <a:latin typeface="Aptos Narrow"/>
            </a:rPr>
            <a:pPr/>
            <a:t>Developing a marketing strategy – advertising campaigns, social media setup, and promotions.</a:t>
          </a:fld>
          <a:endParaRPr lang="ru-RU" sz="1000" b="1">
            <a:solidFill>
              <a:sysClr val="windowText" lastClr="000000"/>
            </a:solidFill>
          </a:endParaRPr>
        </a:p>
      </xdr:txBody>
    </xdr:sp>
    <xdr:clientData/>
  </xdr:twoCellAnchor>
  <xdr:twoCellAnchor editAs="oneCell">
    <xdr:from>
      <xdr:col>7</xdr:col>
      <xdr:colOff>182187</xdr:colOff>
      <xdr:row>1</xdr:row>
      <xdr:rowOff>114300</xdr:rowOff>
    </xdr:from>
    <xdr:to>
      <xdr:col>15</xdr:col>
      <xdr:colOff>555567</xdr:colOff>
      <xdr:row>4</xdr:row>
      <xdr:rowOff>106680</xdr:rowOff>
    </xdr:to>
    <mc:AlternateContent xmlns:mc="http://schemas.openxmlformats.org/markup-compatibility/2006" xmlns:a14="http://schemas.microsoft.com/office/drawing/2010/main">
      <mc:Choice Requires="a14">
        <xdr:graphicFrame macro="">
          <xdr:nvGraphicFramePr>
            <xdr:cNvPr id="24" name="Button Value">
              <a:extLst>
                <a:ext uri="{FF2B5EF4-FFF2-40B4-BE49-F238E27FC236}">
                  <a16:creationId xmlns:a16="http://schemas.microsoft.com/office/drawing/2014/main" id="{10BA709B-9059-4FA7-9E29-AE03799A56B5}"/>
                </a:ext>
              </a:extLst>
            </xdr:cNvPr>
            <xdr:cNvGraphicFramePr/>
          </xdr:nvGraphicFramePr>
          <xdr:xfrm>
            <a:off x="0" y="0"/>
            <a:ext cx="0" cy="0"/>
          </xdr:xfrm>
          <a:graphic>
            <a:graphicData uri="http://schemas.microsoft.com/office/drawing/2010/slicer">
              <sle:slicer xmlns:sle="http://schemas.microsoft.com/office/drawing/2010/slicer" name="Button Value"/>
            </a:graphicData>
          </a:graphic>
        </xdr:graphicFrame>
      </mc:Choice>
      <mc:Fallback xmlns="">
        <xdr:sp macro="" textlink="">
          <xdr:nvSpPr>
            <xdr:cNvPr id="0" name=""/>
            <xdr:cNvSpPr>
              <a:spLocks noTextEdit="1"/>
            </xdr:cNvSpPr>
          </xdr:nvSpPr>
          <xdr:spPr>
            <a:xfrm>
              <a:off x="4449387" y="298231"/>
              <a:ext cx="5250180" cy="54417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184194</xdr:colOff>
      <xdr:row>6</xdr:row>
      <xdr:rowOff>45720</xdr:rowOff>
    </xdr:from>
    <xdr:to>
      <xdr:col>16</xdr:col>
      <xdr:colOff>275634</xdr:colOff>
      <xdr:row>7</xdr:row>
      <xdr:rowOff>121920</xdr:rowOff>
    </xdr:to>
    <xdr:sp macro="" textlink="Processing!G8">
      <xdr:nvSpPr>
        <xdr:cNvPr id="37" name="TextBox 36">
          <a:extLst>
            <a:ext uri="{FF2B5EF4-FFF2-40B4-BE49-F238E27FC236}">
              <a16:creationId xmlns:a16="http://schemas.microsoft.com/office/drawing/2014/main" id="{B94DB24B-E8F5-36DC-3DC8-280245A9D0DE}"/>
            </a:ext>
          </a:extLst>
        </xdr:cNvPr>
        <xdr:cNvSpPr txBox="1"/>
      </xdr:nvSpPr>
      <xdr:spPr>
        <a:xfrm>
          <a:off x="8108994" y="1149306"/>
          <a:ext cx="1920240" cy="26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5FF476-020B-494D-9726-9DB960C2C29A}" type="TxLink">
            <a:rPr lang="en-US" sz="1100" b="1" i="0" u="none" strike="noStrike">
              <a:solidFill>
                <a:schemeClr val="tx1"/>
              </a:solidFill>
              <a:latin typeface="Aptos Narrow"/>
            </a:rPr>
            <a:pPr/>
            <a:t>APRIL - Renovation</a:t>
          </a:fld>
          <a:endParaRPr lang="ru-RU" sz="1400" b="1">
            <a:solidFill>
              <a:schemeClr val="tx1"/>
            </a:solidFill>
          </a:endParaRPr>
        </a:p>
      </xdr:txBody>
    </xdr:sp>
    <xdr:clientData/>
  </xdr:twoCellAnchor>
  <xdr:twoCellAnchor>
    <xdr:from>
      <xdr:col>15</xdr:col>
      <xdr:colOff>38100</xdr:colOff>
      <xdr:row>10</xdr:row>
      <xdr:rowOff>30480</xdr:rowOff>
    </xdr:from>
    <xdr:to>
      <xdr:col>18</xdr:col>
      <xdr:colOff>129540</xdr:colOff>
      <xdr:row>11</xdr:row>
      <xdr:rowOff>106680</xdr:rowOff>
    </xdr:to>
    <xdr:sp macro="" textlink="Processing!G9">
      <xdr:nvSpPr>
        <xdr:cNvPr id="38" name="TextBox 37">
          <a:extLst>
            <a:ext uri="{FF2B5EF4-FFF2-40B4-BE49-F238E27FC236}">
              <a16:creationId xmlns:a16="http://schemas.microsoft.com/office/drawing/2014/main" id="{284FEC89-C33E-C5FC-6B19-DD0C26337BE4}"/>
            </a:ext>
          </a:extLst>
        </xdr:cNvPr>
        <xdr:cNvSpPr txBox="1"/>
      </xdr:nvSpPr>
      <xdr:spPr>
        <a:xfrm>
          <a:off x="9182100" y="18592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32144D-A8EA-425F-A22B-7B4582CB4D34}" type="TxLink">
            <a:rPr lang="en-US" sz="1100" b="1" i="0" u="none" strike="noStrike">
              <a:solidFill>
                <a:schemeClr val="tx1"/>
              </a:solidFill>
              <a:latin typeface="Aptos Narrow"/>
            </a:rPr>
            <a:pPr/>
            <a:t>MAY - Equipment</a:t>
          </a:fld>
          <a:endParaRPr lang="ru-RU" sz="1400" b="1">
            <a:solidFill>
              <a:schemeClr val="tx1"/>
            </a:solidFill>
          </a:endParaRPr>
        </a:p>
      </xdr:txBody>
    </xdr:sp>
    <xdr:clientData/>
  </xdr:twoCellAnchor>
  <xdr:twoCellAnchor>
    <xdr:from>
      <xdr:col>15</xdr:col>
      <xdr:colOff>594360</xdr:colOff>
      <xdr:row>15</xdr:row>
      <xdr:rowOff>129540</xdr:rowOff>
    </xdr:from>
    <xdr:to>
      <xdr:col>19</xdr:col>
      <xdr:colOff>76200</xdr:colOff>
      <xdr:row>17</xdr:row>
      <xdr:rowOff>22860</xdr:rowOff>
    </xdr:to>
    <xdr:sp macro="" textlink="Processing!G10">
      <xdr:nvSpPr>
        <xdr:cNvPr id="39" name="TextBox 38">
          <a:extLst>
            <a:ext uri="{FF2B5EF4-FFF2-40B4-BE49-F238E27FC236}">
              <a16:creationId xmlns:a16="http://schemas.microsoft.com/office/drawing/2014/main" id="{E92A8ED3-13E7-2ED8-9229-E628245D6F1F}"/>
            </a:ext>
          </a:extLst>
        </xdr:cNvPr>
        <xdr:cNvSpPr txBox="1"/>
      </xdr:nvSpPr>
      <xdr:spPr>
        <a:xfrm>
          <a:off x="9738360" y="28727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546AA-1449-4333-97C3-2E7F4FFEA8C8}" type="TxLink">
            <a:rPr lang="en-US" sz="1100" b="1" i="0" u="none" strike="noStrike">
              <a:solidFill>
                <a:schemeClr val="tx1"/>
              </a:solidFill>
              <a:latin typeface="Aptos Narrow"/>
            </a:rPr>
            <a:pPr/>
            <a:t>JUNE - Assortment</a:t>
          </a:fld>
          <a:endParaRPr lang="ru-RU" sz="1400" b="1">
            <a:solidFill>
              <a:schemeClr val="tx1"/>
            </a:solidFill>
          </a:endParaRPr>
        </a:p>
      </xdr:txBody>
    </xdr:sp>
    <xdr:clientData/>
  </xdr:twoCellAnchor>
  <xdr:twoCellAnchor>
    <xdr:from>
      <xdr:col>14</xdr:col>
      <xdr:colOff>137160</xdr:colOff>
      <xdr:row>23</xdr:row>
      <xdr:rowOff>68580</xdr:rowOff>
    </xdr:from>
    <xdr:to>
      <xdr:col>17</xdr:col>
      <xdr:colOff>228600</xdr:colOff>
      <xdr:row>24</xdr:row>
      <xdr:rowOff>144780</xdr:rowOff>
    </xdr:to>
    <xdr:sp macro="" textlink="Processing!G11">
      <xdr:nvSpPr>
        <xdr:cNvPr id="40" name="TextBox 39">
          <a:extLst>
            <a:ext uri="{FF2B5EF4-FFF2-40B4-BE49-F238E27FC236}">
              <a16:creationId xmlns:a16="http://schemas.microsoft.com/office/drawing/2014/main" id="{21A433CC-2A8C-E075-5B07-5A86D2CE77BD}"/>
            </a:ext>
          </a:extLst>
        </xdr:cNvPr>
        <xdr:cNvSpPr txBox="1"/>
      </xdr:nvSpPr>
      <xdr:spPr>
        <a:xfrm>
          <a:off x="8671560" y="42748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50D804-C5A7-4F6C-BC0E-3D28C19B1BCD}" type="TxLink">
            <a:rPr lang="en-US" sz="1100" b="1" i="0" u="none" strike="noStrike">
              <a:solidFill>
                <a:schemeClr val="tx1"/>
              </a:solidFill>
              <a:latin typeface="Aptos Narrow"/>
            </a:rPr>
            <a:pPr/>
            <a:t>JULY - Staff</a:t>
          </a:fld>
          <a:endParaRPr lang="ru-RU" sz="1400" b="1">
            <a:solidFill>
              <a:schemeClr val="tx1"/>
            </a:solidFill>
          </a:endParaRPr>
        </a:p>
      </xdr:txBody>
    </xdr:sp>
    <xdr:clientData/>
  </xdr:twoCellAnchor>
  <xdr:twoCellAnchor>
    <xdr:from>
      <xdr:col>9</xdr:col>
      <xdr:colOff>464820</xdr:colOff>
      <xdr:row>27</xdr:row>
      <xdr:rowOff>22860</xdr:rowOff>
    </xdr:from>
    <xdr:to>
      <xdr:col>12</xdr:col>
      <xdr:colOff>556260</xdr:colOff>
      <xdr:row>28</xdr:row>
      <xdr:rowOff>99060</xdr:rowOff>
    </xdr:to>
    <xdr:sp macro="" textlink="Processing!G12">
      <xdr:nvSpPr>
        <xdr:cNvPr id="41" name="TextBox 40">
          <a:extLst>
            <a:ext uri="{FF2B5EF4-FFF2-40B4-BE49-F238E27FC236}">
              <a16:creationId xmlns:a16="http://schemas.microsoft.com/office/drawing/2014/main" id="{E9328FCD-28C0-C10F-389D-4DAA62BAAAF3}"/>
            </a:ext>
          </a:extLst>
        </xdr:cNvPr>
        <xdr:cNvSpPr txBox="1"/>
      </xdr:nvSpPr>
      <xdr:spPr>
        <a:xfrm>
          <a:off x="5951220" y="49606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8E27E-2996-4413-99BB-4DF07B437091}" type="TxLink">
            <a:rPr lang="en-US" sz="1100" b="1" i="0" u="none" strike="noStrike">
              <a:solidFill>
                <a:schemeClr val="tx1"/>
              </a:solidFill>
              <a:latin typeface="Aptos Narrow"/>
            </a:rPr>
            <a:pPr/>
            <a:t>AUGUST - Strategy</a:t>
          </a:fld>
          <a:endParaRPr lang="ru-RU" sz="1400" b="1">
            <a:solidFill>
              <a:schemeClr val="tx1"/>
            </a:solidFill>
          </a:endParaRPr>
        </a:p>
      </xdr:txBody>
    </xdr:sp>
    <xdr:clientData/>
  </xdr:twoCellAnchor>
  <xdr:twoCellAnchor>
    <xdr:from>
      <xdr:col>10</xdr:col>
      <xdr:colOff>0</xdr:colOff>
      <xdr:row>4</xdr:row>
      <xdr:rowOff>175260</xdr:rowOff>
    </xdr:from>
    <xdr:to>
      <xdr:col>13</xdr:col>
      <xdr:colOff>91440</xdr:colOff>
      <xdr:row>6</xdr:row>
      <xdr:rowOff>68580</xdr:rowOff>
    </xdr:to>
    <xdr:sp macro="" textlink="Processing!G7">
      <xdr:nvSpPr>
        <xdr:cNvPr id="42" name="TextBox 41">
          <a:extLst>
            <a:ext uri="{FF2B5EF4-FFF2-40B4-BE49-F238E27FC236}">
              <a16:creationId xmlns:a16="http://schemas.microsoft.com/office/drawing/2014/main" id="{D41D1BAC-B7B8-DEC5-3FE2-F036FC94DC48}"/>
            </a:ext>
          </a:extLst>
        </xdr:cNvPr>
        <xdr:cNvSpPr txBox="1"/>
      </xdr:nvSpPr>
      <xdr:spPr>
        <a:xfrm>
          <a:off x="6096000" y="9067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C355BA-758B-4F99-A059-A7A874FBC399}" type="TxLink">
            <a:rPr lang="en-US" sz="1100" b="1" i="0" u="none" strike="noStrike">
              <a:solidFill>
                <a:schemeClr val="tx1"/>
              </a:solidFill>
              <a:latin typeface="Aptos Narrow"/>
            </a:rPr>
            <a:pPr/>
            <a:t>JANUARY - Market Analysis</a:t>
          </a:fld>
          <a:endParaRPr lang="ru-RU" sz="1400" b="1">
            <a:solidFill>
              <a:schemeClr val="tx1"/>
            </a:solidFill>
          </a:endParaRPr>
        </a:p>
      </xdr:txBody>
    </xdr:sp>
    <xdr:clientData/>
  </xdr:twoCellAnchor>
  <xdr:twoCellAnchor>
    <xdr:from>
      <xdr:col>7</xdr:col>
      <xdr:colOff>381000</xdr:colOff>
      <xdr:row>13</xdr:row>
      <xdr:rowOff>144780</xdr:rowOff>
    </xdr:from>
    <xdr:to>
      <xdr:col>10</xdr:col>
      <xdr:colOff>472440</xdr:colOff>
      <xdr:row>18</xdr:row>
      <xdr:rowOff>114300</xdr:rowOff>
    </xdr:to>
    <xdr:sp macro="" textlink="Processing!E4">
      <xdr:nvSpPr>
        <xdr:cNvPr id="50" name="TextBox 49">
          <a:extLst>
            <a:ext uri="{FF2B5EF4-FFF2-40B4-BE49-F238E27FC236}">
              <a16:creationId xmlns:a16="http://schemas.microsoft.com/office/drawing/2014/main" id="{04C27B0E-4055-C2D4-68E8-EB3C12F8DA84}"/>
            </a:ext>
          </a:extLst>
        </xdr:cNvPr>
        <xdr:cNvSpPr txBox="1"/>
      </xdr:nvSpPr>
      <xdr:spPr>
        <a:xfrm>
          <a:off x="4648200" y="2522220"/>
          <a:ext cx="19202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0E3C456-1A00-41E9-803E-001D9871F3AC}" type="TxLink">
            <a:rPr lang="en-US" sz="6000" b="1" i="0" u="none" strike="noStrike">
              <a:solidFill>
                <a:srgbClr val="9E396C"/>
              </a:solidFill>
              <a:latin typeface="Aptos Narrow"/>
            </a:rPr>
            <a:pPr algn="r"/>
            <a:t>0%</a:t>
          </a:fld>
          <a:endParaRPr lang="ru-RU" sz="7200" b="1" i="0">
            <a:solidFill>
              <a:srgbClr val="9E396C"/>
            </a:solidFill>
          </a:endParaRPr>
        </a:p>
      </xdr:txBody>
    </xdr:sp>
    <xdr:clientData/>
  </xdr:twoCellAnchor>
  <xdr:twoCellAnchor editAs="absolute">
    <xdr:from>
      <xdr:col>5</xdr:col>
      <xdr:colOff>311728</xdr:colOff>
      <xdr:row>0</xdr:row>
      <xdr:rowOff>166255</xdr:rowOff>
    </xdr:from>
    <xdr:to>
      <xdr:col>6</xdr:col>
      <xdr:colOff>586220</xdr:colOff>
      <xdr:row>4</xdr:row>
      <xdr:rowOff>152401</xdr:rowOff>
    </xdr:to>
    <mc:AlternateContent xmlns:mc="http://schemas.openxmlformats.org/markup-compatibility/2006" xmlns:sle15="http://schemas.microsoft.com/office/drawing/2012/slicer">
      <mc:Choice Requires="sle15">
        <xdr:graphicFrame macro="">
          <xdr:nvGraphicFramePr>
            <xdr:cNvPr id="51" name="half-year">
              <a:extLst>
                <a:ext uri="{FF2B5EF4-FFF2-40B4-BE49-F238E27FC236}">
                  <a16:creationId xmlns:a16="http://schemas.microsoft.com/office/drawing/2014/main" id="{EBEEDB52-D74F-4E7C-9536-D6B41450F8C7}"/>
                </a:ext>
              </a:extLst>
            </xdr:cNvPr>
            <xdr:cNvGraphicFramePr/>
          </xdr:nvGraphicFramePr>
          <xdr:xfrm>
            <a:off x="0" y="0"/>
            <a:ext cx="0" cy="0"/>
          </xdr:xfrm>
          <a:graphic>
            <a:graphicData uri="http://schemas.microsoft.com/office/drawing/2010/slicer">
              <sle:slicer xmlns:sle="http://schemas.microsoft.com/office/drawing/2010/slicer" name="half-year"/>
            </a:graphicData>
          </a:graphic>
        </xdr:graphicFrame>
      </mc:Choice>
      <mc:Fallback xmlns="">
        <xdr:sp macro="" textlink="">
          <xdr:nvSpPr>
            <xdr:cNvPr id="0" name=""/>
            <xdr:cNvSpPr>
              <a:spLocks noTextEdit="1"/>
            </xdr:cNvSpPr>
          </xdr:nvSpPr>
          <xdr:spPr>
            <a:xfrm>
              <a:off x="3359728" y="166255"/>
              <a:ext cx="893617" cy="721870"/>
            </a:xfrm>
            <a:prstGeom prst="rect">
              <a:avLst/>
            </a:prstGeom>
            <a:solidFill>
              <a:prstClr val="white"/>
            </a:solidFill>
            <a:ln w="1">
              <a:solidFill>
                <a:prstClr val="green"/>
              </a:solidFill>
            </a:ln>
          </xdr:spPr>
          <xdr:txBody>
            <a:bodyPr vertOverflow="clip" horzOverflow="clip"/>
            <a:lstStyle/>
            <a:p>
              <a:r>
                <a:rPr lang="ru-R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29092</xdr:colOff>
      <xdr:row>21</xdr:row>
      <xdr:rowOff>136468</xdr:rowOff>
    </xdr:from>
    <xdr:to>
      <xdr:col>8</xdr:col>
      <xdr:colOff>436417</xdr:colOff>
      <xdr:row>26</xdr:row>
      <xdr:rowOff>166255</xdr:rowOff>
    </xdr:to>
    <xdr:sp macro="" textlink="Processing!A2">
      <xdr:nvSpPr>
        <xdr:cNvPr id="52" name="TextBox 51">
          <a:extLst>
            <a:ext uri="{FF2B5EF4-FFF2-40B4-BE49-F238E27FC236}">
              <a16:creationId xmlns:a16="http://schemas.microsoft.com/office/drawing/2014/main" id="{26C49BD2-E4E7-B067-8E1E-81CBCD50D051}"/>
            </a:ext>
          </a:extLst>
        </xdr:cNvPr>
        <xdr:cNvSpPr txBox="1"/>
      </xdr:nvSpPr>
      <xdr:spPr>
        <a:xfrm>
          <a:off x="638692" y="3918759"/>
          <a:ext cx="4674525" cy="93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1B6D8C-D679-482D-9EFB-343262BD91FA}" type="TxLink">
            <a:rPr lang="en-US" sz="4400" b="1" i="0" u="none" strike="noStrike"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tos Narrow"/>
            </a:rPr>
            <a:pPr/>
            <a:t>Roadmap Chart</a:t>
          </a:fld>
          <a:endParaRPr lang="ru-RU" sz="4400" b="1"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5</xdr:col>
      <xdr:colOff>408710</xdr:colOff>
      <xdr:row>15</xdr:row>
      <xdr:rowOff>32558</xdr:rowOff>
    </xdr:from>
    <xdr:to>
      <xdr:col>7</xdr:col>
      <xdr:colOff>561110</xdr:colOff>
      <xdr:row>17</xdr:row>
      <xdr:rowOff>110836</xdr:rowOff>
    </xdr:to>
    <xdr:sp macro="" textlink="">
      <xdr:nvSpPr>
        <xdr:cNvPr id="53" name="TextBox 52">
          <a:extLst>
            <a:ext uri="{FF2B5EF4-FFF2-40B4-BE49-F238E27FC236}">
              <a16:creationId xmlns:a16="http://schemas.microsoft.com/office/drawing/2014/main" id="{EACA70AD-7D7B-340F-A98B-A57E8E664381}"/>
            </a:ext>
          </a:extLst>
        </xdr:cNvPr>
        <xdr:cNvSpPr txBox="1"/>
      </xdr:nvSpPr>
      <xdr:spPr>
        <a:xfrm>
          <a:off x="3456710" y="2734194"/>
          <a:ext cx="1371600" cy="438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2A19B"/>
              </a:solidFill>
            </a:rPr>
            <a:t>Progress</a:t>
          </a:r>
          <a:endParaRPr lang="ru-RU" sz="2400" b="1">
            <a:solidFill>
              <a:srgbClr val="32A19B"/>
            </a:solidFill>
          </a:endParaRPr>
        </a:p>
      </xdr:txBody>
    </xdr:sp>
    <xdr:clientData/>
  </xdr:twoCellAnchor>
  <xdr:twoCellAnchor editAs="oneCell">
    <xdr:from>
      <xdr:col>1</xdr:col>
      <xdr:colOff>0</xdr:colOff>
      <xdr:row>2</xdr:row>
      <xdr:rowOff>0</xdr:rowOff>
    </xdr:from>
    <xdr:to>
      <xdr:col>1</xdr:col>
      <xdr:colOff>274320</xdr:colOff>
      <xdr:row>3</xdr:row>
      <xdr:rowOff>94211</xdr:rowOff>
    </xdr:to>
    <xdr:pic>
      <xdr:nvPicPr>
        <xdr:cNvPr id="54" name="Graphic 53" descr="Sun with solid fill">
          <a:extLst>
            <a:ext uri="{FF2B5EF4-FFF2-40B4-BE49-F238E27FC236}">
              <a16:creationId xmlns:a16="http://schemas.microsoft.com/office/drawing/2014/main" id="{2491905F-2CB3-4BD4-9685-635CC2B0C29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600" y="360218"/>
          <a:ext cx="274320" cy="274320"/>
        </a:xfrm>
        <a:prstGeom prst="rect">
          <a:avLst/>
        </a:prstGeom>
      </xdr:spPr>
    </xdr:pic>
    <xdr:clientData/>
  </xdr:twoCellAnchor>
  <xdr:twoCellAnchor editAs="oneCell">
    <xdr:from>
      <xdr:col>2</xdr:col>
      <xdr:colOff>0</xdr:colOff>
      <xdr:row>2</xdr:row>
      <xdr:rowOff>0</xdr:rowOff>
    </xdr:from>
    <xdr:to>
      <xdr:col>2</xdr:col>
      <xdr:colOff>274320</xdr:colOff>
      <xdr:row>3</xdr:row>
      <xdr:rowOff>94211</xdr:rowOff>
    </xdr:to>
    <xdr:pic>
      <xdr:nvPicPr>
        <xdr:cNvPr id="55" name="Graphic 54" descr="Moon and stars with solid fill">
          <a:hlinkClick xmlns:r="http://schemas.openxmlformats.org/officeDocument/2006/relationships" r:id="rId4"/>
          <a:extLst>
            <a:ext uri="{FF2B5EF4-FFF2-40B4-BE49-F238E27FC236}">
              <a16:creationId xmlns:a16="http://schemas.microsoft.com/office/drawing/2014/main" id="{62406DD0-6CC5-4127-8C16-5544393042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0" y="360218"/>
          <a:ext cx="274320" cy="274320"/>
        </a:xfrm>
        <a:prstGeom prst="rect">
          <a:avLst/>
        </a:prstGeom>
      </xdr:spPr>
    </xdr:pic>
    <xdr:clientData/>
  </xdr:twoCellAnchor>
  <xdr:twoCellAnchor>
    <xdr:from>
      <xdr:col>0</xdr:col>
      <xdr:colOff>0</xdr:colOff>
      <xdr:row>0</xdr:row>
      <xdr:rowOff>1</xdr:rowOff>
    </xdr:from>
    <xdr:to>
      <xdr:col>1</xdr:col>
      <xdr:colOff>124691</xdr:colOff>
      <xdr:row>1</xdr:row>
      <xdr:rowOff>83128</xdr:rowOff>
    </xdr:to>
    <xdr:sp macro="" textlink="">
      <xdr:nvSpPr>
        <xdr:cNvPr id="56" name="Rectangle 55">
          <a:extLst>
            <a:ext uri="{FF2B5EF4-FFF2-40B4-BE49-F238E27FC236}">
              <a16:creationId xmlns:a16="http://schemas.microsoft.com/office/drawing/2014/main" id="{57613867-9803-7AFE-5EA2-4B5024D27046}"/>
            </a:ext>
          </a:extLst>
        </xdr:cNvPr>
        <xdr:cNvSpPr/>
      </xdr:nvSpPr>
      <xdr:spPr>
        <a:xfrm>
          <a:off x="0" y="1"/>
          <a:ext cx="734291" cy="263236"/>
        </a:xfrm>
        <a:prstGeom prst="rect">
          <a:avLst/>
        </a:prstGeom>
        <a:solidFill>
          <a:srgbClr val="EEFC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312420</xdr:colOff>
      <xdr:row>10</xdr:row>
      <xdr:rowOff>182571</xdr:rowOff>
    </xdr:from>
    <xdr:to>
      <xdr:col>14</xdr:col>
      <xdr:colOff>508253</xdr:colOff>
      <xdr:row>25</xdr:row>
      <xdr:rowOff>168864</xdr:rowOff>
    </xdr:to>
    <xdr:grpSp>
      <xdr:nvGrpSpPr>
        <xdr:cNvPr id="2" name="Group 1">
          <a:extLst>
            <a:ext uri="{FF2B5EF4-FFF2-40B4-BE49-F238E27FC236}">
              <a16:creationId xmlns:a16="http://schemas.microsoft.com/office/drawing/2014/main" id="{74E1A196-2EE5-4611-B69E-F5B6A8F0E040}"/>
            </a:ext>
          </a:extLst>
        </xdr:cNvPr>
        <xdr:cNvGrpSpPr/>
      </xdr:nvGrpSpPr>
      <xdr:grpSpPr>
        <a:xfrm>
          <a:off x="5036820" y="2087571"/>
          <a:ext cx="3739133" cy="2843793"/>
          <a:chOff x="4949192" y="1902151"/>
          <a:chExt cx="3853433" cy="2729493"/>
        </a:xfrm>
        <a:solidFill>
          <a:srgbClr val="334B49"/>
        </a:solidFill>
      </xdr:grpSpPr>
      <xdr:sp macro="" textlink="">
        <xdr:nvSpPr>
          <xdr:cNvPr id="3" name="Freeform: Shape 2">
            <a:extLst>
              <a:ext uri="{FF2B5EF4-FFF2-40B4-BE49-F238E27FC236}">
                <a16:creationId xmlns:a16="http://schemas.microsoft.com/office/drawing/2014/main" id="{D864BDD2-F04F-8DFA-A313-961A7FF3EF13}"/>
              </a:ext>
            </a:extLst>
          </xdr:cNvPr>
          <xdr:cNvSpPr/>
        </xdr:nvSpPr>
        <xdr:spPr>
          <a:xfrm>
            <a:off x="4958716" y="1902151"/>
            <a:ext cx="657225" cy="112706"/>
          </a:xfrm>
          <a:custGeom>
            <a:avLst/>
            <a:gdLst>
              <a:gd name="connsiteX0" fmla="*/ 633178 w 657225"/>
              <a:gd name="connsiteY0" fmla="*/ 111 h 112706"/>
              <a:gd name="connsiteX1" fmla="*/ 657225 w 657225"/>
              <a:gd name="connsiteY1" fmla="*/ 311 h 112706"/>
              <a:gd name="connsiteX2" fmla="*/ 609600 w 657225"/>
              <a:gd name="connsiteY2" fmla="*/ 112706 h 112706"/>
              <a:gd name="connsiteX3" fmla="*/ 0 w 657225"/>
              <a:gd name="connsiteY3" fmla="*/ 80321 h 112706"/>
              <a:gd name="connsiteX4" fmla="*/ 633178 w 657225"/>
              <a:gd name="connsiteY4" fmla="*/ 111 h 1127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7225" h="112706">
                <a:moveTo>
                  <a:pt x="633178" y="111"/>
                </a:moveTo>
                <a:cubicBezTo>
                  <a:pt x="642779" y="-83"/>
                  <a:pt x="650875" y="-26"/>
                  <a:pt x="657225" y="311"/>
                </a:cubicBezTo>
                <a:lnTo>
                  <a:pt x="609600" y="112706"/>
                </a:lnTo>
                <a:cubicBezTo>
                  <a:pt x="377190" y="93973"/>
                  <a:pt x="341630" y="89845"/>
                  <a:pt x="0" y="80321"/>
                </a:cubicBezTo>
                <a:cubicBezTo>
                  <a:pt x="6549" y="62462"/>
                  <a:pt x="489161" y="3024"/>
                  <a:pt x="633178" y="111"/>
                </a:cubicBezTo>
                <a:close/>
              </a:path>
            </a:pathLst>
          </a:custGeom>
          <a:solidFill>
            <a:srgbClr val="32A19B"/>
          </a:solidFill>
          <a:ln w="47625">
            <a:solidFill>
              <a:srgbClr val="32A19B"/>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Freeform: Shape 3">
            <a:extLst>
              <a:ext uri="{FF2B5EF4-FFF2-40B4-BE49-F238E27FC236}">
                <a16:creationId xmlns:a16="http://schemas.microsoft.com/office/drawing/2014/main" id="{8817DF0D-0145-572C-C2F7-3E9D9C9F9E08}"/>
              </a:ext>
            </a:extLst>
          </xdr:cNvPr>
          <xdr:cNvSpPr/>
        </xdr:nvSpPr>
        <xdr:spPr>
          <a:xfrm>
            <a:off x="5671192" y="1905294"/>
            <a:ext cx="1243737" cy="281027"/>
          </a:xfrm>
          <a:custGeom>
            <a:avLst/>
            <a:gdLst>
              <a:gd name="connsiteX0" fmla="*/ 55472 w 1243737"/>
              <a:gd name="connsiteY0" fmla="*/ 0 h 281027"/>
              <a:gd name="connsiteX1" fmla="*/ 315719 w 1243737"/>
              <a:gd name="connsiteY1" fmla="*/ 5632 h 281027"/>
              <a:gd name="connsiteX2" fmla="*/ 1162855 w 1243737"/>
              <a:gd name="connsiteY2" fmla="*/ 94960 h 281027"/>
              <a:gd name="connsiteX3" fmla="*/ 1243737 w 1243737"/>
              <a:gd name="connsiteY3" fmla="*/ 110756 h 281027"/>
              <a:gd name="connsiteX4" fmla="*/ 1137390 w 1243737"/>
              <a:gd name="connsiteY4" fmla="*/ 281027 h 281027"/>
              <a:gd name="connsiteX5" fmla="*/ 1055342 w 1243737"/>
              <a:gd name="connsiteY5" fmla="*/ 259775 h 281027"/>
              <a:gd name="connsiteX6" fmla="*/ 202169 w 1243737"/>
              <a:gd name="connsiteY6" fmla="*/ 129660 h 281027"/>
              <a:gd name="connsiteX7" fmla="*/ 0 w 1243737"/>
              <a:gd name="connsiteY7" fmla="*/ 117675 h 281027"/>
              <a:gd name="connsiteX8" fmla="*/ 55472 w 1243737"/>
              <a:gd name="connsiteY8" fmla="*/ 0 h 281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3737" h="281027">
                <a:moveTo>
                  <a:pt x="55472" y="0"/>
                </a:moveTo>
                <a:lnTo>
                  <a:pt x="315719" y="5632"/>
                </a:lnTo>
                <a:cubicBezTo>
                  <a:pt x="612258" y="18539"/>
                  <a:pt x="896585" y="49150"/>
                  <a:pt x="1162855" y="94960"/>
                </a:cubicBezTo>
                <a:lnTo>
                  <a:pt x="1243737" y="110756"/>
                </a:lnTo>
                <a:lnTo>
                  <a:pt x="1137390" y="281027"/>
                </a:lnTo>
                <a:lnTo>
                  <a:pt x="1055342" y="259775"/>
                </a:lnTo>
                <a:cubicBezTo>
                  <a:pt x="796387" y="198655"/>
                  <a:pt x="508773" y="154032"/>
                  <a:pt x="202169" y="129660"/>
                </a:cubicBezTo>
                <a:lnTo>
                  <a:pt x="0" y="117675"/>
                </a:lnTo>
                <a:lnTo>
                  <a:pt x="55472" y="0"/>
                </a:lnTo>
                <a:close/>
              </a:path>
            </a:pathLst>
          </a:custGeom>
          <a:solidFill>
            <a:srgbClr val="FDB733"/>
          </a:solidFill>
          <a:ln w="47625">
            <a:solidFill>
              <a:srgbClr val="FDB73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 name="Freeform: Shape 4">
            <a:extLst>
              <a:ext uri="{FF2B5EF4-FFF2-40B4-BE49-F238E27FC236}">
                <a16:creationId xmlns:a16="http://schemas.microsoft.com/office/drawing/2014/main" id="{81CB3F4E-97EC-6E3C-B6EA-B58A95553AE5}"/>
              </a:ext>
            </a:extLst>
          </xdr:cNvPr>
          <xdr:cNvSpPr/>
        </xdr:nvSpPr>
        <xdr:spPr>
          <a:xfrm>
            <a:off x="6913000" y="2037713"/>
            <a:ext cx="753660" cy="392303"/>
          </a:xfrm>
          <a:custGeom>
            <a:avLst/>
            <a:gdLst>
              <a:gd name="connsiteX0" fmla="*/ 112850 w 753660"/>
              <a:gd name="connsiteY0" fmla="*/ 0 h 392303"/>
              <a:gd name="connsiteX1" fmla="*/ 181079 w 753660"/>
              <a:gd name="connsiteY1" fmla="*/ 13325 h 392303"/>
              <a:gd name="connsiteX2" fmla="*/ 659834 w 753660"/>
              <a:gd name="connsiteY2" fmla="*/ 143064 h 392303"/>
              <a:gd name="connsiteX3" fmla="*/ 753660 w 753660"/>
              <a:gd name="connsiteY3" fmla="*/ 176858 h 392303"/>
              <a:gd name="connsiteX4" fmla="*/ 564636 w 753660"/>
              <a:gd name="connsiteY4" fmla="*/ 392303 h 392303"/>
              <a:gd name="connsiteX5" fmla="*/ 494755 w 753660"/>
              <a:gd name="connsiteY5" fmla="*/ 356453 h 392303"/>
              <a:gd name="connsiteX6" fmla="*/ 2224 w 753660"/>
              <a:gd name="connsiteY6" fmla="*/ 176231 h 392303"/>
              <a:gd name="connsiteX7" fmla="*/ 0 w 753660"/>
              <a:gd name="connsiteY7" fmla="*/ 175655 h 392303"/>
              <a:gd name="connsiteX8" fmla="*/ 112850 w 753660"/>
              <a:gd name="connsiteY8" fmla="*/ 0 h 3923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53660" h="392303">
                <a:moveTo>
                  <a:pt x="112850" y="0"/>
                </a:moveTo>
                <a:lnTo>
                  <a:pt x="181079" y="13325"/>
                </a:lnTo>
                <a:cubicBezTo>
                  <a:pt x="350133" y="50434"/>
                  <a:pt x="510296" y="93928"/>
                  <a:pt x="659834" y="143064"/>
                </a:cubicBezTo>
                <a:lnTo>
                  <a:pt x="753660" y="176858"/>
                </a:lnTo>
                <a:lnTo>
                  <a:pt x="564636" y="392303"/>
                </a:lnTo>
                <a:lnTo>
                  <a:pt x="494755" y="356453"/>
                </a:lnTo>
                <a:cubicBezTo>
                  <a:pt x="350777" y="288684"/>
                  <a:pt x="185241" y="228082"/>
                  <a:pt x="2224" y="176231"/>
                </a:cubicBezTo>
                <a:lnTo>
                  <a:pt x="0" y="175655"/>
                </a:lnTo>
                <a:lnTo>
                  <a:pt x="112850" y="0"/>
                </a:lnTo>
                <a:close/>
              </a:path>
            </a:pathLst>
          </a:custGeom>
          <a:solidFill>
            <a:srgbClr val="3AC7E2"/>
          </a:solidFill>
          <a:ln w="47625">
            <a:solidFill>
              <a:srgbClr val="3AC7E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Freeform: Shape 5">
            <a:extLst>
              <a:ext uri="{FF2B5EF4-FFF2-40B4-BE49-F238E27FC236}">
                <a16:creationId xmlns:a16="http://schemas.microsoft.com/office/drawing/2014/main" id="{55C2D8BD-369F-4E20-DD54-FC1C5A5017F4}"/>
              </a:ext>
            </a:extLst>
          </xdr:cNvPr>
          <xdr:cNvSpPr/>
        </xdr:nvSpPr>
        <xdr:spPr>
          <a:xfrm>
            <a:off x="7581343" y="2257769"/>
            <a:ext cx="876765" cy="576256"/>
          </a:xfrm>
          <a:custGeom>
            <a:avLst/>
            <a:gdLst>
              <a:gd name="connsiteX0" fmla="*/ 205262 w 876765"/>
              <a:gd name="connsiteY0" fmla="*/ 0 h 576256"/>
              <a:gd name="connsiteX1" fmla="*/ 207615 w 876765"/>
              <a:gd name="connsiteY1" fmla="*/ 848 h 576256"/>
              <a:gd name="connsiteX2" fmla="*/ 747381 w 876765"/>
              <a:gd name="connsiteY2" fmla="*/ 279582 h 576256"/>
              <a:gd name="connsiteX3" fmla="*/ 876765 w 876765"/>
              <a:gd name="connsiteY3" fmla="*/ 378088 h 576256"/>
              <a:gd name="connsiteX4" fmla="*/ 375827 w 876765"/>
              <a:gd name="connsiteY4" fmla="*/ 576256 h 576256"/>
              <a:gd name="connsiteX5" fmla="*/ 347771 w 876765"/>
              <a:gd name="connsiteY5" fmla="*/ 527633 h 576256"/>
              <a:gd name="connsiteX6" fmla="*/ 84416 w 876765"/>
              <a:gd name="connsiteY6" fmla="*/ 281020 h 576256"/>
              <a:gd name="connsiteX7" fmla="*/ 0 w 876765"/>
              <a:gd name="connsiteY7" fmla="*/ 229182 h 576256"/>
              <a:gd name="connsiteX8" fmla="*/ 205262 w 876765"/>
              <a:gd name="connsiteY8" fmla="*/ 0 h 5762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76765" h="576256">
                <a:moveTo>
                  <a:pt x="205262" y="0"/>
                </a:moveTo>
                <a:lnTo>
                  <a:pt x="207615" y="848"/>
                </a:lnTo>
                <a:cubicBezTo>
                  <a:pt x="415338" y="82735"/>
                  <a:pt x="597209" y="176482"/>
                  <a:pt x="747381" y="279582"/>
                </a:cubicBezTo>
                <a:lnTo>
                  <a:pt x="876765" y="378088"/>
                </a:lnTo>
                <a:lnTo>
                  <a:pt x="375827" y="576256"/>
                </a:lnTo>
                <a:lnTo>
                  <a:pt x="347771" y="527633"/>
                </a:lnTo>
                <a:cubicBezTo>
                  <a:pt x="286983" y="440374"/>
                  <a:pt x="197838" y="357641"/>
                  <a:pt x="84416" y="281020"/>
                </a:cubicBezTo>
                <a:lnTo>
                  <a:pt x="0" y="229182"/>
                </a:lnTo>
                <a:lnTo>
                  <a:pt x="205262" y="0"/>
                </a:lnTo>
                <a:close/>
              </a:path>
            </a:pathLst>
          </a:custGeom>
          <a:solidFill>
            <a:srgbClr val="FF3F5F"/>
          </a:solidFill>
          <a:ln w="47625">
            <a:solidFill>
              <a:srgbClr val="FF3F5F"/>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Freeform: Shape 6">
            <a:extLst>
              <a:ext uri="{FF2B5EF4-FFF2-40B4-BE49-F238E27FC236}">
                <a16:creationId xmlns:a16="http://schemas.microsoft.com/office/drawing/2014/main" id="{04097383-0418-6B5F-4113-36008FDD8133}"/>
              </a:ext>
            </a:extLst>
          </xdr:cNvPr>
          <xdr:cNvSpPr/>
        </xdr:nvSpPr>
        <xdr:spPr>
          <a:xfrm>
            <a:off x="7880110" y="2741159"/>
            <a:ext cx="922515" cy="977728"/>
          </a:xfrm>
          <a:custGeom>
            <a:avLst/>
            <a:gdLst>
              <a:gd name="connsiteX0" fmla="*/ 690193 w 922515"/>
              <a:gd name="connsiteY0" fmla="*/ 0 h 977728"/>
              <a:gd name="connsiteX1" fmla="*/ 704964 w 922515"/>
              <a:gd name="connsiteY1" fmla="*/ 14121 h 977728"/>
              <a:gd name="connsiteX2" fmla="*/ 922515 w 922515"/>
              <a:gd name="connsiteY2" fmla="*/ 506993 h 977728"/>
              <a:gd name="connsiteX3" fmla="*/ 781509 w 922515"/>
              <a:gd name="connsiteY3" fmla="*/ 906707 h 977728"/>
              <a:gd name="connsiteX4" fmla="*/ 720857 w 922515"/>
              <a:gd name="connsiteY4" fmla="*/ 977728 h 977728"/>
              <a:gd name="connsiteX5" fmla="*/ 0 w 922515"/>
              <a:gd name="connsiteY5" fmla="*/ 650828 h 977728"/>
              <a:gd name="connsiteX6" fmla="*/ 35546 w 922515"/>
              <a:gd name="connsiteY6" fmla="*/ 610420 h 977728"/>
              <a:gd name="connsiteX7" fmla="*/ 142227 w 922515"/>
              <a:gd name="connsiteY7" fmla="*/ 318017 h 977728"/>
              <a:gd name="connsiteX8" fmla="*/ 131567 w 922515"/>
              <a:gd name="connsiteY8" fmla="*/ 224328 h 977728"/>
              <a:gd name="connsiteX9" fmla="*/ 125213 w 922515"/>
              <a:gd name="connsiteY9" fmla="*/ 205823 h 977728"/>
              <a:gd name="connsiteX10" fmla="*/ 690193 w 922515"/>
              <a:gd name="connsiteY10" fmla="*/ 0 h 9777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922515" h="977728">
                <a:moveTo>
                  <a:pt x="690193" y="0"/>
                </a:moveTo>
                <a:lnTo>
                  <a:pt x="704964" y="14121"/>
                </a:lnTo>
                <a:cubicBezTo>
                  <a:pt x="845380" y="166732"/>
                  <a:pt x="922515" y="333002"/>
                  <a:pt x="922515" y="506993"/>
                </a:cubicBezTo>
                <a:cubicBezTo>
                  <a:pt x="922515" y="646186"/>
                  <a:pt x="873148" y="780438"/>
                  <a:pt x="781509" y="906707"/>
                </a:cubicBezTo>
                <a:lnTo>
                  <a:pt x="720857" y="977728"/>
                </a:lnTo>
                <a:lnTo>
                  <a:pt x="0" y="650828"/>
                </a:lnTo>
                <a:lnTo>
                  <a:pt x="35546" y="610420"/>
                </a:lnTo>
                <a:cubicBezTo>
                  <a:pt x="104995" y="517629"/>
                  <a:pt x="142227" y="419512"/>
                  <a:pt x="142227" y="318017"/>
                </a:cubicBezTo>
                <a:cubicBezTo>
                  <a:pt x="142227" y="286441"/>
                  <a:pt x="138624" y="255192"/>
                  <a:pt x="131567" y="224328"/>
                </a:cubicBezTo>
                <a:lnTo>
                  <a:pt x="125213" y="205823"/>
                </a:lnTo>
                <a:lnTo>
                  <a:pt x="690193" y="0"/>
                </a:lnTo>
                <a:close/>
              </a:path>
            </a:pathLst>
          </a:custGeom>
          <a:solidFill>
            <a:srgbClr val="00AE50"/>
          </a:solidFill>
          <a:ln w="47625">
            <a:solidFill>
              <a:srgbClr val="00AE5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Freeform: Shape 7">
            <a:extLst>
              <a:ext uri="{FF2B5EF4-FFF2-40B4-BE49-F238E27FC236}">
                <a16:creationId xmlns:a16="http://schemas.microsoft.com/office/drawing/2014/main" id="{52532553-5CE7-12A5-05EF-8D8C0275015F}"/>
              </a:ext>
            </a:extLst>
          </xdr:cNvPr>
          <xdr:cNvSpPr/>
        </xdr:nvSpPr>
        <xdr:spPr>
          <a:xfrm>
            <a:off x="6935878" y="3506487"/>
            <a:ext cx="1543781" cy="920453"/>
          </a:xfrm>
          <a:custGeom>
            <a:avLst/>
            <a:gdLst>
              <a:gd name="connsiteX0" fmla="*/ 825951 w 1543781"/>
              <a:gd name="connsiteY0" fmla="*/ 0 h 920453"/>
              <a:gd name="connsiteX1" fmla="*/ 1543781 w 1543781"/>
              <a:gd name="connsiteY1" fmla="*/ 332930 h 920453"/>
              <a:gd name="connsiteX2" fmla="*/ 1488201 w 1543781"/>
              <a:gd name="connsiteY2" fmla="*/ 382376 h 920453"/>
              <a:gd name="connsiteX3" fmla="*/ 483941 w 1543781"/>
              <a:gd name="connsiteY3" fmla="*/ 856271 h 920453"/>
              <a:gd name="connsiteX4" fmla="*/ 237433 w 1543781"/>
              <a:gd name="connsiteY4" fmla="*/ 920453 h 920453"/>
              <a:gd name="connsiteX5" fmla="*/ 0 w 1543781"/>
              <a:gd name="connsiteY5" fmla="*/ 391317 h 920453"/>
              <a:gd name="connsiteX6" fmla="*/ 31158 w 1543781"/>
              <a:gd name="connsiteY6" fmla="*/ 382873 h 920453"/>
              <a:gd name="connsiteX7" fmla="*/ 799411 w 1543781"/>
              <a:gd name="connsiteY7" fmla="*/ 22994 h 920453"/>
              <a:gd name="connsiteX8" fmla="*/ 825951 w 1543781"/>
              <a:gd name="connsiteY8" fmla="*/ 0 h 92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43781" h="920453">
                <a:moveTo>
                  <a:pt x="825951" y="0"/>
                </a:moveTo>
                <a:lnTo>
                  <a:pt x="1543781" y="332930"/>
                </a:lnTo>
                <a:lnTo>
                  <a:pt x="1488201" y="382376"/>
                </a:lnTo>
                <a:cubicBezTo>
                  <a:pt x="1246786" y="572836"/>
                  <a:pt x="901084" y="735493"/>
                  <a:pt x="483941" y="856271"/>
                </a:cubicBezTo>
                <a:lnTo>
                  <a:pt x="237433" y="920453"/>
                </a:lnTo>
                <a:lnTo>
                  <a:pt x="0" y="391317"/>
                </a:lnTo>
                <a:lnTo>
                  <a:pt x="31158" y="382873"/>
                </a:lnTo>
                <a:cubicBezTo>
                  <a:pt x="351961" y="287332"/>
                  <a:pt x="615787" y="164365"/>
                  <a:pt x="799411" y="22994"/>
                </a:cubicBezTo>
                <a:lnTo>
                  <a:pt x="825951" y="0"/>
                </a:lnTo>
                <a:close/>
              </a:path>
            </a:pathLst>
          </a:custGeom>
          <a:solidFill>
            <a:srgbClr val="FF6903"/>
          </a:solidFill>
          <a:ln w="47625">
            <a:solidFill>
              <a:srgbClr val="FF690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Freeform: Shape 8">
            <a:extLst>
              <a:ext uri="{FF2B5EF4-FFF2-40B4-BE49-F238E27FC236}">
                <a16:creationId xmlns:a16="http://schemas.microsoft.com/office/drawing/2014/main" id="{5B7B521E-F708-8F3F-051F-6D67CFC16258}"/>
              </a:ext>
            </a:extLst>
          </xdr:cNvPr>
          <xdr:cNvSpPr/>
        </xdr:nvSpPr>
        <xdr:spPr>
          <a:xfrm>
            <a:off x="4949192" y="3934050"/>
            <a:ext cx="2064332" cy="697594"/>
          </a:xfrm>
          <a:custGeom>
            <a:avLst/>
            <a:gdLst>
              <a:gd name="connsiteX0" fmla="*/ 1852922 w 2064332"/>
              <a:gd name="connsiteY0" fmla="*/ 0 h 697594"/>
              <a:gd name="connsiteX1" fmla="*/ 2064332 w 2064332"/>
              <a:gd name="connsiteY1" fmla="*/ 526530 h 697594"/>
              <a:gd name="connsiteX2" fmla="*/ 457948 w 2064332"/>
              <a:gd name="connsiteY2" fmla="*/ 696674 h 697594"/>
              <a:gd name="connsiteX3" fmla="*/ 0 w 2064332"/>
              <a:gd name="connsiteY3" fmla="*/ 340770 h 697594"/>
              <a:gd name="connsiteX4" fmla="*/ 478725 w 2064332"/>
              <a:gd name="connsiteY4" fmla="*/ 77646 h 697594"/>
              <a:gd name="connsiteX5" fmla="*/ 1852922 w 2064332"/>
              <a:gd name="connsiteY5" fmla="*/ 0 h 6975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64332" h="697594">
                <a:moveTo>
                  <a:pt x="1852922" y="0"/>
                </a:moveTo>
                <a:lnTo>
                  <a:pt x="2064332" y="526530"/>
                </a:lnTo>
                <a:cubicBezTo>
                  <a:pt x="1540625" y="639213"/>
                  <a:pt x="948815" y="706340"/>
                  <a:pt x="457948" y="696674"/>
                </a:cubicBezTo>
                <a:lnTo>
                  <a:pt x="0" y="340770"/>
                </a:lnTo>
                <a:lnTo>
                  <a:pt x="478725" y="77646"/>
                </a:lnTo>
                <a:cubicBezTo>
                  <a:pt x="958804" y="78857"/>
                  <a:pt x="1199107" y="109533"/>
                  <a:pt x="1852922" y="0"/>
                </a:cubicBezTo>
                <a:close/>
              </a:path>
            </a:pathLst>
          </a:custGeom>
          <a:solidFill>
            <a:srgbClr val="994CFE"/>
          </a:solidFill>
          <a:ln w="47625">
            <a:solidFill>
              <a:srgbClr val="994CFE"/>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326274</xdr:colOff>
      <xdr:row>10</xdr:row>
      <xdr:rowOff>168717</xdr:rowOff>
    </xdr:from>
    <xdr:to>
      <xdr:col>14</xdr:col>
      <xdr:colOff>522107</xdr:colOff>
      <xdr:row>25</xdr:row>
      <xdr:rowOff>155010</xdr:rowOff>
    </xdr:to>
    <xdr:grpSp>
      <xdr:nvGrpSpPr>
        <xdr:cNvPr id="48" name="Group 47" hidden="1">
          <a:extLst>
            <a:ext uri="{FF2B5EF4-FFF2-40B4-BE49-F238E27FC236}">
              <a16:creationId xmlns:a16="http://schemas.microsoft.com/office/drawing/2014/main" id="{B9EC7F95-6A16-4FDC-A174-3C1A23441FF0}"/>
            </a:ext>
          </a:extLst>
        </xdr:cNvPr>
        <xdr:cNvGrpSpPr/>
      </xdr:nvGrpSpPr>
      <xdr:grpSpPr>
        <a:xfrm>
          <a:off x="5050674" y="2073717"/>
          <a:ext cx="3739133" cy="2843793"/>
          <a:chOff x="4949192" y="1902151"/>
          <a:chExt cx="3853433" cy="2729493"/>
        </a:xfrm>
        <a:solidFill>
          <a:srgbClr val="334B49"/>
        </a:solidFill>
      </xdr:grpSpPr>
      <xdr:sp macro="" textlink="">
        <xdr:nvSpPr>
          <xdr:cNvPr id="49" name="Freeform: Shape 48">
            <a:extLst>
              <a:ext uri="{FF2B5EF4-FFF2-40B4-BE49-F238E27FC236}">
                <a16:creationId xmlns:a16="http://schemas.microsoft.com/office/drawing/2014/main" id="{CAF0DCD6-1DD2-D6A4-990A-285C6C4BDC4E}"/>
              </a:ext>
            </a:extLst>
          </xdr:cNvPr>
          <xdr:cNvSpPr/>
        </xdr:nvSpPr>
        <xdr:spPr>
          <a:xfrm>
            <a:off x="4958716" y="1902151"/>
            <a:ext cx="657225" cy="112706"/>
          </a:xfrm>
          <a:custGeom>
            <a:avLst/>
            <a:gdLst>
              <a:gd name="connsiteX0" fmla="*/ 633178 w 657225"/>
              <a:gd name="connsiteY0" fmla="*/ 111 h 112706"/>
              <a:gd name="connsiteX1" fmla="*/ 657225 w 657225"/>
              <a:gd name="connsiteY1" fmla="*/ 311 h 112706"/>
              <a:gd name="connsiteX2" fmla="*/ 609600 w 657225"/>
              <a:gd name="connsiteY2" fmla="*/ 112706 h 112706"/>
              <a:gd name="connsiteX3" fmla="*/ 0 w 657225"/>
              <a:gd name="connsiteY3" fmla="*/ 80321 h 112706"/>
              <a:gd name="connsiteX4" fmla="*/ 633178 w 657225"/>
              <a:gd name="connsiteY4" fmla="*/ 111 h 1127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7225" h="112706">
                <a:moveTo>
                  <a:pt x="633178" y="111"/>
                </a:moveTo>
                <a:cubicBezTo>
                  <a:pt x="642779" y="-83"/>
                  <a:pt x="650875" y="-26"/>
                  <a:pt x="657225" y="311"/>
                </a:cubicBezTo>
                <a:lnTo>
                  <a:pt x="609600" y="112706"/>
                </a:lnTo>
                <a:cubicBezTo>
                  <a:pt x="377190" y="93973"/>
                  <a:pt x="341630" y="89845"/>
                  <a:pt x="0" y="80321"/>
                </a:cubicBezTo>
                <a:cubicBezTo>
                  <a:pt x="6549" y="62462"/>
                  <a:pt x="489161" y="3024"/>
                  <a:pt x="633178" y="111"/>
                </a:cubicBezTo>
                <a:close/>
              </a:path>
            </a:pathLst>
          </a:custGeom>
          <a:solidFill>
            <a:srgbClr val="32A19B"/>
          </a:solidFill>
          <a:ln w="47625">
            <a:solidFill>
              <a:srgbClr val="32A19B"/>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6838C40A-C502-8010-652D-0C23C7933E6F}"/>
              </a:ext>
            </a:extLst>
          </xdr:cNvPr>
          <xdr:cNvSpPr/>
        </xdr:nvSpPr>
        <xdr:spPr>
          <a:xfrm>
            <a:off x="5671192" y="1905294"/>
            <a:ext cx="1243737" cy="281027"/>
          </a:xfrm>
          <a:custGeom>
            <a:avLst/>
            <a:gdLst>
              <a:gd name="connsiteX0" fmla="*/ 55472 w 1243737"/>
              <a:gd name="connsiteY0" fmla="*/ 0 h 281027"/>
              <a:gd name="connsiteX1" fmla="*/ 315719 w 1243737"/>
              <a:gd name="connsiteY1" fmla="*/ 5632 h 281027"/>
              <a:gd name="connsiteX2" fmla="*/ 1162855 w 1243737"/>
              <a:gd name="connsiteY2" fmla="*/ 94960 h 281027"/>
              <a:gd name="connsiteX3" fmla="*/ 1243737 w 1243737"/>
              <a:gd name="connsiteY3" fmla="*/ 110756 h 281027"/>
              <a:gd name="connsiteX4" fmla="*/ 1137390 w 1243737"/>
              <a:gd name="connsiteY4" fmla="*/ 281027 h 281027"/>
              <a:gd name="connsiteX5" fmla="*/ 1055342 w 1243737"/>
              <a:gd name="connsiteY5" fmla="*/ 259775 h 281027"/>
              <a:gd name="connsiteX6" fmla="*/ 202169 w 1243737"/>
              <a:gd name="connsiteY6" fmla="*/ 129660 h 281027"/>
              <a:gd name="connsiteX7" fmla="*/ 0 w 1243737"/>
              <a:gd name="connsiteY7" fmla="*/ 117675 h 281027"/>
              <a:gd name="connsiteX8" fmla="*/ 55472 w 1243737"/>
              <a:gd name="connsiteY8" fmla="*/ 0 h 281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3737" h="281027">
                <a:moveTo>
                  <a:pt x="55472" y="0"/>
                </a:moveTo>
                <a:lnTo>
                  <a:pt x="315719" y="5632"/>
                </a:lnTo>
                <a:cubicBezTo>
                  <a:pt x="612258" y="18539"/>
                  <a:pt x="896585" y="49150"/>
                  <a:pt x="1162855" y="94960"/>
                </a:cubicBezTo>
                <a:lnTo>
                  <a:pt x="1243737" y="110756"/>
                </a:lnTo>
                <a:lnTo>
                  <a:pt x="1137390" y="281027"/>
                </a:lnTo>
                <a:lnTo>
                  <a:pt x="1055342" y="259775"/>
                </a:lnTo>
                <a:cubicBezTo>
                  <a:pt x="796387" y="198655"/>
                  <a:pt x="508773" y="154032"/>
                  <a:pt x="202169" y="129660"/>
                </a:cubicBezTo>
                <a:lnTo>
                  <a:pt x="0" y="117675"/>
                </a:lnTo>
                <a:lnTo>
                  <a:pt x="55472" y="0"/>
                </a:lnTo>
                <a:close/>
              </a:path>
            </a:pathLst>
          </a:custGeom>
          <a:solidFill>
            <a:srgbClr val="FDC965"/>
          </a:solidFill>
          <a:ln w="47625">
            <a:solidFill>
              <a:srgbClr val="FDC96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FB0A5BE3-C7A2-DDC7-0E76-25E2E87E92BA}"/>
              </a:ext>
            </a:extLst>
          </xdr:cNvPr>
          <xdr:cNvSpPr/>
        </xdr:nvSpPr>
        <xdr:spPr>
          <a:xfrm>
            <a:off x="6913000" y="2037713"/>
            <a:ext cx="753660" cy="392303"/>
          </a:xfrm>
          <a:custGeom>
            <a:avLst/>
            <a:gdLst>
              <a:gd name="connsiteX0" fmla="*/ 112850 w 753660"/>
              <a:gd name="connsiteY0" fmla="*/ 0 h 392303"/>
              <a:gd name="connsiteX1" fmla="*/ 181079 w 753660"/>
              <a:gd name="connsiteY1" fmla="*/ 13325 h 392303"/>
              <a:gd name="connsiteX2" fmla="*/ 659834 w 753660"/>
              <a:gd name="connsiteY2" fmla="*/ 143064 h 392303"/>
              <a:gd name="connsiteX3" fmla="*/ 753660 w 753660"/>
              <a:gd name="connsiteY3" fmla="*/ 176858 h 392303"/>
              <a:gd name="connsiteX4" fmla="*/ 564636 w 753660"/>
              <a:gd name="connsiteY4" fmla="*/ 392303 h 392303"/>
              <a:gd name="connsiteX5" fmla="*/ 494755 w 753660"/>
              <a:gd name="connsiteY5" fmla="*/ 356453 h 392303"/>
              <a:gd name="connsiteX6" fmla="*/ 2224 w 753660"/>
              <a:gd name="connsiteY6" fmla="*/ 176231 h 392303"/>
              <a:gd name="connsiteX7" fmla="*/ 0 w 753660"/>
              <a:gd name="connsiteY7" fmla="*/ 175655 h 392303"/>
              <a:gd name="connsiteX8" fmla="*/ 112850 w 753660"/>
              <a:gd name="connsiteY8" fmla="*/ 0 h 3923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53660" h="392303">
                <a:moveTo>
                  <a:pt x="112850" y="0"/>
                </a:moveTo>
                <a:lnTo>
                  <a:pt x="181079" y="13325"/>
                </a:lnTo>
                <a:cubicBezTo>
                  <a:pt x="350133" y="50434"/>
                  <a:pt x="510296" y="93928"/>
                  <a:pt x="659834" y="143064"/>
                </a:cubicBezTo>
                <a:lnTo>
                  <a:pt x="753660" y="176858"/>
                </a:lnTo>
                <a:lnTo>
                  <a:pt x="564636" y="392303"/>
                </a:lnTo>
                <a:lnTo>
                  <a:pt x="494755" y="356453"/>
                </a:lnTo>
                <a:cubicBezTo>
                  <a:pt x="350777" y="288684"/>
                  <a:pt x="185241" y="228082"/>
                  <a:pt x="2224" y="176231"/>
                </a:cubicBezTo>
                <a:lnTo>
                  <a:pt x="0" y="175655"/>
                </a:lnTo>
                <a:lnTo>
                  <a:pt x="112850" y="0"/>
                </a:lnTo>
                <a:close/>
              </a:path>
            </a:pathLst>
          </a:custGeom>
          <a:solidFill>
            <a:srgbClr val="FDC965"/>
          </a:solidFill>
          <a:ln w="47625">
            <a:solidFill>
              <a:srgbClr val="FDC96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022C2EE4-5F20-5478-FD46-33AF6BC8D838}"/>
              </a:ext>
            </a:extLst>
          </xdr:cNvPr>
          <xdr:cNvSpPr/>
        </xdr:nvSpPr>
        <xdr:spPr>
          <a:xfrm>
            <a:off x="7581343" y="2257769"/>
            <a:ext cx="876765" cy="576256"/>
          </a:xfrm>
          <a:custGeom>
            <a:avLst/>
            <a:gdLst>
              <a:gd name="connsiteX0" fmla="*/ 205262 w 876765"/>
              <a:gd name="connsiteY0" fmla="*/ 0 h 576256"/>
              <a:gd name="connsiteX1" fmla="*/ 207615 w 876765"/>
              <a:gd name="connsiteY1" fmla="*/ 848 h 576256"/>
              <a:gd name="connsiteX2" fmla="*/ 747381 w 876765"/>
              <a:gd name="connsiteY2" fmla="*/ 279582 h 576256"/>
              <a:gd name="connsiteX3" fmla="*/ 876765 w 876765"/>
              <a:gd name="connsiteY3" fmla="*/ 378088 h 576256"/>
              <a:gd name="connsiteX4" fmla="*/ 375827 w 876765"/>
              <a:gd name="connsiteY4" fmla="*/ 576256 h 576256"/>
              <a:gd name="connsiteX5" fmla="*/ 347771 w 876765"/>
              <a:gd name="connsiteY5" fmla="*/ 527633 h 576256"/>
              <a:gd name="connsiteX6" fmla="*/ 84416 w 876765"/>
              <a:gd name="connsiteY6" fmla="*/ 281020 h 576256"/>
              <a:gd name="connsiteX7" fmla="*/ 0 w 876765"/>
              <a:gd name="connsiteY7" fmla="*/ 229182 h 576256"/>
              <a:gd name="connsiteX8" fmla="*/ 205262 w 876765"/>
              <a:gd name="connsiteY8" fmla="*/ 0 h 5762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76765" h="576256">
                <a:moveTo>
                  <a:pt x="205262" y="0"/>
                </a:moveTo>
                <a:lnTo>
                  <a:pt x="207615" y="848"/>
                </a:lnTo>
                <a:cubicBezTo>
                  <a:pt x="415338" y="82735"/>
                  <a:pt x="597209" y="176482"/>
                  <a:pt x="747381" y="279582"/>
                </a:cubicBezTo>
                <a:lnTo>
                  <a:pt x="876765" y="378088"/>
                </a:lnTo>
                <a:lnTo>
                  <a:pt x="375827" y="576256"/>
                </a:lnTo>
                <a:lnTo>
                  <a:pt x="347771" y="527633"/>
                </a:lnTo>
                <a:cubicBezTo>
                  <a:pt x="286983" y="440374"/>
                  <a:pt x="197838" y="357641"/>
                  <a:pt x="84416" y="281020"/>
                </a:cubicBezTo>
                <a:lnTo>
                  <a:pt x="0" y="229182"/>
                </a:lnTo>
                <a:lnTo>
                  <a:pt x="205262" y="0"/>
                </a:lnTo>
                <a:close/>
              </a:path>
            </a:pathLst>
          </a:custGeom>
          <a:solidFill>
            <a:srgbClr val="FDDB97"/>
          </a:solidFill>
          <a:ln w="47625">
            <a:solidFill>
              <a:srgbClr val="FDDB97"/>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7845E3C4-9D2F-305F-0D70-295F2FB7C02D}"/>
              </a:ext>
            </a:extLst>
          </xdr:cNvPr>
          <xdr:cNvSpPr/>
        </xdr:nvSpPr>
        <xdr:spPr>
          <a:xfrm>
            <a:off x="7880110" y="2741159"/>
            <a:ext cx="922515" cy="977728"/>
          </a:xfrm>
          <a:custGeom>
            <a:avLst/>
            <a:gdLst>
              <a:gd name="connsiteX0" fmla="*/ 690193 w 922515"/>
              <a:gd name="connsiteY0" fmla="*/ 0 h 977728"/>
              <a:gd name="connsiteX1" fmla="*/ 704964 w 922515"/>
              <a:gd name="connsiteY1" fmla="*/ 14121 h 977728"/>
              <a:gd name="connsiteX2" fmla="*/ 922515 w 922515"/>
              <a:gd name="connsiteY2" fmla="*/ 506993 h 977728"/>
              <a:gd name="connsiteX3" fmla="*/ 781509 w 922515"/>
              <a:gd name="connsiteY3" fmla="*/ 906707 h 977728"/>
              <a:gd name="connsiteX4" fmla="*/ 720857 w 922515"/>
              <a:gd name="connsiteY4" fmla="*/ 977728 h 977728"/>
              <a:gd name="connsiteX5" fmla="*/ 0 w 922515"/>
              <a:gd name="connsiteY5" fmla="*/ 650828 h 977728"/>
              <a:gd name="connsiteX6" fmla="*/ 35546 w 922515"/>
              <a:gd name="connsiteY6" fmla="*/ 610420 h 977728"/>
              <a:gd name="connsiteX7" fmla="*/ 142227 w 922515"/>
              <a:gd name="connsiteY7" fmla="*/ 318017 h 977728"/>
              <a:gd name="connsiteX8" fmla="*/ 131567 w 922515"/>
              <a:gd name="connsiteY8" fmla="*/ 224328 h 977728"/>
              <a:gd name="connsiteX9" fmla="*/ 125213 w 922515"/>
              <a:gd name="connsiteY9" fmla="*/ 205823 h 977728"/>
              <a:gd name="connsiteX10" fmla="*/ 690193 w 922515"/>
              <a:gd name="connsiteY10" fmla="*/ 0 h 9777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922515" h="977728">
                <a:moveTo>
                  <a:pt x="690193" y="0"/>
                </a:moveTo>
                <a:lnTo>
                  <a:pt x="704964" y="14121"/>
                </a:lnTo>
                <a:cubicBezTo>
                  <a:pt x="845380" y="166732"/>
                  <a:pt x="922515" y="333002"/>
                  <a:pt x="922515" y="506993"/>
                </a:cubicBezTo>
                <a:cubicBezTo>
                  <a:pt x="922515" y="646186"/>
                  <a:pt x="873148" y="780438"/>
                  <a:pt x="781509" y="906707"/>
                </a:cubicBezTo>
                <a:lnTo>
                  <a:pt x="720857" y="977728"/>
                </a:lnTo>
                <a:lnTo>
                  <a:pt x="0" y="650828"/>
                </a:lnTo>
                <a:lnTo>
                  <a:pt x="35546" y="610420"/>
                </a:lnTo>
                <a:cubicBezTo>
                  <a:pt x="104995" y="517629"/>
                  <a:pt x="142227" y="419512"/>
                  <a:pt x="142227" y="318017"/>
                </a:cubicBezTo>
                <a:cubicBezTo>
                  <a:pt x="142227" y="286441"/>
                  <a:pt x="138624" y="255192"/>
                  <a:pt x="131567" y="224328"/>
                </a:cubicBezTo>
                <a:lnTo>
                  <a:pt x="125213" y="205823"/>
                </a:lnTo>
                <a:lnTo>
                  <a:pt x="690193" y="0"/>
                </a:lnTo>
                <a:close/>
              </a:path>
            </a:pathLst>
          </a:custGeom>
          <a:solidFill>
            <a:srgbClr val="FEEDC9"/>
          </a:solidFill>
          <a:ln w="47625">
            <a:solidFill>
              <a:srgbClr val="FEEDC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Freeform: Shape 53">
            <a:extLst>
              <a:ext uri="{FF2B5EF4-FFF2-40B4-BE49-F238E27FC236}">
                <a16:creationId xmlns:a16="http://schemas.microsoft.com/office/drawing/2014/main" id="{20506FE3-FE9B-A5C6-272B-FA9325F8BC67}"/>
              </a:ext>
            </a:extLst>
          </xdr:cNvPr>
          <xdr:cNvSpPr/>
        </xdr:nvSpPr>
        <xdr:spPr>
          <a:xfrm>
            <a:off x="6935878" y="3506487"/>
            <a:ext cx="1543781" cy="920453"/>
          </a:xfrm>
          <a:custGeom>
            <a:avLst/>
            <a:gdLst>
              <a:gd name="connsiteX0" fmla="*/ 825951 w 1543781"/>
              <a:gd name="connsiteY0" fmla="*/ 0 h 920453"/>
              <a:gd name="connsiteX1" fmla="*/ 1543781 w 1543781"/>
              <a:gd name="connsiteY1" fmla="*/ 332930 h 920453"/>
              <a:gd name="connsiteX2" fmla="*/ 1488201 w 1543781"/>
              <a:gd name="connsiteY2" fmla="*/ 382376 h 920453"/>
              <a:gd name="connsiteX3" fmla="*/ 483941 w 1543781"/>
              <a:gd name="connsiteY3" fmla="*/ 856271 h 920453"/>
              <a:gd name="connsiteX4" fmla="*/ 237433 w 1543781"/>
              <a:gd name="connsiteY4" fmla="*/ 920453 h 920453"/>
              <a:gd name="connsiteX5" fmla="*/ 0 w 1543781"/>
              <a:gd name="connsiteY5" fmla="*/ 391317 h 920453"/>
              <a:gd name="connsiteX6" fmla="*/ 31158 w 1543781"/>
              <a:gd name="connsiteY6" fmla="*/ 382873 h 920453"/>
              <a:gd name="connsiteX7" fmla="*/ 799411 w 1543781"/>
              <a:gd name="connsiteY7" fmla="*/ 22994 h 920453"/>
              <a:gd name="connsiteX8" fmla="*/ 825951 w 1543781"/>
              <a:gd name="connsiteY8" fmla="*/ 0 h 92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43781" h="920453">
                <a:moveTo>
                  <a:pt x="825951" y="0"/>
                </a:moveTo>
                <a:lnTo>
                  <a:pt x="1543781" y="332930"/>
                </a:lnTo>
                <a:lnTo>
                  <a:pt x="1488201" y="382376"/>
                </a:lnTo>
                <a:cubicBezTo>
                  <a:pt x="1246786" y="572836"/>
                  <a:pt x="901084" y="735493"/>
                  <a:pt x="483941" y="856271"/>
                </a:cubicBezTo>
                <a:lnTo>
                  <a:pt x="237433" y="920453"/>
                </a:lnTo>
                <a:lnTo>
                  <a:pt x="0" y="391317"/>
                </a:lnTo>
                <a:lnTo>
                  <a:pt x="31158" y="382873"/>
                </a:lnTo>
                <a:cubicBezTo>
                  <a:pt x="351961" y="287332"/>
                  <a:pt x="615787" y="164365"/>
                  <a:pt x="799411" y="22994"/>
                </a:cubicBezTo>
                <a:lnTo>
                  <a:pt x="825951" y="0"/>
                </a:lnTo>
                <a:close/>
              </a:path>
            </a:pathLst>
          </a:custGeom>
          <a:solidFill>
            <a:srgbClr val="FFF8E1"/>
          </a:solidFill>
          <a:ln w="47625">
            <a:solidFill>
              <a:srgbClr val="FFF8E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5" name="Freeform: Shape 54">
            <a:extLst>
              <a:ext uri="{FF2B5EF4-FFF2-40B4-BE49-F238E27FC236}">
                <a16:creationId xmlns:a16="http://schemas.microsoft.com/office/drawing/2014/main" id="{AFD827EF-0F44-A41C-9235-0A67B67759F8}"/>
              </a:ext>
            </a:extLst>
          </xdr:cNvPr>
          <xdr:cNvSpPr/>
        </xdr:nvSpPr>
        <xdr:spPr>
          <a:xfrm>
            <a:off x="4949192" y="3934050"/>
            <a:ext cx="2064332" cy="697594"/>
          </a:xfrm>
          <a:custGeom>
            <a:avLst/>
            <a:gdLst>
              <a:gd name="connsiteX0" fmla="*/ 1852922 w 2064332"/>
              <a:gd name="connsiteY0" fmla="*/ 0 h 697594"/>
              <a:gd name="connsiteX1" fmla="*/ 2064332 w 2064332"/>
              <a:gd name="connsiteY1" fmla="*/ 526530 h 697594"/>
              <a:gd name="connsiteX2" fmla="*/ 457948 w 2064332"/>
              <a:gd name="connsiteY2" fmla="*/ 696674 h 697594"/>
              <a:gd name="connsiteX3" fmla="*/ 0 w 2064332"/>
              <a:gd name="connsiteY3" fmla="*/ 340770 h 697594"/>
              <a:gd name="connsiteX4" fmla="*/ 478725 w 2064332"/>
              <a:gd name="connsiteY4" fmla="*/ 77646 h 697594"/>
              <a:gd name="connsiteX5" fmla="*/ 1852922 w 2064332"/>
              <a:gd name="connsiteY5" fmla="*/ 0 h 6975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64332" h="697594">
                <a:moveTo>
                  <a:pt x="1852922" y="0"/>
                </a:moveTo>
                <a:lnTo>
                  <a:pt x="2064332" y="526530"/>
                </a:lnTo>
                <a:cubicBezTo>
                  <a:pt x="1540625" y="639213"/>
                  <a:pt x="948815" y="706340"/>
                  <a:pt x="457948" y="696674"/>
                </a:cubicBezTo>
                <a:lnTo>
                  <a:pt x="0" y="340770"/>
                </a:lnTo>
                <a:lnTo>
                  <a:pt x="478725" y="77646"/>
                </a:lnTo>
                <a:cubicBezTo>
                  <a:pt x="958804" y="78857"/>
                  <a:pt x="1199107" y="109533"/>
                  <a:pt x="1852922" y="0"/>
                </a:cubicBezTo>
                <a:close/>
              </a:path>
            </a:pathLst>
          </a:custGeom>
          <a:solidFill>
            <a:schemeClr val="bg1"/>
          </a:solidFill>
          <a:ln w="476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333443</xdr:colOff>
      <xdr:row>11</xdr:row>
      <xdr:rowOff>45265</xdr:rowOff>
    </xdr:from>
    <xdr:to>
      <xdr:col>11</xdr:col>
      <xdr:colOff>412183</xdr:colOff>
      <xdr:row>13</xdr:row>
      <xdr:rowOff>31943</xdr:rowOff>
    </xdr:to>
    <xdr:sp macro="" textlink="">
      <xdr:nvSpPr>
        <xdr:cNvPr id="10" name="Freeform: Shape 9">
          <a:extLst>
            <a:ext uri="{FF2B5EF4-FFF2-40B4-BE49-F238E27FC236}">
              <a16:creationId xmlns:a16="http://schemas.microsoft.com/office/drawing/2014/main" id="{F8D1208E-12A5-408D-8B82-14B6D75958D5}"/>
            </a:ext>
          </a:extLst>
        </xdr:cNvPr>
        <xdr:cNvSpPr/>
      </xdr:nvSpPr>
      <xdr:spPr>
        <a:xfrm>
          <a:off x="5819843" y="2056945"/>
          <a:ext cx="1297940" cy="352438"/>
        </a:xfrm>
        <a:custGeom>
          <a:avLst/>
          <a:gdLst>
            <a:gd name="connsiteX0" fmla="*/ 55472 w 1243737"/>
            <a:gd name="connsiteY0" fmla="*/ 0 h 281027"/>
            <a:gd name="connsiteX1" fmla="*/ 315719 w 1243737"/>
            <a:gd name="connsiteY1" fmla="*/ 5632 h 281027"/>
            <a:gd name="connsiteX2" fmla="*/ 1162855 w 1243737"/>
            <a:gd name="connsiteY2" fmla="*/ 94960 h 281027"/>
            <a:gd name="connsiteX3" fmla="*/ 1243737 w 1243737"/>
            <a:gd name="connsiteY3" fmla="*/ 110756 h 281027"/>
            <a:gd name="connsiteX4" fmla="*/ 1137390 w 1243737"/>
            <a:gd name="connsiteY4" fmla="*/ 281027 h 281027"/>
            <a:gd name="connsiteX5" fmla="*/ 1055342 w 1243737"/>
            <a:gd name="connsiteY5" fmla="*/ 259775 h 281027"/>
            <a:gd name="connsiteX6" fmla="*/ 202169 w 1243737"/>
            <a:gd name="connsiteY6" fmla="*/ 129660 h 281027"/>
            <a:gd name="connsiteX7" fmla="*/ 0 w 1243737"/>
            <a:gd name="connsiteY7" fmla="*/ 117675 h 281027"/>
            <a:gd name="connsiteX8" fmla="*/ 55472 w 1243737"/>
            <a:gd name="connsiteY8" fmla="*/ 0 h 281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3737" h="281027">
              <a:moveTo>
                <a:pt x="55472" y="0"/>
              </a:moveTo>
              <a:lnTo>
                <a:pt x="315719" y="5632"/>
              </a:lnTo>
              <a:cubicBezTo>
                <a:pt x="612258" y="18539"/>
                <a:pt x="896585" y="49150"/>
                <a:pt x="1162855" y="94960"/>
              </a:cubicBezTo>
              <a:lnTo>
                <a:pt x="1243737" y="110756"/>
              </a:lnTo>
              <a:lnTo>
                <a:pt x="1137390" y="281027"/>
              </a:lnTo>
              <a:lnTo>
                <a:pt x="1055342" y="259775"/>
              </a:lnTo>
              <a:cubicBezTo>
                <a:pt x="796387" y="198655"/>
                <a:pt x="508773" y="154032"/>
                <a:pt x="202169" y="129660"/>
              </a:cubicBezTo>
              <a:lnTo>
                <a:pt x="0" y="117675"/>
              </a:lnTo>
              <a:lnTo>
                <a:pt x="55472" y="0"/>
              </a:lnTo>
              <a:close/>
            </a:path>
          </a:pathLst>
        </a:custGeom>
        <a:solidFill>
          <a:srgbClr val="FDB733"/>
        </a:solidFill>
        <a:ln w="9525">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527140</xdr:colOff>
      <xdr:row>3</xdr:row>
      <xdr:rowOff>35379</xdr:rowOff>
    </xdr:from>
    <xdr:to>
      <xdr:col>17</xdr:col>
      <xdr:colOff>439510</xdr:colOff>
      <xdr:row>32</xdr:row>
      <xdr:rowOff>111579</xdr:rowOff>
    </xdr:to>
    <xdr:graphicFrame macro="">
      <xdr:nvGraphicFramePr>
        <xdr:cNvPr id="11" name="Chart 10">
          <a:extLst>
            <a:ext uri="{FF2B5EF4-FFF2-40B4-BE49-F238E27FC236}">
              <a16:creationId xmlns:a16="http://schemas.microsoft.com/office/drawing/2014/main" id="{FB1083B9-7534-4382-8B2E-D7CDE226C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520431</xdr:colOff>
      <xdr:row>11</xdr:row>
      <xdr:rowOff>55473</xdr:rowOff>
    </xdr:from>
    <xdr:to>
      <xdr:col>14</xdr:col>
      <xdr:colOff>107231</xdr:colOff>
      <xdr:row>24</xdr:row>
      <xdr:rowOff>13063</xdr:rowOff>
    </xdr:to>
    <xdr:sp macro="" textlink="">
      <xdr:nvSpPr>
        <xdr:cNvPr id="12" name="Oval 11">
          <a:extLst>
            <a:ext uri="{FF2B5EF4-FFF2-40B4-BE49-F238E27FC236}">
              <a16:creationId xmlns:a16="http://schemas.microsoft.com/office/drawing/2014/main" id="{5A7876BF-29C4-430E-A6F9-F5BE21215225}"/>
            </a:ext>
          </a:extLst>
        </xdr:cNvPr>
        <xdr:cNvSpPr/>
      </xdr:nvSpPr>
      <xdr:spPr>
        <a:xfrm>
          <a:off x="2958831" y="2067153"/>
          <a:ext cx="5682800" cy="2335030"/>
        </a:xfrm>
        <a:prstGeom prst="ellipse">
          <a:avLst/>
        </a:prstGeom>
        <a:noFill/>
        <a:ln w="12700">
          <a:solidFill>
            <a:schemeClr val="bg1"/>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clientData/>
  </xdr:twoCellAnchor>
  <xdr:twoCellAnchor>
    <xdr:from>
      <xdr:col>4</xdr:col>
      <xdr:colOff>289560</xdr:colOff>
      <xdr:row>6</xdr:row>
      <xdr:rowOff>38100</xdr:rowOff>
    </xdr:from>
    <xdr:to>
      <xdr:col>17</xdr:col>
      <xdr:colOff>604519</xdr:colOff>
      <xdr:row>30</xdr:row>
      <xdr:rowOff>48260</xdr:rowOff>
    </xdr:to>
    <xdr:sp macro="" textlink="">
      <xdr:nvSpPr>
        <xdr:cNvPr id="14" name="Freeform: Shape 13">
          <a:extLst>
            <a:ext uri="{FF2B5EF4-FFF2-40B4-BE49-F238E27FC236}">
              <a16:creationId xmlns:a16="http://schemas.microsoft.com/office/drawing/2014/main" id="{22E8414E-4785-4C99-9ED0-7D4D3F178E1F}"/>
            </a:ext>
          </a:extLst>
        </xdr:cNvPr>
        <xdr:cNvSpPr/>
      </xdr:nvSpPr>
      <xdr:spPr>
        <a:xfrm>
          <a:off x="2727960" y="1135380"/>
          <a:ext cx="8239759" cy="4399280"/>
        </a:xfrm>
        <a:custGeom>
          <a:avLst/>
          <a:gdLst>
            <a:gd name="connsiteX0" fmla="*/ 4302752 w 8239759"/>
            <a:gd name="connsiteY0" fmla="*/ 2907890 h 4399280"/>
            <a:gd name="connsiteX1" fmla="*/ 4268541 w 8239759"/>
            <a:gd name="connsiteY1" fmla="*/ 2917160 h 4399280"/>
            <a:gd name="connsiteX2" fmla="*/ 3106770 w 8239759"/>
            <a:gd name="connsiteY2" fmla="*/ 3073082 h 4399280"/>
            <a:gd name="connsiteX3" fmla="*/ 2973005 w 8239759"/>
            <a:gd name="connsiteY3" fmla="*/ 3075706 h 4399280"/>
            <a:gd name="connsiteX4" fmla="*/ 2556510 w 8239759"/>
            <a:gd name="connsiteY4" fmla="*/ 3326130 h 4399280"/>
            <a:gd name="connsiteX5" fmla="*/ 2934448 w 8239759"/>
            <a:gd name="connsiteY5" fmla="*/ 3561130 h 4399280"/>
            <a:gd name="connsiteX6" fmla="*/ 3166872 w 8239759"/>
            <a:gd name="connsiteY6" fmla="*/ 3566160 h 4399280"/>
            <a:gd name="connsiteX7" fmla="*/ 4387696 w 8239759"/>
            <a:gd name="connsiteY7" fmla="*/ 3460529 h 4399280"/>
            <a:gd name="connsiteX8" fmla="*/ 4514162 w 8239759"/>
            <a:gd name="connsiteY8" fmla="*/ 343442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3227302 w 8239759"/>
            <a:gd name="connsiteY43" fmla="*/ 879133 h 4399280"/>
            <a:gd name="connsiteX44" fmla="*/ 3171830 w 8239759"/>
            <a:gd name="connsiteY44" fmla="*/ 996808 h 4399280"/>
            <a:gd name="connsiteX45" fmla="*/ 3373999 w 8239759"/>
            <a:gd name="connsiteY45" fmla="*/ 1008793 h 4399280"/>
            <a:gd name="connsiteX46" fmla="*/ 4227172 w 8239759"/>
            <a:gd name="connsiteY46" fmla="*/ 1138908 h 4399280"/>
            <a:gd name="connsiteX47" fmla="*/ 4309220 w 8239759"/>
            <a:gd name="connsiteY47" fmla="*/ 1160160 h 4399280"/>
            <a:gd name="connsiteX48" fmla="*/ 4415567 w 8239759"/>
            <a:gd name="connsiteY48" fmla="*/ 989889 h 4399280"/>
            <a:gd name="connsiteX49" fmla="*/ 4334685 w 8239759"/>
            <a:gd name="connsiteY49" fmla="*/ 974093 h 4399280"/>
            <a:gd name="connsiteX50" fmla="*/ 3487549 w 8239759"/>
            <a:gd name="connsiteY50" fmla="*/ 884765 h 4399280"/>
            <a:gd name="connsiteX51" fmla="*/ 3116579 w 8239759"/>
            <a:gd name="connsiteY51" fmla="*/ 876302 h 4399280"/>
            <a:gd name="connsiteX52" fmla="*/ 2459354 w 8239759"/>
            <a:gd name="connsiteY52" fmla="*/ 956312 h 4399280"/>
            <a:gd name="connsiteX53" fmla="*/ 3068954 w 8239759"/>
            <a:gd name="connsiteY53" fmla="*/ 988697 h 4399280"/>
            <a:gd name="connsiteX54" fmla="*/ 0 w 8239759"/>
            <a:gd name="connsiteY54" fmla="*/ 0 h 4399280"/>
            <a:gd name="connsiteX55" fmla="*/ 8239759 w 8239759"/>
            <a:gd name="connsiteY55" fmla="*/ 0 h 4399280"/>
            <a:gd name="connsiteX56" fmla="*/ 8239759 w 8239759"/>
            <a:gd name="connsiteY56" fmla="*/ 4399280 h 4399280"/>
            <a:gd name="connsiteX57" fmla="*/ 0 w 8239759"/>
            <a:gd name="connsiteY57" fmla="*/ 4399280 h 4399280"/>
            <a:gd name="connsiteX0" fmla="*/ 4302752 w 8239759"/>
            <a:gd name="connsiteY0" fmla="*/ 2907890 h 4399280"/>
            <a:gd name="connsiteX1" fmla="*/ 4268541 w 8239759"/>
            <a:gd name="connsiteY1" fmla="*/ 2917160 h 4399280"/>
            <a:gd name="connsiteX2" fmla="*/ 2973005 w 8239759"/>
            <a:gd name="connsiteY2" fmla="*/ 307570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3299458 w 8239759"/>
            <a:gd name="connsiteY2" fmla="*/ 3012440 h 4399280"/>
            <a:gd name="connsiteX3" fmla="*/ 2931095 w 8239759"/>
            <a:gd name="connsiteY3" fmla="*/ 2991886 h 4399280"/>
            <a:gd name="connsiteX4" fmla="*/ 2556510 w 8239759"/>
            <a:gd name="connsiteY4" fmla="*/ 3326130 h 4399280"/>
            <a:gd name="connsiteX5" fmla="*/ 2934448 w 8239759"/>
            <a:gd name="connsiteY5" fmla="*/ 3561130 h 4399280"/>
            <a:gd name="connsiteX6" fmla="*/ 3166872 w 8239759"/>
            <a:gd name="connsiteY6" fmla="*/ 3566160 h 4399280"/>
            <a:gd name="connsiteX7" fmla="*/ 4387696 w 8239759"/>
            <a:gd name="connsiteY7" fmla="*/ 3460529 h 4399280"/>
            <a:gd name="connsiteX8" fmla="*/ 4514162 w 8239759"/>
            <a:gd name="connsiteY8" fmla="*/ 3434420 h 4399280"/>
            <a:gd name="connsiteX9" fmla="*/ 4302752 w 8239759"/>
            <a:gd name="connsiteY9" fmla="*/ 2907890 h 4399280"/>
            <a:gd name="connsiteX10" fmla="*/ 5262467 w 8239759"/>
            <a:gd name="connsiteY10" fmla="*/ 2480326 h 4399280"/>
            <a:gd name="connsiteX11" fmla="*/ 5235927 w 8239759"/>
            <a:gd name="connsiteY11" fmla="*/ 2503320 h 4399280"/>
            <a:gd name="connsiteX12" fmla="*/ 4467674 w 8239759"/>
            <a:gd name="connsiteY12" fmla="*/ 2863199 h 4399280"/>
            <a:gd name="connsiteX13" fmla="*/ 4436516 w 8239759"/>
            <a:gd name="connsiteY13" fmla="*/ 2871643 h 4399280"/>
            <a:gd name="connsiteX14" fmla="*/ 4673949 w 8239759"/>
            <a:gd name="connsiteY14" fmla="*/ 3400779 h 4399280"/>
            <a:gd name="connsiteX15" fmla="*/ 4920457 w 8239759"/>
            <a:gd name="connsiteY15" fmla="*/ 3336597 h 4399280"/>
            <a:gd name="connsiteX16" fmla="*/ 5924717 w 8239759"/>
            <a:gd name="connsiteY16" fmla="*/ 2862702 h 4399280"/>
            <a:gd name="connsiteX17" fmla="*/ 5980297 w 8239759"/>
            <a:gd name="connsiteY17" fmla="*/ 2813256 h 4399280"/>
            <a:gd name="connsiteX18" fmla="*/ 5262467 w 8239759"/>
            <a:gd name="connsiteY18" fmla="*/ 2480326 h 4399280"/>
            <a:gd name="connsiteX19" fmla="*/ 6070941 w 8239759"/>
            <a:gd name="connsiteY19" fmla="*/ 1714999 h 4399280"/>
            <a:gd name="connsiteX20" fmla="*/ 5505961 w 8239759"/>
            <a:gd name="connsiteY20" fmla="*/ 1920822 h 4399280"/>
            <a:gd name="connsiteX21" fmla="*/ 5512315 w 8239759"/>
            <a:gd name="connsiteY21" fmla="*/ 1939327 h 4399280"/>
            <a:gd name="connsiteX22" fmla="*/ 5522975 w 8239759"/>
            <a:gd name="connsiteY22" fmla="*/ 2033016 h 4399280"/>
            <a:gd name="connsiteX23" fmla="*/ 5416294 w 8239759"/>
            <a:gd name="connsiteY23" fmla="*/ 2325419 h 4399280"/>
            <a:gd name="connsiteX24" fmla="*/ 5380748 w 8239759"/>
            <a:gd name="connsiteY24" fmla="*/ 2365827 h 4399280"/>
            <a:gd name="connsiteX25" fmla="*/ 6101605 w 8239759"/>
            <a:gd name="connsiteY25" fmla="*/ 2692727 h 4399280"/>
            <a:gd name="connsiteX26" fmla="*/ 6162257 w 8239759"/>
            <a:gd name="connsiteY26" fmla="*/ 2621706 h 4399280"/>
            <a:gd name="connsiteX27" fmla="*/ 6303263 w 8239759"/>
            <a:gd name="connsiteY27" fmla="*/ 2221992 h 4399280"/>
            <a:gd name="connsiteX28" fmla="*/ 6085712 w 8239759"/>
            <a:gd name="connsiteY28" fmla="*/ 1729120 h 4399280"/>
            <a:gd name="connsiteX29" fmla="*/ 6070941 w 8239759"/>
            <a:gd name="connsiteY29" fmla="*/ 1714999 h 4399280"/>
            <a:gd name="connsiteX30" fmla="*/ 5287243 w 8239759"/>
            <a:gd name="connsiteY30" fmla="*/ 1231609 h 4399280"/>
            <a:gd name="connsiteX31" fmla="*/ 5081981 w 8239759"/>
            <a:gd name="connsiteY31" fmla="*/ 1460791 h 4399280"/>
            <a:gd name="connsiteX32" fmla="*/ 5166397 w 8239759"/>
            <a:gd name="connsiteY32" fmla="*/ 1512629 h 4399280"/>
            <a:gd name="connsiteX33" fmla="*/ 5429752 w 8239759"/>
            <a:gd name="connsiteY33" fmla="*/ 1759242 h 4399280"/>
            <a:gd name="connsiteX34" fmla="*/ 5457808 w 8239759"/>
            <a:gd name="connsiteY34" fmla="*/ 1807865 h 4399280"/>
            <a:gd name="connsiteX35" fmla="*/ 5958746 w 8239759"/>
            <a:gd name="connsiteY35" fmla="*/ 1609697 h 4399280"/>
            <a:gd name="connsiteX36" fmla="*/ 5829362 w 8239759"/>
            <a:gd name="connsiteY36" fmla="*/ 1511191 h 4399280"/>
            <a:gd name="connsiteX37" fmla="*/ 5289596 w 8239759"/>
            <a:gd name="connsiteY37" fmla="*/ 1232457 h 4399280"/>
            <a:gd name="connsiteX38" fmla="*/ 5287243 w 8239759"/>
            <a:gd name="connsiteY38" fmla="*/ 1231609 h 4399280"/>
            <a:gd name="connsiteX39" fmla="*/ 4526488 w 8239759"/>
            <a:gd name="connsiteY39" fmla="*/ 1011552 h 4399280"/>
            <a:gd name="connsiteX40" fmla="*/ 4413638 w 8239759"/>
            <a:gd name="connsiteY40" fmla="*/ 1187207 h 4399280"/>
            <a:gd name="connsiteX41" fmla="*/ 4415862 w 8239759"/>
            <a:gd name="connsiteY41" fmla="*/ 1187783 h 4399280"/>
            <a:gd name="connsiteX42" fmla="*/ 4908393 w 8239759"/>
            <a:gd name="connsiteY42" fmla="*/ 1368005 h 4399280"/>
            <a:gd name="connsiteX43" fmla="*/ 4978274 w 8239759"/>
            <a:gd name="connsiteY43" fmla="*/ 1403855 h 4399280"/>
            <a:gd name="connsiteX44" fmla="*/ 5167298 w 8239759"/>
            <a:gd name="connsiteY44" fmla="*/ 1188410 h 4399280"/>
            <a:gd name="connsiteX45" fmla="*/ 5073472 w 8239759"/>
            <a:gd name="connsiteY45" fmla="*/ 1154616 h 4399280"/>
            <a:gd name="connsiteX46" fmla="*/ 4594717 w 8239759"/>
            <a:gd name="connsiteY46" fmla="*/ 1024877 h 4399280"/>
            <a:gd name="connsiteX47" fmla="*/ 4526488 w 8239759"/>
            <a:gd name="connsiteY47" fmla="*/ 1011552 h 4399280"/>
            <a:gd name="connsiteX48" fmla="*/ 3227302 w 8239759"/>
            <a:gd name="connsiteY48" fmla="*/ 879133 h 4399280"/>
            <a:gd name="connsiteX49" fmla="*/ 3171830 w 8239759"/>
            <a:gd name="connsiteY49" fmla="*/ 996808 h 4399280"/>
            <a:gd name="connsiteX50" fmla="*/ 3373999 w 8239759"/>
            <a:gd name="connsiteY50" fmla="*/ 1008793 h 4399280"/>
            <a:gd name="connsiteX51" fmla="*/ 4227172 w 8239759"/>
            <a:gd name="connsiteY51" fmla="*/ 1138908 h 4399280"/>
            <a:gd name="connsiteX52" fmla="*/ 4309220 w 8239759"/>
            <a:gd name="connsiteY52" fmla="*/ 1160160 h 4399280"/>
            <a:gd name="connsiteX53" fmla="*/ 4415567 w 8239759"/>
            <a:gd name="connsiteY53" fmla="*/ 989889 h 4399280"/>
            <a:gd name="connsiteX54" fmla="*/ 4334685 w 8239759"/>
            <a:gd name="connsiteY54" fmla="*/ 974093 h 4399280"/>
            <a:gd name="connsiteX55" fmla="*/ 3487549 w 8239759"/>
            <a:gd name="connsiteY55" fmla="*/ 884765 h 4399280"/>
            <a:gd name="connsiteX56" fmla="*/ 3227302 w 8239759"/>
            <a:gd name="connsiteY56" fmla="*/ 879133 h 4399280"/>
            <a:gd name="connsiteX57" fmla="*/ 3116579 w 8239759"/>
            <a:gd name="connsiteY57" fmla="*/ 876302 h 4399280"/>
            <a:gd name="connsiteX58" fmla="*/ 2459354 w 8239759"/>
            <a:gd name="connsiteY58" fmla="*/ 956312 h 4399280"/>
            <a:gd name="connsiteX59" fmla="*/ 3068954 w 8239759"/>
            <a:gd name="connsiteY59" fmla="*/ 988697 h 4399280"/>
            <a:gd name="connsiteX60" fmla="*/ 3116579 w 8239759"/>
            <a:gd name="connsiteY60" fmla="*/ 876302 h 4399280"/>
            <a:gd name="connsiteX61" fmla="*/ 0 w 8239759"/>
            <a:gd name="connsiteY61" fmla="*/ 0 h 4399280"/>
            <a:gd name="connsiteX62" fmla="*/ 8239759 w 8239759"/>
            <a:gd name="connsiteY62" fmla="*/ 0 h 4399280"/>
            <a:gd name="connsiteX63" fmla="*/ 8239759 w 8239759"/>
            <a:gd name="connsiteY63" fmla="*/ 4399280 h 4399280"/>
            <a:gd name="connsiteX64" fmla="*/ 0 w 8239759"/>
            <a:gd name="connsiteY64" fmla="*/ 4399280 h 4399280"/>
            <a:gd name="connsiteX65" fmla="*/ 0 w 8239759"/>
            <a:gd name="connsiteY65"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299188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3166872 w 8239759"/>
            <a:gd name="connsiteY5" fmla="*/ 3566160 h 4399280"/>
            <a:gd name="connsiteX6" fmla="*/ 4387696 w 8239759"/>
            <a:gd name="connsiteY6" fmla="*/ 3460529 h 4399280"/>
            <a:gd name="connsiteX7" fmla="*/ 4514162 w 8239759"/>
            <a:gd name="connsiteY7" fmla="*/ 3434420 h 4399280"/>
            <a:gd name="connsiteX8" fmla="*/ 4302752 w 8239759"/>
            <a:gd name="connsiteY8" fmla="*/ 2907890 h 4399280"/>
            <a:gd name="connsiteX9" fmla="*/ 5262467 w 8239759"/>
            <a:gd name="connsiteY9" fmla="*/ 2480326 h 4399280"/>
            <a:gd name="connsiteX10" fmla="*/ 5235927 w 8239759"/>
            <a:gd name="connsiteY10" fmla="*/ 2503320 h 4399280"/>
            <a:gd name="connsiteX11" fmla="*/ 4467674 w 8239759"/>
            <a:gd name="connsiteY11" fmla="*/ 2863199 h 4399280"/>
            <a:gd name="connsiteX12" fmla="*/ 4436516 w 8239759"/>
            <a:gd name="connsiteY12" fmla="*/ 2871643 h 4399280"/>
            <a:gd name="connsiteX13" fmla="*/ 4673949 w 8239759"/>
            <a:gd name="connsiteY13" fmla="*/ 3400779 h 4399280"/>
            <a:gd name="connsiteX14" fmla="*/ 4920457 w 8239759"/>
            <a:gd name="connsiteY14" fmla="*/ 3336597 h 4399280"/>
            <a:gd name="connsiteX15" fmla="*/ 5924717 w 8239759"/>
            <a:gd name="connsiteY15" fmla="*/ 2862702 h 4399280"/>
            <a:gd name="connsiteX16" fmla="*/ 5980297 w 8239759"/>
            <a:gd name="connsiteY16" fmla="*/ 2813256 h 4399280"/>
            <a:gd name="connsiteX17" fmla="*/ 5262467 w 8239759"/>
            <a:gd name="connsiteY17" fmla="*/ 2480326 h 4399280"/>
            <a:gd name="connsiteX18" fmla="*/ 6070941 w 8239759"/>
            <a:gd name="connsiteY18" fmla="*/ 1714999 h 4399280"/>
            <a:gd name="connsiteX19" fmla="*/ 5505961 w 8239759"/>
            <a:gd name="connsiteY19" fmla="*/ 1920822 h 4399280"/>
            <a:gd name="connsiteX20" fmla="*/ 5512315 w 8239759"/>
            <a:gd name="connsiteY20" fmla="*/ 1939327 h 4399280"/>
            <a:gd name="connsiteX21" fmla="*/ 5522975 w 8239759"/>
            <a:gd name="connsiteY21" fmla="*/ 2033016 h 4399280"/>
            <a:gd name="connsiteX22" fmla="*/ 5416294 w 8239759"/>
            <a:gd name="connsiteY22" fmla="*/ 2325419 h 4399280"/>
            <a:gd name="connsiteX23" fmla="*/ 5380748 w 8239759"/>
            <a:gd name="connsiteY23" fmla="*/ 2365827 h 4399280"/>
            <a:gd name="connsiteX24" fmla="*/ 6101605 w 8239759"/>
            <a:gd name="connsiteY24" fmla="*/ 2692727 h 4399280"/>
            <a:gd name="connsiteX25" fmla="*/ 6162257 w 8239759"/>
            <a:gd name="connsiteY25" fmla="*/ 2621706 h 4399280"/>
            <a:gd name="connsiteX26" fmla="*/ 6303263 w 8239759"/>
            <a:gd name="connsiteY26" fmla="*/ 2221992 h 4399280"/>
            <a:gd name="connsiteX27" fmla="*/ 6085712 w 8239759"/>
            <a:gd name="connsiteY27" fmla="*/ 1729120 h 4399280"/>
            <a:gd name="connsiteX28" fmla="*/ 6070941 w 8239759"/>
            <a:gd name="connsiteY28" fmla="*/ 1714999 h 4399280"/>
            <a:gd name="connsiteX29" fmla="*/ 5287243 w 8239759"/>
            <a:gd name="connsiteY29" fmla="*/ 1231609 h 4399280"/>
            <a:gd name="connsiteX30" fmla="*/ 5081981 w 8239759"/>
            <a:gd name="connsiteY30" fmla="*/ 1460791 h 4399280"/>
            <a:gd name="connsiteX31" fmla="*/ 5166397 w 8239759"/>
            <a:gd name="connsiteY31" fmla="*/ 1512629 h 4399280"/>
            <a:gd name="connsiteX32" fmla="*/ 5429752 w 8239759"/>
            <a:gd name="connsiteY32" fmla="*/ 1759242 h 4399280"/>
            <a:gd name="connsiteX33" fmla="*/ 5457808 w 8239759"/>
            <a:gd name="connsiteY33" fmla="*/ 1807865 h 4399280"/>
            <a:gd name="connsiteX34" fmla="*/ 5958746 w 8239759"/>
            <a:gd name="connsiteY34" fmla="*/ 1609697 h 4399280"/>
            <a:gd name="connsiteX35" fmla="*/ 5829362 w 8239759"/>
            <a:gd name="connsiteY35" fmla="*/ 1511191 h 4399280"/>
            <a:gd name="connsiteX36" fmla="*/ 5289596 w 8239759"/>
            <a:gd name="connsiteY36" fmla="*/ 1232457 h 4399280"/>
            <a:gd name="connsiteX37" fmla="*/ 5287243 w 8239759"/>
            <a:gd name="connsiteY37" fmla="*/ 1231609 h 4399280"/>
            <a:gd name="connsiteX38" fmla="*/ 4526488 w 8239759"/>
            <a:gd name="connsiteY38" fmla="*/ 1011552 h 4399280"/>
            <a:gd name="connsiteX39" fmla="*/ 4413638 w 8239759"/>
            <a:gd name="connsiteY39" fmla="*/ 1187207 h 4399280"/>
            <a:gd name="connsiteX40" fmla="*/ 4415862 w 8239759"/>
            <a:gd name="connsiteY40" fmla="*/ 1187783 h 4399280"/>
            <a:gd name="connsiteX41" fmla="*/ 4908393 w 8239759"/>
            <a:gd name="connsiteY41" fmla="*/ 1368005 h 4399280"/>
            <a:gd name="connsiteX42" fmla="*/ 4978274 w 8239759"/>
            <a:gd name="connsiteY42" fmla="*/ 1403855 h 4399280"/>
            <a:gd name="connsiteX43" fmla="*/ 5167298 w 8239759"/>
            <a:gd name="connsiteY43" fmla="*/ 1188410 h 4399280"/>
            <a:gd name="connsiteX44" fmla="*/ 5073472 w 8239759"/>
            <a:gd name="connsiteY44" fmla="*/ 1154616 h 4399280"/>
            <a:gd name="connsiteX45" fmla="*/ 4594717 w 8239759"/>
            <a:gd name="connsiteY45" fmla="*/ 1024877 h 4399280"/>
            <a:gd name="connsiteX46" fmla="*/ 4526488 w 8239759"/>
            <a:gd name="connsiteY46" fmla="*/ 1011552 h 4399280"/>
            <a:gd name="connsiteX47" fmla="*/ 3227302 w 8239759"/>
            <a:gd name="connsiteY47" fmla="*/ 879133 h 4399280"/>
            <a:gd name="connsiteX48" fmla="*/ 3171830 w 8239759"/>
            <a:gd name="connsiteY48" fmla="*/ 996808 h 4399280"/>
            <a:gd name="connsiteX49" fmla="*/ 3373999 w 8239759"/>
            <a:gd name="connsiteY49" fmla="*/ 1008793 h 4399280"/>
            <a:gd name="connsiteX50" fmla="*/ 4227172 w 8239759"/>
            <a:gd name="connsiteY50" fmla="*/ 1138908 h 4399280"/>
            <a:gd name="connsiteX51" fmla="*/ 4309220 w 8239759"/>
            <a:gd name="connsiteY51" fmla="*/ 1160160 h 4399280"/>
            <a:gd name="connsiteX52" fmla="*/ 4415567 w 8239759"/>
            <a:gd name="connsiteY52" fmla="*/ 989889 h 4399280"/>
            <a:gd name="connsiteX53" fmla="*/ 4334685 w 8239759"/>
            <a:gd name="connsiteY53" fmla="*/ 974093 h 4399280"/>
            <a:gd name="connsiteX54" fmla="*/ 3487549 w 8239759"/>
            <a:gd name="connsiteY54" fmla="*/ 884765 h 4399280"/>
            <a:gd name="connsiteX55" fmla="*/ 3227302 w 8239759"/>
            <a:gd name="connsiteY55" fmla="*/ 879133 h 4399280"/>
            <a:gd name="connsiteX56" fmla="*/ 3116579 w 8239759"/>
            <a:gd name="connsiteY56" fmla="*/ 876302 h 4399280"/>
            <a:gd name="connsiteX57" fmla="*/ 2459354 w 8239759"/>
            <a:gd name="connsiteY57" fmla="*/ 956312 h 4399280"/>
            <a:gd name="connsiteX58" fmla="*/ 3068954 w 8239759"/>
            <a:gd name="connsiteY58" fmla="*/ 988697 h 4399280"/>
            <a:gd name="connsiteX59" fmla="*/ 3116579 w 8239759"/>
            <a:gd name="connsiteY59" fmla="*/ 876302 h 4399280"/>
            <a:gd name="connsiteX60" fmla="*/ 0 w 8239759"/>
            <a:gd name="connsiteY60" fmla="*/ 0 h 4399280"/>
            <a:gd name="connsiteX61" fmla="*/ 8239759 w 8239759"/>
            <a:gd name="connsiteY61" fmla="*/ 0 h 4399280"/>
            <a:gd name="connsiteX62" fmla="*/ 8239759 w 8239759"/>
            <a:gd name="connsiteY62" fmla="*/ 4399280 h 4399280"/>
            <a:gd name="connsiteX63" fmla="*/ 0 w 8239759"/>
            <a:gd name="connsiteY63" fmla="*/ 4399280 h 4399280"/>
            <a:gd name="connsiteX64" fmla="*/ 0 w 8239759"/>
            <a:gd name="connsiteY64"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387696 w 8239759"/>
            <a:gd name="connsiteY5" fmla="*/ 3460529 h 4399280"/>
            <a:gd name="connsiteX6" fmla="*/ 4514162 w 8239759"/>
            <a:gd name="connsiteY6" fmla="*/ 3434420 h 4399280"/>
            <a:gd name="connsiteX7" fmla="*/ 4302752 w 8239759"/>
            <a:gd name="connsiteY7" fmla="*/ 2907890 h 4399280"/>
            <a:gd name="connsiteX8" fmla="*/ 5262467 w 8239759"/>
            <a:gd name="connsiteY8" fmla="*/ 2480326 h 4399280"/>
            <a:gd name="connsiteX9" fmla="*/ 5235927 w 8239759"/>
            <a:gd name="connsiteY9" fmla="*/ 2503320 h 4399280"/>
            <a:gd name="connsiteX10" fmla="*/ 4467674 w 8239759"/>
            <a:gd name="connsiteY10" fmla="*/ 2863199 h 4399280"/>
            <a:gd name="connsiteX11" fmla="*/ 4436516 w 8239759"/>
            <a:gd name="connsiteY11" fmla="*/ 2871643 h 4399280"/>
            <a:gd name="connsiteX12" fmla="*/ 4673949 w 8239759"/>
            <a:gd name="connsiteY12" fmla="*/ 3400779 h 4399280"/>
            <a:gd name="connsiteX13" fmla="*/ 4920457 w 8239759"/>
            <a:gd name="connsiteY13" fmla="*/ 3336597 h 4399280"/>
            <a:gd name="connsiteX14" fmla="*/ 5924717 w 8239759"/>
            <a:gd name="connsiteY14" fmla="*/ 2862702 h 4399280"/>
            <a:gd name="connsiteX15" fmla="*/ 5980297 w 8239759"/>
            <a:gd name="connsiteY15" fmla="*/ 2813256 h 4399280"/>
            <a:gd name="connsiteX16" fmla="*/ 5262467 w 8239759"/>
            <a:gd name="connsiteY16" fmla="*/ 2480326 h 4399280"/>
            <a:gd name="connsiteX17" fmla="*/ 6070941 w 8239759"/>
            <a:gd name="connsiteY17" fmla="*/ 1714999 h 4399280"/>
            <a:gd name="connsiteX18" fmla="*/ 5505961 w 8239759"/>
            <a:gd name="connsiteY18" fmla="*/ 1920822 h 4399280"/>
            <a:gd name="connsiteX19" fmla="*/ 5512315 w 8239759"/>
            <a:gd name="connsiteY19" fmla="*/ 1939327 h 4399280"/>
            <a:gd name="connsiteX20" fmla="*/ 5522975 w 8239759"/>
            <a:gd name="connsiteY20" fmla="*/ 2033016 h 4399280"/>
            <a:gd name="connsiteX21" fmla="*/ 5416294 w 8239759"/>
            <a:gd name="connsiteY21" fmla="*/ 2325419 h 4399280"/>
            <a:gd name="connsiteX22" fmla="*/ 5380748 w 8239759"/>
            <a:gd name="connsiteY22" fmla="*/ 2365827 h 4399280"/>
            <a:gd name="connsiteX23" fmla="*/ 6101605 w 8239759"/>
            <a:gd name="connsiteY23" fmla="*/ 2692727 h 4399280"/>
            <a:gd name="connsiteX24" fmla="*/ 6162257 w 8239759"/>
            <a:gd name="connsiteY24" fmla="*/ 2621706 h 4399280"/>
            <a:gd name="connsiteX25" fmla="*/ 6303263 w 8239759"/>
            <a:gd name="connsiteY25" fmla="*/ 2221992 h 4399280"/>
            <a:gd name="connsiteX26" fmla="*/ 6085712 w 8239759"/>
            <a:gd name="connsiteY26" fmla="*/ 1729120 h 4399280"/>
            <a:gd name="connsiteX27" fmla="*/ 6070941 w 8239759"/>
            <a:gd name="connsiteY27" fmla="*/ 1714999 h 4399280"/>
            <a:gd name="connsiteX28" fmla="*/ 5287243 w 8239759"/>
            <a:gd name="connsiteY28" fmla="*/ 1231609 h 4399280"/>
            <a:gd name="connsiteX29" fmla="*/ 5081981 w 8239759"/>
            <a:gd name="connsiteY29" fmla="*/ 1460791 h 4399280"/>
            <a:gd name="connsiteX30" fmla="*/ 5166397 w 8239759"/>
            <a:gd name="connsiteY30" fmla="*/ 1512629 h 4399280"/>
            <a:gd name="connsiteX31" fmla="*/ 5429752 w 8239759"/>
            <a:gd name="connsiteY31" fmla="*/ 1759242 h 4399280"/>
            <a:gd name="connsiteX32" fmla="*/ 5457808 w 8239759"/>
            <a:gd name="connsiteY32" fmla="*/ 1807865 h 4399280"/>
            <a:gd name="connsiteX33" fmla="*/ 5958746 w 8239759"/>
            <a:gd name="connsiteY33" fmla="*/ 1609697 h 4399280"/>
            <a:gd name="connsiteX34" fmla="*/ 5829362 w 8239759"/>
            <a:gd name="connsiteY34" fmla="*/ 1511191 h 4399280"/>
            <a:gd name="connsiteX35" fmla="*/ 5289596 w 8239759"/>
            <a:gd name="connsiteY35" fmla="*/ 1232457 h 4399280"/>
            <a:gd name="connsiteX36" fmla="*/ 5287243 w 8239759"/>
            <a:gd name="connsiteY36" fmla="*/ 1231609 h 4399280"/>
            <a:gd name="connsiteX37" fmla="*/ 4526488 w 8239759"/>
            <a:gd name="connsiteY37" fmla="*/ 1011552 h 4399280"/>
            <a:gd name="connsiteX38" fmla="*/ 4413638 w 8239759"/>
            <a:gd name="connsiteY38" fmla="*/ 1187207 h 4399280"/>
            <a:gd name="connsiteX39" fmla="*/ 4415862 w 8239759"/>
            <a:gd name="connsiteY39" fmla="*/ 1187783 h 4399280"/>
            <a:gd name="connsiteX40" fmla="*/ 4908393 w 8239759"/>
            <a:gd name="connsiteY40" fmla="*/ 1368005 h 4399280"/>
            <a:gd name="connsiteX41" fmla="*/ 4978274 w 8239759"/>
            <a:gd name="connsiteY41" fmla="*/ 1403855 h 4399280"/>
            <a:gd name="connsiteX42" fmla="*/ 5167298 w 8239759"/>
            <a:gd name="connsiteY42" fmla="*/ 1188410 h 4399280"/>
            <a:gd name="connsiteX43" fmla="*/ 5073472 w 8239759"/>
            <a:gd name="connsiteY43" fmla="*/ 1154616 h 4399280"/>
            <a:gd name="connsiteX44" fmla="*/ 4594717 w 8239759"/>
            <a:gd name="connsiteY44" fmla="*/ 1024877 h 4399280"/>
            <a:gd name="connsiteX45" fmla="*/ 4526488 w 8239759"/>
            <a:gd name="connsiteY45" fmla="*/ 1011552 h 4399280"/>
            <a:gd name="connsiteX46" fmla="*/ 3227302 w 8239759"/>
            <a:gd name="connsiteY46" fmla="*/ 879133 h 4399280"/>
            <a:gd name="connsiteX47" fmla="*/ 3171830 w 8239759"/>
            <a:gd name="connsiteY47" fmla="*/ 996808 h 4399280"/>
            <a:gd name="connsiteX48" fmla="*/ 3373999 w 8239759"/>
            <a:gd name="connsiteY48" fmla="*/ 1008793 h 4399280"/>
            <a:gd name="connsiteX49" fmla="*/ 4227172 w 8239759"/>
            <a:gd name="connsiteY49" fmla="*/ 1138908 h 4399280"/>
            <a:gd name="connsiteX50" fmla="*/ 4309220 w 8239759"/>
            <a:gd name="connsiteY50" fmla="*/ 1160160 h 4399280"/>
            <a:gd name="connsiteX51" fmla="*/ 4415567 w 8239759"/>
            <a:gd name="connsiteY51" fmla="*/ 989889 h 4399280"/>
            <a:gd name="connsiteX52" fmla="*/ 4334685 w 8239759"/>
            <a:gd name="connsiteY52" fmla="*/ 974093 h 4399280"/>
            <a:gd name="connsiteX53" fmla="*/ 3487549 w 8239759"/>
            <a:gd name="connsiteY53" fmla="*/ 884765 h 4399280"/>
            <a:gd name="connsiteX54" fmla="*/ 3227302 w 8239759"/>
            <a:gd name="connsiteY54" fmla="*/ 879133 h 4399280"/>
            <a:gd name="connsiteX55" fmla="*/ 3116579 w 8239759"/>
            <a:gd name="connsiteY55" fmla="*/ 876302 h 4399280"/>
            <a:gd name="connsiteX56" fmla="*/ 2459354 w 8239759"/>
            <a:gd name="connsiteY56" fmla="*/ 956312 h 4399280"/>
            <a:gd name="connsiteX57" fmla="*/ 3068954 w 8239759"/>
            <a:gd name="connsiteY57" fmla="*/ 988697 h 4399280"/>
            <a:gd name="connsiteX58" fmla="*/ 3116579 w 8239759"/>
            <a:gd name="connsiteY58" fmla="*/ 876302 h 4399280"/>
            <a:gd name="connsiteX59" fmla="*/ 0 w 8239759"/>
            <a:gd name="connsiteY59" fmla="*/ 0 h 4399280"/>
            <a:gd name="connsiteX60" fmla="*/ 8239759 w 8239759"/>
            <a:gd name="connsiteY60" fmla="*/ 0 h 4399280"/>
            <a:gd name="connsiteX61" fmla="*/ 8239759 w 8239759"/>
            <a:gd name="connsiteY61" fmla="*/ 4399280 h 4399280"/>
            <a:gd name="connsiteX62" fmla="*/ 0 w 8239759"/>
            <a:gd name="connsiteY62" fmla="*/ 4399280 h 4399280"/>
            <a:gd name="connsiteX63" fmla="*/ 0 w 8239759"/>
            <a:gd name="connsiteY63"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556510 w 8239759"/>
            <a:gd name="connsiteY3" fmla="*/ 332613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495550 w 8239759"/>
            <a:gd name="connsiteY3" fmla="*/ 327660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4268541 w 8239759"/>
            <a:gd name="connsiteY1" fmla="*/ 2917160 h 4399280"/>
            <a:gd name="connsiteX2" fmla="*/ 2931095 w 8239759"/>
            <a:gd name="connsiteY2" fmla="*/ 3010936 h 4399280"/>
            <a:gd name="connsiteX3" fmla="*/ 2495550 w 8239759"/>
            <a:gd name="connsiteY3" fmla="*/ 3276600 h 4399280"/>
            <a:gd name="connsiteX4" fmla="*/ 2934448 w 8239759"/>
            <a:gd name="connsiteY4" fmla="*/ 3561130 h 4399280"/>
            <a:gd name="connsiteX5" fmla="*/ 4514162 w 8239759"/>
            <a:gd name="connsiteY5" fmla="*/ 3434420 h 4399280"/>
            <a:gd name="connsiteX6" fmla="*/ 4302752 w 8239759"/>
            <a:gd name="connsiteY6" fmla="*/ 2907890 h 4399280"/>
            <a:gd name="connsiteX7" fmla="*/ 5262467 w 8239759"/>
            <a:gd name="connsiteY7" fmla="*/ 2480326 h 4399280"/>
            <a:gd name="connsiteX8" fmla="*/ 5235927 w 8239759"/>
            <a:gd name="connsiteY8" fmla="*/ 2503320 h 4399280"/>
            <a:gd name="connsiteX9" fmla="*/ 4467674 w 8239759"/>
            <a:gd name="connsiteY9" fmla="*/ 2863199 h 4399280"/>
            <a:gd name="connsiteX10" fmla="*/ 4436516 w 8239759"/>
            <a:gd name="connsiteY10" fmla="*/ 2871643 h 4399280"/>
            <a:gd name="connsiteX11" fmla="*/ 4673949 w 8239759"/>
            <a:gd name="connsiteY11" fmla="*/ 3400779 h 4399280"/>
            <a:gd name="connsiteX12" fmla="*/ 4920457 w 8239759"/>
            <a:gd name="connsiteY12" fmla="*/ 3336597 h 4399280"/>
            <a:gd name="connsiteX13" fmla="*/ 5924717 w 8239759"/>
            <a:gd name="connsiteY13" fmla="*/ 2862702 h 4399280"/>
            <a:gd name="connsiteX14" fmla="*/ 5980297 w 8239759"/>
            <a:gd name="connsiteY14" fmla="*/ 2813256 h 4399280"/>
            <a:gd name="connsiteX15" fmla="*/ 5262467 w 8239759"/>
            <a:gd name="connsiteY15" fmla="*/ 2480326 h 4399280"/>
            <a:gd name="connsiteX16" fmla="*/ 6070941 w 8239759"/>
            <a:gd name="connsiteY16" fmla="*/ 1714999 h 4399280"/>
            <a:gd name="connsiteX17" fmla="*/ 5505961 w 8239759"/>
            <a:gd name="connsiteY17" fmla="*/ 1920822 h 4399280"/>
            <a:gd name="connsiteX18" fmla="*/ 5512315 w 8239759"/>
            <a:gd name="connsiteY18" fmla="*/ 1939327 h 4399280"/>
            <a:gd name="connsiteX19" fmla="*/ 5522975 w 8239759"/>
            <a:gd name="connsiteY19" fmla="*/ 2033016 h 4399280"/>
            <a:gd name="connsiteX20" fmla="*/ 5416294 w 8239759"/>
            <a:gd name="connsiteY20" fmla="*/ 2325419 h 4399280"/>
            <a:gd name="connsiteX21" fmla="*/ 5380748 w 8239759"/>
            <a:gd name="connsiteY21" fmla="*/ 2365827 h 4399280"/>
            <a:gd name="connsiteX22" fmla="*/ 6101605 w 8239759"/>
            <a:gd name="connsiteY22" fmla="*/ 2692727 h 4399280"/>
            <a:gd name="connsiteX23" fmla="*/ 6162257 w 8239759"/>
            <a:gd name="connsiteY23" fmla="*/ 2621706 h 4399280"/>
            <a:gd name="connsiteX24" fmla="*/ 6303263 w 8239759"/>
            <a:gd name="connsiteY24" fmla="*/ 2221992 h 4399280"/>
            <a:gd name="connsiteX25" fmla="*/ 6085712 w 8239759"/>
            <a:gd name="connsiteY25" fmla="*/ 1729120 h 4399280"/>
            <a:gd name="connsiteX26" fmla="*/ 6070941 w 8239759"/>
            <a:gd name="connsiteY26" fmla="*/ 1714999 h 4399280"/>
            <a:gd name="connsiteX27" fmla="*/ 5287243 w 8239759"/>
            <a:gd name="connsiteY27" fmla="*/ 1231609 h 4399280"/>
            <a:gd name="connsiteX28" fmla="*/ 5081981 w 8239759"/>
            <a:gd name="connsiteY28" fmla="*/ 1460791 h 4399280"/>
            <a:gd name="connsiteX29" fmla="*/ 5166397 w 8239759"/>
            <a:gd name="connsiteY29" fmla="*/ 1512629 h 4399280"/>
            <a:gd name="connsiteX30" fmla="*/ 5429752 w 8239759"/>
            <a:gd name="connsiteY30" fmla="*/ 1759242 h 4399280"/>
            <a:gd name="connsiteX31" fmla="*/ 5457808 w 8239759"/>
            <a:gd name="connsiteY31" fmla="*/ 1807865 h 4399280"/>
            <a:gd name="connsiteX32" fmla="*/ 5958746 w 8239759"/>
            <a:gd name="connsiteY32" fmla="*/ 1609697 h 4399280"/>
            <a:gd name="connsiteX33" fmla="*/ 5829362 w 8239759"/>
            <a:gd name="connsiteY33" fmla="*/ 1511191 h 4399280"/>
            <a:gd name="connsiteX34" fmla="*/ 5289596 w 8239759"/>
            <a:gd name="connsiteY34" fmla="*/ 1232457 h 4399280"/>
            <a:gd name="connsiteX35" fmla="*/ 5287243 w 8239759"/>
            <a:gd name="connsiteY35" fmla="*/ 1231609 h 4399280"/>
            <a:gd name="connsiteX36" fmla="*/ 4526488 w 8239759"/>
            <a:gd name="connsiteY36" fmla="*/ 1011552 h 4399280"/>
            <a:gd name="connsiteX37" fmla="*/ 4413638 w 8239759"/>
            <a:gd name="connsiteY37" fmla="*/ 1187207 h 4399280"/>
            <a:gd name="connsiteX38" fmla="*/ 4415862 w 8239759"/>
            <a:gd name="connsiteY38" fmla="*/ 1187783 h 4399280"/>
            <a:gd name="connsiteX39" fmla="*/ 4908393 w 8239759"/>
            <a:gd name="connsiteY39" fmla="*/ 1368005 h 4399280"/>
            <a:gd name="connsiteX40" fmla="*/ 4978274 w 8239759"/>
            <a:gd name="connsiteY40" fmla="*/ 1403855 h 4399280"/>
            <a:gd name="connsiteX41" fmla="*/ 5167298 w 8239759"/>
            <a:gd name="connsiteY41" fmla="*/ 1188410 h 4399280"/>
            <a:gd name="connsiteX42" fmla="*/ 5073472 w 8239759"/>
            <a:gd name="connsiteY42" fmla="*/ 1154616 h 4399280"/>
            <a:gd name="connsiteX43" fmla="*/ 4594717 w 8239759"/>
            <a:gd name="connsiteY43" fmla="*/ 1024877 h 4399280"/>
            <a:gd name="connsiteX44" fmla="*/ 4526488 w 8239759"/>
            <a:gd name="connsiteY44" fmla="*/ 1011552 h 4399280"/>
            <a:gd name="connsiteX45" fmla="*/ 3227302 w 8239759"/>
            <a:gd name="connsiteY45" fmla="*/ 879133 h 4399280"/>
            <a:gd name="connsiteX46" fmla="*/ 3171830 w 8239759"/>
            <a:gd name="connsiteY46" fmla="*/ 996808 h 4399280"/>
            <a:gd name="connsiteX47" fmla="*/ 3373999 w 8239759"/>
            <a:gd name="connsiteY47" fmla="*/ 1008793 h 4399280"/>
            <a:gd name="connsiteX48" fmla="*/ 4227172 w 8239759"/>
            <a:gd name="connsiteY48" fmla="*/ 1138908 h 4399280"/>
            <a:gd name="connsiteX49" fmla="*/ 4309220 w 8239759"/>
            <a:gd name="connsiteY49" fmla="*/ 1160160 h 4399280"/>
            <a:gd name="connsiteX50" fmla="*/ 4415567 w 8239759"/>
            <a:gd name="connsiteY50" fmla="*/ 989889 h 4399280"/>
            <a:gd name="connsiteX51" fmla="*/ 4334685 w 8239759"/>
            <a:gd name="connsiteY51" fmla="*/ 974093 h 4399280"/>
            <a:gd name="connsiteX52" fmla="*/ 3487549 w 8239759"/>
            <a:gd name="connsiteY52" fmla="*/ 884765 h 4399280"/>
            <a:gd name="connsiteX53" fmla="*/ 3227302 w 8239759"/>
            <a:gd name="connsiteY53" fmla="*/ 879133 h 4399280"/>
            <a:gd name="connsiteX54" fmla="*/ 3116579 w 8239759"/>
            <a:gd name="connsiteY54" fmla="*/ 876302 h 4399280"/>
            <a:gd name="connsiteX55" fmla="*/ 2459354 w 8239759"/>
            <a:gd name="connsiteY55" fmla="*/ 956312 h 4399280"/>
            <a:gd name="connsiteX56" fmla="*/ 3068954 w 8239759"/>
            <a:gd name="connsiteY56" fmla="*/ 988697 h 4399280"/>
            <a:gd name="connsiteX57" fmla="*/ 3116579 w 8239759"/>
            <a:gd name="connsiteY57" fmla="*/ 876302 h 4399280"/>
            <a:gd name="connsiteX58" fmla="*/ 0 w 8239759"/>
            <a:gd name="connsiteY58" fmla="*/ 0 h 4399280"/>
            <a:gd name="connsiteX59" fmla="*/ 8239759 w 8239759"/>
            <a:gd name="connsiteY59" fmla="*/ 0 h 4399280"/>
            <a:gd name="connsiteX60" fmla="*/ 8239759 w 8239759"/>
            <a:gd name="connsiteY60" fmla="*/ 4399280 h 4399280"/>
            <a:gd name="connsiteX61" fmla="*/ 0 w 8239759"/>
            <a:gd name="connsiteY61" fmla="*/ 4399280 h 4399280"/>
            <a:gd name="connsiteX62" fmla="*/ 0 w 8239759"/>
            <a:gd name="connsiteY62"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31095 w 8239759"/>
            <a:gd name="connsiteY1" fmla="*/ 30109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95550 w 8239759"/>
            <a:gd name="connsiteY2" fmla="*/ 327660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82850 w 8239759"/>
            <a:gd name="connsiteY2" fmla="*/ 322834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8285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34448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16160 w 8239759"/>
            <a:gd name="connsiteY3" fmla="*/ 3561130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3968 w 8239759"/>
            <a:gd name="connsiteY3" fmla="*/ 358551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 name="connsiteX0" fmla="*/ 4302752 w 8239759"/>
            <a:gd name="connsiteY0" fmla="*/ 2907890 h 4399280"/>
            <a:gd name="connsiteX1" fmla="*/ 2928555 w 8239759"/>
            <a:gd name="connsiteY1" fmla="*/ 2985536 h 4399280"/>
            <a:gd name="connsiteX2" fmla="*/ 2449830 w 8239759"/>
            <a:gd name="connsiteY2" fmla="*/ 3248660 h 4399280"/>
            <a:gd name="connsiteX3" fmla="*/ 2907778 w 8239759"/>
            <a:gd name="connsiteY3" fmla="*/ 3604564 h 4399280"/>
            <a:gd name="connsiteX4" fmla="*/ 4514162 w 8239759"/>
            <a:gd name="connsiteY4" fmla="*/ 3434420 h 4399280"/>
            <a:gd name="connsiteX5" fmla="*/ 4302752 w 8239759"/>
            <a:gd name="connsiteY5" fmla="*/ 2907890 h 4399280"/>
            <a:gd name="connsiteX6" fmla="*/ 5262467 w 8239759"/>
            <a:gd name="connsiteY6" fmla="*/ 2480326 h 4399280"/>
            <a:gd name="connsiteX7" fmla="*/ 5235927 w 8239759"/>
            <a:gd name="connsiteY7" fmla="*/ 2503320 h 4399280"/>
            <a:gd name="connsiteX8" fmla="*/ 4467674 w 8239759"/>
            <a:gd name="connsiteY8" fmla="*/ 2863199 h 4399280"/>
            <a:gd name="connsiteX9" fmla="*/ 4436516 w 8239759"/>
            <a:gd name="connsiteY9" fmla="*/ 2871643 h 4399280"/>
            <a:gd name="connsiteX10" fmla="*/ 4673949 w 8239759"/>
            <a:gd name="connsiteY10" fmla="*/ 3400779 h 4399280"/>
            <a:gd name="connsiteX11" fmla="*/ 4920457 w 8239759"/>
            <a:gd name="connsiteY11" fmla="*/ 3336597 h 4399280"/>
            <a:gd name="connsiteX12" fmla="*/ 5924717 w 8239759"/>
            <a:gd name="connsiteY12" fmla="*/ 2862702 h 4399280"/>
            <a:gd name="connsiteX13" fmla="*/ 5980297 w 8239759"/>
            <a:gd name="connsiteY13" fmla="*/ 2813256 h 4399280"/>
            <a:gd name="connsiteX14" fmla="*/ 5262467 w 8239759"/>
            <a:gd name="connsiteY14" fmla="*/ 2480326 h 4399280"/>
            <a:gd name="connsiteX15" fmla="*/ 6070941 w 8239759"/>
            <a:gd name="connsiteY15" fmla="*/ 1714999 h 4399280"/>
            <a:gd name="connsiteX16" fmla="*/ 5505961 w 8239759"/>
            <a:gd name="connsiteY16" fmla="*/ 1920822 h 4399280"/>
            <a:gd name="connsiteX17" fmla="*/ 5512315 w 8239759"/>
            <a:gd name="connsiteY17" fmla="*/ 1939327 h 4399280"/>
            <a:gd name="connsiteX18" fmla="*/ 5522975 w 8239759"/>
            <a:gd name="connsiteY18" fmla="*/ 2033016 h 4399280"/>
            <a:gd name="connsiteX19" fmla="*/ 5416294 w 8239759"/>
            <a:gd name="connsiteY19" fmla="*/ 2325419 h 4399280"/>
            <a:gd name="connsiteX20" fmla="*/ 5380748 w 8239759"/>
            <a:gd name="connsiteY20" fmla="*/ 2365827 h 4399280"/>
            <a:gd name="connsiteX21" fmla="*/ 6101605 w 8239759"/>
            <a:gd name="connsiteY21" fmla="*/ 2692727 h 4399280"/>
            <a:gd name="connsiteX22" fmla="*/ 6162257 w 8239759"/>
            <a:gd name="connsiteY22" fmla="*/ 2621706 h 4399280"/>
            <a:gd name="connsiteX23" fmla="*/ 6303263 w 8239759"/>
            <a:gd name="connsiteY23" fmla="*/ 2221992 h 4399280"/>
            <a:gd name="connsiteX24" fmla="*/ 6085712 w 8239759"/>
            <a:gd name="connsiteY24" fmla="*/ 1729120 h 4399280"/>
            <a:gd name="connsiteX25" fmla="*/ 6070941 w 8239759"/>
            <a:gd name="connsiteY25" fmla="*/ 1714999 h 4399280"/>
            <a:gd name="connsiteX26" fmla="*/ 5287243 w 8239759"/>
            <a:gd name="connsiteY26" fmla="*/ 1231609 h 4399280"/>
            <a:gd name="connsiteX27" fmla="*/ 5081981 w 8239759"/>
            <a:gd name="connsiteY27" fmla="*/ 1460791 h 4399280"/>
            <a:gd name="connsiteX28" fmla="*/ 5166397 w 8239759"/>
            <a:gd name="connsiteY28" fmla="*/ 1512629 h 4399280"/>
            <a:gd name="connsiteX29" fmla="*/ 5429752 w 8239759"/>
            <a:gd name="connsiteY29" fmla="*/ 1759242 h 4399280"/>
            <a:gd name="connsiteX30" fmla="*/ 5457808 w 8239759"/>
            <a:gd name="connsiteY30" fmla="*/ 1807865 h 4399280"/>
            <a:gd name="connsiteX31" fmla="*/ 5958746 w 8239759"/>
            <a:gd name="connsiteY31" fmla="*/ 1609697 h 4399280"/>
            <a:gd name="connsiteX32" fmla="*/ 5829362 w 8239759"/>
            <a:gd name="connsiteY32" fmla="*/ 1511191 h 4399280"/>
            <a:gd name="connsiteX33" fmla="*/ 5289596 w 8239759"/>
            <a:gd name="connsiteY33" fmla="*/ 1232457 h 4399280"/>
            <a:gd name="connsiteX34" fmla="*/ 5287243 w 8239759"/>
            <a:gd name="connsiteY34" fmla="*/ 1231609 h 4399280"/>
            <a:gd name="connsiteX35" fmla="*/ 4526488 w 8239759"/>
            <a:gd name="connsiteY35" fmla="*/ 1011552 h 4399280"/>
            <a:gd name="connsiteX36" fmla="*/ 4413638 w 8239759"/>
            <a:gd name="connsiteY36" fmla="*/ 1187207 h 4399280"/>
            <a:gd name="connsiteX37" fmla="*/ 4415862 w 8239759"/>
            <a:gd name="connsiteY37" fmla="*/ 1187783 h 4399280"/>
            <a:gd name="connsiteX38" fmla="*/ 4908393 w 8239759"/>
            <a:gd name="connsiteY38" fmla="*/ 1368005 h 4399280"/>
            <a:gd name="connsiteX39" fmla="*/ 4978274 w 8239759"/>
            <a:gd name="connsiteY39" fmla="*/ 1403855 h 4399280"/>
            <a:gd name="connsiteX40" fmla="*/ 5167298 w 8239759"/>
            <a:gd name="connsiteY40" fmla="*/ 1188410 h 4399280"/>
            <a:gd name="connsiteX41" fmla="*/ 5073472 w 8239759"/>
            <a:gd name="connsiteY41" fmla="*/ 1154616 h 4399280"/>
            <a:gd name="connsiteX42" fmla="*/ 4594717 w 8239759"/>
            <a:gd name="connsiteY42" fmla="*/ 1024877 h 4399280"/>
            <a:gd name="connsiteX43" fmla="*/ 4526488 w 8239759"/>
            <a:gd name="connsiteY43" fmla="*/ 1011552 h 4399280"/>
            <a:gd name="connsiteX44" fmla="*/ 3227302 w 8239759"/>
            <a:gd name="connsiteY44" fmla="*/ 879133 h 4399280"/>
            <a:gd name="connsiteX45" fmla="*/ 3171830 w 8239759"/>
            <a:gd name="connsiteY45" fmla="*/ 996808 h 4399280"/>
            <a:gd name="connsiteX46" fmla="*/ 3373999 w 8239759"/>
            <a:gd name="connsiteY46" fmla="*/ 1008793 h 4399280"/>
            <a:gd name="connsiteX47" fmla="*/ 4227172 w 8239759"/>
            <a:gd name="connsiteY47" fmla="*/ 1138908 h 4399280"/>
            <a:gd name="connsiteX48" fmla="*/ 4309220 w 8239759"/>
            <a:gd name="connsiteY48" fmla="*/ 1160160 h 4399280"/>
            <a:gd name="connsiteX49" fmla="*/ 4415567 w 8239759"/>
            <a:gd name="connsiteY49" fmla="*/ 989889 h 4399280"/>
            <a:gd name="connsiteX50" fmla="*/ 4334685 w 8239759"/>
            <a:gd name="connsiteY50" fmla="*/ 974093 h 4399280"/>
            <a:gd name="connsiteX51" fmla="*/ 3487549 w 8239759"/>
            <a:gd name="connsiteY51" fmla="*/ 884765 h 4399280"/>
            <a:gd name="connsiteX52" fmla="*/ 3227302 w 8239759"/>
            <a:gd name="connsiteY52" fmla="*/ 879133 h 4399280"/>
            <a:gd name="connsiteX53" fmla="*/ 3116579 w 8239759"/>
            <a:gd name="connsiteY53" fmla="*/ 876302 h 4399280"/>
            <a:gd name="connsiteX54" fmla="*/ 2459354 w 8239759"/>
            <a:gd name="connsiteY54" fmla="*/ 956312 h 4399280"/>
            <a:gd name="connsiteX55" fmla="*/ 3068954 w 8239759"/>
            <a:gd name="connsiteY55" fmla="*/ 988697 h 4399280"/>
            <a:gd name="connsiteX56" fmla="*/ 3116579 w 8239759"/>
            <a:gd name="connsiteY56" fmla="*/ 876302 h 4399280"/>
            <a:gd name="connsiteX57" fmla="*/ 0 w 8239759"/>
            <a:gd name="connsiteY57" fmla="*/ 0 h 4399280"/>
            <a:gd name="connsiteX58" fmla="*/ 8239759 w 8239759"/>
            <a:gd name="connsiteY58" fmla="*/ 0 h 4399280"/>
            <a:gd name="connsiteX59" fmla="*/ 8239759 w 8239759"/>
            <a:gd name="connsiteY59" fmla="*/ 4399280 h 4399280"/>
            <a:gd name="connsiteX60" fmla="*/ 0 w 8239759"/>
            <a:gd name="connsiteY60" fmla="*/ 4399280 h 4399280"/>
            <a:gd name="connsiteX61" fmla="*/ 0 w 8239759"/>
            <a:gd name="connsiteY61" fmla="*/ 0 h 43992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Lst>
          <a:rect l="l" t="t" r="r" b="b"/>
          <a:pathLst>
            <a:path w="8239759" h="4399280">
              <a:moveTo>
                <a:pt x="4302752" y="2907890"/>
              </a:moveTo>
              <a:cubicBezTo>
                <a:pt x="3648937" y="3017423"/>
                <a:pt x="3408634" y="2986747"/>
                <a:pt x="2928555" y="2985536"/>
              </a:cubicBezTo>
              <a:lnTo>
                <a:pt x="2449830" y="3248660"/>
              </a:lnTo>
              <a:lnTo>
                <a:pt x="2907778" y="3604564"/>
              </a:lnTo>
              <a:cubicBezTo>
                <a:pt x="3398645" y="3614230"/>
                <a:pt x="3990455" y="3547103"/>
                <a:pt x="4514162" y="3434420"/>
              </a:cubicBezTo>
              <a:lnTo>
                <a:pt x="4302752" y="2907890"/>
              </a:lnTo>
              <a:close/>
              <a:moveTo>
                <a:pt x="5262467" y="2480326"/>
              </a:moveTo>
              <a:lnTo>
                <a:pt x="5235927" y="2503320"/>
              </a:lnTo>
              <a:cubicBezTo>
                <a:pt x="5052303" y="2644691"/>
                <a:pt x="4788477" y="2767658"/>
                <a:pt x="4467674" y="2863199"/>
              </a:cubicBezTo>
              <a:lnTo>
                <a:pt x="4436516" y="2871643"/>
              </a:lnTo>
              <a:lnTo>
                <a:pt x="4673949" y="3400779"/>
              </a:lnTo>
              <a:lnTo>
                <a:pt x="4920457" y="3336597"/>
              </a:lnTo>
              <a:cubicBezTo>
                <a:pt x="5337600" y="3215819"/>
                <a:pt x="5683302" y="3053162"/>
                <a:pt x="5924717" y="2862702"/>
              </a:cubicBezTo>
              <a:lnTo>
                <a:pt x="5980297" y="2813256"/>
              </a:lnTo>
              <a:lnTo>
                <a:pt x="5262467" y="2480326"/>
              </a:lnTo>
              <a:close/>
              <a:moveTo>
                <a:pt x="6070941" y="1714999"/>
              </a:moveTo>
              <a:lnTo>
                <a:pt x="5505961" y="1920822"/>
              </a:lnTo>
              <a:lnTo>
                <a:pt x="5512315" y="1939327"/>
              </a:lnTo>
              <a:cubicBezTo>
                <a:pt x="5519372" y="1970191"/>
                <a:pt x="5522975" y="2001440"/>
                <a:pt x="5522975" y="2033016"/>
              </a:cubicBezTo>
              <a:cubicBezTo>
                <a:pt x="5522975" y="2134511"/>
                <a:pt x="5485743" y="2232628"/>
                <a:pt x="5416294" y="2325419"/>
              </a:cubicBezTo>
              <a:lnTo>
                <a:pt x="5380748" y="2365827"/>
              </a:lnTo>
              <a:lnTo>
                <a:pt x="6101605" y="2692727"/>
              </a:lnTo>
              <a:lnTo>
                <a:pt x="6162257" y="2621706"/>
              </a:lnTo>
              <a:cubicBezTo>
                <a:pt x="6253896" y="2495437"/>
                <a:pt x="6303263" y="2361185"/>
                <a:pt x="6303263" y="2221992"/>
              </a:cubicBezTo>
              <a:cubicBezTo>
                <a:pt x="6303263" y="2048001"/>
                <a:pt x="6226128" y="1881731"/>
                <a:pt x="6085712" y="1729120"/>
              </a:cubicBezTo>
              <a:lnTo>
                <a:pt x="6070941" y="1714999"/>
              </a:lnTo>
              <a:close/>
              <a:moveTo>
                <a:pt x="5287243" y="1231609"/>
              </a:moveTo>
              <a:lnTo>
                <a:pt x="5081981" y="1460791"/>
              </a:lnTo>
              <a:lnTo>
                <a:pt x="5166397" y="1512629"/>
              </a:lnTo>
              <a:cubicBezTo>
                <a:pt x="5279819" y="1589250"/>
                <a:pt x="5368964" y="1671983"/>
                <a:pt x="5429752" y="1759242"/>
              </a:cubicBezTo>
              <a:lnTo>
                <a:pt x="5457808" y="1807865"/>
              </a:lnTo>
              <a:lnTo>
                <a:pt x="5958746" y="1609697"/>
              </a:lnTo>
              <a:lnTo>
                <a:pt x="5829362" y="1511191"/>
              </a:lnTo>
              <a:cubicBezTo>
                <a:pt x="5679190" y="1408091"/>
                <a:pt x="5497319" y="1314344"/>
                <a:pt x="5289596" y="1232457"/>
              </a:cubicBezTo>
              <a:lnTo>
                <a:pt x="5287243" y="1231609"/>
              </a:lnTo>
              <a:close/>
              <a:moveTo>
                <a:pt x="4526488" y="1011552"/>
              </a:moveTo>
              <a:lnTo>
                <a:pt x="4413638" y="1187207"/>
              </a:lnTo>
              <a:lnTo>
                <a:pt x="4415862" y="1187783"/>
              </a:lnTo>
              <a:cubicBezTo>
                <a:pt x="4598879" y="1239634"/>
                <a:pt x="4764415" y="1300236"/>
                <a:pt x="4908393" y="1368005"/>
              </a:cubicBezTo>
              <a:lnTo>
                <a:pt x="4978274" y="1403855"/>
              </a:lnTo>
              <a:lnTo>
                <a:pt x="5167298" y="1188410"/>
              </a:lnTo>
              <a:lnTo>
                <a:pt x="5073472" y="1154616"/>
              </a:lnTo>
              <a:cubicBezTo>
                <a:pt x="4923934" y="1105480"/>
                <a:pt x="4763771" y="1061986"/>
                <a:pt x="4594717" y="1024877"/>
              </a:cubicBezTo>
              <a:lnTo>
                <a:pt x="4526488" y="1011552"/>
              </a:lnTo>
              <a:close/>
              <a:moveTo>
                <a:pt x="3227302" y="879133"/>
              </a:moveTo>
              <a:lnTo>
                <a:pt x="3171830" y="996808"/>
              </a:lnTo>
              <a:lnTo>
                <a:pt x="3373999" y="1008793"/>
              </a:lnTo>
              <a:cubicBezTo>
                <a:pt x="3680603" y="1033165"/>
                <a:pt x="3968217" y="1077788"/>
                <a:pt x="4227172" y="1138908"/>
              </a:cubicBezTo>
              <a:lnTo>
                <a:pt x="4309220" y="1160160"/>
              </a:lnTo>
              <a:lnTo>
                <a:pt x="4415567" y="989889"/>
              </a:lnTo>
              <a:lnTo>
                <a:pt x="4334685" y="974093"/>
              </a:lnTo>
              <a:cubicBezTo>
                <a:pt x="4068415" y="928283"/>
                <a:pt x="3784088" y="897672"/>
                <a:pt x="3487549" y="884765"/>
              </a:cubicBezTo>
              <a:lnTo>
                <a:pt x="3227302" y="879133"/>
              </a:lnTo>
              <a:close/>
              <a:moveTo>
                <a:pt x="3116579" y="876302"/>
              </a:moveTo>
              <a:cubicBezTo>
                <a:pt x="3014979" y="870905"/>
                <a:pt x="2466339" y="937262"/>
                <a:pt x="2459354" y="956312"/>
              </a:cubicBezTo>
              <a:cubicBezTo>
                <a:pt x="2800984" y="965836"/>
                <a:pt x="2836544" y="969964"/>
                <a:pt x="3068954" y="988697"/>
              </a:cubicBezTo>
              <a:lnTo>
                <a:pt x="3116579" y="876302"/>
              </a:lnTo>
              <a:close/>
              <a:moveTo>
                <a:pt x="0" y="0"/>
              </a:moveTo>
              <a:lnTo>
                <a:pt x="8239759" y="0"/>
              </a:lnTo>
              <a:lnTo>
                <a:pt x="8239759" y="4399280"/>
              </a:lnTo>
              <a:lnTo>
                <a:pt x="0" y="4399280"/>
              </a:lnTo>
              <a:lnTo>
                <a:pt x="0" y="0"/>
              </a:lnTo>
              <a:close/>
            </a:path>
          </a:pathLst>
        </a:custGeom>
        <a:solidFill>
          <a:srgbClr val="002A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518160</xdr:colOff>
      <xdr:row>21</xdr:row>
      <xdr:rowOff>68580</xdr:rowOff>
    </xdr:from>
    <xdr:to>
      <xdr:col>10</xdr:col>
      <xdr:colOff>255271</xdr:colOff>
      <xdr:row>24</xdr:row>
      <xdr:rowOff>3810</xdr:rowOff>
    </xdr:to>
    <xdr:sp macro="" textlink="">
      <xdr:nvSpPr>
        <xdr:cNvPr id="15" name="Circle: Hollow 4">
          <a:extLst>
            <a:ext uri="{FF2B5EF4-FFF2-40B4-BE49-F238E27FC236}">
              <a16:creationId xmlns:a16="http://schemas.microsoft.com/office/drawing/2014/main" id="{F7F24FD8-753D-4D55-A352-95028BF096D3}"/>
            </a:ext>
          </a:extLst>
        </xdr:cNvPr>
        <xdr:cNvSpPr/>
      </xdr:nvSpPr>
      <xdr:spPr>
        <a:xfrm>
          <a:off x="6004560" y="3888412"/>
          <a:ext cx="346711" cy="480921"/>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994CFE"/>
        </a:solidFill>
        <a:ln w="9525">
          <a:solidFill>
            <a:schemeClr val="bg1"/>
          </a:solidFill>
        </a:ln>
        <a:effectLst>
          <a:outerShdw blurRad="50800" dist="88900" dir="12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12</xdr:col>
      <xdr:colOff>409921</xdr:colOff>
      <xdr:row>19</xdr:row>
      <xdr:rowOff>141975</xdr:rowOff>
    </xdr:from>
    <xdr:to>
      <xdr:col>13</xdr:col>
      <xdr:colOff>101476</xdr:colOff>
      <xdr:row>22</xdr:row>
      <xdr:rowOff>13627</xdr:rowOff>
    </xdr:to>
    <xdr:sp macro="" textlink="">
      <xdr:nvSpPr>
        <xdr:cNvPr id="16" name="Circle: Hollow 4">
          <a:extLst>
            <a:ext uri="{FF2B5EF4-FFF2-40B4-BE49-F238E27FC236}">
              <a16:creationId xmlns:a16="http://schemas.microsoft.com/office/drawing/2014/main" id="{47C43005-4D38-4871-A31F-17F9A04D7291}"/>
            </a:ext>
          </a:extLst>
        </xdr:cNvPr>
        <xdr:cNvSpPr/>
      </xdr:nvSpPr>
      <xdr:spPr>
        <a:xfrm>
          <a:off x="7725121" y="3616695"/>
          <a:ext cx="301155" cy="420292"/>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FF6903"/>
        </a:solidFill>
        <a:ln w="9525">
          <a:solidFill>
            <a:schemeClr val="bg1"/>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13</xdr:col>
      <xdr:colOff>562322</xdr:colOff>
      <xdr:row>16</xdr:row>
      <xdr:rowOff>8625</xdr:rowOff>
    </xdr:from>
    <xdr:to>
      <xdr:col>14</xdr:col>
      <xdr:colOff>210062</xdr:colOff>
      <xdr:row>18</xdr:row>
      <xdr:rowOff>2009</xdr:rowOff>
    </xdr:to>
    <xdr:sp macro="" textlink="">
      <xdr:nvSpPr>
        <xdr:cNvPr id="17" name="Circle: Hollow 4">
          <a:extLst>
            <a:ext uri="{FF2B5EF4-FFF2-40B4-BE49-F238E27FC236}">
              <a16:creationId xmlns:a16="http://schemas.microsoft.com/office/drawing/2014/main" id="{1934D4A8-7FD6-4CA6-A67A-C5DD990DEE6D}"/>
            </a:ext>
          </a:extLst>
        </xdr:cNvPr>
        <xdr:cNvSpPr/>
      </xdr:nvSpPr>
      <xdr:spPr>
        <a:xfrm>
          <a:off x="8487122" y="2934705"/>
          <a:ext cx="257340" cy="359144"/>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00AE50"/>
        </a:solidFill>
        <a:ln w="9525">
          <a:solidFill>
            <a:schemeClr val="bg1"/>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13</xdr:col>
      <xdr:colOff>217170</xdr:colOff>
      <xdr:row>12</xdr:row>
      <xdr:rowOff>124828</xdr:rowOff>
    </xdr:from>
    <xdr:to>
      <xdr:col>13</xdr:col>
      <xdr:colOff>444376</xdr:colOff>
      <xdr:row>14</xdr:row>
      <xdr:rowOff>76157</xdr:rowOff>
    </xdr:to>
    <xdr:sp macro="" textlink="">
      <xdr:nvSpPr>
        <xdr:cNvPr id="18" name="Circle: Hollow 4">
          <a:extLst>
            <a:ext uri="{FF2B5EF4-FFF2-40B4-BE49-F238E27FC236}">
              <a16:creationId xmlns:a16="http://schemas.microsoft.com/office/drawing/2014/main" id="{FC1EAA00-0436-4624-A68C-1E5C33D25406}"/>
            </a:ext>
          </a:extLst>
        </xdr:cNvPr>
        <xdr:cNvSpPr/>
      </xdr:nvSpPr>
      <xdr:spPr>
        <a:xfrm>
          <a:off x="8141970" y="2319388"/>
          <a:ext cx="227206" cy="317089"/>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FF3F5F"/>
        </a:solidFill>
        <a:ln w="9525">
          <a:solidFill>
            <a:schemeClr val="bg1"/>
          </a:solidFill>
        </a:ln>
        <a:effectLst>
          <a:outerShdw blurRad="50800" dist="762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12</xdr:col>
      <xdr:colOff>93345</xdr:colOff>
      <xdr:row>10</xdr:row>
      <xdr:rowOff>168644</xdr:rowOff>
    </xdr:from>
    <xdr:to>
      <xdr:col>12</xdr:col>
      <xdr:colOff>311026</xdr:colOff>
      <xdr:row>12</xdr:row>
      <xdr:rowOff>106680</xdr:rowOff>
    </xdr:to>
    <xdr:sp macro="" textlink="">
      <xdr:nvSpPr>
        <xdr:cNvPr id="19" name="Circle: Hollow 4">
          <a:extLst>
            <a:ext uri="{FF2B5EF4-FFF2-40B4-BE49-F238E27FC236}">
              <a16:creationId xmlns:a16="http://schemas.microsoft.com/office/drawing/2014/main" id="{078A6B0A-E351-43CA-9B1E-B5232926B89F}"/>
            </a:ext>
          </a:extLst>
        </xdr:cNvPr>
        <xdr:cNvSpPr/>
      </xdr:nvSpPr>
      <xdr:spPr>
        <a:xfrm>
          <a:off x="7408545" y="1997444"/>
          <a:ext cx="217681" cy="303796"/>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00B0F0"/>
        </a:solidFill>
        <a:ln w="9525">
          <a:solidFill>
            <a:schemeClr val="bg1"/>
          </a:solidFill>
        </a:ln>
        <a:effectLst>
          <a:outerShdw blurRad="50800" dist="762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10</xdr:col>
      <xdr:colOff>312420</xdr:colOff>
      <xdr:row>10</xdr:row>
      <xdr:rowOff>7620</xdr:rowOff>
    </xdr:from>
    <xdr:to>
      <xdr:col>10</xdr:col>
      <xdr:colOff>504885</xdr:colOff>
      <xdr:row>11</xdr:row>
      <xdr:rowOff>93345</xdr:rowOff>
    </xdr:to>
    <xdr:sp macro="" textlink="">
      <xdr:nvSpPr>
        <xdr:cNvPr id="20" name="Circle: Hollow 4">
          <a:extLst>
            <a:ext uri="{FF2B5EF4-FFF2-40B4-BE49-F238E27FC236}">
              <a16:creationId xmlns:a16="http://schemas.microsoft.com/office/drawing/2014/main" id="{B82AE35B-3A79-444B-94AF-DA1431A2786B}"/>
            </a:ext>
          </a:extLst>
        </xdr:cNvPr>
        <xdr:cNvSpPr/>
      </xdr:nvSpPr>
      <xdr:spPr>
        <a:xfrm>
          <a:off x="6408420" y="1836420"/>
          <a:ext cx="192465" cy="268605"/>
        </a:xfrm>
        <a:custGeom>
          <a:avLst/>
          <a:gdLst>
            <a:gd name="connsiteX0" fmla="*/ 0 w 346710"/>
            <a:gd name="connsiteY0" fmla="*/ 173355 h 346710"/>
            <a:gd name="connsiteX1" fmla="*/ 173355 w 346710"/>
            <a:gd name="connsiteY1" fmla="*/ 0 h 346710"/>
            <a:gd name="connsiteX2" fmla="*/ 346710 w 346710"/>
            <a:gd name="connsiteY2" fmla="*/ 173355 h 346710"/>
            <a:gd name="connsiteX3" fmla="*/ 173355 w 346710"/>
            <a:gd name="connsiteY3" fmla="*/ 346710 h 346710"/>
            <a:gd name="connsiteX4" fmla="*/ 0 w 346710"/>
            <a:gd name="connsiteY4" fmla="*/ 173355 h 346710"/>
            <a:gd name="connsiteX5" fmla="*/ 96181 w 346710"/>
            <a:gd name="connsiteY5" fmla="*/ 173355 h 346710"/>
            <a:gd name="connsiteX6" fmla="*/ 173355 w 346710"/>
            <a:gd name="connsiteY6" fmla="*/ 250529 h 346710"/>
            <a:gd name="connsiteX7" fmla="*/ 250529 w 346710"/>
            <a:gd name="connsiteY7" fmla="*/ 173355 h 346710"/>
            <a:gd name="connsiteX8" fmla="*/ 173355 w 346710"/>
            <a:gd name="connsiteY8" fmla="*/ 96181 h 346710"/>
            <a:gd name="connsiteX9" fmla="*/ 96181 w 346710"/>
            <a:gd name="connsiteY9" fmla="*/ 173355 h 34671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0 w 346710"/>
            <a:gd name="connsiteY0" fmla="*/ 173355 h 483870"/>
            <a:gd name="connsiteX1" fmla="*/ 173355 w 346710"/>
            <a:gd name="connsiteY1" fmla="*/ 0 h 483870"/>
            <a:gd name="connsiteX2" fmla="*/ 346710 w 346710"/>
            <a:gd name="connsiteY2" fmla="*/ 173355 h 483870"/>
            <a:gd name="connsiteX3" fmla="*/ 171450 w 346710"/>
            <a:gd name="connsiteY3" fmla="*/ 483870 h 483870"/>
            <a:gd name="connsiteX4" fmla="*/ 0 w 346710"/>
            <a:gd name="connsiteY4" fmla="*/ 173355 h 483870"/>
            <a:gd name="connsiteX5" fmla="*/ 96181 w 346710"/>
            <a:gd name="connsiteY5" fmla="*/ 173355 h 483870"/>
            <a:gd name="connsiteX6" fmla="*/ 173355 w 346710"/>
            <a:gd name="connsiteY6" fmla="*/ 250529 h 483870"/>
            <a:gd name="connsiteX7" fmla="*/ 250529 w 346710"/>
            <a:gd name="connsiteY7" fmla="*/ 173355 h 483870"/>
            <a:gd name="connsiteX8" fmla="*/ 173355 w 346710"/>
            <a:gd name="connsiteY8" fmla="*/ 96181 h 483870"/>
            <a:gd name="connsiteX9" fmla="*/ 96181 w 346710"/>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 name="connsiteX0" fmla="*/ 1 w 346711"/>
            <a:gd name="connsiteY0" fmla="*/ 173355 h 483870"/>
            <a:gd name="connsiteX1" fmla="*/ 173356 w 346711"/>
            <a:gd name="connsiteY1" fmla="*/ 0 h 483870"/>
            <a:gd name="connsiteX2" fmla="*/ 346711 w 346711"/>
            <a:gd name="connsiteY2" fmla="*/ 173355 h 483870"/>
            <a:gd name="connsiteX3" fmla="*/ 171451 w 346711"/>
            <a:gd name="connsiteY3" fmla="*/ 483870 h 483870"/>
            <a:gd name="connsiteX4" fmla="*/ 1 w 346711"/>
            <a:gd name="connsiteY4" fmla="*/ 173355 h 483870"/>
            <a:gd name="connsiteX5" fmla="*/ 96182 w 346711"/>
            <a:gd name="connsiteY5" fmla="*/ 173355 h 483870"/>
            <a:gd name="connsiteX6" fmla="*/ 173356 w 346711"/>
            <a:gd name="connsiteY6" fmla="*/ 250529 h 483870"/>
            <a:gd name="connsiteX7" fmla="*/ 250530 w 346711"/>
            <a:gd name="connsiteY7" fmla="*/ 173355 h 483870"/>
            <a:gd name="connsiteX8" fmla="*/ 173356 w 346711"/>
            <a:gd name="connsiteY8" fmla="*/ 96181 h 483870"/>
            <a:gd name="connsiteX9" fmla="*/ 96182 w 346711"/>
            <a:gd name="connsiteY9" fmla="*/ 173355 h 483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46711" h="483870">
              <a:moveTo>
                <a:pt x="1" y="173355"/>
              </a:moveTo>
              <a:cubicBezTo>
                <a:pt x="319" y="92710"/>
                <a:pt x="77615" y="0"/>
                <a:pt x="173356" y="0"/>
              </a:cubicBezTo>
              <a:cubicBezTo>
                <a:pt x="269097" y="0"/>
                <a:pt x="347029" y="92710"/>
                <a:pt x="346711" y="173355"/>
              </a:cubicBezTo>
              <a:cubicBezTo>
                <a:pt x="346394" y="254000"/>
                <a:pt x="282432" y="331470"/>
                <a:pt x="171451" y="483870"/>
              </a:cubicBezTo>
              <a:cubicBezTo>
                <a:pt x="73805" y="344805"/>
                <a:pt x="-317" y="254000"/>
                <a:pt x="1" y="173355"/>
              </a:cubicBezTo>
              <a:close/>
              <a:moveTo>
                <a:pt x="96182" y="173355"/>
              </a:moveTo>
              <a:cubicBezTo>
                <a:pt x="96182" y="215977"/>
                <a:pt x="130734" y="250529"/>
                <a:pt x="173356" y="250529"/>
              </a:cubicBezTo>
              <a:cubicBezTo>
                <a:pt x="215978" y="250529"/>
                <a:pt x="250530" y="215977"/>
                <a:pt x="250530" y="173355"/>
              </a:cubicBezTo>
              <a:cubicBezTo>
                <a:pt x="250530" y="130733"/>
                <a:pt x="215978" y="96181"/>
                <a:pt x="173356" y="96181"/>
              </a:cubicBezTo>
              <a:cubicBezTo>
                <a:pt x="130734" y="96181"/>
                <a:pt x="96182" y="130733"/>
                <a:pt x="96182" y="173355"/>
              </a:cubicBezTo>
              <a:close/>
            </a:path>
          </a:pathLst>
        </a:custGeom>
        <a:solidFill>
          <a:srgbClr val="FDB733"/>
        </a:solidFill>
        <a:ln w="9525">
          <a:solidFill>
            <a:schemeClr val="bg1"/>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clientData/>
  </xdr:twoCellAnchor>
  <xdr:twoCellAnchor>
    <xdr:from>
      <xdr:col>6</xdr:col>
      <xdr:colOff>403860</xdr:colOff>
      <xdr:row>0</xdr:row>
      <xdr:rowOff>0</xdr:rowOff>
    </xdr:from>
    <xdr:to>
      <xdr:col>15</xdr:col>
      <xdr:colOff>350520</xdr:colOff>
      <xdr:row>6</xdr:row>
      <xdr:rowOff>129540</xdr:rowOff>
    </xdr:to>
    <xdr:sp macro="" textlink="">
      <xdr:nvSpPr>
        <xdr:cNvPr id="21" name="Rectangle 20">
          <a:extLst>
            <a:ext uri="{FF2B5EF4-FFF2-40B4-BE49-F238E27FC236}">
              <a16:creationId xmlns:a16="http://schemas.microsoft.com/office/drawing/2014/main" id="{B9809F7D-6365-4DFA-BDC0-6B7F8928BB7D}"/>
            </a:ext>
          </a:extLst>
        </xdr:cNvPr>
        <xdr:cNvSpPr/>
      </xdr:nvSpPr>
      <xdr:spPr>
        <a:xfrm>
          <a:off x="4061460" y="0"/>
          <a:ext cx="5433060" cy="1226820"/>
        </a:xfrm>
        <a:prstGeom prst="rect">
          <a:avLst/>
        </a:prstGeom>
        <a:solidFill>
          <a:srgbClr val="002A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403860</xdr:colOff>
      <xdr:row>28</xdr:row>
      <xdr:rowOff>160020</xdr:rowOff>
    </xdr:from>
    <xdr:to>
      <xdr:col>15</xdr:col>
      <xdr:colOff>350520</xdr:colOff>
      <xdr:row>35</xdr:row>
      <xdr:rowOff>106680</xdr:rowOff>
    </xdr:to>
    <xdr:sp macro="" textlink="">
      <xdr:nvSpPr>
        <xdr:cNvPr id="22" name="Rectangle 21">
          <a:extLst>
            <a:ext uri="{FF2B5EF4-FFF2-40B4-BE49-F238E27FC236}">
              <a16:creationId xmlns:a16="http://schemas.microsoft.com/office/drawing/2014/main" id="{3C2686D0-4687-4A3D-9856-442AA8EA1005}"/>
            </a:ext>
          </a:extLst>
        </xdr:cNvPr>
        <xdr:cNvSpPr/>
      </xdr:nvSpPr>
      <xdr:spPr>
        <a:xfrm>
          <a:off x="4061460" y="5280660"/>
          <a:ext cx="5433060" cy="1226820"/>
        </a:xfrm>
        <a:prstGeom prst="rect">
          <a:avLst/>
        </a:prstGeom>
        <a:solidFill>
          <a:srgbClr val="002A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303301</xdr:colOff>
      <xdr:row>11</xdr:row>
      <xdr:rowOff>3502</xdr:rowOff>
    </xdr:from>
    <xdr:to>
      <xdr:col>9</xdr:col>
      <xdr:colOff>350926</xdr:colOff>
      <xdr:row>11</xdr:row>
      <xdr:rowOff>117850</xdr:rowOff>
    </xdr:to>
    <xdr:sp macro="" textlink="">
      <xdr:nvSpPr>
        <xdr:cNvPr id="23" name="Freeform: Shape 22">
          <a:extLst>
            <a:ext uri="{FF2B5EF4-FFF2-40B4-BE49-F238E27FC236}">
              <a16:creationId xmlns:a16="http://schemas.microsoft.com/office/drawing/2014/main" id="{465A200F-5E1D-4799-9BB0-12950BC86D40}"/>
            </a:ext>
          </a:extLst>
        </xdr:cNvPr>
        <xdr:cNvSpPr/>
      </xdr:nvSpPr>
      <xdr:spPr>
        <a:xfrm>
          <a:off x="5180101" y="2015182"/>
          <a:ext cx="657225" cy="114348"/>
        </a:xfrm>
        <a:custGeom>
          <a:avLst/>
          <a:gdLst>
            <a:gd name="connsiteX0" fmla="*/ 633178 w 657225"/>
            <a:gd name="connsiteY0" fmla="*/ 111 h 112706"/>
            <a:gd name="connsiteX1" fmla="*/ 657225 w 657225"/>
            <a:gd name="connsiteY1" fmla="*/ 311 h 112706"/>
            <a:gd name="connsiteX2" fmla="*/ 609600 w 657225"/>
            <a:gd name="connsiteY2" fmla="*/ 112706 h 112706"/>
            <a:gd name="connsiteX3" fmla="*/ 0 w 657225"/>
            <a:gd name="connsiteY3" fmla="*/ 80321 h 112706"/>
            <a:gd name="connsiteX4" fmla="*/ 633178 w 657225"/>
            <a:gd name="connsiteY4" fmla="*/ 111 h 1127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7225" h="112706">
              <a:moveTo>
                <a:pt x="633178" y="111"/>
              </a:moveTo>
              <a:cubicBezTo>
                <a:pt x="642779" y="-83"/>
                <a:pt x="650875" y="-26"/>
                <a:pt x="657225" y="311"/>
              </a:cubicBezTo>
              <a:lnTo>
                <a:pt x="609600" y="112706"/>
              </a:lnTo>
              <a:cubicBezTo>
                <a:pt x="377190" y="93973"/>
                <a:pt x="341630" y="89845"/>
                <a:pt x="0" y="80321"/>
              </a:cubicBezTo>
              <a:cubicBezTo>
                <a:pt x="6549" y="62462"/>
                <a:pt x="489161" y="3024"/>
                <a:pt x="633178" y="111"/>
              </a:cubicBezTo>
              <a:close/>
            </a:path>
          </a:pathLst>
        </a:custGeom>
        <a:solidFill>
          <a:schemeClr val="bg1"/>
        </a:solidFill>
        <a:ln w="47625">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320040</xdr:colOff>
      <xdr:row>9</xdr:row>
      <xdr:rowOff>53340</xdr:rowOff>
    </xdr:from>
    <xdr:to>
      <xdr:col>9</xdr:col>
      <xdr:colOff>350520</xdr:colOff>
      <xdr:row>10</xdr:row>
      <xdr:rowOff>129540</xdr:rowOff>
    </xdr:to>
    <xdr:sp macro="" textlink="">
      <xdr:nvSpPr>
        <xdr:cNvPr id="24" name="TextBox 23">
          <a:extLst>
            <a:ext uri="{FF2B5EF4-FFF2-40B4-BE49-F238E27FC236}">
              <a16:creationId xmlns:a16="http://schemas.microsoft.com/office/drawing/2014/main" id="{FB193B19-5F66-4C48-8251-B25F403B6C29}"/>
            </a:ext>
          </a:extLst>
        </xdr:cNvPr>
        <xdr:cNvSpPr txBox="1"/>
      </xdr:nvSpPr>
      <xdr:spPr>
        <a:xfrm>
          <a:off x="5196840" y="1699260"/>
          <a:ext cx="6400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96D4"/>
              </a:solidFill>
            </a:rPr>
            <a:t>START</a:t>
          </a:r>
          <a:endParaRPr lang="ru-RU" sz="1400" b="1">
            <a:solidFill>
              <a:srgbClr val="0096D4"/>
            </a:solidFill>
          </a:endParaRPr>
        </a:p>
      </xdr:txBody>
    </xdr:sp>
    <xdr:clientData/>
  </xdr:twoCellAnchor>
  <xdr:twoCellAnchor>
    <xdr:from>
      <xdr:col>13</xdr:col>
      <xdr:colOff>182880</xdr:colOff>
      <xdr:row>6</xdr:row>
      <xdr:rowOff>45720</xdr:rowOff>
    </xdr:from>
    <xdr:to>
      <xdr:col>16</xdr:col>
      <xdr:colOff>274320</xdr:colOff>
      <xdr:row>7</xdr:row>
      <xdr:rowOff>121920</xdr:rowOff>
    </xdr:to>
    <xdr:sp macro="" textlink="Processing!F8">
      <xdr:nvSpPr>
        <xdr:cNvPr id="25" name="TextBox 24">
          <a:extLst>
            <a:ext uri="{FF2B5EF4-FFF2-40B4-BE49-F238E27FC236}">
              <a16:creationId xmlns:a16="http://schemas.microsoft.com/office/drawing/2014/main" id="{96452AF1-C435-4FDA-851E-E7C578E31FFD}"/>
            </a:ext>
          </a:extLst>
        </xdr:cNvPr>
        <xdr:cNvSpPr txBox="1"/>
      </xdr:nvSpPr>
      <xdr:spPr>
        <a:xfrm>
          <a:off x="8107680" y="114300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5BF732-635D-4689-9D10-F547B147261A}" type="TxLink">
            <a:rPr lang="en-US" sz="1100" b="1" i="0" u="none" strike="noStrike">
              <a:solidFill>
                <a:srgbClr val="3AC7E2"/>
              </a:solidFill>
              <a:latin typeface="Aptos Narrow"/>
            </a:rPr>
            <a:pPr/>
            <a:t> </a:t>
          </a:fld>
          <a:endParaRPr lang="ru-RU" sz="1400" b="1">
            <a:solidFill>
              <a:srgbClr val="3AC7E2"/>
            </a:solidFill>
          </a:endParaRPr>
        </a:p>
      </xdr:txBody>
    </xdr:sp>
    <xdr:clientData/>
  </xdr:twoCellAnchor>
  <xdr:twoCellAnchor>
    <xdr:from>
      <xdr:col>15</xdr:col>
      <xdr:colOff>38100</xdr:colOff>
      <xdr:row>10</xdr:row>
      <xdr:rowOff>30480</xdr:rowOff>
    </xdr:from>
    <xdr:to>
      <xdr:col>18</xdr:col>
      <xdr:colOff>129540</xdr:colOff>
      <xdr:row>11</xdr:row>
      <xdr:rowOff>106680</xdr:rowOff>
    </xdr:to>
    <xdr:sp macro="" textlink="Processing!F9">
      <xdr:nvSpPr>
        <xdr:cNvPr id="26" name="TextBox 25">
          <a:extLst>
            <a:ext uri="{FF2B5EF4-FFF2-40B4-BE49-F238E27FC236}">
              <a16:creationId xmlns:a16="http://schemas.microsoft.com/office/drawing/2014/main" id="{17403703-A56F-4BC6-818C-F06360CF4CD8}"/>
            </a:ext>
          </a:extLst>
        </xdr:cNvPr>
        <xdr:cNvSpPr txBox="1"/>
      </xdr:nvSpPr>
      <xdr:spPr>
        <a:xfrm>
          <a:off x="9182100" y="18592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365EFF-EB7E-4919-972A-80B97F224B96}" type="TxLink">
            <a:rPr lang="en-US" sz="1100" b="1" i="0" u="none" strike="noStrike">
              <a:solidFill>
                <a:srgbClr val="FF3F5F"/>
              </a:solidFill>
              <a:latin typeface="Aptos Narrow"/>
            </a:rPr>
            <a:pPr/>
            <a:t> </a:t>
          </a:fld>
          <a:endParaRPr lang="ru-RU" sz="1400" b="1">
            <a:solidFill>
              <a:srgbClr val="FF3F5F"/>
            </a:solidFill>
          </a:endParaRPr>
        </a:p>
      </xdr:txBody>
    </xdr:sp>
    <xdr:clientData/>
  </xdr:twoCellAnchor>
  <xdr:twoCellAnchor>
    <xdr:from>
      <xdr:col>15</xdr:col>
      <xdr:colOff>594360</xdr:colOff>
      <xdr:row>15</xdr:row>
      <xdr:rowOff>129540</xdr:rowOff>
    </xdr:from>
    <xdr:to>
      <xdr:col>19</xdr:col>
      <xdr:colOff>76200</xdr:colOff>
      <xdr:row>17</xdr:row>
      <xdr:rowOff>22860</xdr:rowOff>
    </xdr:to>
    <xdr:sp macro="" textlink="Processing!F10">
      <xdr:nvSpPr>
        <xdr:cNvPr id="27" name="TextBox 26">
          <a:extLst>
            <a:ext uri="{FF2B5EF4-FFF2-40B4-BE49-F238E27FC236}">
              <a16:creationId xmlns:a16="http://schemas.microsoft.com/office/drawing/2014/main" id="{1C1EB1FF-D1DF-43BA-9719-0C51A1DD633C}"/>
            </a:ext>
          </a:extLst>
        </xdr:cNvPr>
        <xdr:cNvSpPr txBox="1"/>
      </xdr:nvSpPr>
      <xdr:spPr>
        <a:xfrm>
          <a:off x="9738360" y="28727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2811A6-A163-4A21-AFC4-49E261EF835D}" type="TxLink">
            <a:rPr lang="en-US" sz="1100" b="1" i="0" u="none" strike="noStrike">
              <a:solidFill>
                <a:srgbClr val="00AE50"/>
              </a:solidFill>
              <a:latin typeface="Aptos Narrow"/>
            </a:rPr>
            <a:pPr/>
            <a:t> </a:t>
          </a:fld>
          <a:endParaRPr lang="ru-RU" sz="1400" b="1">
            <a:solidFill>
              <a:srgbClr val="00AE50"/>
            </a:solidFill>
          </a:endParaRPr>
        </a:p>
      </xdr:txBody>
    </xdr:sp>
    <xdr:clientData/>
  </xdr:twoCellAnchor>
  <xdr:twoCellAnchor>
    <xdr:from>
      <xdr:col>14</xdr:col>
      <xdr:colOff>137160</xdr:colOff>
      <xdr:row>23</xdr:row>
      <xdr:rowOff>68580</xdr:rowOff>
    </xdr:from>
    <xdr:to>
      <xdr:col>17</xdr:col>
      <xdr:colOff>228600</xdr:colOff>
      <xdr:row>24</xdr:row>
      <xdr:rowOff>144780</xdr:rowOff>
    </xdr:to>
    <xdr:sp macro="" textlink="Processing!F11">
      <xdr:nvSpPr>
        <xdr:cNvPr id="28" name="TextBox 27">
          <a:extLst>
            <a:ext uri="{FF2B5EF4-FFF2-40B4-BE49-F238E27FC236}">
              <a16:creationId xmlns:a16="http://schemas.microsoft.com/office/drawing/2014/main" id="{8D10040A-C925-4873-94C1-8EE319FACB1F}"/>
            </a:ext>
          </a:extLst>
        </xdr:cNvPr>
        <xdr:cNvSpPr txBox="1"/>
      </xdr:nvSpPr>
      <xdr:spPr>
        <a:xfrm>
          <a:off x="8671560" y="42748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04F4CC-D620-4A1A-91E2-A0DB22E7ED6C}" type="TxLink">
            <a:rPr lang="en-US" sz="1100" b="1" i="0" u="none" strike="noStrike">
              <a:solidFill>
                <a:srgbClr val="FF6903"/>
              </a:solidFill>
              <a:latin typeface="Aptos Narrow"/>
            </a:rPr>
            <a:pPr/>
            <a:t> </a:t>
          </a:fld>
          <a:endParaRPr lang="ru-RU" sz="1400" b="1">
            <a:solidFill>
              <a:srgbClr val="FF6903"/>
            </a:solidFill>
          </a:endParaRPr>
        </a:p>
      </xdr:txBody>
    </xdr:sp>
    <xdr:clientData/>
  </xdr:twoCellAnchor>
  <xdr:twoCellAnchor>
    <xdr:from>
      <xdr:col>9</xdr:col>
      <xdr:colOff>464820</xdr:colOff>
      <xdr:row>27</xdr:row>
      <xdr:rowOff>22860</xdr:rowOff>
    </xdr:from>
    <xdr:to>
      <xdr:col>12</xdr:col>
      <xdr:colOff>556260</xdr:colOff>
      <xdr:row>28</xdr:row>
      <xdr:rowOff>99060</xdr:rowOff>
    </xdr:to>
    <xdr:sp macro="" textlink="Processing!F12">
      <xdr:nvSpPr>
        <xdr:cNvPr id="29" name="TextBox 28">
          <a:extLst>
            <a:ext uri="{FF2B5EF4-FFF2-40B4-BE49-F238E27FC236}">
              <a16:creationId xmlns:a16="http://schemas.microsoft.com/office/drawing/2014/main" id="{01BD50C4-987F-472B-8A8B-C8015EF17EB1}"/>
            </a:ext>
          </a:extLst>
        </xdr:cNvPr>
        <xdr:cNvSpPr txBox="1"/>
      </xdr:nvSpPr>
      <xdr:spPr>
        <a:xfrm>
          <a:off x="5951220" y="49606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6761FB-A856-4177-ADEA-AFEEBA6D3E2D}" type="TxLink">
            <a:rPr lang="en-US" sz="1100" b="1" i="0" u="none" strike="noStrike">
              <a:solidFill>
                <a:srgbClr val="994CFE"/>
              </a:solidFill>
              <a:latin typeface="Aptos Narrow"/>
            </a:rPr>
            <a:pPr/>
            <a:t> </a:t>
          </a:fld>
          <a:endParaRPr lang="ru-RU" sz="1400" b="1">
            <a:solidFill>
              <a:srgbClr val="994CFE"/>
            </a:solidFill>
          </a:endParaRPr>
        </a:p>
      </xdr:txBody>
    </xdr:sp>
    <xdr:clientData/>
  </xdr:twoCellAnchor>
  <xdr:twoCellAnchor>
    <xdr:from>
      <xdr:col>10</xdr:col>
      <xdr:colOff>0</xdr:colOff>
      <xdr:row>4</xdr:row>
      <xdr:rowOff>175260</xdr:rowOff>
    </xdr:from>
    <xdr:to>
      <xdr:col>13</xdr:col>
      <xdr:colOff>91440</xdr:colOff>
      <xdr:row>6</xdr:row>
      <xdr:rowOff>68580</xdr:rowOff>
    </xdr:to>
    <xdr:sp macro="" textlink="Processing!F7">
      <xdr:nvSpPr>
        <xdr:cNvPr id="30" name="TextBox 29">
          <a:extLst>
            <a:ext uri="{FF2B5EF4-FFF2-40B4-BE49-F238E27FC236}">
              <a16:creationId xmlns:a16="http://schemas.microsoft.com/office/drawing/2014/main" id="{66F9FE9E-FBAC-4233-96AF-89E1F01DC30B}"/>
            </a:ext>
          </a:extLst>
        </xdr:cNvPr>
        <xdr:cNvSpPr txBox="1"/>
      </xdr:nvSpPr>
      <xdr:spPr>
        <a:xfrm>
          <a:off x="6096000" y="9067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21EE7-FFAB-4B53-87C6-AFC303FECE52}" type="TxLink">
            <a:rPr lang="en-US" sz="1100" b="1" i="0" u="none" strike="noStrike">
              <a:solidFill>
                <a:srgbClr val="FDB733"/>
              </a:solidFill>
              <a:latin typeface="Aptos Narrow"/>
            </a:rPr>
            <a:pPr/>
            <a:t> </a:t>
          </a:fld>
          <a:endParaRPr lang="ru-RU" sz="1400" b="1">
            <a:solidFill>
              <a:srgbClr val="FDB733"/>
            </a:solidFill>
          </a:endParaRPr>
        </a:p>
      </xdr:txBody>
    </xdr:sp>
    <xdr:clientData/>
  </xdr:twoCellAnchor>
  <xdr:twoCellAnchor>
    <xdr:from>
      <xdr:col>10</xdr:col>
      <xdr:colOff>0</xdr:colOff>
      <xdr:row>6</xdr:row>
      <xdr:rowOff>7620</xdr:rowOff>
    </xdr:from>
    <xdr:to>
      <xdr:col>13</xdr:col>
      <xdr:colOff>91440</xdr:colOff>
      <xdr:row>9</xdr:row>
      <xdr:rowOff>7620</xdr:rowOff>
    </xdr:to>
    <xdr:sp macro="" textlink="Processing!H7">
      <xdr:nvSpPr>
        <xdr:cNvPr id="31" name="TextBox 30">
          <a:extLst>
            <a:ext uri="{FF2B5EF4-FFF2-40B4-BE49-F238E27FC236}">
              <a16:creationId xmlns:a16="http://schemas.microsoft.com/office/drawing/2014/main" id="{3B939F8C-D0B8-47DA-B0F4-7D71FF87B8D1}"/>
            </a:ext>
          </a:extLst>
        </xdr:cNvPr>
        <xdr:cNvSpPr txBox="1"/>
      </xdr:nvSpPr>
      <xdr:spPr>
        <a:xfrm>
          <a:off x="6096000" y="110490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00660B-EFA5-4D0C-8FD0-CFA5982F4F02}" type="TxLink">
            <a:rPr lang="en-US" sz="800" b="0" i="0" u="none" strike="noStrike">
              <a:solidFill>
                <a:srgbClr val="0096D4"/>
              </a:solidFill>
              <a:latin typeface="Aptos Narrow"/>
            </a:rPr>
            <a:pPr/>
            <a:t>Market analysis and location selection – studying competitors, target audience, foot traffic, and rental options.</a:t>
          </a:fld>
          <a:endParaRPr lang="ru-RU" sz="1000" b="1">
            <a:solidFill>
              <a:srgbClr val="0096D4"/>
            </a:solidFill>
          </a:endParaRPr>
        </a:p>
      </xdr:txBody>
    </xdr:sp>
    <xdr:clientData/>
  </xdr:twoCellAnchor>
  <xdr:twoCellAnchor>
    <xdr:from>
      <xdr:col>13</xdr:col>
      <xdr:colOff>182880</xdr:colOff>
      <xdr:row>7</xdr:row>
      <xdr:rowOff>60960</xdr:rowOff>
    </xdr:from>
    <xdr:to>
      <xdr:col>16</xdr:col>
      <xdr:colOff>274320</xdr:colOff>
      <xdr:row>10</xdr:row>
      <xdr:rowOff>60960</xdr:rowOff>
    </xdr:to>
    <xdr:sp macro="" textlink="Processing!H8">
      <xdr:nvSpPr>
        <xdr:cNvPr id="32" name="TextBox 31">
          <a:extLst>
            <a:ext uri="{FF2B5EF4-FFF2-40B4-BE49-F238E27FC236}">
              <a16:creationId xmlns:a16="http://schemas.microsoft.com/office/drawing/2014/main" id="{30CCC95C-22CF-4951-B0F9-D036064DA835}"/>
            </a:ext>
          </a:extLst>
        </xdr:cNvPr>
        <xdr:cNvSpPr txBox="1"/>
      </xdr:nvSpPr>
      <xdr:spPr>
        <a:xfrm>
          <a:off x="8107680" y="134112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C54F8-BE00-4E26-878E-A5D0CD4E069C}" type="TxLink">
            <a:rPr lang="en-US" sz="800" b="0" i="0" u="none" strike="noStrike">
              <a:solidFill>
                <a:srgbClr val="0096D4"/>
              </a:solidFill>
              <a:latin typeface="Aptos Narrow"/>
            </a:rPr>
            <a:pPr/>
            <a:t>Renovation and site preparation – construction work, finishing, and setting up utilities.</a:t>
          </a:fld>
          <a:endParaRPr lang="ru-RU" sz="1000" b="1">
            <a:solidFill>
              <a:srgbClr val="0096D4"/>
            </a:solidFill>
          </a:endParaRPr>
        </a:p>
      </xdr:txBody>
    </xdr:sp>
    <xdr:clientData/>
  </xdr:twoCellAnchor>
  <xdr:twoCellAnchor>
    <xdr:from>
      <xdr:col>15</xdr:col>
      <xdr:colOff>25101</xdr:colOff>
      <xdr:row>11</xdr:row>
      <xdr:rowOff>45720</xdr:rowOff>
    </xdr:from>
    <xdr:to>
      <xdr:col>18</xdr:col>
      <xdr:colOff>116541</xdr:colOff>
      <xdr:row>14</xdr:row>
      <xdr:rowOff>45720</xdr:rowOff>
    </xdr:to>
    <xdr:sp macro="" textlink="Processing!H9">
      <xdr:nvSpPr>
        <xdr:cNvPr id="33" name="TextBox 32">
          <a:extLst>
            <a:ext uri="{FF2B5EF4-FFF2-40B4-BE49-F238E27FC236}">
              <a16:creationId xmlns:a16="http://schemas.microsoft.com/office/drawing/2014/main" id="{1F53318F-3989-4CAA-80F4-E9C3E8E6A896}"/>
            </a:ext>
          </a:extLst>
        </xdr:cNvPr>
        <xdr:cNvSpPr txBox="1"/>
      </xdr:nvSpPr>
      <xdr:spPr>
        <a:xfrm>
          <a:off x="9169101" y="205740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96858D-3C9E-4FFF-ACB4-633D6F2EC52D}" type="TxLink">
            <a:rPr lang="en-US" sz="800" b="0" i="0" u="none" strike="noStrike">
              <a:solidFill>
                <a:srgbClr val="0096D4"/>
              </a:solidFill>
              <a:latin typeface="Aptos Narrow"/>
            </a:rPr>
            <a:pPr/>
            <a:t>Purchasing and installing equipment – shelves, cash registers, lighting, and furniture.</a:t>
          </a:fld>
          <a:endParaRPr lang="ru-RU" sz="1000" b="1">
            <a:solidFill>
              <a:srgbClr val="0096D4"/>
            </a:solidFill>
          </a:endParaRPr>
        </a:p>
      </xdr:txBody>
    </xdr:sp>
    <xdr:clientData/>
  </xdr:twoCellAnchor>
  <xdr:twoCellAnchor>
    <xdr:from>
      <xdr:col>15</xdr:col>
      <xdr:colOff>594360</xdr:colOff>
      <xdr:row>16</xdr:row>
      <xdr:rowOff>144780</xdr:rowOff>
    </xdr:from>
    <xdr:to>
      <xdr:col>19</xdr:col>
      <xdr:colOff>76200</xdr:colOff>
      <xdr:row>19</xdr:row>
      <xdr:rowOff>144780</xdr:rowOff>
    </xdr:to>
    <xdr:sp macro="" textlink="Processing!H10">
      <xdr:nvSpPr>
        <xdr:cNvPr id="34" name="TextBox 33">
          <a:extLst>
            <a:ext uri="{FF2B5EF4-FFF2-40B4-BE49-F238E27FC236}">
              <a16:creationId xmlns:a16="http://schemas.microsoft.com/office/drawing/2014/main" id="{1EAB22F3-EB1F-45A8-AF42-5E12232E9C73}"/>
            </a:ext>
          </a:extLst>
        </xdr:cNvPr>
        <xdr:cNvSpPr txBox="1"/>
      </xdr:nvSpPr>
      <xdr:spPr>
        <a:xfrm>
          <a:off x="9738360" y="307086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BF6636-4927-473C-BE43-7C06611F6FB6}" type="TxLink">
            <a:rPr lang="en-US" sz="800" b="0" i="0" u="none" strike="noStrike">
              <a:solidFill>
                <a:srgbClr val="0096D4"/>
              </a:solidFill>
              <a:latin typeface="Aptos Narrow"/>
            </a:rPr>
            <a:pPr/>
            <a:t>Forming the product assortment – signing contracts with suppliers and purchasing initial inventory.</a:t>
          </a:fld>
          <a:endParaRPr lang="ru-RU" sz="1000" b="1">
            <a:solidFill>
              <a:srgbClr val="0096D4"/>
            </a:solidFill>
          </a:endParaRPr>
        </a:p>
      </xdr:txBody>
    </xdr:sp>
    <xdr:clientData/>
  </xdr:twoCellAnchor>
  <xdr:twoCellAnchor>
    <xdr:from>
      <xdr:col>14</xdr:col>
      <xdr:colOff>137160</xdr:colOff>
      <xdr:row>24</xdr:row>
      <xdr:rowOff>83820</xdr:rowOff>
    </xdr:from>
    <xdr:to>
      <xdr:col>17</xdr:col>
      <xdr:colOff>228600</xdr:colOff>
      <xdr:row>27</xdr:row>
      <xdr:rowOff>83820</xdr:rowOff>
    </xdr:to>
    <xdr:sp macro="" textlink="Processing!H11">
      <xdr:nvSpPr>
        <xdr:cNvPr id="35" name="TextBox 34">
          <a:extLst>
            <a:ext uri="{FF2B5EF4-FFF2-40B4-BE49-F238E27FC236}">
              <a16:creationId xmlns:a16="http://schemas.microsoft.com/office/drawing/2014/main" id="{3F13B916-8265-4B6C-95AA-E96607F1D01F}"/>
            </a:ext>
          </a:extLst>
        </xdr:cNvPr>
        <xdr:cNvSpPr txBox="1"/>
      </xdr:nvSpPr>
      <xdr:spPr>
        <a:xfrm>
          <a:off x="8671560" y="447294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8F3ACE-80B2-47FB-91F4-78214FCAC328}" type="TxLink">
            <a:rPr lang="en-US" sz="800" b="0" i="0" u="none" strike="noStrike">
              <a:solidFill>
                <a:srgbClr val="0096D4"/>
              </a:solidFill>
              <a:latin typeface="Aptos Narrow"/>
            </a:rPr>
            <a:pPr/>
            <a:t>Hiring and training staff – recruiting employees, conducting training, and processing paperwork.</a:t>
          </a:fld>
          <a:endParaRPr lang="ru-RU" sz="1000" b="1">
            <a:solidFill>
              <a:srgbClr val="0096D4"/>
            </a:solidFill>
          </a:endParaRPr>
        </a:p>
      </xdr:txBody>
    </xdr:sp>
    <xdr:clientData/>
  </xdr:twoCellAnchor>
  <xdr:twoCellAnchor>
    <xdr:from>
      <xdr:col>9</xdr:col>
      <xdr:colOff>464820</xdr:colOff>
      <xdr:row>28</xdr:row>
      <xdr:rowOff>38100</xdr:rowOff>
    </xdr:from>
    <xdr:to>
      <xdr:col>12</xdr:col>
      <xdr:colOff>556260</xdr:colOff>
      <xdr:row>31</xdr:row>
      <xdr:rowOff>38100</xdr:rowOff>
    </xdr:to>
    <xdr:sp macro="" textlink="Processing!H12">
      <xdr:nvSpPr>
        <xdr:cNvPr id="36" name="TextBox 35">
          <a:extLst>
            <a:ext uri="{FF2B5EF4-FFF2-40B4-BE49-F238E27FC236}">
              <a16:creationId xmlns:a16="http://schemas.microsoft.com/office/drawing/2014/main" id="{A03F2722-B8F0-411F-9747-2FD89282C9B3}"/>
            </a:ext>
          </a:extLst>
        </xdr:cNvPr>
        <xdr:cNvSpPr txBox="1"/>
      </xdr:nvSpPr>
      <xdr:spPr>
        <a:xfrm>
          <a:off x="5951220" y="5158740"/>
          <a:ext cx="19202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483B82-9154-41B4-BDFF-B1DB336B1B9C}" type="TxLink">
            <a:rPr lang="en-US" sz="800" b="0" i="0" u="none" strike="noStrike">
              <a:solidFill>
                <a:srgbClr val="0096D4"/>
              </a:solidFill>
              <a:latin typeface="Aptos Narrow"/>
            </a:rPr>
            <a:pPr/>
            <a:t>Developing a marketing strategy – advertising campaigns, social media setup, and promotions.</a:t>
          </a:fld>
          <a:endParaRPr lang="ru-RU" sz="1000" b="1">
            <a:solidFill>
              <a:srgbClr val="0096D4"/>
            </a:solidFill>
          </a:endParaRPr>
        </a:p>
      </xdr:txBody>
    </xdr:sp>
    <xdr:clientData/>
  </xdr:twoCellAnchor>
  <xdr:twoCellAnchor editAs="oneCell">
    <xdr:from>
      <xdr:col>7</xdr:col>
      <xdr:colOff>182187</xdr:colOff>
      <xdr:row>1</xdr:row>
      <xdr:rowOff>114300</xdr:rowOff>
    </xdr:from>
    <xdr:to>
      <xdr:col>15</xdr:col>
      <xdr:colOff>555567</xdr:colOff>
      <xdr:row>4</xdr:row>
      <xdr:rowOff>106680</xdr:rowOff>
    </xdr:to>
    <mc:AlternateContent xmlns:mc="http://schemas.openxmlformats.org/markup-compatibility/2006" xmlns:a14="http://schemas.microsoft.com/office/drawing/2010/main">
      <mc:Choice Requires="a14">
        <xdr:graphicFrame macro="">
          <xdr:nvGraphicFramePr>
            <xdr:cNvPr id="37" name="Button Value 1">
              <a:extLst>
                <a:ext uri="{FF2B5EF4-FFF2-40B4-BE49-F238E27FC236}">
                  <a16:creationId xmlns:a16="http://schemas.microsoft.com/office/drawing/2014/main" id="{A26ACCAA-ED70-4FDA-A7C7-44BE961C58FB}"/>
                </a:ext>
              </a:extLst>
            </xdr:cNvPr>
            <xdr:cNvGraphicFramePr/>
          </xdr:nvGraphicFramePr>
          <xdr:xfrm>
            <a:off x="0" y="0"/>
            <a:ext cx="0" cy="0"/>
          </xdr:xfrm>
          <a:graphic>
            <a:graphicData uri="http://schemas.microsoft.com/office/drawing/2010/slicer">
              <sle:slicer xmlns:sle="http://schemas.microsoft.com/office/drawing/2010/slicer" name="Button Value 1"/>
            </a:graphicData>
          </a:graphic>
        </xdr:graphicFrame>
      </mc:Choice>
      <mc:Fallback xmlns="">
        <xdr:sp macro="" textlink="">
          <xdr:nvSpPr>
            <xdr:cNvPr id="0" name=""/>
            <xdr:cNvSpPr>
              <a:spLocks noTextEdit="1"/>
            </xdr:cNvSpPr>
          </xdr:nvSpPr>
          <xdr:spPr>
            <a:xfrm>
              <a:off x="4449387" y="298450"/>
              <a:ext cx="5250180" cy="54483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6</xdr:row>
      <xdr:rowOff>45720</xdr:rowOff>
    </xdr:from>
    <xdr:to>
      <xdr:col>16</xdr:col>
      <xdr:colOff>274320</xdr:colOff>
      <xdr:row>7</xdr:row>
      <xdr:rowOff>121920</xdr:rowOff>
    </xdr:to>
    <xdr:sp macro="" textlink="Processing!G8">
      <xdr:nvSpPr>
        <xdr:cNvPr id="38" name="TextBox 37">
          <a:extLst>
            <a:ext uri="{FF2B5EF4-FFF2-40B4-BE49-F238E27FC236}">
              <a16:creationId xmlns:a16="http://schemas.microsoft.com/office/drawing/2014/main" id="{948A9F32-4AD9-4273-ACB9-B608C7DAFE21}"/>
            </a:ext>
          </a:extLst>
        </xdr:cNvPr>
        <xdr:cNvSpPr txBox="1"/>
      </xdr:nvSpPr>
      <xdr:spPr>
        <a:xfrm>
          <a:off x="8107680" y="114300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5FF476-020B-494D-9726-9DB960C2C29A}" type="TxLink">
            <a:rPr lang="en-US" sz="1100" b="1" i="0" u="none" strike="noStrike">
              <a:solidFill>
                <a:srgbClr val="57CDFF"/>
              </a:solidFill>
              <a:latin typeface="Aptos Narrow"/>
            </a:rPr>
            <a:pPr/>
            <a:t>APRIL - Renovation</a:t>
          </a:fld>
          <a:endParaRPr lang="ru-RU" sz="1400" b="1">
            <a:solidFill>
              <a:srgbClr val="57CDFF"/>
            </a:solidFill>
          </a:endParaRPr>
        </a:p>
      </xdr:txBody>
    </xdr:sp>
    <xdr:clientData/>
  </xdr:twoCellAnchor>
  <xdr:twoCellAnchor>
    <xdr:from>
      <xdr:col>15</xdr:col>
      <xdr:colOff>38100</xdr:colOff>
      <xdr:row>10</xdr:row>
      <xdr:rowOff>30480</xdr:rowOff>
    </xdr:from>
    <xdr:to>
      <xdr:col>18</xdr:col>
      <xdr:colOff>129540</xdr:colOff>
      <xdr:row>11</xdr:row>
      <xdr:rowOff>106680</xdr:rowOff>
    </xdr:to>
    <xdr:sp macro="" textlink="Processing!G9">
      <xdr:nvSpPr>
        <xdr:cNvPr id="39" name="TextBox 38">
          <a:extLst>
            <a:ext uri="{FF2B5EF4-FFF2-40B4-BE49-F238E27FC236}">
              <a16:creationId xmlns:a16="http://schemas.microsoft.com/office/drawing/2014/main" id="{2A3B8732-1723-4EBD-A6EB-90B191BBC7CE}"/>
            </a:ext>
          </a:extLst>
        </xdr:cNvPr>
        <xdr:cNvSpPr txBox="1"/>
      </xdr:nvSpPr>
      <xdr:spPr>
        <a:xfrm>
          <a:off x="9182100" y="18592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32144D-A8EA-425F-A22B-7B4582CB4D34}" type="TxLink">
            <a:rPr lang="en-US" sz="1100" b="1" i="0" u="none" strike="noStrike">
              <a:solidFill>
                <a:srgbClr val="57CDFF"/>
              </a:solidFill>
              <a:latin typeface="Aptos Narrow"/>
            </a:rPr>
            <a:pPr/>
            <a:t>MAY - Equipment</a:t>
          </a:fld>
          <a:endParaRPr lang="ru-RU" sz="1400" b="1">
            <a:solidFill>
              <a:srgbClr val="57CDFF"/>
            </a:solidFill>
          </a:endParaRPr>
        </a:p>
      </xdr:txBody>
    </xdr:sp>
    <xdr:clientData/>
  </xdr:twoCellAnchor>
  <xdr:twoCellAnchor>
    <xdr:from>
      <xdr:col>15</xdr:col>
      <xdr:colOff>594360</xdr:colOff>
      <xdr:row>15</xdr:row>
      <xdr:rowOff>129540</xdr:rowOff>
    </xdr:from>
    <xdr:to>
      <xdr:col>19</xdr:col>
      <xdr:colOff>76200</xdr:colOff>
      <xdr:row>17</xdr:row>
      <xdr:rowOff>22860</xdr:rowOff>
    </xdr:to>
    <xdr:sp macro="" textlink="Processing!G10">
      <xdr:nvSpPr>
        <xdr:cNvPr id="40" name="TextBox 39">
          <a:extLst>
            <a:ext uri="{FF2B5EF4-FFF2-40B4-BE49-F238E27FC236}">
              <a16:creationId xmlns:a16="http://schemas.microsoft.com/office/drawing/2014/main" id="{E0EBEF0D-F22C-4898-AFCC-1C1EAFD038EA}"/>
            </a:ext>
          </a:extLst>
        </xdr:cNvPr>
        <xdr:cNvSpPr txBox="1"/>
      </xdr:nvSpPr>
      <xdr:spPr>
        <a:xfrm>
          <a:off x="9738360" y="28727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546AA-1449-4333-97C3-2E7F4FFEA8C8}" type="TxLink">
            <a:rPr lang="en-US" sz="1100" b="1" i="0" u="none" strike="noStrike">
              <a:solidFill>
                <a:srgbClr val="57CDFF"/>
              </a:solidFill>
              <a:latin typeface="Aptos Narrow"/>
            </a:rPr>
            <a:pPr/>
            <a:t>JUNE - Assortment</a:t>
          </a:fld>
          <a:endParaRPr lang="ru-RU" sz="1400" b="1">
            <a:solidFill>
              <a:srgbClr val="57CDFF"/>
            </a:solidFill>
          </a:endParaRPr>
        </a:p>
      </xdr:txBody>
    </xdr:sp>
    <xdr:clientData/>
  </xdr:twoCellAnchor>
  <xdr:twoCellAnchor>
    <xdr:from>
      <xdr:col>14</xdr:col>
      <xdr:colOff>137160</xdr:colOff>
      <xdr:row>23</xdr:row>
      <xdr:rowOff>68580</xdr:rowOff>
    </xdr:from>
    <xdr:to>
      <xdr:col>17</xdr:col>
      <xdr:colOff>228600</xdr:colOff>
      <xdr:row>24</xdr:row>
      <xdr:rowOff>144780</xdr:rowOff>
    </xdr:to>
    <xdr:sp macro="" textlink="Processing!G11">
      <xdr:nvSpPr>
        <xdr:cNvPr id="41" name="TextBox 40">
          <a:extLst>
            <a:ext uri="{FF2B5EF4-FFF2-40B4-BE49-F238E27FC236}">
              <a16:creationId xmlns:a16="http://schemas.microsoft.com/office/drawing/2014/main" id="{83A47AF4-0151-40F4-82F0-F6FFEBCC10DD}"/>
            </a:ext>
          </a:extLst>
        </xdr:cNvPr>
        <xdr:cNvSpPr txBox="1"/>
      </xdr:nvSpPr>
      <xdr:spPr>
        <a:xfrm>
          <a:off x="8671560" y="42748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50D804-C5A7-4F6C-BC0E-3D28C19B1BCD}" type="TxLink">
            <a:rPr lang="en-US" sz="1100" b="1" i="0" u="none" strike="noStrike">
              <a:solidFill>
                <a:srgbClr val="57CDFF"/>
              </a:solidFill>
              <a:latin typeface="Aptos Narrow"/>
            </a:rPr>
            <a:pPr/>
            <a:t>JULY - Staff</a:t>
          </a:fld>
          <a:endParaRPr lang="ru-RU" sz="1400" b="1">
            <a:solidFill>
              <a:srgbClr val="57CDFF"/>
            </a:solidFill>
          </a:endParaRPr>
        </a:p>
      </xdr:txBody>
    </xdr:sp>
    <xdr:clientData/>
  </xdr:twoCellAnchor>
  <xdr:twoCellAnchor>
    <xdr:from>
      <xdr:col>9</xdr:col>
      <xdr:colOff>464820</xdr:colOff>
      <xdr:row>27</xdr:row>
      <xdr:rowOff>22860</xdr:rowOff>
    </xdr:from>
    <xdr:to>
      <xdr:col>12</xdr:col>
      <xdr:colOff>556260</xdr:colOff>
      <xdr:row>28</xdr:row>
      <xdr:rowOff>99060</xdr:rowOff>
    </xdr:to>
    <xdr:sp macro="" textlink="Processing!G12">
      <xdr:nvSpPr>
        <xdr:cNvPr id="42" name="TextBox 41">
          <a:extLst>
            <a:ext uri="{FF2B5EF4-FFF2-40B4-BE49-F238E27FC236}">
              <a16:creationId xmlns:a16="http://schemas.microsoft.com/office/drawing/2014/main" id="{C0294A19-6EC2-4511-BD62-F146558209F9}"/>
            </a:ext>
          </a:extLst>
        </xdr:cNvPr>
        <xdr:cNvSpPr txBox="1"/>
      </xdr:nvSpPr>
      <xdr:spPr>
        <a:xfrm>
          <a:off x="5951220" y="496062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8E27E-2996-4413-99BB-4DF07B437091}" type="TxLink">
            <a:rPr lang="en-US" sz="1100" b="1" i="0" u="none" strike="noStrike">
              <a:solidFill>
                <a:srgbClr val="57CDFF"/>
              </a:solidFill>
              <a:latin typeface="Aptos Narrow"/>
            </a:rPr>
            <a:pPr/>
            <a:t>AUGUST - Strategy</a:t>
          </a:fld>
          <a:endParaRPr lang="ru-RU" sz="1400" b="1">
            <a:solidFill>
              <a:srgbClr val="57CDFF"/>
            </a:solidFill>
          </a:endParaRPr>
        </a:p>
      </xdr:txBody>
    </xdr:sp>
    <xdr:clientData/>
  </xdr:twoCellAnchor>
  <xdr:twoCellAnchor>
    <xdr:from>
      <xdr:col>10</xdr:col>
      <xdr:colOff>0</xdr:colOff>
      <xdr:row>4</xdr:row>
      <xdr:rowOff>175260</xdr:rowOff>
    </xdr:from>
    <xdr:to>
      <xdr:col>13</xdr:col>
      <xdr:colOff>91440</xdr:colOff>
      <xdr:row>6</xdr:row>
      <xdr:rowOff>68580</xdr:rowOff>
    </xdr:to>
    <xdr:sp macro="" textlink="Processing!G7">
      <xdr:nvSpPr>
        <xdr:cNvPr id="43" name="TextBox 42">
          <a:extLst>
            <a:ext uri="{FF2B5EF4-FFF2-40B4-BE49-F238E27FC236}">
              <a16:creationId xmlns:a16="http://schemas.microsoft.com/office/drawing/2014/main" id="{F023DB65-40AF-4084-95AE-5AD9B03ECBA4}"/>
            </a:ext>
          </a:extLst>
        </xdr:cNvPr>
        <xdr:cNvSpPr txBox="1"/>
      </xdr:nvSpPr>
      <xdr:spPr>
        <a:xfrm>
          <a:off x="6096000" y="90678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C355BA-758B-4F99-A059-A7A874FBC399}" type="TxLink">
            <a:rPr lang="en-US" sz="1100" b="1" i="0" u="none" strike="noStrike">
              <a:solidFill>
                <a:srgbClr val="57CDFF"/>
              </a:solidFill>
              <a:latin typeface="Aptos Narrow"/>
            </a:rPr>
            <a:pPr/>
            <a:t>JANUARY - Market Analysis</a:t>
          </a:fld>
          <a:endParaRPr lang="ru-RU" sz="1400" b="1">
            <a:solidFill>
              <a:srgbClr val="57CDFF"/>
            </a:solidFill>
          </a:endParaRPr>
        </a:p>
      </xdr:txBody>
    </xdr:sp>
    <xdr:clientData/>
  </xdr:twoCellAnchor>
  <xdr:twoCellAnchor>
    <xdr:from>
      <xdr:col>7</xdr:col>
      <xdr:colOff>381000</xdr:colOff>
      <xdr:row>13</xdr:row>
      <xdr:rowOff>144780</xdr:rowOff>
    </xdr:from>
    <xdr:to>
      <xdr:col>10</xdr:col>
      <xdr:colOff>472440</xdr:colOff>
      <xdr:row>18</xdr:row>
      <xdr:rowOff>114300</xdr:rowOff>
    </xdr:to>
    <xdr:sp macro="" textlink="Processing!E4">
      <xdr:nvSpPr>
        <xdr:cNvPr id="44" name="TextBox 43">
          <a:extLst>
            <a:ext uri="{FF2B5EF4-FFF2-40B4-BE49-F238E27FC236}">
              <a16:creationId xmlns:a16="http://schemas.microsoft.com/office/drawing/2014/main" id="{F9F50DBE-E35F-4C31-93DD-246168ED0CBF}"/>
            </a:ext>
          </a:extLst>
        </xdr:cNvPr>
        <xdr:cNvSpPr txBox="1"/>
      </xdr:nvSpPr>
      <xdr:spPr>
        <a:xfrm>
          <a:off x="4648200" y="2522220"/>
          <a:ext cx="19202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0E3C456-1A00-41E9-803E-001D9871F3AC}" type="TxLink">
            <a:rPr lang="en-US" sz="6000" b="1" i="0" u="none" strike="noStrike">
              <a:solidFill>
                <a:srgbClr val="68EAFE"/>
              </a:solidFill>
              <a:latin typeface="Aptos Narrow"/>
            </a:rPr>
            <a:pPr algn="r"/>
            <a:t>0%</a:t>
          </a:fld>
          <a:endParaRPr lang="ru-RU" sz="7200" b="1" i="0">
            <a:solidFill>
              <a:srgbClr val="68EAFE"/>
            </a:solidFill>
          </a:endParaRPr>
        </a:p>
      </xdr:txBody>
    </xdr:sp>
    <xdr:clientData/>
  </xdr:twoCellAnchor>
  <xdr:twoCellAnchor editAs="absolute">
    <xdr:from>
      <xdr:col>5</xdr:col>
      <xdr:colOff>311728</xdr:colOff>
      <xdr:row>0</xdr:row>
      <xdr:rowOff>166254</xdr:rowOff>
    </xdr:from>
    <xdr:to>
      <xdr:col>6</xdr:col>
      <xdr:colOff>586220</xdr:colOff>
      <xdr:row>4</xdr:row>
      <xdr:rowOff>145473</xdr:rowOff>
    </xdr:to>
    <mc:AlternateContent xmlns:mc="http://schemas.openxmlformats.org/markup-compatibility/2006" xmlns:sle15="http://schemas.microsoft.com/office/drawing/2012/slicer">
      <mc:Choice Requires="sle15">
        <xdr:graphicFrame macro="">
          <xdr:nvGraphicFramePr>
            <xdr:cNvPr id="45" name="half-year 1">
              <a:extLst>
                <a:ext uri="{FF2B5EF4-FFF2-40B4-BE49-F238E27FC236}">
                  <a16:creationId xmlns:a16="http://schemas.microsoft.com/office/drawing/2014/main" id="{318204A1-08EE-4431-97D6-ECF471F559AC}"/>
                </a:ext>
              </a:extLst>
            </xdr:cNvPr>
            <xdr:cNvGraphicFramePr/>
          </xdr:nvGraphicFramePr>
          <xdr:xfrm>
            <a:off x="0" y="0"/>
            <a:ext cx="0" cy="0"/>
          </xdr:xfrm>
          <a:graphic>
            <a:graphicData uri="http://schemas.microsoft.com/office/drawing/2010/slicer">
              <sle:slicer xmlns:sle="http://schemas.microsoft.com/office/drawing/2010/slicer" name="half-year 1"/>
            </a:graphicData>
          </a:graphic>
        </xdr:graphicFrame>
      </mc:Choice>
      <mc:Fallback xmlns="">
        <xdr:sp macro="" textlink="">
          <xdr:nvSpPr>
            <xdr:cNvPr id="0" name=""/>
            <xdr:cNvSpPr>
              <a:spLocks noTextEdit="1"/>
            </xdr:cNvSpPr>
          </xdr:nvSpPr>
          <xdr:spPr>
            <a:xfrm>
              <a:off x="3359728" y="166254"/>
              <a:ext cx="893617" cy="710739"/>
            </a:xfrm>
            <a:prstGeom prst="rect">
              <a:avLst/>
            </a:prstGeom>
            <a:solidFill>
              <a:prstClr val="white"/>
            </a:solidFill>
            <a:ln w="1">
              <a:solidFill>
                <a:prstClr val="green"/>
              </a:solidFill>
            </a:ln>
          </xdr:spPr>
          <xdr:txBody>
            <a:bodyPr vertOverflow="clip" horzOverflow="clip"/>
            <a:lstStyle/>
            <a:p>
              <a:r>
                <a:rPr lang="ru-R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542305</xdr:colOff>
      <xdr:row>21</xdr:row>
      <xdr:rowOff>130829</xdr:rowOff>
    </xdr:from>
    <xdr:to>
      <xdr:col>8</xdr:col>
      <xdr:colOff>340030</xdr:colOff>
      <xdr:row>26</xdr:row>
      <xdr:rowOff>160614</xdr:rowOff>
    </xdr:to>
    <xdr:sp macro="" textlink="Processing!A2">
      <xdr:nvSpPr>
        <xdr:cNvPr id="46" name="TextBox 45">
          <a:extLst>
            <a:ext uri="{FF2B5EF4-FFF2-40B4-BE49-F238E27FC236}">
              <a16:creationId xmlns:a16="http://schemas.microsoft.com/office/drawing/2014/main" id="{865514B8-B3A2-4520-932A-7BC141E8FDB1}"/>
            </a:ext>
          </a:extLst>
        </xdr:cNvPr>
        <xdr:cNvSpPr txBox="1"/>
      </xdr:nvSpPr>
      <xdr:spPr>
        <a:xfrm>
          <a:off x="542305" y="3971309"/>
          <a:ext cx="4674525" cy="944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1B6D8C-D679-482D-9EFB-343262BD91FA}" type="TxLink">
            <a:rPr lang="en-US" sz="4400" b="1" i="0" u="none" strike="noStrike"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tos Narrow"/>
            </a:rPr>
            <a:pPr/>
            <a:t>Roadmap Chart</a:t>
          </a:fld>
          <a:endParaRPr lang="ru-RU" sz="4400" b="1"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5</xdr:col>
      <xdr:colOff>408710</xdr:colOff>
      <xdr:row>15</xdr:row>
      <xdr:rowOff>32558</xdr:rowOff>
    </xdr:from>
    <xdr:to>
      <xdr:col>7</xdr:col>
      <xdr:colOff>561110</xdr:colOff>
      <xdr:row>17</xdr:row>
      <xdr:rowOff>110836</xdr:rowOff>
    </xdr:to>
    <xdr:sp macro="" textlink="">
      <xdr:nvSpPr>
        <xdr:cNvPr id="47" name="TextBox 46">
          <a:extLst>
            <a:ext uri="{FF2B5EF4-FFF2-40B4-BE49-F238E27FC236}">
              <a16:creationId xmlns:a16="http://schemas.microsoft.com/office/drawing/2014/main" id="{82400F8F-B039-4761-8EF3-BDBE7EC69EE0}"/>
            </a:ext>
          </a:extLst>
        </xdr:cNvPr>
        <xdr:cNvSpPr txBox="1"/>
      </xdr:nvSpPr>
      <xdr:spPr>
        <a:xfrm>
          <a:off x="3456710" y="2775758"/>
          <a:ext cx="1371600" cy="44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96D4"/>
              </a:solidFill>
            </a:rPr>
            <a:t>Progress</a:t>
          </a:r>
          <a:endParaRPr lang="ru-RU" sz="2400" b="1">
            <a:solidFill>
              <a:srgbClr val="0096D4"/>
            </a:solidFill>
          </a:endParaRPr>
        </a:p>
      </xdr:txBody>
    </xdr:sp>
    <xdr:clientData/>
  </xdr:twoCellAnchor>
  <xdr:twoCellAnchor editAs="oneCell">
    <xdr:from>
      <xdr:col>1</xdr:col>
      <xdr:colOff>0</xdr:colOff>
      <xdr:row>2</xdr:row>
      <xdr:rowOff>0</xdr:rowOff>
    </xdr:from>
    <xdr:to>
      <xdr:col>1</xdr:col>
      <xdr:colOff>274320</xdr:colOff>
      <xdr:row>3</xdr:row>
      <xdr:rowOff>94211</xdr:rowOff>
    </xdr:to>
    <xdr:pic>
      <xdr:nvPicPr>
        <xdr:cNvPr id="57" name="Graphic 56" descr="Sun with solid fill">
          <a:hlinkClick xmlns:r="http://schemas.openxmlformats.org/officeDocument/2006/relationships" r:id="rId2"/>
          <a:extLst>
            <a:ext uri="{FF2B5EF4-FFF2-40B4-BE49-F238E27FC236}">
              <a16:creationId xmlns:a16="http://schemas.microsoft.com/office/drawing/2014/main" id="{3F7501B0-F666-D2CF-EA52-953778D7E6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360218"/>
          <a:ext cx="274320" cy="274320"/>
        </a:xfrm>
        <a:prstGeom prst="rect">
          <a:avLst/>
        </a:prstGeom>
      </xdr:spPr>
    </xdr:pic>
    <xdr:clientData/>
  </xdr:twoCellAnchor>
  <xdr:twoCellAnchor editAs="oneCell">
    <xdr:from>
      <xdr:col>2</xdr:col>
      <xdr:colOff>0</xdr:colOff>
      <xdr:row>2</xdr:row>
      <xdr:rowOff>0</xdr:rowOff>
    </xdr:from>
    <xdr:to>
      <xdr:col>2</xdr:col>
      <xdr:colOff>274320</xdr:colOff>
      <xdr:row>3</xdr:row>
      <xdr:rowOff>94211</xdr:rowOff>
    </xdr:to>
    <xdr:pic>
      <xdr:nvPicPr>
        <xdr:cNvPr id="59" name="Graphic 58" descr="Moon and stars with solid fill">
          <a:extLst>
            <a:ext uri="{FF2B5EF4-FFF2-40B4-BE49-F238E27FC236}">
              <a16:creationId xmlns:a16="http://schemas.microsoft.com/office/drawing/2014/main" id="{1CF38A31-40EA-AF28-FDC8-FED54AE0339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0" y="360218"/>
          <a:ext cx="274320" cy="274320"/>
        </a:xfrm>
        <a:prstGeom prst="rect">
          <a:avLst/>
        </a:prstGeom>
      </xdr:spPr>
    </xdr:pic>
    <xdr:clientData/>
  </xdr:twoCellAnchor>
  <xdr:twoCellAnchor>
    <xdr:from>
      <xdr:col>0</xdr:col>
      <xdr:colOff>0</xdr:colOff>
      <xdr:row>0</xdr:row>
      <xdr:rowOff>0</xdr:rowOff>
    </xdr:from>
    <xdr:to>
      <xdr:col>1</xdr:col>
      <xdr:colOff>124691</xdr:colOff>
      <xdr:row>1</xdr:row>
      <xdr:rowOff>83127</xdr:rowOff>
    </xdr:to>
    <xdr:sp macro="" textlink="">
      <xdr:nvSpPr>
        <xdr:cNvPr id="60" name="Rectangle 59">
          <a:extLst>
            <a:ext uri="{FF2B5EF4-FFF2-40B4-BE49-F238E27FC236}">
              <a16:creationId xmlns:a16="http://schemas.microsoft.com/office/drawing/2014/main" id="{C504BB35-DEC9-4BE7-810E-EC0D85781275}"/>
            </a:ext>
          </a:extLst>
        </xdr:cNvPr>
        <xdr:cNvSpPr/>
      </xdr:nvSpPr>
      <xdr:spPr>
        <a:xfrm>
          <a:off x="0" y="0"/>
          <a:ext cx="734291" cy="263236"/>
        </a:xfrm>
        <a:prstGeom prst="rect">
          <a:avLst/>
        </a:prstGeom>
        <a:solidFill>
          <a:srgbClr val="002A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14.524836458331" createdVersion="8" refreshedVersion="8" minRefreshableVersion="3" recordCount="7" xr:uid="{8C8FFE59-114E-428A-AD6C-0DAC37502CD8}">
  <cacheSource type="worksheet">
    <worksheetSource ref="A5:B12" sheet="Processing"/>
  </cacheSource>
  <cacheFields count="2">
    <cacheField name="Button Value" numFmtId="0">
      <sharedItems count="8">
        <s v="START"/>
        <s v="STEEP 1"/>
        <s v="STEEP 2"/>
        <s v="STEEP 3"/>
        <s v="STEEP 4"/>
        <s v="STEEP 5"/>
        <s v="STEEP 6"/>
        <s v="STEEP 0" u="1"/>
      </sharedItems>
    </cacheField>
    <cacheField name="Number"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2080634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
  </r>
  <r>
    <x v="1"/>
    <n v="2"/>
  </r>
  <r>
    <x v="2"/>
    <n v="3"/>
  </r>
  <r>
    <x v="3"/>
    <n v="4"/>
  </r>
  <r>
    <x v="4"/>
    <n v="5"/>
  </r>
  <r>
    <x v="5"/>
    <n v="6"/>
  </r>
  <r>
    <x v="6"/>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43D76-6890-46FD-815F-E9EF8DA05DC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
    <pivotField axis="axisRow" showAll="0">
      <items count="9">
        <item h="1" m="1" x="7"/>
        <item h="1" x="1"/>
        <item h="1" x="2"/>
        <item h="1" x="3"/>
        <item h="1" x="4"/>
        <item h="1" x="5"/>
        <item h="1" x="6"/>
        <item x="0"/>
        <item t="default"/>
      </items>
    </pivotField>
    <pivotField dataField="1" showAll="0"/>
  </pivotFields>
  <rowFields count="1">
    <field x="0"/>
  </rowFields>
  <rowItems count="2">
    <i>
      <x v="7"/>
    </i>
    <i t="grand">
      <x/>
    </i>
  </rowItems>
  <colItems count="1">
    <i/>
  </colItems>
  <dataFields count="1">
    <dataField name="Max of Number"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_Value" xr10:uid="{90B29389-5E5B-41C4-BDDF-E0CA081E1A93}" sourceName="Button Value">
  <pivotTables>
    <pivotTable tabId="5" name="PivotTable4"/>
  </pivotTables>
  <data>
    <tabular pivotCacheId="2080634302">
      <items count="8">
        <i x="0" s="1"/>
        <i x="1"/>
        <i x="2"/>
        <i x="3"/>
        <i x="4"/>
        <i x="5"/>
        <i x="6"/>
        <i x="7"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lf_year" xr10:uid="{6C0EC34F-0629-4398-BADE-C18B49323E9A}" sourceName="half-yea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tton Value" xr10:uid="{34E87974-81C4-4C9D-92A1-758102C6DB96}" cache="Slicer_Button_Value" caption="Button Value" columnCount="7" showCaption="0"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lf-year" xr10:uid="{ACAC9404-AC16-4CBB-A74A-C55E851FD974}" cache="Slicer_half_year" caption="half-year" showCaption="0" style="SlicerStyleLight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tton Value 1" xr10:uid="{8CC30879-0C9F-425E-95D5-842E7BEC943A}" cache="Slicer_Button_Value" caption="Button Value" columnCount="7" showCaption="0" style="SlicerStyleLight1 2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lf-year 1" xr10:uid="{28192EF1-14ED-4B2C-82DF-E25C8BEF504D}" cache="Slicer_half_year" caption="half-year" showCaption="0" style="SlicerStyleLight1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4688C-649E-435C-92E6-D0E0457AB919}" name="mydata" displayName="mydata" ref="A1:E13" totalsRowShown="0" headerRowDxfId="4" headerRowBorderDxfId="3" tableBorderDxfId="2">
  <autoFilter ref="A1:E13" xr:uid="{68E4688C-649E-435C-92E6-D0E0457AB919}"/>
  <tableColumns count="5">
    <tableColumn id="1" xr3:uid="{618C6A16-E11F-4959-9821-D7CED2180AF5}" name="Month"/>
    <tableColumn id="2" xr3:uid="{C774415D-FD99-4EFE-917A-4F8AAEDB58A5}" name="Done" dataDxfId="1"/>
    <tableColumn id="3" xr3:uid="{F05B6012-7355-4936-B21E-9FFCE02EC3BE}" name="half-year" dataDxfId="0"/>
    <tableColumn id="4" xr3:uid="{69A054E9-4604-46FF-917A-C05455D790D6}" name="Task"/>
    <tableColumn id="5" xr3:uid="{97EDB623-5C1C-4678-A4EE-B1BE361BECA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2.xml"/><Relationship Id="rId1" Type="http://schemas.openxmlformats.org/officeDocument/2006/relationships/hyperlink" Target="https://exceltable.com/" TargetMode="External"/><Relationship Id="rId4" Type="http://schemas.microsoft.com/office/2007/relationships/slicer" Target="../slicers/slicer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D63D-4A6C-4F70-9E64-5B9B3C807C31}">
  <sheetPr codeName="Sheet1"/>
  <dimension ref="A1"/>
  <sheetViews>
    <sheetView showRowColHeaders="0" tabSelected="1" zoomScaleNormal="100" workbookViewId="0"/>
  </sheetViews>
  <sheetFormatPr defaultColWidth="8.85546875" defaultRowHeight="15"/>
  <cols>
    <col min="1" max="16384" width="8.85546875" style="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C08C-12DA-4A43-BBCB-DBC18D948ED4}">
  <sheetPr codeName="Sheet2"/>
  <dimension ref="S2"/>
  <sheetViews>
    <sheetView showRowColHeaders="0" zoomScaleNormal="100" workbookViewId="0"/>
  </sheetViews>
  <sheetFormatPr defaultColWidth="8.85546875" defaultRowHeight="15"/>
  <cols>
    <col min="1" max="16384" width="8.85546875" style="13"/>
  </cols>
  <sheetData>
    <row r="2" spans="19:19">
      <c r="S2" s="13" t="s">
        <v>77</v>
      </c>
    </row>
  </sheetData>
  <hyperlinks>
    <hyperlink ref="S2" r:id="rId1" xr:uid="{389A4357-5C43-4704-8803-9B3DEC3B63C4}"/>
  </hyperlink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CAB3B-5A55-447B-9F5E-F6A6CA9FA674}">
  <sheetPr codeName="Sheet3"/>
  <dimension ref="A1:H23"/>
  <sheetViews>
    <sheetView workbookViewId="0">
      <selection activeCell="F11" sqref="F11"/>
    </sheetView>
  </sheetViews>
  <sheetFormatPr defaultRowHeight="15"/>
  <cols>
    <col min="1" max="1" width="13.5703125" bestFit="1" customWidth="1"/>
    <col min="2" max="2" width="11.5703125" customWidth="1"/>
    <col min="3" max="3" width="14.85546875" customWidth="1"/>
    <col min="4" max="4" width="13.7109375" customWidth="1"/>
    <col min="5" max="5" width="8.140625" bestFit="1" customWidth="1"/>
    <col min="6" max="6" width="18.85546875" customWidth="1"/>
    <col min="7" max="7" width="22.7109375" bestFit="1" customWidth="1"/>
  </cols>
  <sheetData>
    <row r="1" spans="1:8">
      <c r="B1" s="5" t="s">
        <v>0</v>
      </c>
      <c r="G1" s="30"/>
    </row>
    <row r="2" spans="1:8">
      <c r="A2" t="s">
        <v>1</v>
      </c>
      <c r="B2" s="3" cm="1">
        <f t="array" ref="B2">INDEX(C6:C12,B4)</f>
        <v>0</v>
      </c>
      <c r="C2" s="4">
        <f>100%-B2</f>
        <v>1</v>
      </c>
      <c r="F2" s="2"/>
    </row>
    <row r="3" spans="1:8">
      <c r="F3" s="2"/>
    </row>
    <row r="4" spans="1:8">
      <c r="B4" s="6">
        <f>GETPIVOTDATA("Number",Control!$A$3)</f>
        <v>1</v>
      </c>
      <c r="E4" s="12" cm="1">
        <f t="array" ref="E4">INDEX(E6:E12,B4)</f>
        <v>0</v>
      </c>
      <c r="F4" s="31" t="s">
        <v>19</v>
      </c>
      <c r="G4" s="31"/>
      <c r="H4" s="31"/>
    </row>
    <row r="5" spans="1:8">
      <c r="A5" s="5" t="s">
        <v>47</v>
      </c>
      <c r="B5" s="5" t="s">
        <v>54</v>
      </c>
      <c r="C5" s="5" t="s">
        <v>18</v>
      </c>
      <c r="D5" s="5" t="s">
        <v>14</v>
      </c>
      <c r="E5" s="5" t="s">
        <v>0</v>
      </c>
      <c r="F5" s="5" t="s">
        <v>57</v>
      </c>
      <c r="G5" s="5" t="s">
        <v>58</v>
      </c>
      <c r="H5" s="10" t="s">
        <v>20</v>
      </c>
    </row>
    <row r="6" spans="1:8">
      <c r="A6" s="6" t="s">
        <v>56</v>
      </c>
      <c r="B6" s="6">
        <v>1</v>
      </c>
      <c r="C6" s="3">
        <v>0</v>
      </c>
      <c r="E6" s="3">
        <v>0</v>
      </c>
    </row>
    <row r="7" spans="1:8">
      <c r="A7" s="6" t="s">
        <v>48</v>
      </c>
      <c r="B7" s="6">
        <v>2</v>
      </c>
      <c r="C7" s="3">
        <v>0.16</v>
      </c>
      <c r="D7" t="str" cm="1">
        <f t="array" aca="1" ref="D7" ca="1">INDEX(_xlfn._xlws.FILTER(mydata[Month], SUBTOTAL(103, INDIRECT("A"&amp;ROW(mydata[Month])))), B6)</f>
        <v>JANUARY</v>
      </c>
      <c r="E7" s="12">
        <f ca="1">INDEX(mydata[],MATCH(D7,INDEX(mydata[],,1),0),2)</f>
        <v>0.15</v>
      </c>
      <c r="F7" s="11" t="str">
        <f>IF(B7&lt;=$B$4,D7&amp;" - "&amp;INDEX(mydata[],MATCH(D7,INDEX(mydata[],,1),0),4),"")</f>
        <v/>
      </c>
      <c r="G7" t="str">
        <f ca="1">IF(B7&gt;$B$4,D7&amp;" - "&amp;INDEX(mydata[],MATCH(D7,INDEX(mydata[],,1),0),4),"")</f>
        <v>JANUARY - Market Analysis</v>
      </c>
      <c r="H7" s="2" t="str">
        <f ca="1">INDEX(mydata[],MATCH(D7,INDEX(mydata[],,1),0),5)</f>
        <v>Market analysis and location selection – studying competitors, target audience, foot traffic, and rental options.</v>
      </c>
    </row>
    <row r="8" spans="1:8">
      <c r="A8" s="6" t="s">
        <v>49</v>
      </c>
      <c r="B8" s="6">
        <v>3</v>
      </c>
      <c r="C8" s="3">
        <v>0.26</v>
      </c>
      <c r="D8" t="str" cm="1">
        <f t="array" aca="1" ref="D8" ca="1">INDEX(_xlfn._xlws.FILTER(mydata[Month], SUBTOTAL(103, INDIRECT("A"&amp;ROW(mydata[Month])))), B7)</f>
        <v>APRIL</v>
      </c>
      <c r="E8" s="12">
        <f ca="1">INDEX(mydata[],MATCH(D8,INDEX(mydata[],,1),0),2)</f>
        <v>0.57999999999999996</v>
      </c>
      <c r="F8" s="11" t="str">
        <f>IF(B8&lt;=$B$4,D8&amp;" - "&amp;INDEX(mydata[],MATCH(D8,INDEX(mydata[],,1),0),4),"")</f>
        <v/>
      </c>
      <c r="G8" t="str">
        <f ca="1">IF(B8&gt;$B$4,D8&amp;" - "&amp;INDEX(mydata[],MATCH(D8,INDEX(mydata[],,1),0),4),"")</f>
        <v>APRIL - Renovation</v>
      </c>
      <c r="H8" s="2" t="str">
        <f ca="1">INDEX(mydata[],MATCH(D8,INDEX(mydata[],,1),0),5)</f>
        <v>Renovation and site preparation – construction work, finishing, and setting up utilities.</v>
      </c>
    </row>
    <row r="9" spans="1:8">
      <c r="A9" s="6" t="s">
        <v>50</v>
      </c>
      <c r="B9" s="6">
        <v>4</v>
      </c>
      <c r="C9" s="3">
        <v>0.33500000000000002</v>
      </c>
      <c r="D9" t="str" cm="1">
        <f t="array" aca="1" ref="D9" ca="1">INDEX(_xlfn._xlws.FILTER(mydata[Month], SUBTOTAL(103, INDIRECT("A"&amp;ROW(mydata[Month])))), B8)</f>
        <v>MAY</v>
      </c>
      <c r="E9" s="12">
        <f ca="1">INDEX(mydata[],MATCH(D9,INDEX(mydata[],,1),0),2)</f>
        <v>0.88</v>
      </c>
      <c r="F9" s="11" t="str">
        <f>IF(B9&lt;=$B$4,D9&amp;" - "&amp;INDEX(mydata[],MATCH(D9,INDEX(mydata[],,1),0),4),"")</f>
        <v/>
      </c>
      <c r="G9" t="str">
        <f ca="1">IF(B9&gt;$B$4,D9&amp;" - "&amp;INDEX(mydata[],MATCH(D9,INDEX(mydata[],,1),0),4),"")</f>
        <v>MAY - Equipment</v>
      </c>
      <c r="H9" s="2" t="str">
        <f ca="1">INDEX(mydata[],MATCH(D9,INDEX(mydata[],,1),0),5)</f>
        <v>Purchasing and installing equipment – shelves, cash registers, lighting, and furniture.</v>
      </c>
    </row>
    <row r="10" spans="1:8">
      <c r="A10" s="6" t="s">
        <v>51</v>
      </c>
      <c r="B10" s="6">
        <v>5</v>
      </c>
      <c r="C10" s="3">
        <v>0.42</v>
      </c>
      <c r="D10" t="str" cm="1">
        <f t="array" aca="1" ref="D10" ca="1">INDEX(_xlfn._xlws.FILTER(mydata[Month], SUBTOTAL(103, INDIRECT("A"&amp;ROW(mydata[Month])))), B9)</f>
        <v>JUNE</v>
      </c>
      <c r="E10" s="12">
        <f ca="1">INDEX(mydata[],MATCH(D10,INDEX(mydata[],,1),0),2)</f>
        <v>1</v>
      </c>
      <c r="F10" s="11" t="str">
        <f>IF(B10&lt;=$B$4,D10&amp;" - "&amp;INDEX(mydata[],MATCH(D10,INDEX(mydata[],,1),0),4),"")</f>
        <v/>
      </c>
      <c r="G10" t="str">
        <f ca="1">IF(B10&gt;$B$4,D10&amp;" - "&amp;INDEX(mydata[],MATCH(D10,INDEX(mydata[],,1),0),4),"")</f>
        <v>JUNE - Assortment</v>
      </c>
      <c r="H10" s="2" t="str">
        <f ca="1">INDEX(mydata[],MATCH(D10,INDEX(mydata[],,1),0),5)</f>
        <v>Forming the product assortment – signing contracts with suppliers and purchasing initial inventory.</v>
      </c>
    </row>
    <row r="11" spans="1:8">
      <c r="A11" s="6" t="s">
        <v>52</v>
      </c>
      <c r="B11" s="6">
        <v>6</v>
      </c>
      <c r="C11" s="3">
        <v>0.56999999999999995</v>
      </c>
      <c r="D11" t="str" cm="1">
        <f t="array" aca="1" ref="D11" ca="1">INDEX(_xlfn._xlws.FILTER(mydata[Month], SUBTOTAL(103, INDIRECT("A"&amp;ROW(mydata[Month])))), B10)</f>
        <v>JULY</v>
      </c>
      <c r="E11" s="12">
        <f ca="1">INDEX(mydata[],MATCH(D11,INDEX(mydata[],,1),0),2)</f>
        <v>0.1</v>
      </c>
      <c r="F11" s="11" t="str">
        <f>IF(B11&lt;=$B$4,D11&amp;" - "&amp;INDEX(mydata[],MATCH(D11,INDEX(mydata[],,1),0),4),"")</f>
        <v/>
      </c>
      <c r="G11" t="str">
        <f ca="1">IF(B11&gt;$B$4,D11&amp;" - "&amp;INDEX(mydata[],MATCH(D11,INDEX(mydata[],,1),0),4),"")</f>
        <v>JULY - Staff</v>
      </c>
      <c r="H11" s="2" t="str">
        <f ca="1">INDEX(mydata[],MATCH(D11,INDEX(mydata[],,1),0),5)</f>
        <v>Hiring and training staff – recruiting employees, conducting training, and processing paperwork.</v>
      </c>
    </row>
    <row r="12" spans="1:8">
      <c r="A12" s="6" t="s">
        <v>53</v>
      </c>
      <c r="B12" s="6">
        <v>7</v>
      </c>
      <c r="C12" s="3">
        <v>0.8</v>
      </c>
      <c r="D12" t="str" cm="1">
        <f t="array" aca="1" ref="D12" ca="1">INDEX(_xlfn._xlws.FILTER(mydata[Month], SUBTOTAL(103, INDIRECT("A"&amp;ROW(mydata[Month])))), B11)</f>
        <v>AUGUST</v>
      </c>
      <c r="E12" s="12">
        <f ca="1">INDEX(mydata[],MATCH(D12,INDEX(mydata[],,1),0),2)</f>
        <v>0.2</v>
      </c>
      <c r="F12" s="11" t="str">
        <f>IF(B12&lt;=$B$4,D12&amp;" - "&amp;INDEX(mydata[],MATCH(D12,INDEX(mydata[],,1),0),4),"")</f>
        <v/>
      </c>
      <c r="G12" t="str">
        <f ca="1">IF(B12&gt;$B$4,D12&amp;" - "&amp;INDEX(mydata[],MATCH(D12,INDEX(mydata[],,1),0),4),"")</f>
        <v>AUGUST - Strategy</v>
      </c>
      <c r="H12" s="2" t="str">
        <f ca="1">INDEX(mydata[],MATCH(D12,INDEX(mydata[],,1),0),5)</f>
        <v>Developing a marketing strategy – advertising campaigns, social media setup, and promotions.</v>
      </c>
    </row>
    <row r="17" spans="8:8">
      <c r="H17" s="2"/>
    </row>
    <row r="18" spans="8:8">
      <c r="H18" s="2"/>
    </row>
    <row r="19" spans="8:8">
      <c r="H19" s="2"/>
    </row>
    <row r="20" spans="8:8">
      <c r="H20" s="2"/>
    </row>
    <row r="21" spans="8:8">
      <c r="H21" s="2"/>
    </row>
    <row r="22" spans="8:8">
      <c r="H22" s="2"/>
    </row>
    <row r="23" spans="8:8">
      <c r="H23" s="2"/>
    </row>
  </sheetData>
  <mergeCells count="1">
    <mergeCell ref="F4:H4"/>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A2DF-CD63-4B20-8C31-2EF308B70E97}">
  <sheetPr codeName="Sheet5"/>
  <dimension ref="A2:B5"/>
  <sheetViews>
    <sheetView workbookViewId="0">
      <selection activeCell="A3" sqref="A3"/>
    </sheetView>
  </sheetViews>
  <sheetFormatPr defaultRowHeight="15"/>
  <cols>
    <col min="1" max="1" width="13.42578125" bestFit="1" customWidth="1"/>
    <col min="2" max="2" width="14.7109375" bestFit="1" customWidth="1"/>
  </cols>
  <sheetData>
    <row r="2" spans="1:2">
      <c r="B2" s="30"/>
    </row>
    <row r="3" spans="1:2">
      <c r="A3" s="8" t="s">
        <v>45</v>
      </c>
      <c r="B3" t="s">
        <v>55</v>
      </c>
    </row>
    <row r="4" spans="1:2">
      <c r="A4" s="9" t="s">
        <v>56</v>
      </c>
      <c r="B4" s="32">
        <v>1</v>
      </c>
    </row>
    <row r="5" spans="1:2">
      <c r="A5" s="9" t="s">
        <v>46</v>
      </c>
      <c r="B5" s="3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FC6D-C015-4D47-AD42-528413CB51BC}">
  <sheetPr codeName="Sheet6"/>
  <dimension ref="A1:E28"/>
  <sheetViews>
    <sheetView workbookViewId="0">
      <selection activeCell="A2" sqref="A2"/>
    </sheetView>
  </sheetViews>
  <sheetFormatPr defaultRowHeight="15"/>
  <cols>
    <col min="1" max="1" width="10.7109375" bestFit="1" customWidth="1"/>
    <col min="3" max="3" width="10.28515625" customWidth="1"/>
    <col min="4" max="4" width="13.5703125" customWidth="1"/>
    <col min="5" max="5" width="93.85546875" bestFit="1" customWidth="1"/>
  </cols>
  <sheetData>
    <row r="1" spans="1:5">
      <c r="A1" s="7" t="s">
        <v>14</v>
      </c>
      <c r="B1" s="7" t="s">
        <v>0</v>
      </c>
      <c r="C1" s="7" t="s">
        <v>15</v>
      </c>
      <c r="D1" s="7" t="s">
        <v>19</v>
      </c>
      <c r="E1" s="7" t="s">
        <v>20</v>
      </c>
    </row>
    <row r="2" spans="1:5">
      <c r="A2" t="s">
        <v>2</v>
      </c>
      <c r="B2" s="3">
        <v>0.15</v>
      </c>
      <c r="C2" s="6" t="s">
        <v>16</v>
      </c>
      <c r="D2" t="s">
        <v>21</v>
      </c>
      <c r="E2" t="s">
        <v>22</v>
      </c>
    </row>
    <row r="3" spans="1:5">
      <c r="A3" t="s">
        <v>3</v>
      </c>
      <c r="B3" s="3">
        <v>0.23</v>
      </c>
      <c r="C3" s="6" t="s">
        <v>16</v>
      </c>
      <c r="D3" t="s">
        <v>23</v>
      </c>
      <c r="E3" t="s">
        <v>24</v>
      </c>
    </row>
    <row r="4" spans="1:5">
      <c r="A4" t="s">
        <v>4</v>
      </c>
      <c r="B4" s="3">
        <v>0.34</v>
      </c>
      <c r="C4" s="6" t="s">
        <v>16</v>
      </c>
      <c r="D4" t="s">
        <v>25</v>
      </c>
      <c r="E4" t="s">
        <v>26</v>
      </c>
    </row>
    <row r="5" spans="1:5">
      <c r="A5" t="s">
        <v>5</v>
      </c>
      <c r="B5" s="3">
        <v>0.57999999999999996</v>
      </c>
      <c r="C5" s="6" t="s">
        <v>16</v>
      </c>
      <c r="D5" t="s">
        <v>27</v>
      </c>
      <c r="E5" t="s">
        <v>28</v>
      </c>
    </row>
    <row r="6" spans="1:5">
      <c r="A6" t="s">
        <v>6</v>
      </c>
      <c r="B6" s="3">
        <v>0.88</v>
      </c>
      <c r="C6" s="6" t="s">
        <v>16</v>
      </c>
      <c r="D6" t="s">
        <v>29</v>
      </c>
      <c r="E6" t="s">
        <v>30</v>
      </c>
    </row>
    <row r="7" spans="1:5">
      <c r="A7" t="s">
        <v>7</v>
      </c>
      <c r="B7" s="3">
        <v>1</v>
      </c>
      <c r="C7" s="6" t="s">
        <v>16</v>
      </c>
      <c r="D7" t="s">
        <v>31</v>
      </c>
      <c r="E7" t="s">
        <v>32</v>
      </c>
    </row>
    <row r="8" spans="1:5">
      <c r="A8" t="s">
        <v>8</v>
      </c>
      <c r="B8" s="3">
        <v>0.1</v>
      </c>
      <c r="C8" s="6" t="s">
        <v>17</v>
      </c>
      <c r="D8" t="s">
        <v>33</v>
      </c>
      <c r="E8" t="s">
        <v>34</v>
      </c>
    </row>
    <row r="9" spans="1:5">
      <c r="A9" t="s">
        <v>9</v>
      </c>
      <c r="B9" s="3">
        <v>0.2</v>
      </c>
      <c r="C9" s="6" t="s">
        <v>17</v>
      </c>
      <c r="D9" t="s">
        <v>35</v>
      </c>
      <c r="E9" t="s">
        <v>36</v>
      </c>
    </row>
    <row r="10" spans="1:5">
      <c r="A10" t="s">
        <v>10</v>
      </c>
      <c r="B10" s="3">
        <v>0.4</v>
      </c>
      <c r="C10" s="6" t="s">
        <v>17</v>
      </c>
      <c r="D10" t="s">
        <v>37</v>
      </c>
      <c r="E10" t="s">
        <v>38</v>
      </c>
    </row>
    <row r="11" spans="1:5">
      <c r="A11" t="s">
        <v>11</v>
      </c>
      <c r="B11" s="3">
        <v>0.6</v>
      </c>
      <c r="C11" s="6" t="s">
        <v>17</v>
      </c>
      <c r="D11" t="s">
        <v>39</v>
      </c>
      <c r="E11" t="s">
        <v>40</v>
      </c>
    </row>
    <row r="12" spans="1:5">
      <c r="A12" t="s">
        <v>12</v>
      </c>
      <c r="B12" s="3">
        <v>0.8</v>
      </c>
      <c r="C12" s="6" t="s">
        <v>17</v>
      </c>
      <c r="D12" t="s">
        <v>41</v>
      </c>
      <c r="E12" t="s">
        <v>42</v>
      </c>
    </row>
    <row r="13" spans="1:5">
      <c r="A13" t="s">
        <v>13</v>
      </c>
      <c r="B13" s="3">
        <v>1</v>
      </c>
      <c r="C13" s="6" t="s">
        <v>17</v>
      </c>
      <c r="D13" t="s">
        <v>43</v>
      </c>
      <c r="E13" t="s">
        <v>44</v>
      </c>
    </row>
    <row r="19" spans="5:5">
      <c r="E19" s="14"/>
    </row>
    <row r="28" spans="5:5">
      <c r="E28" s="30"/>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50220-7911-4F8F-832C-93F95C27820C}">
  <sheetPr codeName="Sheet4"/>
  <dimension ref="B1:F13"/>
  <sheetViews>
    <sheetView workbookViewId="0">
      <selection activeCell="F1" sqref="F1"/>
    </sheetView>
  </sheetViews>
  <sheetFormatPr defaultRowHeight="15"/>
  <cols>
    <col min="6" max="6" width="20.140625" bestFit="1" customWidth="1"/>
  </cols>
  <sheetData>
    <row r="1" spans="2:6">
      <c r="B1" s="5" t="s">
        <v>59</v>
      </c>
      <c r="C1" s="5"/>
      <c r="D1" s="5" t="s">
        <v>60</v>
      </c>
      <c r="F1" s="30" t="s">
        <v>77</v>
      </c>
    </row>
    <row r="2" spans="2:6">
      <c r="B2" s="15" t="s">
        <v>61</v>
      </c>
      <c r="D2" s="21" t="s">
        <v>66</v>
      </c>
    </row>
    <row r="3" spans="2:6">
      <c r="B3" s="17" t="s">
        <v>63</v>
      </c>
      <c r="D3" s="22" t="s">
        <v>67</v>
      </c>
    </row>
    <row r="4" spans="2:6">
      <c r="B4" s="16" t="s">
        <v>62</v>
      </c>
      <c r="D4" s="23" t="s">
        <v>68</v>
      </c>
    </row>
    <row r="5" spans="2:6">
      <c r="B5" s="18" t="s">
        <v>64</v>
      </c>
      <c r="D5" s="24" t="s">
        <v>69</v>
      </c>
    </row>
    <row r="6" spans="2:6">
      <c r="B6" s="19">
        <v>875599</v>
      </c>
      <c r="D6" s="25" t="s">
        <v>70</v>
      </c>
    </row>
    <row r="7" spans="2:6">
      <c r="B7" s="20" t="s">
        <v>65</v>
      </c>
      <c r="D7" s="26" t="s">
        <v>71</v>
      </c>
    </row>
    <row r="9" spans="2:6">
      <c r="B9" s="1" t="s">
        <v>72</v>
      </c>
      <c r="D9" s="13" t="s">
        <v>73</v>
      </c>
    </row>
    <row r="11" spans="2:6">
      <c r="D11" s="27" t="s">
        <v>74</v>
      </c>
    </row>
    <row r="13" spans="2:6">
      <c r="B13" s="29" t="s">
        <v>76</v>
      </c>
      <c r="D13" s="28" t="s">
        <v>75</v>
      </c>
    </row>
  </sheetData>
  <hyperlinks>
    <hyperlink ref="F1" r:id="rId1" xr:uid="{0EDAF391-9E48-4FC9-8B74-160003BFC5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DASHBOARD Dark</vt:lpstr>
      <vt:lpstr>Processing</vt:lpstr>
      <vt:lpstr>Control</vt:lpstr>
      <vt:lpstr>Data</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2025-02-25T11:58:30Z</dcterms:created>
  <dcterms:modified xsi:type="dcterms:W3CDTF">2026-09-18T06:09:53Z</dcterms:modified>
</cp:coreProperties>
</file>