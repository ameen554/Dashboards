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pivotCache/pivotCacheDefinition5.xml" ContentType="application/vnd.openxmlformats-officedocument.spreadsheetml.pivotCacheDefinition+xml"/>
  <Override PartName="/xl/pivotCache/pivotCacheRecords5.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2.xml" ContentType="application/vnd.openxmlformats-officedocument.drawing+xml"/>
  <Override PartName="/xl/slicers/slicer2.xml" ContentType="application/vnd.ms-excel.slicer+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harts/chart17.xml" ContentType="application/vnd.openxmlformats-officedocument.drawingml.chart+xml"/>
  <Override PartName="/xl/charts/style16.xml" ContentType="application/vnd.ms-office.chartstyle+xml"/>
  <Override PartName="/xl/charts/colors16.xml" ContentType="application/vnd.ms-office.chartcolorstyle+xml"/>
  <Override PartName="/xl/charts/chart18.xml" ContentType="application/vnd.openxmlformats-officedocument.drawingml.chart+xml"/>
  <Override PartName="/xl/charts/style17.xml" ContentType="application/vnd.ms-office.chartstyle+xml"/>
  <Override PartName="/xl/charts/colors17.xml" ContentType="application/vnd.ms-office.chartcolorstyle+xml"/>
  <Override PartName="/xl/charts/chart19.xml" ContentType="application/vnd.openxmlformats-officedocument.drawingml.chart+xml"/>
  <Override PartName="/xl/charts/chart20.xml" ContentType="application/vnd.openxmlformats-officedocument.drawingml.chart+xml"/>
  <Override PartName="/xl/charts/style18.xml" ContentType="application/vnd.ms-office.chartstyle+xml"/>
  <Override PartName="/xl/charts/colors18.xml" ContentType="application/vnd.ms-office.chartcolorstyle+xml"/>
  <Override PartName="/xl/drawings/drawing3.xml" ContentType="application/vnd.openxmlformats-officedocument.drawing+xml"/>
  <Override PartName="/xl/slicers/slicer3.xml" ContentType="application/vnd.ms-excel.slicer+xml"/>
  <Override PartName="/xl/charts/chart21.xml" ContentType="application/vnd.openxmlformats-officedocument.drawingml.chart+xml"/>
  <Override PartName="/xl/charts/style19.xml" ContentType="application/vnd.ms-office.chartstyle+xml"/>
  <Override PartName="/xl/charts/colors19.xml" ContentType="application/vnd.ms-office.chartcolorstyle+xml"/>
  <Override PartName="/xl/charts/chart22.xml" ContentType="application/vnd.openxmlformats-officedocument.drawingml.chart+xml"/>
  <Override PartName="/xl/charts/style20.xml" ContentType="application/vnd.ms-office.chartstyle+xml"/>
  <Override PartName="/xl/charts/colors20.xml" ContentType="application/vnd.ms-office.chartcolorstyle+xml"/>
  <Override PartName="/xl/charts/chart23.xml" ContentType="application/vnd.openxmlformats-officedocument.drawingml.chart+xml"/>
  <Override PartName="/xl/charts/style21.xml" ContentType="application/vnd.ms-office.chartstyle+xml"/>
  <Override PartName="/xl/charts/colors21.xml" ContentType="application/vnd.ms-office.chartcolorstyle+xml"/>
  <Override PartName="/xl/charts/chart24.xml" ContentType="application/vnd.openxmlformats-officedocument.drawingml.chart+xml"/>
  <Override PartName="/xl/charts/style22.xml" ContentType="application/vnd.ms-office.chartstyle+xml"/>
  <Override PartName="/xl/charts/colors22.xml" ContentType="application/vnd.ms-office.chartcolorstyle+xml"/>
  <Override PartName="/xl/charts/chart25.xml" ContentType="application/vnd.openxmlformats-officedocument.drawingml.chart+xml"/>
  <Override PartName="/xl/charts/style23.xml" ContentType="application/vnd.ms-office.chartstyle+xml"/>
  <Override PartName="/xl/charts/colors23.xml" ContentType="application/vnd.ms-office.chartcolorstyle+xml"/>
  <Override PartName="/xl/charts/chart26.xml" ContentType="application/vnd.openxmlformats-officedocument.drawingml.chart+xml"/>
  <Override PartName="/xl/charts/style24.xml" ContentType="application/vnd.ms-office.chartstyle+xml"/>
  <Override PartName="/xl/charts/colors24.xml" ContentType="application/vnd.ms-office.chartcolorstyle+xml"/>
  <Override PartName="/xl/charts/chart27.xml" ContentType="application/vnd.openxmlformats-officedocument.drawingml.chart+xml"/>
  <Override PartName="/xl/charts/style25.xml" ContentType="application/vnd.ms-office.chartstyle+xml"/>
  <Override PartName="/xl/charts/colors25.xml" ContentType="application/vnd.ms-office.chartcolorstyle+xml"/>
  <Override PartName="/xl/charts/chart28.xml" ContentType="application/vnd.openxmlformats-officedocument.drawingml.chart+xml"/>
  <Override PartName="/xl/charts/chart29.xml" ContentType="application/vnd.openxmlformats-officedocument.drawingml.chart+xml"/>
  <Override PartName="/xl/charts/style26.xml" ContentType="application/vnd.ms-office.chartstyle+xml"/>
  <Override PartName="/xl/charts/colors26.xml" ContentType="application/vnd.ms-office.chartcolorstyle+xml"/>
  <Override PartName="/xl/charts/chart30.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4.xml" ContentType="application/vnd.openxmlformats-officedocument.drawing+xml"/>
  <Override PartName="/xl/slicers/slicer4.xml" ContentType="application/vnd.ms-excel.slicer+xml"/>
  <Override PartName="/xl/charts/chart31.xml" ContentType="application/vnd.openxmlformats-officedocument.drawingml.chart+xml"/>
  <Override PartName="/xl/charts/style28.xml" ContentType="application/vnd.ms-office.chartstyle+xml"/>
  <Override PartName="/xl/charts/colors28.xml" ContentType="application/vnd.ms-office.chartcolorstyle+xml"/>
  <Override PartName="/xl/charts/chart32.xml" ContentType="application/vnd.openxmlformats-officedocument.drawingml.chart+xml"/>
  <Override PartName="/xl/charts/style29.xml" ContentType="application/vnd.ms-office.chartstyle+xml"/>
  <Override PartName="/xl/charts/colors29.xml" ContentType="application/vnd.ms-office.chartcolorstyle+xml"/>
  <Override PartName="/xl/charts/chart33.xml" ContentType="application/vnd.openxmlformats-officedocument.drawingml.chart+xml"/>
  <Override PartName="/xl/charts/style30.xml" ContentType="application/vnd.ms-office.chartstyle+xml"/>
  <Override PartName="/xl/charts/colors30.xml" ContentType="application/vnd.ms-office.chartcolorstyle+xml"/>
  <Override PartName="/xl/charts/chart34.xml" ContentType="application/vnd.openxmlformats-officedocument.drawingml.chart+xml"/>
  <Override PartName="/xl/charts/style31.xml" ContentType="application/vnd.ms-office.chartstyle+xml"/>
  <Override PartName="/xl/charts/colors31.xml" ContentType="application/vnd.ms-office.chartcolorstyle+xml"/>
  <Override PartName="/xl/charts/chart35.xml" ContentType="application/vnd.openxmlformats-officedocument.drawingml.chart+xml"/>
  <Override PartName="/xl/charts/chart36.xml" ContentType="application/vnd.openxmlformats-officedocument.drawingml.chart+xml"/>
  <Override PartName="/xl/charts/style32.xml" ContentType="application/vnd.ms-office.chartstyle+xml"/>
  <Override PartName="/xl/charts/colors32.xml" ContentType="application/vnd.ms-office.chartcolorstyle+xml"/>
  <Override PartName="/xl/charts/chart37.xml" ContentType="application/vnd.openxmlformats-officedocument.drawingml.chart+xml"/>
  <Override PartName="/xl/charts/style33.xml" ContentType="application/vnd.ms-office.chartstyle+xml"/>
  <Override PartName="/xl/charts/colors33.xml" ContentType="application/vnd.ms-office.chartcolorstyle+xml"/>
  <Override PartName="/xl/charts/chart38.xml" ContentType="application/vnd.openxmlformats-officedocument.drawingml.chart+xml"/>
  <Override PartName="/xl/charts/style34.xml" ContentType="application/vnd.ms-office.chartstyle+xml"/>
  <Override PartName="/xl/charts/colors34.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5.xml" ContentType="application/vnd.openxmlformats-officedocument.drawing+xml"/>
  <Override PartName="/xl/tables/table1.xml" ContentType="application/vnd.openxmlformats-officedocument.spreadsheetml.table+xml"/>
  <Override PartName="/xl/slicers/slicer5.xml" ContentType="application/vnd.ms-excel.slicer+xml"/>
  <Override PartName="/xl/charts/chart39.xml" ContentType="application/vnd.openxmlformats-officedocument.drawingml.chart+xml"/>
  <Override PartName="/xl/charts/style35.xml" ContentType="application/vnd.ms-office.chartstyle+xml"/>
  <Override PartName="/xl/charts/colors35.xml" ContentType="application/vnd.ms-office.chartcolorstyle+xml"/>
  <Override PartName="/xl/charts/chart40.xml" ContentType="application/vnd.openxmlformats-officedocument.drawingml.chart+xml"/>
  <Override PartName="/xl/charts/style36.xml" ContentType="application/vnd.ms-office.chartstyle+xml"/>
  <Override PartName="/xl/charts/colors36.xml" ContentType="application/vnd.ms-office.chartcolorstyle+xml"/>
  <Override PartName="/xl/charts/chart41.xml" ContentType="application/vnd.openxmlformats-officedocument.drawingml.chart+xml"/>
  <Override PartName="/xl/charts/style37.xml" ContentType="application/vnd.ms-office.chartstyle+xml"/>
  <Override PartName="/xl/charts/colors37.xml" ContentType="application/vnd.ms-office.chartcolorstyle+xml"/>
  <Override PartName="/xl/charts/chart42.xml" ContentType="application/vnd.openxmlformats-officedocument.drawingml.chart+xml"/>
  <Override PartName="/xl/charts/style38.xml" ContentType="application/vnd.ms-office.chartstyle+xml"/>
  <Override PartName="/xl/charts/colors38.xml" ContentType="application/vnd.ms-office.chartcolorstyle+xml"/>
  <Override PartName="/xl/charts/chart43.xml" ContentType="application/vnd.openxmlformats-officedocument.drawingml.chart+xml"/>
  <Override PartName="/xl/charts/style39.xml" ContentType="application/vnd.ms-office.chartstyle+xml"/>
  <Override PartName="/xl/charts/colors3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6.xml" ContentType="application/vnd.openxmlformats-officedocument.drawing+xml"/>
  <Override PartName="/xl/slicers/slicer6.xml" ContentType="application/vnd.ms-excel.slicer+xml"/>
  <Override PartName="/xl/charts/chart44.xml" ContentType="application/vnd.openxmlformats-officedocument.drawingml.chart+xml"/>
  <Override PartName="/xl/charts/chart45.xml" ContentType="application/vnd.openxmlformats-officedocument.drawingml.chart+xml"/>
  <Override PartName="/xl/charts/style40.xml" ContentType="application/vnd.ms-office.chartstyle+xml"/>
  <Override PartName="/xl/charts/colors40.xml" ContentType="application/vnd.ms-office.chartcolorstyle+xml"/>
  <Override PartName="/xl/charts/chart46.xml" ContentType="application/vnd.openxmlformats-officedocument.drawingml.chart+xml"/>
  <Override PartName="/xl/charts/chart47.xml" ContentType="application/vnd.openxmlformats-officedocument.drawingml.chart+xml"/>
  <Override PartName="/xl/charts/chart48.xml" ContentType="application/vnd.openxmlformats-officedocument.drawingml.chart+xml"/>
  <Override PartName="/xl/charts/style41.xml" ContentType="application/vnd.ms-office.chartstyle+xml"/>
  <Override PartName="/xl/charts/colors41.xml" ContentType="application/vnd.ms-office.chartcolorstyle+xml"/>
  <Override PartName="/xl/charts/chart49.xml" ContentType="application/vnd.openxmlformats-officedocument.drawingml.chart+xml"/>
  <Override PartName="/xl/charts/style42.xml" ContentType="application/vnd.ms-office.chartstyle+xml"/>
  <Override PartName="/xl/charts/colors42.xml" ContentType="application/vnd.ms-office.chartcolorstyle+xml"/>
  <Override PartName="/xl/charts/chart50.xml" ContentType="application/vnd.openxmlformats-officedocument.drawingml.chart+xml"/>
  <Override PartName="/xl/charts/style43.xml" ContentType="application/vnd.ms-office.chartstyle+xml"/>
  <Override PartName="/xl/charts/colors43.xml" ContentType="application/vnd.ms-office.chartcolorstyle+xml"/>
  <Override PartName="/xl/charts/chart51.xml" ContentType="application/vnd.openxmlformats-officedocument.drawingml.chart+xml"/>
  <Override PartName="/xl/charts/style44.xml" ContentType="application/vnd.ms-office.chartstyle+xml"/>
  <Override PartName="/xl/charts/colors44.xml" ContentType="application/vnd.ms-office.chartcolorstyle+xml"/>
  <Override PartName="/xl/charts/chart52.xml" ContentType="application/vnd.openxmlformats-officedocument.drawingml.chart+xml"/>
  <Override PartName="/xl/charts/style45.xml" ContentType="application/vnd.ms-office.chartstyle+xml"/>
  <Override PartName="/xl/charts/colors45.xml" ContentType="application/vnd.ms-office.chartcolorstyle+xml"/>
  <Override PartName="/xl/charts/chart53.xml" ContentType="application/vnd.openxmlformats-officedocument.drawingml.chart+xml"/>
  <Override PartName="/xl/charts/style46.xml" ContentType="application/vnd.ms-office.chartstyle+xml"/>
  <Override PartName="/xl/charts/colors46.xml" ContentType="application/vnd.ms-office.chartcolorstyle+xml"/>
  <Override PartName="/xl/charts/chart54.xml" ContentType="application/vnd.openxmlformats-officedocument.drawingml.chart+xml"/>
  <Override PartName="/xl/charts/style47.xml" ContentType="application/vnd.ms-office.chartstyle+xml"/>
  <Override PartName="/xl/charts/colors47.xml" ContentType="application/vnd.ms-office.chartcolorstyle+xml"/>
  <Override PartName="/xl/pivotTables/pivotTable6.xml" ContentType="application/vnd.openxmlformats-officedocument.spreadsheetml.pivotTable+xml"/>
  <Override PartName="/xl/drawings/drawing7.xml" ContentType="application/vnd.openxmlformats-officedocument.drawing+xml"/>
  <Override PartName="/xl/slicers/slicer7.xml" ContentType="application/vnd.ms-excel.slicer+xml"/>
  <Override PartName="/xl/charts/chart55.xml" ContentType="application/vnd.openxmlformats-officedocument.drawingml.chart+xml"/>
  <Override PartName="/xl/charts/style48.xml" ContentType="application/vnd.ms-office.chartstyle+xml"/>
  <Override PartName="/xl/charts/colors48.xml" ContentType="application/vnd.ms-office.chartcolorstyle+xml"/>
  <Override PartName="/xl/charts/chart56.xml" ContentType="application/vnd.openxmlformats-officedocument.drawingml.chart+xml"/>
  <Override PartName="/xl/charts/chart57.xml" ContentType="application/vnd.openxmlformats-officedocument.drawingml.chart+xml"/>
  <Override PartName="/xl/charts/chart58.xml" ContentType="application/vnd.openxmlformats-officedocument.drawingml.chart+xml"/>
  <Override PartName="/xl/charts/style49.xml" ContentType="application/vnd.ms-office.chartstyle+xml"/>
  <Override PartName="/xl/charts/colors49.xml" ContentType="application/vnd.ms-office.chartcolorstyle+xml"/>
  <Override PartName="/xl/charts/chart59.xml" ContentType="application/vnd.openxmlformats-officedocument.drawingml.chart+xml"/>
  <Override PartName="/xl/charts/chart60.xml" ContentType="application/vnd.openxmlformats-officedocument.drawingml.chart+xml"/>
  <Override PartName="/xl/charts/chart61.xml" ContentType="application/vnd.openxmlformats-officedocument.drawingml.chart+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tables/table2.xml" ContentType="application/vnd.openxmlformats-officedocument.spreadsheetml.table+xml"/>
  <Override PartName="/xl/drawings/drawing8.xml" ContentType="application/vnd.openxmlformats-officedocument.drawing+xml"/>
  <Override PartName="/xl/charts/chart62.xml" ContentType="application/vnd.openxmlformats-officedocument.drawingml.chart+xml"/>
  <Override PartName="/xl/charts/style50.xml" ContentType="application/vnd.ms-office.chartstyle+xml"/>
  <Override PartName="/xl/charts/colors50.xml" ContentType="application/vnd.ms-office.chartcolorstyle+xml"/>
  <Override PartName="/xl/charts/chart63.xml" ContentType="application/vnd.openxmlformats-officedocument.drawingml.chart+xml"/>
  <Override PartName="/xl/charts/style51.xml" ContentType="application/vnd.ms-office.chartstyle+xml"/>
  <Override PartName="/xl/charts/colors51.xml" ContentType="application/vnd.ms-office.chartcolorstyle+xml"/>
  <Override PartName="/xl/charts/chart64.xml" ContentType="application/vnd.openxmlformats-officedocument.drawingml.chart+xml"/>
  <Override PartName="/xl/charts/style52.xml" ContentType="application/vnd.ms-office.chartstyle+xml"/>
  <Override PartName="/xl/charts/colors5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c6e5fe5563ab6cfd/Desktop/Dashboard Projects/Dashboard/Chart101/"/>
    </mc:Choice>
  </mc:AlternateContent>
  <xr:revisionPtr revIDLastSave="1" documentId="13_ncr:1_{08659265-CC0C-4D9D-8C6A-B285ED9D69D9}" xr6:coauthVersionLast="47" xr6:coauthVersionMax="47" xr10:uidLastSave="{61B153DD-2CDF-40A1-894F-A710A839CB39}"/>
  <bookViews>
    <workbookView xWindow="-120" yWindow="-120" windowWidth="20730" windowHeight="11310" tabRatio="913" activeTab="6" xr2:uid="{BCEB0CF3-5BBF-414E-AE03-D3954489BA0D}"/>
  </bookViews>
  <sheets>
    <sheet name="DASHBOARD" sheetId="1" r:id="rId1"/>
    <sheet name="Burndown Chart" sheetId="6" r:id="rId2"/>
    <sheet name="Sprint Cycle" sheetId="7" r:id="rId3"/>
    <sheet name="Cost Structure" sheetId="8" r:id="rId4"/>
    <sheet name="Prototype 1" sheetId="9" r:id="rId5"/>
    <sheet name="Prototype 2" sheetId="10" r:id="rId6"/>
    <sheet name="Prototype 3" sheetId="11" r:id="rId7"/>
    <sheet name="Processing" sheetId="2" r:id="rId8"/>
    <sheet name="Control" sheetId="5" r:id="rId9"/>
    <sheet name="Data" sheetId="4" r:id="rId10"/>
    <sheet name="Resources" sheetId="3" r:id="rId11"/>
  </sheets>
  <definedNames>
    <definedName name="Slicer_Buttons">#N/A</definedName>
    <definedName name="Slicer_Buttons1">#N/A</definedName>
    <definedName name="Slicer_Month">#N/A</definedName>
    <definedName name="Slicer_Week_Day1">#N/A</definedName>
    <definedName name="Slicer_Week_Num">#N/A</definedName>
    <definedName name="Slicer_Year">#N/A</definedName>
    <definedName name="Slicer_Year1">#N/A</definedName>
  </definedNames>
  <calcPr calcId="191029"/>
  <pivotCaches>
    <pivotCache cacheId="25" r:id="rId12"/>
    <pivotCache cacheId="26" r:id="rId13"/>
    <pivotCache cacheId="27" r:id="rId14"/>
    <pivotCache cacheId="28" r:id="rId15"/>
    <pivotCache cacheId="29" r:id="rId16"/>
  </pivotCaches>
  <extLst>
    <ext xmlns:x14="http://schemas.microsoft.com/office/spreadsheetml/2009/9/main" uri="{BBE1A952-AA13-448e-AADC-164F8A28A991}">
      <x14:slicerCaches>
        <x14:slicerCache r:id="rId17"/>
        <x14:slicerCache r:id="rId18"/>
        <x14:slicerCache r:id="rId19"/>
        <x14:slicerCache r:id="rId20"/>
        <x14:slicerCache r:id="rId21"/>
        <x14:slicerCache r:id="rId22"/>
        <x14:slicerCache r:id="rId2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S22" i="2" l="1"/>
  <c r="K2" i="2"/>
  <c r="N10" i="2"/>
  <c r="D76" i="11" l="1"/>
  <c r="J56" i="11" l="1"/>
  <c r="G73" i="11" a="1"/>
  <c r="F73" i="11" a="1"/>
  <c r="D55" i="11" s="1"/>
  <c r="F56" i="11" s="1"/>
  <c r="I62" i="11"/>
  <c r="I63" i="11"/>
  <c r="I64" i="11"/>
  <c r="I65" i="11"/>
  <c r="I66" i="11"/>
  <c r="I67" i="11"/>
  <c r="I68" i="11"/>
  <c r="I69" i="11"/>
  <c r="I70" i="11"/>
  <c r="I71" i="11"/>
  <c r="I72" i="11"/>
  <c r="I61" i="11"/>
  <c r="B73" i="11"/>
  <c r="B69" i="11" s="1"/>
  <c r="E55" i="11" l="1"/>
  <c r="G56" i="11" s="1"/>
  <c r="E69" i="11"/>
  <c r="H69" i="11"/>
  <c r="B65" i="11"/>
  <c r="B72" i="11"/>
  <c r="B71" i="11"/>
  <c r="B63" i="11"/>
  <c r="B64" i="11"/>
  <c r="B70" i="11"/>
  <c r="B62" i="11"/>
  <c r="B68" i="11"/>
  <c r="B67" i="11"/>
  <c r="B66" i="11"/>
  <c r="B61" i="11"/>
  <c r="H71" i="11" l="1"/>
  <c r="E71" i="11"/>
  <c r="H70" i="11"/>
  <c r="E70" i="11"/>
  <c r="H64" i="11"/>
  <c r="E64" i="11"/>
  <c r="E63" i="11"/>
  <c r="H63" i="11"/>
  <c r="E61" i="11"/>
  <c r="H61" i="11"/>
  <c r="E66" i="11"/>
  <c r="H66" i="11"/>
  <c r="H72" i="11"/>
  <c r="E72" i="11"/>
  <c r="E67" i="11"/>
  <c r="H67" i="11"/>
  <c r="E65" i="11"/>
  <c r="H65" i="11"/>
  <c r="H68" i="11"/>
  <c r="E68" i="11"/>
  <c r="H62" i="11"/>
  <c r="E62" i="11"/>
  <c r="W73" i="10"/>
  <c r="W75" i="10"/>
  <c r="W72" i="10"/>
  <c r="V74" i="10"/>
  <c r="W74" i="10" s="1"/>
  <c r="W79" i="10" l="1" a="1"/>
  <c r="W79" i="10" s="1"/>
  <c r="T83" i="10"/>
  <c r="T80" i="10" s="1"/>
  <c r="U76" i="10"/>
  <c r="I49" i="10"/>
  <c r="I50" i="10"/>
  <c r="I51" i="10"/>
  <c r="I52" i="10"/>
  <c r="I48" i="10"/>
  <c r="H56" i="10"/>
  <c r="G56" i="10" s="1"/>
  <c r="G54" i="10" s="1"/>
  <c r="D53" i="10"/>
  <c r="E53" i="10"/>
  <c r="F53" i="10"/>
  <c r="G53" i="10"/>
  <c r="C53" i="10"/>
  <c r="B52" i="10"/>
  <c r="B51" i="10"/>
  <c r="B50" i="10"/>
  <c r="B49" i="10"/>
  <c r="B48" i="10"/>
  <c r="Z56" i="10"/>
  <c r="Z57" i="10"/>
  <c r="Z58" i="10"/>
  <c r="Z59" i="10"/>
  <c r="Z60" i="10"/>
  <c r="Z61" i="10"/>
  <c r="Z62" i="10"/>
  <c r="Z63" i="10"/>
  <c r="Z65" i="10"/>
  <c r="Z66" i="10"/>
  <c r="Z67" i="10"/>
  <c r="W64" i="10"/>
  <c r="X68" i="10" s="1" a="1"/>
  <c r="T68" i="10"/>
  <c r="T57" i="10" s="1"/>
  <c r="V57" i="10" s="1"/>
  <c r="Z64" i="10" l="1"/>
  <c r="W68" i="10" a="1"/>
  <c r="D56" i="10"/>
  <c r="D54" i="10" s="1"/>
  <c r="D57" i="10" s="1"/>
  <c r="X81" i="10"/>
  <c r="W81" i="10"/>
  <c r="W82" i="10"/>
  <c r="X80" i="10"/>
  <c r="X79" i="10"/>
  <c r="X82" i="10"/>
  <c r="W80" i="10"/>
  <c r="G57" i="10"/>
  <c r="T79" i="10"/>
  <c r="T82" i="10"/>
  <c r="F56" i="10"/>
  <c r="F54" i="10" s="1"/>
  <c r="F57" i="10" s="1"/>
  <c r="T81" i="10"/>
  <c r="E56" i="10"/>
  <c r="E54" i="10" s="1"/>
  <c r="E57" i="10" s="1"/>
  <c r="C56" i="10"/>
  <c r="C54" i="10" s="1"/>
  <c r="C57" i="10" s="1"/>
  <c r="Y57" i="10"/>
  <c r="T63" i="10"/>
  <c r="T62" i="10"/>
  <c r="T61" i="10"/>
  <c r="T56" i="10"/>
  <c r="T60" i="10"/>
  <c r="T67" i="10"/>
  <c r="T59" i="10"/>
  <c r="T64" i="10"/>
  <c r="V64" i="10" s="1"/>
  <c r="T66" i="10"/>
  <c r="T58" i="10"/>
  <c r="T65" i="10"/>
  <c r="V60" i="10" l="1"/>
  <c r="Y60" i="10"/>
  <c r="V65" i="10"/>
  <c r="Y65" i="10"/>
  <c r="V63" i="10"/>
  <c r="Y63" i="10"/>
  <c r="V67" i="10"/>
  <c r="Y67" i="10"/>
  <c r="V66" i="10"/>
  <c r="Y66" i="10"/>
  <c r="Y64" i="10"/>
  <c r="V56" i="10"/>
  <c r="Y56" i="10"/>
  <c r="V61" i="10"/>
  <c r="Y61" i="10"/>
  <c r="V58" i="10"/>
  <c r="Y58" i="10"/>
  <c r="V62" i="10"/>
  <c r="Y62" i="10"/>
  <c r="V59" i="10"/>
  <c r="Y59" i="10"/>
  <c r="U49" i="10" l="1"/>
  <c r="T48" i="10" l="1"/>
  <c r="V49" i="10" s="1"/>
  <c r="B69" i="10"/>
  <c r="B66" i="9" l="1"/>
  <c r="B67" i="9"/>
  <c r="B68" i="9"/>
  <c r="B69" i="9"/>
  <c r="B70" i="9"/>
  <c r="B71" i="9"/>
  <c r="B72" i="9"/>
  <c r="B73" i="9"/>
  <c r="B74" i="9"/>
  <c r="B75" i="9"/>
  <c r="B76" i="9"/>
  <c r="B77" i="9"/>
  <c r="B78" i="9"/>
  <c r="B79" i="9"/>
  <c r="B80" i="9"/>
  <c r="B81" i="9"/>
  <c r="B82" i="9"/>
  <c r="B83" i="9"/>
  <c r="B84" i="9"/>
  <c r="B85" i="9"/>
  <c r="B86" i="9"/>
  <c r="B87" i="9"/>
  <c r="B88" i="9"/>
  <c r="B89" i="9"/>
  <c r="B90" i="9"/>
  <c r="B91" i="9"/>
  <c r="B92" i="9"/>
  <c r="B65" i="9"/>
  <c r="D57" i="9"/>
  <c r="D58" i="9"/>
  <c r="D59" i="9"/>
  <c r="D60" i="9"/>
  <c r="D56" i="9"/>
  <c r="E51" i="9"/>
  <c r="E52" i="9"/>
  <c r="E53" i="9"/>
  <c r="E50" i="9"/>
  <c r="P3" i="2"/>
  <c r="P4" i="2"/>
  <c r="P2" i="2"/>
  <c r="K25" i="2" s="1"/>
  <c r="B53" i="9"/>
  <c r="I59" i="9"/>
  <c r="C53" i="9"/>
  <c r="I58" i="9"/>
  <c r="C20" i="2"/>
  <c r="B9" i="2"/>
  <c r="D7" i="2"/>
  <c r="C17" i="2"/>
  <c r="M52" i="9"/>
  <c r="B56" i="9"/>
  <c r="I56" i="9"/>
  <c r="C54" i="9"/>
  <c r="C19" i="2"/>
  <c r="D10" i="2"/>
  <c r="C22" i="2"/>
  <c r="C27" i="2"/>
  <c r="F57" i="9"/>
  <c r="B50" i="9"/>
  <c r="D50" i="9"/>
  <c r="M50" i="9"/>
  <c r="B7" i="2"/>
  <c r="C24" i="2"/>
  <c r="D5" i="2"/>
  <c r="C28" i="2"/>
  <c r="B54" i="9"/>
  <c r="F56" i="9"/>
  <c r="F60" i="9"/>
  <c r="D13" i="2"/>
  <c r="D2" i="2"/>
  <c r="B3" i="2"/>
  <c r="D3" i="2"/>
  <c r="B13" i="2"/>
  <c r="F59" i="9"/>
  <c r="I57" i="9"/>
  <c r="C51" i="9"/>
  <c r="B11" i="2"/>
  <c r="D9" i="2"/>
  <c r="C23" i="2"/>
  <c r="B2" i="2"/>
  <c r="D8" i="2"/>
  <c r="F58" i="9"/>
  <c r="B55" i="9"/>
  <c r="M51" i="9"/>
  <c r="D12" i="2"/>
  <c r="D6" i="2"/>
  <c r="B8" i="2"/>
  <c r="C21" i="2"/>
  <c r="B10" i="2"/>
  <c r="B52" i="9"/>
  <c r="C25" i="2"/>
  <c r="C18" i="2"/>
  <c r="C26" i="2"/>
  <c r="B4" i="2"/>
  <c r="B6" i="2"/>
  <c r="C56" i="9"/>
  <c r="B12" i="2"/>
  <c r="B51" i="9"/>
  <c r="D4" i="2"/>
  <c r="B5" i="2"/>
  <c r="C50" i="9"/>
  <c r="C52" i="9"/>
  <c r="D11" i="2"/>
  <c r="C55" i="9"/>
  <c r="F2" i="2"/>
  <c r="E28" i="2"/>
  <c r="E22" i="2"/>
  <c r="K4" i="2"/>
  <c r="K6" i="2"/>
  <c r="K3" i="2"/>
  <c r="H6" i="2"/>
  <c r="H10" i="2"/>
  <c r="H2" i="2"/>
  <c r="H9" i="2"/>
  <c r="H5" i="2"/>
  <c r="E26" i="2"/>
  <c r="K5" i="2"/>
  <c r="H12" i="2"/>
  <c r="E23" i="2"/>
  <c r="E17" i="2"/>
  <c r="H3" i="2"/>
  <c r="E24" i="2"/>
  <c r="E21" i="2"/>
  <c r="E25" i="2"/>
  <c r="E19" i="2"/>
  <c r="H4" i="2"/>
  <c r="E27" i="2"/>
  <c r="E18" i="2"/>
  <c r="H11" i="2"/>
  <c r="H13" i="2"/>
  <c r="E20" i="2"/>
  <c r="M6" i="2"/>
  <c r="R17" i="2" l="1"/>
  <c r="R18" i="2"/>
  <c r="R19" i="2"/>
  <c r="R20" i="2"/>
  <c r="R16" i="2"/>
  <c r="V17" i="2"/>
  <c r="T17" i="2"/>
  <c r="T19" i="2"/>
  <c r="T18" i="2"/>
  <c r="T20" i="2"/>
  <c r="M10" i="2"/>
  <c r="N11" i="2" s="1"/>
  <c r="M11" i="2" s="1"/>
  <c r="L27" i="2"/>
  <c r="K27" i="2"/>
  <c r="L26" i="2"/>
  <c r="K26" i="2"/>
  <c r="M3" i="2" a="1"/>
  <c r="G20" i="2"/>
  <c r="G17" i="2"/>
  <c r="G23" i="2"/>
  <c r="G19" i="2"/>
  <c r="G27" i="2"/>
  <c r="G26" i="2"/>
  <c r="G21" i="2"/>
  <c r="G22" i="2"/>
  <c r="G18" i="2"/>
  <c r="G25" i="2"/>
  <c r="G24" i="2"/>
  <c r="G28" i="2"/>
  <c r="F61" i="9"/>
  <c r="M53" i="9"/>
  <c r="B58" i="9" s="1"/>
  <c r="I60" i="9"/>
  <c r="K56" i="9" a="1"/>
  <c r="K56" i="9" s="1"/>
  <c r="O52" i="9"/>
  <c r="O50" i="9"/>
  <c r="O51" i="9"/>
  <c r="L53" i="9"/>
  <c r="H50" i="9" a="1"/>
  <c r="I50" i="9"/>
  <c r="N3" i="2"/>
  <c r="B29" i="2"/>
  <c r="J17" i="2"/>
  <c r="J21" i="2" s="1" a="1"/>
  <c r="J22" i="2"/>
  <c r="H14" i="2"/>
  <c r="C5" i="2"/>
  <c r="E9" i="2"/>
  <c r="C12" i="2"/>
  <c r="C4" i="2"/>
  <c r="E8" i="2"/>
  <c r="C11" i="2"/>
  <c r="C10" i="2"/>
  <c r="E2" i="2"/>
  <c r="E6" i="2"/>
  <c r="C13" i="2"/>
  <c r="E7" i="2"/>
  <c r="C9" i="2"/>
  <c r="E13" i="2"/>
  <c r="E5" i="2"/>
  <c r="C8" i="2"/>
  <c r="E12" i="2"/>
  <c r="E4" i="2"/>
  <c r="C7" i="2"/>
  <c r="E11" i="2"/>
  <c r="E3" i="2"/>
  <c r="C3" i="2"/>
  <c r="C2" i="2"/>
  <c r="C6" i="2"/>
  <c r="E10" i="2"/>
  <c r="O6" i="2"/>
  <c r="S23" i="2" l="1"/>
  <c r="N6" i="2"/>
  <c r="N1" i="2"/>
  <c r="L58" i="9"/>
  <c r="L57" i="9"/>
  <c r="K58" i="9"/>
  <c r="L56" i="9"/>
  <c r="L59" i="9"/>
  <c r="K59" i="9"/>
  <c r="K57" i="9"/>
  <c r="J58" i="9"/>
  <c r="J59" i="9"/>
  <c r="J56" i="9"/>
  <c r="J57" i="9"/>
  <c r="L51" i="9"/>
  <c r="N51" i="9" s="1"/>
  <c r="L52" i="9"/>
  <c r="N52" i="9" s="1"/>
  <c r="L50" i="9"/>
  <c r="N50" i="9" s="1"/>
  <c r="I51" i="9"/>
  <c r="H51" i="9" s="1"/>
  <c r="O9" i="2"/>
  <c r="L60" i="9" l="1"/>
  <c r="M19" i="2"/>
  <c r="M20" i="2"/>
  <c r="L20" i="2"/>
  <c r="M18" i="2"/>
  <c r="N18" i="2"/>
  <c r="L17" i="2"/>
  <c r="N20" i="2"/>
  <c r="N19" i="2"/>
  <c r="N17" i="2"/>
  <c r="M17" i="2"/>
  <c r="L19" i="2"/>
  <c r="L18" i="2"/>
  <c r="J19" i="2"/>
  <c r="J20" i="2"/>
  <c r="B23" i="2"/>
  <c r="B59" i="9"/>
  <c r="D23" i="2" l="1"/>
  <c r="F23" i="2"/>
  <c r="B22" i="2"/>
  <c r="B17" i="2"/>
  <c r="B21" i="2"/>
  <c r="B25" i="2"/>
  <c r="B28" i="2"/>
  <c r="B27" i="2"/>
  <c r="B19" i="2"/>
  <c r="B18" i="2"/>
  <c r="B24" i="2"/>
  <c r="B20" i="2"/>
  <c r="B26" i="2"/>
  <c r="J18" i="2"/>
  <c r="O1" i="2"/>
  <c r="D26" i="2" l="1"/>
  <c r="F26" i="2"/>
  <c r="D20" i="2"/>
  <c r="F20" i="2"/>
  <c r="D18" i="2"/>
  <c r="F18" i="2"/>
  <c r="D27" i="2"/>
  <c r="F27" i="2"/>
  <c r="D28" i="2"/>
  <c r="F28" i="2"/>
  <c r="D25" i="2"/>
  <c r="F25" i="2"/>
  <c r="D21" i="2"/>
  <c r="F21" i="2"/>
  <c r="D17" i="2"/>
  <c r="F17" i="2"/>
  <c r="D24" i="2"/>
  <c r="F24" i="2"/>
  <c r="D22" i="2"/>
  <c r="F22" i="2"/>
  <c r="D19" i="2"/>
  <c r="F19" i="2"/>
  <c r="L25"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<sst xmlns="http://schemas.openxmlformats.org/spreadsheetml/2006/main" count="540" uniqueCount="232">
  <si>
    <t>Month</t>
  </si>
  <si>
    <t>JAN</t>
  </si>
  <si>
    <t>FEB</t>
  </si>
  <si>
    <t>MAR</t>
  </si>
  <si>
    <t>APR</t>
  </si>
  <si>
    <t>MAY</t>
  </si>
  <si>
    <t>JUN</t>
  </si>
  <si>
    <t>JUL</t>
  </si>
  <si>
    <t>AUG</t>
  </si>
  <si>
    <t>SEP</t>
  </si>
  <si>
    <t>OCT</t>
  </si>
  <si>
    <t>NOV</t>
  </si>
  <si>
    <t>DEC</t>
  </si>
  <si>
    <t>Target</t>
  </si>
  <si>
    <t>Actual</t>
  </si>
  <si>
    <t>Progress</t>
  </si>
  <si>
    <t>Cursor</t>
  </si>
  <si>
    <t>Risks</t>
  </si>
  <si>
    <t>R1</t>
  </si>
  <si>
    <t>R2</t>
  </si>
  <si>
    <t>R3</t>
  </si>
  <si>
    <t>R4</t>
  </si>
  <si>
    <t>R5</t>
  </si>
  <si>
    <t>Probability</t>
  </si>
  <si>
    <t>D</t>
  </si>
  <si>
    <t>Cost</t>
  </si>
  <si>
    <t>indent</t>
  </si>
  <si>
    <t>indent C</t>
  </si>
  <si>
    <t>Sprint</t>
  </si>
  <si>
    <t>back</t>
  </si>
  <si>
    <t>front1</t>
  </si>
  <si>
    <t>front2</t>
  </si>
  <si>
    <t>front3</t>
  </si>
  <si>
    <t>HR</t>
  </si>
  <si>
    <t>Scope of Work</t>
  </si>
  <si>
    <t>Time Remaining</t>
  </si>
  <si>
    <t>Budget &amp; Cost</t>
  </si>
  <si>
    <t>tasks</t>
  </si>
  <si>
    <t>Label</t>
  </si>
  <si>
    <t>Days</t>
  </si>
  <si>
    <t>Budget</t>
  </si>
  <si>
    <t>Year</t>
  </si>
  <si>
    <t>Planning</t>
  </si>
  <si>
    <t>Design</t>
  </si>
  <si>
    <t>Testing</t>
  </si>
  <si>
    <t>Release</t>
  </si>
  <si>
    <t>Team P</t>
  </si>
  <si>
    <t>Team D</t>
  </si>
  <si>
    <t>Team T</t>
  </si>
  <si>
    <t>Team R</t>
  </si>
  <si>
    <t>Row Labels</t>
  </si>
  <si>
    <t>Grand Total</t>
  </si>
  <si>
    <t>Average of Actual</t>
  </si>
  <si>
    <t>Average of Target</t>
  </si>
  <si>
    <t>Sum of Cost</t>
  </si>
  <si>
    <t>Average of R1</t>
  </si>
  <si>
    <t>Average of R2</t>
  </si>
  <si>
    <t>Average of R3</t>
  </si>
  <si>
    <t>Average of R4</t>
  </si>
  <si>
    <t>Average of R5</t>
  </si>
  <si>
    <t>Sum of Planning</t>
  </si>
  <si>
    <t>Sum of Design</t>
  </si>
  <si>
    <t>Sum of Testing</t>
  </si>
  <si>
    <t>Sum of Release</t>
  </si>
  <si>
    <t>P</t>
  </si>
  <si>
    <t>I</t>
  </si>
  <si>
    <t>R</t>
  </si>
  <si>
    <t>Average of Team P</t>
  </si>
  <si>
    <t>Average of Team D</t>
  </si>
  <si>
    <t>Average of Team T</t>
  </si>
  <si>
    <t>Average of Team R</t>
  </si>
  <si>
    <t>Burndown Chart</t>
  </si>
  <si>
    <t>Sprint Cycle</t>
  </si>
  <si>
    <t>Cost Structure</t>
  </si>
  <si>
    <t>Probability of Risk</t>
  </si>
  <si>
    <t>Monthly Expenses</t>
  </si>
  <si>
    <t>HR Team Activity</t>
  </si>
  <si>
    <t>label</t>
  </si>
  <si>
    <t>marker</t>
  </si>
  <si>
    <t>SUN</t>
  </si>
  <si>
    <t>MON</t>
  </si>
  <si>
    <t>TUE</t>
  </si>
  <si>
    <t>WED</t>
  </si>
  <si>
    <t>THU</t>
  </si>
  <si>
    <t>FRI</t>
  </si>
  <si>
    <t>SAT</t>
  </si>
  <si>
    <t>Week Day</t>
  </si>
  <si>
    <t>Leisure</t>
  </si>
  <si>
    <t>Shopping</t>
  </si>
  <si>
    <t>Hobbies</t>
  </si>
  <si>
    <t>Fuel</t>
  </si>
  <si>
    <t>Work</t>
  </si>
  <si>
    <t>Home</t>
  </si>
  <si>
    <t>Body</t>
  </si>
  <si>
    <t>Savings</t>
  </si>
  <si>
    <t>Save</t>
  </si>
  <si>
    <t>Salary</t>
  </si>
  <si>
    <t>Side Job</t>
  </si>
  <si>
    <t>Sum of Fuel</t>
  </si>
  <si>
    <t>Sum of Leisure</t>
  </si>
  <si>
    <t>Sum of Shopping</t>
  </si>
  <si>
    <t>Sum of Hobbies</t>
  </si>
  <si>
    <t>Sum of Work</t>
  </si>
  <si>
    <t>Sum of Home</t>
  </si>
  <si>
    <t>Sum of Body</t>
  </si>
  <si>
    <t>Sum of Save</t>
  </si>
  <si>
    <t>Sum of Salary</t>
  </si>
  <si>
    <t>Sum of Side Job</t>
  </si>
  <si>
    <t>Sum of Savings</t>
  </si>
  <si>
    <t>Week Num</t>
  </si>
  <si>
    <t>W01: 1-7</t>
  </si>
  <si>
    <t>W02: 8-14</t>
  </si>
  <si>
    <t>W03: 15-21</t>
  </si>
  <si>
    <t>W04: 22-28</t>
  </si>
  <si>
    <t>Budget Plan</t>
  </si>
  <si>
    <t>Num Month</t>
  </si>
  <si>
    <t>Max of Num Month</t>
  </si>
  <si>
    <t>Week Day Num</t>
  </si>
  <si>
    <t>Max of Week Day Num</t>
  </si>
  <si>
    <t>Sources</t>
  </si>
  <si>
    <t>Marker</t>
  </si>
  <si>
    <t>Eating</t>
  </si>
  <si>
    <t>Sum of Eating</t>
  </si>
  <si>
    <t>Essential Costs</t>
  </si>
  <si>
    <t>Income</t>
  </si>
  <si>
    <t>Costs</t>
  </si>
  <si>
    <t>Rank</t>
  </si>
  <si>
    <t>Type</t>
  </si>
  <si>
    <t>Total Expenses</t>
  </si>
  <si>
    <t>Total Income</t>
  </si>
  <si>
    <t>Weekly Essential Expenses</t>
  </si>
  <si>
    <t>Travel</t>
  </si>
  <si>
    <t>FoodCourt</t>
  </si>
  <si>
    <t>Supermarket</t>
  </si>
  <si>
    <t>Entertainment</t>
  </si>
  <si>
    <t>Workplace</t>
  </si>
  <si>
    <t>Personal Investments</t>
  </si>
  <si>
    <t>WEEK</t>
  </si>
  <si>
    <t>Calendar</t>
  </si>
  <si>
    <t>ON</t>
  </si>
  <si>
    <t/>
  </si>
  <si>
    <t>SU</t>
  </si>
  <si>
    <t>MO</t>
  </si>
  <si>
    <t>TU</t>
  </si>
  <si>
    <t>WE</t>
  </si>
  <si>
    <t>TH</t>
  </si>
  <si>
    <t>FR</t>
  </si>
  <si>
    <t>SA</t>
  </si>
  <si>
    <t>X</t>
  </si>
  <si>
    <t>Y</t>
  </si>
  <si>
    <t>Start</t>
  </si>
  <si>
    <t>Process</t>
  </si>
  <si>
    <t>End</t>
  </si>
  <si>
    <t>Targets</t>
  </si>
  <si>
    <t>Target 1</t>
  </si>
  <si>
    <t>Target 2</t>
  </si>
  <si>
    <t>Target 3</t>
  </si>
  <si>
    <t>Target 4</t>
  </si>
  <si>
    <t>Target 5</t>
  </si>
  <si>
    <t>Expenses</t>
  </si>
  <si>
    <t>indent Cursor</t>
  </si>
  <si>
    <t>Labels</t>
  </si>
  <si>
    <t>Markers</t>
  </si>
  <si>
    <t>FinPlan</t>
  </si>
  <si>
    <t>Income &amp; Expenses</t>
  </si>
  <si>
    <t>Total</t>
  </si>
  <si>
    <t>Directions</t>
  </si>
  <si>
    <t>Buttons</t>
  </si>
  <si>
    <t>Sum of Costs</t>
  </si>
  <si>
    <t>Name</t>
  </si>
  <si>
    <t>Stock</t>
  </si>
  <si>
    <t>Source Rating</t>
  </si>
  <si>
    <t>[&gt;=1000]0,"k";[&lt;=-1000]-0,"k";0</t>
  </si>
  <si>
    <t>Budgeting</t>
  </si>
  <si>
    <t>Investments</t>
  </si>
  <si>
    <t>Debts</t>
  </si>
  <si>
    <t>Fin Goals</t>
  </si>
  <si>
    <t>Dashboard</t>
  </si>
  <si>
    <t>Cursors I</t>
  </si>
  <si>
    <t>Cursors E</t>
  </si>
  <si>
    <t>JANUARY</t>
  </si>
  <si>
    <t>FEBRUARY</t>
  </si>
  <si>
    <t>MARCH</t>
  </si>
  <si>
    <t>APRIL</t>
  </si>
  <si>
    <t>JUNE</t>
  </si>
  <si>
    <t>JULY</t>
  </si>
  <si>
    <t>AUGUST</t>
  </si>
  <si>
    <t>SEPTEMBER</t>
  </si>
  <si>
    <t>OCTOBER</t>
  </si>
  <si>
    <t>NOVEMBER</t>
  </si>
  <si>
    <t>DECEMBER</t>
  </si>
  <si>
    <t>Num</t>
  </si>
  <si>
    <t>Max of Num</t>
  </si>
  <si>
    <t>Ratio Income</t>
  </si>
  <si>
    <t>Balance:</t>
  </si>
  <si>
    <t>Used Budget</t>
  </si>
  <si>
    <t>Business</t>
  </si>
  <si>
    <t>Securities</t>
  </si>
  <si>
    <t>Gold</t>
  </si>
  <si>
    <t>Crypto</t>
  </si>
  <si>
    <t>Rent</t>
  </si>
  <si>
    <t>Invest</t>
  </si>
  <si>
    <t>Interest Rate</t>
  </si>
  <si>
    <t>Amount of Debt</t>
  </si>
  <si>
    <t>Mortgage</t>
  </si>
  <si>
    <t>Credit Card</t>
  </si>
  <si>
    <t>Car Leasing</t>
  </si>
  <si>
    <t>Consumer Credit</t>
  </si>
  <si>
    <t>Plan ON</t>
  </si>
  <si>
    <t>Done</t>
  </si>
  <si>
    <t>Running</t>
  </si>
  <si>
    <t>Reserve</t>
  </si>
  <si>
    <t>Goal  4</t>
  </si>
  <si>
    <t>Goal  3</t>
  </si>
  <si>
    <t>Goal  2</t>
  </si>
  <si>
    <t>Goal  1</t>
  </si>
  <si>
    <t>Financial Goals</t>
  </si>
  <si>
    <t>PERSONAL FINANCE</t>
  </si>
  <si>
    <t>Prototype 1</t>
  </si>
  <si>
    <t>Prototype 2</t>
  </si>
  <si>
    <t>Prototype 3</t>
  </si>
  <si>
    <t>Sum of Days</t>
  </si>
  <si>
    <t>Tasks</t>
  </si>
  <si>
    <t>Sum of Tasks</t>
  </si>
  <si>
    <t>Tasks Completed</t>
  </si>
  <si>
    <t>Plan Months</t>
  </si>
  <si>
    <t>Coding</t>
  </si>
  <si>
    <t>Sum of Coding</t>
  </si>
  <si>
    <t>Progress Made:</t>
  </si>
  <si>
    <t>С</t>
  </si>
  <si>
    <t>Team С</t>
  </si>
  <si>
    <t>Sum of Team С</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</si>
</sst>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44" formatCode="_(&quot;$&quot;* #,##0.00_);_(&quot;$&quot;* \(#,##0.00\);_(&quot;$&quot;* &quot;-&quot;??_);_(@_)"/>
    <numFmt numFmtId="164" formatCode="&quot;$&quot;#\ ###;\-&quot;$&quot;#\ ###"/>
    <numFmt numFmtId="165" formatCode="_(&quot;$&quot;* #,##0_);_(&quot;$&quot;* \(#,##0\);_(&quot;$&quot;* &quot;-&quot;??_);_(@_)"/>
    <numFmt numFmtId="166" formatCode="_-[$$-409]* #,##0_ ;_-[$$-409]* \-#,##0\ ;_-[$$-409]* &quot;-&quot;??_ ;_-@_ "/>
  </numFmts>
  <fonts count="11"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
      <b/>
      <sz val="11"/>
      <color theme="0"/>
      <name val="Aptos Narrow"/>
      <family val="2"/>
      <scheme val="minor"/>
    </font>
    <font>
      <sz val="11"/>
      <color rgb="FF000000"/>
      <name val="Aptos Narrow"/>
      <family val="2"/>
      <scheme val="minor"/>
    </font>
    <font>
      <b/>
      <sz val="11"/>
      <color theme="1"/>
      <name val="Aptos Narrow"/>
      <family val="2"/>
      <charset val="204"/>
      <scheme val="minor"/>
    </font>
    <font>
      <sz val="10"/>
      <color theme="1"/>
      <name val="Aptos Narrow"/>
      <family val="2"/>
      <scheme val="minor"/>
    </font>
    <font>
      <u/>
      <sz val="11"/>
      <color theme="10"/>
      <name val="Aptos Narrow"/>
      <family val="2"/>
      <scheme val="minor"/>
    </font>
    <font>
      <u/>
      <sz val="28"/>
      <color theme="3" tint="0.749992370372631"/>
      <name val="Aptos Narrow"/>
      <family val="2"/>
      <scheme val="minor"/>
    </font>
    <font>
      <sz val="28"/>
      <color theme="3" tint="0.749992370372631"/>
      <name val="Aptos Narrow"/>
      <family val="2"/>
      <scheme val="minor"/>
    </font>
  </fonts>
  <fills count="6">
    <fill>
      <patternFill patternType="none"/>
    </fill>
    <fill>
      <patternFill patternType="gray125"/>
    </fill>
    <fill>
      <patternFill patternType="solid">
        <fgColor rgb="FF0A002F"/>
        <bgColor indexed="64"/>
      </patternFill>
    </fill>
    <fill>
      <patternFill patternType="solid">
        <fgColor theme="4"/>
        <bgColor theme="4"/>
      </patternFill>
    </fill>
    <fill>
      <patternFill patternType="solid">
        <fgColor rgb="FFC0E6F5"/>
        <bgColor rgb="FFC0E6F5"/>
      </patternFill>
    </fill>
    <fill>
      <patternFill patternType="solid">
        <fgColor rgb="FF12143D"/>
        <bgColor indexed="64"/>
      </patternFill>
    </fill>
  </fills>
  <borders count="4">
    <border>
      <left/>
      <right/>
      <top/>
      <bottom/>
      <diagonal/>
    </border>
    <border>
      <left/>
      <right style="thin">
        <color theme="4" tint="0.39997558519241921"/>
      </right>
      <top style="thin">
        <color theme="4" tint="0.39997558519241921"/>
      </top>
      <bottom style="thin">
        <color theme="4" tint="0.39997558519241921"/>
      </bottom>
      <diagonal/>
    </border>
    <border>
      <left/>
      <right/>
      <top style="thin">
        <color rgb="FF44B3E1"/>
      </top>
      <bottom style="thin">
        <color rgb="FF44B3E1"/>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1" fillId="0" borderId="0" applyFont="0" applyFill="0" applyBorder="0" applyAlignment="0" applyProtection="0"/>
    <xf numFmtId="44" fontId="1" fillId="0" borderId="0" applyFont="0" applyFill="0" applyBorder="0" applyAlignment="0" applyProtection="0"/>
    <xf numFmtId="0" fontId="8" fillId="0" borderId="0" applyNumberFormat="0" applyFill="0" applyBorder="0" applyAlignment="0" applyProtection="0"/>
  </cellStyleXfs>
  <cellXfs count="48">
    <xf numFmtId="0" fontId="0" fillId="0" borderId="0" xfId="0"/>
    <xf numFmtId="0" fontId="0" fillId="2" borderId="0" xfId="0" applyFill="1"/>
    <xf numFmtId="9" fontId="0" fillId="0" borderId="0" xfId="0" applyNumberFormat="1"/>
    <xf numFmtId="0" fontId="0" fillId="0" borderId="0" xfId="0" applyAlignment="1">
      <alignment horizontal="center"/>
    </xf>
    <xf numFmtId="0" fontId="2" fillId="0" borderId="0" xfId="0" applyFont="1" applyAlignment="1">
      <alignment horizontal="center"/>
    </xf>
    <xf numFmtId="9" fontId="0" fillId="0" borderId="0" xfId="0" applyNumberFormat="1" applyAlignment="1">
      <alignment horizontal="center"/>
    </xf>
    <xf numFmtId="9" fontId="0" fillId="0" borderId="0" xfId="1" applyFont="1" applyAlignment="1">
      <alignment horizontal="center"/>
    </xf>
    <xf numFmtId="0" fontId="0" fillId="0" borderId="0" xfId="1" applyNumberFormat="1" applyFont="1" applyAlignment="1">
      <alignment horizontal="center"/>
    </xf>
    <xf numFmtId="9" fontId="0" fillId="0" borderId="0" xfId="1" applyFont="1"/>
    <xf numFmtId="164" fontId="0" fillId="0" borderId="0" xfId="0" applyNumberFormat="1"/>
    <xf numFmtId="0" fontId="0" fillId="0" borderId="0" xfId="0" applyAlignment="1">
      <alignment horizontal="left"/>
    </xf>
    <xf numFmtId="0" fontId="0" fillId="0" borderId="0" xfId="0" pivotButton="1"/>
    <xf numFmtId="0" fontId="0" fillId="0" borderId="0" xfId="0" applyAlignment="1">
      <alignment horizontal="right"/>
    </xf>
    <xf numFmtId="165" fontId="0" fillId="0" borderId="0" xfId="2" applyNumberFormat="1" applyFont="1" applyAlignment="1">
      <alignment horizontal="center"/>
    </xf>
    <xf numFmtId="0" fontId="2" fillId="0" borderId="0" xfId="0" applyFont="1"/>
    <xf numFmtId="164" fontId="0" fillId="0" borderId="0" xfId="0" applyNumberFormat="1" applyAlignment="1">
      <alignment horizontal="center"/>
    </xf>
    <xf numFmtId="44" fontId="0" fillId="0" borderId="0" xfId="2" applyFont="1" applyAlignment="1">
      <alignment horizontal="center"/>
    </xf>
    <xf numFmtId="44" fontId="0" fillId="0" borderId="0" xfId="2" applyFont="1"/>
    <xf numFmtId="0" fontId="4" fillId="3" borderId="1" xfId="0" applyFont="1" applyFill="1" applyBorder="1"/>
    <xf numFmtId="0" fontId="0" fillId="0" borderId="0" xfId="2" applyNumberFormat="1" applyFont="1" applyAlignment="1">
      <alignment horizontal="center"/>
    </xf>
    <xf numFmtId="44" fontId="0" fillId="0" borderId="0" xfId="0" applyNumberFormat="1"/>
    <xf numFmtId="165" fontId="0" fillId="0" borderId="0" xfId="0" applyNumberFormat="1"/>
    <xf numFmtId="44" fontId="5" fillId="4" borderId="2" xfId="0" applyNumberFormat="1" applyFont="1" applyFill="1" applyBorder="1" applyAlignment="1">
      <alignment horizontal="center"/>
    </xf>
    <xf numFmtId="44" fontId="5" fillId="0" borderId="2" xfId="0" applyNumberFormat="1" applyFont="1" applyBorder="1" applyAlignment="1">
      <alignment horizontal="center"/>
    </xf>
    <xf numFmtId="165" fontId="0" fillId="0" borderId="0" xfId="2" applyNumberFormat="1" applyFont="1"/>
    <xf numFmtId="44" fontId="2" fillId="0" borderId="0" xfId="0" applyNumberFormat="1" applyFont="1"/>
    <xf numFmtId="165" fontId="2" fillId="0" borderId="0" xfId="0" applyNumberFormat="1" applyFont="1"/>
    <xf numFmtId="0" fontId="0" fillId="0" borderId="0" xfId="0" applyAlignment="1">
      <alignment horizontal="center" vertical="center"/>
    </xf>
    <xf numFmtId="9" fontId="2" fillId="0" borderId="0" xfId="1" applyFont="1" applyAlignment="1">
      <alignment horizontal="center"/>
    </xf>
    <xf numFmtId="0" fontId="2" fillId="0" borderId="0" xfId="0" applyFont="1" applyAlignment="1">
      <alignment horizontal="left"/>
    </xf>
    <xf numFmtId="0" fontId="0" fillId="0" borderId="3" xfId="0" applyBorder="1" applyAlignment="1">
      <alignment horizontal="center" vertical="center"/>
    </xf>
    <xf numFmtId="0" fontId="2" fillId="0" borderId="3" xfId="0" applyFont="1" applyBorder="1" applyAlignment="1">
      <alignment horizontal="center" vertical="center"/>
    </xf>
    <xf numFmtId="0" fontId="0" fillId="0" borderId="0" xfId="0" quotePrefix="1"/>
    <xf numFmtId="0" fontId="0" fillId="5" borderId="0" xfId="0" applyFill="1"/>
    <xf numFmtId="0" fontId="6" fillId="0" borderId="0" xfId="0" applyFont="1" applyAlignment="1">
      <alignment horizontal="center" vertical="center"/>
    </xf>
    <xf numFmtId="0" fontId="6" fillId="0" borderId="0" xfId="0" applyFont="1" applyAlignment="1">
      <alignment horizontal="center"/>
    </xf>
    <xf numFmtId="0" fontId="7" fillId="0" borderId="0" xfId="0" applyFont="1"/>
    <xf numFmtId="166" fontId="0" fillId="0" borderId="0" xfId="0" applyNumberFormat="1"/>
    <xf numFmtId="166" fontId="7" fillId="0" borderId="0" xfId="0" applyNumberFormat="1" applyFont="1"/>
    <xf numFmtId="0" fontId="6" fillId="0" borderId="0" xfId="0" applyFont="1" applyAlignment="1">
      <alignment horizontal="left"/>
    </xf>
    <xf numFmtId="0" fontId="6" fillId="0" borderId="0" xfId="0" applyFont="1"/>
    <xf numFmtId="9" fontId="6" fillId="0" borderId="0" xfId="0" applyNumberFormat="1" applyFont="1"/>
    <xf numFmtId="9" fontId="6" fillId="0" borderId="0" xfId="0" applyNumberFormat="1" applyFont="1" applyAlignment="1">
      <alignment horizontal="center"/>
    </xf>
    <xf numFmtId="9" fontId="0" fillId="0" borderId="3" xfId="1" applyFont="1" applyBorder="1"/>
    <xf numFmtId="0" fontId="9" fillId="2" borderId="0" xfId="3" applyFont="1" applyFill="1"/>
    <xf numFmtId="0" fontId="10" fillId="2" borderId="0" xfId="0" applyFont="1" applyFill="1"/>
    <xf numFmtId="0" fontId="9" fillId="0" borderId="0" xfId="3" applyFont="1" applyFill="1" applyAlignment="1"/>
    <xf numFmtId="0" fontId="10" fillId="0" borderId="0" xfId="0" applyFont="1" applyFill="1" applyAlignment="1"/>
  </cellXfs>
  <cellStyles count="4">
    <cellStyle name="Currency" xfId="2" builtinId="4"/>
    <cellStyle name="Hyperlink" xfId="3" builtinId="8"/>
    <cellStyle name="Normal" xfId="0" builtinId="0"/>
    <cellStyle name="Percent" xfId="1" builtinId="5"/>
  </cellStyles>
  <dxfs count="48">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numFmt numFmtId="13" formatCode="0%"/>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34" formatCode="_(&quot;$&quot;* #,##0.00_);_(&quot;$&quot;* \(#,##0.00\);_(&quot;$&quot;* &quot;-&quot;??_);_(@_)"/>
      <alignment horizontal="center" vertical="bottom" textRotation="0" wrapText="0" indent="0" justifyLastLine="0" shrinkToFit="0" readingOrder="0"/>
    </dxf>
    <dxf>
      <numFmt numFmtId="34" formatCode="_(&quot;$&quot;* #,##0.00_);_(&quot;$&quot;* \(#,##0.00\);_(&quot;$&quot;* &quot;-&quot;??_);_(@_)"/>
      <alignment horizontal="center" vertical="bottom" textRotation="0" wrapText="0" indent="0" justifyLastLine="0" shrinkToFit="0" readingOrder="0"/>
    </dxf>
    <dxf>
      <numFmt numFmtId="34" formatCode="_(&quot;$&quot;* #,##0.00_);_(&quot;$&quot;* \(#,##0.00\);_(&quot;$&quot;* &quot;-&quot;??_);_(@_)"/>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font>
        <b/>
        <i val="0"/>
        <strike val="0"/>
        <condense val="0"/>
        <extend val="0"/>
        <outline val="0"/>
        <shadow val="0"/>
        <u val="none"/>
        <vertAlign val="baseline"/>
        <sz val="11"/>
        <color theme="1"/>
        <name val="Aptos Narrow"/>
        <family val="2"/>
        <scheme val="minor"/>
      </font>
    </dxf>
    <dxf>
      <font>
        <b/>
        <color theme="1"/>
      </font>
      <border>
        <bottom style="thin">
          <color theme="4"/>
        </bottom>
        <vertical/>
        <horizontal/>
      </border>
    </dxf>
    <dxf>
      <font>
        <color theme="1"/>
      </font>
      <fill>
        <patternFill>
          <bgColor rgb="FF2C3076"/>
        </patternFill>
      </fill>
      <border diagonalUp="0" diagonalDown="0">
        <left/>
        <right/>
        <top/>
        <bottom/>
        <vertical/>
        <horizontal/>
      </border>
    </dxf>
    <dxf>
      <font>
        <b/>
        <color theme="1"/>
      </font>
      <border>
        <bottom style="thin">
          <color theme="4"/>
        </bottom>
        <vertical/>
        <horizontal/>
      </border>
    </dxf>
    <dxf>
      <font>
        <color theme="1"/>
      </font>
      <fill>
        <patternFill>
          <bgColor rgb="FF13295E"/>
        </patternFill>
      </fill>
      <border diagonalUp="0" diagonalDown="0">
        <left/>
        <right/>
        <top/>
        <bottom/>
        <vertical/>
        <horizontal/>
      </border>
    </dxf>
    <dxf>
      <font>
        <b/>
        <color theme="1"/>
      </font>
      <border>
        <bottom style="thin">
          <color theme="4"/>
        </bottom>
        <vertical/>
        <horizontal/>
      </border>
    </dxf>
    <dxf>
      <font>
        <color theme="1"/>
      </font>
      <fill>
        <patternFill>
          <bgColor rgb="FF11184D"/>
        </patternFill>
      </fill>
      <border diagonalUp="0" diagonalDown="0">
        <left/>
        <right/>
        <top/>
        <bottom/>
        <vertical/>
        <horizontal/>
      </border>
    </dxf>
    <dxf>
      <font>
        <b/>
        <color theme="1"/>
      </font>
      <border>
        <bottom style="thin">
          <color theme="4"/>
        </bottom>
        <vertical/>
        <horizontal/>
      </border>
    </dxf>
    <dxf>
      <font>
        <color theme="1"/>
      </font>
      <fill>
        <patternFill>
          <bgColor rgb="FF0A002F"/>
        </patternFill>
      </fill>
      <border diagonalUp="0" diagonalDown="0">
        <left/>
        <right/>
        <top/>
        <bottom/>
        <vertical/>
        <horizontal/>
      </border>
    </dxf>
  </dxfs>
  <tableStyles count="4" defaultTableStyle="TableStyleMedium2" defaultPivotStyle="PivotStyleLight16">
    <tableStyle name="SlicerStyleLight1 2 2" pivot="0" table="0" count="10" xr9:uid="{48E472D8-7B9D-43EE-B558-4313375111E7}">
      <tableStyleElement type="wholeTable" dxfId="47"/>
      <tableStyleElement type="headerRow" dxfId="46"/>
    </tableStyle>
    <tableStyle name="SlicerStyleLight1 2 2 2" pivot="0" table="0" count="10" xr9:uid="{41175B77-33F8-4C3A-91C1-234C0FDB858F}">
      <tableStyleElement type="wholeTable" dxfId="45"/>
      <tableStyleElement type="headerRow" dxfId="44"/>
    </tableStyle>
    <tableStyle name="SlicerStyleLight1 2 2 3" pivot="0" table="0" count="10" xr9:uid="{F6988F1C-4FD7-4572-9E51-39F74F8528FF}">
      <tableStyleElement type="wholeTable" dxfId="43"/>
      <tableStyleElement type="headerRow" dxfId="42"/>
    </tableStyle>
    <tableStyle name="SlicerStyleLight1 2 2 4" pivot="0" table="0" count="10" xr9:uid="{4B239803-9236-4DF9-B7FF-8E5541CD9CA5}">
      <tableStyleElement type="wholeTable" dxfId="41"/>
      <tableStyleElement type="headerRow" dxfId="40"/>
    </tableStyle>
  </tableStyles>
  <colors>
    <mruColors>
      <color rgb="FFA6CAEC"/>
      <color rgb="FFFD447B"/>
      <color rgb="FF9933FF"/>
      <color rgb="FF2069F0"/>
      <color rgb="FFCC00CC"/>
      <color rgb="FF30EDFD"/>
      <color rgb="FF0000FF"/>
      <color rgb="FF476BEE"/>
      <color rgb="FFCAD4FA"/>
      <color rgb="FF12143D"/>
    </mruColors>
  </colors>
  <extLst>
    <ext xmlns:x14="http://schemas.microsoft.com/office/spreadsheetml/2009/9/main" uri="{46F421CA-312F-682f-3DD2-61675219B42D}">
      <x14:dxfs count="32">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10"/>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10"/>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10"/>
            <color theme="3" tint="0.749961851863155"/>
          </font>
          <fill>
            <patternFill patternType="solid">
              <fgColor auto="1"/>
              <bgColor rgb="FF16195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5A91F4"/>
              </stop>
              <stop position="1">
                <color rgb="FF2069F0"/>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749961851863155"/>
          </font>
          <fill>
            <patternFill patternType="solid">
              <fgColor auto="1"/>
              <bgColor rgb="FF173273"/>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89996032593768116"/>
          </font>
          <fill>
            <gradientFill degree="90">
              <stop position="0">
                <color rgb="FF140061"/>
              </stop>
              <stop position="1">
                <color rgb="FF0F0048"/>
              </stop>
            </gradient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sz val="8"/>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sz val="8"/>
            <color theme="0"/>
          </font>
          <fill>
            <gradientFill degree="90">
              <stop position="0">
                <color rgb="FF2069F0"/>
              </stop>
              <stop position="1">
                <color rgb="FF9933FF"/>
              </stop>
            </gradient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sz val="8"/>
            <color theme="3" tint="0.89996032593768116"/>
          </font>
          <fill>
            <gradientFill degree="90">
              <stop position="0">
                <color rgb="FF140061"/>
              </stop>
              <stop position="1">
                <color rgb="FF0F0048"/>
              </stop>
            </gradient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Light1 2 2">
          <x14:slicerStyleElements>
            <x14:slicerStyleElement type="unselectedItemWithData" dxfId="31"/>
            <x14:slicerStyleElement type="unselectedItemWithNoData" dxfId="30"/>
            <x14:slicerStyleElement type="selectedItemWithData" dxfId="29"/>
            <x14:slicerStyleElement type="selectedItemWithNoData" dxfId="28"/>
            <x14:slicerStyleElement type="hoveredUnselectedItemWithData" dxfId="27"/>
            <x14:slicerStyleElement type="hoveredSelectedItemWithData" dxfId="26"/>
            <x14:slicerStyleElement type="hoveredUnselectedItemWithNoData" dxfId="25"/>
            <x14:slicerStyleElement type="hoveredSelectedItemWithNoData" dxfId="24"/>
          </x14:slicerStyleElements>
        </x14:slicerStyle>
        <x14:slicerStyle name="SlicerStyleLight1 2 2 2">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SlicerStyleLight1 2 2 3">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Light1 2 2 4">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2.xml"/><Relationship Id="rId18" Type="http://schemas.microsoft.com/office/2007/relationships/slicerCache" Target="slicerCaches/slicerCache2.xml"/><Relationship Id="rId26" Type="http://schemas.openxmlformats.org/officeDocument/2006/relationships/sharedStrings" Target="sharedStrings.xml"/><Relationship Id="rId3" Type="http://schemas.openxmlformats.org/officeDocument/2006/relationships/worksheet" Target="worksheets/sheet3.xml"/><Relationship Id="rId21" Type="http://schemas.microsoft.com/office/2007/relationships/slicerCache" Target="slicerCaches/slicerCache5.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1.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pivotCacheDefinition" Target="pivotCache/pivotCacheDefinition5.xml"/><Relationship Id="rId20" Type="http://schemas.microsoft.com/office/2007/relationships/slicerCache" Target="slicerCaches/slicerCache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pivotCacheDefinition" Target="pivotCache/pivotCacheDefinition4.xml"/><Relationship Id="rId23" Type="http://schemas.microsoft.com/office/2007/relationships/slicerCache" Target="slicerCaches/slicerCache7.xml"/><Relationship Id="rId28" Type="http://schemas.openxmlformats.org/officeDocument/2006/relationships/calcChain" Target="calcChain.xml"/><Relationship Id="rId10" Type="http://schemas.openxmlformats.org/officeDocument/2006/relationships/worksheet" Target="worksheets/sheet10.xml"/><Relationship Id="rId19" Type="http://schemas.microsoft.com/office/2007/relationships/slicerCache" Target="slicerCaches/slicerCache3.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3.xml"/><Relationship Id="rId22" Type="http://schemas.microsoft.com/office/2007/relationships/slicerCache" Target="slicerCaches/slicerCache6.xml"/><Relationship Id="rId27" Type="http://schemas.openxmlformats.org/officeDocument/2006/relationships/sheetMetadata" Target="metadata.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1.xml"/><Relationship Id="rId1" Type="http://schemas.microsoft.com/office/2011/relationships/chartStyle" Target="style11.xml"/><Relationship Id="rId5" Type="http://schemas.openxmlformats.org/officeDocument/2006/relationships/image" Target="../media/image5.png"/><Relationship Id="rId4" Type="http://schemas.openxmlformats.org/officeDocument/2006/relationships/image" Target="../media/image4.png"/></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7.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8.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20.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18.xml"/><Relationship Id="rId1" Type="http://schemas.microsoft.com/office/2011/relationships/chartStyle" Target="style18.xml"/><Relationship Id="rId5" Type="http://schemas.openxmlformats.org/officeDocument/2006/relationships/image" Target="../media/image5.png"/><Relationship Id="rId4" Type="http://schemas.openxmlformats.org/officeDocument/2006/relationships/image" Target="../media/image4.png"/></Relationships>
</file>

<file path=xl/charts/_rels/chart21.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2.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3.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4.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5.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6.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7.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9.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26.xml"/><Relationship Id="rId1" Type="http://schemas.microsoft.com/office/2011/relationships/chartStyle" Target="style26.xml"/><Relationship Id="rId5" Type="http://schemas.openxmlformats.org/officeDocument/2006/relationships/image" Target="../media/image5.png"/><Relationship Id="rId4" Type="http://schemas.openxmlformats.org/officeDocument/2006/relationships/image" Target="../media/image4.png"/></Relationships>
</file>

<file path=xl/charts/_rels/chart30.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31.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32.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3.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4.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6.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7.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8.xml.rels><?xml version="1.0" encoding="UTF-8" standalone="yes"?>
<Relationships xmlns="http://schemas.openxmlformats.org/package/2006/relationships"><Relationship Id="rId3" Type="http://schemas.openxmlformats.org/officeDocument/2006/relationships/image" Target="../media/image3.png"/><Relationship Id="rId2" Type="http://schemas.microsoft.com/office/2011/relationships/chartColorStyle" Target="colors34.xml"/><Relationship Id="rId1" Type="http://schemas.microsoft.com/office/2011/relationships/chartStyle" Target="style34.xml"/><Relationship Id="rId5" Type="http://schemas.openxmlformats.org/officeDocument/2006/relationships/image" Target="../media/image5.png"/><Relationship Id="rId4" Type="http://schemas.openxmlformats.org/officeDocument/2006/relationships/image" Target="../media/image4.png"/></Relationships>
</file>

<file path=xl/charts/_rels/chart39.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40.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41.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42.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43.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4.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image" Target="../media/image7.png"/><Relationship Id="rId1" Type="http://schemas.openxmlformats.org/officeDocument/2006/relationships/image" Target="../media/image6.png"/></Relationships>
</file>

<file path=xl/charts/_rels/chart45.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8.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9.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50.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51.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52.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53.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54.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55.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58.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62.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63.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64.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228600" dist="114300" dir="8100000" algn="tr" rotWithShape="0">
                <a:prstClr val="black">
                  <a:alpha val="80000"/>
                </a:prstClr>
              </a:outerShdw>
            </a:effectLst>
          </c:spPr>
          <c:dPt>
            <c:idx val="0"/>
            <c:bubble3D val="0"/>
            <c:spPr>
              <a:gradFill>
                <a:gsLst>
                  <a:gs pos="100000">
                    <a:srgbClr val="30EDFD"/>
                  </a:gs>
                  <a:gs pos="16000">
                    <a:srgbClr val="3128C3"/>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1-CC4D-44BC-A734-D9D095A7FB23}"/>
              </c:ext>
            </c:extLst>
          </c:dPt>
          <c:dPt>
            <c:idx val="1"/>
            <c:bubble3D val="0"/>
            <c:spPr>
              <a:gradFill>
                <a:gsLst>
                  <a:gs pos="100000">
                    <a:srgbClr val="9B2EDC"/>
                  </a:gs>
                  <a:gs pos="14000">
                    <a:srgbClr val="4A1FC4"/>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3-CC4D-44BC-A734-D9D095A7FB23}"/>
              </c:ext>
            </c:extLst>
          </c:dPt>
          <c:val>
            <c:numRef>
              <c:f>Processing!$N$1:$O$1</c:f>
              <c:numCache>
                <c:formatCode>0%</c:formatCode>
                <c:ptCount val="2"/>
                <c:pt idx="0">
                  <c:v>0.37072749999999999</c:v>
                </c:pt>
                <c:pt idx="1">
                  <c:v>0.62927250000000001</c:v>
                </c:pt>
              </c:numCache>
            </c:numRef>
          </c:val>
          <c:extLst>
            <c:ext xmlns:c16="http://schemas.microsoft.com/office/drawing/2014/chart" uri="{C3380CC4-5D6E-409C-BE32-E72D297353CC}">
              <c16:uniqueId val="{00000004-CC4D-44BC-A734-D9D095A7FB23}"/>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Processing!$B$1</c:f>
              <c:strCache>
                <c:ptCount val="1"/>
                <c:pt idx="0">
                  <c:v>Actual</c:v>
                </c:pt>
              </c:strCache>
            </c:strRef>
          </c:tx>
          <c:spPr>
            <a:ln w="19050" cap="rnd">
              <a:solidFill>
                <a:srgbClr val="2B31B3"/>
              </a:solidFill>
              <a:round/>
            </a:ln>
            <a:effectLst/>
          </c:spPr>
          <c:marker>
            <c:symbol val="none"/>
          </c:marker>
          <c:val>
            <c:numRef>
              <c:f>Processing!$B$2:$B$13</c:f>
              <c:numCache>
                <c:formatCode>0%</c:formatCode>
                <c:ptCount val="12"/>
                <c:pt idx="0">
                  <c:v>0.9</c:v>
                </c:pt>
                <c:pt idx="1">
                  <c:v>0.7</c:v>
                </c:pt>
                <c:pt idx="2">
                  <c:v>0.8</c:v>
                </c:pt>
                <c:pt idx="3">
                  <c:v>0.55000000000000004</c:v>
                </c:pt>
                <c:pt idx="4">
                  <c:v>0.45</c:v>
                </c:pt>
                <c:pt idx="5">
                  <c:v>0.5</c:v>
                </c:pt>
                <c:pt idx="6">
                  <c:v>0.3</c:v>
                </c:pt>
                <c:pt idx="7">
                  <c:v>0.35</c:v>
                </c:pt>
                <c:pt idx="8">
                  <c:v>0.2</c:v>
                </c:pt>
                <c:pt idx="9">
                  <c:v>0.25</c:v>
                </c:pt>
                <c:pt idx="10">
                  <c:v>0.15</c:v>
                </c:pt>
                <c:pt idx="11">
                  <c:v>0.2</c:v>
                </c:pt>
              </c:numCache>
            </c:numRef>
          </c:val>
          <c:smooth val="1"/>
          <c:extLst>
            <c:ext xmlns:c16="http://schemas.microsoft.com/office/drawing/2014/chart" uri="{C3380CC4-5D6E-409C-BE32-E72D297353CC}">
              <c16:uniqueId val="{0000000C-7B21-4955-9C84-57B7E0466396}"/>
            </c:ext>
          </c:extLst>
        </c:ser>
        <c:ser>
          <c:idx val="0"/>
          <c:order val="1"/>
          <c:tx>
            <c:strRef>
              <c:f>Processing!$C$1</c:f>
              <c:strCache>
                <c:ptCount val="1"/>
                <c:pt idx="0">
                  <c:v>Progress</c:v>
                </c:pt>
              </c:strCache>
            </c:strRef>
          </c:tx>
          <c:spPr>
            <a:ln w="19050" cap="rnd">
              <a:solidFill>
                <a:srgbClr val="A2D8F0"/>
              </a:solidFill>
              <a:round/>
            </a:ln>
            <a:effectLst>
              <a:glow rad="63500">
                <a:schemeClr val="accent1">
                  <a:satMod val="175000"/>
                  <a:alpha val="40000"/>
                </a:schemeClr>
              </a:glow>
              <a:outerShdw blurRad="127000" dist="50800" dir="5400000" sx="105000" sy="105000" algn="t" rotWithShape="0">
                <a:srgbClr val="0000FF"/>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#N/A</c:v>
                </c:pt>
                <c:pt idx="1">
                  <c:v>#N/A</c:v>
                </c:pt>
                <c:pt idx="2">
                  <c:v>#N/A</c:v>
                </c:pt>
                <c:pt idx="3">
                  <c:v>#N/A</c:v>
                </c:pt>
                <c:pt idx="4">
                  <c:v>#N/A</c:v>
                </c:pt>
                <c:pt idx="5">
                  <c:v>#N/A</c:v>
                </c:pt>
                <c:pt idx="6">
                  <c:v>#N/A</c:v>
                </c:pt>
                <c:pt idx="7">
                  <c:v>#N/A</c:v>
                </c:pt>
                <c:pt idx="8">
                  <c:v>0.2</c:v>
                </c:pt>
                <c:pt idx="9">
                  <c:v>0.25</c:v>
                </c:pt>
                <c:pt idx="10">
                  <c:v>0.15</c:v>
                </c:pt>
                <c:pt idx="11">
                  <c:v>0.2</c:v>
                </c:pt>
              </c:numCache>
            </c:numRef>
          </c:val>
          <c:smooth val="1"/>
          <c:extLst>
            <c:ext xmlns:c16="http://schemas.microsoft.com/office/drawing/2014/chart" uri="{C3380CC4-5D6E-409C-BE32-E72D297353CC}">
              <c16:uniqueId val="{00000000-7B21-4955-9C84-57B7E0466396}"/>
            </c:ext>
          </c:extLst>
        </c:ser>
        <c:ser>
          <c:idx val="1"/>
          <c:order val="2"/>
          <c:tx>
            <c:strRef>
              <c:f>Processing!$D$1</c:f>
              <c:strCache>
                <c:ptCount val="1"/>
                <c:pt idx="0">
                  <c:v>Target</c:v>
                </c:pt>
              </c:strCache>
            </c:strRef>
          </c:tx>
          <c:spPr>
            <a:ln w="12700" cap="rnd">
              <a:solidFill>
                <a:schemeClr val="bg1"/>
              </a:solidFill>
              <a:round/>
            </a:ln>
            <a:effectLst/>
          </c:spPr>
          <c:marker>
            <c:symbol val="circle"/>
            <c:size val="6"/>
            <c:spPr>
              <a:solidFill>
                <a:srgbClr val="10004C"/>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0%</c:formatCode>
                <c:ptCount val="12"/>
                <c:pt idx="0">
                  <c:v>1</c:v>
                </c:pt>
                <c:pt idx="1">
                  <c:v>0.95</c:v>
                </c:pt>
                <c:pt idx="2">
                  <c:v>0.9</c:v>
                </c:pt>
                <c:pt idx="3">
                  <c:v>0.85</c:v>
                </c:pt>
                <c:pt idx="4">
                  <c:v>0.8</c:v>
                </c:pt>
                <c:pt idx="5">
                  <c:v>0.7</c:v>
                </c:pt>
                <c:pt idx="6">
                  <c:v>0.6</c:v>
                </c:pt>
                <c:pt idx="7">
                  <c:v>0.5</c:v>
                </c:pt>
                <c:pt idx="8">
                  <c:v>0.4</c:v>
                </c:pt>
                <c:pt idx="9">
                  <c:v>0.3</c:v>
                </c:pt>
                <c:pt idx="10">
                  <c:v>0.2</c:v>
                </c:pt>
                <c:pt idx="11">
                  <c:v>0.1</c:v>
                </c:pt>
              </c:numCache>
            </c:numRef>
          </c:val>
          <c:smooth val="0"/>
          <c:extLst>
            <c:ext xmlns:c16="http://schemas.microsoft.com/office/drawing/2014/chart" uri="{C3380CC4-5D6E-409C-BE32-E72D297353CC}">
              <c16:uniqueId val="{00000001-7B21-4955-9C84-57B7E0466396}"/>
            </c:ext>
          </c:extLst>
        </c:ser>
        <c:dLbls>
          <c:showLegendKey val="0"/>
          <c:showVal val="0"/>
          <c:showCatName val="0"/>
          <c:showSerName val="0"/>
          <c:showPercent val="0"/>
          <c:showBubbleSize val="0"/>
        </c:dLbls>
        <c:marker val="1"/>
        <c:smooth val="0"/>
        <c:axId val="354359679"/>
        <c:axId val="354356799"/>
      </c:lineChart>
      <c:scatterChart>
        <c:scatterStyle val="lineMarker"/>
        <c:varyColors val="0"/>
        <c:ser>
          <c:idx val="3"/>
          <c:order val="3"/>
          <c:tx>
            <c:strRef>
              <c:f>Processing!$E$1</c:f>
              <c:strCache>
                <c:ptCount val="1"/>
                <c:pt idx="0">
                  <c:v>Cursor</c:v>
                </c:pt>
              </c:strCache>
            </c:strRef>
          </c:tx>
          <c:spPr>
            <a:ln w="25400" cap="rnd">
              <a:noFill/>
              <a:round/>
            </a:ln>
            <a:effectLst>
              <a:glow rad="254000">
                <a:srgbClr val="0000FF">
                  <a:alpha val="40000"/>
                </a:srgbClr>
              </a:glow>
            </a:effectLst>
          </c:spPr>
          <c:marker>
            <c:symbol val="circle"/>
            <c:size val="5"/>
            <c:spPr>
              <a:solidFill>
                <a:srgbClr val="0A002F"/>
              </a:solidFill>
              <a:ln w="9525">
                <a:solidFill>
                  <a:srgbClr val="A2D8F0"/>
                </a:solidFill>
              </a:ln>
              <a:effectLst>
                <a:glow rad="254000">
                  <a:srgbClr val="0000FF">
                    <a:alpha val="40000"/>
                  </a:srgb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D8F0"/>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Processing!$E$2:$E$13</c:f>
              <c:numCache>
                <c:formatCode>0%</c:formatCode>
                <c:ptCount val="12"/>
                <c:pt idx="0">
                  <c:v>#N/A</c:v>
                </c:pt>
                <c:pt idx="1">
                  <c:v>#N/A</c:v>
                </c:pt>
                <c:pt idx="2">
                  <c:v>#N/A</c:v>
                </c:pt>
                <c:pt idx="3">
                  <c:v>#N/A</c:v>
                </c:pt>
                <c:pt idx="4">
                  <c:v>#N/A</c:v>
                </c:pt>
                <c:pt idx="5">
                  <c:v>#N/A</c:v>
                </c:pt>
                <c:pt idx="6">
                  <c:v>#N/A</c:v>
                </c:pt>
                <c:pt idx="7">
                  <c:v>#N/A</c:v>
                </c:pt>
                <c:pt idx="8">
                  <c:v>0.2</c:v>
                </c:pt>
                <c:pt idx="9">
                  <c:v>#N/A</c:v>
                </c:pt>
                <c:pt idx="10">
                  <c:v>#N/A</c:v>
                </c:pt>
                <c:pt idx="11">
                  <c:v>#N/A</c:v>
                </c:pt>
              </c:numCache>
            </c:numRef>
          </c:yVal>
          <c:smooth val="0"/>
          <c:extLst>
            <c:ext xmlns:c16="http://schemas.microsoft.com/office/drawing/2014/chart" uri="{C3380CC4-5D6E-409C-BE32-E72D297353CC}">
              <c16:uniqueId val="{0000000D-7B21-4955-9C84-57B7E0466396}"/>
            </c:ext>
          </c:extLst>
        </c:ser>
        <c:dLbls>
          <c:showLegendKey val="0"/>
          <c:showVal val="0"/>
          <c:showCatName val="0"/>
          <c:showSerName val="0"/>
          <c:showPercent val="0"/>
          <c:showBubbleSize val="0"/>
        </c:dLbls>
        <c:axId val="354359679"/>
        <c:axId val="354356799"/>
      </c:scatterChart>
      <c:catAx>
        <c:axId val="354359679"/>
        <c:scaling>
          <c:orientation val="minMax"/>
        </c:scaling>
        <c:delete val="1"/>
        <c:axPos val="b"/>
        <c:numFmt formatCode="General" sourceLinked="1"/>
        <c:majorTickMark val="none"/>
        <c:minorTickMark val="none"/>
        <c:tickLblPos val="nextTo"/>
        <c:crossAx val="354356799"/>
        <c:crosses val="autoZero"/>
        <c:auto val="1"/>
        <c:lblAlgn val="ctr"/>
        <c:lblOffset val="100"/>
        <c:noMultiLvlLbl val="0"/>
      </c:catAx>
      <c:valAx>
        <c:axId val="354356799"/>
        <c:scaling>
          <c:orientation val="minMax"/>
        </c:scaling>
        <c:delete val="1"/>
        <c:axPos val="l"/>
        <c:numFmt formatCode="0%" sourceLinked="1"/>
        <c:majorTickMark val="none"/>
        <c:minorTickMark val="none"/>
        <c:tickLblPos val="nextTo"/>
        <c:crossAx val="35435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Processing!$H$1</c:f>
              <c:strCache>
                <c:ptCount val="1"/>
                <c:pt idx="0">
                  <c:v>Probability</c:v>
                </c:pt>
              </c:strCache>
            </c:strRef>
          </c:tx>
          <c:spPr>
            <a:ln w="19050" cap="rnd">
              <a:solidFill>
                <a:srgbClr val="A746F6"/>
              </a:solidFill>
              <a:round/>
            </a:ln>
            <a:effectLst>
              <a:outerShdw blurRad="50800" dist="38100" dir="5400000" algn="t" rotWithShape="0">
                <a:prstClr val="black">
                  <a:alpha val="40000"/>
                </a:prstClr>
              </a:outerShdw>
            </a:effectLst>
          </c:spPr>
          <c:marker>
            <c:symbol val="circle"/>
            <c:size val="7"/>
            <c:spPr>
              <a:solidFill>
                <a:srgbClr val="D73BFE"/>
              </a:solidFill>
              <a:ln w="9525">
                <a:no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Processing!$G$2:$G$6</c:f>
              <c:strCache>
                <c:ptCount val="5"/>
                <c:pt idx="0">
                  <c:v>R1</c:v>
                </c:pt>
                <c:pt idx="1">
                  <c:v>R2</c:v>
                </c:pt>
                <c:pt idx="2">
                  <c:v>R3</c:v>
                </c:pt>
                <c:pt idx="3">
                  <c:v>R4</c:v>
                </c:pt>
                <c:pt idx="4">
                  <c:v>R5</c:v>
                </c:pt>
              </c:strCache>
            </c:strRef>
          </c:cat>
          <c:val>
            <c:numRef>
              <c:f>Processing!$H$2:$H$6</c:f>
              <c:numCache>
                <c:formatCode>0%</c:formatCode>
                <c:ptCount val="5"/>
                <c:pt idx="0">
                  <c:v>0.15</c:v>
                </c:pt>
                <c:pt idx="1">
                  <c:v>0.74</c:v>
                </c:pt>
                <c:pt idx="2">
                  <c:v>0.72</c:v>
                </c:pt>
                <c:pt idx="3">
                  <c:v>0.41</c:v>
                </c:pt>
                <c:pt idx="4">
                  <c:v>0.82</c:v>
                </c:pt>
              </c:numCache>
            </c:numRef>
          </c:val>
          <c:smooth val="0"/>
          <c:extLst>
            <c:ext xmlns:c16="http://schemas.microsoft.com/office/drawing/2014/chart" uri="{C3380CC4-5D6E-409C-BE32-E72D297353CC}">
              <c16:uniqueId val="{00000000-6494-4944-9467-23BE9282627A}"/>
            </c:ext>
          </c:extLst>
        </c:ser>
        <c:dLbls>
          <c:showLegendKey val="0"/>
          <c:showVal val="0"/>
          <c:showCatName val="0"/>
          <c:showSerName val="0"/>
          <c:showPercent val="0"/>
          <c:showBubbleSize val="0"/>
        </c:dLbls>
        <c:marker val="1"/>
        <c:smooth val="0"/>
        <c:axId val="354358719"/>
        <c:axId val="354360159"/>
      </c:lineChart>
      <c:catAx>
        <c:axId val="3543587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354360159"/>
        <c:crosses val="autoZero"/>
        <c:auto val="1"/>
        <c:lblAlgn val="ctr"/>
        <c:lblOffset val="100"/>
        <c:noMultiLvlLbl val="0"/>
      </c:catAx>
      <c:valAx>
        <c:axId val="354360159"/>
        <c:scaling>
          <c:orientation val="minMax"/>
        </c:scaling>
        <c:delete val="1"/>
        <c:axPos val="l"/>
        <c:numFmt formatCode="0%" sourceLinked="1"/>
        <c:majorTickMark val="none"/>
        <c:minorTickMark val="none"/>
        <c:tickLblPos val="nextTo"/>
        <c:crossAx val="3543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a:gsLst>
                <a:gs pos="100000">
                  <a:srgbClr val="D73BFE">
                    <a:alpha val="50000"/>
                  </a:srgbClr>
                </a:gs>
                <a:gs pos="0">
                  <a:srgbClr val="2C48D4">
                    <a:alpha val="50000"/>
                  </a:srgbClr>
                </a:gs>
              </a:gsLst>
              <a:lin ang="6000000" scaled="0"/>
            </a:gradFill>
            <a:ln>
              <a:solidFill>
                <a:schemeClr val="tx2">
                  <a:lumMod val="25000"/>
                  <a:lumOff val="75000"/>
                </a:schemeClr>
              </a:solidFill>
            </a:ln>
            <a:effectLst>
              <a:outerShdw blurRad="50800" dist="38100" dir="8100000" algn="tr" rotWithShape="0">
                <a:prstClr val="black">
                  <a:alpha val="40000"/>
                </a:prstClr>
              </a:outerShdw>
            </a:effectLst>
          </c:spPr>
          <c:cat>
            <c:strRef>
              <c:f>Processing!$J$2:$J$6</c:f>
              <c:strCache>
                <c:ptCount val="5"/>
                <c:pt idx="0">
                  <c:v>P</c:v>
                </c:pt>
                <c:pt idx="1">
                  <c:v>D</c:v>
                </c:pt>
                <c:pt idx="2">
                  <c:v>I</c:v>
                </c:pt>
                <c:pt idx="3">
                  <c:v>P</c:v>
                </c:pt>
                <c:pt idx="4">
                  <c:v>R</c:v>
                </c:pt>
              </c:strCache>
            </c:strRef>
          </c:cat>
          <c:val>
            <c:numRef>
              <c:f>Processing!$K$2:$K$6</c:f>
              <c:numCache>
                <c:formatCode>_("$"* #,##0_);_("$"* \(#,##0\);_("$"* "-"??_);_(@_)</c:formatCode>
                <c:ptCount val="5"/>
                <c:pt idx="0">
                  <c:v>2413</c:v>
                </c:pt>
                <c:pt idx="1">
                  <c:v>3819</c:v>
                </c:pt>
                <c:pt idx="2">
                  <c:v>4950</c:v>
                </c:pt>
                <c:pt idx="3">
                  <c:v>2520</c:v>
                </c:pt>
                <c:pt idx="4">
                  <c:v>2118</c:v>
                </c:pt>
              </c:numCache>
            </c:numRef>
          </c:val>
          <c:extLst>
            <c:ext xmlns:c16="http://schemas.microsoft.com/office/drawing/2014/chart" uri="{C3380CC4-5D6E-409C-BE32-E72D297353CC}">
              <c16:uniqueId val="{00000000-D68E-4588-AB55-E446E0C7C3A4}"/>
            </c:ext>
          </c:extLst>
        </c:ser>
        <c:dLbls>
          <c:showLegendKey val="0"/>
          <c:showVal val="0"/>
          <c:showCatName val="0"/>
          <c:showSerName val="0"/>
          <c:showPercent val="0"/>
          <c:showBubbleSize val="0"/>
        </c:dLbls>
        <c:axId val="354341439"/>
        <c:axId val="354351999"/>
      </c:radarChart>
      <c:catAx>
        <c:axId val="354341439"/>
        <c:scaling>
          <c:orientation val="minMax"/>
        </c:scaling>
        <c:delete val="1"/>
        <c:axPos val="b"/>
        <c:numFmt formatCode="General" sourceLinked="1"/>
        <c:majorTickMark val="none"/>
        <c:minorTickMark val="none"/>
        <c:tickLblPos val="nextTo"/>
        <c:crossAx val="354351999"/>
        <c:crosses val="autoZero"/>
        <c:auto val="1"/>
        <c:lblAlgn val="ctr"/>
        <c:lblOffset val="100"/>
        <c:noMultiLvlLbl val="0"/>
      </c:catAx>
      <c:valAx>
        <c:axId val="354351999"/>
        <c:scaling>
          <c:orientation val="minMax"/>
        </c:scaling>
        <c:delete val="1"/>
        <c:axPos val="l"/>
        <c:majorGridlines>
          <c:spPr>
            <a:ln w="9525" cap="flat" cmpd="sng" algn="ctr">
              <a:solidFill>
                <a:srgbClr val="5B08A0"/>
              </a:solidFill>
              <a:round/>
            </a:ln>
            <a:effectLst/>
          </c:spPr>
        </c:majorGridlines>
        <c:numFmt formatCode="_(&quot;$&quot;* #,##0_);_(&quot;$&quot;* \(#,##0\);_(&quot;$&quot;* &quot;-&quot;??_);_(@_)" sourceLinked="1"/>
        <c:majorTickMark val="out"/>
        <c:minorTickMark val="none"/>
        <c:tickLblPos val="nextTo"/>
        <c:crossAx val="35434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231884057971016E-2"/>
          <c:y val="7.4404761904761901E-3"/>
          <c:w val="0.92753623188405798"/>
          <c:h val="0.8577509842519685"/>
        </c:manualLayout>
      </c:layout>
      <c:barChart>
        <c:barDir val="col"/>
        <c:grouping val="stacked"/>
        <c:varyColors val="0"/>
        <c:ser>
          <c:idx val="0"/>
          <c:order val="0"/>
          <c:tx>
            <c:strRef>
              <c:f>Processing!$B$16</c:f>
              <c:strCache>
                <c:ptCount val="1"/>
                <c:pt idx="0">
                  <c:v>indent</c:v>
                </c:pt>
              </c:strCache>
            </c:strRef>
          </c:tx>
          <c:spPr>
            <a:solidFill>
              <a:schemeClr val="accent1"/>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2312.85</c:v>
                </c:pt>
                <c:pt idx="1">
                  <c:v>2312.85</c:v>
                </c:pt>
                <c:pt idx="2">
                  <c:v>2312.85</c:v>
                </c:pt>
                <c:pt idx="3">
                  <c:v>2312.85</c:v>
                </c:pt>
                <c:pt idx="4">
                  <c:v>2312.85</c:v>
                </c:pt>
                <c:pt idx="5">
                  <c:v>2312.85</c:v>
                </c:pt>
                <c:pt idx="6">
                  <c:v>2312.85</c:v>
                </c:pt>
                <c:pt idx="7">
                  <c:v>2312.85</c:v>
                </c:pt>
                <c:pt idx="8">
                  <c:v>2312.85</c:v>
                </c:pt>
                <c:pt idx="9">
                  <c:v>2312.85</c:v>
                </c:pt>
                <c:pt idx="10">
                  <c:v>2312.85</c:v>
                </c:pt>
                <c:pt idx="11">
                  <c:v>2312.85</c:v>
                </c:pt>
              </c:numCache>
            </c:numRef>
          </c:val>
          <c:extLst>
            <c:ext xmlns:c16="http://schemas.microsoft.com/office/drawing/2014/chart" uri="{C3380CC4-5D6E-409C-BE32-E72D297353CC}">
              <c16:uniqueId val="{00000000-AA78-4E0C-9285-63FAC9BA28B0}"/>
            </c:ext>
          </c:extLst>
        </c:ser>
        <c:ser>
          <c:idx val="1"/>
          <c:order val="1"/>
          <c:tx>
            <c:strRef>
              <c:f>Processing!$C$16</c:f>
              <c:strCache>
                <c:ptCount val="1"/>
                <c:pt idx="0">
                  <c:v>Cost</c:v>
                </c:pt>
              </c:strCache>
            </c:strRef>
          </c:tx>
          <c:spPr>
            <a:solidFill>
              <a:schemeClr val="accent2"/>
            </a:solidFill>
            <a:ln w="101600">
              <a:gradFill>
                <a:gsLst>
                  <a:gs pos="0">
                    <a:srgbClr val="270345"/>
                  </a:gs>
                  <a:gs pos="100000">
                    <a:srgbClr val="540793"/>
                  </a:gs>
                </a:gsLst>
                <a:lin ang="5400000" scaled="1"/>
              </a:grad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17063</c:v>
                </c:pt>
                <c:pt idx="1">
                  <c:v>19009</c:v>
                </c:pt>
                <c:pt idx="2">
                  <c:v>21172</c:v>
                </c:pt>
                <c:pt idx="3">
                  <c:v>25512</c:v>
                </c:pt>
                <c:pt idx="4">
                  <c:v>22609</c:v>
                </c:pt>
                <c:pt idx="5">
                  <c:v>30077</c:v>
                </c:pt>
                <c:pt idx="6">
                  <c:v>35634</c:v>
                </c:pt>
                <c:pt idx="7">
                  <c:v>46257</c:v>
                </c:pt>
                <c:pt idx="8">
                  <c:v>34376</c:v>
                </c:pt>
                <c:pt idx="9">
                  <c:v>36744</c:v>
                </c:pt>
                <c:pt idx="10">
                  <c:v>44019</c:v>
                </c:pt>
                <c:pt idx="11">
                  <c:v>45080</c:v>
                </c:pt>
              </c:numCache>
            </c:numRef>
          </c:val>
          <c:extLst>
            <c:ext xmlns:c16="http://schemas.microsoft.com/office/drawing/2014/chart" uri="{C3380CC4-5D6E-409C-BE32-E72D297353CC}">
              <c16:uniqueId val="{00000001-AA78-4E0C-9285-63FAC9BA28B0}"/>
            </c:ext>
          </c:extLst>
        </c:ser>
        <c:dLbls>
          <c:showLegendKey val="0"/>
          <c:showVal val="0"/>
          <c:showCatName val="0"/>
          <c:showSerName val="0"/>
          <c:showPercent val="0"/>
          <c:showBubbleSize val="0"/>
        </c:dLbls>
        <c:gapWidth val="220"/>
        <c:overlap val="100"/>
        <c:axId val="354366879"/>
        <c:axId val="354367839"/>
      </c:barChart>
      <c:barChart>
        <c:barDir val="col"/>
        <c:grouping val="stacked"/>
        <c:varyColors val="0"/>
        <c:ser>
          <c:idx val="2"/>
          <c:order val="2"/>
          <c:tx>
            <c:strRef>
              <c:f>Processing!$D$16</c:f>
              <c:strCache>
                <c:ptCount val="1"/>
                <c:pt idx="0">
                  <c:v>indent C</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2312.85</c:v>
                </c:pt>
                <c:pt idx="1">
                  <c:v>2312.85</c:v>
                </c:pt>
                <c:pt idx="2">
                  <c:v>2312.85</c:v>
                </c:pt>
                <c:pt idx="3">
                  <c:v>2312.85</c:v>
                </c:pt>
                <c:pt idx="4">
                  <c:v>2312.85</c:v>
                </c:pt>
                <c:pt idx="5">
                  <c:v>2312.85</c:v>
                </c:pt>
                <c:pt idx="6">
                  <c:v>2312.85</c:v>
                </c:pt>
                <c:pt idx="7">
                  <c:v>2312.85</c:v>
                </c:pt>
                <c:pt idx="8">
                  <c:v>2312.85</c:v>
                </c:pt>
                <c:pt idx="9">
                  <c:v>2312.85</c:v>
                </c:pt>
                <c:pt idx="10">
                  <c:v>2312.85</c:v>
                </c:pt>
                <c:pt idx="11">
                  <c:v>2312.85</c:v>
                </c:pt>
              </c:numCache>
            </c:numRef>
          </c:val>
          <c:extLst>
            <c:ext xmlns:c16="http://schemas.microsoft.com/office/drawing/2014/chart" uri="{C3380CC4-5D6E-409C-BE32-E72D297353CC}">
              <c16:uniqueId val="{00000002-AA78-4E0C-9285-63FAC9BA28B0}"/>
            </c:ext>
          </c:extLst>
        </c:ser>
        <c:ser>
          <c:idx val="3"/>
          <c:order val="3"/>
          <c:tx>
            <c:strRef>
              <c:f>Processing!$E$16</c:f>
              <c:strCache>
                <c:ptCount val="1"/>
                <c:pt idx="0">
                  <c:v>Cursor</c:v>
                </c:pt>
              </c:strCache>
            </c:strRef>
          </c:tx>
          <c:spPr>
            <a:solidFill>
              <a:schemeClr val="accent4"/>
            </a:solidFill>
            <a:ln w="101600">
              <a:gradFill>
                <a:gsLst>
                  <a:gs pos="6000">
                    <a:srgbClr val="18B4E1"/>
                  </a:gs>
                  <a:gs pos="0">
                    <a:srgbClr val="D6EDF9"/>
                  </a:gs>
                  <a:gs pos="90000">
                    <a:srgbClr val="282FAD"/>
                  </a:gs>
                  <a:gs pos="100000">
                    <a:srgbClr val="540793"/>
                  </a:gs>
                </a:gsLst>
                <a:lin ang="5400000" scaled="1"/>
              </a:grad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_("$"* #,##0_);_("$"* \(#,##0\);_("$"* "-"??_);_(@_)</c:formatCode>
                <c:ptCount val="12"/>
                <c:pt idx="0">
                  <c:v>#N/A</c:v>
                </c:pt>
                <c:pt idx="1">
                  <c:v>#N/A</c:v>
                </c:pt>
                <c:pt idx="2">
                  <c:v>#N/A</c:v>
                </c:pt>
                <c:pt idx="3">
                  <c:v>#N/A</c:v>
                </c:pt>
                <c:pt idx="4">
                  <c:v>#N/A</c:v>
                </c:pt>
                <c:pt idx="5">
                  <c:v>#N/A</c:v>
                </c:pt>
                <c:pt idx="6">
                  <c:v>#N/A</c:v>
                </c:pt>
                <c:pt idx="7">
                  <c:v>#N/A</c:v>
                </c:pt>
                <c:pt idx="8">
                  <c:v>34376</c:v>
                </c:pt>
                <c:pt idx="9">
                  <c:v>#N/A</c:v>
                </c:pt>
                <c:pt idx="10">
                  <c:v>#N/A</c:v>
                </c:pt>
                <c:pt idx="11">
                  <c:v>#N/A</c:v>
                </c:pt>
              </c:numCache>
            </c:numRef>
          </c:val>
          <c:extLst>
            <c:ext xmlns:c16="http://schemas.microsoft.com/office/drawing/2014/chart" uri="{C3380CC4-5D6E-409C-BE32-E72D297353CC}">
              <c16:uniqueId val="{00000003-AA78-4E0C-9285-63FAC9BA28B0}"/>
            </c:ext>
          </c:extLst>
        </c:ser>
        <c:dLbls>
          <c:showLegendKey val="0"/>
          <c:showVal val="0"/>
          <c:showCatName val="0"/>
          <c:showSerName val="0"/>
          <c:showPercent val="0"/>
          <c:showBubbleSize val="0"/>
        </c:dLbls>
        <c:gapWidth val="220"/>
        <c:overlap val="100"/>
        <c:axId val="354411999"/>
        <c:axId val="354404319"/>
      </c:barChart>
      <c:scatterChart>
        <c:scatterStyle val="lineMarker"/>
        <c:varyColors val="0"/>
        <c:ser>
          <c:idx val="4"/>
          <c:order val="4"/>
          <c:tx>
            <c:strRef>
              <c:f>Processing!$F$16</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1-4DC9-4610-BF1D-1B9ED873FC4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2-4DC9-4610-BF1D-1B9ED873FC4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3-4DC9-4610-BF1D-1B9ED873FC4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4DC9-4610-BF1D-1B9ED873FC4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4DC9-4610-BF1D-1B9ED873FC4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4DC9-4610-BF1D-1B9ED873FC4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4DC9-4610-BF1D-1B9ED873FC4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4DC9-4610-BF1D-1B9ED873FC49}"/>
                </c:ext>
              </c:extLst>
            </c:dLbl>
            <c:dLbl>
              <c:idx val="8"/>
              <c:tx>
                <c:rich>
                  <a:bodyPr/>
                  <a:lstStyle/>
                  <a:p>
                    <a:fld id="{D67D9D51-35EA-4568-99F2-32F4ACC129A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DC9-4610-BF1D-1B9ED873FC49}"/>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4DC9-4610-BF1D-1B9ED873FC4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4DC9-4610-BF1D-1B9ED873FC4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4DC9-4610-BF1D-1B9ED873FC4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25000"/>
                        <a:lumOff val="7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Processing!$F$17:$F$28</c:f>
              <c:numCache>
                <c:formatCode>General</c:formatCode>
                <c:ptCount val="12"/>
                <c:pt idx="0">
                  <c:v>#N/A</c:v>
                </c:pt>
                <c:pt idx="1">
                  <c:v>#N/A</c:v>
                </c:pt>
                <c:pt idx="2">
                  <c:v>#N/A</c:v>
                </c:pt>
                <c:pt idx="3">
                  <c:v>#N/A</c:v>
                </c:pt>
                <c:pt idx="4">
                  <c:v>#N/A</c:v>
                </c:pt>
                <c:pt idx="5">
                  <c:v>#N/A</c:v>
                </c:pt>
                <c:pt idx="6">
                  <c:v>#N/A</c:v>
                </c:pt>
                <c:pt idx="7">
                  <c:v>#N/A</c:v>
                </c:pt>
                <c:pt idx="8">
                  <c:v>36688.85</c:v>
                </c:pt>
                <c:pt idx="9">
                  <c:v>#N/A</c:v>
                </c:pt>
                <c:pt idx="10">
                  <c:v>#N/A</c:v>
                </c:pt>
                <c:pt idx="11">
                  <c:v>#N/A</c:v>
                </c:pt>
              </c:numCache>
            </c:numRef>
          </c:yVal>
          <c:smooth val="0"/>
          <c:extLst>
            <c:ext xmlns:c15="http://schemas.microsoft.com/office/drawing/2012/chart" uri="{02D57815-91ED-43cb-92C2-25804820EDAC}">
              <c15:datalabelsRange>
                <c15:f>Processing!$G$17:$G$28</c15:f>
                <c15:dlblRangeCache>
                  <c:ptCount val="12"/>
                  <c:pt idx="0">
                    <c:v>#N/A</c:v>
                  </c:pt>
                  <c:pt idx="1">
                    <c:v>#N/A</c:v>
                  </c:pt>
                  <c:pt idx="2">
                    <c:v>#N/A</c:v>
                  </c:pt>
                  <c:pt idx="3">
                    <c:v>#N/A</c:v>
                  </c:pt>
                  <c:pt idx="4">
                    <c:v>#N/A</c:v>
                  </c:pt>
                  <c:pt idx="5">
                    <c:v>#N/A</c:v>
                  </c:pt>
                  <c:pt idx="6">
                    <c:v>#N/A</c:v>
                  </c:pt>
                  <c:pt idx="7">
                    <c:v>#N/A</c:v>
                  </c:pt>
                  <c:pt idx="8">
                    <c:v>34k</c:v>
                  </c:pt>
                  <c:pt idx="9">
                    <c:v>#N/A</c:v>
                  </c:pt>
                  <c:pt idx="10">
                    <c:v>#N/A</c:v>
                  </c:pt>
                  <c:pt idx="11">
                    <c:v>#N/A</c:v>
                  </c:pt>
                </c15:dlblRangeCache>
              </c15:datalabelsRange>
            </c:ext>
            <c:ext xmlns:c16="http://schemas.microsoft.com/office/drawing/2014/chart" uri="{C3380CC4-5D6E-409C-BE32-E72D297353CC}">
              <c16:uniqueId val="{00000000-4DC9-4610-BF1D-1B9ED873FC49}"/>
            </c:ext>
          </c:extLst>
        </c:ser>
        <c:dLbls>
          <c:showLegendKey val="0"/>
          <c:showVal val="0"/>
          <c:showCatName val="0"/>
          <c:showSerName val="0"/>
          <c:showPercent val="0"/>
          <c:showBubbleSize val="0"/>
        </c:dLbls>
        <c:axId val="354411999"/>
        <c:axId val="354404319"/>
      </c:scatterChart>
      <c:catAx>
        <c:axId val="354366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354367839"/>
        <c:crosses val="autoZero"/>
        <c:auto val="1"/>
        <c:lblAlgn val="ctr"/>
        <c:lblOffset val="100"/>
        <c:noMultiLvlLbl val="0"/>
      </c:catAx>
      <c:valAx>
        <c:axId val="354367839"/>
        <c:scaling>
          <c:orientation val="minMax"/>
        </c:scaling>
        <c:delete val="1"/>
        <c:axPos val="l"/>
        <c:numFmt formatCode="General" sourceLinked="1"/>
        <c:majorTickMark val="none"/>
        <c:minorTickMark val="none"/>
        <c:tickLblPos val="nextTo"/>
        <c:crossAx val="354366879"/>
        <c:crosses val="autoZero"/>
        <c:crossBetween val="between"/>
      </c:valAx>
      <c:valAx>
        <c:axId val="354404319"/>
        <c:scaling>
          <c:orientation val="minMax"/>
        </c:scaling>
        <c:delete val="1"/>
        <c:axPos val="r"/>
        <c:numFmt formatCode="General" sourceLinked="1"/>
        <c:majorTickMark val="out"/>
        <c:minorTickMark val="none"/>
        <c:tickLblPos val="nextTo"/>
        <c:crossAx val="354411999"/>
        <c:crosses val="max"/>
        <c:crossBetween val="between"/>
      </c:valAx>
      <c:catAx>
        <c:axId val="354411999"/>
        <c:scaling>
          <c:orientation val="minMax"/>
        </c:scaling>
        <c:delete val="1"/>
        <c:axPos val="b"/>
        <c:numFmt formatCode="General" sourceLinked="1"/>
        <c:majorTickMark val="out"/>
        <c:minorTickMark val="none"/>
        <c:tickLblPos val="nextTo"/>
        <c:crossAx val="354404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Processing!$K$16</c:f>
              <c:strCache>
                <c:ptCount val="1"/>
                <c:pt idx="0">
                  <c:v>back</c:v>
                </c:pt>
              </c:strCache>
            </c:strRef>
          </c:tx>
          <c:spPr>
            <a:solidFill>
              <a:schemeClr val="accent1"/>
            </a:solidFill>
            <a:ln w="19050">
              <a:solidFill>
                <a:srgbClr val="0A002F"/>
              </a:solidFill>
            </a:ln>
            <a:effectLst/>
          </c:spPr>
          <c:invertIfNegative val="0"/>
          <c:dPt>
            <c:idx val="0"/>
            <c:invertIfNegative val="0"/>
            <c:bubble3D val="0"/>
            <c:spPr>
              <a:solidFill>
                <a:srgbClr val="30EDFD"/>
              </a:solidFill>
              <a:ln w="19050">
                <a:solidFill>
                  <a:srgbClr val="0A002F"/>
                </a:solidFill>
              </a:ln>
              <a:effectLst/>
            </c:spPr>
            <c:extLst>
              <c:ext xmlns:c16="http://schemas.microsoft.com/office/drawing/2014/chart" uri="{C3380CC4-5D6E-409C-BE32-E72D297353CC}">
                <c16:uniqueId val="{00000001-D675-4051-B497-4C77E4D7F33E}"/>
              </c:ext>
            </c:extLst>
          </c:dPt>
          <c:dPt>
            <c:idx val="1"/>
            <c:invertIfNegative val="0"/>
            <c:bubble3D val="0"/>
            <c:spPr>
              <a:solidFill>
                <a:srgbClr val="30EDFD"/>
              </a:solidFill>
              <a:ln w="19050">
                <a:solidFill>
                  <a:srgbClr val="0A002F"/>
                </a:solidFill>
              </a:ln>
              <a:effectLst/>
            </c:spPr>
            <c:extLst>
              <c:ext xmlns:c16="http://schemas.microsoft.com/office/drawing/2014/chart" uri="{C3380CC4-5D6E-409C-BE32-E72D297353CC}">
                <c16:uniqueId val="{00000002-D675-4051-B497-4C77E4D7F33E}"/>
              </c:ext>
            </c:extLst>
          </c:dPt>
          <c:dPt>
            <c:idx val="2"/>
            <c:invertIfNegative val="0"/>
            <c:bubble3D val="0"/>
            <c:spPr>
              <a:solidFill>
                <a:srgbClr val="7B5EFD"/>
              </a:solidFill>
              <a:ln w="19050">
                <a:solidFill>
                  <a:srgbClr val="0A002F"/>
                </a:solidFill>
              </a:ln>
              <a:effectLst/>
            </c:spPr>
            <c:extLst>
              <c:ext xmlns:c16="http://schemas.microsoft.com/office/drawing/2014/chart" uri="{C3380CC4-5D6E-409C-BE32-E72D297353CC}">
                <c16:uniqueId val="{00000003-D675-4051-B497-4C77E4D7F33E}"/>
              </c:ext>
            </c:extLst>
          </c:dPt>
          <c:dPt>
            <c:idx val="3"/>
            <c:invertIfNegative val="0"/>
            <c:bubble3D val="0"/>
            <c:spPr>
              <a:solidFill>
                <a:srgbClr val="FD447B"/>
              </a:solidFill>
              <a:ln w="19050">
                <a:solidFill>
                  <a:srgbClr val="0A002F"/>
                </a:solidFill>
              </a:ln>
              <a:effectLst/>
            </c:spPr>
            <c:extLst>
              <c:ext xmlns:c16="http://schemas.microsoft.com/office/drawing/2014/chart" uri="{C3380CC4-5D6E-409C-BE32-E72D297353CC}">
                <c16:uniqueId val="{00000004-D675-4051-B497-4C77E4D7F33E}"/>
              </c:ext>
            </c:extLst>
          </c:dPt>
          <c:val>
            <c:numRef>
              <c:f>Processing!$K$17:$K$20</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0-D675-4051-B497-4C77E4D7F33E}"/>
            </c:ext>
          </c:extLst>
        </c:ser>
        <c:dLbls>
          <c:showLegendKey val="0"/>
          <c:showVal val="0"/>
          <c:showCatName val="0"/>
          <c:showSerName val="0"/>
          <c:showPercent val="0"/>
          <c:showBubbleSize val="0"/>
        </c:dLbls>
        <c:gapWidth val="0"/>
        <c:overlap val="-27"/>
        <c:axId val="1050108047"/>
        <c:axId val="1050108527"/>
      </c:barChart>
      <c:catAx>
        <c:axId val="1050108047"/>
        <c:scaling>
          <c:orientation val="minMax"/>
        </c:scaling>
        <c:delete val="1"/>
        <c:axPos val="b"/>
        <c:majorTickMark val="none"/>
        <c:minorTickMark val="none"/>
        <c:tickLblPos val="nextTo"/>
        <c:crossAx val="1050108527"/>
        <c:crosses val="autoZero"/>
        <c:auto val="1"/>
        <c:lblAlgn val="ctr"/>
        <c:lblOffset val="100"/>
        <c:noMultiLvlLbl val="0"/>
      </c:catAx>
      <c:valAx>
        <c:axId val="1050108527"/>
        <c:scaling>
          <c:orientation val="minMax"/>
          <c:max val="10"/>
          <c:min val="0"/>
        </c:scaling>
        <c:delete val="1"/>
        <c:axPos val="l"/>
        <c:numFmt formatCode="General" sourceLinked="1"/>
        <c:majorTickMark val="none"/>
        <c:minorTickMark val="none"/>
        <c:tickLblPos val="nextTo"/>
        <c:crossAx val="105010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Processing!$I$16</c:f>
              <c:strCache>
                <c:ptCount val="1"/>
                <c:pt idx="0">
                  <c:v>Sprint</c:v>
                </c:pt>
              </c:strCache>
            </c:strRef>
          </c:tx>
          <c:spPr>
            <a:ln>
              <a:solidFill>
                <a:srgbClr val="0A002F"/>
              </a:solidFill>
            </a:ln>
          </c:spPr>
          <c:dPt>
            <c:idx val="0"/>
            <c:bubble3D val="0"/>
            <c:spPr>
              <a:solidFill>
                <a:srgbClr val="2069F0"/>
              </a:solidFill>
              <a:ln w="19050">
                <a:solidFill>
                  <a:srgbClr val="0A002F"/>
                </a:solidFill>
              </a:ln>
              <a:effectLst/>
            </c:spPr>
            <c:extLst>
              <c:ext xmlns:c16="http://schemas.microsoft.com/office/drawing/2014/chart" uri="{C3380CC4-5D6E-409C-BE32-E72D297353CC}">
                <c16:uniqueId val="{00000001-C5F9-4ADF-AEEE-8C8542D7192D}"/>
              </c:ext>
            </c:extLst>
          </c:dPt>
          <c:dPt>
            <c:idx val="1"/>
            <c:bubble3D val="0"/>
            <c:spPr>
              <a:solidFill>
                <a:srgbClr val="CC00CC"/>
              </a:solidFill>
              <a:ln w="19050">
                <a:solidFill>
                  <a:srgbClr val="0A002F"/>
                </a:solidFill>
              </a:ln>
              <a:effectLst/>
            </c:spPr>
            <c:extLst>
              <c:ext xmlns:c16="http://schemas.microsoft.com/office/drawing/2014/chart" uri="{C3380CC4-5D6E-409C-BE32-E72D297353CC}">
                <c16:uniqueId val="{00000003-C5F9-4ADF-AEEE-8C8542D7192D}"/>
              </c:ext>
            </c:extLst>
          </c:dPt>
          <c:dPt>
            <c:idx val="2"/>
            <c:bubble3D val="0"/>
            <c:spPr>
              <a:solidFill>
                <a:srgbClr val="CC00CC"/>
              </a:solidFill>
              <a:ln w="19050">
                <a:solidFill>
                  <a:srgbClr val="0A002F"/>
                </a:solidFill>
              </a:ln>
              <a:effectLst/>
            </c:spPr>
            <c:extLst>
              <c:ext xmlns:c16="http://schemas.microsoft.com/office/drawing/2014/chart" uri="{C3380CC4-5D6E-409C-BE32-E72D297353CC}">
                <c16:uniqueId val="{00000005-C5F9-4ADF-AEEE-8C8542D7192D}"/>
              </c:ext>
            </c:extLst>
          </c:dPt>
          <c:dPt>
            <c:idx val="3"/>
            <c:bubble3D val="0"/>
            <c:spPr>
              <a:solidFill>
                <a:srgbClr val="30EDFD"/>
              </a:solidFill>
              <a:ln w="19050">
                <a:solidFill>
                  <a:srgbClr val="0A002F"/>
                </a:solidFill>
              </a:ln>
              <a:effectLst/>
            </c:spPr>
            <c:extLst>
              <c:ext xmlns:c16="http://schemas.microsoft.com/office/drawing/2014/chart" uri="{C3380CC4-5D6E-409C-BE32-E72D297353CC}">
                <c16:uniqueId val="{00000007-C5F9-4ADF-AEEE-8C8542D7192D}"/>
              </c:ext>
            </c:extLst>
          </c:dPt>
          <c:dPt>
            <c:idx val="4"/>
            <c:bubble3D val="0"/>
            <c:spPr>
              <a:solidFill>
                <a:srgbClr val="9933FF"/>
              </a:solidFill>
              <a:ln w="19050">
                <a:solidFill>
                  <a:srgbClr val="0A002F"/>
                </a:solidFill>
              </a:ln>
              <a:effectLst/>
            </c:spPr>
            <c:extLst>
              <c:ext xmlns:c16="http://schemas.microsoft.com/office/drawing/2014/chart" uri="{C3380CC4-5D6E-409C-BE32-E72D297353CC}">
                <c16:uniqueId val="{00000009-C5F9-4ADF-AEEE-8C8542D7192D}"/>
              </c:ext>
            </c:extLst>
          </c:dPt>
          <c:dPt>
            <c:idx val="5"/>
            <c:bubble3D val="0"/>
            <c:spPr>
              <a:solidFill>
                <a:srgbClr val="2069F0"/>
              </a:solidFill>
              <a:ln w="19050">
                <a:solidFill>
                  <a:srgbClr val="0A002F"/>
                </a:solidFill>
              </a:ln>
              <a:effectLst/>
            </c:spPr>
            <c:extLst>
              <c:ext xmlns:c16="http://schemas.microsoft.com/office/drawing/2014/chart" uri="{C3380CC4-5D6E-409C-BE32-E72D297353CC}">
                <c16:uniqueId val="{0000000B-C5F9-4ADF-AEEE-8C8542D7192D}"/>
              </c:ext>
            </c:extLst>
          </c:dPt>
          <c:dPt>
            <c:idx val="6"/>
            <c:bubble3D val="0"/>
            <c:spPr>
              <a:solidFill>
                <a:srgbClr val="2069F0"/>
              </a:solidFill>
              <a:ln w="19050">
                <a:solidFill>
                  <a:srgbClr val="0A002F"/>
                </a:solidFill>
              </a:ln>
              <a:effectLst/>
            </c:spPr>
            <c:extLst>
              <c:ext xmlns:c16="http://schemas.microsoft.com/office/drawing/2014/chart" uri="{C3380CC4-5D6E-409C-BE32-E72D297353CC}">
                <c16:uniqueId val="{0000000D-C5F9-4ADF-AEEE-8C8542D7192D}"/>
              </c:ext>
            </c:extLst>
          </c:dPt>
          <c:dPt>
            <c:idx val="7"/>
            <c:bubble3D val="0"/>
            <c:spPr>
              <a:solidFill>
                <a:srgbClr val="2069F0"/>
              </a:solidFill>
              <a:ln w="19050">
                <a:solidFill>
                  <a:srgbClr val="0A002F"/>
                </a:solidFill>
              </a:ln>
              <a:effectLst/>
            </c:spPr>
            <c:extLst>
              <c:ext xmlns:c16="http://schemas.microsoft.com/office/drawing/2014/chart" uri="{C3380CC4-5D6E-409C-BE32-E72D297353CC}">
                <c16:uniqueId val="{0000000F-C5F9-4ADF-AEEE-8C8542D7192D}"/>
              </c:ext>
            </c:extLst>
          </c:dPt>
          <c:val>
            <c:numRef>
              <c:f>Processing!$I$19:$I$26</c:f>
              <c:numCache>
                <c:formatCode>General</c:formatCode>
                <c:ptCount val="8"/>
                <c:pt idx="0">
                  <c:v>10</c:v>
                </c:pt>
                <c:pt idx="1">
                  <c:v>10</c:v>
                </c:pt>
                <c:pt idx="2">
                  <c:v>10</c:v>
                </c:pt>
                <c:pt idx="3">
                  <c:v>10</c:v>
                </c:pt>
                <c:pt idx="4">
                  <c:v>10</c:v>
                </c:pt>
                <c:pt idx="5">
                  <c:v>10</c:v>
                </c:pt>
                <c:pt idx="6">
                  <c:v>10</c:v>
                </c:pt>
                <c:pt idx="7">
                  <c:v>10</c:v>
                </c:pt>
              </c:numCache>
            </c:numRef>
          </c:val>
          <c:extLst>
            <c:ext xmlns:c16="http://schemas.microsoft.com/office/drawing/2014/chart" uri="{C3380CC4-5D6E-409C-BE32-E72D297353CC}">
              <c16:uniqueId val="{00000010-C5F9-4ADF-AEEE-8C8542D7192D}"/>
            </c:ext>
          </c:extLst>
        </c:ser>
        <c:dLbls>
          <c:showLegendKey val="0"/>
          <c:showVal val="0"/>
          <c:showCatName val="0"/>
          <c:showSerName val="0"/>
          <c:showPercent val="0"/>
          <c:showBubbleSize val="0"/>
          <c:showLeaderLines val="1"/>
        </c:dLbls>
        <c:firstSliceAng val="0"/>
        <c:holeSize val="75"/>
      </c:doughnutChart>
      <c:doughnutChart>
        <c:varyColors val="1"/>
        <c:ser>
          <c:idx val="1"/>
          <c:order val="1"/>
          <c:tx>
            <c:strRef>
              <c:f>Processing!$J$16</c:f>
              <c:strCache>
                <c:ptCount val="1"/>
                <c:pt idx="0">
                  <c:v>Cursor</c:v>
                </c:pt>
              </c:strCache>
            </c:strRef>
          </c:tx>
          <c:spPr>
            <a:ln>
              <a:solidFill>
                <a:srgbClr val="0A002F"/>
              </a:solidFill>
            </a:ln>
          </c:spPr>
          <c:dPt>
            <c:idx val="0"/>
            <c:bubble3D val="0"/>
            <c:spPr>
              <a:noFill/>
              <a:ln w="19050">
                <a:solidFill>
                  <a:srgbClr val="0A002F"/>
                </a:solidFill>
              </a:ln>
              <a:effectLst/>
            </c:spPr>
            <c:extLst>
              <c:ext xmlns:c16="http://schemas.microsoft.com/office/drawing/2014/chart" uri="{C3380CC4-5D6E-409C-BE32-E72D297353CC}">
                <c16:uniqueId val="{00000012-C5F9-4ADF-AEEE-8C8542D7192D}"/>
              </c:ext>
            </c:extLst>
          </c:dPt>
          <c:dPt>
            <c:idx val="1"/>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14-C5F9-4ADF-AEEE-8C8542D7192D}"/>
              </c:ext>
            </c:extLst>
          </c:dPt>
          <c:dPt>
            <c:idx val="2"/>
            <c:bubble3D val="0"/>
            <c:spPr>
              <a:noFill/>
              <a:ln w="19050">
                <a:solidFill>
                  <a:srgbClr val="0A002F"/>
                </a:solidFill>
              </a:ln>
              <a:effectLst/>
            </c:spPr>
            <c:extLst>
              <c:ext xmlns:c16="http://schemas.microsoft.com/office/drawing/2014/chart" uri="{C3380CC4-5D6E-409C-BE32-E72D297353CC}">
                <c16:uniqueId val="{00000016-C5F9-4ADF-AEEE-8C8542D7192D}"/>
              </c:ext>
            </c:extLst>
          </c:dPt>
          <c:val>
            <c:numRef>
              <c:f>Processing!$J$18:$J$20</c:f>
              <c:numCache>
                <c:formatCode>General</c:formatCode>
                <c:ptCount val="3"/>
                <c:pt idx="0">
                  <c:v>10</c:v>
                </c:pt>
                <c:pt idx="1">
                  <c:v>10</c:v>
                </c:pt>
                <c:pt idx="2">
                  <c:v>60</c:v>
                </c:pt>
              </c:numCache>
            </c:numRef>
          </c:val>
          <c:extLst>
            <c:ext xmlns:c16="http://schemas.microsoft.com/office/drawing/2014/chart" uri="{C3380CC4-5D6E-409C-BE32-E72D297353CC}">
              <c16:uniqueId val="{00000017-C5F9-4ADF-AEEE-8C8542D7192D}"/>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Processing!$L$16</c:f>
              <c:strCache>
                <c:ptCount val="1"/>
                <c:pt idx="0">
                  <c:v>front1</c:v>
                </c:pt>
              </c:strCache>
            </c:strRef>
          </c:tx>
          <c:spPr>
            <a:solidFill>
              <a:srgbClr val="30EDFD"/>
            </a:solidFill>
            <a:ln>
              <a:solidFill>
                <a:srgbClr val="0A002F"/>
              </a:solidFill>
            </a:ln>
            <a:effectLst/>
          </c:spPr>
          <c:invertIfNegative val="0"/>
          <c:dPt>
            <c:idx val="0"/>
            <c:invertIfNegative val="0"/>
            <c:bubble3D val="0"/>
            <c:spPr>
              <a:solidFill>
                <a:srgbClr val="30EDFD"/>
              </a:solidFill>
              <a:ln w="19050">
                <a:solidFill>
                  <a:srgbClr val="0A002F"/>
                </a:solidFill>
              </a:ln>
              <a:effectLst/>
            </c:spPr>
            <c:extLst>
              <c:ext xmlns:c16="http://schemas.microsoft.com/office/drawing/2014/chart" uri="{C3380CC4-5D6E-409C-BE32-E72D297353CC}">
                <c16:uniqueId val="{00000005-63DE-49EF-B941-2234AF9810D8}"/>
              </c:ext>
            </c:extLst>
          </c:dPt>
          <c:val>
            <c:numRef>
              <c:f>Processing!$L$17:$L$20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63DE-49EF-B941-2234AF9810D8}"/>
            </c:ext>
          </c:extLst>
        </c:ser>
        <c:ser>
          <c:idx val="1"/>
          <c:order val="1"/>
          <c:tx>
            <c:strRef>
              <c:f>Processing!$M$16</c:f>
              <c:strCache>
                <c:ptCount val="1"/>
                <c:pt idx="0">
                  <c:v>front2</c:v>
                </c:pt>
              </c:strCache>
            </c:strRef>
          </c:tx>
          <c:spPr>
            <a:solidFill>
              <a:srgbClr val="30EDFD"/>
            </a:solidFill>
            <a:ln w="19050">
              <a:solidFill>
                <a:srgbClr val="0A002F"/>
              </a:solidFill>
            </a:ln>
            <a:effectLst/>
          </c:spPr>
          <c:invertIfNegative val="0"/>
          <c:dPt>
            <c:idx val="2"/>
            <c:invertIfNegative val="0"/>
            <c:bubble3D val="0"/>
            <c:spPr>
              <a:solidFill>
                <a:srgbClr val="9933FF"/>
              </a:solidFill>
              <a:ln w="19050">
                <a:solidFill>
                  <a:srgbClr val="0A002F"/>
                </a:solidFill>
              </a:ln>
              <a:effectLst/>
            </c:spPr>
            <c:extLst>
              <c:ext xmlns:c16="http://schemas.microsoft.com/office/drawing/2014/chart" uri="{C3380CC4-5D6E-409C-BE32-E72D297353CC}">
                <c16:uniqueId val="{00000006-63DE-49EF-B941-2234AF9810D8}"/>
              </c:ext>
            </c:extLst>
          </c:dPt>
          <c:val>
            <c:numRef>
              <c:f>Processing!$M$17:$M$20</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1-63DE-49EF-B941-2234AF9810D8}"/>
            </c:ext>
          </c:extLst>
        </c:ser>
        <c:ser>
          <c:idx val="2"/>
          <c:order val="2"/>
          <c:tx>
            <c:strRef>
              <c:f>Processing!$N$16</c:f>
              <c:strCache>
                <c:ptCount val="1"/>
                <c:pt idx="0">
                  <c:v>front3</c:v>
                </c:pt>
              </c:strCache>
            </c:strRef>
          </c:tx>
          <c:spPr>
            <a:solidFill>
              <a:schemeClr val="bg1">
                <a:alpha val="50000"/>
              </a:schemeClr>
            </a:solidFill>
            <a:ln w="19050">
              <a:solidFill>
                <a:srgbClr val="0A002F"/>
              </a:solidFill>
            </a:ln>
            <a:effectLst/>
          </c:spPr>
          <c:invertIfNegative val="0"/>
          <c:dPt>
            <c:idx val="0"/>
            <c:invertIfNegative val="0"/>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04-63DE-49EF-B941-2234AF9810D8}"/>
              </c:ext>
            </c:extLst>
          </c:dPt>
          <c:dPt>
            <c:idx val="1"/>
            <c:invertIfNegative val="0"/>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09-63DE-49EF-B941-2234AF9810D8}"/>
              </c:ext>
            </c:extLst>
          </c:dPt>
          <c:val>
            <c:numRef>
              <c:f>Processing!$N$17:$N$20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63DE-49EF-B941-2234AF9810D8}"/>
            </c:ext>
          </c:extLst>
        </c:ser>
        <c:dLbls>
          <c:showLegendKey val="0"/>
          <c:showVal val="0"/>
          <c:showCatName val="0"/>
          <c:showSerName val="0"/>
          <c:showPercent val="0"/>
          <c:showBubbleSize val="0"/>
        </c:dLbls>
        <c:gapWidth val="0"/>
        <c:overlap val="100"/>
        <c:axId val="1050119087"/>
        <c:axId val="1050094127"/>
      </c:barChart>
      <c:catAx>
        <c:axId val="1050119087"/>
        <c:scaling>
          <c:orientation val="minMax"/>
        </c:scaling>
        <c:delete val="1"/>
        <c:axPos val="b"/>
        <c:numFmt formatCode="General" sourceLinked="1"/>
        <c:majorTickMark val="none"/>
        <c:minorTickMark val="none"/>
        <c:tickLblPos val="nextTo"/>
        <c:crossAx val="1050094127"/>
        <c:crosses val="autoZero"/>
        <c:auto val="1"/>
        <c:lblAlgn val="ctr"/>
        <c:lblOffset val="100"/>
        <c:noMultiLvlLbl val="0"/>
      </c:catAx>
      <c:valAx>
        <c:axId val="1050094127"/>
        <c:scaling>
          <c:orientation val="minMax"/>
          <c:max val="10"/>
          <c:min val="0"/>
        </c:scaling>
        <c:delete val="1"/>
        <c:axPos val="l"/>
        <c:numFmt formatCode="General" sourceLinked="1"/>
        <c:majorTickMark val="none"/>
        <c:minorTickMark val="none"/>
        <c:tickLblPos val="nextTo"/>
        <c:crossAx val="105011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90D7-4C0D-A824-85C4EF2FF4DF}"/>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90D7-4C0D-A824-85C4EF2FF4DF}"/>
              </c:ext>
            </c:extLst>
          </c:dPt>
          <c:val>
            <c:numRef>
              <c:f>Processing!$M$11:$N$11</c:f>
              <c:numCache>
                <c:formatCode>0%</c:formatCode>
                <c:ptCount val="2"/>
                <c:pt idx="0">
                  <c:v>0.63636363636363635</c:v>
                </c:pt>
                <c:pt idx="1">
                  <c:v>0.36363636363636365</c:v>
                </c:pt>
              </c:numCache>
            </c:numRef>
          </c:val>
          <c:extLst>
            <c:ext xmlns:c16="http://schemas.microsoft.com/office/drawing/2014/chart" uri="{C3380CC4-5D6E-409C-BE32-E72D297353CC}">
              <c16:uniqueId val="{00000004-90D7-4C0D-A824-85C4EF2FF4DF}"/>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1717-4156-AA39-B6FEF62F733B}"/>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1717-4156-AA39-B6FEF62F733B}"/>
              </c:ext>
            </c:extLst>
          </c:dPt>
          <c:val>
            <c:numRef>
              <c:f>Processing!$N$6:$O$6</c:f>
              <c:numCache>
                <c:formatCode>0%</c:formatCode>
                <c:ptCount val="2"/>
                <c:pt idx="0">
                  <c:v>0.74794520547945198</c:v>
                </c:pt>
                <c:pt idx="1">
                  <c:v>0.25205479452054796</c:v>
                </c:pt>
              </c:numCache>
            </c:numRef>
          </c:val>
          <c:extLst>
            <c:ext xmlns:c16="http://schemas.microsoft.com/office/drawing/2014/chart" uri="{C3380CC4-5D6E-409C-BE32-E72D297353CC}">
              <c16:uniqueId val="{00000004-1717-4156-AA39-B6FEF62F733B}"/>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Processing!$G$8</c:f>
              <c:strCache>
                <c:ptCount val="1"/>
                <c:pt idx="0">
                  <c:v>back</c:v>
                </c:pt>
              </c:strCache>
            </c:strRef>
          </c:tx>
          <c:spPr>
            <a:solidFill>
              <a:srgbClr val="140061"/>
            </a:solidFill>
            <a:ln>
              <a:noFill/>
            </a:ln>
            <a:effectLst/>
          </c:spPr>
          <c:invertIfNegative val="0"/>
          <c:val>
            <c:numRef>
              <c:f>Processing!$G$9:$G$13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27AC-4482-87CC-3BBDFB8BB8ED}"/>
            </c:ext>
          </c:extLst>
        </c:ser>
        <c:ser>
          <c:idx val="1"/>
          <c:order val="1"/>
          <c:tx>
            <c:strRef>
              <c:f>Processing!$H$8</c:f>
              <c:strCache>
                <c:ptCount val="1"/>
                <c:pt idx="0">
                  <c:v>HR</c:v>
                </c:pt>
              </c:strCache>
            </c:strRef>
          </c:tx>
          <c:spPr>
            <a:solidFill>
              <a:schemeClr val="accent2"/>
            </a:solidFill>
            <a:ln>
              <a:noFill/>
            </a:ln>
            <a:effectLst/>
          </c:spPr>
          <c:invertIfNegative val="0"/>
          <c:dPt>
            <c:idx val="0"/>
            <c:invertIfNegative val="0"/>
            <c:bubble3D val="0"/>
            <c:spPr>
              <a:solidFill>
                <a:srgbClr val="30EDFD"/>
              </a:solidFill>
              <a:ln>
                <a:noFill/>
              </a:ln>
              <a:effectLst/>
            </c:spPr>
            <c:extLst>
              <c:ext xmlns:c16="http://schemas.microsoft.com/office/drawing/2014/chart" uri="{C3380CC4-5D6E-409C-BE32-E72D297353CC}">
                <c16:uniqueId val="{00000002-27AC-4482-87CC-3BBDFB8BB8ED}"/>
              </c:ext>
            </c:extLst>
          </c:dPt>
          <c:dPt>
            <c:idx val="1"/>
            <c:invertIfNegative val="0"/>
            <c:bubble3D val="0"/>
            <c:spPr>
              <a:solidFill>
                <a:srgbClr val="CC00CC"/>
              </a:solidFill>
              <a:ln>
                <a:noFill/>
              </a:ln>
              <a:effectLst/>
            </c:spPr>
            <c:extLst>
              <c:ext xmlns:c16="http://schemas.microsoft.com/office/drawing/2014/chart" uri="{C3380CC4-5D6E-409C-BE32-E72D297353CC}">
                <c16:uniqueId val="{00000004-27AC-4482-87CC-3BBDFB8BB8ED}"/>
              </c:ext>
            </c:extLst>
          </c:dPt>
          <c:dPt>
            <c:idx val="2"/>
            <c:invertIfNegative val="0"/>
            <c:bubble3D val="0"/>
            <c:spPr>
              <a:solidFill>
                <a:srgbClr val="2069F0"/>
              </a:solidFill>
              <a:ln>
                <a:noFill/>
              </a:ln>
              <a:effectLst/>
            </c:spPr>
            <c:extLst>
              <c:ext xmlns:c16="http://schemas.microsoft.com/office/drawing/2014/chart" uri="{C3380CC4-5D6E-409C-BE32-E72D297353CC}">
                <c16:uniqueId val="{00000006-27AC-4482-87CC-3BBDFB8BB8ED}"/>
              </c:ext>
            </c:extLst>
          </c:dPt>
          <c:dPt>
            <c:idx val="3"/>
            <c:invertIfNegative val="0"/>
            <c:bubble3D val="0"/>
            <c:spPr>
              <a:solidFill>
                <a:srgbClr val="9933FF"/>
              </a:solidFill>
              <a:ln>
                <a:noFill/>
              </a:ln>
              <a:effectLst/>
            </c:spPr>
            <c:extLst>
              <c:ext xmlns:c16="http://schemas.microsoft.com/office/drawing/2014/chart" uri="{C3380CC4-5D6E-409C-BE32-E72D297353CC}">
                <c16:uniqueId val="{00000008-27AC-4482-87CC-3BBDFB8BB8ED}"/>
              </c:ext>
            </c:extLst>
          </c:dPt>
          <c:dPt>
            <c:idx val="4"/>
            <c:invertIfNegative val="0"/>
            <c:bubble3D val="0"/>
            <c:spPr>
              <a:solidFill>
                <a:srgbClr val="FD447B"/>
              </a:solidFill>
              <a:ln>
                <a:noFill/>
              </a:ln>
              <a:effectLst/>
            </c:spPr>
            <c:extLst>
              <c:ext xmlns:c16="http://schemas.microsoft.com/office/drawing/2014/chart" uri="{C3380CC4-5D6E-409C-BE32-E72D297353CC}">
                <c16:uniqueId val="{0000000A-27AC-4482-87CC-3BBDFB8BB8ED}"/>
              </c:ext>
            </c:extLst>
          </c:dPt>
          <c:val>
            <c:numRef>
              <c:f>Processing!$H$9:$H$13</c:f>
              <c:numCache>
                <c:formatCode>0%</c:formatCode>
                <c:ptCount val="5"/>
                <c:pt idx="0">
                  <c:v>0.3</c:v>
                </c:pt>
                <c:pt idx="1">
                  <c:v>0.3</c:v>
                </c:pt>
                <c:pt idx="2">
                  <c:v>1</c:v>
                </c:pt>
                <c:pt idx="3">
                  <c:v>0.3</c:v>
                </c:pt>
                <c:pt idx="4">
                  <c:v>0.4</c:v>
                </c:pt>
              </c:numCache>
            </c:numRef>
          </c:val>
          <c:extLst>
            <c:ext xmlns:c16="http://schemas.microsoft.com/office/drawing/2014/chart" uri="{C3380CC4-5D6E-409C-BE32-E72D297353CC}">
              <c16:uniqueId val="{0000000B-27AC-4482-87CC-3BBDFB8BB8ED}"/>
            </c:ext>
          </c:extLst>
        </c:ser>
        <c:dLbls>
          <c:showLegendKey val="0"/>
          <c:showVal val="0"/>
          <c:showCatName val="0"/>
          <c:showSerName val="0"/>
          <c:showPercent val="0"/>
          <c:showBubbleSize val="0"/>
        </c:dLbls>
        <c:gapWidth val="10"/>
        <c:overlap val="100"/>
        <c:axId val="1371651391"/>
        <c:axId val="1371674431"/>
      </c:barChart>
      <c:catAx>
        <c:axId val="1371651391"/>
        <c:scaling>
          <c:orientation val="maxMin"/>
        </c:scaling>
        <c:delete val="1"/>
        <c:axPos val="l"/>
        <c:majorTickMark val="out"/>
        <c:minorTickMark val="none"/>
        <c:tickLblPos val="nextTo"/>
        <c:crossAx val="1371674431"/>
        <c:crosses val="autoZero"/>
        <c:auto val="1"/>
        <c:lblAlgn val="ctr"/>
        <c:lblOffset val="100"/>
        <c:noMultiLvlLbl val="0"/>
      </c:catAx>
      <c:valAx>
        <c:axId val="1371674431"/>
        <c:scaling>
          <c:orientation val="minMax"/>
          <c:max val="1"/>
          <c:min val="0"/>
        </c:scaling>
        <c:delete val="1"/>
        <c:axPos val="t"/>
        <c:numFmt formatCode="0%" sourceLinked="1"/>
        <c:majorTickMark val="out"/>
        <c:minorTickMark val="none"/>
        <c:tickLblPos val="nextTo"/>
        <c:crossAx val="13716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B72A-4F35-BF38-BE0ADD7A1AA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B72A-4F35-BF38-BE0ADD7A1AA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B72A-4F35-BF38-BE0ADD7A1AA8}"/>
              </c:ext>
            </c:extLst>
          </c:dPt>
          <c:cat>
            <c:strRef>
              <c:f>Processing!$J$25:$J$27</c:f>
              <c:strCache>
                <c:ptCount val="3"/>
                <c:pt idx="0">
                  <c:v>Prototype 1</c:v>
                </c:pt>
                <c:pt idx="1">
                  <c:v>Prototype 2</c:v>
                </c:pt>
                <c:pt idx="2">
                  <c:v>Prototype 3</c:v>
                </c:pt>
              </c:strCache>
            </c:strRef>
          </c:cat>
          <c:val>
            <c:numRef>
              <c:f>Processing!$K$25:$K$27</c:f>
              <c:numCache>
                <c:formatCode>General</c:formatCode>
                <c:ptCount val="3"/>
                <c:pt idx="0">
                  <c:v>10</c:v>
                </c:pt>
                <c:pt idx="1">
                  <c:v>0</c:v>
                </c:pt>
                <c:pt idx="2">
                  <c:v>0</c:v>
                </c:pt>
              </c:numCache>
            </c:numRef>
          </c:val>
          <c:extLst>
            <c:ext xmlns:c16="http://schemas.microsoft.com/office/drawing/2014/chart" uri="{C3380CC4-5D6E-409C-BE32-E72D297353CC}">
              <c16:uniqueId val="{00000006-B72A-4F35-BF38-BE0ADD7A1AA8}"/>
            </c:ext>
          </c:extLst>
        </c:ser>
        <c:dLbls>
          <c:showLegendKey val="0"/>
          <c:showVal val="0"/>
          <c:showCatName val="0"/>
          <c:showSerName val="0"/>
          <c:showPercent val="0"/>
          <c:showBubbleSize val="0"/>
        </c:dLbls>
        <c:gapWidth val="5"/>
        <c:overlap val="-27"/>
        <c:axId val="239902559"/>
        <c:axId val="239903999"/>
      </c:barChart>
      <c:catAx>
        <c:axId val="239902559"/>
        <c:scaling>
          <c:orientation val="minMax"/>
        </c:scaling>
        <c:delete val="1"/>
        <c:axPos val="b"/>
        <c:numFmt formatCode="General" sourceLinked="1"/>
        <c:majorTickMark val="none"/>
        <c:minorTickMark val="none"/>
        <c:tickLblPos val="high"/>
        <c:crossAx val="239903999"/>
        <c:crosses val="autoZero"/>
        <c:auto val="1"/>
        <c:lblAlgn val="ctr"/>
        <c:lblOffset val="100"/>
        <c:noMultiLvlLbl val="0"/>
      </c:catAx>
      <c:valAx>
        <c:axId val="239903999"/>
        <c:scaling>
          <c:orientation val="minMax"/>
          <c:max val="10"/>
          <c:min val="0"/>
        </c:scaling>
        <c:delete val="1"/>
        <c:axPos val="l"/>
        <c:numFmt formatCode="General" sourceLinked="1"/>
        <c:majorTickMark val="none"/>
        <c:minorTickMark val="none"/>
        <c:tickLblPos val="nextTo"/>
        <c:crossAx val="23990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228600" dist="114300" dir="8100000" algn="tr" rotWithShape="0">
                <a:prstClr val="black">
                  <a:alpha val="80000"/>
                </a:prstClr>
              </a:outerShdw>
            </a:effectLst>
          </c:spPr>
          <c:dPt>
            <c:idx val="0"/>
            <c:bubble3D val="0"/>
            <c:spPr>
              <a:gradFill>
                <a:gsLst>
                  <a:gs pos="100000">
                    <a:srgbClr val="30EDFD"/>
                  </a:gs>
                  <a:gs pos="16000">
                    <a:srgbClr val="3128C3"/>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1-2B24-4767-BD87-57BBDDEC08CE}"/>
              </c:ext>
            </c:extLst>
          </c:dPt>
          <c:dPt>
            <c:idx val="1"/>
            <c:bubble3D val="0"/>
            <c:spPr>
              <a:gradFill>
                <a:gsLst>
                  <a:gs pos="100000">
                    <a:srgbClr val="9B2EDC"/>
                  </a:gs>
                  <a:gs pos="14000">
                    <a:srgbClr val="4A1FC4"/>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3-2B24-4767-BD87-57BBDDEC08CE}"/>
              </c:ext>
            </c:extLst>
          </c:dPt>
          <c:val>
            <c:numRef>
              <c:f>Processing!$N$1:$O$1</c:f>
              <c:numCache>
                <c:formatCode>0%</c:formatCode>
                <c:ptCount val="2"/>
                <c:pt idx="0">
                  <c:v>0.37072749999999999</c:v>
                </c:pt>
                <c:pt idx="1">
                  <c:v>0.62927250000000001</c:v>
                </c:pt>
              </c:numCache>
            </c:numRef>
          </c:val>
          <c:extLst>
            <c:ext xmlns:c16="http://schemas.microsoft.com/office/drawing/2014/chart" uri="{C3380CC4-5D6E-409C-BE32-E72D297353CC}">
              <c16:uniqueId val="{00000004-2B24-4767-BD87-57BBDDEC08CE}"/>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Processing!$B$1</c:f>
              <c:strCache>
                <c:ptCount val="1"/>
                <c:pt idx="0">
                  <c:v>Actual</c:v>
                </c:pt>
              </c:strCache>
            </c:strRef>
          </c:tx>
          <c:spPr>
            <a:ln w="19050" cap="rnd">
              <a:solidFill>
                <a:srgbClr val="2B31B3"/>
              </a:solidFill>
              <a:round/>
            </a:ln>
            <a:effectLst/>
          </c:spPr>
          <c:marker>
            <c:symbol val="none"/>
          </c:marker>
          <c:val>
            <c:numRef>
              <c:f>Processing!$B$2:$B$13</c:f>
              <c:numCache>
                <c:formatCode>0%</c:formatCode>
                <c:ptCount val="12"/>
                <c:pt idx="0">
                  <c:v>0.9</c:v>
                </c:pt>
                <c:pt idx="1">
                  <c:v>0.7</c:v>
                </c:pt>
                <c:pt idx="2">
                  <c:v>0.8</c:v>
                </c:pt>
                <c:pt idx="3">
                  <c:v>0.55000000000000004</c:v>
                </c:pt>
                <c:pt idx="4">
                  <c:v>0.45</c:v>
                </c:pt>
                <c:pt idx="5">
                  <c:v>0.5</c:v>
                </c:pt>
                <c:pt idx="6">
                  <c:v>0.3</c:v>
                </c:pt>
                <c:pt idx="7">
                  <c:v>0.35</c:v>
                </c:pt>
                <c:pt idx="8">
                  <c:v>0.2</c:v>
                </c:pt>
                <c:pt idx="9">
                  <c:v>0.25</c:v>
                </c:pt>
                <c:pt idx="10">
                  <c:v>0.15</c:v>
                </c:pt>
                <c:pt idx="11">
                  <c:v>0.2</c:v>
                </c:pt>
              </c:numCache>
            </c:numRef>
          </c:val>
          <c:smooth val="1"/>
          <c:extLst>
            <c:ext xmlns:c16="http://schemas.microsoft.com/office/drawing/2014/chart" uri="{C3380CC4-5D6E-409C-BE32-E72D297353CC}">
              <c16:uniqueId val="{00000000-3923-43F3-B1BD-7ED2F8EDAD67}"/>
            </c:ext>
          </c:extLst>
        </c:ser>
        <c:ser>
          <c:idx val="0"/>
          <c:order val="1"/>
          <c:tx>
            <c:strRef>
              <c:f>Processing!$C$1</c:f>
              <c:strCache>
                <c:ptCount val="1"/>
                <c:pt idx="0">
                  <c:v>Progress</c:v>
                </c:pt>
              </c:strCache>
            </c:strRef>
          </c:tx>
          <c:spPr>
            <a:ln w="19050" cap="rnd">
              <a:solidFill>
                <a:srgbClr val="A2D8F0"/>
              </a:solidFill>
              <a:round/>
            </a:ln>
            <a:effectLst>
              <a:glow rad="63500">
                <a:schemeClr val="accent1">
                  <a:satMod val="175000"/>
                  <a:alpha val="40000"/>
                </a:schemeClr>
              </a:glow>
              <a:outerShdw blurRad="127000" dist="50800" dir="5400000" sx="105000" sy="105000" algn="t" rotWithShape="0">
                <a:srgbClr val="0000FF"/>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#N/A</c:v>
                </c:pt>
                <c:pt idx="1">
                  <c:v>#N/A</c:v>
                </c:pt>
                <c:pt idx="2">
                  <c:v>#N/A</c:v>
                </c:pt>
                <c:pt idx="3">
                  <c:v>#N/A</c:v>
                </c:pt>
                <c:pt idx="4">
                  <c:v>#N/A</c:v>
                </c:pt>
                <c:pt idx="5">
                  <c:v>#N/A</c:v>
                </c:pt>
                <c:pt idx="6">
                  <c:v>#N/A</c:v>
                </c:pt>
                <c:pt idx="7">
                  <c:v>#N/A</c:v>
                </c:pt>
                <c:pt idx="8">
                  <c:v>0.2</c:v>
                </c:pt>
                <c:pt idx="9">
                  <c:v>0.25</c:v>
                </c:pt>
                <c:pt idx="10">
                  <c:v>0.15</c:v>
                </c:pt>
                <c:pt idx="11">
                  <c:v>0.2</c:v>
                </c:pt>
              </c:numCache>
            </c:numRef>
          </c:val>
          <c:smooth val="1"/>
          <c:extLst>
            <c:ext xmlns:c16="http://schemas.microsoft.com/office/drawing/2014/chart" uri="{C3380CC4-5D6E-409C-BE32-E72D297353CC}">
              <c16:uniqueId val="{00000001-3923-43F3-B1BD-7ED2F8EDAD67}"/>
            </c:ext>
          </c:extLst>
        </c:ser>
        <c:ser>
          <c:idx val="1"/>
          <c:order val="2"/>
          <c:tx>
            <c:strRef>
              <c:f>Processing!$D$1</c:f>
              <c:strCache>
                <c:ptCount val="1"/>
                <c:pt idx="0">
                  <c:v>Target</c:v>
                </c:pt>
              </c:strCache>
            </c:strRef>
          </c:tx>
          <c:spPr>
            <a:ln w="12700" cap="rnd">
              <a:solidFill>
                <a:schemeClr val="bg1"/>
              </a:solidFill>
              <a:round/>
            </a:ln>
            <a:effectLst/>
          </c:spPr>
          <c:marker>
            <c:symbol val="circle"/>
            <c:size val="6"/>
            <c:spPr>
              <a:solidFill>
                <a:srgbClr val="10004C"/>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0%</c:formatCode>
                <c:ptCount val="12"/>
                <c:pt idx="0">
                  <c:v>1</c:v>
                </c:pt>
                <c:pt idx="1">
                  <c:v>0.95</c:v>
                </c:pt>
                <c:pt idx="2">
                  <c:v>0.9</c:v>
                </c:pt>
                <c:pt idx="3">
                  <c:v>0.85</c:v>
                </c:pt>
                <c:pt idx="4">
                  <c:v>0.8</c:v>
                </c:pt>
                <c:pt idx="5">
                  <c:v>0.7</c:v>
                </c:pt>
                <c:pt idx="6">
                  <c:v>0.6</c:v>
                </c:pt>
                <c:pt idx="7">
                  <c:v>0.5</c:v>
                </c:pt>
                <c:pt idx="8">
                  <c:v>0.4</c:v>
                </c:pt>
                <c:pt idx="9">
                  <c:v>0.3</c:v>
                </c:pt>
                <c:pt idx="10">
                  <c:v>0.2</c:v>
                </c:pt>
                <c:pt idx="11">
                  <c:v>0.1</c:v>
                </c:pt>
              </c:numCache>
            </c:numRef>
          </c:val>
          <c:smooth val="0"/>
          <c:extLst>
            <c:ext xmlns:c16="http://schemas.microsoft.com/office/drawing/2014/chart" uri="{C3380CC4-5D6E-409C-BE32-E72D297353CC}">
              <c16:uniqueId val="{00000002-3923-43F3-B1BD-7ED2F8EDAD67}"/>
            </c:ext>
          </c:extLst>
        </c:ser>
        <c:dLbls>
          <c:showLegendKey val="0"/>
          <c:showVal val="0"/>
          <c:showCatName val="0"/>
          <c:showSerName val="0"/>
          <c:showPercent val="0"/>
          <c:showBubbleSize val="0"/>
        </c:dLbls>
        <c:marker val="1"/>
        <c:smooth val="0"/>
        <c:axId val="354359679"/>
        <c:axId val="354356799"/>
      </c:lineChart>
      <c:scatterChart>
        <c:scatterStyle val="lineMarker"/>
        <c:varyColors val="0"/>
        <c:ser>
          <c:idx val="3"/>
          <c:order val="3"/>
          <c:tx>
            <c:strRef>
              <c:f>Processing!$E$1</c:f>
              <c:strCache>
                <c:ptCount val="1"/>
                <c:pt idx="0">
                  <c:v>Cursor</c:v>
                </c:pt>
              </c:strCache>
            </c:strRef>
          </c:tx>
          <c:spPr>
            <a:ln w="25400" cap="rnd">
              <a:noFill/>
              <a:round/>
            </a:ln>
            <a:effectLst>
              <a:glow rad="254000">
                <a:srgbClr val="0000FF">
                  <a:alpha val="40000"/>
                </a:srgbClr>
              </a:glow>
            </a:effectLst>
          </c:spPr>
          <c:marker>
            <c:symbol val="circle"/>
            <c:size val="5"/>
            <c:spPr>
              <a:solidFill>
                <a:srgbClr val="0A002F"/>
              </a:solidFill>
              <a:ln w="9525">
                <a:solidFill>
                  <a:srgbClr val="A2D8F0"/>
                </a:solidFill>
              </a:ln>
              <a:effectLst>
                <a:glow rad="254000">
                  <a:srgbClr val="0000FF">
                    <a:alpha val="40000"/>
                  </a:srgb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D8F0"/>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Processing!$E$2:$E$13</c:f>
                <c:numCache>
                  <c:formatCode>General</c:formatCode>
                  <c:ptCount val="12"/>
                  <c:pt idx="0">
                    <c:v>#N/A</c:v>
                  </c:pt>
                  <c:pt idx="1">
                    <c:v>#N/A</c:v>
                  </c:pt>
                  <c:pt idx="2">
                    <c:v>#N/A</c:v>
                  </c:pt>
                  <c:pt idx="3">
                    <c:v>#N/A</c:v>
                  </c:pt>
                  <c:pt idx="4">
                    <c:v>#N/A</c:v>
                  </c:pt>
                  <c:pt idx="5">
                    <c:v>#N/A</c:v>
                  </c:pt>
                  <c:pt idx="6">
                    <c:v>#N/A</c:v>
                  </c:pt>
                  <c:pt idx="7">
                    <c:v>#N/A</c:v>
                  </c:pt>
                  <c:pt idx="8">
                    <c:v>0.2</c:v>
                  </c:pt>
                  <c:pt idx="9">
                    <c:v>#N/A</c:v>
                  </c:pt>
                  <c:pt idx="10">
                    <c:v>#N/A</c:v>
                  </c:pt>
                  <c:pt idx="11">
                    <c:v>#N/A</c:v>
                  </c:pt>
                </c:numCache>
              </c:numRef>
            </c:minus>
            <c:spPr>
              <a:noFill/>
              <a:ln w="9525" cap="flat" cmpd="sng" algn="ctr">
                <a:solidFill>
                  <a:schemeClr val="tx2">
                    <a:lumMod val="50000"/>
                    <a:lumOff val="50000"/>
                  </a:schemeClr>
                </a:solidFill>
                <a:round/>
              </a:ln>
              <a:effectLst/>
            </c:spPr>
          </c:errBars>
          <c:yVal>
            <c:numRef>
              <c:f>Processing!$E$2:$E$13</c:f>
              <c:numCache>
                <c:formatCode>0%</c:formatCode>
                <c:ptCount val="12"/>
                <c:pt idx="0">
                  <c:v>#N/A</c:v>
                </c:pt>
                <c:pt idx="1">
                  <c:v>#N/A</c:v>
                </c:pt>
                <c:pt idx="2">
                  <c:v>#N/A</c:v>
                </c:pt>
                <c:pt idx="3">
                  <c:v>#N/A</c:v>
                </c:pt>
                <c:pt idx="4">
                  <c:v>#N/A</c:v>
                </c:pt>
                <c:pt idx="5">
                  <c:v>#N/A</c:v>
                </c:pt>
                <c:pt idx="6">
                  <c:v>#N/A</c:v>
                </c:pt>
                <c:pt idx="7">
                  <c:v>#N/A</c:v>
                </c:pt>
                <c:pt idx="8">
                  <c:v>0.2</c:v>
                </c:pt>
                <c:pt idx="9">
                  <c:v>#N/A</c:v>
                </c:pt>
                <c:pt idx="10">
                  <c:v>#N/A</c:v>
                </c:pt>
                <c:pt idx="11">
                  <c:v>#N/A</c:v>
                </c:pt>
              </c:numCache>
            </c:numRef>
          </c:yVal>
          <c:smooth val="0"/>
          <c:extLst>
            <c:ext xmlns:c16="http://schemas.microsoft.com/office/drawing/2014/chart" uri="{C3380CC4-5D6E-409C-BE32-E72D297353CC}">
              <c16:uniqueId val="{00000003-3923-43F3-B1BD-7ED2F8EDAD67}"/>
            </c:ext>
          </c:extLst>
        </c:ser>
        <c:dLbls>
          <c:showLegendKey val="0"/>
          <c:showVal val="0"/>
          <c:showCatName val="0"/>
          <c:showSerName val="0"/>
          <c:showPercent val="0"/>
          <c:showBubbleSize val="0"/>
        </c:dLbls>
        <c:axId val="354359679"/>
        <c:axId val="354356799"/>
      </c:scatterChart>
      <c:catAx>
        <c:axId val="354359679"/>
        <c:scaling>
          <c:orientation val="minMax"/>
        </c:scaling>
        <c:delete val="1"/>
        <c:axPos val="b"/>
        <c:numFmt formatCode="General" sourceLinked="1"/>
        <c:majorTickMark val="none"/>
        <c:minorTickMark val="none"/>
        <c:tickLblPos val="nextTo"/>
        <c:crossAx val="354356799"/>
        <c:crosses val="autoZero"/>
        <c:auto val="1"/>
        <c:lblAlgn val="ctr"/>
        <c:lblOffset val="100"/>
        <c:noMultiLvlLbl val="0"/>
      </c:catAx>
      <c:valAx>
        <c:axId val="354356799"/>
        <c:scaling>
          <c:orientation val="minMax"/>
        </c:scaling>
        <c:delete val="1"/>
        <c:axPos val="l"/>
        <c:numFmt formatCode="0%" sourceLinked="1"/>
        <c:majorTickMark val="none"/>
        <c:minorTickMark val="none"/>
        <c:tickLblPos val="nextTo"/>
        <c:crossAx val="35435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Processing!$H$1</c:f>
              <c:strCache>
                <c:ptCount val="1"/>
                <c:pt idx="0">
                  <c:v>Probability</c:v>
                </c:pt>
              </c:strCache>
            </c:strRef>
          </c:tx>
          <c:spPr>
            <a:ln w="19050" cap="rnd">
              <a:solidFill>
                <a:srgbClr val="A746F6"/>
              </a:solidFill>
              <a:round/>
            </a:ln>
            <a:effectLst>
              <a:outerShdw blurRad="50800" dist="38100" dir="5400000" algn="t" rotWithShape="0">
                <a:prstClr val="black">
                  <a:alpha val="40000"/>
                </a:prstClr>
              </a:outerShdw>
            </a:effectLst>
          </c:spPr>
          <c:marker>
            <c:symbol val="circle"/>
            <c:size val="7"/>
            <c:spPr>
              <a:solidFill>
                <a:srgbClr val="D73BFE"/>
              </a:solidFill>
              <a:ln w="9525">
                <a:no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Processing!$G$2:$G$6</c:f>
              <c:strCache>
                <c:ptCount val="5"/>
                <c:pt idx="0">
                  <c:v>R1</c:v>
                </c:pt>
                <c:pt idx="1">
                  <c:v>R2</c:v>
                </c:pt>
                <c:pt idx="2">
                  <c:v>R3</c:v>
                </c:pt>
                <c:pt idx="3">
                  <c:v>R4</c:v>
                </c:pt>
                <c:pt idx="4">
                  <c:v>R5</c:v>
                </c:pt>
              </c:strCache>
            </c:strRef>
          </c:cat>
          <c:val>
            <c:numRef>
              <c:f>Processing!$H$2:$H$6</c:f>
              <c:numCache>
                <c:formatCode>0%</c:formatCode>
                <c:ptCount val="5"/>
                <c:pt idx="0">
                  <c:v>0.15</c:v>
                </c:pt>
                <c:pt idx="1">
                  <c:v>0.74</c:v>
                </c:pt>
                <c:pt idx="2">
                  <c:v>0.72</c:v>
                </c:pt>
                <c:pt idx="3">
                  <c:v>0.41</c:v>
                </c:pt>
                <c:pt idx="4">
                  <c:v>0.82</c:v>
                </c:pt>
              </c:numCache>
            </c:numRef>
          </c:val>
          <c:smooth val="0"/>
          <c:extLst>
            <c:ext xmlns:c16="http://schemas.microsoft.com/office/drawing/2014/chart" uri="{C3380CC4-5D6E-409C-BE32-E72D297353CC}">
              <c16:uniqueId val="{00000000-8510-4707-A018-B420A10CE859}"/>
            </c:ext>
          </c:extLst>
        </c:ser>
        <c:dLbls>
          <c:showLegendKey val="0"/>
          <c:showVal val="0"/>
          <c:showCatName val="0"/>
          <c:showSerName val="0"/>
          <c:showPercent val="0"/>
          <c:showBubbleSize val="0"/>
        </c:dLbls>
        <c:marker val="1"/>
        <c:smooth val="0"/>
        <c:axId val="354358719"/>
        <c:axId val="354360159"/>
      </c:lineChart>
      <c:catAx>
        <c:axId val="3543587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354360159"/>
        <c:crosses val="autoZero"/>
        <c:auto val="1"/>
        <c:lblAlgn val="ctr"/>
        <c:lblOffset val="100"/>
        <c:noMultiLvlLbl val="0"/>
      </c:catAx>
      <c:valAx>
        <c:axId val="354360159"/>
        <c:scaling>
          <c:orientation val="minMax"/>
        </c:scaling>
        <c:delete val="1"/>
        <c:axPos val="l"/>
        <c:numFmt formatCode="0%" sourceLinked="1"/>
        <c:majorTickMark val="none"/>
        <c:minorTickMark val="none"/>
        <c:tickLblPos val="nextTo"/>
        <c:crossAx val="3543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a:gsLst>
                <a:gs pos="100000">
                  <a:srgbClr val="D73BFE">
                    <a:alpha val="50000"/>
                  </a:srgbClr>
                </a:gs>
                <a:gs pos="0">
                  <a:srgbClr val="2C48D4">
                    <a:alpha val="50000"/>
                  </a:srgbClr>
                </a:gs>
              </a:gsLst>
              <a:lin ang="6000000" scaled="0"/>
            </a:gradFill>
            <a:ln>
              <a:solidFill>
                <a:schemeClr val="tx2">
                  <a:lumMod val="25000"/>
                  <a:lumOff val="75000"/>
                </a:schemeClr>
              </a:solidFill>
            </a:ln>
            <a:effectLst>
              <a:outerShdw blurRad="50800" dist="38100" dir="8100000" algn="tr" rotWithShape="0">
                <a:prstClr val="black">
                  <a:alpha val="40000"/>
                </a:prstClr>
              </a:outerShdw>
            </a:effectLst>
          </c:spPr>
          <c:cat>
            <c:strRef>
              <c:f>Processing!$J$2:$J$6</c:f>
              <c:strCache>
                <c:ptCount val="5"/>
                <c:pt idx="0">
                  <c:v>P</c:v>
                </c:pt>
                <c:pt idx="1">
                  <c:v>D</c:v>
                </c:pt>
                <c:pt idx="2">
                  <c:v>I</c:v>
                </c:pt>
                <c:pt idx="3">
                  <c:v>P</c:v>
                </c:pt>
                <c:pt idx="4">
                  <c:v>R</c:v>
                </c:pt>
              </c:strCache>
            </c:strRef>
          </c:cat>
          <c:val>
            <c:numRef>
              <c:f>Processing!$K$2:$K$6</c:f>
              <c:numCache>
                <c:formatCode>_("$"* #,##0_);_("$"* \(#,##0\);_("$"* "-"??_);_(@_)</c:formatCode>
                <c:ptCount val="5"/>
                <c:pt idx="0">
                  <c:v>2413</c:v>
                </c:pt>
                <c:pt idx="1">
                  <c:v>3819</c:v>
                </c:pt>
                <c:pt idx="2">
                  <c:v>4950</c:v>
                </c:pt>
                <c:pt idx="3">
                  <c:v>2520</c:v>
                </c:pt>
                <c:pt idx="4">
                  <c:v>2118</c:v>
                </c:pt>
              </c:numCache>
            </c:numRef>
          </c:val>
          <c:extLst>
            <c:ext xmlns:c16="http://schemas.microsoft.com/office/drawing/2014/chart" uri="{C3380CC4-5D6E-409C-BE32-E72D297353CC}">
              <c16:uniqueId val="{00000000-9D42-4180-BD44-D7656D4899B6}"/>
            </c:ext>
          </c:extLst>
        </c:ser>
        <c:dLbls>
          <c:showLegendKey val="0"/>
          <c:showVal val="0"/>
          <c:showCatName val="0"/>
          <c:showSerName val="0"/>
          <c:showPercent val="0"/>
          <c:showBubbleSize val="0"/>
        </c:dLbls>
        <c:axId val="354341439"/>
        <c:axId val="354351999"/>
      </c:radarChart>
      <c:catAx>
        <c:axId val="354341439"/>
        <c:scaling>
          <c:orientation val="minMax"/>
        </c:scaling>
        <c:delete val="1"/>
        <c:axPos val="b"/>
        <c:numFmt formatCode="General" sourceLinked="1"/>
        <c:majorTickMark val="none"/>
        <c:minorTickMark val="none"/>
        <c:tickLblPos val="nextTo"/>
        <c:crossAx val="354351999"/>
        <c:crosses val="autoZero"/>
        <c:auto val="1"/>
        <c:lblAlgn val="ctr"/>
        <c:lblOffset val="100"/>
        <c:noMultiLvlLbl val="0"/>
      </c:catAx>
      <c:valAx>
        <c:axId val="354351999"/>
        <c:scaling>
          <c:orientation val="minMax"/>
        </c:scaling>
        <c:delete val="1"/>
        <c:axPos val="l"/>
        <c:majorGridlines>
          <c:spPr>
            <a:ln w="9525" cap="flat" cmpd="sng" algn="ctr">
              <a:solidFill>
                <a:srgbClr val="5B08A0"/>
              </a:solidFill>
              <a:round/>
            </a:ln>
            <a:effectLst/>
          </c:spPr>
        </c:majorGridlines>
        <c:numFmt formatCode="_(&quot;$&quot;* #,##0_);_(&quot;$&quot;* \(#,##0\);_(&quot;$&quot;* &quot;-&quot;??_);_(@_)" sourceLinked="1"/>
        <c:majorTickMark val="out"/>
        <c:minorTickMark val="none"/>
        <c:tickLblPos val="nextTo"/>
        <c:crossAx val="35434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231884057971016E-2"/>
          <c:y val="7.4404761904761901E-3"/>
          <c:w val="0.92753623188405798"/>
          <c:h val="0.8577509842519685"/>
        </c:manualLayout>
      </c:layout>
      <c:barChart>
        <c:barDir val="col"/>
        <c:grouping val="stacked"/>
        <c:varyColors val="0"/>
        <c:ser>
          <c:idx val="0"/>
          <c:order val="0"/>
          <c:tx>
            <c:strRef>
              <c:f>Processing!$B$16</c:f>
              <c:strCache>
                <c:ptCount val="1"/>
                <c:pt idx="0">
                  <c:v>indent</c:v>
                </c:pt>
              </c:strCache>
            </c:strRef>
          </c:tx>
          <c:spPr>
            <a:solidFill>
              <a:schemeClr val="accent1"/>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2312.85</c:v>
                </c:pt>
                <c:pt idx="1">
                  <c:v>2312.85</c:v>
                </c:pt>
                <c:pt idx="2">
                  <c:v>2312.85</c:v>
                </c:pt>
                <c:pt idx="3">
                  <c:v>2312.85</c:v>
                </c:pt>
                <c:pt idx="4">
                  <c:v>2312.85</c:v>
                </c:pt>
                <c:pt idx="5">
                  <c:v>2312.85</c:v>
                </c:pt>
                <c:pt idx="6">
                  <c:v>2312.85</c:v>
                </c:pt>
                <c:pt idx="7">
                  <c:v>2312.85</c:v>
                </c:pt>
                <c:pt idx="8">
                  <c:v>2312.85</c:v>
                </c:pt>
                <c:pt idx="9">
                  <c:v>2312.85</c:v>
                </c:pt>
                <c:pt idx="10">
                  <c:v>2312.85</c:v>
                </c:pt>
                <c:pt idx="11">
                  <c:v>2312.85</c:v>
                </c:pt>
              </c:numCache>
            </c:numRef>
          </c:val>
          <c:extLst>
            <c:ext xmlns:c16="http://schemas.microsoft.com/office/drawing/2014/chart" uri="{C3380CC4-5D6E-409C-BE32-E72D297353CC}">
              <c16:uniqueId val="{00000000-264E-47CE-A67A-47E31EAC9BC9}"/>
            </c:ext>
          </c:extLst>
        </c:ser>
        <c:ser>
          <c:idx val="1"/>
          <c:order val="1"/>
          <c:tx>
            <c:strRef>
              <c:f>Processing!$C$16</c:f>
              <c:strCache>
                <c:ptCount val="1"/>
                <c:pt idx="0">
                  <c:v>Cost</c:v>
                </c:pt>
              </c:strCache>
            </c:strRef>
          </c:tx>
          <c:spPr>
            <a:solidFill>
              <a:schemeClr val="accent2"/>
            </a:solidFill>
            <a:ln w="127000">
              <a:gradFill>
                <a:gsLst>
                  <a:gs pos="0">
                    <a:srgbClr val="270345"/>
                  </a:gs>
                  <a:gs pos="100000">
                    <a:srgbClr val="540793"/>
                  </a:gs>
                </a:gsLst>
                <a:lin ang="5400000" scaled="1"/>
              </a:grad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17063</c:v>
                </c:pt>
                <c:pt idx="1">
                  <c:v>19009</c:v>
                </c:pt>
                <c:pt idx="2">
                  <c:v>21172</c:v>
                </c:pt>
                <c:pt idx="3">
                  <c:v>25512</c:v>
                </c:pt>
                <c:pt idx="4">
                  <c:v>22609</c:v>
                </c:pt>
                <c:pt idx="5">
                  <c:v>30077</c:v>
                </c:pt>
                <c:pt idx="6">
                  <c:v>35634</c:v>
                </c:pt>
                <c:pt idx="7">
                  <c:v>46257</c:v>
                </c:pt>
                <c:pt idx="8">
                  <c:v>34376</c:v>
                </c:pt>
                <c:pt idx="9">
                  <c:v>36744</c:v>
                </c:pt>
                <c:pt idx="10">
                  <c:v>44019</c:v>
                </c:pt>
                <c:pt idx="11">
                  <c:v>45080</c:v>
                </c:pt>
              </c:numCache>
            </c:numRef>
          </c:val>
          <c:extLst>
            <c:ext xmlns:c16="http://schemas.microsoft.com/office/drawing/2014/chart" uri="{C3380CC4-5D6E-409C-BE32-E72D297353CC}">
              <c16:uniqueId val="{00000001-264E-47CE-A67A-47E31EAC9BC9}"/>
            </c:ext>
          </c:extLst>
        </c:ser>
        <c:dLbls>
          <c:showLegendKey val="0"/>
          <c:showVal val="0"/>
          <c:showCatName val="0"/>
          <c:showSerName val="0"/>
          <c:showPercent val="0"/>
          <c:showBubbleSize val="0"/>
        </c:dLbls>
        <c:gapWidth val="220"/>
        <c:overlap val="100"/>
        <c:axId val="354366879"/>
        <c:axId val="354367839"/>
      </c:barChart>
      <c:barChart>
        <c:barDir val="col"/>
        <c:grouping val="stacked"/>
        <c:varyColors val="0"/>
        <c:ser>
          <c:idx val="2"/>
          <c:order val="2"/>
          <c:tx>
            <c:strRef>
              <c:f>Processing!$D$16</c:f>
              <c:strCache>
                <c:ptCount val="1"/>
                <c:pt idx="0">
                  <c:v>indent C</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2312.85</c:v>
                </c:pt>
                <c:pt idx="1">
                  <c:v>2312.85</c:v>
                </c:pt>
                <c:pt idx="2">
                  <c:v>2312.85</c:v>
                </c:pt>
                <c:pt idx="3">
                  <c:v>2312.85</c:v>
                </c:pt>
                <c:pt idx="4">
                  <c:v>2312.85</c:v>
                </c:pt>
                <c:pt idx="5">
                  <c:v>2312.85</c:v>
                </c:pt>
                <c:pt idx="6">
                  <c:v>2312.85</c:v>
                </c:pt>
                <c:pt idx="7">
                  <c:v>2312.85</c:v>
                </c:pt>
                <c:pt idx="8">
                  <c:v>2312.85</c:v>
                </c:pt>
                <c:pt idx="9">
                  <c:v>2312.85</c:v>
                </c:pt>
                <c:pt idx="10">
                  <c:v>2312.85</c:v>
                </c:pt>
                <c:pt idx="11">
                  <c:v>2312.85</c:v>
                </c:pt>
              </c:numCache>
            </c:numRef>
          </c:val>
          <c:extLst>
            <c:ext xmlns:c16="http://schemas.microsoft.com/office/drawing/2014/chart" uri="{C3380CC4-5D6E-409C-BE32-E72D297353CC}">
              <c16:uniqueId val="{00000002-264E-47CE-A67A-47E31EAC9BC9}"/>
            </c:ext>
          </c:extLst>
        </c:ser>
        <c:ser>
          <c:idx val="3"/>
          <c:order val="3"/>
          <c:tx>
            <c:strRef>
              <c:f>Processing!$E$16</c:f>
              <c:strCache>
                <c:ptCount val="1"/>
                <c:pt idx="0">
                  <c:v>Cursor</c:v>
                </c:pt>
              </c:strCache>
            </c:strRef>
          </c:tx>
          <c:spPr>
            <a:solidFill>
              <a:schemeClr val="accent4"/>
            </a:solidFill>
            <a:ln w="127000">
              <a:gradFill>
                <a:gsLst>
                  <a:gs pos="6000">
                    <a:srgbClr val="18B4E1"/>
                  </a:gs>
                  <a:gs pos="0">
                    <a:srgbClr val="D6EDF9"/>
                  </a:gs>
                  <a:gs pos="90000">
                    <a:srgbClr val="282FAD"/>
                  </a:gs>
                  <a:gs pos="100000">
                    <a:srgbClr val="540793"/>
                  </a:gs>
                </a:gsLst>
                <a:lin ang="5400000" scaled="1"/>
              </a:grad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_("$"* #,##0_);_("$"* \(#,##0\);_("$"* "-"??_);_(@_)</c:formatCode>
                <c:ptCount val="12"/>
                <c:pt idx="0">
                  <c:v>#N/A</c:v>
                </c:pt>
                <c:pt idx="1">
                  <c:v>#N/A</c:v>
                </c:pt>
                <c:pt idx="2">
                  <c:v>#N/A</c:v>
                </c:pt>
                <c:pt idx="3">
                  <c:v>#N/A</c:v>
                </c:pt>
                <c:pt idx="4">
                  <c:v>#N/A</c:v>
                </c:pt>
                <c:pt idx="5">
                  <c:v>#N/A</c:v>
                </c:pt>
                <c:pt idx="6">
                  <c:v>#N/A</c:v>
                </c:pt>
                <c:pt idx="7">
                  <c:v>#N/A</c:v>
                </c:pt>
                <c:pt idx="8">
                  <c:v>34376</c:v>
                </c:pt>
                <c:pt idx="9">
                  <c:v>#N/A</c:v>
                </c:pt>
                <c:pt idx="10">
                  <c:v>#N/A</c:v>
                </c:pt>
                <c:pt idx="11">
                  <c:v>#N/A</c:v>
                </c:pt>
              </c:numCache>
            </c:numRef>
          </c:val>
          <c:extLst>
            <c:ext xmlns:c16="http://schemas.microsoft.com/office/drawing/2014/chart" uri="{C3380CC4-5D6E-409C-BE32-E72D297353CC}">
              <c16:uniqueId val="{00000003-264E-47CE-A67A-47E31EAC9BC9}"/>
            </c:ext>
          </c:extLst>
        </c:ser>
        <c:dLbls>
          <c:showLegendKey val="0"/>
          <c:showVal val="0"/>
          <c:showCatName val="0"/>
          <c:showSerName val="0"/>
          <c:showPercent val="0"/>
          <c:showBubbleSize val="0"/>
        </c:dLbls>
        <c:gapWidth val="220"/>
        <c:overlap val="100"/>
        <c:axId val="354411999"/>
        <c:axId val="354404319"/>
      </c:barChart>
      <c:scatterChart>
        <c:scatterStyle val="lineMarker"/>
        <c:varyColors val="0"/>
        <c:ser>
          <c:idx val="4"/>
          <c:order val="4"/>
          <c:tx>
            <c:strRef>
              <c:f>Processing!$F$16</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264E-47CE-A67A-47E31EAC9BC9}"/>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264E-47CE-A67A-47E31EAC9BC9}"/>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264E-47CE-A67A-47E31EAC9BC9}"/>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264E-47CE-A67A-47E31EAC9BC9}"/>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264E-47CE-A67A-47E31EAC9BC9}"/>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264E-47CE-A67A-47E31EAC9BC9}"/>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264E-47CE-A67A-47E31EAC9BC9}"/>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264E-47CE-A67A-47E31EAC9BC9}"/>
                </c:ext>
              </c:extLst>
            </c:dLbl>
            <c:dLbl>
              <c:idx val="8"/>
              <c:tx>
                <c:rich>
                  <a:bodyPr/>
                  <a:lstStyle/>
                  <a:p>
                    <a:fld id="{8A28B395-CF96-4702-9CDB-94F92BC906F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264E-47CE-A67A-47E31EAC9BC9}"/>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264E-47CE-A67A-47E31EAC9BC9}"/>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264E-47CE-A67A-47E31EAC9BC9}"/>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264E-47CE-A67A-47E31EAC9BC9}"/>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25000"/>
                        <a:lumOff val="7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Processing!$F$17:$F$28</c:f>
              <c:numCache>
                <c:formatCode>General</c:formatCode>
                <c:ptCount val="12"/>
                <c:pt idx="0">
                  <c:v>#N/A</c:v>
                </c:pt>
                <c:pt idx="1">
                  <c:v>#N/A</c:v>
                </c:pt>
                <c:pt idx="2">
                  <c:v>#N/A</c:v>
                </c:pt>
                <c:pt idx="3">
                  <c:v>#N/A</c:v>
                </c:pt>
                <c:pt idx="4">
                  <c:v>#N/A</c:v>
                </c:pt>
                <c:pt idx="5">
                  <c:v>#N/A</c:v>
                </c:pt>
                <c:pt idx="6">
                  <c:v>#N/A</c:v>
                </c:pt>
                <c:pt idx="7">
                  <c:v>#N/A</c:v>
                </c:pt>
                <c:pt idx="8">
                  <c:v>36688.85</c:v>
                </c:pt>
                <c:pt idx="9">
                  <c:v>#N/A</c:v>
                </c:pt>
                <c:pt idx="10">
                  <c:v>#N/A</c:v>
                </c:pt>
                <c:pt idx="11">
                  <c:v>#N/A</c:v>
                </c:pt>
              </c:numCache>
            </c:numRef>
          </c:yVal>
          <c:smooth val="0"/>
          <c:extLst>
            <c:ext xmlns:c15="http://schemas.microsoft.com/office/drawing/2012/chart" uri="{02D57815-91ED-43cb-92C2-25804820EDAC}">
              <c15:datalabelsRange>
                <c15:f>Processing!$G$17:$G$28</c15:f>
                <c15:dlblRangeCache>
                  <c:ptCount val="12"/>
                  <c:pt idx="0">
                    <c:v>#N/A</c:v>
                  </c:pt>
                  <c:pt idx="1">
                    <c:v>#N/A</c:v>
                  </c:pt>
                  <c:pt idx="2">
                    <c:v>#N/A</c:v>
                  </c:pt>
                  <c:pt idx="3">
                    <c:v>#N/A</c:v>
                  </c:pt>
                  <c:pt idx="4">
                    <c:v>#N/A</c:v>
                  </c:pt>
                  <c:pt idx="5">
                    <c:v>#N/A</c:v>
                  </c:pt>
                  <c:pt idx="6">
                    <c:v>#N/A</c:v>
                  </c:pt>
                  <c:pt idx="7">
                    <c:v>#N/A</c:v>
                  </c:pt>
                  <c:pt idx="8">
                    <c:v>34k</c:v>
                  </c:pt>
                  <c:pt idx="9">
                    <c:v>#N/A</c:v>
                  </c:pt>
                  <c:pt idx="10">
                    <c:v>#N/A</c:v>
                  </c:pt>
                  <c:pt idx="11">
                    <c:v>#N/A</c:v>
                  </c:pt>
                </c15:dlblRangeCache>
              </c15:datalabelsRange>
            </c:ext>
            <c:ext xmlns:c16="http://schemas.microsoft.com/office/drawing/2014/chart" uri="{C3380CC4-5D6E-409C-BE32-E72D297353CC}">
              <c16:uniqueId val="{00000010-264E-47CE-A67A-47E31EAC9BC9}"/>
            </c:ext>
          </c:extLst>
        </c:ser>
        <c:dLbls>
          <c:showLegendKey val="0"/>
          <c:showVal val="0"/>
          <c:showCatName val="0"/>
          <c:showSerName val="0"/>
          <c:showPercent val="0"/>
          <c:showBubbleSize val="0"/>
        </c:dLbls>
        <c:axId val="354411999"/>
        <c:axId val="354404319"/>
      </c:scatterChart>
      <c:catAx>
        <c:axId val="354366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354367839"/>
        <c:crosses val="autoZero"/>
        <c:auto val="1"/>
        <c:lblAlgn val="ctr"/>
        <c:lblOffset val="100"/>
        <c:noMultiLvlLbl val="0"/>
      </c:catAx>
      <c:valAx>
        <c:axId val="354367839"/>
        <c:scaling>
          <c:orientation val="minMax"/>
        </c:scaling>
        <c:delete val="1"/>
        <c:axPos val="l"/>
        <c:numFmt formatCode="General" sourceLinked="1"/>
        <c:majorTickMark val="none"/>
        <c:minorTickMark val="none"/>
        <c:tickLblPos val="nextTo"/>
        <c:crossAx val="354366879"/>
        <c:crosses val="autoZero"/>
        <c:crossBetween val="between"/>
      </c:valAx>
      <c:valAx>
        <c:axId val="354404319"/>
        <c:scaling>
          <c:orientation val="minMax"/>
        </c:scaling>
        <c:delete val="1"/>
        <c:axPos val="r"/>
        <c:numFmt formatCode="General" sourceLinked="1"/>
        <c:majorTickMark val="out"/>
        <c:minorTickMark val="none"/>
        <c:tickLblPos val="nextTo"/>
        <c:crossAx val="354411999"/>
        <c:crosses val="max"/>
        <c:crossBetween val="between"/>
      </c:valAx>
      <c:catAx>
        <c:axId val="354411999"/>
        <c:scaling>
          <c:orientation val="minMax"/>
        </c:scaling>
        <c:delete val="1"/>
        <c:axPos val="b"/>
        <c:numFmt formatCode="General" sourceLinked="1"/>
        <c:majorTickMark val="out"/>
        <c:minorTickMark val="none"/>
        <c:tickLblPos val="nextTo"/>
        <c:crossAx val="354404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FC22-4979-A67F-20E920BB029D}"/>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FC22-4979-A67F-20E920BB029D}"/>
              </c:ext>
            </c:extLst>
          </c:dPt>
          <c:val>
            <c:numRef>
              <c:f>Processing!$M$11:$N$11</c:f>
              <c:numCache>
                <c:formatCode>0%</c:formatCode>
                <c:ptCount val="2"/>
                <c:pt idx="0">
                  <c:v>0.63636363636363635</c:v>
                </c:pt>
                <c:pt idx="1">
                  <c:v>0.36363636363636365</c:v>
                </c:pt>
              </c:numCache>
            </c:numRef>
          </c:val>
          <c:extLst>
            <c:ext xmlns:c16="http://schemas.microsoft.com/office/drawing/2014/chart" uri="{C3380CC4-5D6E-409C-BE32-E72D297353CC}">
              <c16:uniqueId val="{00000004-FC22-4979-A67F-20E920BB029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F00E-4584-B5F2-B0577C9D3177}"/>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F00E-4584-B5F2-B0577C9D3177}"/>
              </c:ext>
            </c:extLst>
          </c:dPt>
          <c:val>
            <c:numRef>
              <c:f>Processing!$N$6:$O$6</c:f>
              <c:numCache>
                <c:formatCode>0%</c:formatCode>
                <c:ptCount val="2"/>
                <c:pt idx="0">
                  <c:v>0.74794520547945198</c:v>
                </c:pt>
                <c:pt idx="1">
                  <c:v>0.25205479452054796</c:v>
                </c:pt>
              </c:numCache>
            </c:numRef>
          </c:val>
          <c:extLst>
            <c:ext xmlns:c16="http://schemas.microsoft.com/office/drawing/2014/chart" uri="{C3380CC4-5D6E-409C-BE32-E72D297353CC}">
              <c16:uniqueId val="{00000004-F00E-4584-B5F2-B0577C9D3177}"/>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847C-4B0C-8A9B-23A904A82F48}"/>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847C-4B0C-8A9B-23A904A82F48}"/>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847C-4B0C-8A9B-23A904A82F48}"/>
              </c:ext>
            </c:extLst>
          </c:dPt>
          <c:cat>
            <c:strRef>
              <c:f>Processing!$J$25:$J$27</c:f>
              <c:strCache>
                <c:ptCount val="3"/>
                <c:pt idx="0">
                  <c:v>Prototype 1</c:v>
                </c:pt>
                <c:pt idx="1">
                  <c:v>Prototype 2</c:v>
                </c:pt>
                <c:pt idx="2">
                  <c:v>Prototype 3</c:v>
                </c:pt>
              </c:strCache>
            </c:strRef>
          </c:cat>
          <c:val>
            <c:numRef>
              <c:f>Processing!$K$25:$K$27</c:f>
              <c:numCache>
                <c:formatCode>General</c:formatCode>
                <c:ptCount val="3"/>
                <c:pt idx="0">
                  <c:v>10</c:v>
                </c:pt>
                <c:pt idx="1">
                  <c:v>0</c:v>
                </c:pt>
                <c:pt idx="2">
                  <c:v>0</c:v>
                </c:pt>
              </c:numCache>
            </c:numRef>
          </c:val>
          <c:extLst>
            <c:ext xmlns:c16="http://schemas.microsoft.com/office/drawing/2014/chart" uri="{C3380CC4-5D6E-409C-BE32-E72D297353CC}">
              <c16:uniqueId val="{00000006-847C-4B0C-8A9B-23A904A82F48}"/>
            </c:ext>
          </c:extLst>
        </c:ser>
        <c:dLbls>
          <c:showLegendKey val="0"/>
          <c:showVal val="0"/>
          <c:showCatName val="0"/>
          <c:showSerName val="0"/>
          <c:showPercent val="0"/>
          <c:showBubbleSize val="0"/>
        </c:dLbls>
        <c:gapWidth val="5"/>
        <c:overlap val="-27"/>
        <c:axId val="239902559"/>
        <c:axId val="239903999"/>
      </c:barChart>
      <c:catAx>
        <c:axId val="239902559"/>
        <c:scaling>
          <c:orientation val="minMax"/>
        </c:scaling>
        <c:delete val="1"/>
        <c:axPos val="b"/>
        <c:numFmt formatCode="General" sourceLinked="1"/>
        <c:majorTickMark val="none"/>
        <c:minorTickMark val="none"/>
        <c:tickLblPos val="high"/>
        <c:crossAx val="239903999"/>
        <c:crosses val="autoZero"/>
        <c:auto val="1"/>
        <c:lblAlgn val="ctr"/>
        <c:lblOffset val="100"/>
        <c:noMultiLvlLbl val="0"/>
      </c:catAx>
      <c:valAx>
        <c:axId val="239903999"/>
        <c:scaling>
          <c:orientation val="minMax"/>
          <c:max val="10"/>
          <c:min val="0"/>
        </c:scaling>
        <c:delete val="1"/>
        <c:axPos val="l"/>
        <c:numFmt formatCode="General" sourceLinked="1"/>
        <c:majorTickMark val="none"/>
        <c:minorTickMark val="none"/>
        <c:tickLblPos val="nextTo"/>
        <c:crossAx val="23990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228600" dist="114300" dir="8100000" algn="tr" rotWithShape="0">
                <a:prstClr val="black">
                  <a:alpha val="80000"/>
                </a:prstClr>
              </a:outerShdw>
            </a:effectLst>
          </c:spPr>
          <c:dPt>
            <c:idx val="0"/>
            <c:bubble3D val="0"/>
            <c:spPr>
              <a:gradFill>
                <a:gsLst>
                  <a:gs pos="100000">
                    <a:srgbClr val="30EDFD"/>
                  </a:gs>
                  <a:gs pos="16000">
                    <a:srgbClr val="3128C3"/>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1-DB7D-4137-8705-A599706CE3C8}"/>
              </c:ext>
            </c:extLst>
          </c:dPt>
          <c:dPt>
            <c:idx val="1"/>
            <c:bubble3D val="0"/>
            <c:spPr>
              <a:gradFill>
                <a:gsLst>
                  <a:gs pos="100000">
                    <a:srgbClr val="9B2EDC"/>
                  </a:gs>
                  <a:gs pos="14000">
                    <a:srgbClr val="4A1FC4"/>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3-DB7D-4137-8705-A599706CE3C8}"/>
              </c:ext>
            </c:extLst>
          </c:dPt>
          <c:val>
            <c:numRef>
              <c:f>Processing!$N$1:$O$1</c:f>
              <c:numCache>
                <c:formatCode>0%</c:formatCode>
                <c:ptCount val="2"/>
                <c:pt idx="0">
                  <c:v>0.37072749999999999</c:v>
                </c:pt>
                <c:pt idx="1">
                  <c:v>0.62927250000000001</c:v>
                </c:pt>
              </c:numCache>
            </c:numRef>
          </c:val>
          <c:extLst>
            <c:ext xmlns:c16="http://schemas.microsoft.com/office/drawing/2014/chart" uri="{C3380CC4-5D6E-409C-BE32-E72D297353CC}">
              <c16:uniqueId val="{00000004-DB7D-4137-8705-A599706CE3C8}"/>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2"/>
          <c:order val="0"/>
          <c:tx>
            <c:strRef>
              <c:f>Processing!$B$1</c:f>
              <c:strCache>
                <c:ptCount val="1"/>
                <c:pt idx="0">
                  <c:v>Actual</c:v>
                </c:pt>
              </c:strCache>
            </c:strRef>
          </c:tx>
          <c:spPr>
            <a:ln w="19050" cap="rnd">
              <a:solidFill>
                <a:srgbClr val="2B31B3"/>
              </a:solidFill>
              <a:round/>
            </a:ln>
            <a:effectLst/>
          </c:spPr>
          <c:marker>
            <c:symbol val="none"/>
          </c:marker>
          <c:val>
            <c:numRef>
              <c:f>Processing!$B$2:$B$13</c:f>
              <c:numCache>
                <c:formatCode>0%</c:formatCode>
                <c:ptCount val="12"/>
                <c:pt idx="0">
                  <c:v>0.9</c:v>
                </c:pt>
                <c:pt idx="1">
                  <c:v>0.7</c:v>
                </c:pt>
                <c:pt idx="2">
                  <c:v>0.8</c:v>
                </c:pt>
                <c:pt idx="3">
                  <c:v>0.55000000000000004</c:v>
                </c:pt>
                <c:pt idx="4">
                  <c:v>0.45</c:v>
                </c:pt>
                <c:pt idx="5">
                  <c:v>0.5</c:v>
                </c:pt>
                <c:pt idx="6">
                  <c:v>0.3</c:v>
                </c:pt>
                <c:pt idx="7">
                  <c:v>0.35</c:v>
                </c:pt>
                <c:pt idx="8">
                  <c:v>0.2</c:v>
                </c:pt>
                <c:pt idx="9">
                  <c:v>0.25</c:v>
                </c:pt>
                <c:pt idx="10">
                  <c:v>0.15</c:v>
                </c:pt>
                <c:pt idx="11">
                  <c:v>0.2</c:v>
                </c:pt>
              </c:numCache>
            </c:numRef>
          </c:val>
          <c:smooth val="1"/>
          <c:extLst>
            <c:ext xmlns:c16="http://schemas.microsoft.com/office/drawing/2014/chart" uri="{C3380CC4-5D6E-409C-BE32-E72D297353CC}">
              <c16:uniqueId val="{00000000-E6D0-41FB-B092-B82A106EF099}"/>
            </c:ext>
          </c:extLst>
        </c:ser>
        <c:ser>
          <c:idx val="0"/>
          <c:order val="1"/>
          <c:tx>
            <c:strRef>
              <c:f>Processing!$C$1</c:f>
              <c:strCache>
                <c:ptCount val="1"/>
                <c:pt idx="0">
                  <c:v>Progress</c:v>
                </c:pt>
              </c:strCache>
            </c:strRef>
          </c:tx>
          <c:spPr>
            <a:ln w="19050" cap="rnd">
              <a:solidFill>
                <a:srgbClr val="A2D8F0"/>
              </a:solidFill>
              <a:round/>
            </a:ln>
            <a:effectLst>
              <a:glow rad="63500">
                <a:schemeClr val="accent1">
                  <a:satMod val="175000"/>
                  <a:alpha val="40000"/>
                </a:schemeClr>
              </a:glow>
              <a:outerShdw blurRad="127000" dist="50800" dir="5400000" sx="105000" sy="105000" algn="t" rotWithShape="0">
                <a:srgbClr val="0000FF"/>
              </a:outerShdw>
            </a:effectLst>
          </c:spPr>
          <c:marker>
            <c:symbol val="none"/>
          </c:marker>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Processing!$C$2:$C$13</c:f>
              <c:numCache>
                <c:formatCode>0%</c:formatCode>
                <c:ptCount val="12"/>
                <c:pt idx="0">
                  <c:v>#N/A</c:v>
                </c:pt>
                <c:pt idx="1">
                  <c:v>#N/A</c:v>
                </c:pt>
                <c:pt idx="2">
                  <c:v>#N/A</c:v>
                </c:pt>
                <c:pt idx="3">
                  <c:v>#N/A</c:v>
                </c:pt>
                <c:pt idx="4">
                  <c:v>#N/A</c:v>
                </c:pt>
                <c:pt idx="5">
                  <c:v>#N/A</c:v>
                </c:pt>
                <c:pt idx="6">
                  <c:v>#N/A</c:v>
                </c:pt>
                <c:pt idx="7">
                  <c:v>#N/A</c:v>
                </c:pt>
                <c:pt idx="8">
                  <c:v>0.2</c:v>
                </c:pt>
                <c:pt idx="9">
                  <c:v>0.25</c:v>
                </c:pt>
                <c:pt idx="10">
                  <c:v>0.15</c:v>
                </c:pt>
                <c:pt idx="11">
                  <c:v>0.2</c:v>
                </c:pt>
              </c:numCache>
            </c:numRef>
          </c:val>
          <c:smooth val="1"/>
          <c:extLst>
            <c:ext xmlns:c16="http://schemas.microsoft.com/office/drawing/2014/chart" uri="{C3380CC4-5D6E-409C-BE32-E72D297353CC}">
              <c16:uniqueId val="{00000001-E6D0-41FB-B092-B82A106EF099}"/>
            </c:ext>
          </c:extLst>
        </c:ser>
        <c:ser>
          <c:idx val="1"/>
          <c:order val="2"/>
          <c:tx>
            <c:strRef>
              <c:f>Processing!$D$1</c:f>
              <c:strCache>
                <c:ptCount val="1"/>
                <c:pt idx="0">
                  <c:v>Target</c:v>
                </c:pt>
              </c:strCache>
            </c:strRef>
          </c:tx>
          <c:spPr>
            <a:ln w="12700" cap="rnd">
              <a:solidFill>
                <a:schemeClr val="bg1"/>
              </a:solidFill>
              <a:round/>
            </a:ln>
            <a:effectLst/>
          </c:spPr>
          <c:marker>
            <c:symbol val="circle"/>
            <c:size val="6"/>
            <c:spPr>
              <a:solidFill>
                <a:srgbClr val="10004C"/>
              </a:solidFill>
              <a:ln w="9525">
                <a:solidFill>
                  <a:schemeClr val="bg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lumMod val="65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Processing!$A$2:$A$13</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Processing!$D$2:$D$13</c:f>
              <c:numCache>
                <c:formatCode>0%</c:formatCode>
                <c:ptCount val="12"/>
                <c:pt idx="0">
                  <c:v>1</c:v>
                </c:pt>
                <c:pt idx="1">
                  <c:v>0.95</c:v>
                </c:pt>
                <c:pt idx="2">
                  <c:v>0.9</c:v>
                </c:pt>
                <c:pt idx="3">
                  <c:v>0.85</c:v>
                </c:pt>
                <c:pt idx="4">
                  <c:v>0.8</c:v>
                </c:pt>
                <c:pt idx="5">
                  <c:v>0.7</c:v>
                </c:pt>
                <c:pt idx="6">
                  <c:v>0.6</c:v>
                </c:pt>
                <c:pt idx="7">
                  <c:v>0.5</c:v>
                </c:pt>
                <c:pt idx="8">
                  <c:v>0.4</c:v>
                </c:pt>
                <c:pt idx="9">
                  <c:v>0.3</c:v>
                </c:pt>
                <c:pt idx="10">
                  <c:v>0.2</c:v>
                </c:pt>
                <c:pt idx="11">
                  <c:v>0.1</c:v>
                </c:pt>
              </c:numCache>
            </c:numRef>
          </c:val>
          <c:smooth val="0"/>
          <c:extLst>
            <c:ext xmlns:c16="http://schemas.microsoft.com/office/drawing/2014/chart" uri="{C3380CC4-5D6E-409C-BE32-E72D297353CC}">
              <c16:uniqueId val="{00000002-E6D0-41FB-B092-B82A106EF099}"/>
            </c:ext>
          </c:extLst>
        </c:ser>
        <c:dLbls>
          <c:showLegendKey val="0"/>
          <c:showVal val="0"/>
          <c:showCatName val="0"/>
          <c:showSerName val="0"/>
          <c:showPercent val="0"/>
          <c:showBubbleSize val="0"/>
        </c:dLbls>
        <c:marker val="1"/>
        <c:smooth val="0"/>
        <c:axId val="354359679"/>
        <c:axId val="354356799"/>
      </c:lineChart>
      <c:scatterChart>
        <c:scatterStyle val="lineMarker"/>
        <c:varyColors val="0"/>
        <c:ser>
          <c:idx val="3"/>
          <c:order val="3"/>
          <c:tx>
            <c:strRef>
              <c:f>Processing!$E$1</c:f>
              <c:strCache>
                <c:ptCount val="1"/>
                <c:pt idx="0">
                  <c:v>Cursor</c:v>
                </c:pt>
              </c:strCache>
            </c:strRef>
          </c:tx>
          <c:spPr>
            <a:ln w="25400" cap="rnd">
              <a:noFill/>
              <a:round/>
            </a:ln>
            <a:effectLst>
              <a:glow rad="254000">
                <a:srgbClr val="0000FF">
                  <a:alpha val="40000"/>
                </a:srgbClr>
              </a:glow>
            </a:effectLst>
          </c:spPr>
          <c:marker>
            <c:symbol val="circle"/>
            <c:size val="5"/>
            <c:spPr>
              <a:solidFill>
                <a:srgbClr val="0A002F"/>
              </a:solidFill>
              <a:ln w="9525">
                <a:solidFill>
                  <a:srgbClr val="A2D8F0"/>
                </a:solidFill>
              </a:ln>
              <a:effectLst>
                <a:glow rad="254000">
                  <a:srgbClr val="0000FF">
                    <a:alpha val="40000"/>
                  </a:srgb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rgbClr val="A2D8F0"/>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Processing!$E$2:$E$13</c:f>
              <c:numCache>
                <c:formatCode>0%</c:formatCode>
                <c:ptCount val="12"/>
                <c:pt idx="0">
                  <c:v>#N/A</c:v>
                </c:pt>
                <c:pt idx="1">
                  <c:v>#N/A</c:v>
                </c:pt>
                <c:pt idx="2">
                  <c:v>#N/A</c:v>
                </c:pt>
                <c:pt idx="3">
                  <c:v>#N/A</c:v>
                </c:pt>
                <c:pt idx="4">
                  <c:v>#N/A</c:v>
                </c:pt>
                <c:pt idx="5">
                  <c:v>#N/A</c:v>
                </c:pt>
                <c:pt idx="6">
                  <c:v>#N/A</c:v>
                </c:pt>
                <c:pt idx="7">
                  <c:v>#N/A</c:v>
                </c:pt>
                <c:pt idx="8">
                  <c:v>0.2</c:v>
                </c:pt>
                <c:pt idx="9">
                  <c:v>#N/A</c:v>
                </c:pt>
                <c:pt idx="10">
                  <c:v>#N/A</c:v>
                </c:pt>
                <c:pt idx="11">
                  <c:v>#N/A</c:v>
                </c:pt>
              </c:numCache>
            </c:numRef>
          </c:yVal>
          <c:smooth val="0"/>
          <c:extLst>
            <c:ext xmlns:c16="http://schemas.microsoft.com/office/drawing/2014/chart" uri="{C3380CC4-5D6E-409C-BE32-E72D297353CC}">
              <c16:uniqueId val="{00000003-E6D0-41FB-B092-B82A106EF099}"/>
            </c:ext>
          </c:extLst>
        </c:ser>
        <c:dLbls>
          <c:showLegendKey val="0"/>
          <c:showVal val="0"/>
          <c:showCatName val="0"/>
          <c:showSerName val="0"/>
          <c:showPercent val="0"/>
          <c:showBubbleSize val="0"/>
        </c:dLbls>
        <c:axId val="354359679"/>
        <c:axId val="354356799"/>
      </c:scatterChart>
      <c:catAx>
        <c:axId val="354359679"/>
        <c:scaling>
          <c:orientation val="minMax"/>
        </c:scaling>
        <c:delete val="1"/>
        <c:axPos val="b"/>
        <c:numFmt formatCode="General" sourceLinked="1"/>
        <c:majorTickMark val="none"/>
        <c:minorTickMark val="none"/>
        <c:tickLblPos val="nextTo"/>
        <c:crossAx val="354356799"/>
        <c:crosses val="autoZero"/>
        <c:auto val="1"/>
        <c:lblAlgn val="ctr"/>
        <c:lblOffset val="100"/>
        <c:noMultiLvlLbl val="0"/>
      </c:catAx>
      <c:valAx>
        <c:axId val="354356799"/>
        <c:scaling>
          <c:orientation val="minMax"/>
        </c:scaling>
        <c:delete val="1"/>
        <c:axPos val="l"/>
        <c:numFmt formatCode="0%" sourceLinked="1"/>
        <c:majorTickMark val="none"/>
        <c:minorTickMark val="none"/>
        <c:tickLblPos val="nextTo"/>
        <c:crossAx val="35435967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a:gsLst>
                <a:gs pos="100000">
                  <a:srgbClr val="D73BFE">
                    <a:alpha val="50000"/>
                  </a:srgbClr>
                </a:gs>
                <a:gs pos="0">
                  <a:srgbClr val="2C48D4">
                    <a:alpha val="50000"/>
                  </a:srgbClr>
                </a:gs>
              </a:gsLst>
              <a:lin ang="6000000" scaled="0"/>
            </a:gradFill>
            <a:ln>
              <a:solidFill>
                <a:schemeClr val="tx2">
                  <a:lumMod val="25000"/>
                  <a:lumOff val="75000"/>
                </a:schemeClr>
              </a:solidFill>
            </a:ln>
            <a:effectLst>
              <a:outerShdw blurRad="50800" dist="38100" dir="8100000" algn="tr" rotWithShape="0">
                <a:prstClr val="black">
                  <a:alpha val="40000"/>
                </a:prstClr>
              </a:outerShdw>
            </a:effectLst>
          </c:spPr>
          <c:cat>
            <c:strRef>
              <c:f>Processing!$J$2:$J$6</c:f>
              <c:strCache>
                <c:ptCount val="5"/>
                <c:pt idx="0">
                  <c:v>P</c:v>
                </c:pt>
                <c:pt idx="1">
                  <c:v>D</c:v>
                </c:pt>
                <c:pt idx="2">
                  <c:v>I</c:v>
                </c:pt>
                <c:pt idx="3">
                  <c:v>P</c:v>
                </c:pt>
                <c:pt idx="4">
                  <c:v>R</c:v>
                </c:pt>
              </c:strCache>
            </c:strRef>
          </c:cat>
          <c:val>
            <c:numRef>
              <c:f>Processing!$K$2:$K$6</c:f>
              <c:numCache>
                <c:formatCode>_("$"* #,##0_);_("$"* \(#,##0\);_("$"* "-"??_);_(@_)</c:formatCode>
                <c:ptCount val="5"/>
                <c:pt idx="0">
                  <c:v>2413</c:v>
                </c:pt>
                <c:pt idx="1">
                  <c:v>3819</c:v>
                </c:pt>
                <c:pt idx="2">
                  <c:v>4950</c:v>
                </c:pt>
                <c:pt idx="3">
                  <c:v>2520</c:v>
                </c:pt>
                <c:pt idx="4">
                  <c:v>2118</c:v>
                </c:pt>
              </c:numCache>
            </c:numRef>
          </c:val>
          <c:extLst>
            <c:ext xmlns:c16="http://schemas.microsoft.com/office/drawing/2014/chart" uri="{C3380CC4-5D6E-409C-BE32-E72D297353CC}">
              <c16:uniqueId val="{00000000-64B9-485B-B9E4-7C6C0AFFB4CB}"/>
            </c:ext>
          </c:extLst>
        </c:ser>
        <c:dLbls>
          <c:showLegendKey val="0"/>
          <c:showVal val="0"/>
          <c:showCatName val="0"/>
          <c:showSerName val="0"/>
          <c:showPercent val="0"/>
          <c:showBubbleSize val="0"/>
        </c:dLbls>
        <c:axId val="354341439"/>
        <c:axId val="354351999"/>
      </c:radarChart>
      <c:catAx>
        <c:axId val="354341439"/>
        <c:scaling>
          <c:orientation val="minMax"/>
        </c:scaling>
        <c:delete val="1"/>
        <c:axPos val="b"/>
        <c:numFmt formatCode="General" sourceLinked="1"/>
        <c:majorTickMark val="none"/>
        <c:minorTickMark val="none"/>
        <c:tickLblPos val="nextTo"/>
        <c:crossAx val="354351999"/>
        <c:crosses val="autoZero"/>
        <c:auto val="1"/>
        <c:lblAlgn val="ctr"/>
        <c:lblOffset val="100"/>
        <c:noMultiLvlLbl val="0"/>
      </c:catAx>
      <c:valAx>
        <c:axId val="354351999"/>
        <c:scaling>
          <c:orientation val="minMax"/>
        </c:scaling>
        <c:delete val="1"/>
        <c:axPos val="l"/>
        <c:majorGridlines>
          <c:spPr>
            <a:ln w="9525" cap="flat" cmpd="sng" algn="ctr">
              <a:solidFill>
                <a:srgbClr val="5B08A0"/>
              </a:solidFill>
              <a:round/>
            </a:ln>
            <a:effectLst/>
          </c:spPr>
        </c:majorGridlines>
        <c:numFmt formatCode="_(&quot;$&quot;* #,##0_);_(&quot;$&quot;* \(#,##0\);_(&quot;$&quot;* &quot;-&quot;??_);_(@_)" sourceLinked="1"/>
        <c:majorTickMark val="out"/>
        <c:minorTickMark val="none"/>
        <c:tickLblPos val="nextTo"/>
        <c:crossAx val="35434143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Processing!$K$16</c:f>
              <c:strCache>
                <c:ptCount val="1"/>
                <c:pt idx="0">
                  <c:v>back</c:v>
                </c:pt>
              </c:strCache>
            </c:strRef>
          </c:tx>
          <c:spPr>
            <a:solidFill>
              <a:schemeClr val="accent1"/>
            </a:solidFill>
            <a:ln w="19050">
              <a:solidFill>
                <a:srgbClr val="0A002F"/>
              </a:solidFill>
            </a:ln>
            <a:effectLst/>
          </c:spPr>
          <c:invertIfNegative val="0"/>
          <c:dPt>
            <c:idx val="0"/>
            <c:invertIfNegative val="0"/>
            <c:bubble3D val="0"/>
            <c:spPr>
              <a:solidFill>
                <a:srgbClr val="30EDFD"/>
              </a:solidFill>
              <a:ln w="19050">
                <a:solidFill>
                  <a:srgbClr val="0A002F"/>
                </a:solidFill>
              </a:ln>
              <a:effectLst/>
            </c:spPr>
            <c:extLst>
              <c:ext xmlns:c16="http://schemas.microsoft.com/office/drawing/2014/chart" uri="{C3380CC4-5D6E-409C-BE32-E72D297353CC}">
                <c16:uniqueId val="{00000001-E98C-4867-B787-477E8E7423C1}"/>
              </c:ext>
            </c:extLst>
          </c:dPt>
          <c:dPt>
            <c:idx val="1"/>
            <c:invertIfNegative val="0"/>
            <c:bubble3D val="0"/>
            <c:spPr>
              <a:solidFill>
                <a:srgbClr val="30EDFD"/>
              </a:solidFill>
              <a:ln w="19050">
                <a:solidFill>
                  <a:srgbClr val="0A002F"/>
                </a:solidFill>
              </a:ln>
              <a:effectLst/>
            </c:spPr>
            <c:extLst>
              <c:ext xmlns:c16="http://schemas.microsoft.com/office/drawing/2014/chart" uri="{C3380CC4-5D6E-409C-BE32-E72D297353CC}">
                <c16:uniqueId val="{00000003-E98C-4867-B787-477E8E7423C1}"/>
              </c:ext>
            </c:extLst>
          </c:dPt>
          <c:dPt>
            <c:idx val="2"/>
            <c:invertIfNegative val="0"/>
            <c:bubble3D val="0"/>
            <c:spPr>
              <a:solidFill>
                <a:srgbClr val="7B5EFD"/>
              </a:solidFill>
              <a:ln w="19050">
                <a:solidFill>
                  <a:srgbClr val="0A002F"/>
                </a:solidFill>
              </a:ln>
              <a:effectLst/>
            </c:spPr>
            <c:extLst>
              <c:ext xmlns:c16="http://schemas.microsoft.com/office/drawing/2014/chart" uri="{C3380CC4-5D6E-409C-BE32-E72D297353CC}">
                <c16:uniqueId val="{00000005-E98C-4867-B787-477E8E7423C1}"/>
              </c:ext>
            </c:extLst>
          </c:dPt>
          <c:dPt>
            <c:idx val="3"/>
            <c:invertIfNegative val="0"/>
            <c:bubble3D val="0"/>
            <c:spPr>
              <a:solidFill>
                <a:srgbClr val="FD447B"/>
              </a:solidFill>
              <a:ln w="19050">
                <a:solidFill>
                  <a:srgbClr val="0A002F"/>
                </a:solidFill>
              </a:ln>
              <a:effectLst/>
            </c:spPr>
            <c:extLst>
              <c:ext xmlns:c16="http://schemas.microsoft.com/office/drawing/2014/chart" uri="{C3380CC4-5D6E-409C-BE32-E72D297353CC}">
                <c16:uniqueId val="{00000007-E98C-4867-B787-477E8E7423C1}"/>
              </c:ext>
            </c:extLst>
          </c:dPt>
          <c:val>
            <c:numRef>
              <c:f>Processing!$K$17:$K$20</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8-E98C-4867-B787-477E8E7423C1}"/>
            </c:ext>
          </c:extLst>
        </c:ser>
        <c:dLbls>
          <c:showLegendKey val="0"/>
          <c:showVal val="0"/>
          <c:showCatName val="0"/>
          <c:showSerName val="0"/>
          <c:showPercent val="0"/>
          <c:showBubbleSize val="0"/>
        </c:dLbls>
        <c:gapWidth val="0"/>
        <c:overlap val="-27"/>
        <c:axId val="1050108047"/>
        <c:axId val="1050108527"/>
      </c:barChart>
      <c:catAx>
        <c:axId val="1050108047"/>
        <c:scaling>
          <c:orientation val="minMax"/>
        </c:scaling>
        <c:delete val="1"/>
        <c:axPos val="b"/>
        <c:majorTickMark val="none"/>
        <c:minorTickMark val="none"/>
        <c:tickLblPos val="nextTo"/>
        <c:crossAx val="1050108527"/>
        <c:crosses val="autoZero"/>
        <c:auto val="1"/>
        <c:lblAlgn val="ctr"/>
        <c:lblOffset val="100"/>
        <c:noMultiLvlLbl val="0"/>
      </c:catAx>
      <c:valAx>
        <c:axId val="1050108527"/>
        <c:scaling>
          <c:orientation val="minMax"/>
          <c:max val="10"/>
          <c:min val="0"/>
        </c:scaling>
        <c:delete val="1"/>
        <c:axPos val="l"/>
        <c:numFmt formatCode="General" sourceLinked="1"/>
        <c:majorTickMark val="none"/>
        <c:minorTickMark val="none"/>
        <c:tickLblPos val="nextTo"/>
        <c:crossAx val="105010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Processing!$I$16</c:f>
              <c:strCache>
                <c:ptCount val="1"/>
                <c:pt idx="0">
                  <c:v>Sprint</c:v>
                </c:pt>
              </c:strCache>
            </c:strRef>
          </c:tx>
          <c:spPr>
            <a:ln>
              <a:solidFill>
                <a:srgbClr val="0A002F"/>
              </a:solidFill>
            </a:ln>
          </c:spPr>
          <c:dPt>
            <c:idx val="0"/>
            <c:bubble3D val="0"/>
            <c:spPr>
              <a:solidFill>
                <a:srgbClr val="2069F0"/>
              </a:solidFill>
              <a:ln w="19050">
                <a:solidFill>
                  <a:srgbClr val="0A002F"/>
                </a:solidFill>
              </a:ln>
              <a:effectLst/>
            </c:spPr>
            <c:extLst>
              <c:ext xmlns:c16="http://schemas.microsoft.com/office/drawing/2014/chart" uri="{C3380CC4-5D6E-409C-BE32-E72D297353CC}">
                <c16:uniqueId val="{00000001-5B96-4814-9025-8704FE602432}"/>
              </c:ext>
            </c:extLst>
          </c:dPt>
          <c:dPt>
            <c:idx val="1"/>
            <c:bubble3D val="0"/>
            <c:spPr>
              <a:solidFill>
                <a:srgbClr val="CC00CC"/>
              </a:solidFill>
              <a:ln w="19050">
                <a:solidFill>
                  <a:srgbClr val="0A002F"/>
                </a:solidFill>
              </a:ln>
              <a:effectLst/>
            </c:spPr>
            <c:extLst>
              <c:ext xmlns:c16="http://schemas.microsoft.com/office/drawing/2014/chart" uri="{C3380CC4-5D6E-409C-BE32-E72D297353CC}">
                <c16:uniqueId val="{00000003-5B96-4814-9025-8704FE602432}"/>
              </c:ext>
            </c:extLst>
          </c:dPt>
          <c:dPt>
            <c:idx val="2"/>
            <c:bubble3D val="0"/>
            <c:spPr>
              <a:solidFill>
                <a:srgbClr val="CC00CC"/>
              </a:solidFill>
              <a:ln w="19050">
                <a:solidFill>
                  <a:srgbClr val="0A002F"/>
                </a:solidFill>
              </a:ln>
              <a:effectLst/>
            </c:spPr>
            <c:extLst>
              <c:ext xmlns:c16="http://schemas.microsoft.com/office/drawing/2014/chart" uri="{C3380CC4-5D6E-409C-BE32-E72D297353CC}">
                <c16:uniqueId val="{00000005-5B96-4814-9025-8704FE602432}"/>
              </c:ext>
            </c:extLst>
          </c:dPt>
          <c:dPt>
            <c:idx val="3"/>
            <c:bubble3D val="0"/>
            <c:spPr>
              <a:solidFill>
                <a:srgbClr val="30EDFD"/>
              </a:solidFill>
              <a:ln w="19050">
                <a:solidFill>
                  <a:srgbClr val="0A002F"/>
                </a:solidFill>
              </a:ln>
              <a:effectLst/>
            </c:spPr>
            <c:extLst>
              <c:ext xmlns:c16="http://schemas.microsoft.com/office/drawing/2014/chart" uri="{C3380CC4-5D6E-409C-BE32-E72D297353CC}">
                <c16:uniqueId val="{00000007-5B96-4814-9025-8704FE602432}"/>
              </c:ext>
            </c:extLst>
          </c:dPt>
          <c:dPt>
            <c:idx val="4"/>
            <c:bubble3D val="0"/>
            <c:spPr>
              <a:solidFill>
                <a:srgbClr val="9933FF"/>
              </a:solidFill>
              <a:ln w="19050">
                <a:solidFill>
                  <a:srgbClr val="0A002F"/>
                </a:solidFill>
              </a:ln>
              <a:effectLst/>
            </c:spPr>
            <c:extLst>
              <c:ext xmlns:c16="http://schemas.microsoft.com/office/drawing/2014/chart" uri="{C3380CC4-5D6E-409C-BE32-E72D297353CC}">
                <c16:uniqueId val="{00000009-5B96-4814-9025-8704FE602432}"/>
              </c:ext>
            </c:extLst>
          </c:dPt>
          <c:dPt>
            <c:idx val="5"/>
            <c:bubble3D val="0"/>
            <c:spPr>
              <a:solidFill>
                <a:srgbClr val="2069F0"/>
              </a:solidFill>
              <a:ln w="19050">
                <a:solidFill>
                  <a:srgbClr val="0A002F"/>
                </a:solidFill>
              </a:ln>
              <a:effectLst/>
            </c:spPr>
            <c:extLst>
              <c:ext xmlns:c16="http://schemas.microsoft.com/office/drawing/2014/chart" uri="{C3380CC4-5D6E-409C-BE32-E72D297353CC}">
                <c16:uniqueId val="{0000000B-5B96-4814-9025-8704FE602432}"/>
              </c:ext>
            </c:extLst>
          </c:dPt>
          <c:dPt>
            <c:idx val="6"/>
            <c:bubble3D val="0"/>
            <c:spPr>
              <a:solidFill>
                <a:srgbClr val="2069F0"/>
              </a:solidFill>
              <a:ln w="19050">
                <a:solidFill>
                  <a:srgbClr val="0A002F"/>
                </a:solidFill>
              </a:ln>
              <a:effectLst/>
            </c:spPr>
            <c:extLst>
              <c:ext xmlns:c16="http://schemas.microsoft.com/office/drawing/2014/chart" uri="{C3380CC4-5D6E-409C-BE32-E72D297353CC}">
                <c16:uniqueId val="{0000000D-5B96-4814-9025-8704FE602432}"/>
              </c:ext>
            </c:extLst>
          </c:dPt>
          <c:dPt>
            <c:idx val="7"/>
            <c:bubble3D val="0"/>
            <c:spPr>
              <a:solidFill>
                <a:srgbClr val="2069F0"/>
              </a:solidFill>
              <a:ln w="19050">
                <a:solidFill>
                  <a:srgbClr val="0A002F"/>
                </a:solidFill>
              </a:ln>
              <a:effectLst/>
            </c:spPr>
            <c:extLst>
              <c:ext xmlns:c16="http://schemas.microsoft.com/office/drawing/2014/chart" uri="{C3380CC4-5D6E-409C-BE32-E72D297353CC}">
                <c16:uniqueId val="{0000000F-5B96-4814-9025-8704FE602432}"/>
              </c:ext>
            </c:extLst>
          </c:dPt>
          <c:val>
            <c:numRef>
              <c:f>Processing!$I$19:$I$26</c:f>
              <c:numCache>
                <c:formatCode>General</c:formatCode>
                <c:ptCount val="8"/>
                <c:pt idx="0">
                  <c:v>10</c:v>
                </c:pt>
                <c:pt idx="1">
                  <c:v>10</c:v>
                </c:pt>
                <c:pt idx="2">
                  <c:v>10</c:v>
                </c:pt>
                <c:pt idx="3">
                  <c:v>10</c:v>
                </c:pt>
                <c:pt idx="4">
                  <c:v>10</c:v>
                </c:pt>
                <c:pt idx="5">
                  <c:v>10</c:v>
                </c:pt>
                <c:pt idx="6">
                  <c:v>10</c:v>
                </c:pt>
                <c:pt idx="7">
                  <c:v>10</c:v>
                </c:pt>
              </c:numCache>
            </c:numRef>
          </c:val>
          <c:extLst>
            <c:ext xmlns:c16="http://schemas.microsoft.com/office/drawing/2014/chart" uri="{C3380CC4-5D6E-409C-BE32-E72D297353CC}">
              <c16:uniqueId val="{00000010-5B96-4814-9025-8704FE602432}"/>
            </c:ext>
          </c:extLst>
        </c:ser>
        <c:dLbls>
          <c:showLegendKey val="0"/>
          <c:showVal val="0"/>
          <c:showCatName val="0"/>
          <c:showSerName val="0"/>
          <c:showPercent val="0"/>
          <c:showBubbleSize val="0"/>
          <c:showLeaderLines val="1"/>
        </c:dLbls>
        <c:firstSliceAng val="0"/>
        <c:holeSize val="75"/>
      </c:doughnutChart>
      <c:doughnutChart>
        <c:varyColors val="1"/>
        <c:ser>
          <c:idx val="1"/>
          <c:order val="1"/>
          <c:tx>
            <c:strRef>
              <c:f>Processing!$J$16</c:f>
              <c:strCache>
                <c:ptCount val="1"/>
                <c:pt idx="0">
                  <c:v>Cursor</c:v>
                </c:pt>
              </c:strCache>
            </c:strRef>
          </c:tx>
          <c:spPr>
            <a:ln>
              <a:solidFill>
                <a:srgbClr val="0A002F"/>
              </a:solidFill>
            </a:ln>
          </c:spPr>
          <c:dPt>
            <c:idx val="0"/>
            <c:bubble3D val="0"/>
            <c:spPr>
              <a:noFill/>
              <a:ln w="19050">
                <a:solidFill>
                  <a:srgbClr val="0A002F"/>
                </a:solidFill>
              </a:ln>
              <a:effectLst/>
            </c:spPr>
            <c:extLst>
              <c:ext xmlns:c16="http://schemas.microsoft.com/office/drawing/2014/chart" uri="{C3380CC4-5D6E-409C-BE32-E72D297353CC}">
                <c16:uniqueId val="{00000012-5B96-4814-9025-8704FE602432}"/>
              </c:ext>
            </c:extLst>
          </c:dPt>
          <c:dPt>
            <c:idx val="1"/>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14-5B96-4814-9025-8704FE602432}"/>
              </c:ext>
            </c:extLst>
          </c:dPt>
          <c:dPt>
            <c:idx val="2"/>
            <c:bubble3D val="0"/>
            <c:spPr>
              <a:noFill/>
              <a:ln w="19050">
                <a:solidFill>
                  <a:srgbClr val="0A002F"/>
                </a:solidFill>
              </a:ln>
              <a:effectLst/>
            </c:spPr>
            <c:extLst>
              <c:ext xmlns:c16="http://schemas.microsoft.com/office/drawing/2014/chart" uri="{C3380CC4-5D6E-409C-BE32-E72D297353CC}">
                <c16:uniqueId val="{00000016-5B96-4814-9025-8704FE602432}"/>
              </c:ext>
            </c:extLst>
          </c:dPt>
          <c:val>
            <c:numRef>
              <c:f>Processing!$J$18:$J$20</c:f>
              <c:numCache>
                <c:formatCode>General</c:formatCode>
                <c:ptCount val="3"/>
                <c:pt idx="0">
                  <c:v>10</c:v>
                </c:pt>
                <c:pt idx="1">
                  <c:v>10</c:v>
                </c:pt>
                <c:pt idx="2">
                  <c:v>60</c:v>
                </c:pt>
              </c:numCache>
            </c:numRef>
          </c:val>
          <c:extLst>
            <c:ext xmlns:c16="http://schemas.microsoft.com/office/drawing/2014/chart" uri="{C3380CC4-5D6E-409C-BE32-E72D297353CC}">
              <c16:uniqueId val="{00000017-5B96-4814-9025-8704FE602432}"/>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Processing!$L$16</c:f>
              <c:strCache>
                <c:ptCount val="1"/>
                <c:pt idx="0">
                  <c:v>front1</c:v>
                </c:pt>
              </c:strCache>
            </c:strRef>
          </c:tx>
          <c:spPr>
            <a:solidFill>
              <a:srgbClr val="30EDFD"/>
            </a:solidFill>
            <a:ln>
              <a:solidFill>
                <a:srgbClr val="0A002F"/>
              </a:solidFill>
            </a:ln>
            <a:effectLst/>
          </c:spPr>
          <c:invertIfNegative val="0"/>
          <c:dPt>
            <c:idx val="0"/>
            <c:invertIfNegative val="0"/>
            <c:bubble3D val="0"/>
            <c:spPr>
              <a:solidFill>
                <a:srgbClr val="30EDFD"/>
              </a:solidFill>
              <a:ln w="19050">
                <a:solidFill>
                  <a:srgbClr val="0A002F"/>
                </a:solidFill>
              </a:ln>
              <a:effectLst/>
            </c:spPr>
            <c:extLst>
              <c:ext xmlns:c16="http://schemas.microsoft.com/office/drawing/2014/chart" uri="{C3380CC4-5D6E-409C-BE32-E72D297353CC}">
                <c16:uniqueId val="{00000001-7739-4FD1-B453-B13829910599}"/>
              </c:ext>
            </c:extLst>
          </c:dPt>
          <c:val>
            <c:numRef>
              <c:f>Processing!$L$17:$L$20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7739-4FD1-B453-B13829910599}"/>
            </c:ext>
          </c:extLst>
        </c:ser>
        <c:ser>
          <c:idx val="1"/>
          <c:order val="1"/>
          <c:tx>
            <c:strRef>
              <c:f>Processing!$M$16</c:f>
              <c:strCache>
                <c:ptCount val="1"/>
                <c:pt idx="0">
                  <c:v>front2</c:v>
                </c:pt>
              </c:strCache>
            </c:strRef>
          </c:tx>
          <c:spPr>
            <a:solidFill>
              <a:srgbClr val="30EDFD"/>
            </a:solidFill>
            <a:ln w="19050">
              <a:solidFill>
                <a:srgbClr val="0A002F"/>
              </a:solidFill>
            </a:ln>
            <a:effectLst/>
          </c:spPr>
          <c:invertIfNegative val="0"/>
          <c:dPt>
            <c:idx val="2"/>
            <c:invertIfNegative val="0"/>
            <c:bubble3D val="0"/>
            <c:spPr>
              <a:solidFill>
                <a:srgbClr val="9933FF"/>
              </a:solidFill>
              <a:ln w="19050">
                <a:solidFill>
                  <a:srgbClr val="0A002F"/>
                </a:solidFill>
              </a:ln>
              <a:effectLst/>
            </c:spPr>
            <c:extLst>
              <c:ext xmlns:c16="http://schemas.microsoft.com/office/drawing/2014/chart" uri="{C3380CC4-5D6E-409C-BE32-E72D297353CC}">
                <c16:uniqueId val="{00000004-7739-4FD1-B453-B13829910599}"/>
              </c:ext>
            </c:extLst>
          </c:dPt>
          <c:val>
            <c:numRef>
              <c:f>Processing!$M$17:$M$20</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5-7739-4FD1-B453-B13829910599}"/>
            </c:ext>
          </c:extLst>
        </c:ser>
        <c:ser>
          <c:idx val="2"/>
          <c:order val="2"/>
          <c:tx>
            <c:strRef>
              <c:f>Processing!$N$16</c:f>
              <c:strCache>
                <c:ptCount val="1"/>
                <c:pt idx="0">
                  <c:v>front3</c:v>
                </c:pt>
              </c:strCache>
            </c:strRef>
          </c:tx>
          <c:spPr>
            <a:solidFill>
              <a:schemeClr val="bg1">
                <a:alpha val="50000"/>
              </a:schemeClr>
            </a:solidFill>
            <a:ln w="19050">
              <a:solidFill>
                <a:srgbClr val="0A002F"/>
              </a:solidFill>
            </a:ln>
            <a:effectLst/>
          </c:spPr>
          <c:invertIfNegative val="0"/>
          <c:dPt>
            <c:idx val="0"/>
            <c:invertIfNegative val="0"/>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07-7739-4FD1-B453-B13829910599}"/>
              </c:ext>
            </c:extLst>
          </c:dPt>
          <c:dPt>
            <c:idx val="1"/>
            <c:invertIfNegative val="0"/>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09-7739-4FD1-B453-B13829910599}"/>
              </c:ext>
            </c:extLst>
          </c:dPt>
          <c:val>
            <c:numRef>
              <c:f>Processing!$N$17:$N$20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A-7739-4FD1-B453-B13829910599}"/>
            </c:ext>
          </c:extLst>
        </c:ser>
        <c:dLbls>
          <c:showLegendKey val="0"/>
          <c:showVal val="0"/>
          <c:showCatName val="0"/>
          <c:showSerName val="0"/>
          <c:showPercent val="0"/>
          <c:showBubbleSize val="0"/>
        </c:dLbls>
        <c:gapWidth val="0"/>
        <c:overlap val="100"/>
        <c:axId val="1050119087"/>
        <c:axId val="1050094127"/>
      </c:barChart>
      <c:catAx>
        <c:axId val="1050119087"/>
        <c:scaling>
          <c:orientation val="minMax"/>
        </c:scaling>
        <c:delete val="1"/>
        <c:axPos val="b"/>
        <c:numFmt formatCode="General" sourceLinked="1"/>
        <c:majorTickMark val="none"/>
        <c:minorTickMark val="none"/>
        <c:tickLblPos val="nextTo"/>
        <c:crossAx val="1050094127"/>
        <c:crosses val="autoZero"/>
        <c:auto val="1"/>
        <c:lblAlgn val="ctr"/>
        <c:lblOffset val="100"/>
        <c:noMultiLvlLbl val="0"/>
      </c:catAx>
      <c:valAx>
        <c:axId val="1050094127"/>
        <c:scaling>
          <c:orientation val="minMax"/>
          <c:max val="10"/>
          <c:min val="0"/>
        </c:scaling>
        <c:delete val="1"/>
        <c:axPos val="l"/>
        <c:numFmt formatCode="General" sourceLinked="1"/>
        <c:majorTickMark val="none"/>
        <c:minorTickMark val="none"/>
        <c:tickLblPos val="nextTo"/>
        <c:crossAx val="105011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BA20-4A0A-B143-8F49C65B99DB}"/>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BA20-4A0A-B143-8F49C65B99DB}"/>
              </c:ext>
            </c:extLst>
          </c:dPt>
          <c:val>
            <c:numRef>
              <c:f>Processing!$M$11:$N$11</c:f>
              <c:numCache>
                <c:formatCode>0%</c:formatCode>
                <c:ptCount val="2"/>
                <c:pt idx="0">
                  <c:v>0.63636363636363635</c:v>
                </c:pt>
                <c:pt idx="1">
                  <c:v>0.36363636363636365</c:v>
                </c:pt>
              </c:numCache>
            </c:numRef>
          </c:val>
          <c:extLst>
            <c:ext xmlns:c16="http://schemas.microsoft.com/office/drawing/2014/chart" uri="{C3380CC4-5D6E-409C-BE32-E72D297353CC}">
              <c16:uniqueId val="{00000004-BA20-4A0A-B143-8F49C65B99D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D37B-4506-9BDE-D84933BFF2E0}"/>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D37B-4506-9BDE-D84933BFF2E0}"/>
              </c:ext>
            </c:extLst>
          </c:dPt>
          <c:val>
            <c:numRef>
              <c:f>Processing!$N$6:$O$6</c:f>
              <c:numCache>
                <c:formatCode>0%</c:formatCode>
                <c:ptCount val="2"/>
                <c:pt idx="0">
                  <c:v>0.74794520547945198</c:v>
                </c:pt>
                <c:pt idx="1">
                  <c:v>0.25205479452054796</c:v>
                </c:pt>
              </c:numCache>
            </c:numRef>
          </c:val>
          <c:extLst>
            <c:ext xmlns:c16="http://schemas.microsoft.com/office/drawing/2014/chart" uri="{C3380CC4-5D6E-409C-BE32-E72D297353CC}">
              <c16:uniqueId val="{00000004-D37B-4506-9BDE-D84933BFF2E0}"/>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DD36-466C-870A-5840674AC5F6}"/>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DD36-466C-870A-5840674AC5F6}"/>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DD36-466C-870A-5840674AC5F6}"/>
              </c:ext>
            </c:extLst>
          </c:dPt>
          <c:cat>
            <c:strRef>
              <c:f>Processing!$J$25:$J$27</c:f>
              <c:strCache>
                <c:ptCount val="3"/>
                <c:pt idx="0">
                  <c:v>Prototype 1</c:v>
                </c:pt>
                <c:pt idx="1">
                  <c:v>Prototype 2</c:v>
                </c:pt>
                <c:pt idx="2">
                  <c:v>Prototype 3</c:v>
                </c:pt>
              </c:strCache>
            </c:strRef>
          </c:cat>
          <c:val>
            <c:numRef>
              <c:f>Processing!$K$25:$K$27</c:f>
              <c:numCache>
                <c:formatCode>General</c:formatCode>
                <c:ptCount val="3"/>
                <c:pt idx="0">
                  <c:v>10</c:v>
                </c:pt>
                <c:pt idx="1">
                  <c:v>0</c:v>
                </c:pt>
                <c:pt idx="2">
                  <c:v>0</c:v>
                </c:pt>
              </c:numCache>
            </c:numRef>
          </c:val>
          <c:extLst>
            <c:ext xmlns:c16="http://schemas.microsoft.com/office/drawing/2014/chart" uri="{C3380CC4-5D6E-409C-BE32-E72D297353CC}">
              <c16:uniqueId val="{00000006-DD36-466C-870A-5840674AC5F6}"/>
            </c:ext>
          </c:extLst>
        </c:ser>
        <c:dLbls>
          <c:showLegendKey val="0"/>
          <c:showVal val="0"/>
          <c:showCatName val="0"/>
          <c:showSerName val="0"/>
          <c:showPercent val="0"/>
          <c:showBubbleSize val="0"/>
        </c:dLbls>
        <c:gapWidth val="5"/>
        <c:overlap val="-27"/>
        <c:axId val="239902559"/>
        <c:axId val="239903999"/>
      </c:barChart>
      <c:catAx>
        <c:axId val="239902559"/>
        <c:scaling>
          <c:orientation val="minMax"/>
        </c:scaling>
        <c:delete val="1"/>
        <c:axPos val="b"/>
        <c:numFmt formatCode="General" sourceLinked="1"/>
        <c:majorTickMark val="none"/>
        <c:minorTickMark val="none"/>
        <c:tickLblPos val="high"/>
        <c:crossAx val="239903999"/>
        <c:crosses val="autoZero"/>
        <c:auto val="1"/>
        <c:lblAlgn val="ctr"/>
        <c:lblOffset val="100"/>
        <c:noMultiLvlLbl val="0"/>
      </c:catAx>
      <c:valAx>
        <c:axId val="239903999"/>
        <c:scaling>
          <c:orientation val="minMax"/>
          <c:max val="10"/>
          <c:min val="0"/>
        </c:scaling>
        <c:delete val="1"/>
        <c:axPos val="l"/>
        <c:numFmt formatCode="General" sourceLinked="1"/>
        <c:majorTickMark val="none"/>
        <c:minorTickMark val="none"/>
        <c:tickLblPos val="nextTo"/>
        <c:crossAx val="23990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Processing!$G$8</c:f>
              <c:strCache>
                <c:ptCount val="1"/>
                <c:pt idx="0">
                  <c:v>back</c:v>
                </c:pt>
              </c:strCache>
            </c:strRef>
          </c:tx>
          <c:spPr>
            <a:solidFill>
              <a:srgbClr val="140061"/>
            </a:solidFill>
            <a:ln>
              <a:noFill/>
            </a:ln>
            <a:effectLst/>
          </c:spPr>
          <c:invertIfNegative val="0"/>
          <c:val>
            <c:numRef>
              <c:f>Processing!$G$9:$G$13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236F-4C0A-860D-B08556934853}"/>
            </c:ext>
          </c:extLst>
        </c:ser>
        <c:ser>
          <c:idx val="1"/>
          <c:order val="1"/>
          <c:tx>
            <c:strRef>
              <c:f>Processing!$H$8</c:f>
              <c:strCache>
                <c:ptCount val="1"/>
                <c:pt idx="0">
                  <c:v>HR</c:v>
                </c:pt>
              </c:strCache>
            </c:strRef>
          </c:tx>
          <c:spPr>
            <a:solidFill>
              <a:schemeClr val="accent2"/>
            </a:solidFill>
            <a:ln>
              <a:noFill/>
            </a:ln>
            <a:effectLst/>
          </c:spPr>
          <c:invertIfNegative val="0"/>
          <c:dPt>
            <c:idx val="0"/>
            <c:invertIfNegative val="0"/>
            <c:bubble3D val="0"/>
            <c:spPr>
              <a:solidFill>
                <a:srgbClr val="30EDFD"/>
              </a:solidFill>
              <a:ln>
                <a:noFill/>
              </a:ln>
              <a:effectLst/>
            </c:spPr>
            <c:extLst>
              <c:ext xmlns:c16="http://schemas.microsoft.com/office/drawing/2014/chart" uri="{C3380CC4-5D6E-409C-BE32-E72D297353CC}">
                <c16:uniqueId val="{00000002-236F-4C0A-860D-B08556934853}"/>
              </c:ext>
            </c:extLst>
          </c:dPt>
          <c:dPt>
            <c:idx val="1"/>
            <c:invertIfNegative val="0"/>
            <c:bubble3D val="0"/>
            <c:spPr>
              <a:solidFill>
                <a:srgbClr val="CC00CC"/>
              </a:solidFill>
              <a:ln>
                <a:noFill/>
              </a:ln>
              <a:effectLst/>
            </c:spPr>
            <c:extLst>
              <c:ext xmlns:c16="http://schemas.microsoft.com/office/drawing/2014/chart" uri="{C3380CC4-5D6E-409C-BE32-E72D297353CC}">
                <c16:uniqueId val="{00000004-236F-4C0A-860D-B08556934853}"/>
              </c:ext>
            </c:extLst>
          </c:dPt>
          <c:dPt>
            <c:idx val="2"/>
            <c:invertIfNegative val="0"/>
            <c:bubble3D val="0"/>
            <c:spPr>
              <a:solidFill>
                <a:srgbClr val="2069F0"/>
              </a:solidFill>
              <a:ln>
                <a:noFill/>
              </a:ln>
              <a:effectLst/>
            </c:spPr>
            <c:extLst>
              <c:ext xmlns:c16="http://schemas.microsoft.com/office/drawing/2014/chart" uri="{C3380CC4-5D6E-409C-BE32-E72D297353CC}">
                <c16:uniqueId val="{00000006-236F-4C0A-860D-B08556934853}"/>
              </c:ext>
            </c:extLst>
          </c:dPt>
          <c:dPt>
            <c:idx val="3"/>
            <c:invertIfNegative val="0"/>
            <c:bubble3D val="0"/>
            <c:spPr>
              <a:solidFill>
                <a:srgbClr val="9933FF"/>
              </a:solidFill>
              <a:ln>
                <a:noFill/>
              </a:ln>
              <a:effectLst/>
            </c:spPr>
            <c:extLst>
              <c:ext xmlns:c16="http://schemas.microsoft.com/office/drawing/2014/chart" uri="{C3380CC4-5D6E-409C-BE32-E72D297353CC}">
                <c16:uniqueId val="{00000008-236F-4C0A-860D-B08556934853}"/>
              </c:ext>
            </c:extLst>
          </c:dPt>
          <c:dPt>
            <c:idx val="4"/>
            <c:invertIfNegative val="0"/>
            <c:bubble3D val="0"/>
            <c:spPr>
              <a:solidFill>
                <a:srgbClr val="FD447B"/>
              </a:solidFill>
              <a:ln>
                <a:noFill/>
              </a:ln>
              <a:effectLst/>
            </c:spPr>
            <c:extLst>
              <c:ext xmlns:c16="http://schemas.microsoft.com/office/drawing/2014/chart" uri="{C3380CC4-5D6E-409C-BE32-E72D297353CC}">
                <c16:uniqueId val="{0000000A-236F-4C0A-860D-B08556934853}"/>
              </c:ext>
            </c:extLst>
          </c:dPt>
          <c:val>
            <c:numRef>
              <c:f>Processing!$H$9:$H$13</c:f>
              <c:numCache>
                <c:formatCode>0%</c:formatCode>
                <c:ptCount val="5"/>
                <c:pt idx="0">
                  <c:v>0.3</c:v>
                </c:pt>
                <c:pt idx="1">
                  <c:v>0.3</c:v>
                </c:pt>
                <c:pt idx="2">
                  <c:v>1</c:v>
                </c:pt>
                <c:pt idx="3">
                  <c:v>0.3</c:v>
                </c:pt>
                <c:pt idx="4">
                  <c:v>0.4</c:v>
                </c:pt>
              </c:numCache>
            </c:numRef>
          </c:val>
          <c:extLst>
            <c:ext xmlns:c16="http://schemas.microsoft.com/office/drawing/2014/chart" uri="{C3380CC4-5D6E-409C-BE32-E72D297353CC}">
              <c16:uniqueId val="{0000000B-236F-4C0A-860D-B08556934853}"/>
            </c:ext>
          </c:extLst>
        </c:ser>
        <c:dLbls>
          <c:showLegendKey val="0"/>
          <c:showVal val="0"/>
          <c:showCatName val="0"/>
          <c:showSerName val="0"/>
          <c:showPercent val="0"/>
          <c:showBubbleSize val="0"/>
        </c:dLbls>
        <c:gapWidth val="10"/>
        <c:overlap val="100"/>
        <c:axId val="1371651391"/>
        <c:axId val="1371674431"/>
      </c:barChart>
      <c:catAx>
        <c:axId val="1371651391"/>
        <c:scaling>
          <c:orientation val="maxMin"/>
        </c:scaling>
        <c:delete val="1"/>
        <c:axPos val="l"/>
        <c:majorTickMark val="out"/>
        <c:minorTickMark val="none"/>
        <c:tickLblPos val="nextTo"/>
        <c:crossAx val="1371674431"/>
        <c:crosses val="autoZero"/>
        <c:auto val="1"/>
        <c:lblAlgn val="ctr"/>
        <c:lblOffset val="100"/>
        <c:noMultiLvlLbl val="0"/>
      </c:catAx>
      <c:valAx>
        <c:axId val="1371674431"/>
        <c:scaling>
          <c:orientation val="minMax"/>
          <c:max val="1"/>
          <c:min val="0"/>
        </c:scaling>
        <c:delete val="1"/>
        <c:axPos val="t"/>
        <c:numFmt formatCode="0%" sourceLinked="1"/>
        <c:majorTickMark val="out"/>
        <c:minorTickMark val="none"/>
        <c:tickLblPos val="nextTo"/>
        <c:crossAx val="13716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a:effectLst>
              <a:outerShdw blurRad="228600" dist="114300" dir="8100000" algn="tr" rotWithShape="0">
                <a:prstClr val="black">
                  <a:alpha val="80000"/>
                </a:prstClr>
              </a:outerShdw>
            </a:effectLst>
          </c:spPr>
          <c:dPt>
            <c:idx val="0"/>
            <c:bubble3D val="0"/>
            <c:spPr>
              <a:gradFill>
                <a:gsLst>
                  <a:gs pos="100000">
                    <a:srgbClr val="30EDFD"/>
                  </a:gs>
                  <a:gs pos="16000">
                    <a:srgbClr val="3128C3"/>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1-DED6-45A1-AD17-16BBCA317E87}"/>
              </c:ext>
            </c:extLst>
          </c:dPt>
          <c:dPt>
            <c:idx val="1"/>
            <c:bubble3D val="0"/>
            <c:spPr>
              <a:gradFill>
                <a:gsLst>
                  <a:gs pos="100000">
                    <a:srgbClr val="9B2EDC"/>
                  </a:gs>
                  <a:gs pos="14000">
                    <a:srgbClr val="4A1FC4"/>
                  </a:gs>
                </a:gsLst>
                <a:lin ang="5400000" scaled="1"/>
              </a:gradFill>
              <a:ln w="19050">
                <a:noFill/>
              </a:ln>
              <a:effectLst>
                <a:outerShdw blurRad="228600" dist="114300" dir="8100000" algn="tr" rotWithShape="0">
                  <a:prstClr val="black">
                    <a:alpha val="80000"/>
                  </a:prstClr>
                </a:outerShdw>
              </a:effectLst>
            </c:spPr>
            <c:extLst>
              <c:ext xmlns:c16="http://schemas.microsoft.com/office/drawing/2014/chart" uri="{C3380CC4-5D6E-409C-BE32-E72D297353CC}">
                <c16:uniqueId val="{00000003-DED6-45A1-AD17-16BBCA317E87}"/>
              </c:ext>
            </c:extLst>
          </c:dPt>
          <c:val>
            <c:numRef>
              <c:f>Processing!$N$1:$O$1</c:f>
              <c:numCache>
                <c:formatCode>0%</c:formatCode>
                <c:ptCount val="2"/>
                <c:pt idx="0">
                  <c:v>0.37072749999999999</c:v>
                </c:pt>
                <c:pt idx="1">
                  <c:v>0.62927250000000001</c:v>
                </c:pt>
              </c:numCache>
            </c:numRef>
          </c:val>
          <c:extLst>
            <c:ext xmlns:c16="http://schemas.microsoft.com/office/drawing/2014/chart" uri="{C3380CC4-5D6E-409C-BE32-E72D297353CC}">
              <c16:uniqueId val="{00000004-DED6-45A1-AD17-16BBCA317E87}"/>
            </c:ext>
          </c:extLst>
        </c:ser>
        <c:dLbls>
          <c:showLegendKey val="0"/>
          <c:showVal val="0"/>
          <c:showCatName val="0"/>
          <c:showSerName val="0"/>
          <c:showPercent val="0"/>
          <c:showBubbleSize val="0"/>
          <c:showLeaderLines val="1"/>
        </c:dLbls>
        <c:firstSliceAng val="0"/>
        <c:holeSize val="6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Processing!$H$1</c:f>
              <c:strCache>
                <c:ptCount val="1"/>
                <c:pt idx="0">
                  <c:v>Probability</c:v>
                </c:pt>
              </c:strCache>
            </c:strRef>
          </c:tx>
          <c:spPr>
            <a:ln w="19050" cap="rnd">
              <a:solidFill>
                <a:srgbClr val="A746F6"/>
              </a:solidFill>
              <a:round/>
            </a:ln>
            <a:effectLst>
              <a:outerShdw blurRad="50800" dist="38100" dir="5400000" algn="t" rotWithShape="0">
                <a:prstClr val="black">
                  <a:alpha val="40000"/>
                </a:prstClr>
              </a:outerShdw>
            </a:effectLst>
          </c:spPr>
          <c:marker>
            <c:symbol val="circle"/>
            <c:size val="7"/>
            <c:spPr>
              <a:solidFill>
                <a:srgbClr val="D73BFE"/>
              </a:solidFill>
              <a:ln w="9525">
                <a:noFill/>
              </a:ln>
              <a:effectLst>
                <a:outerShdw blurRad="50800" dist="38100" dir="5400000" algn="t" rotWithShape="0">
                  <a:prstClr val="black">
                    <a:alpha val="40000"/>
                  </a:prst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Processing!$G$2:$G$6</c:f>
              <c:strCache>
                <c:ptCount val="5"/>
                <c:pt idx="0">
                  <c:v>R1</c:v>
                </c:pt>
                <c:pt idx="1">
                  <c:v>R2</c:v>
                </c:pt>
                <c:pt idx="2">
                  <c:v>R3</c:v>
                </c:pt>
                <c:pt idx="3">
                  <c:v>R4</c:v>
                </c:pt>
                <c:pt idx="4">
                  <c:v>R5</c:v>
                </c:pt>
              </c:strCache>
            </c:strRef>
          </c:cat>
          <c:val>
            <c:numRef>
              <c:f>Processing!$H$2:$H$6</c:f>
              <c:numCache>
                <c:formatCode>0%</c:formatCode>
                <c:ptCount val="5"/>
                <c:pt idx="0">
                  <c:v>0.15</c:v>
                </c:pt>
                <c:pt idx="1">
                  <c:v>0.74</c:v>
                </c:pt>
                <c:pt idx="2">
                  <c:v>0.72</c:v>
                </c:pt>
                <c:pt idx="3">
                  <c:v>0.41</c:v>
                </c:pt>
                <c:pt idx="4">
                  <c:v>0.82</c:v>
                </c:pt>
              </c:numCache>
            </c:numRef>
          </c:val>
          <c:smooth val="0"/>
          <c:extLst>
            <c:ext xmlns:c16="http://schemas.microsoft.com/office/drawing/2014/chart" uri="{C3380CC4-5D6E-409C-BE32-E72D297353CC}">
              <c16:uniqueId val="{00000000-E0BD-40EE-9EF2-FB3346031912}"/>
            </c:ext>
          </c:extLst>
        </c:ser>
        <c:dLbls>
          <c:showLegendKey val="0"/>
          <c:showVal val="0"/>
          <c:showCatName val="0"/>
          <c:showSerName val="0"/>
          <c:showPercent val="0"/>
          <c:showBubbleSize val="0"/>
        </c:dLbls>
        <c:marker val="1"/>
        <c:smooth val="0"/>
        <c:axId val="354358719"/>
        <c:axId val="354360159"/>
      </c:lineChart>
      <c:catAx>
        <c:axId val="35435871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10000"/>
                    <a:lumOff val="90000"/>
                  </a:schemeClr>
                </a:solidFill>
                <a:latin typeface="+mn-lt"/>
                <a:ea typeface="+mn-ea"/>
                <a:cs typeface="+mn-cs"/>
              </a:defRPr>
            </a:pPr>
            <a:endParaRPr lang="ru-RU"/>
          </a:p>
        </c:txPr>
        <c:crossAx val="354360159"/>
        <c:crosses val="autoZero"/>
        <c:auto val="1"/>
        <c:lblAlgn val="ctr"/>
        <c:lblOffset val="100"/>
        <c:noMultiLvlLbl val="0"/>
      </c:catAx>
      <c:valAx>
        <c:axId val="354360159"/>
        <c:scaling>
          <c:orientation val="minMax"/>
        </c:scaling>
        <c:delete val="1"/>
        <c:axPos val="l"/>
        <c:numFmt formatCode="0%" sourceLinked="1"/>
        <c:majorTickMark val="none"/>
        <c:minorTickMark val="none"/>
        <c:tickLblPos val="nextTo"/>
        <c:crossAx val="354358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6231884057971016E-2"/>
          <c:y val="7.4404761904761901E-3"/>
          <c:w val="0.92753623188405798"/>
          <c:h val="0.8577509842519685"/>
        </c:manualLayout>
      </c:layout>
      <c:barChart>
        <c:barDir val="col"/>
        <c:grouping val="stacked"/>
        <c:varyColors val="0"/>
        <c:ser>
          <c:idx val="0"/>
          <c:order val="0"/>
          <c:tx>
            <c:strRef>
              <c:f>Processing!$B$16</c:f>
              <c:strCache>
                <c:ptCount val="1"/>
                <c:pt idx="0">
                  <c:v>indent</c:v>
                </c:pt>
              </c:strCache>
            </c:strRef>
          </c:tx>
          <c:spPr>
            <a:solidFill>
              <a:schemeClr val="accent1"/>
            </a:solid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Processing!$B$17:$B$28</c:f>
              <c:numCache>
                <c:formatCode>General</c:formatCode>
                <c:ptCount val="12"/>
                <c:pt idx="0">
                  <c:v>2312.85</c:v>
                </c:pt>
                <c:pt idx="1">
                  <c:v>2312.85</c:v>
                </c:pt>
                <c:pt idx="2">
                  <c:v>2312.85</c:v>
                </c:pt>
                <c:pt idx="3">
                  <c:v>2312.85</c:v>
                </c:pt>
                <c:pt idx="4">
                  <c:v>2312.85</c:v>
                </c:pt>
                <c:pt idx="5">
                  <c:v>2312.85</c:v>
                </c:pt>
                <c:pt idx="6">
                  <c:v>2312.85</c:v>
                </c:pt>
                <c:pt idx="7">
                  <c:v>2312.85</c:v>
                </c:pt>
                <c:pt idx="8">
                  <c:v>2312.85</c:v>
                </c:pt>
                <c:pt idx="9">
                  <c:v>2312.85</c:v>
                </c:pt>
                <c:pt idx="10">
                  <c:v>2312.85</c:v>
                </c:pt>
                <c:pt idx="11">
                  <c:v>2312.85</c:v>
                </c:pt>
              </c:numCache>
            </c:numRef>
          </c:val>
          <c:extLst>
            <c:ext xmlns:c16="http://schemas.microsoft.com/office/drawing/2014/chart" uri="{C3380CC4-5D6E-409C-BE32-E72D297353CC}">
              <c16:uniqueId val="{00000000-EBCB-4808-B2B7-17095AD7A298}"/>
            </c:ext>
          </c:extLst>
        </c:ser>
        <c:ser>
          <c:idx val="1"/>
          <c:order val="1"/>
          <c:tx>
            <c:strRef>
              <c:f>Processing!$C$16</c:f>
              <c:strCache>
                <c:ptCount val="1"/>
                <c:pt idx="0">
                  <c:v>Cost</c:v>
                </c:pt>
              </c:strCache>
            </c:strRef>
          </c:tx>
          <c:spPr>
            <a:solidFill>
              <a:schemeClr val="accent2"/>
            </a:solidFill>
            <a:ln w="127000">
              <a:gradFill>
                <a:gsLst>
                  <a:gs pos="0">
                    <a:srgbClr val="270345"/>
                  </a:gs>
                  <a:gs pos="100000">
                    <a:srgbClr val="540793"/>
                  </a:gs>
                </a:gsLst>
                <a:lin ang="5400000" scaled="1"/>
              </a:grad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Processing!$C$17:$C$28</c:f>
              <c:numCache>
                <c:formatCode>General</c:formatCode>
                <c:ptCount val="12"/>
                <c:pt idx="0">
                  <c:v>17063</c:v>
                </c:pt>
                <c:pt idx="1">
                  <c:v>19009</c:v>
                </c:pt>
                <c:pt idx="2">
                  <c:v>21172</c:v>
                </c:pt>
                <c:pt idx="3">
                  <c:v>25512</c:v>
                </c:pt>
                <c:pt idx="4">
                  <c:v>22609</c:v>
                </c:pt>
                <c:pt idx="5">
                  <c:v>30077</c:v>
                </c:pt>
                <c:pt idx="6">
                  <c:v>35634</c:v>
                </c:pt>
                <c:pt idx="7">
                  <c:v>46257</c:v>
                </c:pt>
                <c:pt idx="8">
                  <c:v>34376</c:v>
                </c:pt>
                <c:pt idx="9">
                  <c:v>36744</c:v>
                </c:pt>
                <c:pt idx="10">
                  <c:v>44019</c:v>
                </c:pt>
                <c:pt idx="11">
                  <c:v>45080</c:v>
                </c:pt>
              </c:numCache>
            </c:numRef>
          </c:val>
          <c:extLst>
            <c:ext xmlns:c16="http://schemas.microsoft.com/office/drawing/2014/chart" uri="{C3380CC4-5D6E-409C-BE32-E72D297353CC}">
              <c16:uniqueId val="{00000001-EBCB-4808-B2B7-17095AD7A298}"/>
            </c:ext>
          </c:extLst>
        </c:ser>
        <c:dLbls>
          <c:showLegendKey val="0"/>
          <c:showVal val="0"/>
          <c:showCatName val="0"/>
          <c:showSerName val="0"/>
          <c:showPercent val="0"/>
          <c:showBubbleSize val="0"/>
        </c:dLbls>
        <c:gapWidth val="220"/>
        <c:overlap val="100"/>
        <c:axId val="354366879"/>
        <c:axId val="354367839"/>
      </c:barChart>
      <c:barChart>
        <c:barDir val="col"/>
        <c:grouping val="stacked"/>
        <c:varyColors val="0"/>
        <c:ser>
          <c:idx val="2"/>
          <c:order val="2"/>
          <c:tx>
            <c:strRef>
              <c:f>Processing!$D$16</c:f>
              <c:strCache>
                <c:ptCount val="1"/>
                <c:pt idx="0">
                  <c:v>indent C</c:v>
                </c:pt>
              </c:strCache>
            </c:strRef>
          </c:tx>
          <c:spPr>
            <a:noFill/>
            <a:ln>
              <a:no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Processing!$D$17:$D$28</c:f>
              <c:numCache>
                <c:formatCode>General</c:formatCode>
                <c:ptCount val="12"/>
                <c:pt idx="0">
                  <c:v>2312.85</c:v>
                </c:pt>
                <c:pt idx="1">
                  <c:v>2312.85</c:v>
                </c:pt>
                <c:pt idx="2">
                  <c:v>2312.85</c:v>
                </c:pt>
                <c:pt idx="3">
                  <c:v>2312.85</c:v>
                </c:pt>
                <c:pt idx="4">
                  <c:v>2312.85</c:v>
                </c:pt>
                <c:pt idx="5">
                  <c:v>2312.85</c:v>
                </c:pt>
                <c:pt idx="6">
                  <c:v>2312.85</c:v>
                </c:pt>
                <c:pt idx="7">
                  <c:v>2312.85</c:v>
                </c:pt>
                <c:pt idx="8">
                  <c:v>2312.85</c:v>
                </c:pt>
                <c:pt idx="9">
                  <c:v>2312.85</c:v>
                </c:pt>
                <c:pt idx="10">
                  <c:v>2312.85</c:v>
                </c:pt>
                <c:pt idx="11">
                  <c:v>2312.85</c:v>
                </c:pt>
              </c:numCache>
            </c:numRef>
          </c:val>
          <c:extLst>
            <c:ext xmlns:c16="http://schemas.microsoft.com/office/drawing/2014/chart" uri="{C3380CC4-5D6E-409C-BE32-E72D297353CC}">
              <c16:uniqueId val="{00000002-EBCB-4808-B2B7-17095AD7A298}"/>
            </c:ext>
          </c:extLst>
        </c:ser>
        <c:ser>
          <c:idx val="3"/>
          <c:order val="3"/>
          <c:tx>
            <c:strRef>
              <c:f>Processing!$E$16</c:f>
              <c:strCache>
                <c:ptCount val="1"/>
                <c:pt idx="0">
                  <c:v>Cursor</c:v>
                </c:pt>
              </c:strCache>
            </c:strRef>
          </c:tx>
          <c:spPr>
            <a:solidFill>
              <a:schemeClr val="accent4"/>
            </a:solidFill>
            <a:ln w="127000">
              <a:gradFill>
                <a:gsLst>
                  <a:gs pos="6000">
                    <a:srgbClr val="18B4E1"/>
                  </a:gs>
                  <a:gs pos="0">
                    <a:srgbClr val="D6EDF9"/>
                  </a:gs>
                  <a:gs pos="90000">
                    <a:srgbClr val="282FAD"/>
                  </a:gs>
                  <a:gs pos="100000">
                    <a:srgbClr val="540793"/>
                  </a:gs>
                </a:gsLst>
                <a:lin ang="5400000" scaled="1"/>
              </a:gradFill>
            </a:ln>
            <a:effectLst/>
          </c:spPr>
          <c:invertIfNegative val="0"/>
          <c:cat>
            <c:strRef>
              <c:f>Processing!$A$17:$A$28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Processing!$E$17:$E$28</c:f>
              <c:numCache>
                <c:formatCode>_("$"* #,##0_);_("$"* \(#,##0\);_("$"* "-"??_);_(@_)</c:formatCode>
                <c:ptCount val="12"/>
                <c:pt idx="0">
                  <c:v>#N/A</c:v>
                </c:pt>
                <c:pt idx="1">
                  <c:v>#N/A</c:v>
                </c:pt>
                <c:pt idx="2">
                  <c:v>#N/A</c:v>
                </c:pt>
                <c:pt idx="3">
                  <c:v>#N/A</c:v>
                </c:pt>
                <c:pt idx="4">
                  <c:v>#N/A</c:v>
                </c:pt>
                <c:pt idx="5">
                  <c:v>#N/A</c:v>
                </c:pt>
                <c:pt idx="6">
                  <c:v>#N/A</c:v>
                </c:pt>
                <c:pt idx="7">
                  <c:v>#N/A</c:v>
                </c:pt>
                <c:pt idx="8">
                  <c:v>34376</c:v>
                </c:pt>
                <c:pt idx="9">
                  <c:v>#N/A</c:v>
                </c:pt>
                <c:pt idx="10">
                  <c:v>#N/A</c:v>
                </c:pt>
                <c:pt idx="11">
                  <c:v>#N/A</c:v>
                </c:pt>
              </c:numCache>
            </c:numRef>
          </c:val>
          <c:extLst>
            <c:ext xmlns:c16="http://schemas.microsoft.com/office/drawing/2014/chart" uri="{C3380CC4-5D6E-409C-BE32-E72D297353CC}">
              <c16:uniqueId val="{00000003-EBCB-4808-B2B7-17095AD7A298}"/>
            </c:ext>
          </c:extLst>
        </c:ser>
        <c:dLbls>
          <c:showLegendKey val="0"/>
          <c:showVal val="0"/>
          <c:showCatName val="0"/>
          <c:showSerName val="0"/>
          <c:showPercent val="0"/>
          <c:showBubbleSize val="0"/>
        </c:dLbls>
        <c:gapWidth val="220"/>
        <c:overlap val="100"/>
        <c:axId val="354411999"/>
        <c:axId val="354404319"/>
      </c:barChart>
      <c:scatterChart>
        <c:scatterStyle val="lineMarker"/>
        <c:varyColors val="0"/>
        <c:ser>
          <c:idx val="4"/>
          <c:order val="4"/>
          <c:tx>
            <c:strRef>
              <c:f>Processing!$F$16</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4-EBCB-4808-B2B7-17095AD7A298}"/>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5-EBCB-4808-B2B7-17095AD7A298}"/>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6-EBCB-4808-B2B7-17095AD7A298}"/>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EBCB-4808-B2B7-17095AD7A298}"/>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EBCB-4808-B2B7-17095AD7A298}"/>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EBCB-4808-B2B7-17095AD7A298}"/>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EBCB-4808-B2B7-17095AD7A298}"/>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EBCB-4808-B2B7-17095AD7A298}"/>
                </c:ext>
              </c:extLst>
            </c:dLbl>
            <c:dLbl>
              <c:idx val="8"/>
              <c:tx>
                <c:rich>
                  <a:bodyPr/>
                  <a:lstStyle/>
                  <a:p>
                    <a:fld id="{897B711C-E9B9-4141-9831-CD68F9A788D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EBCB-4808-B2B7-17095AD7A298}"/>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EBCB-4808-B2B7-17095AD7A298}"/>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EBCB-4808-B2B7-17095AD7A298}"/>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F-EBCB-4808-B2B7-17095AD7A298}"/>
                </c:ext>
              </c:extLst>
            </c:dLbl>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25000"/>
                        <a:lumOff val="75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Processing!$F$17:$F$28</c:f>
              <c:numCache>
                <c:formatCode>General</c:formatCode>
                <c:ptCount val="12"/>
                <c:pt idx="0">
                  <c:v>#N/A</c:v>
                </c:pt>
                <c:pt idx="1">
                  <c:v>#N/A</c:v>
                </c:pt>
                <c:pt idx="2">
                  <c:v>#N/A</c:v>
                </c:pt>
                <c:pt idx="3">
                  <c:v>#N/A</c:v>
                </c:pt>
                <c:pt idx="4">
                  <c:v>#N/A</c:v>
                </c:pt>
                <c:pt idx="5">
                  <c:v>#N/A</c:v>
                </c:pt>
                <c:pt idx="6">
                  <c:v>#N/A</c:v>
                </c:pt>
                <c:pt idx="7">
                  <c:v>#N/A</c:v>
                </c:pt>
                <c:pt idx="8">
                  <c:v>36688.85</c:v>
                </c:pt>
                <c:pt idx="9">
                  <c:v>#N/A</c:v>
                </c:pt>
                <c:pt idx="10">
                  <c:v>#N/A</c:v>
                </c:pt>
                <c:pt idx="11">
                  <c:v>#N/A</c:v>
                </c:pt>
              </c:numCache>
            </c:numRef>
          </c:yVal>
          <c:smooth val="0"/>
          <c:extLst>
            <c:ext xmlns:c15="http://schemas.microsoft.com/office/drawing/2012/chart" uri="{02D57815-91ED-43cb-92C2-25804820EDAC}">
              <c15:datalabelsRange>
                <c15:f>Processing!$G$17:$G$28</c15:f>
                <c15:dlblRangeCache>
                  <c:ptCount val="12"/>
                  <c:pt idx="0">
                    <c:v>#N/A</c:v>
                  </c:pt>
                  <c:pt idx="1">
                    <c:v>#N/A</c:v>
                  </c:pt>
                  <c:pt idx="2">
                    <c:v>#N/A</c:v>
                  </c:pt>
                  <c:pt idx="3">
                    <c:v>#N/A</c:v>
                  </c:pt>
                  <c:pt idx="4">
                    <c:v>#N/A</c:v>
                  </c:pt>
                  <c:pt idx="5">
                    <c:v>#N/A</c:v>
                  </c:pt>
                  <c:pt idx="6">
                    <c:v>#N/A</c:v>
                  </c:pt>
                  <c:pt idx="7">
                    <c:v>#N/A</c:v>
                  </c:pt>
                  <c:pt idx="8">
                    <c:v>34k</c:v>
                  </c:pt>
                  <c:pt idx="9">
                    <c:v>#N/A</c:v>
                  </c:pt>
                  <c:pt idx="10">
                    <c:v>#N/A</c:v>
                  </c:pt>
                  <c:pt idx="11">
                    <c:v>#N/A</c:v>
                  </c:pt>
                </c15:dlblRangeCache>
              </c15:datalabelsRange>
            </c:ext>
            <c:ext xmlns:c16="http://schemas.microsoft.com/office/drawing/2014/chart" uri="{C3380CC4-5D6E-409C-BE32-E72D297353CC}">
              <c16:uniqueId val="{00000010-EBCB-4808-B2B7-17095AD7A298}"/>
            </c:ext>
          </c:extLst>
        </c:ser>
        <c:dLbls>
          <c:showLegendKey val="0"/>
          <c:showVal val="0"/>
          <c:showCatName val="0"/>
          <c:showSerName val="0"/>
          <c:showPercent val="0"/>
          <c:showBubbleSize val="0"/>
        </c:dLbls>
        <c:axId val="354411999"/>
        <c:axId val="354404319"/>
      </c:scatterChart>
      <c:catAx>
        <c:axId val="354366879"/>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354367839"/>
        <c:crosses val="autoZero"/>
        <c:auto val="1"/>
        <c:lblAlgn val="ctr"/>
        <c:lblOffset val="100"/>
        <c:noMultiLvlLbl val="0"/>
      </c:catAx>
      <c:valAx>
        <c:axId val="354367839"/>
        <c:scaling>
          <c:orientation val="minMax"/>
        </c:scaling>
        <c:delete val="1"/>
        <c:axPos val="l"/>
        <c:numFmt formatCode="General" sourceLinked="1"/>
        <c:majorTickMark val="none"/>
        <c:minorTickMark val="none"/>
        <c:tickLblPos val="nextTo"/>
        <c:crossAx val="354366879"/>
        <c:crosses val="autoZero"/>
        <c:crossBetween val="between"/>
      </c:valAx>
      <c:valAx>
        <c:axId val="354404319"/>
        <c:scaling>
          <c:orientation val="minMax"/>
        </c:scaling>
        <c:delete val="1"/>
        <c:axPos val="r"/>
        <c:numFmt formatCode="General" sourceLinked="1"/>
        <c:majorTickMark val="out"/>
        <c:minorTickMark val="none"/>
        <c:tickLblPos val="nextTo"/>
        <c:crossAx val="354411999"/>
        <c:crosses val="max"/>
        <c:crossBetween val="between"/>
      </c:valAx>
      <c:catAx>
        <c:axId val="354411999"/>
        <c:scaling>
          <c:orientation val="minMax"/>
        </c:scaling>
        <c:delete val="1"/>
        <c:axPos val="b"/>
        <c:numFmt formatCode="General" sourceLinked="1"/>
        <c:majorTickMark val="out"/>
        <c:minorTickMark val="none"/>
        <c:tickLblPos val="nextTo"/>
        <c:crossAx val="354404319"/>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1EBD-45A5-9A85-2ECFE25CECFD}"/>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1EBD-45A5-9A85-2ECFE25CECFD}"/>
              </c:ext>
            </c:extLst>
          </c:dPt>
          <c:val>
            <c:numRef>
              <c:f>Processing!$M$11:$N$11</c:f>
              <c:numCache>
                <c:formatCode>0%</c:formatCode>
                <c:ptCount val="2"/>
                <c:pt idx="0">
                  <c:v>0.63636363636363635</c:v>
                </c:pt>
                <c:pt idx="1">
                  <c:v>0.36363636363636365</c:v>
                </c:pt>
              </c:numCache>
            </c:numRef>
          </c:val>
          <c:extLst>
            <c:ext xmlns:c16="http://schemas.microsoft.com/office/drawing/2014/chart" uri="{C3380CC4-5D6E-409C-BE32-E72D297353CC}">
              <c16:uniqueId val="{00000004-1EBD-45A5-9A85-2ECFE25CECF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bg1">
                  <a:alpha val="20000"/>
                </a:schemeClr>
              </a:solidFill>
              <a:ln w="19050">
                <a:noFill/>
              </a:ln>
              <a:effectLst/>
            </c:spPr>
            <c:extLst>
              <c:ext xmlns:c16="http://schemas.microsoft.com/office/drawing/2014/chart" uri="{C3380CC4-5D6E-409C-BE32-E72D297353CC}">
                <c16:uniqueId val="{00000001-F6B1-41EF-9FDB-05C53A4F4F76}"/>
              </c:ext>
            </c:extLst>
          </c:dPt>
          <c:dPt>
            <c:idx val="1"/>
            <c:bubble3D val="0"/>
            <c:spPr>
              <a:solidFill>
                <a:schemeClr val="bg1">
                  <a:alpha val="80000"/>
                </a:schemeClr>
              </a:solidFill>
              <a:ln w="19050">
                <a:noFill/>
              </a:ln>
              <a:effectLst/>
            </c:spPr>
            <c:extLst>
              <c:ext xmlns:c16="http://schemas.microsoft.com/office/drawing/2014/chart" uri="{C3380CC4-5D6E-409C-BE32-E72D297353CC}">
                <c16:uniqueId val="{00000003-F6B1-41EF-9FDB-05C53A4F4F76}"/>
              </c:ext>
            </c:extLst>
          </c:dPt>
          <c:val>
            <c:numRef>
              <c:f>Processing!$N$6:$O$6</c:f>
              <c:numCache>
                <c:formatCode>0%</c:formatCode>
                <c:ptCount val="2"/>
                <c:pt idx="0">
                  <c:v>0.74794520547945198</c:v>
                </c:pt>
                <c:pt idx="1">
                  <c:v>0.25205479452054796</c:v>
                </c:pt>
              </c:numCache>
            </c:numRef>
          </c:val>
          <c:extLst>
            <c:ext xmlns:c16="http://schemas.microsoft.com/office/drawing/2014/chart" uri="{C3380CC4-5D6E-409C-BE32-E72D297353CC}">
              <c16:uniqueId val="{00000004-F6B1-41EF-9FDB-05C53A4F4F76}"/>
            </c:ext>
          </c:extLst>
        </c:ser>
        <c:dLbls>
          <c:showLegendKey val="0"/>
          <c:showVal val="0"/>
          <c:showCatName val="0"/>
          <c:showSerName val="0"/>
          <c:showPercent val="0"/>
          <c:showBubbleSize val="0"/>
          <c:showLeaderLines val="1"/>
        </c:dLbls>
        <c:firstSliceAng val="0"/>
        <c:holeSize val="75"/>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Processing!$G$8</c:f>
              <c:strCache>
                <c:ptCount val="1"/>
                <c:pt idx="0">
                  <c:v>back</c:v>
                </c:pt>
              </c:strCache>
            </c:strRef>
          </c:tx>
          <c:spPr>
            <a:solidFill>
              <a:srgbClr val="140061"/>
            </a:solidFill>
            <a:ln>
              <a:noFill/>
            </a:ln>
            <a:effectLst/>
          </c:spPr>
          <c:invertIfNegative val="0"/>
          <c:val>
            <c:numRef>
              <c:f>Processing!$G$9:$G$13</c:f>
              <c:numCache>
                <c:formatCode>0%</c:formatCode>
                <c:ptCount val="5"/>
                <c:pt idx="0">
                  <c:v>1</c:v>
                </c:pt>
                <c:pt idx="1">
                  <c:v>1</c:v>
                </c:pt>
                <c:pt idx="2">
                  <c:v>1</c:v>
                </c:pt>
                <c:pt idx="3">
                  <c:v>1</c:v>
                </c:pt>
                <c:pt idx="4">
                  <c:v>1</c:v>
                </c:pt>
              </c:numCache>
            </c:numRef>
          </c:val>
          <c:extLst>
            <c:ext xmlns:c16="http://schemas.microsoft.com/office/drawing/2014/chart" uri="{C3380CC4-5D6E-409C-BE32-E72D297353CC}">
              <c16:uniqueId val="{00000000-5CBA-4677-B80E-BC4F63B0E327}"/>
            </c:ext>
          </c:extLst>
        </c:ser>
        <c:ser>
          <c:idx val="1"/>
          <c:order val="1"/>
          <c:tx>
            <c:strRef>
              <c:f>Processing!$H$8</c:f>
              <c:strCache>
                <c:ptCount val="1"/>
                <c:pt idx="0">
                  <c:v>HR</c:v>
                </c:pt>
              </c:strCache>
            </c:strRef>
          </c:tx>
          <c:spPr>
            <a:solidFill>
              <a:schemeClr val="accent2"/>
            </a:solidFill>
            <a:ln>
              <a:noFill/>
            </a:ln>
            <a:effectLst/>
          </c:spPr>
          <c:invertIfNegative val="0"/>
          <c:dPt>
            <c:idx val="0"/>
            <c:invertIfNegative val="0"/>
            <c:bubble3D val="0"/>
            <c:spPr>
              <a:solidFill>
                <a:srgbClr val="30EDFD"/>
              </a:solidFill>
              <a:ln>
                <a:noFill/>
              </a:ln>
              <a:effectLst/>
            </c:spPr>
            <c:extLst>
              <c:ext xmlns:c16="http://schemas.microsoft.com/office/drawing/2014/chart" uri="{C3380CC4-5D6E-409C-BE32-E72D297353CC}">
                <c16:uniqueId val="{00000002-5CBA-4677-B80E-BC4F63B0E327}"/>
              </c:ext>
            </c:extLst>
          </c:dPt>
          <c:dPt>
            <c:idx val="1"/>
            <c:invertIfNegative val="0"/>
            <c:bubble3D val="0"/>
            <c:spPr>
              <a:solidFill>
                <a:srgbClr val="CC00CC"/>
              </a:solidFill>
              <a:ln>
                <a:noFill/>
              </a:ln>
              <a:effectLst/>
            </c:spPr>
            <c:extLst>
              <c:ext xmlns:c16="http://schemas.microsoft.com/office/drawing/2014/chart" uri="{C3380CC4-5D6E-409C-BE32-E72D297353CC}">
                <c16:uniqueId val="{00000004-5CBA-4677-B80E-BC4F63B0E327}"/>
              </c:ext>
            </c:extLst>
          </c:dPt>
          <c:dPt>
            <c:idx val="2"/>
            <c:invertIfNegative val="0"/>
            <c:bubble3D val="0"/>
            <c:spPr>
              <a:solidFill>
                <a:srgbClr val="2069F0"/>
              </a:solidFill>
              <a:ln>
                <a:noFill/>
              </a:ln>
              <a:effectLst/>
            </c:spPr>
            <c:extLst>
              <c:ext xmlns:c16="http://schemas.microsoft.com/office/drawing/2014/chart" uri="{C3380CC4-5D6E-409C-BE32-E72D297353CC}">
                <c16:uniqueId val="{00000006-5CBA-4677-B80E-BC4F63B0E327}"/>
              </c:ext>
            </c:extLst>
          </c:dPt>
          <c:dPt>
            <c:idx val="3"/>
            <c:invertIfNegative val="0"/>
            <c:bubble3D val="0"/>
            <c:spPr>
              <a:solidFill>
                <a:srgbClr val="9933FF"/>
              </a:solidFill>
              <a:ln>
                <a:noFill/>
              </a:ln>
              <a:effectLst/>
            </c:spPr>
            <c:extLst>
              <c:ext xmlns:c16="http://schemas.microsoft.com/office/drawing/2014/chart" uri="{C3380CC4-5D6E-409C-BE32-E72D297353CC}">
                <c16:uniqueId val="{00000008-5CBA-4677-B80E-BC4F63B0E327}"/>
              </c:ext>
            </c:extLst>
          </c:dPt>
          <c:dPt>
            <c:idx val="4"/>
            <c:invertIfNegative val="0"/>
            <c:bubble3D val="0"/>
            <c:spPr>
              <a:solidFill>
                <a:srgbClr val="FD447B"/>
              </a:solidFill>
              <a:ln>
                <a:noFill/>
              </a:ln>
              <a:effectLst/>
            </c:spPr>
            <c:extLst>
              <c:ext xmlns:c16="http://schemas.microsoft.com/office/drawing/2014/chart" uri="{C3380CC4-5D6E-409C-BE32-E72D297353CC}">
                <c16:uniqueId val="{0000000A-5CBA-4677-B80E-BC4F63B0E327}"/>
              </c:ext>
            </c:extLst>
          </c:dPt>
          <c:val>
            <c:numRef>
              <c:f>Processing!$H$9:$H$13</c:f>
              <c:numCache>
                <c:formatCode>0%</c:formatCode>
                <c:ptCount val="5"/>
                <c:pt idx="0">
                  <c:v>0.3</c:v>
                </c:pt>
                <c:pt idx="1">
                  <c:v>0.3</c:v>
                </c:pt>
                <c:pt idx="2">
                  <c:v>1</c:v>
                </c:pt>
                <c:pt idx="3">
                  <c:v>0.3</c:v>
                </c:pt>
                <c:pt idx="4">
                  <c:v>0.4</c:v>
                </c:pt>
              </c:numCache>
            </c:numRef>
          </c:val>
          <c:extLst>
            <c:ext xmlns:c16="http://schemas.microsoft.com/office/drawing/2014/chart" uri="{C3380CC4-5D6E-409C-BE32-E72D297353CC}">
              <c16:uniqueId val="{0000000B-5CBA-4677-B80E-BC4F63B0E327}"/>
            </c:ext>
          </c:extLst>
        </c:ser>
        <c:dLbls>
          <c:showLegendKey val="0"/>
          <c:showVal val="0"/>
          <c:showCatName val="0"/>
          <c:showSerName val="0"/>
          <c:showPercent val="0"/>
          <c:showBubbleSize val="0"/>
        </c:dLbls>
        <c:gapWidth val="10"/>
        <c:overlap val="100"/>
        <c:axId val="1371651391"/>
        <c:axId val="1371674431"/>
      </c:barChart>
      <c:catAx>
        <c:axId val="1371651391"/>
        <c:scaling>
          <c:orientation val="maxMin"/>
        </c:scaling>
        <c:delete val="1"/>
        <c:axPos val="l"/>
        <c:majorTickMark val="out"/>
        <c:minorTickMark val="none"/>
        <c:tickLblPos val="nextTo"/>
        <c:crossAx val="1371674431"/>
        <c:crosses val="autoZero"/>
        <c:auto val="1"/>
        <c:lblAlgn val="ctr"/>
        <c:lblOffset val="100"/>
        <c:noMultiLvlLbl val="0"/>
      </c:catAx>
      <c:valAx>
        <c:axId val="1371674431"/>
        <c:scaling>
          <c:orientation val="minMax"/>
          <c:max val="1"/>
          <c:min val="0"/>
        </c:scaling>
        <c:delete val="1"/>
        <c:axPos val="t"/>
        <c:numFmt formatCode="0%" sourceLinked="1"/>
        <c:majorTickMark val="out"/>
        <c:minorTickMark val="none"/>
        <c:tickLblPos val="nextTo"/>
        <c:crossAx val="13716513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tx>
            <c:strRef>
              <c:f>Processing!$K$1</c:f>
              <c:strCache>
                <c:ptCount val="1"/>
                <c:pt idx="0">
                  <c:v>Cost</c:v>
                </c:pt>
              </c:strCache>
            </c:strRef>
          </c:tx>
          <c:spPr>
            <a:gradFill>
              <a:gsLst>
                <a:gs pos="100000">
                  <a:srgbClr val="D73BFE">
                    <a:alpha val="40000"/>
                  </a:srgbClr>
                </a:gs>
                <a:gs pos="5000">
                  <a:srgbClr val="2C48D4">
                    <a:alpha val="34000"/>
                  </a:srgbClr>
                </a:gs>
              </a:gsLst>
              <a:lin ang="6000000" scaled="0"/>
            </a:gradFill>
            <a:ln w="12700">
              <a:solidFill>
                <a:schemeClr val="bg1"/>
              </a:solidFill>
            </a:ln>
            <a:effectLst/>
          </c:spPr>
          <c:cat>
            <c:strRef>
              <c:f>Processing!$I$2:$I$6</c:f>
              <c:strCache>
                <c:ptCount val="5"/>
                <c:pt idx="0">
                  <c:v>Planning</c:v>
                </c:pt>
                <c:pt idx="1">
                  <c:v>Design</c:v>
                </c:pt>
                <c:pt idx="2">
                  <c:v>Coding</c:v>
                </c:pt>
                <c:pt idx="3">
                  <c:v>Testing</c:v>
                </c:pt>
                <c:pt idx="4">
                  <c:v>Release</c:v>
                </c:pt>
              </c:strCache>
            </c:strRef>
          </c:cat>
          <c:val>
            <c:numRef>
              <c:f>Processing!$K$2:$K$6</c:f>
              <c:numCache>
                <c:formatCode>_("$"* #,##0_);_("$"* \(#,##0\);_("$"* "-"??_);_(@_)</c:formatCode>
                <c:ptCount val="5"/>
                <c:pt idx="0">
                  <c:v>2413</c:v>
                </c:pt>
                <c:pt idx="1">
                  <c:v>3819</c:v>
                </c:pt>
                <c:pt idx="2">
                  <c:v>4950</c:v>
                </c:pt>
                <c:pt idx="3">
                  <c:v>2520</c:v>
                </c:pt>
                <c:pt idx="4">
                  <c:v>2118</c:v>
                </c:pt>
              </c:numCache>
            </c:numRef>
          </c:val>
          <c:extLst>
            <c:ext xmlns:c16="http://schemas.microsoft.com/office/drawing/2014/chart" uri="{C3380CC4-5D6E-409C-BE32-E72D297353CC}">
              <c16:uniqueId val="{00000000-EA9E-4D9D-A0F5-796A843D3251}"/>
            </c:ext>
          </c:extLst>
        </c:ser>
        <c:dLbls>
          <c:showLegendKey val="0"/>
          <c:showVal val="0"/>
          <c:showCatName val="0"/>
          <c:showSerName val="0"/>
          <c:showPercent val="0"/>
          <c:showBubbleSize val="0"/>
        </c:dLbls>
        <c:axId val="244564367"/>
        <c:axId val="244556687"/>
      </c:radarChart>
      <c:catAx>
        <c:axId val="24456436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mn-lt"/>
                <a:ea typeface="+mn-ea"/>
                <a:cs typeface="+mn-cs"/>
              </a:defRPr>
            </a:pPr>
            <a:endParaRPr lang="ru-RU"/>
          </a:p>
        </c:txPr>
        <c:crossAx val="244556687"/>
        <c:crosses val="autoZero"/>
        <c:auto val="1"/>
        <c:lblAlgn val="ctr"/>
        <c:lblOffset val="100"/>
        <c:noMultiLvlLbl val="0"/>
      </c:catAx>
      <c:valAx>
        <c:axId val="244556687"/>
        <c:scaling>
          <c:orientation val="minMax"/>
        </c:scaling>
        <c:delete val="1"/>
        <c:axPos val="l"/>
        <c:majorGridlines>
          <c:spPr>
            <a:ln w="9525" cap="flat" cmpd="sng" algn="ctr">
              <a:solidFill>
                <a:srgbClr val="5B08A0"/>
              </a:solidFill>
              <a:round/>
            </a:ln>
            <a:effectLst/>
          </c:spPr>
        </c:majorGridlines>
        <c:numFmt formatCode="_(&quot;$&quot;* #,##0_);_(&quot;$&quot;* \(#,##0\);_(&quot;$&quot;* &quot;-&quot;??_);_(@_)" sourceLinked="1"/>
        <c:majorTickMark val="none"/>
        <c:minorTickMark val="none"/>
        <c:tickLblPos val="nextTo"/>
        <c:crossAx val="2445643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1"/>
            </a:solidFill>
            <a:ln>
              <a:noFill/>
            </a:ln>
            <a:effectLst/>
          </c:spPr>
          <c:invertIfNegative val="0"/>
          <c:dPt>
            <c:idx val="0"/>
            <c:invertIfNegative val="0"/>
            <c:bubble3D val="0"/>
            <c:spPr>
              <a:blipFill>
                <a:blip xmlns:r="http://schemas.openxmlformats.org/officeDocument/2006/relationships" r:embed="rId3"/>
                <a:stretch>
                  <a:fillRect/>
                </a:stretch>
              </a:blipFill>
              <a:ln>
                <a:noFill/>
              </a:ln>
              <a:effectLst/>
            </c:spPr>
            <c:extLst>
              <c:ext xmlns:c16="http://schemas.microsoft.com/office/drawing/2014/chart" uri="{C3380CC4-5D6E-409C-BE32-E72D297353CC}">
                <c16:uniqueId val="{00000001-2B38-479A-9349-8855EE104512}"/>
              </c:ext>
            </c:extLst>
          </c:dPt>
          <c:dPt>
            <c:idx val="1"/>
            <c:invertIfNegative val="0"/>
            <c:bubble3D val="0"/>
            <c:spPr>
              <a:blipFill>
                <a:blip xmlns:r="http://schemas.openxmlformats.org/officeDocument/2006/relationships" r:embed="rId4"/>
                <a:stretch>
                  <a:fillRect/>
                </a:stretch>
              </a:blipFill>
              <a:ln>
                <a:noFill/>
              </a:ln>
              <a:effectLst/>
            </c:spPr>
            <c:extLst>
              <c:ext xmlns:c16="http://schemas.microsoft.com/office/drawing/2014/chart" uri="{C3380CC4-5D6E-409C-BE32-E72D297353CC}">
                <c16:uniqueId val="{00000003-2B38-479A-9349-8855EE104512}"/>
              </c:ext>
            </c:extLst>
          </c:dPt>
          <c:dPt>
            <c:idx val="2"/>
            <c:invertIfNegative val="0"/>
            <c:bubble3D val="0"/>
            <c:spPr>
              <a:blipFill>
                <a:blip xmlns:r="http://schemas.openxmlformats.org/officeDocument/2006/relationships" r:embed="rId5"/>
                <a:stretch>
                  <a:fillRect/>
                </a:stretch>
              </a:blipFill>
              <a:ln>
                <a:noFill/>
              </a:ln>
              <a:effectLst/>
            </c:spPr>
            <c:extLst>
              <c:ext xmlns:c16="http://schemas.microsoft.com/office/drawing/2014/chart" uri="{C3380CC4-5D6E-409C-BE32-E72D297353CC}">
                <c16:uniqueId val="{00000005-2B38-479A-9349-8855EE104512}"/>
              </c:ext>
            </c:extLst>
          </c:dPt>
          <c:cat>
            <c:strRef>
              <c:f>Processing!$J$25:$J$27</c:f>
              <c:strCache>
                <c:ptCount val="3"/>
                <c:pt idx="0">
                  <c:v>Prototype 1</c:v>
                </c:pt>
                <c:pt idx="1">
                  <c:v>Prototype 2</c:v>
                </c:pt>
                <c:pt idx="2">
                  <c:v>Prototype 3</c:v>
                </c:pt>
              </c:strCache>
            </c:strRef>
          </c:cat>
          <c:val>
            <c:numRef>
              <c:f>Processing!$K$25:$K$27</c:f>
              <c:numCache>
                <c:formatCode>General</c:formatCode>
                <c:ptCount val="3"/>
                <c:pt idx="0">
                  <c:v>10</c:v>
                </c:pt>
                <c:pt idx="1">
                  <c:v>0</c:v>
                </c:pt>
                <c:pt idx="2">
                  <c:v>0</c:v>
                </c:pt>
              </c:numCache>
            </c:numRef>
          </c:val>
          <c:extLst>
            <c:ext xmlns:c16="http://schemas.microsoft.com/office/drawing/2014/chart" uri="{C3380CC4-5D6E-409C-BE32-E72D297353CC}">
              <c16:uniqueId val="{00000006-2B38-479A-9349-8855EE104512}"/>
            </c:ext>
          </c:extLst>
        </c:ser>
        <c:dLbls>
          <c:showLegendKey val="0"/>
          <c:showVal val="0"/>
          <c:showCatName val="0"/>
          <c:showSerName val="0"/>
          <c:showPercent val="0"/>
          <c:showBubbleSize val="0"/>
        </c:dLbls>
        <c:gapWidth val="5"/>
        <c:overlap val="-27"/>
        <c:axId val="239902559"/>
        <c:axId val="239903999"/>
      </c:barChart>
      <c:catAx>
        <c:axId val="239902559"/>
        <c:scaling>
          <c:orientation val="minMax"/>
        </c:scaling>
        <c:delete val="1"/>
        <c:axPos val="b"/>
        <c:numFmt formatCode="General" sourceLinked="1"/>
        <c:majorTickMark val="none"/>
        <c:minorTickMark val="none"/>
        <c:tickLblPos val="high"/>
        <c:crossAx val="239903999"/>
        <c:crosses val="autoZero"/>
        <c:auto val="1"/>
        <c:lblAlgn val="ctr"/>
        <c:lblOffset val="100"/>
        <c:noMultiLvlLbl val="0"/>
      </c:catAx>
      <c:valAx>
        <c:axId val="239903999"/>
        <c:scaling>
          <c:orientation val="minMax"/>
          <c:max val="10"/>
          <c:min val="0"/>
        </c:scaling>
        <c:delete val="1"/>
        <c:axPos val="l"/>
        <c:numFmt formatCode="General" sourceLinked="1"/>
        <c:majorTickMark val="none"/>
        <c:minorTickMark val="none"/>
        <c:tickLblPos val="nextTo"/>
        <c:crossAx val="2399025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4606650446066508E-2"/>
          <c:y val="0.10954616588419405"/>
          <c:w val="0.91078669910786703"/>
          <c:h val="0.70955972052789174"/>
        </c:manualLayout>
      </c:layout>
      <c:lineChart>
        <c:grouping val="standard"/>
        <c:varyColors val="0"/>
        <c:ser>
          <c:idx val="0"/>
          <c:order val="0"/>
          <c:tx>
            <c:strRef>
              <c:f>'Prototype 1'!$B$49</c:f>
              <c:strCache>
                <c:ptCount val="1"/>
                <c:pt idx="0">
                  <c:v>Cost</c:v>
                </c:pt>
              </c:strCache>
            </c:strRef>
          </c:tx>
          <c:spPr>
            <a:ln w="19050" cap="rnd">
              <a:gradFill>
                <a:gsLst>
                  <a:gs pos="30000">
                    <a:srgbClr val="9933FF"/>
                  </a:gs>
                  <a:gs pos="100000">
                    <a:srgbClr val="CC00CC"/>
                  </a:gs>
                </a:gsLst>
                <a:lin ang="0" scaled="0"/>
              </a:gradFill>
              <a:round/>
            </a:ln>
            <a:effectLst>
              <a:glow rad="127000">
                <a:srgbClr val="9933FF">
                  <a:alpha val="13000"/>
                </a:srgbClr>
              </a:glow>
              <a:outerShdw blurRad="50800" dist="38100" dir="5400000" algn="t" rotWithShape="0">
                <a:prstClr val="black">
                  <a:alpha val="66000"/>
                </a:prstClr>
              </a:outerShdw>
            </a:effectLst>
          </c:spPr>
          <c:marker>
            <c:symbol val="none"/>
          </c:marker>
          <c:cat>
            <c:strRef>
              <c:f>'Prototype 1'!$A$50:$A$56</c:f>
              <c:strCache>
                <c:ptCount val="7"/>
                <c:pt idx="0">
                  <c:v>SUN</c:v>
                </c:pt>
                <c:pt idx="1">
                  <c:v>MON</c:v>
                </c:pt>
                <c:pt idx="2">
                  <c:v>TUE</c:v>
                </c:pt>
                <c:pt idx="3">
                  <c:v>WED</c:v>
                </c:pt>
                <c:pt idx="4">
                  <c:v>THU</c:v>
                </c:pt>
                <c:pt idx="5">
                  <c:v>FRI</c:v>
                </c:pt>
                <c:pt idx="6">
                  <c:v>SAT</c:v>
                </c:pt>
              </c:strCache>
            </c:strRef>
          </c:cat>
          <c:val>
            <c:numRef>
              <c:f>'Prototype 1'!$B$50:$B$56</c:f>
              <c:numCache>
                <c:formatCode>General</c:formatCode>
                <c:ptCount val="7"/>
                <c:pt idx="0">
                  <c:v>155.4</c:v>
                </c:pt>
                <c:pt idx="1">
                  <c:v>100.60000000000001</c:v>
                </c:pt>
                <c:pt idx="2">
                  <c:v>120.6</c:v>
                </c:pt>
                <c:pt idx="3">
                  <c:v>100.50000000000001</c:v>
                </c:pt>
                <c:pt idx="4">
                  <c:v>34.9</c:v>
                </c:pt>
                <c:pt idx="5">
                  <c:v>114.69999999999999</c:v>
                </c:pt>
                <c:pt idx="6">
                  <c:v>120</c:v>
                </c:pt>
              </c:numCache>
            </c:numRef>
          </c:val>
          <c:smooth val="1"/>
          <c:extLst>
            <c:ext xmlns:c16="http://schemas.microsoft.com/office/drawing/2014/chart" uri="{C3380CC4-5D6E-409C-BE32-E72D297353CC}">
              <c16:uniqueId val="{00000000-87D8-42E1-A163-8881D4302EAB}"/>
            </c:ext>
          </c:extLst>
        </c:ser>
        <c:dLbls>
          <c:showLegendKey val="0"/>
          <c:showVal val="0"/>
          <c:showCatName val="0"/>
          <c:showSerName val="0"/>
          <c:showPercent val="0"/>
          <c:showBubbleSize val="0"/>
        </c:dLbls>
        <c:marker val="1"/>
        <c:smooth val="0"/>
        <c:axId val="1848992592"/>
        <c:axId val="1849043952"/>
      </c:lineChart>
      <c:scatterChart>
        <c:scatterStyle val="lineMarker"/>
        <c:varyColors val="0"/>
        <c:ser>
          <c:idx val="1"/>
          <c:order val="1"/>
          <c:tx>
            <c:strRef>
              <c:f>'Prototype 1'!$C$49</c:f>
              <c:strCache>
                <c:ptCount val="1"/>
                <c:pt idx="0">
                  <c:v>Cursor</c:v>
                </c:pt>
              </c:strCache>
            </c:strRef>
          </c:tx>
          <c:spPr>
            <a:ln w="25400" cap="rnd">
              <a:noFill/>
              <a:round/>
            </a:ln>
            <a:effectLst>
              <a:glow rad="101600">
                <a:srgbClr val="9933FF">
                  <a:alpha val="40000"/>
                </a:srgbClr>
              </a:glow>
            </a:effectLst>
          </c:spPr>
          <c:marker>
            <c:symbol val="circle"/>
            <c:size val="5"/>
            <c:spPr>
              <a:solidFill>
                <a:srgbClr val="F7EFFF"/>
              </a:solidFill>
              <a:ln w="12700">
                <a:solidFill>
                  <a:srgbClr val="9933FF"/>
                </a:solidFill>
              </a:ln>
              <a:effectLst>
                <a:glow rad="101600">
                  <a:srgbClr val="9933FF">
                    <a:alpha val="40000"/>
                  </a:srgb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'Prototype 1'!$C$50:$C$56</c:f>
              <c:numCache>
                <c:formatCode>_("$"* #,##0_);_("$"* \(#,##0\);_("$"* "-"??_);_(@_)</c:formatCode>
                <c:ptCount val="7"/>
                <c:pt idx="0">
                  <c:v>#N/A</c:v>
                </c:pt>
                <c:pt idx="1">
                  <c:v>#N/A</c:v>
                </c:pt>
                <c:pt idx="2">
                  <c:v>120.6</c:v>
                </c:pt>
                <c:pt idx="3">
                  <c:v>#N/A</c:v>
                </c:pt>
                <c:pt idx="4">
                  <c:v>#N/A</c:v>
                </c:pt>
                <c:pt idx="5">
                  <c:v>#N/A</c:v>
                </c:pt>
                <c:pt idx="6">
                  <c:v>#N/A</c:v>
                </c:pt>
              </c:numCache>
            </c:numRef>
          </c:yVal>
          <c:smooth val="0"/>
          <c:extLst>
            <c:ext xmlns:c16="http://schemas.microsoft.com/office/drawing/2014/chart" uri="{C3380CC4-5D6E-409C-BE32-E72D297353CC}">
              <c16:uniqueId val="{00000001-87D8-42E1-A163-8881D4302EAB}"/>
            </c:ext>
          </c:extLst>
        </c:ser>
        <c:dLbls>
          <c:showLegendKey val="0"/>
          <c:showVal val="0"/>
          <c:showCatName val="0"/>
          <c:showSerName val="0"/>
          <c:showPercent val="0"/>
          <c:showBubbleSize val="0"/>
        </c:dLbls>
        <c:axId val="1848992592"/>
        <c:axId val="1849043952"/>
      </c:scatterChart>
      <c:catAx>
        <c:axId val="1848992592"/>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849043952"/>
        <c:crosses val="autoZero"/>
        <c:auto val="1"/>
        <c:lblAlgn val="ctr"/>
        <c:lblOffset val="100"/>
        <c:noMultiLvlLbl val="0"/>
      </c:catAx>
      <c:valAx>
        <c:axId val="1849043952"/>
        <c:scaling>
          <c:orientation val="minMax"/>
        </c:scaling>
        <c:delete val="1"/>
        <c:axPos val="l"/>
        <c:numFmt formatCode="General" sourceLinked="1"/>
        <c:majorTickMark val="none"/>
        <c:minorTickMark val="none"/>
        <c:tickLblPos val="nextTo"/>
        <c:crossAx val="184899259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4921946740128558"/>
          <c:y val="0.14921946740128558"/>
          <c:w val="0.71303948576675857"/>
          <c:h val="0.71303948576675857"/>
        </c:manualLayout>
      </c:layout>
      <c:doughnutChart>
        <c:varyColors val="1"/>
        <c:ser>
          <c:idx val="0"/>
          <c:order val="0"/>
          <c:spPr>
            <a:solidFill>
              <a:schemeClr val="accent1"/>
            </a:solidFill>
            <a:ln>
              <a:noFill/>
            </a:ln>
            <a:effectLst>
              <a:outerShdw blurRad="254000" dist="127000" dir="8100000" algn="tr" rotWithShape="0">
                <a:prstClr val="black">
                  <a:alpha val="70000"/>
                </a:prstClr>
              </a:outerShdw>
            </a:effectLst>
          </c:spPr>
          <c:dPt>
            <c:idx val="0"/>
            <c:bubble3D val="0"/>
            <c:spPr>
              <a:gradFill>
                <a:gsLst>
                  <a:gs pos="0">
                    <a:srgbClr val="3399FF"/>
                  </a:gs>
                  <a:gs pos="100000">
                    <a:srgbClr val="2D50FD"/>
                  </a:gs>
                </a:gsLst>
                <a:lin ang="5400000" scaled="1"/>
              </a:gradFill>
              <a:ln w="19050">
                <a:noFill/>
              </a:ln>
              <a:effectLst>
                <a:outerShdw blurRad="254000" dist="127000" dir="8100000" algn="tr" rotWithShape="0">
                  <a:prstClr val="black">
                    <a:alpha val="70000"/>
                  </a:prstClr>
                </a:outerShdw>
              </a:effectLst>
            </c:spPr>
            <c:extLst>
              <c:ext xmlns:c16="http://schemas.microsoft.com/office/drawing/2014/chart" uri="{C3380CC4-5D6E-409C-BE32-E72D297353CC}">
                <c16:uniqueId val="{00000002-1575-49BB-A114-90EF032B50DA}"/>
              </c:ext>
            </c:extLst>
          </c:dPt>
          <c:dPt>
            <c:idx val="1"/>
            <c:bubble3D val="0"/>
            <c:spPr>
              <a:gradFill>
                <a:gsLst>
                  <a:gs pos="0">
                    <a:srgbClr val="9933FF"/>
                  </a:gs>
                  <a:gs pos="100000">
                    <a:srgbClr val="6600CC"/>
                  </a:gs>
                </a:gsLst>
                <a:lin ang="5400000" scaled="1"/>
              </a:gradFill>
              <a:ln w="19050">
                <a:noFill/>
              </a:ln>
              <a:effectLst>
                <a:outerShdw blurRad="254000" dist="127000" dir="8100000" algn="tr" rotWithShape="0">
                  <a:prstClr val="black">
                    <a:alpha val="70000"/>
                  </a:prstClr>
                </a:outerShdw>
              </a:effectLst>
            </c:spPr>
            <c:extLst>
              <c:ext xmlns:c16="http://schemas.microsoft.com/office/drawing/2014/chart" uri="{C3380CC4-5D6E-409C-BE32-E72D297353CC}">
                <c16:uniqueId val="{00000001-1575-49BB-A114-90EF032B50DA}"/>
              </c:ext>
            </c:extLst>
          </c:dPt>
          <c:val>
            <c:numRef>
              <c:f>'Prototype 1'!$H$51:$I$51</c:f>
              <c:numCache>
                <c:formatCode>0%</c:formatCode>
                <c:ptCount val="2"/>
                <c:pt idx="0">
                  <c:v>0.49786666666666668</c:v>
                </c:pt>
                <c:pt idx="1">
                  <c:v>0.50213333333333332</c:v>
                </c:pt>
              </c:numCache>
            </c:numRef>
          </c:val>
          <c:extLst>
            <c:ext xmlns:c16="http://schemas.microsoft.com/office/drawing/2014/chart" uri="{C3380CC4-5D6E-409C-BE32-E72D297353CC}">
              <c16:uniqueId val="{00000000-1575-49BB-A114-90EF032B50DA}"/>
            </c:ext>
          </c:extLst>
        </c:ser>
        <c:dLbls>
          <c:showLegendKey val="0"/>
          <c:showVal val="0"/>
          <c:showCatName val="0"/>
          <c:showSerName val="0"/>
          <c:showPercent val="0"/>
          <c:showBubbleSize val="0"/>
          <c:showLeaderLines val="1"/>
        </c:dLbls>
        <c:firstSliceAng val="0"/>
        <c:holeSize val="6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noFill/>
            <a:ln>
              <a:noFill/>
            </a:ln>
            <a:effectLst/>
          </c:spPr>
          <c:invertIfNegative val="0"/>
          <c:cat>
            <c:strRef>
              <c:f>'Prototype 1'!$K$50:$K$52</c:f>
              <c:strCache>
                <c:ptCount val="3"/>
                <c:pt idx="0">
                  <c:v>Savings</c:v>
                </c:pt>
                <c:pt idx="1">
                  <c:v>Side Job</c:v>
                </c:pt>
                <c:pt idx="2">
                  <c:v>Salary</c:v>
                </c:pt>
              </c:strCache>
            </c:strRef>
          </c:cat>
          <c:val>
            <c:numRef>
              <c:f>'Prototype 1'!$L$50:$L$52</c:f>
              <c:numCache>
                <c:formatCode>_("$"* #,##0.00_);_("$"* \(#,##0.00\);_("$"* "-"??_);_(@_)</c:formatCode>
                <c:ptCount val="3"/>
                <c:pt idx="0">
                  <c:v>15.813000000000001</c:v>
                </c:pt>
                <c:pt idx="1">
                  <c:v>15.813000000000001</c:v>
                </c:pt>
                <c:pt idx="2">
                  <c:v>15.813000000000001</c:v>
                </c:pt>
              </c:numCache>
            </c:numRef>
          </c:val>
          <c:extLst>
            <c:ext xmlns:c16="http://schemas.microsoft.com/office/drawing/2014/chart" uri="{C3380CC4-5D6E-409C-BE32-E72D297353CC}">
              <c16:uniqueId val="{00000000-0459-4F64-9261-834A51C6DA85}"/>
            </c:ext>
          </c:extLst>
        </c:ser>
        <c:ser>
          <c:idx val="1"/>
          <c:order val="1"/>
          <c:spPr>
            <a:solidFill>
              <a:schemeClr val="accent2"/>
            </a:solidFill>
            <a:ln w="1270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dPt>
            <c:idx val="0"/>
            <c:invertIfNegative val="0"/>
            <c:bubble3D val="0"/>
            <c:spPr>
              <a:solidFill>
                <a:schemeClr val="accent2"/>
              </a:solidFill>
              <a:ln w="127000">
                <a:gradFill>
                  <a:gsLst>
                    <a:gs pos="0">
                      <a:srgbClr val="9933FF"/>
                    </a:gs>
                    <a:gs pos="90000">
                      <a:srgbClr val="553CE8"/>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2-0459-4F64-9261-834A51C6DA85}"/>
              </c:ext>
            </c:extLst>
          </c:dPt>
          <c:dPt>
            <c:idx val="1"/>
            <c:invertIfNegative val="0"/>
            <c:bubble3D val="0"/>
            <c:spPr>
              <a:solidFill>
                <a:schemeClr val="accent2"/>
              </a:solidFill>
              <a:ln w="127000">
                <a:gradFill>
                  <a:gsLst>
                    <a:gs pos="15000">
                      <a:srgbClr val="3190FE"/>
                    </a:gs>
                    <a:gs pos="100000">
                      <a:srgbClr val="2838EB"/>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0459-4F64-9261-834A51C6DA85}"/>
              </c:ext>
            </c:extLst>
          </c:dPt>
          <c:dPt>
            <c:idx val="2"/>
            <c:invertIfNegative val="0"/>
            <c:bubble3D val="0"/>
            <c:spPr>
              <a:solidFill>
                <a:schemeClr val="accent2"/>
              </a:solidFill>
              <a:ln w="127000">
                <a:gradFill>
                  <a:gsLst>
                    <a:gs pos="0">
                      <a:srgbClr val="8264FA"/>
                    </a:gs>
                    <a:gs pos="100000">
                      <a:srgbClr val="2D41F5"/>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4-0459-4F64-9261-834A51C6DA85}"/>
              </c:ext>
            </c:extLst>
          </c:dPt>
          <c:cat>
            <c:strRef>
              <c:f>'Prototype 1'!$K$50:$K$52</c:f>
              <c:strCache>
                <c:ptCount val="3"/>
                <c:pt idx="0">
                  <c:v>Savings</c:v>
                </c:pt>
                <c:pt idx="1">
                  <c:v>Side Job</c:v>
                </c:pt>
                <c:pt idx="2">
                  <c:v>Salary</c:v>
                </c:pt>
              </c:strCache>
            </c:strRef>
          </c:cat>
          <c:val>
            <c:numRef>
              <c:f>'Prototype 1'!$M$50:$M$52</c:f>
              <c:numCache>
                <c:formatCode>_("$"* #,##0.00_);_("$"* \(#,##0.00\);_("$"* "-"??_);_(@_)</c:formatCode>
                <c:ptCount val="3"/>
                <c:pt idx="0">
                  <c:v>75.599999999999994</c:v>
                </c:pt>
                <c:pt idx="1">
                  <c:v>151.80000000000001</c:v>
                </c:pt>
                <c:pt idx="2">
                  <c:v>225.89999999999998</c:v>
                </c:pt>
              </c:numCache>
            </c:numRef>
          </c:val>
          <c:extLst>
            <c:ext xmlns:c16="http://schemas.microsoft.com/office/drawing/2014/chart" uri="{C3380CC4-5D6E-409C-BE32-E72D297353CC}">
              <c16:uniqueId val="{00000001-0459-4F64-9261-834A51C6DA85}"/>
            </c:ext>
          </c:extLst>
        </c:ser>
        <c:dLbls>
          <c:showLegendKey val="0"/>
          <c:showVal val="0"/>
          <c:showCatName val="0"/>
          <c:showSerName val="0"/>
          <c:showPercent val="0"/>
          <c:showBubbleSize val="0"/>
        </c:dLbls>
        <c:gapWidth val="320"/>
        <c:overlap val="100"/>
        <c:axId val="1560926272"/>
        <c:axId val="1560911872"/>
      </c:barChart>
      <c:scatterChart>
        <c:scatterStyle val="lineMarker"/>
        <c:varyColors val="0"/>
        <c:ser>
          <c:idx val="2"/>
          <c:order val="2"/>
          <c:tx>
            <c:strRef>
              <c:f>'Prototype 1'!$N$49</c:f>
              <c:strCache>
                <c:ptCount val="1"/>
                <c:pt idx="0">
                  <c:v>Marker</c:v>
                </c:pt>
              </c:strCache>
            </c:strRef>
          </c:tx>
          <c:spPr>
            <a:ln w="25400" cap="rnd">
              <a:noFill/>
              <a:round/>
            </a:ln>
            <a:effectLst/>
          </c:spPr>
          <c:marker>
            <c:symbol val="none"/>
          </c:marker>
          <c:dLbls>
            <c:dLbl>
              <c:idx val="0"/>
              <c:tx>
                <c:rich>
                  <a:bodyPr/>
                  <a:lstStyle/>
                  <a:p>
                    <a:fld id="{C188985D-301D-4BA7-98F2-3BE8492EDD27}"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8-7D1E-4888-88FE-3E83E6BDBE67}"/>
                </c:ext>
              </c:extLst>
            </c:dLbl>
            <c:dLbl>
              <c:idx val="1"/>
              <c:tx>
                <c:rich>
                  <a:bodyPr/>
                  <a:lstStyle/>
                  <a:p>
                    <a:fld id="{02CC03A0-CB81-4E8E-91FF-1AFEB27C26C6}"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7D1E-4888-88FE-3E83E6BDBE67}"/>
                </c:ext>
              </c:extLst>
            </c:dLbl>
            <c:dLbl>
              <c:idx val="2"/>
              <c:tx>
                <c:rich>
                  <a:bodyPr/>
                  <a:lstStyle/>
                  <a:p>
                    <a:fld id="{25E5A48B-945B-4A78-AB17-4C1C5BA70B8F}"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7D1E-4888-88FE-3E83E6BDBE67}"/>
                </c:ext>
              </c:extLst>
            </c:dLbl>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2">
                        <a:lumMod val="10000"/>
                        <a:lumOff val="90000"/>
                      </a:schemeClr>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0"/>
              </c:ext>
            </c:extLst>
          </c:dLbls>
          <c:yVal>
            <c:numRef>
              <c:f>'Prototype 1'!$N$50:$N$52</c:f>
              <c:numCache>
                <c:formatCode>General</c:formatCode>
                <c:ptCount val="3"/>
                <c:pt idx="0">
                  <c:v>91.412999999999997</c:v>
                </c:pt>
                <c:pt idx="1">
                  <c:v>167.613</c:v>
                </c:pt>
                <c:pt idx="2">
                  <c:v>241.71299999999997</c:v>
                </c:pt>
              </c:numCache>
            </c:numRef>
          </c:yVal>
          <c:smooth val="0"/>
          <c:extLst>
            <c:ext xmlns:c15="http://schemas.microsoft.com/office/drawing/2012/chart" uri="{02D57815-91ED-43cb-92C2-25804820EDAC}">
              <c15:datalabelsRange>
                <c15:f>'Prototype 1'!$O$50:$O$52</c15:f>
                <c15:dlblRangeCache>
                  <c:ptCount val="3"/>
                  <c:pt idx="0">
                    <c:v> $76 </c:v>
                  </c:pt>
                  <c:pt idx="1">
                    <c:v> $152 </c:v>
                  </c:pt>
                  <c:pt idx="2">
                    <c:v> $226 </c:v>
                  </c:pt>
                </c15:dlblRangeCache>
              </c15:datalabelsRange>
            </c:ext>
            <c:ext xmlns:c16="http://schemas.microsoft.com/office/drawing/2014/chart" uri="{C3380CC4-5D6E-409C-BE32-E72D297353CC}">
              <c16:uniqueId val="{00000007-7D1E-4888-88FE-3E83E6BDBE67}"/>
            </c:ext>
          </c:extLst>
        </c:ser>
        <c:dLbls>
          <c:showLegendKey val="0"/>
          <c:showVal val="0"/>
          <c:showCatName val="0"/>
          <c:showSerName val="0"/>
          <c:showPercent val="0"/>
          <c:showBubbleSize val="0"/>
        </c:dLbls>
        <c:axId val="1560926272"/>
        <c:axId val="1560911872"/>
      </c:scatterChart>
      <c:catAx>
        <c:axId val="1560926272"/>
        <c:scaling>
          <c:orientation val="minMax"/>
        </c:scaling>
        <c:delete val="0"/>
        <c:axPos val="b"/>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000" b="0" i="0" u="none" strike="noStrike" kern="1200" baseline="0">
                <a:solidFill>
                  <a:schemeClr val="tx2">
                    <a:lumMod val="25000"/>
                    <a:lumOff val="75000"/>
                  </a:schemeClr>
                </a:solidFill>
                <a:latin typeface="+mn-lt"/>
                <a:ea typeface="+mn-ea"/>
                <a:cs typeface="+mn-cs"/>
              </a:defRPr>
            </a:pPr>
            <a:endParaRPr lang="ru-RU"/>
          </a:p>
        </c:txPr>
        <c:crossAx val="1560911872"/>
        <c:crosses val="autoZero"/>
        <c:auto val="1"/>
        <c:lblAlgn val="ctr"/>
        <c:lblOffset val="100"/>
        <c:noMultiLvlLbl val="0"/>
      </c:catAx>
      <c:valAx>
        <c:axId val="1560911872"/>
        <c:scaling>
          <c:orientation val="minMax"/>
        </c:scaling>
        <c:delete val="1"/>
        <c:axPos val="l"/>
        <c:numFmt formatCode="_(&quot;$&quot;* #,##0.00_);_(&quot;$&quot;* \(#,##0.00\);_(&quot;$&quot;* &quot;-&quot;??_);_(@_)" sourceLinked="1"/>
        <c:majorTickMark val="none"/>
        <c:minorTickMark val="none"/>
        <c:tickLblPos val="nextTo"/>
        <c:crossAx val="156092627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filled"/>
        <c:varyColors val="0"/>
        <c:ser>
          <c:idx val="0"/>
          <c:order val="0"/>
          <c:spPr>
            <a:gradFill>
              <a:gsLst>
                <a:gs pos="0">
                  <a:srgbClr val="C849F4">
                    <a:alpha val="70000"/>
                  </a:srgbClr>
                </a:gs>
                <a:gs pos="100000">
                  <a:srgbClr val="4331DC">
                    <a:alpha val="70000"/>
                  </a:srgbClr>
                </a:gs>
              </a:gsLst>
              <a:lin ang="8100000" scaled="1"/>
            </a:gradFill>
            <a:ln w="9525">
              <a:gradFill>
                <a:gsLst>
                  <a:gs pos="0">
                    <a:srgbClr val="D679F7"/>
                  </a:gs>
                  <a:gs pos="100000">
                    <a:srgbClr val="6457E3"/>
                  </a:gs>
                </a:gsLst>
                <a:lin ang="5400000" scaled="1"/>
              </a:gradFill>
            </a:ln>
            <a:effectLst/>
          </c:spPr>
          <c:dLbls>
            <c:numFmt formatCode="_(&quot;$&quot;* #,##0_);_(&quot;$&quot;* \(#,##0\);_(&quot;$&quot;* &quot;-&quot;_);_(@_)"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lumMod val="10000"/>
                        <a:lumOff val="90000"/>
                      </a:schemeClr>
                    </a:solidFill>
                    <a:latin typeface="+mn-lt"/>
                    <a:ea typeface="+mn-ea"/>
                    <a:cs typeface="+mn-cs"/>
                  </a:defRPr>
                </a:pPr>
                <a:endParaRPr lang="ru-RU"/>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'Prototype 1'!$D$56:$D$60</c:f>
              <c:strCache>
                <c:ptCount val="5"/>
                <c:pt idx="0">
                  <c:v>E</c:v>
                </c:pt>
                <c:pt idx="1">
                  <c:v>F</c:v>
                </c:pt>
                <c:pt idx="2">
                  <c:v>L</c:v>
                </c:pt>
                <c:pt idx="3">
                  <c:v>S</c:v>
                </c:pt>
                <c:pt idx="4">
                  <c:v>H</c:v>
                </c:pt>
              </c:strCache>
            </c:strRef>
          </c:cat>
          <c:val>
            <c:numRef>
              <c:f>'Prototype 1'!$F$56:$F$60</c:f>
              <c:numCache>
                <c:formatCode>_("$"* #,##0.00_);_("$"* \(#,##0.00\);_("$"* "-"??_);_(@_)</c:formatCode>
                <c:ptCount val="5"/>
                <c:pt idx="0">
                  <c:v>39.799999999999997</c:v>
                </c:pt>
                <c:pt idx="1">
                  <c:v>20.399999999999999</c:v>
                </c:pt>
                <c:pt idx="2">
                  <c:v>24.6</c:v>
                </c:pt>
                <c:pt idx="3">
                  <c:v>25.3</c:v>
                </c:pt>
                <c:pt idx="4">
                  <c:v>10.5</c:v>
                </c:pt>
              </c:numCache>
            </c:numRef>
          </c:val>
          <c:extLst>
            <c:ext xmlns:c16="http://schemas.microsoft.com/office/drawing/2014/chart" uri="{C3380CC4-5D6E-409C-BE32-E72D297353CC}">
              <c16:uniqueId val="{00000000-6D81-48C4-A955-358417978E34}"/>
            </c:ext>
          </c:extLst>
        </c:ser>
        <c:dLbls>
          <c:showLegendKey val="0"/>
          <c:showVal val="0"/>
          <c:showCatName val="0"/>
          <c:showSerName val="0"/>
          <c:showPercent val="0"/>
          <c:showBubbleSize val="0"/>
        </c:dLbls>
        <c:axId val="668911503"/>
        <c:axId val="668897103"/>
      </c:radarChart>
      <c:catAx>
        <c:axId val="6689115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668897103"/>
        <c:crosses val="autoZero"/>
        <c:auto val="1"/>
        <c:lblAlgn val="ctr"/>
        <c:lblOffset val="100"/>
        <c:noMultiLvlLbl val="0"/>
      </c:catAx>
      <c:valAx>
        <c:axId val="668897103"/>
        <c:scaling>
          <c:orientation val="minMax"/>
        </c:scaling>
        <c:delete val="1"/>
        <c:axPos val="l"/>
        <c:majorGridlines>
          <c:spPr>
            <a:ln w="6350" cap="flat" cmpd="sng" algn="ctr">
              <a:solidFill>
                <a:srgbClr val="8264FA"/>
              </a:solidFill>
              <a:round/>
            </a:ln>
            <a:effectLst/>
          </c:spPr>
        </c:majorGridlines>
        <c:numFmt formatCode="_(&quot;$&quot;* #,##0.00_);_(&quot;$&quot;* \(#,##0.00\);_(&quot;$&quot;* &quot;-&quot;??_);_(@_)" sourceLinked="1"/>
        <c:majorTickMark val="none"/>
        <c:minorTickMark val="none"/>
        <c:tickLblPos val="nextTo"/>
        <c:crossAx val="6689115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tx>
            <c:strRef>
              <c:f>'Prototype 1'!$J$55</c:f>
              <c:strCache>
                <c:ptCount val="1"/>
                <c:pt idx="0">
                  <c:v>indent</c:v>
                </c:pt>
              </c:strCache>
            </c:strRef>
          </c:tx>
          <c:spPr>
            <a:noFill/>
            <a:ln>
              <a:noFill/>
            </a:ln>
            <a:effectLst/>
          </c:spPr>
          <c:invertIfNegative val="0"/>
          <c:val>
            <c:numRef>
              <c:f>'Prototype 1'!$J$56:$J$59</c:f>
              <c:numCache>
                <c:formatCode>General</c:formatCode>
                <c:ptCount val="4"/>
                <c:pt idx="0">
                  <c:v>4.0280000000000005</c:v>
                </c:pt>
                <c:pt idx="1">
                  <c:v>4.0280000000000005</c:v>
                </c:pt>
                <c:pt idx="2">
                  <c:v>4.0280000000000005</c:v>
                </c:pt>
                <c:pt idx="3">
                  <c:v>4.0280000000000005</c:v>
                </c:pt>
              </c:numCache>
            </c:numRef>
          </c:val>
          <c:extLst>
            <c:ext xmlns:c16="http://schemas.microsoft.com/office/drawing/2014/chart" uri="{C3380CC4-5D6E-409C-BE32-E72D297353CC}">
              <c16:uniqueId val="{00000001-FD37-4AE0-9C6A-0921C5B2E737}"/>
            </c:ext>
          </c:extLst>
        </c:ser>
        <c:ser>
          <c:idx val="0"/>
          <c:order val="1"/>
          <c:spPr>
            <a:solidFill>
              <a:schemeClr val="accent1"/>
            </a:solidFill>
            <a:ln w="101600">
              <a:gradFill>
                <a:gsLst>
                  <a:gs pos="0">
                    <a:srgbClr val="3190FE"/>
                  </a:gs>
                  <a:gs pos="100000">
                    <a:srgbClr val="C849F4"/>
                  </a:gs>
                </a:gsLst>
                <a:lin ang="5400000" scaled="1"/>
              </a:gradFill>
            </a:ln>
            <a:effectLst>
              <a:outerShdw blurRad="50800" dist="38100" dir="8100000" algn="tr" rotWithShape="0">
                <a:prstClr val="black">
                  <a:alpha val="40000"/>
                </a:prst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'Prototype 1'!$K$56:$K$59</c:f>
              <c:strCache>
                <c:ptCount val="4"/>
                <c:pt idx="0">
                  <c:v>Home</c:v>
                </c:pt>
                <c:pt idx="1">
                  <c:v>Work</c:v>
                </c:pt>
                <c:pt idx="2">
                  <c:v>Save</c:v>
                </c:pt>
                <c:pt idx="3">
                  <c:v>Body</c:v>
                </c:pt>
              </c:strCache>
            </c:strRef>
          </c:cat>
          <c:val>
            <c:numRef>
              <c:f>'Prototype 1'!$L$56:$L$59</c:f>
              <c:numCache>
                <c:formatCode>_("$"* #,##0_);_("$"* \(#,##0\);_("$"* "-"??_);_(@_)</c:formatCode>
                <c:ptCount val="4"/>
                <c:pt idx="0">
                  <c:v>100.7</c:v>
                </c:pt>
                <c:pt idx="1">
                  <c:v>51.2</c:v>
                </c:pt>
                <c:pt idx="2">
                  <c:v>20.3</c:v>
                </c:pt>
                <c:pt idx="3">
                  <c:v>9.9</c:v>
                </c:pt>
              </c:numCache>
            </c:numRef>
          </c:val>
          <c:extLst>
            <c:ext xmlns:c16="http://schemas.microsoft.com/office/drawing/2014/chart" uri="{C3380CC4-5D6E-409C-BE32-E72D297353CC}">
              <c16:uniqueId val="{00000000-FD37-4AE0-9C6A-0921C5B2E737}"/>
            </c:ext>
          </c:extLst>
        </c:ser>
        <c:dLbls>
          <c:showLegendKey val="0"/>
          <c:showVal val="0"/>
          <c:showCatName val="0"/>
          <c:showSerName val="0"/>
          <c:showPercent val="0"/>
          <c:showBubbleSize val="0"/>
        </c:dLbls>
        <c:gapWidth val="250"/>
        <c:overlap val="100"/>
        <c:axId val="1512775584"/>
        <c:axId val="1512754944"/>
      </c:barChart>
      <c:catAx>
        <c:axId val="1512775584"/>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512754944"/>
        <c:crosses val="autoZero"/>
        <c:auto val="1"/>
        <c:lblAlgn val="ctr"/>
        <c:lblOffset val="100"/>
        <c:noMultiLvlLbl val="0"/>
      </c:catAx>
      <c:valAx>
        <c:axId val="1512754944"/>
        <c:scaling>
          <c:orientation val="minMax"/>
        </c:scaling>
        <c:delete val="1"/>
        <c:axPos val="t"/>
        <c:numFmt formatCode="General" sourceLinked="1"/>
        <c:majorTickMark val="none"/>
        <c:minorTickMark val="none"/>
        <c:tickLblPos val="nextTo"/>
        <c:crossAx val="151277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3.3763044812768567E-2"/>
          <c:y val="6.0185185185185182E-2"/>
          <c:w val="0.93247391037446281"/>
          <c:h val="0.88888888888888884"/>
        </c:manualLayout>
      </c:layout>
      <c:barChart>
        <c:barDir val="col"/>
        <c:grouping val="stacked"/>
        <c:varyColors val="0"/>
        <c:ser>
          <c:idx val="0"/>
          <c:order val="0"/>
          <c:spPr>
            <a:no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2'!$K$61:$Q$61</c:f>
              <c:numCache>
                <c:formatCode>General</c:formatCode>
                <c:ptCount val="7"/>
                <c:pt idx="0">
                  <c:v>1</c:v>
                </c:pt>
                <c:pt idx="1">
                  <c:v>0</c:v>
                </c:pt>
                <c:pt idx="2">
                  <c:v>0</c:v>
                </c:pt>
                <c:pt idx="3">
                  <c:v>0</c:v>
                </c:pt>
                <c:pt idx="4">
                  <c:v>0</c:v>
                </c:pt>
                <c:pt idx="5">
                  <c:v>0</c:v>
                </c:pt>
                <c:pt idx="6">
                  <c:v>0</c:v>
                </c:pt>
              </c:numCache>
            </c:numRef>
          </c:val>
          <c:extLst>
            <c:ext xmlns:c16="http://schemas.microsoft.com/office/drawing/2014/chart" uri="{C3380CC4-5D6E-409C-BE32-E72D297353CC}">
              <c16:uniqueId val="{00000019-7B8A-4D37-B48C-26E09A9CB999}"/>
            </c:ext>
          </c:extLst>
        </c:ser>
        <c:ser>
          <c:idx val="1"/>
          <c:order val="1"/>
          <c:spPr>
            <a:blipFill>
              <a:blip xmlns:r="http://schemas.openxmlformats.org/officeDocument/2006/relationships" r:embed="rId1"/>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2'!$K$62:$Q$62</c:f>
              <c:numCache>
                <c:formatCode>General</c:formatCode>
                <c:ptCount val="7"/>
                <c:pt idx="0">
                  <c:v>0</c:v>
                </c:pt>
                <c:pt idx="1">
                  <c:v>0</c:v>
                </c:pt>
                <c:pt idx="2">
                  <c:v>0</c:v>
                </c:pt>
                <c:pt idx="3">
                  <c:v>1</c:v>
                </c:pt>
                <c:pt idx="4">
                  <c:v>1</c:v>
                </c:pt>
                <c:pt idx="5">
                  <c:v>0</c:v>
                </c:pt>
                <c:pt idx="6">
                  <c:v>0</c:v>
                </c:pt>
              </c:numCache>
            </c:numRef>
          </c:val>
          <c:extLst>
            <c:ext xmlns:c16="http://schemas.microsoft.com/office/drawing/2014/chart" uri="{C3380CC4-5D6E-409C-BE32-E72D297353CC}">
              <c16:uniqueId val="{0000001B-7B8A-4D37-B48C-26E09A9CB999}"/>
            </c:ext>
          </c:extLst>
        </c:ser>
        <c:ser>
          <c:idx val="2"/>
          <c:order val="2"/>
          <c:spPr>
            <a:blipFill>
              <a:blip xmlns:r="http://schemas.openxmlformats.org/officeDocument/2006/relationships" r:embed="rId2"/>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2'!$K$63:$Q$63</c:f>
              <c:numCache>
                <c:formatCode>General</c:formatCode>
                <c:ptCount val="7"/>
                <c:pt idx="0">
                  <c:v>0</c:v>
                </c:pt>
                <c:pt idx="1">
                  <c:v>1</c:v>
                </c:pt>
                <c:pt idx="2">
                  <c:v>1</c:v>
                </c:pt>
                <c:pt idx="3">
                  <c:v>0</c:v>
                </c:pt>
                <c:pt idx="4">
                  <c:v>0</c:v>
                </c:pt>
                <c:pt idx="5">
                  <c:v>0</c:v>
                </c:pt>
                <c:pt idx="6">
                  <c:v>0</c:v>
                </c:pt>
              </c:numCache>
            </c:numRef>
          </c:val>
          <c:extLst>
            <c:ext xmlns:c16="http://schemas.microsoft.com/office/drawing/2014/chart" uri="{C3380CC4-5D6E-409C-BE32-E72D297353CC}">
              <c16:uniqueId val="{0000001D-7B8A-4D37-B48C-26E09A9CB999}"/>
            </c:ext>
          </c:extLst>
        </c:ser>
        <c:ser>
          <c:idx val="3"/>
          <c:order val="3"/>
          <c:spPr>
            <a:blipFill>
              <a:blip xmlns:r="http://schemas.openxmlformats.org/officeDocument/2006/relationships" r:embed="rId3"/>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2'!$K$64:$Q$64</c:f>
              <c:numCache>
                <c:formatCode>General</c:formatCode>
                <c:ptCount val="7"/>
                <c:pt idx="0">
                  <c:v>0</c:v>
                </c:pt>
                <c:pt idx="1">
                  <c:v>0</c:v>
                </c:pt>
                <c:pt idx="2">
                  <c:v>0</c:v>
                </c:pt>
                <c:pt idx="3">
                  <c:v>0</c:v>
                </c:pt>
                <c:pt idx="4">
                  <c:v>0</c:v>
                </c:pt>
                <c:pt idx="5">
                  <c:v>1</c:v>
                </c:pt>
                <c:pt idx="6">
                  <c:v>1</c:v>
                </c:pt>
              </c:numCache>
            </c:numRef>
          </c:val>
          <c:extLst>
            <c:ext xmlns:c16="http://schemas.microsoft.com/office/drawing/2014/chart" uri="{C3380CC4-5D6E-409C-BE32-E72D297353CC}">
              <c16:uniqueId val="{0000001F-7B8A-4D37-B48C-26E09A9CB999}"/>
            </c:ext>
          </c:extLst>
        </c:ser>
        <c:ser>
          <c:idx val="4"/>
          <c:order val="4"/>
          <c:spPr>
            <a:no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2'!$K$65:$Q$65</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21-7B8A-4D37-B48C-26E09A9CB999}"/>
            </c:ext>
          </c:extLst>
        </c:ser>
        <c:ser>
          <c:idx val="5"/>
          <c:order val="5"/>
          <c:spPr>
            <a:blipFill>
              <a:blip xmlns:r="http://schemas.openxmlformats.org/officeDocument/2006/relationships" r:embed="rId1"/>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2'!$K$66:$Q$66</c:f>
              <c:numCache>
                <c:formatCode>General</c:formatCode>
                <c:ptCount val="7"/>
                <c:pt idx="0">
                  <c:v>1</c:v>
                </c:pt>
                <c:pt idx="1">
                  <c:v>0</c:v>
                </c:pt>
                <c:pt idx="2">
                  <c:v>0</c:v>
                </c:pt>
                <c:pt idx="3">
                  <c:v>0</c:v>
                </c:pt>
                <c:pt idx="4">
                  <c:v>0</c:v>
                </c:pt>
                <c:pt idx="5">
                  <c:v>1</c:v>
                </c:pt>
                <c:pt idx="6">
                  <c:v>0</c:v>
                </c:pt>
              </c:numCache>
            </c:numRef>
          </c:val>
          <c:extLst>
            <c:ext xmlns:c16="http://schemas.microsoft.com/office/drawing/2014/chart" uri="{C3380CC4-5D6E-409C-BE32-E72D297353CC}">
              <c16:uniqueId val="{00000023-7B8A-4D37-B48C-26E09A9CB999}"/>
            </c:ext>
          </c:extLst>
        </c:ser>
        <c:ser>
          <c:idx val="6"/>
          <c:order val="6"/>
          <c:spPr>
            <a:blipFill>
              <a:blip xmlns:r="http://schemas.openxmlformats.org/officeDocument/2006/relationships" r:embed="rId2"/>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2'!$K$67:$Q$67</c:f>
              <c:numCache>
                <c:formatCode>General</c:formatCode>
                <c:ptCount val="7"/>
                <c:pt idx="0">
                  <c:v>0</c:v>
                </c:pt>
                <c:pt idx="1">
                  <c:v>1</c:v>
                </c:pt>
                <c:pt idx="2">
                  <c:v>1</c:v>
                </c:pt>
                <c:pt idx="3">
                  <c:v>0</c:v>
                </c:pt>
                <c:pt idx="4">
                  <c:v>1</c:v>
                </c:pt>
                <c:pt idx="5">
                  <c:v>0</c:v>
                </c:pt>
                <c:pt idx="6">
                  <c:v>0</c:v>
                </c:pt>
              </c:numCache>
            </c:numRef>
          </c:val>
          <c:extLst>
            <c:ext xmlns:c16="http://schemas.microsoft.com/office/drawing/2014/chart" uri="{C3380CC4-5D6E-409C-BE32-E72D297353CC}">
              <c16:uniqueId val="{00000025-7B8A-4D37-B48C-26E09A9CB999}"/>
            </c:ext>
          </c:extLst>
        </c:ser>
        <c:ser>
          <c:idx val="7"/>
          <c:order val="7"/>
          <c:spPr>
            <a:blipFill>
              <a:blip xmlns:r="http://schemas.openxmlformats.org/officeDocument/2006/relationships" r:embed="rId3"/>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2'!$K$68:$Q$68</c:f>
              <c:numCache>
                <c:formatCode>General</c:formatCode>
                <c:ptCount val="7"/>
                <c:pt idx="0">
                  <c:v>0</c:v>
                </c:pt>
                <c:pt idx="1">
                  <c:v>0</c:v>
                </c:pt>
                <c:pt idx="2">
                  <c:v>0</c:v>
                </c:pt>
                <c:pt idx="3">
                  <c:v>1</c:v>
                </c:pt>
                <c:pt idx="4">
                  <c:v>0</c:v>
                </c:pt>
                <c:pt idx="5">
                  <c:v>0</c:v>
                </c:pt>
                <c:pt idx="6">
                  <c:v>1</c:v>
                </c:pt>
              </c:numCache>
            </c:numRef>
          </c:val>
          <c:extLst>
            <c:ext xmlns:c16="http://schemas.microsoft.com/office/drawing/2014/chart" uri="{C3380CC4-5D6E-409C-BE32-E72D297353CC}">
              <c16:uniqueId val="{00000027-7B8A-4D37-B48C-26E09A9CB999}"/>
            </c:ext>
          </c:extLst>
        </c:ser>
        <c:ser>
          <c:idx val="8"/>
          <c:order val="8"/>
          <c:spPr>
            <a:no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2'!$K$69:$Q$69</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29-7B8A-4D37-B48C-26E09A9CB999}"/>
            </c:ext>
          </c:extLst>
        </c:ser>
        <c:ser>
          <c:idx val="9"/>
          <c:order val="9"/>
          <c:spPr>
            <a:blipFill>
              <a:blip xmlns:r="http://schemas.openxmlformats.org/officeDocument/2006/relationships" r:embed="rId1"/>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2'!$K$70:$Q$70</c:f>
              <c:numCache>
                <c:formatCode>General</c:formatCode>
                <c:ptCount val="7"/>
                <c:pt idx="0">
                  <c:v>0</c:v>
                </c:pt>
                <c:pt idx="1">
                  <c:v>0</c:v>
                </c:pt>
                <c:pt idx="2">
                  <c:v>1</c:v>
                </c:pt>
                <c:pt idx="3">
                  <c:v>1</c:v>
                </c:pt>
                <c:pt idx="4">
                  <c:v>1</c:v>
                </c:pt>
                <c:pt idx="5">
                  <c:v>1</c:v>
                </c:pt>
                <c:pt idx="6">
                  <c:v>0</c:v>
                </c:pt>
              </c:numCache>
            </c:numRef>
          </c:val>
          <c:extLst>
            <c:ext xmlns:c16="http://schemas.microsoft.com/office/drawing/2014/chart" uri="{C3380CC4-5D6E-409C-BE32-E72D297353CC}">
              <c16:uniqueId val="{0000002B-7B8A-4D37-B48C-26E09A9CB999}"/>
            </c:ext>
          </c:extLst>
        </c:ser>
        <c:ser>
          <c:idx val="10"/>
          <c:order val="10"/>
          <c:spPr>
            <a:blipFill>
              <a:blip xmlns:r="http://schemas.openxmlformats.org/officeDocument/2006/relationships" r:embed="rId2"/>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2'!$K$71:$Q$71</c:f>
              <c:numCache>
                <c:formatCode>General</c:formatCode>
                <c:ptCount val="7"/>
                <c:pt idx="0">
                  <c:v>1</c:v>
                </c:pt>
                <c:pt idx="1">
                  <c:v>1</c:v>
                </c:pt>
                <c:pt idx="2">
                  <c:v>0</c:v>
                </c:pt>
                <c:pt idx="3">
                  <c:v>0</c:v>
                </c:pt>
                <c:pt idx="4">
                  <c:v>0</c:v>
                </c:pt>
                <c:pt idx="5">
                  <c:v>0</c:v>
                </c:pt>
                <c:pt idx="6">
                  <c:v>1</c:v>
                </c:pt>
              </c:numCache>
            </c:numRef>
          </c:val>
          <c:extLst>
            <c:ext xmlns:c16="http://schemas.microsoft.com/office/drawing/2014/chart" uri="{C3380CC4-5D6E-409C-BE32-E72D297353CC}">
              <c16:uniqueId val="{0000002D-7B8A-4D37-B48C-26E09A9CB999}"/>
            </c:ext>
          </c:extLst>
        </c:ser>
        <c:ser>
          <c:idx val="11"/>
          <c:order val="11"/>
          <c:spPr>
            <a:blipFill>
              <a:blip xmlns:r="http://schemas.openxmlformats.org/officeDocument/2006/relationships" r:embed="rId3"/>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2'!$K$72:$Q$72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2F-7B8A-4D37-B48C-26E09A9CB999}"/>
            </c:ext>
          </c:extLst>
        </c:ser>
        <c:ser>
          <c:idx val="12"/>
          <c:order val="12"/>
          <c:spPr>
            <a:no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2'!$K$73:$Q$73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31-7B8A-4D37-B48C-26E09A9CB999}"/>
            </c:ext>
          </c:extLst>
        </c:ser>
        <c:ser>
          <c:idx val="13"/>
          <c:order val="13"/>
          <c:spPr>
            <a:blipFill>
              <a:blip xmlns:r="http://schemas.openxmlformats.org/officeDocument/2006/relationships" r:embed="rId1"/>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2'!$K$74:$Q$74</c:f>
              <c:numCache>
                <c:formatCode>General</c:formatCode>
                <c:ptCount val="7"/>
                <c:pt idx="0">
                  <c:v>0</c:v>
                </c:pt>
                <c:pt idx="1">
                  <c:v>0</c:v>
                </c:pt>
                <c:pt idx="2">
                  <c:v>0</c:v>
                </c:pt>
                <c:pt idx="3">
                  <c:v>0</c:v>
                </c:pt>
                <c:pt idx="4">
                  <c:v>1</c:v>
                </c:pt>
                <c:pt idx="5">
                  <c:v>1</c:v>
                </c:pt>
                <c:pt idx="6">
                  <c:v>1</c:v>
                </c:pt>
              </c:numCache>
            </c:numRef>
          </c:val>
          <c:extLst>
            <c:ext xmlns:c16="http://schemas.microsoft.com/office/drawing/2014/chart" uri="{C3380CC4-5D6E-409C-BE32-E72D297353CC}">
              <c16:uniqueId val="{00000033-7B8A-4D37-B48C-26E09A9CB999}"/>
            </c:ext>
          </c:extLst>
        </c:ser>
        <c:ser>
          <c:idx val="14"/>
          <c:order val="14"/>
          <c:spPr>
            <a:blipFill>
              <a:blip xmlns:r="http://schemas.openxmlformats.org/officeDocument/2006/relationships" r:embed="rId2"/>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2'!$K$75:$Q$75</c:f>
              <c:numCache>
                <c:formatCode>General</c:formatCode>
                <c:ptCount val="7"/>
                <c:pt idx="0">
                  <c:v>1</c:v>
                </c:pt>
                <c:pt idx="1">
                  <c:v>1</c:v>
                </c:pt>
                <c:pt idx="2">
                  <c:v>1</c:v>
                </c:pt>
                <c:pt idx="3">
                  <c:v>1</c:v>
                </c:pt>
                <c:pt idx="4">
                  <c:v>0</c:v>
                </c:pt>
                <c:pt idx="5">
                  <c:v>0</c:v>
                </c:pt>
                <c:pt idx="6">
                  <c:v>0</c:v>
                </c:pt>
              </c:numCache>
            </c:numRef>
          </c:val>
          <c:extLst>
            <c:ext xmlns:c16="http://schemas.microsoft.com/office/drawing/2014/chart" uri="{C3380CC4-5D6E-409C-BE32-E72D297353CC}">
              <c16:uniqueId val="{00000035-7B8A-4D37-B48C-26E09A9CB999}"/>
            </c:ext>
          </c:extLst>
        </c:ser>
        <c:ser>
          <c:idx val="15"/>
          <c:order val="15"/>
          <c:spPr>
            <a:blipFill>
              <a:blip xmlns:r="http://schemas.openxmlformats.org/officeDocument/2006/relationships" r:embed="rId3"/>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2'!$K$76:$Q$76</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37-7B8A-4D37-B48C-26E09A9CB999}"/>
            </c:ext>
          </c:extLst>
        </c:ser>
        <c:ser>
          <c:idx val="16"/>
          <c:order val="16"/>
          <c:spPr>
            <a:no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2'!$K$77:$Q$77</c:f>
              <c:numCache>
                <c:formatCode>General</c:formatCode>
                <c:ptCount val="7"/>
                <c:pt idx="0">
                  <c:v>0</c:v>
                </c:pt>
                <c:pt idx="1">
                  <c:v>0</c:v>
                </c:pt>
                <c:pt idx="2">
                  <c:v>0</c:v>
                </c:pt>
                <c:pt idx="3">
                  <c:v>1</c:v>
                </c:pt>
                <c:pt idx="4">
                  <c:v>1</c:v>
                </c:pt>
                <c:pt idx="5">
                  <c:v>1</c:v>
                </c:pt>
                <c:pt idx="6">
                  <c:v>1</c:v>
                </c:pt>
              </c:numCache>
            </c:numRef>
          </c:val>
          <c:extLst>
            <c:ext xmlns:c16="http://schemas.microsoft.com/office/drawing/2014/chart" uri="{C3380CC4-5D6E-409C-BE32-E72D297353CC}">
              <c16:uniqueId val="{00000039-7B8A-4D37-B48C-26E09A9CB999}"/>
            </c:ext>
          </c:extLst>
        </c:ser>
        <c:ser>
          <c:idx val="17"/>
          <c:order val="17"/>
          <c:spPr>
            <a:blipFill>
              <a:blip xmlns:r="http://schemas.openxmlformats.org/officeDocument/2006/relationships" r:embed="rId1"/>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2'!$K$78:$Q$78</c:f>
              <c:numCache>
                <c:formatCode>General</c:formatCode>
                <c:ptCount val="7"/>
                <c:pt idx="0">
                  <c:v>0</c:v>
                </c:pt>
                <c:pt idx="1">
                  <c:v>0</c:v>
                </c:pt>
                <c:pt idx="2">
                  <c:v>1</c:v>
                </c:pt>
                <c:pt idx="3">
                  <c:v>0</c:v>
                </c:pt>
                <c:pt idx="4">
                  <c:v>0</c:v>
                </c:pt>
                <c:pt idx="5">
                  <c:v>0</c:v>
                </c:pt>
                <c:pt idx="6">
                  <c:v>0</c:v>
                </c:pt>
              </c:numCache>
            </c:numRef>
          </c:val>
          <c:extLst>
            <c:ext xmlns:c16="http://schemas.microsoft.com/office/drawing/2014/chart" uri="{C3380CC4-5D6E-409C-BE32-E72D297353CC}">
              <c16:uniqueId val="{0000003B-7B8A-4D37-B48C-26E09A9CB999}"/>
            </c:ext>
          </c:extLst>
        </c:ser>
        <c:ser>
          <c:idx val="18"/>
          <c:order val="18"/>
          <c:spPr>
            <a:blipFill>
              <a:blip xmlns:r="http://schemas.openxmlformats.org/officeDocument/2006/relationships" r:embed="rId2"/>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2'!$K$79:$Q$79</c:f>
              <c:numCache>
                <c:formatCode>General</c:formatCode>
                <c:ptCount val="7"/>
                <c:pt idx="0">
                  <c:v>1</c:v>
                </c:pt>
                <c:pt idx="1">
                  <c:v>1</c:v>
                </c:pt>
                <c:pt idx="2">
                  <c:v>0</c:v>
                </c:pt>
                <c:pt idx="3">
                  <c:v>0</c:v>
                </c:pt>
                <c:pt idx="4">
                  <c:v>0</c:v>
                </c:pt>
                <c:pt idx="5">
                  <c:v>0</c:v>
                </c:pt>
                <c:pt idx="6">
                  <c:v>0</c:v>
                </c:pt>
              </c:numCache>
            </c:numRef>
          </c:val>
          <c:extLst>
            <c:ext xmlns:c16="http://schemas.microsoft.com/office/drawing/2014/chart" uri="{C3380CC4-5D6E-409C-BE32-E72D297353CC}">
              <c16:uniqueId val="{0000003D-7B8A-4D37-B48C-26E09A9CB999}"/>
            </c:ext>
          </c:extLst>
        </c:ser>
        <c:ser>
          <c:idx val="19"/>
          <c:order val="19"/>
          <c:spPr>
            <a:blipFill>
              <a:blip xmlns:r="http://schemas.openxmlformats.org/officeDocument/2006/relationships" r:embed="rId3"/>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2'!$K$80:$Q$80</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3F-7B8A-4D37-B48C-26E09A9CB999}"/>
            </c:ext>
          </c:extLst>
        </c:ser>
        <c:ser>
          <c:idx val="20"/>
          <c:order val="20"/>
          <c:spPr>
            <a:no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2'!$K$81:$Q$81</c:f>
              <c:numCache>
                <c:formatCode>General</c:formatCode>
                <c:ptCount val="7"/>
                <c:pt idx="0">
                  <c:v>1</c:v>
                </c:pt>
                <c:pt idx="1">
                  <c:v>1</c:v>
                </c:pt>
                <c:pt idx="2">
                  <c:v>1</c:v>
                </c:pt>
                <c:pt idx="3">
                  <c:v>1</c:v>
                </c:pt>
                <c:pt idx="4">
                  <c:v>1</c:v>
                </c:pt>
                <c:pt idx="5">
                  <c:v>1</c:v>
                </c:pt>
                <c:pt idx="6">
                  <c:v>1</c:v>
                </c:pt>
              </c:numCache>
            </c:numRef>
          </c:val>
          <c:extLst>
            <c:ext xmlns:c16="http://schemas.microsoft.com/office/drawing/2014/chart" uri="{C3380CC4-5D6E-409C-BE32-E72D297353CC}">
              <c16:uniqueId val="{00000041-7B8A-4D37-B48C-26E09A9CB999}"/>
            </c:ext>
          </c:extLst>
        </c:ser>
        <c:ser>
          <c:idx val="21"/>
          <c:order val="21"/>
          <c:spPr>
            <a:blipFill>
              <a:blip xmlns:r="http://schemas.openxmlformats.org/officeDocument/2006/relationships" r:embed="rId1"/>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2'!$K$82:$Q$82</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43-7B8A-4D37-B48C-26E09A9CB999}"/>
            </c:ext>
          </c:extLst>
        </c:ser>
        <c:ser>
          <c:idx val="22"/>
          <c:order val="22"/>
          <c:spPr>
            <a:blipFill>
              <a:blip xmlns:r="http://schemas.openxmlformats.org/officeDocument/2006/relationships" r:embed="rId2"/>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2'!$K$83:$Q$83</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45-7B8A-4D37-B48C-26E09A9CB999}"/>
            </c:ext>
          </c:extLst>
        </c:ser>
        <c:ser>
          <c:idx val="23"/>
          <c:order val="23"/>
          <c:spPr>
            <a:blipFill>
              <a:blip xmlns:r="http://schemas.openxmlformats.org/officeDocument/2006/relationships" r:embed="rId3"/>
              <a:stretch>
                <a:fillRect/>
              </a:stretch>
            </a:blipFill>
            <a:ln>
              <a:noFill/>
            </a:ln>
            <a:effectLst/>
          </c:spPr>
          <c:invertIfNegative val="0"/>
          <c:cat>
            <c:strRef>
              <c:f>'Prototype 2'!$K$60:$Q$60</c:f>
              <c:strCache>
                <c:ptCount val="7"/>
                <c:pt idx="0">
                  <c:v>SU</c:v>
                </c:pt>
                <c:pt idx="1">
                  <c:v>MO</c:v>
                </c:pt>
                <c:pt idx="2">
                  <c:v>TU</c:v>
                </c:pt>
                <c:pt idx="3">
                  <c:v>WE</c:v>
                </c:pt>
                <c:pt idx="4">
                  <c:v>TH</c:v>
                </c:pt>
                <c:pt idx="5">
                  <c:v>FR</c:v>
                </c:pt>
                <c:pt idx="6">
                  <c:v>SA</c:v>
                </c:pt>
              </c:strCache>
            </c:strRef>
          </c:cat>
          <c:val>
            <c:numRef>
              <c:f>'Prototype 2'!$K$84:$Q$84</c:f>
              <c:numCache>
                <c:formatCode>General</c:formatCode>
                <c:ptCount val="7"/>
                <c:pt idx="0">
                  <c:v>0</c:v>
                </c:pt>
                <c:pt idx="1">
                  <c:v>0</c:v>
                </c:pt>
                <c:pt idx="2">
                  <c:v>0</c:v>
                </c:pt>
                <c:pt idx="3">
                  <c:v>0</c:v>
                </c:pt>
                <c:pt idx="4">
                  <c:v>0</c:v>
                </c:pt>
                <c:pt idx="5">
                  <c:v>0</c:v>
                </c:pt>
                <c:pt idx="6">
                  <c:v>0</c:v>
                </c:pt>
              </c:numCache>
            </c:numRef>
          </c:val>
          <c:extLst>
            <c:ext xmlns:c16="http://schemas.microsoft.com/office/drawing/2014/chart" uri="{C3380CC4-5D6E-409C-BE32-E72D297353CC}">
              <c16:uniqueId val="{00000047-7B8A-4D37-B48C-26E09A9CB999}"/>
            </c:ext>
          </c:extLst>
        </c:ser>
        <c:dLbls>
          <c:showLegendKey val="0"/>
          <c:showVal val="0"/>
          <c:showCatName val="0"/>
          <c:showSerName val="0"/>
          <c:showPercent val="0"/>
          <c:showBubbleSize val="0"/>
        </c:dLbls>
        <c:gapWidth val="0"/>
        <c:overlap val="100"/>
        <c:axId val="811298159"/>
        <c:axId val="811278479"/>
      </c:barChart>
      <c:catAx>
        <c:axId val="811298159"/>
        <c:scaling>
          <c:orientation val="minMax"/>
        </c:scaling>
        <c:delete val="1"/>
        <c:axPos val="t"/>
        <c:numFmt formatCode="General" sourceLinked="1"/>
        <c:majorTickMark val="out"/>
        <c:minorTickMark val="none"/>
        <c:tickLblPos val="nextTo"/>
        <c:crossAx val="811278479"/>
        <c:crosses val="autoZero"/>
        <c:auto val="1"/>
        <c:lblAlgn val="ctr"/>
        <c:lblOffset val="100"/>
        <c:noMultiLvlLbl val="0"/>
      </c:catAx>
      <c:valAx>
        <c:axId val="811278479"/>
        <c:scaling>
          <c:orientation val="maxMin"/>
        </c:scaling>
        <c:delete val="1"/>
        <c:axPos val="l"/>
        <c:numFmt formatCode="General" sourceLinked="1"/>
        <c:majorTickMark val="out"/>
        <c:minorTickMark val="none"/>
        <c:tickLblPos val="nextTo"/>
        <c:crossAx val="811298159"/>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gradFill>
              <a:gsLst>
                <a:gs pos="50384">
                  <a:srgbClr val="BCC6FF"/>
                </a:gs>
                <a:gs pos="0">
                  <a:srgbClr val="6494DA"/>
                </a:gs>
                <a:gs pos="94000">
                  <a:srgbClr val="2F6EC7"/>
                </a:gs>
              </a:gsLst>
              <a:lin ang="5400000" scaled="1"/>
            </a:gradFill>
            <a:ln>
              <a:noFill/>
            </a:ln>
            <a:effectLst>
              <a:outerShdw blurRad="50800" dist="38100" dir="8100000" algn="tr" rotWithShape="0">
                <a:prstClr val="black">
                  <a:alpha val="40000"/>
                </a:prstClr>
              </a:outerShdw>
            </a:effectLst>
          </c:spPr>
          <c:dPt>
            <c:idx val="0"/>
            <c:bubble3D val="0"/>
            <c:spPr>
              <a:gradFill>
                <a:gsLst>
                  <a:gs pos="0">
                    <a:srgbClr val="09C3F2"/>
                  </a:gs>
                  <a:gs pos="100000">
                    <a:srgbClr val="06D3D9"/>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3-A70D-4DBE-9369-ABB5FC8A37D0}"/>
              </c:ext>
            </c:extLst>
          </c:dPt>
          <c:dPt>
            <c:idx val="1"/>
            <c:bubble3D val="0"/>
            <c:spPr>
              <a:gradFill>
                <a:gsLst>
                  <a:gs pos="0">
                    <a:srgbClr val="2C71E7"/>
                  </a:gs>
                  <a:gs pos="100000">
                    <a:srgbClr val="2373DF"/>
                  </a:gs>
                </a:gsLst>
                <a:lin ang="5400000" scaled="1"/>
              </a:gradFill>
              <a:ln w="19050">
                <a:no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A70D-4DBE-9369-ABB5FC8A37D0}"/>
              </c:ext>
            </c:extLst>
          </c:dPt>
          <c:val>
            <c:numRef>
              <c:f>'Prototype 2'!$S$48:$T$48</c:f>
              <c:numCache>
                <c:formatCode>0%</c:formatCode>
                <c:ptCount val="2"/>
                <c:pt idx="0">
                  <c:v>0.75</c:v>
                </c:pt>
                <c:pt idx="1">
                  <c:v>0.25</c:v>
                </c:pt>
              </c:numCache>
            </c:numRef>
          </c:val>
          <c:extLst>
            <c:ext xmlns:c16="http://schemas.microsoft.com/office/drawing/2014/chart" uri="{C3380CC4-5D6E-409C-BE32-E72D297353CC}">
              <c16:uniqueId val="{00000000-A70D-4DBE-9369-ABB5FC8A37D0}"/>
            </c:ext>
          </c:extLst>
        </c:ser>
        <c:dLbls>
          <c:showLegendKey val="0"/>
          <c:showVal val="0"/>
          <c:showCatName val="0"/>
          <c:showSerName val="0"/>
          <c:showPercent val="0"/>
          <c:showBubbleSize val="0"/>
          <c:showLeaderLines val="1"/>
        </c:dLbls>
        <c:firstSliceAng val="0"/>
        <c:holeSize val="75"/>
      </c:doughnutChart>
      <c:scatterChart>
        <c:scatterStyle val="lineMarker"/>
        <c:varyColors val="0"/>
        <c:ser>
          <c:idx val="1"/>
          <c:order val="1"/>
          <c:tx>
            <c:v>Cursors</c:v>
          </c:tx>
          <c:spPr>
            <a:ln w="25400" cap="rnd">
              <a:noFill/>
              <a:round/>
            </a:ln>
            <a:effectLst/>
          </c:spPr>
          <c:marker>
            <c:symbol val="circle"/>
            <c:size val="14"/>
            <c:spPr>
              <a:solidFill>
                <a:srgbClr val="09C3F2"/>
              </a:solidFill>
              <a:ln w="9525">
                <a:noFill/>
              </a:ln>
              <a:effectLst/>
            </c:spPr>
          </c:marker>
          <c:dPt>
            <c:idx val="1"/>
            <c:marker>
              <c:symbol val="circle"/>
              <c:size val="14"/>
              <c:spPr>
                <a:solidFill>
                  <a:srgbClr val="06D3D9"/>
                </a:solidFill>
                <a:ln w="9525">
                  <a:noFill/>
                </a:ln>
                <a:effectLst/>
              </c:spPr>
            </c:marker>
            <c:bubble3D val="0"/>
            <c:extLst>
              <c:ext xmlns:c16="http://schemas.microsoft.com/office/drawing/2014/chart" uri="{C3380CC4-5D6E-409C-BE32-E72D297353CC}">
                <c16:uniqueId val="{00000004-A70D-4DBE-9369-ABB5FC8A37D0}"/>
              </c:ext>
            </c:extLst>
          </c:dPt>
          <c:xVal>
            <c:numRef>
              <c:f>'Prototype 2'!$U$48:$U$49</c:f>
              <c:numCache>
                <c:formatCode>General</c:formatCode>
                <c:ptCount val="2"/>
                <c:pt idx="0">
                  <c:v>0</c:v>
                </c:pt>
                <c:pt idx="1">
                  <c:v>-1</c:v>
                </c:pt>
              </c:numCache>
            </c:numRef>
          </c:xVal>
          <c:yVal>
            <c:numRef>
              <c:f>'Prototype 2'!$V$48:$V$49</c:f>
              <c:numCache>
                <c:formatCode>General</c:formatCode>
                <c:ptCount val="2"/>
                <c:pt idx="0">
                  <c:v>1</c:v>
                </c:pt>
                <c:pt idx="1">
                  <c:v>6.1257422745431001E-17</c:v>
                </c:pt>
              </c:numCache>
            </c:numRef>
          </c:yVal>
          <c:smooth val="0"/>
          <c:extLst>
            <c:ext xmlns:c16="http://schemas.microsoft.com/office/drawing/2014/chart" uri="{C3380CC4-5D6E-409C-BE32-E72D297353CC}">
              <c16:uniqueId val="{00000001-A70D-4DBE-9369-ABB5FC8A37D0}"/>
            </c:ext>
          </c:extLst>
        </c:ser>
        <c:dLbls>
          <c:showLegendKey val="0"/>
          <c:showVal val="0"/>
          <c:showCatName val="0"/>
          <c:showSerName val="0"/>
          <c:showPercent val="0"/>
          <c:showBubbleSize val="0"/>
        </c:dLbls>
        <c:axId val="1214836208"/>
        <c:axId val="1214847248"/>
      </c:scatterChart>
      <c:valAx>
        <c:axId val="1214847248"/>
        <c:scaling>
          <c:orientation val="minMax"/>
          <c:max val="1.1500000000000001"/>
          <c:min val="-1.1400000000000001"/>
        </c:scaling>
        <c:delete val="1"/>
        <c:axPos val="l"/>
        <c:numFmt formatCode="General" sourceLinked="1"/>
        <c:majorTickMark val="out"/>
        <c:minorTickMark val="none"/>
        <c:tickLblPos val="nextTo"/>
        <c:crossAx val="1214836208"/>
        <c:crosses val="autoZero"/>
        <c:crossBetween val="midCat"/>
      </c:valAx>
      <c:valAx>
        <c:axId val="1214836208"/>
        <c:scaling>
          <c:orientation val="minMax"/>
          <c:max val="1.1400000000000001"/>
          <c:min val="-1.1500000000000001"/>
        </c:scaling>
        <c:delete val="1"/>
        <c:axPos val="t"/>
        <c:numFmt formatCode="General" sourceLinked="1"/>
        <c:majorTickMark val="out"/>
        <c:minorTickMark val="none"/>
        <c:tickLblPos val="nextTo"/>
        <c:crossAx val="1214847248"/>
        <c:crosses val="max"/>
        <c:crossBetween val="midCat"/>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'Prototype 2'!$H$74</c:f>
              <c:strCache>
                <c:ptCount val="1"/>
                <c:pt idx="0">
                  <c:v>Cursor</c:v>
                </c:pt>
              </c:strCache>
            </c:strRef>
          </c:tx>
          <c:spPr>
            <a:solidFill>
              <a:srgbClr val="A2ADBE">
                <a:alpha val="21000"/>
              </a:srgbClr>
            </a:solidFill>
            <a:ln>
              <a:noFill/>
            </a:ln>
            <a:effectLst/>
          </c:spPr>
          <c:invertIfNegative val="0"/>
          <c:cat>
            <c:strRef>
              <c:f>'Prototype 2'!$G$75:$G$86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2'!$H$75:$H$86</c:f>
              <c:numCache>
                <c:formatCode>0%</c:formatCode>
                <c:ptCount val="12"/>
                <c:pt idx="0">
                  <c:v>#N/A</c:v>
                </c:pt>
                <c:pt idx="1">
                  <c:v>#N/A</c:v>
                </c:pt>
                <c:pt idx="2">
                  <c:v>#N/A</c:v>
                </c:pt>
                <c:pt idx="3">
                  <c:v>#N/A</c:v>
                </c:pt>
                <c:pt idx="4">
                  <c:v>#N/A</c:v>
                </c:pt>
                <c:pt idx="5">
                  <c:v>#N/A</c:v>
                </c:pt>
                <c:pt idx="6">
                  <c:v>#N/A</c:v>
                </c:pt>
                <c:pt idx="7">
                  <c:v>#N/A</c:v>
                </c:pt>
                <c:pt idx="8">
                  <c:v>1</c:v>
                </c:pt>
                <c:pt idx="9">
                  <c:v>#N/A</c:v>
                </c:pt>
                <c:pt idx="10">
                  <c:v>#N/A</c:v>
                </c:pt>
                <c:pt idx="11">
                  <c:v>#N/A</c:v>
                </c:pt>
              </c:numCache>
            </c:numRef>
          </c:val>
          <c:extLst>
            <c:ext xmlns:c16="http://schemas.microsoft.com/office/drawing/2014/chart" uri="{C3380CC4-5D6E-409C-BE32-E72D297353CC}">
              <c16:uniqueId val="{00000000-D7FE-49AC-AF93-1141EA917347}"/>
            </c:ext>
          </c:extLst>
        </c:ser>
        <c:dLbls>
          <c:showLegendKey val="0"/>
          <c:showVal val="0"/>
          <c:showCatName val="0"/>
          <c:showSerName val="0"/>
          <c:showPercent val="0"/>
          <c:showBubbleSize val="0"/>
        </c:dLbls>
        <c:gapWidth val="50"/>
        <c:overlap val="-27"/>
        <c:axId val="2029676367"/>
        <c:axId val="2029690287"/>
      </c:barChart>
      <c:catAx>
        <c:axId val="2029676367"/>
        <c:scaling>
          <c:orientation val="minMax"/>
        </c:scaling>
        <c:delete val="0"/>
        <c:axPos val="b"/>
        <c:numFmt formatCode="General" sourceLinked="1"/>
        <c:majorTickMark val="none"/>
        <c:minorTickMark val="none"/>
        <c:tickLblPos val="high"/>
        <c:spPr>
          <a:ln>
            <a:noFill/>
          </a:ln>
        </c:spPr>
        <c:txPr>
          <a:bodyPr/>
          <a:lstStyle/>
          <a:p>
            <a:pPr>
              <a:defRPr>
                <a:solidFill>
                  <a:schemeClr val="tx2">
                    <a:lumMod val="25000"/>
                    <a:lumOff val="75000"/>
                  </a:schemeClr>
                </a:solidFill>
              </a:defRPr>
            </a:pPr>
            <a:endParaRPr lang="ru-RU"/>
          </a:p>
        </c:txPr>
        <c:crossAx val="2029690287"/>
        <c:crosses val="autoZero"/>
        <c:auto val="1"/>
        <c:lblAlgn val="ctr"/>
        <c:lblOffset val="100"/>
        <c:noMultiLvlLbl val="0"/>
      </c:catAx>
      <c:valAx>
        <c:axId val="2029690287"/>
        <c:scaling>
          <c:orientation val="minMax"/>
          <c:max val="1"/>
          <c:min val="0"/>
        </c:scaling>
        <c:delete val="1"/>
        <c:axPos val="l"/>
        <c:numFmt formatCode="0%" sourceLinked="1"/>
        <c:majorTickMark val="none"/>
        <c:minorTickMark val="none"/>
        <c:tickLblPos val="nextTo"/>
        <c:crossAx val="2029676367"/>
        <c:crosses val="autoZero"/>
        <c:crossBetween val="between"/>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0617869641294839"/>
          <c:y val="6.7401960784313722E-2"/>
          <c:w val="0.87159908136482955"/>
          <c:h val="0.86519607843137258"/>
        </c:manualLayout>
      </c:layout>
      <c:barChart>
        <c:barDir val="bar"/>
        <c:grouping val="stacked"/>
        <c:varyColors val="0"/>
        <c:ser>
          <c:idx val="0"/>
          <c:order val="0"/>
          <c:tx>
            <c:strRef>
              <c:f>'Prototype 2'!$C$74</c:f>
              <c:strCache>
                <c:ptCount val="1"/>
                <c:pt idx="0">
                  <c:v>Start</c:v>
                </c:pt>
              </c:strCache>
            </c:strRef>
          </c:tx>
          <c:spPr>
            <a:gradFill flip="none" rotWithShape="1">
              <a:gsLst>
                <a:gs pos="0">
                  <a:srgbClr val="0A0E14"/>
                </a:gs>
                <a:gs pos="23000">
                  <a:srgbClr val="0D2048"/>
                </a:gs>
                <a:gs pos="100000">
                  <a:srgbClr val="0A0E14"/>
                </a:gs>
              </a:gsLst>
              <a:lin ang="5400000" scaled="0"/>
              <a:tileRect/>
            </a:gradFill>
            <a:ln>
              <a:noFill/>
            </a:ln>
            <a:effectLst>
              <a:outerShdw blurRad="63500" sx="102000" sy="102000" algn="ctr" rotWithShape="0">
                <a:prstClr val="black">
                  <a:alpha val="40000"/>
                </a:prstClr>
              </a:outerShdw>
            </a:effectLst>
          </c:spPr>
          <c:invertIfNegative val="0"/>
          <c:cat>
            <c:strRef>
              <c:f>'Prototype 2'!$B$75:$B$79</c:f>
              <c:strCache>
                <c:ptCount val="5"/>
                <c:pt idx="0">
                  <c:v>Target 1</c:v>
                </c:pt>
                <c:pt idx="1">
                  <c:v>Target 2</c:v>
                </c:pt>
                <c:pt idx="2">
                  <c:v>Target 3</c:v>
                </c:pt>
                <c:pt idx="3">
                  <c:v>Target 4</c:v>
                </c:pt>
                <c:pt idx="4">
                  <c:v>Target 5</c:v>
                </c:pt>
              </c:strCache>
            </c:strRef>
          </c:cat>
          <c:val>
            <c:numRef>
              <c:f>'Prototype 2'!$C$75:$C$79</c:f>
              <c:numCache>
                <c:formatCode>General</c:formatCode>
                <c:ptCount val="5"/>
                <c:pt idx="0">
                  <c:v>0.2</c:v>
                </c:pt>
                <c:pt idx="1">
                  <c:v>2</c:v>
                </c:pt>
                <c:pt idx="2">
                  <c:v>5</c:v>
                </c:pt>
                <c:pt idx="3">
                  <c:v>6</c:v>
                </c:pt>
                <c:pt idx="4">
                  <c:v>8</c:v>
                </c:pt>
              </c:numCache>
            </c:numRef>
          </c:val>
          <c:extLst>
            <c:ext xmlns:c16="http://schemas.microsoft.com/office/drawing/2014/chart" uri="{C3380CC4-5D6E-409C-BE32-E72D297353CC}">
              <c16:uniqueId val="{00000004-D6AB-4A36-BCC0-6683B4AD085B}"/>
            </c:ext>
          </c:extLst>
        </c:ser>
        <c:ser>
          <c:idx val="1"/>
          <c:order val="1"/>
          <c:tx>
            <c:strRef>
              <c:f>'Prototype 2'!$D$74</c:f>
              <c:strCache>
                <c:ptCount val="1"/>
                <c:pt idx="0">
                  <c:v>Process</c:v>
                </c:pt>
              </c:strCache>
            </c:strRef>
          </c:tx>
          <c:spPr>
            <a:solidFill>
              <a:srgbClr val="2B5BCB"/>
            </a:solidFill>
            <a:ln w="101600">
              <a:solidFill>
                <a:srgbClr val="2B5BCB"/>
              </a:solidFill>
            </a:ln>
            <a:effectLst/>
          </c:spPr>
          <c:invertIfNegative val="0"/>
          <c:dPt>
            <c:idx val="0"/>
            <c:invertIfNegative val="0"/>
            <c:bubble3D val="0"/>
            <c:spPr>
              <a:solidFill>
                <a:srgbClr val="1D8986"/>
              </a:solidFill>
              <a:ln w="101600">
                <a:gradFill>
                  <a:gsLst>
                    <a:gs pos="0">
                      <a:srgbClr val="28BEBA"/>
                    </a:gs>
                    <a:gs pos="31000">
                      <a:srgbClr val="1D8986"/>
                    </a:gs>
                  </a:gsLst>
                  <a:lin ang="5400000" scaled="1"/>
                </a:gradFill>
              </a:ln>
              <a:effectLst/>
            </c:spPr>
            <c:extLst>
              <c:ext xmlns:c16="http://schemas.microsoft.com/office/drawing/2014/chart" uri="{C3380CC4-5D6E-409C-BE32-E72D297353CC}">
                <c16:uniqueId val="{00000007-D6AB-4A36-BCC0-6683B4AD085B}"/>
              </c:ext>
            </c:extLst>
          </c:dPt>
          <c:dPt>
            <c:idx val="1"/>
            <c:invertIfNegative val="0"/>
            <c:bubble3D val="0"/>
            <c:spPr>
              <a:solidFill>
                <a:srgbClr val="2B5BCB"/>
              </a:solidFill>
              <a:ln w="101600">
                <a:gradFill>
                  <a:gsLst>
                    <a:gs pos="0">
                      <a:srgbClr val="5A82DC"/>
                    </a:gs>
                    <a:gs pos="31000">
                      <a:srgbClr val="2B5BCB"/>
                    </a:gs>
                  </a:gsLst>
                  <a:lin ang="5400000" scaled="1"/>
                </a:gradFill>
              </a:ln>
              <a:effectLst/>
            </c:spPr>
            <c:extLst>
              <c:ext xmlns:c16="http://schemas.microsoft.com/office/drawing/2014/chart" uri="{C3380CC4-5D6E-409C-BE32-E72D297353CC}">
                <c16:uniqueId val="{00000009-D6AB-4A36-BCC0-6683B4AD085B}"/>
              </c:ext>
            </c:extLst>
          </c:dPt>
          <c:dPt>
            <c:idx val="2"/>
            <c:invertIfNegative val="0"/>
            <c:bubble3D val="0"/>
            <c:spPr>
              <a:solidFill>
                <a:srgbClr val="FF5C6D"/>
              </a:solidFill>
              <a:ln w="101600">
                <a:gradFill>
                  <a:gsLst>
                    <a:gs pos="0">
                      <a:srgbClr val="FFA3AC"/>
                    </a:gs>
                    <a:gs pos="31000">
                      <a:srgbClr val="FF5C6D"/>
                    </a:gs>
                  </a:gsLst>
                  <a:lin ang="5400000" scaled="1"/>
                </a:gradFill>
              </a:ln>
              <a:effectLst/>
            </c:spPr>
            <c:extLst>
              <c:ext xmlns:c16="http://schemas.microsoft.com/office/drawing/2014/chart" uri="{C3380CC4-5D6E-409C-BE32-E72D297353CC}">
                <c16:uniqueId val="{0000000B-D6AB-4A36-BCC0-6683B4AD085B}"/>
              </c:ext>
            </c:extLst>
          </c:dPt>
          <c:dPt>
            <c:idx val="3"/>
            <c:invertIfNegative val="0"/>
            <c:bubble3D val="0"/>
            <c:spPr>
              <a:solidFill>
                <a:srgbClr val="007D9B"/>
              </a:solidFill>
              <a:ln w="101600">
                <a:gradFill>
                  <a:gsLst>
                    <a:gs pos="0">
                      <a:srgbClr val="00ADD6"/>
                    </a:gs>
                    <a:gs pos="31000">
                      <a:srgbClr val="007D9B"/>
                    </a:gs>
                  </a:gsLst>
                  <a:lin ang="5400000" scaled="1"/>
                </a:gradFill>
              </a:ln>
              <a:effectLst/>
            </c:spPr>
            <c:extLst>
              <c:ext xmlns:c16="http://schemas.microsoft.com/office/drawing/2014/chart" uri="{C3380CC4-5D6E-409C-BE32-E72D297353CC}">
                <c16:uniqueId val="{0000000D-D6AB-4A36-BCC0-6683B4AD085B}"/>
              </c:ext>
            </c:extLst>
          </c:dPt>
          <c:dPt>
            <c:idx val="4"/>
            <c:invertIfNegative val="0"/>
            <c:bubble3D val="0"/>
            <c:spPr>
              <a:solidFill>
                <a:srgbClr val="4E5E9D"/>
              </a:solidFill>
              <a:ln w="101600">
                <a:gradFill>
                  <a:gsLst>
                    <a:gs pos="0">
                      <a:srgbClr val="6978B4"/>
                    </a:gs>
                    <a:gs pos="31000">
                      <a:srgbClr val="4E5E9D"/>
                    </a:gs>
                  </a:gsLst>
                  <a:lin ang="5400000" scaled="1"/>
                </a:gradFill>
              </a:ln>
              <a:effectLst/>
            </c:spPr>
            <c:extLst>
              <c:ext xmlns:c16="http://schemas.microsoft.com/office/drawing/2014/chart" uri="{C3380CC4-5D6E-409C-BE32-E72D297353CC}">
                <c16:uniqueId val="{0000000F-D6AB-4A36-BCC0-6683B4AD085B}"/>
              </c:ext>
            </c:extLst>
          </c:dPt>
          <c:cat>
            <c:strRef>
              <c:f>'Prototype 2'!$B$75:$B$79</c:f>
              <c:strCache>
                <c:ptCount val="5"/>
                <c:pt idx="0">
                  <c:v>Target 1</c:v>
                </c:pt>
                <c:pt idx="1">
                  <c:v>Target 2</c:v>
                </c:pt>
                <c:pt idx="2">
                  <c:v>Target 3</c:v>
                </c:pt>
                <c:pt idx="3">
                  <c:v>Target 4</c:v>
                </c:pt>
                <c:pt idx="4">
                  <c:v>Target 5</c:v>
                </c:pt>
              </c:strCache>
            </c:strRef>
          </c:cat>
          <c:val>
            <c:numRef>
              <c:f>'Prototype 2'!$D$75:$D$79</c:f>
              <c:numCache>
                <c:formatCode>General</c:formatCode>
                <c:ptCount val="5"/>
                <c:pt idx="0">
                  <c:v>4.8</c:v>
                </c:pt>
                <c:pt idx="1">
                  <c:v>5</c:v>
                </c:pt>
                <c:pt idx="2">
                  <c:v>3</c:v>
                </c:pt>
                <c:pt idx="3">
                  <c:v>3</c:v>
                </c:pt>
                <c:pt idx="4">
                  <c:v>3.8</c:v>
                </c:pt>
              </c:numCache>
            </c:numRef>
          </c:val>
          <c:extLst>
            <c:ext xmlns:c16="http://schemas.microsoft.com/office/drawing/2014/chart" uri="{C3380CC4-5D6E-409C-BE32-E72D297353CC}">
              <c16:uniqueId val="{00000010-D6AB-4A36-BCC0-6683B4AD085B}"/>
            </c:ext>
          </c:extLst>
        </c:ser>
        <c:ser>
          <c:idx val="2"/>
          <c:order val="2"/>
          <c:tx>
            <c:strRef>
              <c:f>'Prototype 2'!$E$74</c:f>
              <c:strCache>
                <c:ptCount val="1"/>
                <c:pt idx="0">
                  <c:v>End</c:v>
                </c:pt>
              </c:strCache>
            </c:strRef>
          </c:tx>
          <c:spPr>
            <a:gradFill>
              <a:gsLst>
                <a:gs pos="0">
                  <a:srgbClr val="0A0E14"/>
                </a:gs>
                <a:gs pos="23000">
                  <a:srgbClr val="0D2048"/>
                </a:gs>
                <a:gs pos="100000">
                  <a:srgbClr val="0A0E14"/>
                </a:gs>
              </a:gsLst>
              <a:lin ang="5400000" scaled="0"/>
            </a:gradFill>
            <a:ln>
              <a:noFill/>
            </a:ln>
            <a:effectLst/>
          </c:spPr>
          <c:invertIfNegative val="0"/>
          <c:cat>
            <c:strRef>
              <c:f>'Prototype 2'!$B$75:$B$79</c:f>
              <c:strCache>
                <c:ptCount val="5"/>
                <c:pt idx="0">
                  <c:v>Target 1</c:v>
                </c:pt>
                <c:pt idx="1">
                  <c:v>Target 2</c:v>
                </c:pt>
                <c:pt idx="2">
                  <c:v>Target 3</c:v>
                </c:pt>
                <c:pt idx="3">
                  <c:v>Target 4</c:v>
                </c:pt>
                <c:pt idx="4">
                  <c:v>Target 5</c:v>
                </c:pt>
              </c:strCache>
            </c:strRef>
          </c:cat>
          <c:val>
            <c:numRef>
              <c:f>'Prototype 2'!$E$75:$E$79</c:f>
              <c:numCache>
                <c:formatCode>General</c:formatCode>
                <c:ptCount val="5"/>
                <c:pt idx="0">
                  <c:v>7</c:v>
                </c:pt>
                <c:pt idx="1">
                  <c:v>5</c:v>
                </c:pt>
                <c:pt idx="2">
                  <c:v>4</c:v>
                </c:pt>
                <c:pt idx="3">
                  <c:v>3</c:v>
                </c:pt>
                <c:pt idx="4">
                  <c:v>0.19999999999999929</c:v>
                </c:pt>
              </c:numCache>
            </c:numRef>
          </c:val>
          <c:extLst>
            <c:ext xmlns:c16="http://schemas.microsoft.com/office/drawing/2014/chart" uri="{C3380CC4-5D6E-409C-BE32-E72D297353CC}">
              <c16:uniqueId val="{00000012-D6AB-4A36-BCC0-6683B4AD085B}"/>
            </c:ext>
          </c:extLst>
        </c:ser>
        <c:dLbls>
          <c:showLegendKey val="0"/>
          <c:showVal val="0"/>
          <c:showCatName val="0"/>
          <c:showSerName val="0"/>
          <c:showPercent val="0"/>
          <c:showBubbleSize val="0"/>
        </c:dLbls>
        <c:gapWidth val="200"/>
        <c:overlap val="100"/>
        <c:axId val="307646768"/>
        <c:axId val="307649168"/>
      </c:barChart>
      <c:catAx>
        <c:axId val="307646768"/>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ru-RU"/>
          </a:p>
        </c:txPr>
        <c:crossAx val="307649168"/>
        <c:crosses val="autoZero"/>
        <c:auto val="1"/>
        <c:lblAlgn val="ctr"/>
        <c:lblOffset val="100"/>
        <c:noMultiLvlLbl val="0"/>
      </c:catAx>
      <c:valAx>
        <c:axId val="307649168"/>
        <c:scaling>
          <c:orientation val="minMax"/>
          <c:max val="12"/>
          <c:min val="0"/>
        </c:scaling>
        <c:delete val="1"/>
        <c:axPos val="t"/>
        <c:majorGridlines>
          <c:spPr>
            <a:ln w="9525" cap="flat" cmpd="sng" algn="ctr">
              <a:solidFill>
                <a:srgbClr val="193B8A">
                  <a:alpha val="50588"/>
                </a:srgbClr>
              </a:solidFill>
              <a:round/>
            </a:ln>
            <a:effectLst/>
          </c:spPr>
        </c:majorGridlines>
        <c:numFmt formatCode="General" sourceLinked="0"/>
        <c:majorTickMark val="out"/>
        <c:minorTickMark val="none"/>
        <c:tickLblPos val="nextTo"/>
        <c:crossAx val="307646768"/>
        <c:crosses val="autoZero"/>
        <c:crossBetween val="between"/>
        <c:majorUnit val="1"/>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'Prototype 2'!$T$55</c:f>
              <c:strCache>
                <c:ptCount val="1"/>
                <c:pt idx="0">
                  <c:v>indent</c:v>
                </c:pt>
              </c:strCache>
            </c:strRef>
          </c:tx>
          <c:spPr>
            <a:noFill/>
            <a:ln>
              <a:noFill/>
            </a:ln>
            <a:effectLst/>
          </c:spPr>
          <c:invertIfNegative val="0"/>
          <c:cat>
            <c:strRef>
              <c:f>'Prototype 2'!$S$56:$S$67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2'!$T$56:$T$67</c:f>
              <c:numCache>
                <c:formatCode>General</c:formatCode>
                <c:ptCount val="12"/>
                <c:pt idx="0">
                  <c:v>176.8</c:v>
                </c:pt>
                <c:pt idx="1">
                  <c:v>176.8</c:v>
                </c:pt>
                <c:pt idx="2">
                  <c:v>176.8</c:v>
                </c:pt>
                <c:pt idx="3">
                  <c:v>176.8</c:v>
                </c:pt>
                <c:pt idx="4">
                  <c:v>176.8</c:v>
                </c:pt>
                <c:pt idx="5">
                  <c:v>176.8</c:v>
                </c:pt>
                <c:pt idx="6">
                  <c:v>176.8</c:v>
                </c:pt>
                <c:pt idx="7">
                  <c:v>176.8</c:v>
                </c:pt>
                <c:pt idx="8">
                  <c:v>176.8</c:v>
                </c:pt>
                <c:pt idx="9">
                  <c:v>176.8</c:v>
                </c:pt>
                <c:pt idx="10">
                  <c:v>176.8</c:v>
                </c:pt>
                <c:pt idx="11">
                  <c:v>176.8</c:v>
                </c:pt>
              </c:numCache>
            </c:numRef>
          </c:val>
          <c:extLst>
            <c:ext xmlns:c16="http://schemas.microsoft.com/office/drawing/2014/chart" uri="{C3380CC4-5D6E-409C-BE32-E72D297353CC}">
              <c16:uniqueId val="{00000000-8729-419F-A978-E398E4AC05A7}"/>
            </c:ext>
          </c:extLst>
        </c:ser>
        <c:ser>
          <c:idx val="1"/>
          <c:order val="1"/>
          <c:tx>
            <c:strRef>
              <c:f>'Prototype 2'!$U$55</c:f>
              <c:strCache>
                <c:ptCount val="1"/>
                <c:pt idx="0">
                  <c:v>Income</c:v>
                </c:pt>
              </c:strCache>
            </c:strRef>
          </c:tx>
          <c:spPr>
            <a:solidFill>
              <a:schemeClr val="accent2"/>
            </a:solidFill>
            <a:ln w="101600">
              <a:gradFill>
                <a:gsLst>
                  <a:gs pos="0">
                    <a:srgbClr val="1992E6"/>
                  </a:gs>
                  <a:gs pos="100000">
                    <a:srgbClr val="2373DF"/>
                  </a:gs>
                </a:gsLst>
                <a:lin ang="5400000" scaled="1"/>
              </a:gradFill>
            </a:ln>
            <a:effectLst/>
          </c:spPr>
          <c:invertIfNegative val="0"/>
          <c:cat>
            <c:strRef>
              <c:f>'Prototype 2'!$S$56:$S$67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2'!$U$56:$U$67</c:f>
              <c:numCache>
                <c:formatCode>General</c:formatCode>
                <c:ptCount val="12"/>
                <c:pt idx="0">
                  <c:v>1245</c:v>
                </c:pt>
                <c:pt idx="1">
                  <c:v>2555</c:v>
                </c:pt>
                <c:pt idx="2">
                  <c:v>2955</c:v>
                </c:pt>
                <c:pt idx="3">
                  <c:v>3260</c:v>
                </c:pt>
                <c:pt idx="4">
                  <c:v>2675</c:v>
                </c:pt>
                <c:pt idx="5">
                  <c:v>3020</c:v>
                </c:pt>
                <c:pt idx="6">
                  <c:v>3655</c:v>
                </c:pt>
                <c:pt idx="7">
                  <c:v>3000</c:v>
                </c:pt>
                <c:pt idx="8">
                  <c:v>3445</c:v>
                </c:pt>
                <c:pt idx="9">
                  <c:v>4040</c:v>
                </c:pt>
                <c:pt idx="10">
                  <c:v>3695</c:v>
                </c:pt>
                <c:pt idx="11">
                  <c:v>4420</c:v>
                </c:pt>
              </c:numCache>
            </c:numRef>
          </c:val>
          <c:extLst>
            <c:ext xmlns:c16="http://schemas.microsoft.com/office/drawing/2014/chart" uri="{C3380CC4-5D6E-409C-BE32-E72D297353CC}">
              <c16:uniqueId val="{00000001-8729-419F-A978-E398E4AC05A7}"/>
            </c:ext>
          </c:extLst>
        </c:ser>
        <c:dLbls>
          <c:showLegendKey val="0"/>
          <c:showVal val="0"/>
          <c:showCatName val="0"/>
          <c:showSerName val="0"/>
          <c:showPercent val="0"/>
          <c:showBubbleSize val="0"/>
        </c:dLbls>
        <c:gapWidth val="300"/>
        <c:overlap val="100"/>
        <c:axId val="1217850336"/>
        <c:axId val="1217876256"/>
      </c:barChart>
      <c:barChart>
        <c:barDir val="col"/>
        <c:grouping val="stacked"/>
        <c:varyColors val="0"/>
        <c:ser>
          <c:idx val="2"/>
          <c:order val="2"/>
          <c:tx>
            <c:strRef>
              <c:f>'Prototype 2'!$V$55</c:f>
              <c:strCache>
                <c:ptCount val="1"/>
                <c:pt idx="0">
                  <c:v>indent Cursor</c:v>
                </c:pt>
              </c:strCache>
            </c:strRef>
          </c:tx>
          <c:spPr>
            <a:noFill/>
            <a:ln>
              <a:noFill/>
            </a:ln>
            <a:effectLst/>
          </c:spPr>
          <c:invertIfNegative val="0"/>
          <c:cat>
            <c:strRef>
              <c:f>'Prototype 2'!$S$56:$S$67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2'!$V$56:$V$67</c:f>
              <c:numCache>
                <c:formatCode>General</c:formatCode>
                <c:ptCount val="12"/>
                <c:pt idx="0">
                  <c:v>176.8</c:v>
                </c:pt>
                <c:pt idx="1">
                  <c:v>176.8</c:v>
                </c:pt>
                <c:pt idx="2">
                  <c:v>176.8</c:v>
                </c:pt>
                <c:pt idx="3">
                  <c:v>176.8</c:v>
                </c:pt>
                <c:pt idx="4">
                  <c:v>176.8</c:v>
                </c:pt>
                <c:pt idx="5">
                  <c:v>176.8</c:v>
                </c:pt>
                <c:pt idx="6">
                  <c:v>176.8</c:v>
                </c:pt>
                <c:pt idx="7">
                  <c:v>176.8</c:v>
                </c:pt>
                <c:pt idx="8">
                  <c:v>176.8</c:v>
                </c:pt>
                <c:pt idx="9">
                  <c:v>176.8</c:v>
                </c:pt>
                <c:pt idx="10">
                  <c:v>176.8</c:v>
                </c:pt>
                <c:pt idx="11">
                  <c:v>176.8</c:v>
                </c:pt>
              </c:numCache>
            </c:numRef>
          </c:val>
          <c:extLst>
            <c:ext xmlns:c16="http://schemas.microsoft.com/office/drawing/2014/chart" uri="{C3380CC4-5D6E-409C-BE32-E72D297353CC}">
              <c16:uniqueId val="{00000002-8729-419F-A978-E398E4AC05A7}"/>
            </c:ext>
          </c:extLst>
        </c:ser>
        <c:ser>
          <c:idx val="3"/>
          <c:order val="3"/>
          <c:tx>
            <c:strRef>
              <c:f>'Prototype 2'!$W$55</c:f>
              <c:strCache>
                <c:ptCount val="1"/>
                <c:pt idx="0">
                  <c:v>Cursor</c:v>
                </c:pt>
              </c:strCache>
            </c:strRef>
          </c:tx>
          <c:spPr>
            <a:solidFill>
              <a:schemeClr val="accent4"/>
            </a:solidFill>
            <a:ln w="101600">
              <a:gradFill>
                <a:gsLst>
                  <a:gs pos="0">
                    <a:srgbClr val="FF939D"/>
                  </a:gs>
                  <a:gs pos="100000">
                    <a:srgbClr val="09C3F2"/>
                  </a:gs>
                </a:gsLst>
                <a:lin ang="5400000" scaled="1"/>
              </a:gradFill>
            </a:ln>
            <a:effectLst>
              <a:outerShdw blurRad="50800" dist="38100" dir="8100000" algn="tr" rotWithShape="0">
                <a:prstClr val="black">
                  <a:alpha val="40000"/>
                </a:prstClr>
              </a:outerShdw>
            </a:effectLst>
          </c:spPr>
          <c:invertIfNegative val="0"/>
          <c:dPt>
            <c:idx val="8"/>
            <c:invertIfNegative val="0"/>
            <c:bubble3D val="0"/>
            <c:spPr>
              <a:solidFill>
                <a:schemeClr val="accent4"/>
              </a:solidFill>
              <a:ln w="101600">
                <a:gradFill>
                  <a:gsLst>
                    <a:gs pos="0">
                      <a:srgbClr val="06D3D9"/>
                    </a:gs>
                    <a:gs pos="70000">
                      <a:srgbClr val="09C3F2"/>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8729-419F-A978-E398E4AC05A7}"/>
              </c:ext>
            </c:extLst>
          </c:dPt>
          <c:cat>
            <c:strRef>
              <c:f>'Prototype 2'!$S$56:$S$67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2'!$W$56:$W$67</c:f>
              <c:numCache>
                <c:formatCode>General</c:formatCode>
                <c:ptCount val="12"/>
                <c:pt idx="0">
                  <c:v>#N/A</c:v>
                </c:pt>
                <c:pt idx="1">
                  <c:v>#N/A</c:v>
                </c:pt>
                <c:pt idx="2">
                  <c:v>#N/A</c:v>
                </c:pt>
                <c:pt idx="3">
                  <c:v>#N/A</c:v>
                </c:pt>
                <c:pt idx="4">
                  <c:v>#N/A</c:v>
                </c:pt>
                <c:pt idx="5">
                  <c:v>#N/A</c:v>
                </c:pt>
                <c:pt idx="6">
                  <c:v>#N/A</c:v>
                </c:pt>
                <c:pt idx="7">
                  <c:v>#N/A</c:v>
                </c:pt>
                <c:pt idx="8">
                  <c:v>3445</c:v>
                </c:pt>
                <c:pt idx="9">
                  <c:v>#N/A</c:v>
                </c:pt>
                <c:pt idx="10">
                  <c:v>#N/A</c:v>
                </c:pt>
                <c:pt idx="11">
                  <c:v>#N/A</c:v>
                </c:pt>
              </c:numCache>
            </c:numRef>
          </c:val>
          <c:extLst>
            <c:ext xmlns:c16="http://schemas.microsoft.com/office/drawing/2014/chart" uri="{C3380CC4-5D6E-409C-BE32-E72D297353CC}">
              <c16:uniqueId val="{00000003-8729-419F-A978-E398E4AC05A7}"/>
            </c:ext>
          </c:extLst>
        </c:ser>
        <c:dLbls>
          <c:showLegendKey val="0"/>
          <c:showVal val="0"/>
          <c:showCatName val="0"/>
          <c:showSerName val="0"/>
          <c:showPercent val="0"/>
          <c:showBubbleSize val="0"/>
        </c:dLbls>
        <c:gapWidth val="300"/>
        <c:overlap val="100"/>
        <c:axId val="1217885856"/>
        <c:axId val="1217884416"/>
      </c:barChart>
      <c:lineChart>
        <c:grouping val="standard"/>
        <c:varyColors val="0"/>
        <c:ser>
          <c:idx val="4"/>
          <c:order val="4"/>
          <c:tx>
            <c:strRef>
              <c:f>'Prototype 2'!$X$55</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circle"/>
            <c:size val="6"/>
            <c:spPr>
              <a:solidFill>
                <a:schemeClr val="bg1"/>
              </a:solidFill>
              <a:ln w="9525">
                <a:solidFill>
                  <a:srgbClr val="FF00FF"/>
                </a:solidFill>
              </a:ln>
              <a:effectLst>
                <a:outerShdw blurRad="50800" dist="38100" dir="5400000" algn="t" rotWithShape="0">
                  <a:prstClr val="black">
                    <a:alpha val="40000"/>
                  </a:prstClr>
                </a:outerShdw>
              </a:effectLst>
            </c:spPr>
          </c:marker>
          <c:cat>
            <c:strRef>
              <c:f>'Prototype 2'!$S$56:$S$67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2'!$X$56:$X$67</c:f>
              <c:numCache>
                <c:formatCode>General</c:formatCode>
                <c:ptCount val="12"/>
                <c:pt idx="0">
                  <c:v>1623</c:v>
                </c:pt>
                <c:pt idx="1">
                  <c:v>2535</c:v>
                </c:pt>
                <c:pt idx="2">
                  <c:v>1959</c:v>
                </c:pt>
                <c:pt idx="3">
                  <c:v>2877</c:v>
                </c:pt>
                <c:pt idx="4">
                  <c:v>1968</c:v>
                </c:pt>
                <c:pt idx="5">
                  <c:v>3180</c:v>
                </c:pt>
                <c:pt idx="6">
                  <c:v>1921</c:v>
                </c:pt>
                <c:pt idx="7">
                  <c:v>3068</c:v>
                </c:pt>
                <c:pt idx="8">
                  <c:v>2527</c:v>
                </c:pt>
                <c:pt idx="9">
                  <c:v>3467</c:v>
                </c:pt>
                <c:pt idx="10">
                  <c:v>2716</c:v>
                </c:pt>
                <c:pt idx="11">
                  <c:v>3608</c:v>
                </c:pt>
              </c:numCache>
            </c:numRef>
          </c:val>
          <c:smooth val="0"/>
          <c:extLst>
            <c:ext xmlns:c16="http://schemas.microsoft.com/office/drawing/2014/chart" uri="{C3380CC4-5D6E-409C-BE32-E72D297353CC}">
              <c16:uniqueId val="{00000004-8729-419F-A978-E398E4AC05A7}"/>
            </c:ext>
          </c:extLst>
        </c:ser>
        <c:ser>
          <c:idx val="5"/>
          <c:order val="5"/>
          <c:tx>
            <c:strRef>
              <c:f>'Prototype 2'!$Y$55</c:f>
              <c:strCache>
                <c:ptCount val="1"/>
                <c:pt idx="0">
                  <c:v>Markers</c:v>
                </c:pt>
              </c:strCache>
            </c:strRef>
          </c:tx>
          <c:spPr>
            <a:ln w="28575" cap="rnd">
              <a:solidFill>
                <a:schemeClr val="accent6"/>
              </a:solid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8729-419F-A978-E398E4AC05A7}"/>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8729-419F-A978-E398E4AC05A7}"/>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8729-419F-A978-E398E4AC05A7}"/>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8729-419F-A978-E398E4AC05A7}"/>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8729-419F-A978-E398E4AC05A7}"/>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8729-419F-A978-E398E4AC05A7}"/>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8729-419F-A978-E398E4AC05A7}"/>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8729-419F-A978-E398E4AC05A7}"/>
                </c:ext>
              </c:extLst>
            </c:dLbl>
            <c:dLbl>
              <c:idx val="8"/>
              <c:tx>
                <c:rich>
                  <a:bodyPr/>
                  <a:lstStyle/>
                  <a:p>
                    <a:fld id="{CA897975-F09F-44D1-A94C-F6A920062A8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8729-419F-A978-E398E4AC05A7}"/>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8729-419F-A978-E398E4AC05A7}"/>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8729-419F-A978-E398E4AC05A7}"/>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8729-419F-A978-E398E4AC05A7}"/>
                </c:ext>
              </c:extLst>
            </c:dLbl>
            <c:spPr>
              <a:noFill/>
              <a:ln>
                <a:noFill/>
              </a:ln>
              <a:effectLst/>
            </c:spPr>
            <c:txPr>
              <a:bodyPr rot="0" spcFirstLastPara="1" vertOverflow="ellipsis" vert="horz" wrap="square" lIns="38100" tIns="19050" rIns="38100" bIns="19050" anchor="ctr" anchorCtr="1">
                <a:spAutoFit/>
              </a:bodyPr>
              <a:lstStyle/>
              <a:p>
                <a:pPr>
                  <a:defRPr sz="12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val>
            <c:numRef>
              <c:f>'Prototype 2'!$Y$56:$Y$67</c:f>
              <c:numCache>
                <c:formatCode>General</c:formatCode>
                <c:ptCount val="12"/>
                <c:pt idx="0">
                  <c:v>#N/A</c:v>
                </c:pt>
                <c:pt idx="1">
                  <c:v>#N/A</c:v>
                </c:pt>
                <c:pt idx="2">
                  <c:v>#N/A</c:v>
                </c:pt>
                <c:pt idx="3">
                  <c:v>#N/A</c:v>
                </c:pt>
                <c:pt idx="4">
                  <c:v>#N/A</c:v>
                </c:pt>
                <c:pt idx="5">
                  <c:v>#N/A</c:v>
                </c:pt>
                <c:pt idx="6">
                  <c:v>#N/A</c:v>
                </c:pt>
                <c:pt idx="7">
                  <c:v>#N/A</c:v>
                </c:pt>
                <c:pt idx="8">
                  <c:v>3621.8</c:v>
                </c:pt>
                <c:pt idx="9">
                  <c:v>#N/A</c:v>
                </c:pt>
                <c:pt idx="10">
                  <c:v>#N/A</c:v>
                </c:pt>
                <c:pt idx="11">
                  <c:v>#N/A</c:v>
                </c:pt>
              </c:numCache>
            </c:numRef>
          </c:val>
          <c:smooth val="0"/>
          <c:extLst>
            <c:ext xmlns:c15="http://schemas.microsoft.com/office/drawing/2012/chart" uri="{02D57815-91ED-43cb-92C2-25804820EDAC}">
              <c15:datalabelsRange>
                <c15:f>'Prototype 2'!$Z$56:$Z$67</c15:f>
                <c15:dlblRangeCache>
                  <c:ptCount val="12"/>
                  <c:pt idx="0">
                    <c:v>#N/A</c:v>
                  </c:pt>
                  <c:pt idx="1">
                    <c:v>#N/A</c:v>
                  </c:pt>
                  <c:pt idx="2">
                    <c:v>#N/A</c:v>
                  </c:pt>
                  <c:pt idx="3">
                    <c:v>#N/A</c:v>
                  </c:pt>
                  <c:pt idx="4">
                    <c:v>#N/A</c:v>
                  </c:pt>
                  <c:pt idx="5">
                    <c:v>#N/A</c:v>
                  </c:pt>
                  <c:pt idx="6">
                    <c:v>#N/A</c:v>
                  </c:pt>
                  <c:pt idx="7">
                    <c:v>#N/A</c:v>
                  </c:pt>
                  <c:pt idx="8">
                    <c:v>3k</c:v>
                  </c:pt>
                  <c:pt idx="9">
                    <c:v>#N/A</c:v>
                  </c:pt>
                  <c:pt idx="10">
                    <c:v>#N/A</c:v>
                  </c:pt>
                  <c:pt idx="11">
                    <c:v>#N/A</c:v>
                  </c:pt>
                </c15:dlblRangeCache>
              </c15:datalabelsRange>
            </c:ext>
            <c:ext xmlns:c16="http://schemas.microsoft.com/office/drawing/2014/chart" uri="{C3380CC4-5D6E-409C-BE32-E72D297353CC}">
              <c16:uniqueId val="{00000006-8729-419F-A978-E398E4AC05A7}"/>
            </c:ext>
          </c:extLst>
        </c:ser>
        <c:dLbls>
          <c:showLegendKey val="0"/>
          <c:showVal val="0"/>
          <c:showCatName val="0"/>
          <c:showSerName val="0"/>
          <c:showPercent val="0"/>
          <c:showBubbleSize val="0"/>
        </c:dLbls>
        <c:marker val="1"/>
        <c:smooth val="0"/>
        <c:axId val="1217850336"/>
        <c:axId val="1217876256"/>
      </c:lineChart>
      <c:catAx>
        <c:axId val="121785033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ru-RU"/>
          </a:p>
        </c:txPr>
        <c:crossAx val="1217876256"/>
        <c:crosses val="autoZero"/>
        <c:auto val="1"/>
        <c:lblAlgn val="ctr"/>
        <c:lblOffset val="100"/>
        <c:noMultiLvlLbl val="0"/>
      </c:catAx>
      <c:valAx>
        <c:axId val="1217876256"/>
        <c:scaling>
          <c:orientation val="minMax"/>
        </c:scaling>
        <c:delete val="0"/>
        <c:axPos val="l"/>
        <c:majorGridlines>
          <c:spPr>
            <a:ln w="9525" cap="flat" cmpd="sng" algn="ctr">
              <a:solidFill>
                <a:srgbClr val="18387B"/>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17850336"/>
        <c:crosses val="autoZero"/>
        <c:crossBetween val="between"/>
      </c:valAx>
      <c:valAx>
        <c:axId val="1217884416"/>
        <c:scaling>
          <c:orientation val="minMax"/>
        </c:scaling>
        <c:delete val="1"/>
        <c:axPos val="r"/>
        <c:numFmt formatCode="General" sourceLinked="1"/>
        <c:majorTickMark val="out"/>
        <c:minorTickMark val="none"/>
        <c:tickLblPos val="nextTo"/>
        <c:crossAx val="1217885856"/>
        <c:crosses val="max"/>
        <c:crossBetween val="between"/>
      </c:valAx>
      <c:catAx>
        <c:axId val="1217885856"/>
        <c:scaling>
          <c:orientation val="minMax"/>
        </c:scaling>
        <c:delete val="1"/>
        <c:axPos val="b"/>
        <c:numFmt formatCode="General" sourceLinked="1"/>
        <c:majorTickMark val="out"/>
        <c:minorTickMark val="none"/>
        <c:tickLblPos val="nextTo"/>
        <c:crossAx val="121788441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1-2886-4ADC-81BF-40B702EF137D}"/>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3-2886-4ADC-81BF-40B702EF137D}"/>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05-2886-4ADC-81BF-40B702EF137D}"/>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07-2886-4ADC-81BF-40B702EF137D}"/>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09-2886-4ADC-81BF-40B702EF137D}"/>
              </c:ext>
            </c:extLst>
          </c:dPt>
          <c:val>
            <c:numRef>
              <c:f>'Prototype 2'!$M$48:$Q$48</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0-51A8-49CB-808C-1F349F7EB2FD}"/>
            </c:ext>
          </c:extLst>
        </c:ser>
        <c:ser>
          <c:idx val="1"/>
          <c:order val="1"/>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0B-2886-4ADC-81BF-40B702EF137D}"/>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0D-2886-4ADC-81BF-40B702EF137D}"/>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0F-2886-4ADC-81BF-40B702EF137D}"/>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1-2886-4ADC-81BF-40B702EF137D}"/>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3-2886-4ADC-81BF-40B702EF137D}"/>
              </c:ext>
            </c:extLst>
          </c:dPt>
          <c:val>
            <c:numRef>
              <c:f>'Prototype 2'!$M$49:$Q$49</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1-51A8-49CB-808C-1F349F7EB2FD}"/>
            </c:ext>
          </c:extLst>
        </c:ser>
        <c:ser>
          <c:idx val="2"/>
          <c:order val="2"/>
          <c:spPr>
            <a:noFill/>
            <a:ln w="9525">
              <a:solidFill>
                <a:srgbClr val="4E5E9D">
                  <a:alpha val="70000"/>
                </a:srgbClr>
              </a:solidFill>
            </a:ln>
          </c:spPr>
          <c:dPt>
            <c:idx val="0"/>
            <c:bubble3D val="0"/>
            <c:spPr>
              <a:noFill/>
              <a:ln w="9525">
                <a:solidFill>
                  <a:srgbClr val="4E5E9D">
                    <a:alpha val="70000"/>
                  </a:srgbClr>
                </a:solidFill>
              </a:ln>
              <a:effectLst/>
            </c:spPr>
            <c:extLst>
              <c:ext xmlns:c16="http://schemas.microsoft.com/office/drawing/2014/chart" uri="{C3380CC4-5D6E-409C-BE32-E72D297353CC}">
                <c16:uniqueId val="{00000015-2886-4ADC-81BF-40B702EF137D}"/>
              </c:ext>
            </c:extLst>
          </c:dPt>
          <c:dPt>
            <c:idx val="1"/>
            <c:bubble3D val="0"/>
            <c:spPr>
              <a:noFill/>
              <a:ln w="9525">
                <a:solidFill>
                  <a:srgbClr val="4E5E9D">
                    <a:alpha val="70000"/>
                  </a:srgbClr>
                </a:solidFill>
              </a:ln>
              <a:effectLst/>
            </c:spPr>
            <c:extLst>
              <c:ext xmlns:c16="http://schemas.microsoft.com/office/drawing/2014/chart" uri="{C3380CC4-5D6E-409C-BE32-E72D297353CC}">
                <c16:uniqueId val="{00000017-2886-4ADC-81BF-40B702EF137D}"/>
              </c:ext>
            </c:extLst>
          </c:dPt>
          <c:dPt>
            <c:idx val="2"/>
            <c:bubble3D val="0"/>
            <c:spPr>
              <a:noFill/>
              <a:ln w="9525">
                <a:solidFill>
                  <a:srgbClr val="4E5E9D">
                    <a:alpha val="70000"/>
                  </a:srgbClr>
                </a:solidFill>
              </a:ln>
              <a:effectLst/>
            </c:spPr>
            <c:extLst>
              <c:ext xmlns:c16="http://schemas.microsoft.com/office/drawing/2014/chart" uri="{C3380CC4-5D6E-409C-BE32-E72D297353CC}">
                <c16:uniqueId val="{00000019-2886-4ADC-81BF-40B702EF137D}"/>
              </c:ext>
            </c:extLst>
          </c:dPt>
          <c:dPt>
            <c:idx val="3"/>
            <c:bubble3D val="0"/>
            <c:spPr>
              <a:noFill/>
              <a:ln w="9525">
                <a:solidFill>
                  <a:srgbClr val="4E5E9D">
                    <a:alpha val="70000"/>
                  </a:srgbClr>
                </a:solidFill>
              </a:ln>
              <a:effectLst/>
            </c:spPr>
            <c:extLst>
              <c:ext xmlns:c16="http://schemas.microsoft.com/office/drawing/2014/chart" uri="{C3380CC4-5D6E-409C-BE32-E72D297353CC}">
                <c16:uniqueId val="{0000001B-2886-4ADC-81BF-40B702EF137D}"/>
              </c:ext>
            </c:extLst>
          </c:dPt>
          <c:dPt>
            <c:idx val="4"/>
            <c:bubble3D val="0"/>
            <c:spPr>
              <a:noFill/>
              <a:ln w="9525">
                <a:solidFill>
                  <a:srgbClr val="4E5E9D">
                    <a:alpha val="70000"/>
                  </a:srgbClr>
                </a:solidFill>
              </a:ln>
              <a:effectLst/>
            </c:spPr>
            <c:extLst>
              <c:ext xmlns:c16="http://schemas.microsoft.com/office/drawing/2014/chart" uri="{C3380CC4-5D6E-409C-BE32-E72D297353CC}">
                <c16:uniqueId val="{0000001D-2886-4ADC-81BF-40B702EF137D}"/>
              </c:ext>
            </c:extLst>
          </c:dPt>
          <c:val>
            <c:numRef>
              <c:f>'Prototype 2'!$M$50:$Q$50</c:f>
              <c:numCache>
                <c:formatCode>General</c:formatCode>
                <c:ptCount val="5"/>
                <c:pt idx="0">
                  <c:v>72</c:v>
                </c:pt>
                <c:pt idx="1">
                  <c:v>72</c:v>
                </c:pt>
                <c:pt idx="2">
                  <c:v>72</c:v>
                </c:pt>
                <c:pt idx="3">
                  <c:v>72</c:v>
                </c:pt>
                <c:pt idx="4">
                  <c:v>72</c:v>
                </c:pt>
              </c:numCache>
            </c:numRef>
          </c:val>
          <c:extLst>
            <c:ext xmlns:c16="http://schemas.microsoft.com/office/drawing/2014/chart" uri="{C3380CC4-5D6E-409C-BE32-E72D297353CC}">
              <c16:uniqueId val="{00000004-51A8-49CB-808C-1F349F7EB2FD}"/>
            </c:ext>
          </c:extLst>
        </c:ser>
        <c:dLbls>
          <c:showLegendKey val="0"/>
          <c:showVal val="0"/>
          <c:showCatName val="0"/>
          <c:showSerName val="0"/>
          <c:showPercent val="0"/>
          <c:showBubbleSize val="0"/>
          <c:showLeaderLines val="1"/>
        </c:dLbls>
        <c:firstSliceAng val="0"/>
        <c:holeSize val="2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radarChart>
        <c:radarStyle val="marker"/>
        <c:varyColors val="0"/>
        <c:ser>
          <c:idx val="0"/>
          <c:order val="0"/>
          <c:tx>
            <c:strRef>
              <c:f>'Prototype 2'!$C$47</c:f>
              <c:strCache>
                <c:ptCount val="1"/>
                <c:pt idx="0">
                  <c:v>Travel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'Prototype 2'!$B$48:$B$52</c:f>
              <c:strCache>
                <c:ptCount val="5"/>
                <c:pt idx="0">
                  <c:v>E</c:v>
                </c:pt>
                <c:pt idx="1">
                  <c:v>F</c:v>
                </c:pt>
                <c:pt idx="2">
                  <c:v>L</c:v>
                </c:pt>
                <c:pt idx="3">
                  <c:v>S</c:v>
                </c:pt>
                <c:pt idx="4">
                  <c:v>H</c:v>
                </c:pt>
              </c:strCache>
            </c:strRef>
          </c:cat>
          <c:val>
            <c:numRef>
              <c:f>'Prototype 2'!$C$48:$C$52</c:f>
              <c:numCache>
                <c:formatCode>0%</c:formatCode>
                <c:ptCount val="5"/>
                <c:pt idx="0">
                  <c:v>#N/A</c:v>
                </c:pt>
                <c:pt idx="1">
                  <c:v>#N/A</c:v>
                </c:pt>
                <c:pt idx="2">
                  <c:v>#N/A</c:v>
                </c:pt>
                <c:pt idx="3">
                  <c:v>#N/A</c:v>
                </c:pt>
                <c:pt idx="4">
                  <c:v>#N/A</c:v>
                </c:pt>
              </c:numCache>
            </c:numRef>
          </c:val>
          <c:extLst>
            <c:ext xmlns:c16="http://schemas.microsoft.com/office/drawing/2014/chart" uri="{C3380CC4-5D6E-409C-BE32-E72D297353CC}">
              <c16:uniqueId val="{00000000-0EBF-49B8-AA3C-7D7C4A744329}"/>
            </c:ext>
          </c:extLst>
        </c:ser>
        <c:ser>
          <c:idx val="1"/>
          <c:order val="1"/>
          <c:tx>
            <c:strRef>
              <c:f>'Prototype 2'!$D$47</c:f>
              <c:strCache>
                <c:ptCount val="1"/>
                <c:pt idx="0">
                  <c:v>FoodCourt</c:v>
                </c:pt>
              </c:strCache>
            </c:strRef>
          </c:tx>
          <c:spPr>
            <a:ln w="25400" cap="rnd">
              <a:solidFill>
                <a:srgbClr val="FF5C6D"/>
              </a:solidFill>
              <a:round/>
            </a:ln>
            <a:effectLst/>
          </c:spPr>
          <c:marker>
            <c:symbol val="circle"/>
            <c:size val="7"/>
            <c:spPr>
              <a:solidFill>
                <a:srgbClr val="FF5C6D"/>
              </a:solidFill>
              <a:ln w="9525">
                <a:noFill/>
              </a:ln>
              <a:effectLst/>
            </c:spPr>
          </c:marker>
          <c:cat>
            <c:strRef>
              <c:f>'Prototype 2'!$B$48:$B$52</c:f>
              <c:strCache>
                <c:ptCount val="5"/>
                <c:pt idx="0">
                  <c:v>E</c:v>
                </c:pt>
                <c:pt idx="1">
                  <c:v>F</c:v>
                </c:pt>
                <c:pt idx="2">
                  <c:v>L</c:v>
                </c:pt>
                <c:pt idx="3">
                  <c:v>S</c:v>
                </c:pt>
                <c:pt idx="4">
                  <c:v>H</c:v>
                </c:pt>
              </c:strCache>
            </c:strRef>
          </c:cat>
          <c:val>
            <c:numRef>
              <c:f>'Prototype 2'!$D$48:$D$52</c:f>
              <c:numCache>
                <c:formatCode>General</c:formatCode>
                <c:ptCount val="5"/>
                <c:pt idx="0">
                  <c:v>131</c:v>
                </c:pt>
                <c:pt idx="1">
                  <c:v>102</c:v>
                </c:pt>
                <c:pt idx="2">
                  <c:v>85</c:v>
                </c:pt>
                <c:pt idx="3">
                  <c:v>112</c:v>
                </c:pt>
                <c:pt idx="4">
                  <c:v>104</c:v>
                </c:pt>
              </c:numCache>
            </c:numRef>
          </c:val>
          <c:extLst>
            <c:ext xmlns:c16="http://schemas.microsoft.com/office/drawing/2014/chart" uri="{C3380CC4-5D6E-409C-BE32-E72D297353CC}">
              <c16:uniqueId val="{00000001-0EBF-49B8-AA3C-7D7C4A744329}"/>
            </c:ext>
          </c:extLst>
        </c:ser>
        <c:ser>
          <c:idx val="2"/>
          <c:order val="2"/>
          <c:tx>
            <c:strRef>
              <c:f>'Prototype 2'!$E$47</c:f>
              <c:strCache>
                <c:ptCount val="1"/>
                <c:pt idx="0">
                  <c:v>Supermarket</c:v>
                </c:pt>
              </c:strCache>
            </c:strRef>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Ref>
              <c:f>'Prototype 2'!$B$48:$B$52</c:f>
              <c:strCache>
                <c:ptCount val="5"/>
                <c:pt idx="0">
                  <c:v>E</c:v>
                </c:pt>
                <c:pt idx="1">
                  <c:v>F</c:v>
                </c:pt>
                <c:pt idx="2">
                  <c:v>L</c:v>
                </c:pt>
                <c:pt idx="3">
                  <c:v>S</c:v>
                </c:pt>
                <c:pt idx="4">
                  <c:v>H</c:v>
                </c:pt>
              </c:strCache>
            </c:strRef>
          </c:cat>
          <c:val>
            <c:numRef>
              <c:f>'Prototype 2'!$E$48:$E$52</c:f>
              <c:numCache>
                <c:formatCode>0%</c:formatCode>
                <c:ptCount val="5"/>
                <c:pt idx="0">
                  <c:v>#N/A</c:v>
                </c:pt>
                <c:pt idx="1">
                  <c:v>#N/A</c:v>
                </c:pt>
                <c:pt idx="2">
                  <c:v>#N/A</c:v>
                </c:pt>
                <c:pt idx="3">
                  <c:v>#N/A</c:v>
                </c:pt>
                <c:pt idx="4">
                  <c:v>#N/A</c:v>
                </c:pt>
              </c:numCache>
            </c:numRef>
          </c:val>
          <c:extLst>
            <c:ext xmlns:c16="http://schemas.microsoft.com/office/drawing/2014/chart" uri="{C3380CC4-5D6E-409C-BE32-E72D297353CC}">
              <c16:uniqueId val="{00000002-0EBF-49B8-AA3C-7D7C4A744329}"/>
            </c:ext>
          </c:extLst>
        </c:ser>
        <c:ser>
          <c:idx val="3"/>
          <c:order val="3"/>
          <c:tx>
            <c:strRef>
              <c:f>'Prototype 2'!$F$47</c:f>
              <c:strCache>
                <c:ptCount val="1"/>
                <c:pt idx="0">
                  <c:v>Entertainment</c:v>
                </c:pt>
              </c:strCache>
            </c:strRef>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Ref>
              <c:f>'Prototype 2'!$B$48:$B$52</c:f>
              <c:strCache>
                <c:ptCount val="5"/>
                <c:pt idx="0">
                  <c:v>E</c:v>
                </c:pt>
                <c:pt idx="1">
                  <c:v>F</c:v>
                </c:pt>
                <c:pt idx="2">
                  <c:v>L</c:v>
                </c:pt>
                <c:pt idx="3">
                  <c:v>S</c:v>
                </c:pt>
                <c:pt idx="4">
                  <c:v>H</c:v>
                </c:pt>
              </c:strCache>
            </c:strRef>
          </c:cat>
          <c:val>
            <c:numRef>
              <c:f>'Prototype 2'!$F$48:$F$52</c:f>
              <c:numCache>
                <c:formatCode>0%</c:formatCode>
                <c:ptCount val="5"/>
                <c:pt idx="0">
                  <c:v>#N/A</c:v>
                </c:pt>
                <c:pt idx="1">
                  <c:v>#N/A</c:v>
                </c:pt>
                <c:pt idx="2">
                  <c:v>#N/A</c:v>
                </c:pt>
                <c:pt idx="3">
                  <c:v>#N/A</c:v>
                </c:pt>
                <c:pt idx="4">
                  <c:v>#N/A</c:v>
                </c:pt>
              </c:numCache>
            </c:numRef>
          </c:val>
          <c:extLst>
            <c:ext xmlns:c16="http://schemas.microsoft.com/office/drawing/2014/chart" uri="{C3380CC4-5D6E-409C-BE32-E72D297353CC}">
              <c16:uniqueId val="{00000003-0EBF-49B8-AA3C-7D7C4A744329}"/>
            </c:ext>
          </c:extLst>
        </c:ser>
        <c:ser>
          <c:idx val="4"/>
          <c:order val="4"/>
          <c:tx>
            <c:strRef>
              <c:f>'Prototype 2'!$G$47</c:f>
              <c:strCache>
                <c:ptCount val="1"/>
                <c:pt idx="0">
                  <c:v>Workplace</c:v>
                </c:pt>
              </c:strCache>
            </c:strRef>
          </c:tx>
          <c:spPr>
            <a:ln w="25400" cap="rnd">
              <a:solidFill>
                <a:srgbClr val="2069F0"/>
              </a:solidFill>
              <a:round/>
            </a:ln>
            <a:effectLst/>
          </c:spPr>
          <c:marker>
            <c:symbol val="circle"/>
            <c:size val="7"/>
            <c:spPr>
              <a:solidFill>
                <a:srgbClr val="2069F0"/>
              </a:solidFill>
              <a:ln w="9525">
                <a:noFill/>
              </a:ln>
              <a:effectLst/>
            </c:spPr>
          </c:marker>
          <c:cat>
            <c:strRef>
              <c:f>'Prototype 2'!$B$48:$B$52</c:f>
              <c:strCache>
                <c:ptCount val="5"/>
                <c:pt idx="0">
                  <c:v>E</c:v>
                </c:pt>
                <c:pt idx="1">
                  <c:v>F</c:v>
                </c:pt>
                <c:pt idx="2">
                  <c:v>L</c:v>
                </c:pt>
                <c:pt idx="3">
                  <c:v>S</c:v>
                </c:pt>
                <c:pt idx="4">
                  <c:v>H</c:v>
                </c:pt>
              </c:strCache>
            </c:strRef>
          </c:cat>
          <c:val>
            <c:numRef>
              <c:f>'Prototype 2'!$G$48:$G$52</c:f>
              <c:numCache>
                <c:formatCode>General</c:formatCode>
                <c:ptCount val="5"/>
                <c:pt idx="0">
                  <c:v>100</c:v>
                </c:pt>
                <c:pt idx="1">
                  <c:v>123</c:v>
                </c:pt>
                <c:pt idx="2">
                  <c:v>118</c:v>
                </c:pt>
                <c:pt idx="3">
                  <c:v>85</c:v>
                </c:pt>
                <c:pt idx="4">
                  <c:v>78</c:v>
                </c:pt>
              </c:numCache>
            </c:numRef>
          </c:val>
          <c:extLst>
            <c:ext xmlns:c16="http://schemas.microsoft.com/office/drawing/2014/chart" uri="{C3380CC4-5D6E-409C-BE32-E72D297353CC}">
              <c16:uniqueId val="{00000004-0EBF-49B8-AA3C-7D7C4A744329}"/>
            </c:ext>
          </c:extLst>
        </c:ser>
        <c:dLbls>
          <c:showLegendKey val="0"/>
          <c:showVal val="0"/>
          <c:showCatName val="0"/>
          <c:showSerName val="0"/>
          <c:showPercent val="0"/>
          <c:showBubbleSize val="0"/>
        </c:dLbls>
        <c:axId val="1484366719"/>
        <c:axId val="1484339839"/>
      </c:radarChart>
      <c:catAx>
        <c:axId val="14843667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484339839"/>
        <c:crosses val="autoZero"/>
        <c:auto val="1"/>
        <c:lblAlgn val="ctr"/>
        <c:lblOffset val="100"/>
        <c:noMultiLvlLbl val="0"/>
      </c:catAx>
      <c:valAx>
        <c:axId val="1484339839"/>
        <c:scaling>
          <c:orientation val="minMax"/>
        </c:scaling>
        <c:delete val="1"/>
        <c:axPos val="l"/>
        <c:numFmt formatCode="0%" sourceLinked="1"/>
        <c:majorTickMark val="none"/>
        <c:minorTickMark val="none"/>
        <c:tickLblPos val="nextTo"/>
        <c:crossAx val="148436671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3"/>
          <c:order val="0"/>
          <c:tx>
            <c:strRef>
              <c:f>'Prototype 2'!$B$56</c:f>
              <c:strCache>
                <c:ptCount val="1"/>
                <c:pt idx="0">
                  <c:v>indent</c:v>
                </c:pt>
              </c:strCache>
            </c:strRef>
          </c:tx>
          <c:spPr>
            <a:noFill/>
            <a:ln>
              <a:noFill/>
            </a:ln>
            <a:effectLst/>
          </c:spPr>
          <c:invertIfNegative val="0"/>
          <c:val>
            <c:numRef>
              <c:f>'Prototype 2'!$C$56:$G$56</c:f>
              <c:numCache>
                <c:formatCode>General</c:formatCode>
                <c:ptCount val="5"/>
                <c:pt idx="0">
                  <c:v>37.700000000000003</c:v>
                </c:pt>
                <c:pt idx="1">
                  <c:v>37.700000000000003</c:v>
                </c:pt>
                <c:pt idx="2">
                  <c:v>37.700000000000003</c:v>
                </c:pt>
                <c:pt idx="3">
                  <c:v>37.700000000000003</c:v>
                </c:pt>
                <c:pt idx="4">
                  <c:v>37.700000000000003</c:v>
                </c:pt>
              </c:numCache>
            </c:numRef>
          </c:val>
          <c:extLst>
            <c:ext xmlns:c16="http://schemas.microsoft.com/office/drawing/2014/chart" uri="{C3380CC4-5D6E-409C-BE32-E72D297353CC}">
              <c16:uniqueId val="{00000003-9D44-4DE9-AE45-2D4FB9B32BB6}"/>
            </c:ext>
          </c:extLst>
        </c:ser>
        <c:ser>
          <c:idx val="2"/>
          <c:order val="1"/>
          <c:tx>
            <c:strRef>
              <c:f>'Prototype 2'!$B$55</c:f>
              <c:strCache>
                <c:ptCount val="1"/>
                <c:pt idx="0">
                  <c:v>Total</c:v>
                </c:pt>
              </c:strCache>
            </c:strRef>
          </c:tx>
          <c:spPr>
            <a:solidFill>
              <a:schemeClr val="accent3"/>
            </a:solidFill>
            <a:ln w="101600">
              <a:gradFill>
                <a:gsLst>
                  <a:gs pos="0">
                    <a:srgbClr val="1F449D"/>
                  </a:gs>
                  <a:gs pos="100000">
                    <a:srgbClr val="1B3B88"/>
                  </a:gs>
                </a:gsLst>
                <a:lin ang="5400000" scaled="1"/>
              </a:gradFill>
            </a:ln>
            <a:effectLst/>
          </c:spPr>
          <c:invertIfNegative val="0"/>
          <c:val>
            <c:numRef>
              <c:f>'Prototype 2'!$C$55:$G$55</c:f>
              <c:numCache>
                <c:formatCode>General</c:formatCode>
                <c:ptCount val="5"/>
                <c:pt idx="0">
                  <c:v>315</c:v>
                </c:pt>
                <c:pt idx="1">
                  <c:v>524</c:v>
                </c:pt>
                <c:pt idx="2">
                  <c:v>428</c:v>
                </c:pt>
                <c:pt idx="3">
                  <c:v>754</c:v>
                </c:pt>
                <c:pt idx="4">
                  <c:v>525</c:v>
                </c:pt>
              </c:numCache>
            </c:numRef>
          </c:val>
          <c:extLst>
            <c:ext xmlns:c16="http://schemas.microsoft.com/office/drawing/2014/chart" uri="{C3380CC4-5D6E-409C-BE32-E72D297353CC}">
              <c16:uniqueId val="{00000002-9D44-4DE9-AE45-2D4FB9B32BB6}"/>
            </c:ext>
          </c:extLst>
        </c:ser>
        <c:dLbls>
          <c:showLegendKey val="0"/>
          <c:showVal val="0"/>
          <c:showCatName val="0"/>
          <c:showSerName val="0"/>
          <c:showPercent val="0"/>
          <c:showBubbleSize val="0"/>
        </c:dLbls>
        <c:gapWidth val="400"/>
        <c:overlap val="100"/>
        <c:axId val="1488376607"/>
        <c:axId val="1488381407"/>
      </c:barChart>
      <c:barChart>
        <c:barDir val="col"/>
        <c:grouping val="stacked"/>
        <c:varyColors val="0"/>
        <c:ser>
          <c:idx val="1"/>
          <c:order val="2"/>
          <c:tx>
            <c:strRef>
              <c:f>'Prototype 2'!$B$54</c:f>
              <c:strCache>
                <c:ptCount val="1"/>
                <c:pt idx="0">
                  <c:v>indent Cursor</c:v>
                </c:pt>
              </c:strCache>
            </c:strRef>
          </c:tx>
          <c:spPr>
            <a:noFill/>
            <a:ln>
              <a:noFill/>
            </a:ln>
            <a:effectLst/>
          </c:spPr>
          <c:invertIfNegative val="0"/>
          <c:val>
            <c:numRef>
              <c:f>'Prototype 2'!$C$54:$G$54</c:f>
              <c:numCache>
                <c:formatCode>General</c:formatCode>
                <c:ptCount val="5"/>
                <c:pt idx="0">
                  <c:v>37.700000000000003</c:v>
                </c:pt>
                <c:pt idx="1">
                  <c:v>37.700000000000003</c:v>
                </c:pt>
                <c:pt idx="2">
                  <c:v>37.700000000000003</c:v>
                </c:pt>
                <c:pt idx="3">
                  <c:v>37.700000000000003</c:v>
                </c:pt>
                <c:pt idx="4">
                  <c:v>37.700000000000003</c:v>
                </c:pt>
              </c:numCache>
            </c:numRef>
          </c:val>
          <c:extLst>
            <c:ext xmlns:c16="http://schemas.microsoft.com/office/drawing/2014/chart" uri="{C3380CC4-5D6E-409C-BE32-E72D297353CC}">
              <c16:uniqueId val="{00000001-9D44-4DE9-AE45-2D4FB9B32BB6}"/>
            </c:ext>
          </c:extLst>
        </c:ser>
        <c:ser>
          <c:idx val="0"/>
          <c:order val="3"/>
          <c:tx>
            <c:strRef>
              <c:f>'Prototype 2'!$B$53</c:f>
              <c:strCache>
                <c:ptCount val="1"/>
                <c:pt idx="0">
                  <c:v>Cursor</c:v>
                </c:pt>
              </c:strCache>
            </c:strRef>
          </c:tx>
          <c:spPr>
            <a:solidFill>
              <a:schemeClr val="accent1"/>
            </a:solidFill>
            <a:ln w="101600">
              <a:gradFill>
                <a:gsLst>
                  <a:gs pos="0">
                    <a:schemeClr val="accent1">
                      <a:lumMod val="5000"/>
                      <a:lumOff val="95000"/>
                    </a:schemeClr>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dPt>
            <c:idx val="1"/>
            <c:invertIfNegative val="0"/>
            <c:bubble3D val="0"/>
            <c:spPr>
              <a:solidFill>
                <a:schemeClr val="accent1"/>
              </a:solidFill>
              <a:ln w="101600">
                <a:gradFill>
                  <a:gsLst>
                    <a:gs pos="0">
                      <a:srgbClr val="FF7684"/>
                    </a:gs>
                    <a:gs pos="100000">
                      <a:srgbClr val="FF5C6D"/>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4-9D44-4DE9-AE45-2D4FB9B32BB6}"/>
              </c:ext>
            </c:extLst>
          </c:dPt>
          <c:dPt>
            <c:idx val="4"/>
            <c:invertIfNegative val="0"/>
            <c:bubble3D val="0"/>
            <c:spPr>
              <a:solidFill>
                <a:schemeClr val="accent1"/>
              </a:solidFill>
              <a:ln w="101600">
                <a:gradFill>
                  <a:gsLst>
                    <a:gs pos="0">
                      <a:srgbClr val="3879F2"/>
                    </a:gs>
                    <a:gs pos="100000">
                      <a:srgbClr val="2069F0"/>
                    </a:gs>
                  </a:gsLst>
                  <a:lin ang="5400000" scaled="1"/>
                </a:gradFill>
              </a:ln>
              <a:effectLst>
                <a:outerShdw blurRad="50800" dist="38100" dir="8100000" algn="tr" rotWithShape="0">
                  <a:prstClr val="black">
                    <a:alpha val="40000"/>
                  </a:prstClr>
                </a:outerShdw>
              </a:effectLst>
            </c:spPr>
            <c:extLst>
              <c:ext xmlns:c16="http://schemas.microsoft.com/office/drawing/2014/chart" uri="{C3380CC4-5D6E-409C-BE32-E72D297353CC}">
                <c16:uniqueId val="{00000005-9D44-4DE9-AE45-2D4FB9B32BB6}"/>
              </c:ext>
            </c:extLst>
          </c:dPt>
          <c:val>
            <c:numRef>
              <c:f>'Prototype 2'!$C$53:$G$53</c:f>
              <c:numCache>
                <c:formatCode>General</c:formatCode>
                <c:ptCount val="5"/>
                <c:pt idx="0">
                  <c:v>#N/A</c:v>
                </c:pt>
                <c:pt idx="1">
                  <c:v>534</c:v>
                </c:pt>
                <c:pt idx="2">
                  <c:v>#N/A</c:v>
                </c:pt>
                <c:pt idx="3">
                  <c:v>#N/A</c:v>
                </c:pt>
                <c:pt idx="4">
                  <c:v>504</c:v>
                </c:pt>
              </c:numCache>
            </c:numRef>
          </c:val>
          <c:extLst>
            <c:ext xmlns:c16="http://schemas.microsoft.com/office/drawing/2014/chart" uri="{C3380CC4-5D6E-409C-BE32-E72D297353CC}">
              <c16:uniqueId val="{00000000-9D44-4DE9-AE45-2D4FB9B32BB6}"/>
            </c:ext>
          </c:extLst>
        </c:ser>
        <c:dLbls>
          <c:showLegendKey val="0"/>
          <c:showVal val="0"/>
          <c:showCatName val="0"/>
          <c:showSerName val="0"/>
          <c:showPercent val="0"/>
          <c:showBubbleSize val="0"/>
        </c:dLbls>
        <c:gapWidth val="400"/>
        <c:overlap val="100"/>
        <c:axId val="1488359807"/>
        <c:axId val="1488349727"/>
      </c:barChart>
      <c:scatterChart>
        <c:scatterStyle val="lineMarker"/>
        <c:varyColors val="0"/>
        <c:ser>
          <c:idx val="4"/>
          <c:order val="4"/>
          <c:tx>
            <c:strRef>
              <c:f>'Prototype 2'!$B$57</c:f>
              <c:strCache>
                <c:ptCount val="1"/>
                <c:pt idx="0">
                  <c:v>Markers</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9D44-4DE9-AE45-2D4FB9B32BB6}"/>
                </c:ext>
              </c:extLst>
            </c:dLbl>
            <c:dLbl>
              <c:idx val="1"/>
              <c:tx>
                <c:rich>
                  <a:bodyPr/>
                  <a:lstStyle/>
                  <a:p>
                    <a:fld id="{DE053AB9-1AA3-4955-A877-0378249473B8}"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9D44-4DE9-AE45-2D4FB9B32BB6}"/>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9D44-4DE9-AE45-2D4FB9B32BB6}"/>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9D44-4DE9-AE45-2D4FB9B32BB6}"/>
                </c:ext>
              </c:extLst>
            </c:dLbl>
            <c:dLbl>
              <c:idx val="4"/>
              <c:tx>
                <c:rich>
                  <a:bodyPr/>
                  <a:lstStyle/>
                  <a:p>
                    <a:fld id="{94DA0658-3389-4ECD-92BC-BB08476E3AE9}"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9D44-4DE9-AE45-2D4FB9B32BB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'Prototype 2'!$C$57:$G$57</c:f>
              <c:numCache>
                <c:formatCode>General</c:formatCode>
                <c:ptCount val="5"/>
                <c:pt idx="0">
                  <c:v>#N/A</c:v>
                </c:pt>
                <c:pt idx="1">
                  <c:v>571.70000000000005</c:v>
                </c:pt>
                <c:pt idx="2">
                  <c:v>#N/A</c:v>
                </c:pt>
                <c:pt idx="3">
                  <c:v>#N/A</c:v>
                </c:pt>
                <c:pt idx="4">
                  <c:v>541.70000000000005</c:v>
                </c:pt>
              </c:numCache>
            </c:numRef>
          </c:yVal>
          <c:smooth val="0"/>
          <c:extLst>
            <c:ext xmlns:c15="http://schemas.microsoft.com/office/drawing/2012/chart" uri="{02D57815-91ED-43cb-92C2-25804820EDAC}">
              <c15:datalabelsRange>
                <c15:f>'Prototype 2'!$C$53:$G$53</c15:f>
                <c15:dlblRangeCache>
                  <c:ptCount val="5"/>
                  <c:pt idx="0">
                    <c:v>#N/A</c:v>
                  </c:pt>
                  <c:pt idx="1">
                    <c:v>534</c:v>
                  </c:pt>
                  <c:pt idx="2">
                    <c:v>#N/A</c:v>
                  </c:pt>
                  <c:pt idx="3">
                    <c:v>#N/A</c:v>
                  </c:pt>
                  <c:pt idx="4">
                    <c:v>504</c:v>
                  </c:pt>
                </c15:dlblRangeCache>
              </c15:datalabelsRange>
            </c:ext>
            <c:ext xmlns:c16="http://schemas.microsoft.com/office/drawing/2014/chart" uri="{C3380CC4-5D6E-409C-BE32-E72D297353CC}">
              <c16:uniqueId val="{00000006-9D44-4DE9-AE45-2D4FB9B32BB6}"/>
            </c:ext>
          </c:extLst>
        </c:ser>
        <c:dLbls>
          <c:showLegendKey val="0"/>
          <c:showVal val="0"/>
          <c:showCatName val="0"/>
          <c:showSerName val="0"/>
          <c:showPercent val="0"/>
          <c:showBubbleSize val="0"/>
        </c:dLbls>
        <c:axId val="1488359807"/>
        <c:axId val="1488349727"/>
      </c:scatterChart>
      <c:catAx>
        <c:axId val="1488376607"/>
        <c:scaling>
          <c:orientation val="minMax"/>
        </c:scaling>
        <c:delete val="1"/>
        <c:axPos val="b"/>
        <c:majorTickMark val="none"/>
        <c:minorTickMark val="none"/>
        <c:tickLblPos val="nextTo"/>
        <c:crossAx val="1488381407"/>
        <c:crosses val="autoZero"/>
        <c:auto val="1"/>
        <c:lblAlgn val="ctr"/>
        <c:lblOffset val="100"/>
        <c:noMultiLvlLbl val="0"/>
      </c:catAx>
      <c:valAx>
        <c:axId val="1488381407"/>
        <c:scaling>
          <c:orientation val="minMax"/>
        </c:scaling>
        <c:delete val="1"/>
        <c:axPos val="l"/>
        <c:numFmt formatCode="General" sourceLinked="1"/>
        <c:majorTickMark val="none"/>
        <c:minorTickMark val="none"/>
        <c:tickLblPos val="nextTo"/>
        <c:crossAx val="1488376607"/>
        <c:crosses val="autoZero"/>
        <c:crossBetween val="between"/>
      </c:valAx>
      <c:valAx>
        <c:axId val="1488349727"/>
        <c:scaling>
          <c:orientation val="minMax"/>
        </c:scaling>
        <c:delete val="1"/>
        <c:axPos val="r"/>
        <c:numFmt formatCode="General" sourceLinked="1"/>
        <c:majorTickMark val="out"/>
        <c:minorTickMark val="none"/>
        <c:tickLblPos val="nextTo"/>
        <c:crossAx val="1488359807"/>
        <c:crosses val="max"/>
        <c:crossBetween val="between"/>
      </c:valAx>
      <c:catAx>
        <c:axId val="1488359807"/>
        <c:scaling>
          <c:orientation val="minMax"/>
        </c:scaling>
        <c:delete val="1"/>
        <c:axPos val="b"/>
        <c:majorTickMark val="out"/>
        <c:minorTickMark val="none"/>
        <c:tickLblPos val="nextTo"/>
        <c:crossAx val="1488349727"/>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stacked"/>
        <c:varyColors val="0"/>
        <c:ser>
          <c:idx val="1"/>
          <c:order val="0"/>
          <c:tx>
            <c:strRef>
              <c:f>'Prototype 2'!$T$78</c:f>
              <c:strCache>
                <c:ptCount val="1"/>
                <c:pt idx="0">
                  <c:v>indent</c:v>
                </c:pt>
              </c:strCache>
            </c:strRef>
          </c:tx>
          <c:spPr>
            <a:noFill/>
            <a:ln>
              <a:noFill/>
            </a:ln>
            <a:effectLst/>
          </c:spPr>
          <c:invertIfNegative val="0"/>
          <c:val>
            <c:numRef>
              <c:f>'Prototype 2'!$T$79:$T$82</c:f>
              <c:numCache>
                <c:formatCode>_("$"* #,##0.00_);_("$"* \(#,##0.00\);_("$"* "-"??_);_(@_)</c:formatCode>
                <c:ptCount val="4"/>
                <c:pt idx="0">
                  <c:v>714.96</c:v>
                </c:pt>
                <c:pt idx="1">
                  <c:v>714.96</c:v>
                </c:pt>
                <c:pt idx="2">
                  <c:v>714.96</c:v>
                </c:pt>
                <c:pt idx="3">
                  <c:v>714.96</c:v>
                </c:pt>
              </c:numCache>
            </c:numRef>
          </c:val>
          <c:extLst>
            <c:ext xmlns:c16="http://schemas.microsoft.com/office/drawing/2014/chart" uri="{C3380CC4-5D6E-409C-BE32-E72D297353CC}">
              <c16:uniqueId val="{00000001-B1F4-4CAE-9D49-1120449301B8}"/>
            </c:ext>
          </c:extLst>
        </c:ser>
        <c:ser>
          <c:idx val="0"/>
          <c:order val="1"/>
          <c:tx>
            <c:strRef>
              <c:f>'Prototype 2'!$X$78</c:f>
              <c:strCache>
                <c:ptCount val="1"/>
                <c:pt idx="0">
                  <c:v>Rank</c:v>
                </c:pt>
              </c:strCache>
            </c:strRef>
          </c:tx>
          <c:spPr>
            <a:solidFill>
              <a:schemeClr val="accent1"/>
            </a:solidFill>
            <a:ln w="1016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invertIfNegative val="0"/>
          <c:cat>
            <c:strRef>
              <c:f>'Prototype 2'!$W$79:$W$82</c:f>
              <c:strCache>
                <c:ptCount val="4"/>
                <c:pt idx="0">
                  <c:v>Salary</c:v>
                </c:pt>
                <c:pt idx="1">
                  <c:v>Side Job</c:v>
                </c:pt>
                <c:pt idx="2">
                  <c:v>Savings</c:v>
                </c:pt>
                <c:pt idx="3">
                  <c:v>Stock</c:v>
                </c:pt>
              </c:strCache>
            </c:strRef>
          </c:cat>
          <c:val>
            <c:numRef>
              <c:f>'Prototype 2'!$X$79:$X$82</c:f>
              <c:numCache>
                <c:formatCode>General</c:formatCode>
                <c:ptCount val="4"/>
                <c:pt idx="0">
                  <c:v>17874</c:v>
                </c:pt>
                <c:pt idx="1">
                  <c:v>12217</c:v>
                </c:pt>
                <c:pt idx="2">
                  <c:v>4978</c:v>
                </c:pt>
                <c:pt idx="3">
                  <c:v>2896</c:v>
                </c:pt>
              </c:numCache>
            </c:numRef>
          </c:val>
          <c:extLst>
            <c:ext xmlns:c16="http://schemas.microsoft.com/office/drawing/2014/chart" uri="{C3380CC4-5D6E-409C-BE32-E72D297353CC}">
              <c16:uniqueId val="{00000000-B1F4-4CAE-9D49-1120449301B8}"/>
            </c:ext>
          </c:extLst>
        </c:ser>
        <c:dLbls>
          <c:showLegendKey val="0"/>
          <c:showVal val="0"/>
          <c:showCatName val="0"/>
          <c:showSerName val="0"/>
          <c:showPercent val="0"/>
          <c:showBubbleSize val="0"/>
        </c:dLbls>
        <c:gapWidth val="300"/>
        <c:overlap val="100"/>
        <c:axId val="1547179375"/>
        <c:axId val="1547170255"/>
      </c:barChart>
      <c:catAx>
        <c:axId val="1547179375"/>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547170255"/>
        <c:crosses val="autoZero"/>
        <c:auto val="1"/>
        <c:lblAlgn val="ctr"/>
        <c:lblOffset val="100"/>
        <c:noMultiLvlLbl val="0"/>
      </c:catAx>
      <c:valAx>
        <c:axId val="1547170255"/>
        <c:scaling>
          <c:orientation val="minMax"/>
        </c:scaling>
        <c:delete val="1"/>
        <c:axPos val="t"/>
        <c:numFmt formatCode="_(&quot;$&quot;* #,##0.00_);_(&quot;$&quot;* \(#,##0.00\);_(&quot;$&quot;* &quot;-&quot;??_);_(@_)" sourceLinked="1"/>
        <c:majorTickMark val="none"/>
        <c:minorTickMark val="none"/>
        <c:tickLblPos val="nextTo"/>
        <c:crossAx val="154717937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areaChart>
        <c:grouping val="standard"/>
        <c:varyColors val="0"/>
        <c:ser>
          <c:idx val="0"/>
          <c:order val="0"/>
          <c:tx>
            <c:strRef>
              <c:f>'Prototype 2'!$U$71</c:f>
              <c:strCache>
                <c:ptCount val="1"/>
                <c:pt idx="0">
                  <c:v>Income</c:v>
                </c:pt>
              </c:strCache>
            </c:strRef>
          </c:tx>
          <c:spPr>
            <a:gradFill>
              <a:gsLst>
                <a:gs pos="0">
                  <a:srgbClr val="3883D4"/>
                </a:gs>
                <a:gs pos="100000">
                  <a:srgbClr val="224192">
                    <a:alpha val="2000"/>
                  </a:srgbClr>
                </a:gs>
              </a:gsLst>
              <a:lin ang="5400000" scaled="0"/>
            </a:gradFill>
            <a:ln>
              <a:noFill/>
            </a:ln>
            <a:effectLst/>
          </c:spPr>
          <c:val>
            <c:numRef>
              <c:f>'Prototype 2'!$U$72:$U$75</c:f>
              <c:numCache>
                <c:formatCode>General</c:formatCode>
                <c:ptCount val="4"/>
                <c:pt idx="0">
                  <c:v>37965</c:v>
                </c:pt>
                <c:pt idx="1">
                  <c:v>41287</c:v>
                </c:pt>
                <c:pt idx="2">
                  <c:v>28512</c:v>
                </c:pt>
                <c:pt idx="3">
                  <c:v>55018</c:v>
                </c:pt>
              </c:numCache>
            </c:numRef>
          </c:val>
          <c:extLst>
            <c:ext xmlns:c16="http://schemas.microsoft.com/office/drawing/2014/chart" uri="{C3380CC4-5D6E-409C-BE32-E72D297353CC}">
              <c16:uniqueId val="{00000000-7208-4EB2-8525-A214DD6CCF03}"/>
            </c:ext>
          </c:extLst>
        </c:ser>
        <c:dLbls>
          <c:showLegendKey val="0"/>
          <c:showVal val="0"/>
          <c:showCatName val="0"/>
          <c:showSerName val="0"/>
          <c:showPercent val="0"/>
          <c:showBubbleSize val="0"/>
        </c:dLbls>
        <c:axId val="1547119375"/>
        <c:axId val="1547116975"/>
      </c:areaChart>
      <c:lineChart>
        <c:grouping val="standard"/>
        <c:varyColors val="0"/>
        <c:ser>
          <c:idx val="1"/>
          <c:order val="1"/>
          <c:spPr>
            <a:ln w="25400" cap="rnd">
              <a:solidFill>
                <a:srgbClr val="B9C1FF"/>
              </a:solidFill>
              <a:round/>
            </a:ln>
            <a:effectLst>
              <a:outerShdw blurRad="50800" dist="38100" dir="5400000" algn="t" rotWithShape="0">
                <a:prstClr val="black">
                  <a:alpha val="40000"/>
                </a:prstClr>
              </a:outerShdw>
            </a:effectLst>
          </c:spPr>
          <c:marker>
            <c:symbol val="none"/>
          </c:marker>
          <c:val>
            <c:numRef>
              <c:f>'Prototype 2'!$U$72:$U$75</c:f>
              <c:numCache>
                <c:formatCode>General</c:formatCode>
                <c:ptCount val="4"/>
                <c:pt idx="0">
                  <c:v>37965</c:v>
                </c:pt>
                <c:pt idx="1">
                  <c:v>41287</c:v>
                </c:pt>
                <c:pt idx="2">
                  <c:v>28512</c:v>
                </c:pt>
                <c:pt idx="3">
                  <c:v>55018</c:v>
                </c:pt>
              </c:numCache>
            </c:numRef>
          </c:val>
          <c:smooth val="0"/>
          <c:extLst>
            <c:ext xmlns:c16="http://schemas.microsoft.com/office/drawing/2014/chart" uri="{C3380CC4-5D6E-409C-BE32-E72D297353CC}">
              <c16:uniqueId val="{00000001-7208-4EB2-8525-A214DD6CCF03}"/>
            </c:ext>
          </c:extLst>
        </c:ser>
        <c:dLbls>
          <c:showLegendKey val="0"/>
          <c:showVal val="0"/>
          <c:showCatName val="0"/>
          <c:showSerName val="0"/>
          <c:showPercent val="0"/>
          <c:showBubbleSize val="0"/>
        </c:dLbls>
        <c:marker val="1"/>
        <c:smooth val="0"/>
        <c:axId val="1547119375"/>
        <c:axId val="1547116975"/>
      </c:lineChart>
      <c:scatterChart>
        <c:scatterStyle val="lineMarker"/>
        <c:varyColors val="0"/>
        <c:ser>
          <c:idx val="2"/>
          <c:order val="2"/>
          <c:tx>
            <c:strRef>
              <c:f>'Prototype 2'!$V$71</c:f>
              <c:strCache>
                <c:ptCount val="1"/>
                <c:pt idx="0">
                  <c:v>Cursor</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12700">
                <a:solidFill>
                  <a:srgbClr val="4B5792"/>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yVal>
            <c:numRef>
              <c:f>'Prototype 2'!$V$72:$V$75</c:f>
              <c:numCache>
                <c:formatCode>_("$"* #,##0_);_("$"* \(#,##0\);_("$"* "-"??_);_(@_)</c:formatCode>
                <c:ptCount val="4"/>
                <c:pt idx="0">
                  <c:v>#N/A</c:v>
                </c:pt>
                <c:pt idx="1">
                  <c:v>#N/A</c:v>
                </c:pt>
                <c:pt idx="2">
                  <c:v>28512</c:v>
                </c:pt>
                <c:pt idx="3">
                  <c:v>#N/A</c:v>
                </c:pt>
              </c:numCache>
            </c:numRef>
          </c:yVal>
          <c:smooth val="0"/>
          <c:extLst>
            <c:ext xmlns:c16="http://schemas.microsoft.com/office/drawing/2014/chart" uri="{C3380CC4-5D6E-409C-BE32-E72D297353CC}">
              <c16:uniqueId val="{00000002-7208-4EB2-8525-A214DD6CCF03}"/>
            </c:ext>
          </c:extLst>
        </c:ser>
        <c:dLbls>
          <c:showLegendKey val="0"/>
          <c:showVal val="0"/>
          <c:showCatName val="0"/>
          <c:showSerName val="0"/>
          <c:showPercent val="0"/>
          <c:showBubbleSize val="0"/>
        </c:dLbls>
        <c:axId val="1547119375"/>
        <c:axId val="1547116975"/>
      </c:scatterChart>
      <c:catAx>
        <c:axId val="1547119375"/>
        <c:scaling>
          <c:orientation val="minMax"/>
        </c:scaling>
        <c:delete val="1"/>
        <c:axPos val="b"/>
        <c:majorTickMark val="out"/>
        <c:minorTickMark val="none"/>
        <c:tickLblPos val="nextTo"/>
        <c:crossAx val="1547116975"/>
        <c:crosses val="autoZero"/>
        <c:auto val="1"/>
        <c:lblAlgn val="ctr"/>
        <c:lblOffset val="100"/>
        <c:noMultiLvlLbl val="0"/>
      </c:catAx>
      <c:valAx>
        <c:axId val="1547116975"/>
        <c:scaling>
          <c:orientation val="minMax"/>
        </c:scaling>
        <c:delete val="1"/>
        <c:axPos val="l"/>
        <c:numFmt formatCode="General" sourceLinked="1"/>
        <c:majorTickMark val="none"/>
        <c:minorTickMark val="none"/>
        <c:tickLblPos val="nextTo"/>
        <c:crossAx val="1547119375"/>
        <c:crosses val="autoZero"/>
        <c:crossBetween val="between"/>
      </c:valAx>
      <c:spPr>
        <a:noFill/>
        <a:ln>
          <a:noFill/>
        </a:ln>
        <a:effectLst/>
      </c:spPr>
    </c:plotArea>
    <c:plotVisOnly val="1"/>
    <c:dispBlanksAs val="zero"/>
    <c:showDLblsOverMax val="0"/>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'Prototype 2'!#REF!</c:f>
              <c:strCache>
                <c:ptCount val="1"/>
                <c:pt idx="0">
                  <c:v>#REF!</c:v>
                </c:pt>
              </c:strCache>
            </c:strRef>
          </c:tx>
          <c:spPr>
            <a:solidFill>
              <a:schemeClr val="accent1"/>
            </a:solidFill>
            <a:ln>
              <a:noFill/>
            </a:ln>
            <a:effectLst/>
          </c:spPr>
          <c:invertIfNegative val="0"/>
          <c:val>
            <c:numRef>
              <c:f>'Prototype 2'!#REF!</c:f>
              <c:numCache>
                <c:formatCode>General</c:formatCode>
                <c:ptCount val="1"/>
                <c:pt idx="0">
                  <c:v>1</c:v>
                </c:pt>
              </c:numCache>
            </c:numRef>
          </c:val>
          <c:extLst>
            <c:ext xmlns:c16="http://schemas.microsoft.com/office/drawing/2014/chart" uri="{C3380CC4-5D6E-409C-BE32-E72D297353CC}">
              <c16:uniqueId val="{00000000-2C77-4F05-95B2-E5CDC32347D1}"/>
            </c:ext>
          </c:extLst>
        </c:ser>
        <c:ser>
          <c:idx val="1"/>
          <c:order val="1"/>
          <c:tx>
            <c:strRef>
              <c:f>'Prototype 2'!$U$71</c:f>
              <c:strCache>
                <c:ptCount val="1"/>
                <c:pt idx="0">
                  <c:v>Income</c:v>
                </c:pt>
              </c:strCache>
            </c:strRef>
          </c:tx>
          <c:spPr>
            <a:solidFill>
              <a:schemeClr val="accent2"/>
            </a:solidFill>
            <a:ln w="101600">
              <a:gradFill>
                <a:gsLst>
                  <a:gs pos="0">
                    <a:srgbClr val="1F449D"/>
                  </a:gs>
                  <a:gs pos="100000">
                    <a:srgbClr val="1B3B88"/>
                  </a:gs>
                </a:gsLst>
                <a:lin ang="5400000" scaled="1"/>
              </a:gradFill>
            </a:ln>
            <a:effectLst/>
          </c:spPr>
          <c:invertIfNegative val="0"/>
          <c:val>
            <c:numRef>
              <c:f>'Prototype 2'!$U$72:$U$75</c:f>
              <c:numCache>
                <c:formatCode>General</c:formatCode>
                <c:ptCount val="4"/>
                <c:pt idx="0">
                  <c:v>37965</c:v>
                </c:pt>
                <c:pt idx="1">
                  <c:v>41287</c:v>
                </c:pt>
                <c:pt idx="2">
                  <c:v>28512</c:v>
                </c:pt>
                <c:pt idx="3">
                  <c:v>55018</c:v>
                </c:pt>
              </c:numCache>
            </c:numRef>
          </c:val>
          <c:extLst>
            <c:ext xmlns:c16="http://schemas.microsoft.com/office/drawing/2014/chart" uri="{C3380CC4-5D6E-409C-BE32-E72D297353CC}">
              <c16:uniqueId val="{00000001-2C77-4F05-95B2-E5CDC32347D1}"/>
            </c:ext>
          </c:extLst>
        </c:ser>
        <c:dLbls>
          <c:showLegendKey val="0"/>
          <c:showVal val="0"/>
          <c:showCatName val="0"/>
          <c:showSerName val="0"/>
          <c:showPercent val="0"/>
          <c:showBubbleSize val="0"/>
        </c:dLbls>
        <c:gapWidth val="500"/>
        <c:overlap val="100"/>
        <c:axId val="1547236015"/>
        <c:axId val="1547236495"/>
      </c:barChart>
      <c:barChart>
        <c:barDir val="col"/>
        <c:grouping val="stacked"/>
        <c:varyColors val="0"/>
        <c:ser>
          <c:idx val="2"/>
          <c:order val="2"/>
          <c:tx>
            <c:strRef>
              <c:f>'Prototype 2'!#REF!</c:f>
              <c:strCache>
                <c:ptCount val="1"/>
                <c:pt idx="0">
                  <c:v>#REF!</c:v>
                </c:pt>
              </c:strCache>
            </c:strRef>
          </c:tx>
          <c:spPr>
            <a:solidFill>
              <a:schemeClr val="accent3"/>
            </a:solidFill>
            <a:ln>
              <a:noFill/>
            </a:ln>
            <a:effectLst/>
          </c:spPr>
          <c:invertIfNegative val="0"/>
          <c:val>
            <c:numRef>
              <c:f>'Prototype 2'!#REF!</c:f>
              <c:numCache>
                <c:formatCode>General</c:formatCode>
                <c:ptCount val="1"/>
                <c:pt idx="0">
                  <c:v>1</c:v>
                </c:pt>
              </c:numCache>
            </c:numRef>
          </c:val>
          <c:extLst>
            <c:ext xmlns:c16="http://schemas.microsoft.com/office/drawing/2014/chart" uri="{C3380CC4-5D6E-409C-BE32-E72D297353CC}">
              <c16:uniqueId val="{00000002-2C77-4F05-95B2-E5CDC32347D1}"/>
            </c:ext>
          </c:extLst>
        </c:ser>
        <c:ser>
          <c:idx val="3"/>
          <c:order val="3"/>
          <c:tx>
            <c:strRef>
              <c:f>'Prototype 2'!$V$71</c:f>
              <c:strCache>
                <c:ptCount val="1"/>
                <c:pt idx="0">
                  <c:v>Cursor</c:v>
                </c:pt>
              </c:strCache>
            </c:strRef>
          </c:tx>
          <c:spPr>
            <a:solidFill>
              <a:schemeClr val="accent4"/>
            </a:solidFill>
            <a:ln w="10160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a:outerShdw blurRad="50800" dist="38100" dir="8100000" algn="tr" rotWithShape="0">
                <a:prstClr val="black">
                  <a:alpha val="40000"/>
                </a:prstClr>
              </a:outerShdw>
            </a:effectLst>
          </c:spPr>
          <c:invertIfNegative val="0"/>
          <c:val>
            <c:numRef>
              <c:f>'Prototype 2'!$V$72:$V$75</c:f>
              <c:numCache>
                <c:formatCode>_("$"* #,##0_);_("$"* \(#,##0\);_("$"* "-"??_);_(@_)</c:formatCode>
                <c:ptCount val="4"/>
                <c:pt idx="0">
                  <c:v>#N/A</c:v>
                </c:pt>
                <c:pt idx="1">
                  <c:v>#N/A</c:v>
                </c:pt>
                <c:pt idx="2">
                  <c:v>28512</c:v>
                </c:pt>
                <c:pt idx="3">
                  <c:v>#N/A</c:v>
                </c:pt>
              </c:numCache>
            </c:numRef>
          </c:val>
          <c:extLst>
            <c:ext xmlns:c16="http://schemas.microsoft.com/office/drawing/2014/chart" uri="{C3380CC4-5D6E-409C-BE32-E72D297353CC}">
              <c16:uniqueId val="{00000003-2C77-4F05-95B2-E5CDC32347D1}"/>
            </c:ext>
          </c:extLst>
        </c:ser>
        <c:dLbls>
          <c:showLegendKey val="0"/>
          <c:showVal val="0"/>
          <c:showCatName val="0"/>
          <c:showSerName val="0"/>
          <c:showPercent val="0"/>
          <c:showBubbleSize val="0"/>
        </c:dLbls>
        <c:gapWidth val="500"/>
        <c:overlap val="100"/>
        <c:axId val="1547334415"/>
        <c:axId val="1547329615"/>
      </c:barChart>
      <c:catAx>
        <c:axId val="1547236015"/>
        <c:scaling>
          <c:orientation val="minMax"/>
        </c:scaling>
        <c:delete val="1"/>
        <c:axPos val="b"/>
        <c:numFmt formatCode="General" sourceLinked="1"/>
        <c:majorTickMark val="none"/>
        <c:minorTickMark val="none"/>
        <c:tickLblPos val="nextTo"/>
        <c:crossAx val="1547236495"/>
        <c:crosses val="autoZero"/>
        <c:auto val="1"/>
        <c:lblAlgn val="ctr"/>
        <c:lblOffset val="100"/>
        <c:noMultiLvlLbl val="0"/>
      </c:catAx>
      <c:valAx>
        <c:axId val="1547236495"/>
        <c:scaling>
          <c:orientation val="minMax"/>
        </c:scaling>
        <c:delete val="1"/>
        <c:axPos val="l"/>
        <c:numFmt formatCode="General" sourceLinked="1"/>
        <c:majorTickMark val="none"/>
        <c:minorTickMark val="none"/>
        <c:tickLblPos val="nextTo"/>
        <c:crossAx val="1547236015"/>
        <c:crosses val="autoZero"/>
        <c:crossBetween val="between"/>
      </c:valAx>
      <c:valAx>
        <c:axId val="1547329615"/>
        <c:scaling>
          <c:orientation val="minMax"/>
        </c:scaling>
        <c:delete val="1"/>
        <c:axPos val="r"/>
        <c:numFmt formatCode="General" sourceLinked="1"/>
        <c:majorTickMark val="out"/>
        <c:minorTickMark val="none"/>
        <c:tickLblPos val="nextTo"/>
        <c:crossAx val="1547334415"/>
        <c:crosses val="max"/>
        <c:crossBetween val="between"/>
      </c:valAx>
      <c:catAx>
        <c:axId val="1547334415"/>
        <c:scaling>
          <c:orientation val="minMax"/>
        </c:scaling>
        <c:delete val="1"/>
        <c:axPos val="b"/>
        <c:majorTickMark val="out"/>
        <c:minorTickMark val="none"/>
        <c:tickLblPos val="nextTo"/>
        <c:crossAx val="1547329615"/>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tx>
            <c:strRef>
              <c:f>'Prototype 3'!$B$60</c:f>
              <c:strCache>
                <c:ptCount val="1"/>
                <c:pt idx="0">
                  <c:v>indent</c:v>
                </c:pt>
              </c:strCache>
            </c:strRef>
          </c:tx>
          <c:spPr>
            <a:noFill/>
            <a:ln>
              <a:noFill/>
            </a:ln>
            <a:effectLst/>
          </c:spPr>
          <c:invertIfNegative val="0"/>
          <c:cat>
            <c:strRef>
              <c:f>'Prototype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3'!$B$61:$B$72</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0-D830-4F6E-B815-B97708694D1A}"/>
            </c:ext>
          </c:extLst>
        </c:ser>
        <c:ser>
          <c:idx val="1"/>
          <c:order val="1"/>
          <c:tx>
            <c:strRef>
              <c:f>'Prototype 3'!$C$60</c:f>
              <c:strCache>
                <c:ptCount val="1"/>
                <c:pt idx="0">
                  <c:v>Income</c:v>
                </c:pt>
              </c:strCache>
            </c:strRef>
          </c:tx>
          <c:spPr>
            <a:solidFill>
              <a:schemeClr val="accent2"/>
            </a:solidFill>
            <a:ln w="101600">
              <a:gradFill>
                <a:gsLst>
                  <a:gs pos="0">
                    <a:srgbClr val="374AEC"/>
                  </a:gs>
                  <a:gs pos="100000">
                    <a:srgbClr val="1B2399"/>
                  </a:gs>
                </a:gsLst>
                <a:lin ang="5400000" scaled="1"/>
              </a:gradFill>
            </a:ln>
            <a:effectLst/>
          </c:spPr>
          <c:invertIfNegative val="0"/>
          <c:cat>
            <c:strRef>
              <c:f>'Prototype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3'!$C$61:$C$72</c:f>
              <c:numCache>
                <c:formatCode>General</c:formatCode>
                <c:ptCount val="12"/>
                <c:pt idx="0">
                  <c:v>18166</c:v>
                </c:pt>
                <c:pt idx="1">
                  <c:v>19801</c:v>
                </c:pt>
                <c:pt idx="2">
                  <c:v>22196</c:v>
                </c:pt>
                <c:pt idx="3">
                  <c:v>25558</c:v>
                </c:pt>
                <c:pt idx="4">
                  <c:v>31043</c:v>
                </c:pt>
                <c:pt idx="5">
                  <c:v>31211</c:v>
                </c:pt>
                <c:pt idx="6">
                  <c:v>30268</c:v>
                </c:pt>
                <c:pt idx="7">
                  <c:v>35419</c:v>
                </c:pt>
                <c:pt idx="8">
                  <c:v>35296</c:v>
                </c:pt>
                <c:pt idx="9">
                  <c:v>33397</c:v>
                </c:pt>
                <c:pt idx="10">
                  <c:v>33613</c:v>
                </c:pt>
                <c:pt idx="11">
                  <c:v>36231</c:v>
                </c:pt>
              </c:numCache>
            </c:numRef>
          </c:val>
          <c:extLst>
            <c:ext xmlns:c16="http://schemas.microsoft.com/office/drawing/2014/chart" uri="{C3380CC4-5D6E-409C-BE32-E72D297353CC}">
              <c16:uniqueId val="{00000001-D830-4F6E-B815-B97708694D1A}"/>
            </c:ext>
          </c:extLst>
        </c:ser>
        <c:dLbls>
          <c:showLegendKey val="0"/>
          <c:showVal val="0"/>
          <c:showCatName val="0"/>
          <c:showSerName val="0"/>
          <c:showPercent val="0"/>
          <c:showBubbleSize val="0"/>
        </c:dLbls>
        <c:gapWidth val="320"/>
        <c:overlap val="100"/>
        <c:axId val="1268914176"/>
        <c:axId val="1268902656"/>
      </c:barChart>
      <c:barChart>
        <c:barDir val="col"/>
        <c:grouping val="stacked"/>
        <c:varyColors val="0"/>
        <c:ser>
          <c:idx val="3"/>
          <c:order val="3"/>
          <c:tx>
            <c:strRef>
              <c:f>'Prototype 3'!$E$60</c:f>
              <c:strCache>
                <c:ptCount val="1"/>
                <c:pt idx="0">
                  <c:v>indent Cursor</c:v>
                </c:pt>
              </c:strCache>
            </c:strRef>
          </c:tx>
          <c:spPr>
            <a:noFill/>
            <a:ln>
              <a:noFill/>
            </a:ln>
            <a:effectLst/>
          </c:spPr>
          <c:invertIfNegative val="0"/>
          <c:cat>
            <c:strRef>
              <c:f>'Prototype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3'!$E$61:$E$72</c:f>
              <c:numCache>
                <c:formatCode>General</c:formatCode>
                <c:ptCount val="12"/>
                <c:pt idx="0">
                  <c:v>1449.24</c:v>
                </c:pt>
                <c:pt idx="1">
                  <c:v>1449.24</c:v>
                </c:pt>
                <c:pt idx="2">
                  <c:v>1449.24</c:v>
                </c:pt>
                <c:pt idx="3">
                  <c:v>1449.24</c:v>
                </c:pt>
                <c:pt idx="4">
                  <c:v>1449.24</c:v>
                </c:pt>
                <c:pt idx="5">
                  <c:v>1449.24</c:v>
                </c:pt>
                <c:pt idx="6">
                  <c:v>1449.24</c:v>
                </c:pt>
                <c:pt idx="7">
                  <c:v>1449.24</c:v>
                </c:pt>
                <c:pt idx="8">
                  <c:v>1449.24</c:v>
                </c:pt>
                <c:pt idx="9">
                  <c:v>1449.24</c:v>
                </c:pt>
                <c:pt idx="10">
                  <c:v>1449.24</c:v>
                </c:pt>
                <c:pt idx="11">
                  <c:v>1449.24</c:v>
                </c:pt>
              </c:numCache>
            </c:numRef>
          </c:val>
          <c:extLst>
            <c:ext xmlns:c16="http://schemas.microsoft.com/office/drawing/2014/chart" uri="{C3380CC4-5D6E-409C-BE32-E72D297353CC}">
              <c16:uniqueId val="{00000003-D830-4F6E-B815-B97708694D1A}"/>
            </c:ext>
          </c:extLst>
        </c:ser>
        <c:ser>
          <c:idx val="4"/>
          <c:order val="4"/>
          <c:tx>
            <c:strRef>
              <c:f>'Prototype 3'!$F$60</c:f>
              <c:strCache>
                <c:ptCount val="1"/>
                <c:pt idx="0">
                  <c:v>Cursors I</c:v>
                </c:pt>
              </c:strCache>
            </c:strRef>
          </c:tx>
          <c:spPr>
            <a:solidFill>
              <a:schemeClr val="accent5"/>
            </a:solidFill>
            <a:ln w="101600">
              <a:gradFill>
                <a:gsLst>
                  <a:gs pos="2000">
                    <a:srgbClr val="7C93FD"/>
                  </a:gs>
                  <a:gs pos="0">
                    <a:srgbClr val="A3C1F9"/>
                  </a:gs>
                  <a:gs pos="100000">
                    <a:srgbClr val="4641D1"/>
                  </a:gs>
                </a:gsLst>
                <a:lin ang="5400000" scaled="1"/>
              </a:gradFill>
            </a:ln>
            <a:effectLst>
              <a:outerShdw blurRad="50800" dist="38100" dir="8100000" algn="tr" rotWithShape="0">
                <a:prstClr val="black">
                  <a:alpha val="40000"/>
                </a:prstClr>
              </a:outerShdw>
            </a:effectLst>
          </c:spPr>
          <c:invertIfNegative val="0"/>
          <c:cat>
            <c:strRef>
              <c:f>'Prototype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3'!$F$61:$F$72</c:f>
              <c:numCache>
                <c:formatCode>0%</c:formatCode>
                <c:ptCount val="12"/>
                <c:pt idx="0">
                  <c:v>#N/A</c:v>
                </c:pt>
                <c:pt idx="1">
                  <c:v>#N/A</c:v>
                </c:pt>
                <c:pt idx="2">
                  <c:v>#N/A</c:v>
                </c:pt>
                <c:pt idx="3">
                  <c:v>#N/A</c:v>
                </c:pt>
                <c:pt idx="4">
                  <c:v>#N/A</c:v>
                </c:pt>
                <c:pt idx="5">
                  <c:v>#N/A</c:v>
                </c:pt>
                <c:pt idx="6">
                  <c:v>#N/A</c:v>
                </c:pt>
                <c:pt idx="7">
                  <c:v>#N/A</c:v>
                </c:pt>
                <c:pt idx="8" formatCode="General">
                  <c:v>35296</c:v>
                </c:pt>
                <c:pt idx="9">
                  <c:v>#N/A</c:v>
                </c:pt>
                <c:pt idx="10">
                  <c:v>#N/A</c:v>
                </c:pt>
                <c:pt idx="11">
                  <c:v>#N/A</c:v>
                </c:pt>
              </c:numCache>
            </c:numRef>
          </c:val>
          <c:extLst>
            <c:ext xmlns:c16="http://schemas.microsoft.com/office/drawing/2014/chart" uri="{C3380CC4-5D6E-409C-BE32-E72D297353CC}">
              <c16:uniqueId val="{00000004-D830-4F6E-B815-B97708694D1A}"/>
            </c:ext>
          </c:extLst>
        </c:ser>
        <c:dLbls>
          <c:showLegendKey val="0"/>
          <c:showVal val="0"/>
          <c:showCatName val="0"/>
          <c:showSerName val="0"/>
          <c:showPercent val="0"/>
          <c:showBubbleSize val="0"/>
        </c:dLbls>
        <c:gapWidth val="320"/>
        <c:overlap val="100"/>
        <c:axId val="1268916576"/>
        <c:axId val="1268908896"/>
      </c:barChart>
      <c:lineChart>
        <c:grouping val="standard"/>
        <c:varyColors val="0"/>
        <c:ser>
          <c:idx val="2"/>
          <c:order val="2"/>
          <c:tx>
            <c:strRef>
              <c:f>'Prototype 3'!$D$60</c:f>
              <c:strCache>
                <c:ptCount val="1"/>
                <c:pt idx="0">
                  <c:v>Expenses</c:v>
                </c:pt>
              </c:strCache>
            </c:strRef>
          </c:tx>
          <c:spPr>
            <a:ln w="25400" cap="rnd">
              <a:solidFill>
                <a:srgbClr val="FF00FF"/>
              </a:solidFill>
              <a:round/>
            </a:ln>
            <a:effectLst>
              <a:outerShdw blurRad="50800" dist="38100" dir="5400000" algn="t" rotWithShape="0">
                <a:prstClr val="black">
                  <a:alpha val="40000"/>
                </a:prstClr>
              </a:outerShdw>
            </a:effectLst>
          </c:spPr>
          <c:marker>
            <c:symbol val="none"/>
          </c:marker>
          <c:cat>
            <c:strRef>
              <c:f>'Prototype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'Prototype 3'!$D$61:$D$72</c:f>
              <c:numCache>
                <c:formatCode>General</c:formatCode>
                <c:ptCount val="12"/>
                <c:pt idx="0">
                  <c:v>20397</c:v>
                </c:pt>
                <c:pt idx="1">
                  <c:v>26548</c:v>
                </c:pt>
                <c:pt idx="2">
                  <c:v>22099</c:v>
                </c:pt>
                <c:pt idx="3">
                  <c:v>19614</c:v>
                </c:pt>
                <c:pt idx="4">
                  <c:v>24519</c:v>
                </c:pt>
                <c:pt idx="5">
                  <c:v>24837</c:v>
                </c:pt>
                <c:pt idx="6">
                  <c:v>21183</c:v>
                </c:pt>
                <c:pt idx="7">
                  <c:v>22263</c:v>
                </c:pt>
                <c:pt idx="8">
                  <c:v>25507</c:v>
                </c:pt>
                <c:pt idx="9">
                  <c:v>20455</c:v>
                </c:pt>
                <c:pt idx="10">
                  <c:v>26772</c:v>
                </c:pt>
                <c:pt idx="11">
                  <c:v>24419</c:v>
                </c:pt>
              </c:numCache>
            </c:numRef>
          </c:val>
          <c:smooth val="1"/>
          <c:extLst>
            <c:ext xmlns:c16="http://schemas.microsoft.com/office/drawing/2014/chart" uri="{C3380CC4-5D6E-409C-BE32-E72D297353CC}">
              <c16:uniqueId val="{00000002-D830-4F6E-B815-B97708694D1A}"/>
            </c:ext>
          </c:extLst>
        </c:ser>
        <c:dLbls>
          <c:showLegendKey val="0"/>
          <c:showVal val="0"/>
          <c:showCatName val="0"/>
          <c:showSerName val="0"/>
          <c:showPercent val="0"/>
          <c:showBubbleSize val="0"/>
        </c:dLbls>
        <c:marker val="1"/>
        <c:smooth val="0"/>
        <c:axId val="1268914176"/>
        <c:axId val="1268902656"/>
      </c:lineChart>
      <c:scatterChart>
        <c:scatterStyle val="lineMarker"/>
        <c:varyColors val="0"/>
        <c:ser>
          <c:idx val="5"/>
          <c:order val="5"/>
          <c:tx>
            <c:strRef>
              <c:f>'Prototype 3'!$G$60</c:f>
              <c:strCache>
                <c:ptCount val="1"/>
                <c:pt idx="0">
                  <c:v>Cursors E</c:v>
                </c:pt>
              </c:strCache>
            </c:strRef>
          </c:tx>
          <c:spPr>
            <a:ln w="25400" cap="rnd">
              <a:noFill/>
              <a:round/>
            </a:ln>
            <a:effectLst>
              <a:outerShdw blurRad="50800" dist="38100" dir="5400000" algn="t" rotWithShape="0">
                <a:prstClr val="black">
                  <a:alpha val="40000"/>
                </a:prstClr>
              </a:outerShdw>
            </a:effectLst>
          </c:spPr>
          <c:marker>
            <c:symbol val="circle"/>
            <c:size val="7"/>
            <c:spPr>
              <a:solidFill>
                <a:schemeClr val="bg1"/>
              </a:solidFill>
              <a:ln w="9525">
                <a:solidFill>
                  <a:srgbClr val="FF00FF"/>
                </a:solidFill>
              </a:ln>
              <a:effectLst>
                <a:outerShdw blurRad="50800" dist="38100" dir="5400000" algn="t" rotWithShape="0">
                  <a:prstClr val="black">
                    <a:alpha val="40000"/>
                  </a:prstClr>
                </a:outerShdw>
              </a:effectLst>
            </c:spPr>
          </c:marker>
          <c:dLbls>
            <c:numFmt formatCode="[&gt;=1000]0,&quot;k&quot;;[&lt;=-1000]\-0,&quot;k&quot;;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b"/>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errBars>
            <c:errDir val="y"/>
            <c:errBarType val="minus"/>
            <c:errValType val="cust"/>
            <c:noEndCap val="1"/>
            <c:plus>
              <c:numLit>
                <c:formatCode>General</c:formatCode>
                <c:ptCount val="1"/>
                <c:pt idx="0">
                  <c:v>1</c:v>
                </c:pt>
              </c:numLit>
            </c:plus>
            <c:minus>
              <c:numRef>
                <c:f>'Prototype 3'!$G$61:$G$72</c:f>
                <c:numCache>
                  <c:formatCode>General</c:formatCode>
                  <c:ptCount val="12"/>
                  <c:pt idx="0">
                    <c:v>#N/A</c:v>
                  </c:pt>
                  <c:pt idx="1">
                    <c:v>#N/A</c:v>
                  </c:pt>
                  <c:pt idx="2">
                    <c:v>#N/A</c:v>
                  </c:pt>
                  <c:pt idx="3">
                    <c:v>#N/A</c:v>
                  </c:pt>
                  <c:pt idx="4">
                    <c:v>#N/A</c:v>
                  </c:pt>
                  <c:pt idx="5">
                    <c:v>#N/A</c:v>
                  </c:pt>
                  <c:pt idx="6">
                    <c:v>#N/A</c:v>
                  </c:pt>
                  <c:pt idx="7">
                    <c:v>#N/A</c:v>
                  </c:pt>
                  <c:pt idx="8">
                    <c:v>25507</c:v>
                  </c:pt>
                  <c:pt idx="9">
                    <c:v>#N/A</c:v>
                  </c:pt>
                  <c:pt idx="10">
                    <c:v>#N/A</c:v>
                  </c:pt>
                  <c:pt idx="11">
                    <c:v>#N/A</c:v>
                  </c:pt>
                </c:numCache>
              </c:numRef>
            </c:minus>
            <c:spPr>
              <a:noFill/>
              <a:ln w="9525" cap="flat" cmpd="sng" algn="ctr">
                <a:solidFill>
                  <a:srgbClr val="0093CE"/>
                </a:solidFill>
                <a:round/>
              </a:ln>
              <a:effectLst/>
            </c:spPr>
          </c:errBars>
          <c:xVal>
            <c:strRef>
              <c:f>'Prototype 3'!$A$61:$A$72</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xVal>
          <c:yVal>
            <c:numRef>
              <c:f>'Prototype 3'!$G$61:$G$72</c:f>
              <c:numCache>
                <c:formatCode>0%</c:formatCode>
                <c:ptCount val="12"/>
                <c:pt idx="0">
                  <c:v>#N/A</c:v>
                </c:pt>
                <c:pt idx="1">
                  <c:v>#N/A</c:v>
                </c:pt>
                <c:pt idx="2">
                  <c:v>#N/A</c:v>
                </c:pt>
                <c:pt idx="3">
                  <c:v>#N/A</c:v>
                </c:pt>
                <c:pt idx="4">
                  <c:v>#N/A</c:v>
                </c:pt>
                <c:pt idx="5">
                  <c:v>#N/A</c:v>
                </c:pt>
                <c:pt idx="6">
                  <c:v>#N/A</c:v>
                </c:pt>
                <c:pt idx="7">
                  <c:v>#N/A</c:v>
                </c:pt>
                <c:pt idx="8" formatCode="General">
                  <c:v>25507</c:v>
                </c:pt>
                <c:pt idx="9">
                  <c:v>#N/A</c:v>
                </c:pt>
                <c:pt idx="10">
                  <c:v>#N/A</c:v>
                </c:pt>
                <c:pt idx="11">
                  <c:v>#N/A</c:v>
                </c:pt>
              </c:numCache>
            </c:numRef>
          </c:yVal>
          <c:smooth val="0"/>
          <c:extLst>
            <c:ext xmlns:c16="http://schemas.microsoft.com/office/drawing/2014/chart" uri="{C3380CC4-5D6E-409C-BE32-E72D297353CC}">
              <c16:uniqueId val="{00000005-D830-4F6E-B815-B97708694D1A}"/>
            </c:ext>
          </c:extLst>
        </c:ser>
        <c:ser>
          <c:idx val="6"/>
          <c:order val="6"/>
          <c:tx>
            <c:strRef>
              <c:f>'Prototype 3'!$H$60</c:f>
              <c:strCache>
                <c:ptCount val="1"/>
                <c:pt idx="0">
                  <c:v>Marker</c:v>
                </c:pt>
              </c:strCache>
            </c:strRef>
          </c:tx>
          <c:spPr>
            <a:ln w="25400" cap="rnd">
              <a:noFill/>
              <a:round/>
            </a:ln>
            <a:effectLst/>
          </c:spPr>
          <c:marker>
            <c:symbol val="none"/>
          </c:marker>
          <c:dLbls>
            <c:dLbl>
              <c:idx val="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7-D830-4F6E-B815-B97708694D1A}"/>
                </c:ext>
              </c:extLst>
            </c:dLbl>
            <c:dLbl>
              <c:idx val="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8-D830-4F6E-B815-B97708694D1A}"/>
                </c:ext>
              </c:extLst>
            </c:dLbl>
            <c:dLbl>
              <c:idx val="2"/>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9-D830-4F6E-B815-B97708694D1A}"/>
                </c:ext>
              </c:extLst>
            </c:dLbl>
            <c:dLbl>
              <c:idx val="3"/>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A-D830-4F6E-B815-B97708694D1A}"/>
                </c:ext>
              </c:extLst>
            </c:dLbl>
            <c:dLbl>
              <c:idx val="4"/>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B-D830-4F6E-B815-B97708694D1A}"/>
                </c:ext>
              </c:extLst>
            </c:dLbl>
            <c:dLbl>
              <c:idx val="5"/>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C-D830-4F6E-B815-B97708694D1A}"/>
                </c:ext>
              </c:extLst>
            </c:dLbl>
            <c:dLbl>
              <c:idx val="6"/>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D-D830-4F6E-B815-B97708694D1A}"/>
                </c:ext>
              </c:extLst>
            </c:dLbl>
            <c:dLbl>
              <c:idx val="7"/>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0E-D830-4F6E-B815-B97708694D1A}"/>
                </c:ext>
              </c:extLst>
            </c:dLbl>
            <c:dLbl>
              <c:idx val="8"/>
              <c:tx>
                <c:rich>
                  <a:bodyPr/>
                  <a:lstStyle/>
                  <a:p>
                    <a:fld id="{5F02D8F0-2F25-4483-ABCE-2657C53C7603}" type="CELLRANGE">
                      <a:rPr lang="en-US"/>
                      <a:pPr/>
                      <a:t>[CELLRANGE]</a:t>
                    </a:fld>
                    <a:endParaRPr lang="en-US"/>
                  </a:p>
                </c:rich>
              </c:tx>
              <c:dLblPos val="t"/>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F-D830-4F6E-B815-B97708694D1A}"/>
                </c:ext>
              </c:extLst>
            </c:dLbl>
            <c:dLbl>
              <c:idx val="9"/>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0-D830-4F6E-B815-B97708694D1A}"/>
                </c:ext>
              </c:extLst>
            </c:dLbl>
            <c:dLbl>
              <c:idx val="10"/>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1-D830-4F6E-B815-B97708694D1A}"/>
                </c:ext>
              </c:extLst>
            </c:dLbl>
            <c:dLbl>
              <c:idx val="11"/>
              <c:tx>
                <c:rich>
                  <a:bodyPr/>
                  <a:lstStyle/>
                  <a:p>
                    <a:endParaRPr lang="en-US"/>
                  </a:p>
                </c:rich>
              </c:tx>
              <c:dLblPos val="t"/>
              <c:showLegendKey val="0"/>
              <c:showVal val="0"/>
              <c:showCatName val="0"/>
              <c:showSerName val="0"/>
              <c:showPercent val="0"/>
              <c:showBubbleSize val="0"/>
              <c:extLst>
                <c:ext xmlns:c15="http://schemas.microsoft.com/office/drawing/2012/chart" uri="{CE6537A1-D6FC-4f65-9D91-7224C49458BB}">
                  <c15:xForSave val="1"/>
                  <c15:showDataLabelsRange val="1"/>
                </c:ext>
                <c:ext xmlns:c16="http://schemas.microsoft.com/office/drawing/2014/chart" uri="{C3380CC4-5D6E-409C-BE32-E72D297353CC}">
                  <c16:uniqueId val="{00000012-D830-4F6E-B815-B97708694D1A}"/>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ru-RU"/>
              </a:p>
            </c:txPr>
            <c:dLblPos val="t"/>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yVal>
            <c:numRef>
              <c:f>'Prototype 3'!$H$61:$H$72</c:f>
              <c:numCache>
                <c:formatCode>General</c:formatCode>
                <c:ptCount val="12"/>
                <c:pt idx="0">
                  <c:v>#N/A</c:v>
                </c:pt>
                <c:pt idx="1">
                  <c:v>#N/A</c:v>
                </c:pt>
                <c:pt idx="2">
                  <c:v>#N/A</c:v>
                </c:pt>
                <c:pt idx="3">
                  <c:v>#N/A</c:v>
                </c:pt>
                <c:pt idx="4">
                  <c:v>#N/A</c:v>
                </c:pt>
                <c:pt idx="5">
                  <c:v>#N/A</c:v>
                </c:pt>
                <c:pt idx="6">
                  <c:v>#N/A</c:v>
                </c:pt>
                <c:pt idx="7">
                  <c:v>#N/A</c:v>
                </c:pt>
                <c:pt idx="8">
                  <c:v>36745.24</c:v>
                </c:pt>
                <c:pt idx="9">
                  <c:v>#N/A</c:v>
                </c:pt>
                <c:pt idx="10">
                  <c:v>#N/A</c:v>
                </c:pt>
                <c:pt idx="11">
                  <c:v>#N/A</c:v>
                </c:pt>
              </c:numCache>
            </c:numRef>
          </c:yVal>
          <c:smooth val="0"/>
          <c:extLst>
            <c:ext xmlns:c15="http://schemas.microsoft.com/office/drawing/2012/chart" uri="{02D57815-91ED-43cb-92C2-25804820EDAC}">
              <c15:datalabelsRange>
                <c15:f>'Prototype 3'!$I$61:$I$72</c15:f>
                <c15:dlblRangeCache>
                  <c:ptCount val="12"/>
                  <c:pt idx="0">
                    <c:v>#N/A</c:v>
                  </c:pt>
                  <c:pt idx="1">
                    <c:v>#N/A</c:v>
                  </c:pt>
                  <c:pt idx="2">
                    <c:v>#N/A</c:v>
                  </c:pt>
                  <c:pt idx="3">
                    <c:v>#N/A</c:v>
                  </c:pt>
                  <c:pt idx="4">
                    <c:v>#N/A</c:v>
                  </c:pt>
                  <c:pt idx="5">
                    <c:v>#N/A</c:v>
                  </c:pt>
                  <c:pt idx="6">
                    <c:v>#N/A</c:v>
                  </c:pt>
                  <c:pt idx="7">
                    <c:v>#N/A</c:v>
                  </c:pt>
                  <c:pt idx="8">
                    <c:v>35k</c:v>
                  </c:pt>
                  <c:pt idx="9">
                    <c:v>#N/A</c:v>
                  </c:pt>
                  <c:pt idx="10">
                    <c:v>#N/A</c:v>
                  </c:pt>
                  <c:pt idx="11">
                    <c:v>#N/A</c:v>
                  </c:pt>
                </c15:dlblRangeCache>
              </c15:datalabelsRange>
            </c:ext>
            <c:ext xmlns:c16="http://schemas.microsoft.com/office/drawing/2014/chart" uri="{C3380CC4-5D6E-409C-BE32-E72D297353CC}">
              <c16:uniqueId val="{00000006-D830-4F6E-B815-B97708694D1A}"/>
            </c:ext>
          </c:extLst>
        </c:ser>
        <c:dLbls>
          <c:showLegendKey val="0"/>
          <c:showVal val="0"/>
          <c:showCatName val="0"/>
          <c:showSerName val="0"/>
          <c:showPercent val="0"/>
          <c:showBubbleSize val="0"/>
        </c:dLbls>
        <c:axId val="1268916576"/>
        <c:axId val="1268908896"/>
      </c:scatterChart>
      <c:catAx>
        <c:axId val="1268914176"/>
        <c:scaling>
          <c:orientation val="minMax"/>
        </c:scaling>
        <c:delete val="0"/>
        <c:axPos val="b"/>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68902656"/>
        <c:crosses val="autoZero"/>
        <c:auto val="1"/>
        <c:lblAlgn val="ctr"/>
        <c:lblOffset val="100"/>
        <c:noMultiLvlLbl val="0"/>
      </c:catAx>
      <c:valAx>
        <c:axId val="1268902656"/>
        <c:scaling>
          <c:orientation val="minMax"/>
        </c:scaling>
        <c:delete val="0"/>
        <c:axPos val="l"/>
        <c:majorGridlines>
          <c:spPr>
            <a:ln w="9525" cap="flat" cmpd="sng" algn="ctr">
              <a:solidFill>
                <a:srgbClr val="6372A4">
                  <a:alpha val="28000"/>
                </a:srgb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lumMod val="25000"/>
                    <a:lumOff val="75000"/>
                  </a:schemeClr>
                </a:solidFill>
                <a:latin typeface="+mn-lt"/>
                <a:ea typeface="+mn-ea"/>
                <a:cs typeface="+mn-cs"/>
              </a:defRPr>
            </a:pPr>
            <a:endParaRPr lang="ru-RU"/>
          </a:p>
        </c:txPr>
        <c:crossAx val="1268914176"/>
        <c:crosses val="autoZero"/>
        <c:crossBetween val="between"/>
      </c:valAx>
      <c:valAx>
        <c:axId val="1268908896"/>
        <c:scaling>
          <c:orientation val="minMax"/>
        </c:scaling>
        <c:delete val="1"/>
        <c:axPos val="r"/>
        <c:numFmt formatCode="General" sourceLinked="1"/>
        <c:majorTickMark val="out"/>
        <c:minorTickMark val="none"/>
        <c:tickLblPos val="nextTo"/>
        <c:crossAx val="1268916576"/>
        <c:crosses val="max"/>
        <c:crossBetween val="between"/>
      </c:valAx>
      <c:catAx>
        <c:axId val="1268916576"/>
        <c:scaling>
          <c:orientation val="minMax"/>
        </c:scaling>
        <c:delete val="1"/>
        <c:axPos val="b"/>
        <c:numFmt formatCode="General" sourceLinked="1"/>
        <c:majorTickMark val="out"/>
        <c:minorTickMark val="none"/>
        <c:tickLblPos val="nextTo"/>
        <c:crossAx val="1268908896"/>
        <c:crosses val="autoZero"/>
        <c:auto val="1"/>
        <c:lblAlgn val="ctr"/>
        <c:lblOffset val="100"/>
        <c:noMultiLvlLbl val="0"/>
      </c:cat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2">
                    <a:lumMod val="25000"/>
                    <a:lumOff val="75000"/>
                  </a:schemeClr>
                </a:solidFill>
                <a:latin typeface="+mn-lt"/>
                <a:ea typeface="+mn-ea"/>
                <a:cs typeface="+mn-cs"/>
              </a:defRPr>
            </a:pPr>
            <a:r>
              <a:rPr lang="en-US" b="0">
                <a:solidFill>
                  <a:schemeClr val="tx2">
                    <a:lumMod val="25000"/>
                    <a:lumOff val="75000"/>
                  </a:schemeClr>
                </a:solidFill>
              </a:rPr>
              <a:t>Ratio Income</a:t>
            </a:r>
          </a:p>
        </c:rich>
      </c:tx>
      <c:layout>
        <c:manualLayout>
          <c:xMode val="edge"/>
          <c:yMode val="edge"/>
          <c:x val="0.24683060450776986"/>
          <c:y val="0.10763068678915136"/>
        </c:manualLayout>
      </c:layout>
      <c:overlay val="0"/>
      <c:spPr>
        <a:noFill/>
        <a:ln>
          <a:noFill/>
        </a:ln>
        <a:effectLst/>
      </c:spPr>
    </c:title>
    <c:autoTitleDeleted val="0"/>
    <c:plotArea>
      <c:layout/>
      <c:doughnutChart>
        <c:varyColors val="1"/>
        <c:ser>
          <c:idx val="0"/>
          <c:order val="0"/>
          <c:spPr>
            <a:ln>
              <a:noFill/>
            </a:ln>
            <a:effectLst>
              <a:outerShdw blurRad="190500" dist="190500" dir="8100000" algn="tr" rotWithShape="0">
                <a:prstClr val="black">
                  <a:alpha val="50000"/>
                </a:prstClr>
              </a:outerShdw>
            </a:effectLst>
          </c:spPr>
          <c:dPt>
            <c:idx val="0"/>
            <c:bubble3D val="0"/>
            <c:spPr>
              <a:gradFill>
                <a:gsLst>
                  <a:gs pos="78000">
                    <a:srgbClr val="4A59E4"/>
                  </a:gs>
                  <a:gs pos="9000">
                    <a:srgbClr val="808AEC"/>
                  </a:gs>
                </a:gsLst>
                <a:lin ang="54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4-202C-4A14-9AA3-CF4D6DC00FA3}"/>
              </c:ext>
            </c:extLst>
          </c:dPt>
          <c:dPt>
            <c:idx val="1"/>
            <c:bubble3D val="0"/>
            <c:spPr>
              <a:gradFill>
                <a:gsLst>
                  <a:gs pos="0">
                    <a:srgbClr val="FF00FF">
                      <a:alpha val="10000"/>
                    </a:srgbClr>
                  </a:gs>
                  <a:gs pos="88000">
                    <a:srgbClr val="FF00FF">
                      <a:alpha val="50000"/>
                    </a:srgbClr>
                  </a:gs>
                </a:gsLst>
                <a:lin ang="5400000" scaled="0"/>
              </a:gradFill>
              <a:ln w="19050">
                <a:noFill/>
              </a:ln>
              <a:effectLst>
                <a:outerShdw blurRad="190500" dist="190500" dir="8100000" algn="tr" rotWithShape="0">
                  <a:prstClr val="black">
                    <a:alpha val="50000"/>
                  </a:prstClr>
                </a:outerShdw>
              </a:effectLst>
            </c:spPr>
            <c:extLst>
              <c:ext xmlns:c16="http://schemas.microsoft.com/office/drawing/2014/chart" uri="{C3380CC4-5D6E-409C-BE32-E72D297353CC}">
                <c16:uniqueId val="{00000006-202C-4A14-9AA3-CF4D6DC00FA3}"/>
              </c:ext>
            </c:extLst>
          </c:dPt>
          <c:cat>
            <c:strRef>
              <c:f>'Prototype 3'!$D$54:$E$54</c:f>
              <c:strCache>
                <c:ptCount val="2"/>
                <c:pt idx="0">
                  <c:v>Income</c:v>
                </c:pt>
                <c:pt idx="1">
                  <c:v>Expenses</c:v>
                </c:pt>
              </c:strCache>
            </c:strRef>
          </c:cat>
          <c:val>
            <c:numRef>
              <c:f>'Prototype 3'!$D$55:$E$55</c:f>
              <c:numCache>
                <c:formatCode>0%</c:formatCode>
                <c:ptCount val="2"/>
                <c:pt idx="0">
                  <c:v>0.58049767281219677</c:v>
                </c:pt>
                <c:pt idx="1">
                  <c:v>0.41950232718780323</c:v>
                </c:pt>
              </c:numCache>
            </c:numRef>
          </c:val>
          <c:extLst>
            <c:ext xmlns:c16="http://schemas.microsoft.com/office/drawing/2014/chart" uri="{C3380CC4-5D6E-409C-BE32-E72D297353CC}">
              <c16:uniqueId val="{00000007-202C-4A14-9AA3-CF4D6DC00FA3}"/>
            </c:ext>
          </c:extLst>
        </c:ser>
        <c:dLbls>
          <c:showLegendKey val="0"/>
          <c:showVal val="0"/>
          <c:showCatName val="0"/>
          <c:showSerName val="0"/>
          <c:showPercent val="0"/>
          <c:showBubbleSize val="0"/>
          <c:showLeaderLines val="1"/>
        </c:dLbls>
        <c:firstSliceAng val="0"/>
        <c:holeSize val="68"/>
      </c:doughnutChart>
      <c:scatterChart>
        <c:scatterStyle val="lineMarker"/>
        <c:varyColors val="0"/>
        <c:ser>
          <c:idx val="1"/>
          <c:order val="1"/>
          <c:spPr>
            <a:ln w="25400" cap="rnd">
              <a:noFill/>
              <a:round/>
            </a:ln>
            <a:effectLst/>
          </c:spPr>
          <c:marker>
            <c:symbol val="circle"/>
            <c:size val="15"/>
            <c:spPr>
              <a:solidFill>
                <a:schemeClr val="accent2"/>
              </a:solidFill>
              <a:ln w="9525">
                <a:solidFill>
                  <a:schemeClr val="accent2"/>
                </a:solidFill>
              </a:ln>
              <a:effectLst/>
            </c:spPr>
          </c:marker>
          <c:dPt>
            <c:idx val="0"/>
            <c:marker>
              <c:symbol val="circle"/>
              <c:size val="17"/>
              <c:spPr>
                <a:solidFill>
                  <a:srgbClr val="808AEC"/>
                </a:solidFill>
                <a:ln w="9525">
                  <a:noFill/>
                </a:ln>
                <a:effectLst>
                  <a:outerShdw blurRad="50800" dist="50800" dir="10800000" algn="r" rotWithShape="0">
                    <a:prstClr val="black">
                      <a:alpha val="40000"/>
                    </a:prstClr>
                  </a:outerShdw>
                </a:effectLst>
              </c:spPr>
            </c:marker>
            <c:bubble3D val="0"/>
            <c:spPr>
              <a:ln w="25400" cap="rnd">
                <a:noFill/>
                <a:round/>
              </a:ln>
              <a:effectLst>
                <a:outerShdw blurRad="50800" dist="50800" dir="10800000" algn="r" rotWithShape="0">
                  <a:prstClr val="black">
                    <a:alpha val="40000"/>
                  </a:prstClr>
                </a:outerShdw>
              </a:effectLst>
            </c:spPr>
            <c:extLst>
              <c:ext xmlns:c16="http://schemas.microsoft.com/office/drawing/2014/chart" uri="{C3380CC4-5D6E-409C-BE32-E72D297353CC}">
                <c16:uniqueId val="{00000009-202C-4A14-9AA3-CF4D6DC00FA3}"/>
              </c:ext>
            </c:extLst>
          </c:dPt>
          <c:dPt>
            <c:idx val="1"/>
            <c:marker>
              <c:symbol val="circle"/>
              <c:size val="17"/>
              <c:spPr>
                <a:solidFill>
                  <a:srgbClr val="4A59E4"/>
                </a:solidFill>
                <a:ln w="19050">
                  <a:solidFill>
                    <a:schemeClr val="bg1"/>
                  </a:solidFill>
                </a:ln>
                <a:effectLst>
                  <a:outerShdw blurRad="50800" dist="38100" dir="10800000" algn="r" rotWithShape="0">
                    <a:prstClr val="black">
                      <a:alpha val="40000"/>
                    </a:prstClr>
                  </a:outerShdw>
                </a:effectLst>
              </c:spPr>
            </c:marker>
            <c:bubble3D val="0"/>
            <c:spPr>
              <a:ln w="25400" cap="rnd">
                <a:noFill/>
                <a:round/>
              </a:ln>
              <a:effectLst>
                <a:outerShdw blurRad="50800" dist="38100" dir="10800000" algn="r" rotWithShape="0">
                  <a:prstClr val="black">
                    <a:alpha val="40000"/>
                  </a:prstClr>
                </a:outerShdw>
              </a:effectLst>
            </c:spPr>
            <c:extLst>
              <c:ext xmlns:c16="http://schemas.microsoft.com/office/drawing/2014/chart" uri="{C3380CC4-5D6E-409C-BE32-E72D297353CC}">
                <c16:uniqueId val="{0000000B-202C-4A14-9AA3-CF4D6DC00FA3}"/>
              </c:ext>
            </c:extLst>
          </c:dPt>
          <c:xVal>
            <c:numRef>
              <c:f>'Prototype 3'!$F$55:$F$56</c:f>
              <c:numCache>
                <c:formatCode>General</c:formatCode>
                <c:ptCount val="2"/>
                <c:pt idx="0">
                  <c:v>0</c:v>
                </c:pt>
                <c:pt idx="1">
                  <c:v>-0.48449149949638287</c:v>
                </c:pt>
              </c:numCache>
            </c:numRef>
          </c:xVal>
          <c:yVal>
            <c:numRef>
              <c:f>'Prototype 3'!$G$55:$G$56</c:f>
              <c:numCache>
                <c:formatCode>General</c:formatCode>
                <c:ptCount val="2"/>
                <c:pt idx="0">
                  <c:v>1</c:v>
                </c:pt>
                <c:pt idx="1">
                  <c:v>-0.87479596873542242</c:v>
                </c:pt>
              </c:numCache>
            </c:numRef>
          </c:yVal>
          <c:smooth val="0"/>
          <c:extLst>
            <c:ext xmlns:c16="http://schemas.microsoft.com/office/drawing/2014/chart" uri="{C3380CC4-5D6E-409C-BE32-E72D297353CC}">
              <c16:uniqueId val="{0000000C-202C-4A14-9AA3-CF4D6DC00FA3}"/>
            </c:ext>
          </c:extLst>
        </c:ser>
        <c:dLbls>
          <c:showLegendKey val="0"/>
          <c:showVal val="0"/>
          <c:showCatName val="0"/>
          <c:showSerName val="0"/>
          <c:showPercent val="0"/>
          <c:showBubbleSize val="0"/>
        </c:dLbls>
        <c:axId val="1414053664"/>
        <c:axId val="1414077184"/>
      </c:scatterChart>
      <c:valAx>
        <c:axId val="1414053664"/>
        <c:scaling>
          <c:orientation val="minMax"/>
          <c:max val="1.2"/>
          <c:min val="-1.2"/>
        </c:scaling>
        <c:delete val="1"/>
        <c:axPos val="b"/>
        <c:numFmt formatCode="General" sourceLinked="1"/>
        <c:majorTickMark val="out"/>
        <c:minorTickMark val="none"/>
        <c:tickLblPos val="nextTo"/>
        <c:crossAx val="1414077184"/>
        <c:crosses val="autoZero"/>
        <c:crossBetween val="midCat"/>
      </c:valAx>
      <c:valAx>
        <c:axId val="1414077184"/>
        <c:scaling>
          <c:orientation val="minMax"/>
          <c:max val="1.2"/>
          <c:min val="-1.2"/>
        </c:scaling>
        <c:delete val="1"/>
        <c:axPos val="l"/>
        <c:numFmt formatCode="General" sourceLinked="1"/>
        <c:majorTickMark val="out"/>
        <c:minorTickMark val="none"/>
        <c:tickLblPos val="nextTo"/>
        <c:crossAx val="1414053664"/>
        <c:crosses val="autoZero"/>
        <c:crossBetween val="midCat"/>
      </c:valAx>
      <c:spPr>
        <a:noFill/>
      </c:spPr>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8954399998762678"/>
          <c:y val="2.2682686367417288E-2"/>
          <c:w val="0.62091200293511695"/>
          <c:h val="0.9892045614212569"/>
        </c:manualLayout>
      </c:layout>
      <c:doughnutChart>
        <c:varyColors val="1"/>
        <c:ser>
          <c:idx val="0"/>
          <c:order val="0"/>
          <c:spPr>
            <a:ln w="127000">
              <a:noFill/>
            </a:ln>
          </c:spPr>
          <c:dPt>
            <c:idx val="0"/>
            <c:bubble3D val="0"/>
            <c:spPr>
              <a:gradFill>
                <a:gsLst>
                  <a:gs pos="0">
                    <a:srgbClr val="0070B1"/>
                  </a:gs>
                  <a:gs pos="100000">
                    <a:srgbClr val="00B7D2"/>
                  </a:gs>
                </a:gsLst>
                <a:lin ang="0" scaled="0"/>
              </a:gradFill>
              <a:ln w="127000">
                <a:noFill/>
              </a:ln>
              <a:effectLst/>
            </c:spPr>
            <c:extLst>
              <c:ext xmlns:c16="http://schemas.microsoft.com/office/drawing/2014/chart" uri="{C3380CC4-5D6E-409C-BE32-E72D297353CC}">
                <c16:uniqueId val="{00000005-89AC-4ED8-8A48-D8F32A1D3363}"/>
              </c:ext>
            </c:extLst>
          </c:dPt>
          <c:dPt>
            <c:idx val="1"/>
            <c:bubble3D val="0"/>
            <c:spPr>
              <a:solidFill>
                <a:schemeClr val="accent2"/>
              </a:solidFill>
              <a:ln w="127000">
                <a:noFill/>
              </a:ln>
              <a:effectLst/>
            </c:spPr>
            <c:extLst>
              <c:ext xmlns:c16="http://schemas.microsoft.com/office/drawing/2014/chart" uri="{C3380CC4-5D6E-409C-BE32-E72D297353CC}">
                <c16:uniqueId val="{00000007-89AC-4ED8-8A48-D8F32A1D3363}"/>
              </c:ext>
            </c:extLst>
          </c:dPt>
          <c:dPt>
            <c:idx val="2"/>
            <c:bubble3D val="0"/>
            <c:spPr>
              <a:noFill/>
              <a:ln w="127000">
                <a:noFill/>
              </a:ln>
              <a:effectLst/>
            </c:spPr>
            <c:extLst>
              <c:ext xmlns:c16="http://schemas.microsoft.com/office/drawing/2014/chart" uri="{C3380CC4-5D6E-409C-BE32-E72D297353CC}">
                <c16:uniqueId val="{00000009-89AC-4ED8-8A48-D8F32A1D3363}"/>
              </c:ext>
            </c:extLst>
          </c:dPt>
          <c:dPt>
            <c:idx val="3"/>
            <c:bubble3D val="0"/>
            <c:spPr>
              <a:gradFill>
                <a:gsLst>
                  <a:gs pos="0">
                    <a:srgbClr val="476BEE"/>
                  </a:gs>
                  <a:gs pos="100000">
                    <a:srgbClr val="3A5CE2"/>
                  </a:gs>
                </a:gsLst>
                <a:lin ang="5400000" scaled="1"/>
              </a:gradFill>
              <a:ln w="127000">
                <a:noFill/>
              </a:ln>
              <a:effectLst/>
            </c:spPr>
            <c:extLst>
              <c:ext xmlns:c16="http://schemas.microsoft.com/office/drawing/2014/chart" uri="{C3380CC4-5D6E-409C-BE32-E72D297353CC}">
                <c16:uniqueId val="{0000000B-89AC-4ED8-8A48-D8F32A1D3363}"/>
              </c:ext>
            </c:extLst>
          </c:dPt>
          <c:dPt>
            <c:idx val="5"/>
            <c:bubble3D val="0"/>
            <c:spPr>
              <a:noFill/>
              <a:ln w="127000">
                <a:noFill/>
              </a:ln>
            </c:spPr>
            <c:extLst>
              <c:ext xmlns:c16="http://schemas.microsoft.com/office/drawing/2014/chart" uri="{C3380CC4-5D6E-409C-BE32-E72D297353CC}">
                <c16:uniqueId val="{0000000D-89AC-4ED8-8A48-D8F32A1D3363}"/>
              </c:ext>
            </c:extLst>
          </c:dPt>
          <c:val>
            <c:numRef>
              <c:f>'Prototype 3'!$L$54:$Q$54</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0E-89AC-4ED8-8A48-D8F32A1D3363}"/>
            </c:ext>
          </c:extLst>
        </c:ser>
        <c:ser>
          <c:idx val="1"/>
          <c:order val="1"/>
          <c:spPr>
            <a:noFill/>
            <a:ln>
              <a:noFill/>
            </a:ln>
          </c:spPr>
          <c:dPt>
            <c:idx val="0"/>
            <c:bubble3D val="0"/>
            <c:spPr>
              <a:noFill/>
              <a:ln w="19050">
                <a:noFill/>
              </a:ln>
              <a:effectLst/>
            </c:spPr>
            <c:extLst>
              <c:ext xmlns:c16="http://schemas.microsoft.com/office/drawing/2014/chart" uri="{C3380CC4-5D6E-409C-BE32-E72D297353CC}">
                <c16:uniqueId val="{00000011-89AC-4ED8-8A48-D8F32A1D3363}"/>
              </c:ext>
            </c:extLst>
          </c:dPt>
          <c:dPt>
            <c:idx val="1"/>
            <c:bubble3D val="0"/>
            <c:spPr>
              <a:noFill/>
              <a:ln w="19050">
                <a:noFill/>
              </a:ln>
              <a:effectLst/>
            </c:spPr>
            <c:extLst>
              <c:ext xmlns:c16="http://schemas.microsoft.com/office/drawing/2014/chart" uri="{C3380CC4-5D6E-409C-BE32-E72D297353CC}">
                <c16:uniqueId val="{00000013-89AC-4ED8-8A48-D8F32A1D3363}"/>
              </c:ext>
            </c:extLst>
          </c:dPt>
          <c:dPt>
            <c:idx val="2"/>
            <c:bubble3D val="0"/>
            <c:spPr>
              <a:noFill/>
              <a:ln w="19050">
                <a:noFill/>
              </a:ln>
              <a:effectLst/>
            </c:spPr>
            <c:extLst>
              <c:ext xmlns:c16="http://schemas.microsoft.com/office/drawing/2014/chart" uri="{C3380CC4-5D6E-409C-BE32-E72D297353CC}">
                <c16:uniqueId val="{00000015-89AC-4ED8-8A48-D8F32A1D3363}"/>
              </c:ext>
            </c:extLst>
          </c:dPt>
          <c:dPt>
            <c:idx val="3"/>
            <c:bubble3D val="0"/>
            <c:spPr>
              <a:noFill/>
              <a:ln w="19050">
                <a:noFill/>
              </a:ln>
              <a:effectLst/>
            </c:spPr>
            <c:extLst>
              <c:ext xmlns:c16="http://schemas.microsoft.com/office/drawing/2014/chart" uri="{C3380CC4-5D6E-409C-BE32-E72D297353CC}">
                <c16:uniqueId val="{00000017-89AC-4ED8-8A48-D8F32A1D3363}"/>
              </c:ext>
            </c:extLst>
          </c:dPt>
          <c:val>
            <c:numRef>
              <c:f>'Prototype 3'!$L$55:$Q$55</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18-89AC-4ED8-8A48-D8F32A1D3363}"/>
            </c:ext>
          </c:extLst>
        </c:ser>
        <c:dLbls>
          <c:showLegendKey val="0"/>
          <c:showVal val="0"/>
          <c:showCatName val="0"/>
          <c:showSerName val="0"/>
          <c:showPercent val="0"/>
          <c:showBubbleSize val="0"/>
          <c:showLeaderLines val="1"/>
        </c:dLbls>
        <c:firstSliceAng val="0"/>
        <c:holeSize val="35"/>
      </c:doughnutChart>
      <c:doughnutChart>
        <c:varyColors val="1"/>
        <c:ser>
          <c:idx val="2"/>
          <c:order val="2"/>
          <c:spPr>
            <a:ln>
              <a:noFill/>
            </a:ln>
          </c:spPr>
          <c:dPt>
            <c:idx val="0"/>
            <c:bubble3D val="0"/>
            <c:spPr>
              <a:noFill/>
              <a:ln w="19050">
                <a:noFill/>
              </a:ln>
              <a:effectLst/>
            </c:spPr>
            <c:extLst>
              <c:ext xmlns:c16="http://schemas.microsoft.com/office/drawing/2014/chart" uri="{C3380CC4-5D6E-409C-BE32-E72D297353CC}">
                <c16:uniqueId val="{0000001B-89AC-4ED8-8A48-D8F32A1D3363}"/>
              </c:ext>
            </c:extLst>
          </c:dPt>
          <c:dPt>
            <c:idx val="1"/>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D-89AC-4ED8-8A48-D8F32A1D3363}"/>
              </c:ext>
            </c:extLst>
          </c:dPt>
          <c:dPt>
            <c:idx val="2"/>
            <c:bubble3D val="0"/>
            <c:spPr>
              <a:noFill/>
              <a:ln w="19050">
                <a:noFill/>
              </a:ln>
              <a:effectLst/>
            </c:spPr>
            <c:extLst>
              <c:ext xmlns:c16="http://schemas.microsoft.com/office/drawing/2014/chart" uri="{C3380CC4-5D6E-409C-BE32-E72D297353CC}">
                <c16:uniqueId val="{0000001F-89AC-4ED8-8A48-D8F32A1D3363}"/>
              </c:ext>
            </c:extLst>
          </c:dPt>
          <c:dPt>
            <c:idx val="3"/>
            <c:bubble3D val="0"/>
            <c:spPr>
              <a:noFill/>
              <a:ln w="19050">
                <a:noFill/>
              </a:ln>
              <a:effectLst/>
            </c:spPr>
            <c:extLst>
              <c:ext xmlns:c16="http://schemas.microsoft.com/office/drawing/2014/chart" uri="{C3380CC4-5D6E-409C-BE32-E72D297353CC}">
                <c16:uniqueId val="{00000021-89AC-4ED8-8A48-D8F32A1D3363}"/>
              </c:ext>
            </c:extLst>
          </c:dPt>
          <c:dPt>
            <c:idx val="4"/>
            <c:bubble3D val="0"/>
            <c:spPr>
              <a:gradFill flip="none" rotWithShape="1">
                <a:gsLst>
                  <a:gs pos="43000">
                    <a:srgbClr val="8701D9"/>
                  </a:gs>
                  <a:gs pos="100000">
                    <a:srgbClr val="AD27FE"/>
                  </a:gs>
                </a:gsLst>
                <a:path path="circle">
                  <a:fillToRect t="100000" r="100000"/>
                </a:path>
                <a:tileRect l="-100000" b="-100000"/>
              </a:gradFill>
              <a:ln>
                <a:noFill/>
              </a:ln>
            </c:spPr>
            <c:extLst>
              <c:ext xmlns:c16="http://schemas.microsoft.com/office/drawing/2014/chart" uri="{C3380CC4-5D6E-409C-BE32-E72D297353CC}">
                <c16:uniqueId val="{00000023-89AC-4ED8-8A48-D8F32A1D3363}"/>
              </c:ext>
            </c:extLst>
          </c:dPt>
          <c:dPt>
            <c:idx val="5"/>
            <c:bubble3D val="0"/>
            <c:spPr>
              <a:noFill/>
              <a:ln>
                <a:noFill/>
              </a:ln>
            </c:spPr>
            <c:extLst>
              <c:ext xmlns:c16="http://schemas.microsoft.com/office/drawing/2014/chart" uri="{C3380CC4-5D6E-409C-BE32-E72D297353CC}">
                <c16:uniqueId val="{00000025-89AC-4ED8-8A48-D8F32A1D3363}"/>
              </c:ext>
            </c:extLst>
          </c:dPt>
          <c:val>
            <c:numRef>
              <c:f>'Prototype 3'!$L$56:$Q$56</c:f>
              <c:numCache>
                <c:formatCode>0%</c:formatCode>
                <c:ptCount val="6"/>
                <c:pt idx="0">
                  <c:v>0.20678703968027404</c:v>
                </c:pt>
                <c:pt idx="1">
                  <c:v>0.26768127319440482</c:v>
                </c:pt>
                <c:pt idx="2">
                  <c:v>8.2393662574935772E-2</c:v>
                </c:pt>
                <c:pt idx="3">
                  <c:v>0.16114758778190122</c:v>
                </c:pt>
                <c:pt idx="4">
                  <c:v>0.21544033685412503</c:v>
                </c:pt>
                <c:pt idx="5">
                  <c:v>6.6550099914359118E-2</c:v>
                </c:pt>
              </c:numCache>
            </c:numRef>
          </c:val>
          <c:extLst>
            <c:ext xmlns:c16="http://schemas.microsoft.com/office/drawing/2014/chart" uri="{C3380CC4-5D6E-409C-BE32-E72D297353CC}">
              <c16:uniqueId val="{00000026-89AC-4ED8-8A48-D8F32A1D3363}"/>
            </c:ext>
          </c:extLst>
        </c:ser>
        <c:dLbls>
          <c:showLegendKey val="0"/>
          <c:showVal val="0"/>
          <c:showCatName val="0"/>
          <c:showSerName val="0"/>
          <c:showPercent val="0"/>
          <c:showBubbleSize val="0"/>
          <c:showLeaderLines val="1"/>
        </c:dLbls>
        <c:firstSliceAng val="0"/>
        <c:holeSize val="28"/>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spPr>
            <a:ln>
              <a:noFill/>
            </a:ln>
          </c:spPr>
          <c:dPt>
            <c:idx val="0"/>
            <c:bubble3D val="0"/>
            <c:spPr>
              <a:solidFill>
                <a:schemeClr val="tx2">
                  <a:lumMod val="50000"/>
                  <a:lumOff val="50000"/>
                </a:schemeClr>
              </a:solidFill>
              <a:ln w="19050">
                <a:noFill/>
              </a:ln>
              <a:effectLst/>
            </c:spPr>
            <c:extLst>
              <c:ext xmlns:c16="http://schemas.microsoft.com/office/drawing/2014/chart" uri="{C3380CC4-5D6E-409C-BE32-E72D297353CC}">
                <c16:uniqueId val="{00000002-F3C0-4BF7-AA1A-BEAD6D226F5C}"/>
              </c:ext>
            </c:extLst>
          </c:dPt>
          <c:dPt>
            <c:idx val="1"/>
            <c:bubble3D val="0"/>
            <c:spPr>
              <a:noFill/>
              <a:ln w="19050">
                <a:noFill/>
              </a:ln>
              <a:effectLst/>
            </c:spPr>
            <c:extLst>
              <c:ext xmlns:c16="http://schemas.microsoft.com/office/drawing/2014/chart" uri="{C3380CC4-5D6E-409C-BE32-E72D297353CC}">
                <c16:uniqueId val="{00000001-F3C0-4BF7-AA1A-BEAD6D226F5C}"/>
              </c:ext>
            </c:extLst>
          </c:dPt>
          <c:val>
            <c:numRef>
              <c:f>'Prototype 3'!$I$56:$J$56</c:f>
              <c:numCache>
                <c:formatCode>0%</c:formatCode>
                <c:ptCount val="2"/>
                <c:pt idx="0">
                  <c:v>0.72</c:v>
                </c:pt>
                <c:pt idx="1">
                  <c:v>0.28000000000000003</c:v>
                </c:pt>
              </c:numCache>
            </c:numRef>
          </c:val>
          <c:extLst>
            <c:ext xmlns:c16="http://schemas.microsoft.com/office/drawing/2014/chart" uri="{C3380CC4-5D6E-409C-BE32-E72D297353CC}">
              <c16:uniqueId val="{00000000-F3C0-4BF7-AA1A-BEAD6D226F5C}"/>
            </c:ext>
          </c:extLst>
        </c:ser>
        <c:dLbls>
          <c:showLegendKey val="0"/>
          <c:showVal val="0"/>
          <c:showCatName val="0"/>
          <c:showSerName val="0"/>
          <c:showPercent val="0"/>
          <c:showBubbleSize val="0"/>
          <c:showLeaderLines val="1"/>
        </c:dLbls>
        <c:firstSliceAng val="0"/>
        <c:holeSize val="90"/>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9523882481565927"/>
          <c:y val="0.20490141690565486"/>
          <c:w val="0.44007792272372043"/>
          <c:h val="0.73346314977596971"/>
        </c:manualLayout>
      </c:layout>
      <c:doughnutChart>
        <c:varyColors val="1"/>
        <c:ser>
          <c:idx val="0"/>
          <c:order val="0"/>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1-CE8A-44FB-96F2-9A9D95D6438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03-CE8A-44FB-96F2-9A9D95D64389}"/>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05-CE8A-44FB-96F2-9A9D95D64389}"/>
              </c:ext>
            </c:extLst>
          </c:dPt>
          <c:dPt>
            <c:idx val="3"/>
            <c:bubble3D val="0"/>
            <c:spPr>
              <a:gradFill>
                <a:gsLst>
                  <a:gs pos="0">
                    <a:srgbClr val="34349E"/>
                  </a:gs>
                  <a:gs pos="100000">
                    <a:srgbClr val="212469"/>
                  </a:gs>
                </a:gsLst>
                <a:lin ang="5400000" scaled="1"/>
              </a:gradFill>
              <a:ln w="19050">
                <a:noFill/>
              </a:ln>
              <a:effectLst/>
            </c:spPr>
            <c:extLst>
              <c:ext xmlns:c16="http://schemas.microsoft.com/office/drawing/2014/chart" uri="{C3380CC4-5D6E-409C-BE32-E72D297353CC}">
                <c16:uniqueId val="{00000007-CE8A-44FB-96F2-9A9D95D64389}"/>
              </c:ext>
            </c:extLst>
          </c:dPt>
          <c:dPt>
            <c:idx val="4"/>
            <c:bubble3D val="0"/>
            <c:spPr>
              <a:gradFill>
                <a:gsLst>
                  <a:gs pos="43000">
                    <a:srgbClr val="8701D9"/>
                  </a:gs>
                  <a:gs pos="100000">
                    <a:srgbClr val="AD27FE"/>
                  </a:gs>
                </a:gsLst>
                <a:path path="circle">
                  <a:fillToRect t="100000" r="100000"/>
                </a:path>
              </a:gradFill>
              <a:ln w="19050">
                <a:noFill/>
              </a:ln>
              <a:effectLst>
                <a:outerShdw blurRad="50800" dist="38100" algn="l" rotWithShape="0">
                  <a:prstClr val="black">
                    <a:alpha val="40000"/>
                  </a:prstClr>
                </a:outerShdw>
              </a:effectLst>
            </c:spPr>
            <c:extLst>
              <c:ext xmlns:c16="http://schemas.microsoft.com/office/drawing/2014/chart" uri="{C3380CC4-5D6E-409C-BE32-E72D297353CC}">
                <c16:uniqueId val="{00000009-CE8A-44FB-96F2-9A9D95D64389}"/>
              </c:ext>
            </c:extLst>
          </c:dPt>
          <c:dPt>
            <c:idx val="5"/>
            <c:bubble3D val="0"/>
            <c:spPr>
              <a:noFill/>
              <a:ln w="19050">
                <a:noFill/>
              </a:ln>
              <a:effectLst/>
            </c:spPr>
            <c:extLst>
              <c:ext xmlns:c16="http://schemas.microsoft.com/office/drawing/2014/chart" uri="{C3380CC4-5D6E-409C-BE32-E72D297353CC}">
                <c16:uniqueId val="{0000000B-CE8A-44FB-96F2-9A9D95D64389}"/>
              </c:ext>
            </c:extLst>
          </c:dPt>
          <c:cat>
            <c:strRef>
              <c:f>'Prototype 3'!$K$61:$K$65</c:f>
              <c:strCache>
                <c:ptCount val="5"/>
                <c:pt idx="0">
                  <c:v>Business</c:v>
                </c:pt>
                <c:pt idx="1">
                  <c:v>Securities</c:v>
                </c:pt>
                <c:pt idx="2">
                  <c:v>Gold</c:v>
                </c:pt>
                <c:pt idx="3">
                  <c:v>Rent</c:v>
                </c:pt>
                <c:pt idx="4">
                  <c:v>Crypto</c:v>
                </c:pt>
              </c:strCache>
            </c:strRef>
          </c:cat>
          <c:val>
            <c:numRef>
              <c:f>'Prototype 3'!$M$61:$M$66</c:f>
              <c:numCache>
                <c:formatCode>0%</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0C-CE8A-44FB-96F2-9A9D95D64389}"/>
            </c:ext>
          </c:extLst>
        </c:ser>
        <c:ser>
          <c:idx val="1"/>
          <c:order val="1"/>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0E-CE8A-44FB-96F2-9A9D95D6438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0-CE8A-44FB-96F2-9A9D95D64389}"/>
              </c:ext>
            </c:extLst>
          </c:dPt>
          <c:dPt>
            <c:idx val="2"/>
            <c:bubble3D val="0"/>
            <c:spPr>
              <a:gradFill>
                <a:gsLst>
                  <a:gs pos="0">
                    <a:srgbClr val="476BEE"/>
                  </a:gs>
                  <a:gs pos="100000">
                    <a:srgbClr val="3A5CE2"/>
                  </a:gs>
                </a:gsLst>
                <a:lin ang="5400000" scaled="1"/>
              </a:gradFill>
              <a:ln w="19050">
                <a:noFill/>
              </a:ln>
              <a:effectLst/>
            </c:spPr>
            <c:extLst>
              <c:ext xmlns:c16="http://schemas.microsoft.com/office/drawing/2014/chart" uri="{C3380CC4-5D6E-409C-BE32-E72D297353CC}">
                <c16:uniqueId val="{00000012-CE8A-44FB-96F2-9A9D95D64389}"/>
              </c:ext>
            </c:extLst>
          </c:dPt>
          <c:dPt>
            <c:idx val="3"/>
            <c:bubble3D val="0"/>
            <c:spPr>
              <a:gradFill>
                <a:gsLst>
                  <a:gs pos="0">
                    <a:srgbClr val="34349E"/>
                  </a:gs>
                  <a:gs pos="100000">
                    <a:srgbClr val="212469"/>
                  </a:gs>
                </a:gsLst>
                <a:lin ang="5400000" scaled="1"/>
              </a:gradFill>
              <a:ln w="19050">
                <a:noFill/>
              </a:ln>
              <a:effectLst>
                <a:outerShdw blurRad="50800" dist="38100" dir="18900000" algn="bl" rotWithShape="0">
                  <a:prstClr val="black">
                    <a:alpha val="40000"/>
                  </a:prstClr>
                </a:outerShdw>
              </a:effectLst>
            </c:spPr>
            <c:extLst>
              <c:ext xmlns:c16="http://schemas.microsoft.com/office/drawing/2014/chart" uri="{C3380CC4-5D6E-409C-BE32-E72D297353CC}">
                <c16:uniqueId val="{00000014-CE8A-44FB-96F2-9A9D95D64389}"/>
              </c:ext>
            </c:extLst>
          </c:dPt>
          <c:dPt>
            <c:idx val="4"/>
            <c:bubble3D val="0"/>
            <c:spPr>
              <a:noFill/>
              <a:ln w="19050">
                <a:noFill/>
              </a:ln>
              <a:effectLst/>
            </c:spPr>
            <c:extLst>
              <c:ext xmlns:c16="http://schemas.microsoft.com/office/drawing/2014/chart" uri="{C3380CC4-5D6E-409C-BE32-E72D297353CC}">
                <c16:uniqueId val="{00000016-CE8A-44FB-96F2-9A9D95D64389}"/>
              </c:ext>
            </c:extLst>
          </c:dPt>
          <c:dPt>
            <c:idx val="5"/>
            <c:bubble3D val="0"/>
            <c:spPr>
              <a:noFill/>
              <a:ln w="19050">
                <a:noFill/>
              </a:ln>
              <a:effectLst/>
            </c:spPr>
            <c:extLst>
              <c:ext xmlns:c16="http://schemas.microsoft.com/office/drawing/2014/chart" uri="{C3380CC4-5D6E-409C-BE32-E72D297353CC}">
                <c16:uniqueId val="{00000018-CE8A-44FB-96F2-9A9D95D64389}"/>
              </c:ext>
            </c:extLst>
          </c:dPt>
          <c:cat>
            <c:strRef>
              <c:f>'Prototype 3'!$K$61:$K$65</c:f>
              <c:strCache>
                <c:ptCount val="5"/>
                <c:pt idx="0">
                  <c:v>Business</c:v>
                </c:pt>
                <c:pt idx="1">
                  <c:v>Securities</c:v>
                </c:pt>
                <c:pt idx="2">
                  <c:v>Gold</c:v>
                </c:pt>
                <c:pt idx="3">
                  <c:v>Rent</c:v>
                </c:pt>
                <c:pt idx="4">
                  <c:v>Crypto</c:v>
                </c:pt>
              </c:strCache>
            </c:strRef>
          </c:cat>
          <c:val>
            <c:numRef>
              <c:f>'Prototype 3'!$N$61:$N$66</c:f>
              <c:numCache>
                <c:formatCode>0%</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19-CE8A-44FB-96F2-9A9D95D64389}"/>
            </c:ext>
          </c:extLst>
        </c:ser>
        <c:ser>
          <c:idx val="2"/>
          <c:order val="2"/>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1B-CE8A-44FB-96F2-9A9D95D64389}"/>
              </c:ext>
            </c:extLst>
          </c:dPt>
          <c:dPt>
            <c:idx val="1"/>
            <c:bubble3D val="0"/>
            <c:spPr>
              <a:gradFill>
                <a:gsLst>
                  <a:gs pos="0">
                    <a:srgbClr val="0070B1"/>
                  </a:gs>
                  <a:gs pos="100000">
                    <a:srgbClr val="00B7D2"/>
                  </a:gs>
                </a:gsLst>
                <a:lin ang="0" scaled="0"/>
              </a:gradFill>
              <a:ln w="19050">
                <a:noFill/>
              </a:ln>
              <a:effectLst/>
            </c:spPr>
            <c:extLst>
              <c:ext xmlns:c16="http://schemas.microsoft.com/office/drawing/2014/chart" uri="{C3380CC4-5D6E-409C-BE32-E72D297353CC}">
                <c16:uniqueId val="{0000001D-CE8A-44FB-96F2-9A9D95D64389}"/>
              </c:ext>
            </c:extLst>
          </c:dPt>
          <c:dPt>
            <c:idx val="2"/>
            <c:bubble3D val="0"/>
            <c:spPr>
              <a:gradFill>
                <a:gsLst>
                  <a:gs pos="0">
                    <a:srgbClr val="476BEE"/>
                  </a:gs>
                  <a:gs pos="100000">
                    <a:srgbClr val="3A5CE2"/>
                  </a:gs>
                </a:gsLst>
                <a:lin ang="5400000" scaled="1"/>
              </a:gradFill>
              <a:ln w="19050">
                <a:noFill/>
              </a:ln>
              <a:effectLst>
                <a:outerShdw blurRad="50800" dist="38100" dir="16200000" rotWithShape="0">
                  <a:prstClr val="black">
                    <a:alpha val="40000"/>
                  </a:prstClr>
                </a:outerShdw>
              </a:effectLst>
            </c:spPr>
            <c:extLst>
              <c:ext xmlns:c16="http://schemas.microsoft.com/office/drawing/2014/chart" uri="{C3380CC4-5D6E-409C-BE32-E72D297353CC}">
                <c16:uniqueId val="{0000001F-CE8A-44FB-96F2-9A9D95D64389}"/>
              </c:ext>
            </c:extLst>
          </c:dPt>
          <c:dPt>
            <c:idx val="3"/>
            <c:bubble3D val="0"/>
            <c:spPr>
              <a:noFill/>
              <a:ln w="19050">
                <a:noFill/>
              </a:ln>
              <a:effectLst/>
            </c:spPr>
            <c:extLst>
              <c:ext xmlns:c16="http://schemas.microsoft.com/office/drawing/2014/chart" uri="{C3380CC4-5D6E-409C-BE32-E72D297353CC}">
                <c16:uniqueId val="{00000021-CE8A-44FB-96F2-9A9D95D64389}"/>
              </c:ext>
            </c:extLst>
          </c:dPt>
          <c:dPt>
            <c:idx val="4"/>
            <c:bubble3D val="0"/>
            <c:spPr>
              <a:noFill/>
              <a:ln w="19050">
                <a:noFill/>
              </a:ln>
              <a:effectLst/>
            </c:spPr>
            <c:extLst>
              <c:ext xmlns:c16="http://schemas.microsoft.com/office/drawing/2014/chart" uri="{C3380CC4-5D6E-409C-BE32-E72D297353CC}">
                <c16:uniqueId val="{00000023-CE8A-44FB-96F2-9A9D95D64389}"/>
              </c:ext>
            </c:extLst>
          </c:dPt>
          <c:dPt>
            <c:idx val="5"/>
            <c:bubble3D val="0"/>
            <c:spPr>
              <a:noFill/>
              <a:ln w="19050">
                <a:noFill/>
              </a:ln>
              <a:effectLst/>
            </c:spPr>
            <c:extLst>
              <c:ext xmlns:c16="http://schemas.microsoft.com/office/drawing/2014/chart" uri="{C3380CC4-5D6E-409C-BE32-E72D297353CC}">
                <c16:uniqueId val="{00000025-CE8A-44FB-96F2-9A9D95D64389}"/>
              </c:ext>
            </c:extLst>
          </c:dPt>
          <c:cat>
            <c:strRef>
              <c:f>'Prototype 3'!$K$61:$K$65</c:f>
              <c:strCache>
                <c:ptCount val="5"/>
                <c:pt idx="0">
                  <c:v>Business</c:v>
                </c:pt>
                <c:pt idx="1">
                  <c:v>Securities</c:v>
                </c:pt>
                <c:pt idx="2">
                  <c:v>Gold</c:v>
                </c:pt>
                <c:pt idx="3">
                  <c:v>Rent</c:v>
                </c:pt>
                <c:pt idx="4">
                  <c:v>Crypto</c:v>
                </c:pt>
              </c:strCache>
            </c:strRef>
          </c:cat>
          <c:val>
            <c:numRef>
              <c:f>'Prototype 3'!$O$61:$O$66</c:f>
              <c:numCache>
                <c:formatCode>0%</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26-CE8A-44FB-96F2-9A9D95D64389}"/>
            </c:ext>
          </c:extLst>
        </c:ser>
        <c:ser>
          <c:idx val="3"/>
          <c:order val="3"/>
          <c:spPr>
            <a:ln>
              <a:noFill/>
            </a:ln>
          </c:spPr>
          <c:dPt>
            <c:idx val="0"/>
            <c:bubble3D val="0"/>
            <c:spPr>
              <a:gradFill>
                <a:gsLst>
                  <a:gs pos="0">
                    <a:srgbClr val="8D76FC"/>
                  </a:gs>
                  <a:gs pos="100000">
                    <a:srgbClr val="3647E3"/>
                  </a:gs>
                </a:gsLst>
                <a:lin ang="5400000" scaled="1"/>
              </a:gradFill>
              <a:ln w="19050">
                <a:noFill/>
              </a:ln>
              <a:effectLst/>
            </c:spPr>
            <c:extLst>
              <c:ext xmlns:c16="http://schemas.microsoft.com/office/drawing/2014/chart" uri="{C3380CC4-5D6E-409C-BE32-E72D297353CC}">
                <c16:uniqueId val="{00000028-CE8A-44FB-96F2-9A9D95D64389}"/>
              </c:ext>
            </c:extLst>
          </c:dPt>
          <c:dPt>
            <c:idx val="1"/>
            <c:bubble3D val="0"/>
            <c:spPr>
              <a:gradFill>
                <a:gsLst>
                  <a:gs pos="0">
                    <a:srgbClr val="0070B1"/>
                  </a:gs>
                  <a:gs pos="100000">
                    <a:srgbClr val="00B7D2"/>
                  </a:gs>
                </a:gsLst>
                <a:lin ang="0" scaled="0"/>
              </a:gradFill>
              <a:ln w="19050">
                <a:noFill/>
              </a:ln>
              <a:effectLst>
                <a:outerShdw blurRad="50800" dist="38100" dir="13500000" algn="br" rotWithShape="0">
                  <a:prstClr val="black">
                    <a:alpha val="40000"/>
                  </a:prstClr>
                </a:outerShdw>
              </a:effectLst>
            </c:spPr>
            <c:extLst>
              <c:ext xmlns:c16="http://schemas.microsoft.com/office/drawing/2014/chart" uri="{C3380CC4-5D6E-409C-BE32-E72D297353CC}">
                <c16:uniqueId val="{0000002A-CE8A-44FB-96F2-9A9D95D64389}"/>
              </c:ext>
            </c:extLst>
          </c:dPt>
          <c:dPt>
            <c:idx val="2"/>
            <c:bubble3D val="0"/>
            <c:spPr>
              <a:noFill/>
              <a:ln w="19050">
                <a:noFill/>
              </a:ln>
              <a:effectLst/>
            </c:spPr>
            <c:extLst>
              <c:ext xmlns:c16="http://schemas.microsoft.com/office/drawing/2014/chart" uri="{C3380CC4-5D6E-409C-BE32-E72D297353CC}">
                <c16:uniqueId val="{0000002C-CE8A-44FB-96F2-9A9D95D64389}"/>
              </c:ext>
            </c:extLst>
          </c:dPt>
          <c:dPt>
            <c:idx val="3"/>
            <c:bubble3D val="0"/>
            <c:spPr>
              <a:noFill/>
              <a:ln w="19050">
                <a:noFill/>
              </a:ln>
              <a:effectLst/>
            </c:spPr>
            <c:extLst>
              <c:ext xmlns:c16="http://schemas.microsoft.com/office/drawing/2014/chart" uri="{C3380CC4-5D6E-409C-BE32-E72D297353CC}">
                <c16:uniqueId val="{0000002E-CE8A-44FB-96F2-9A9D95D64389}"/>
              </c:ext>
            </c:extLst>
          </c:dPt>
          <c:dPt>
            <c:idx val="4"/>
            <c:bubble3D val="0"/>
            <c:spPr>
              <a:noFill/>
              <a:ln w="19050">
                <a:noFill/>
              </a:ln>
              <a:effectLst/>
            </c:spPr>
            <c:extLst>
              <c:ext xmlns:c16="http://schemas.microsoft.com/office/drawing/2014/chart" uri="{C3380CC4-5D6E-409C-BE32-E72D297353CC}">
                <c16:uniqueId val="{00000030-CE8A-44FB-96F2-9A9D95D64389}"/>
              </c:ext>
            </c:extLst>
          </c:dPt>
          <c:dPt>
            <c:idx val="5"/>
            <c:bubble3D val="0"/>
            <c:spPr>
              <a:noFill/>
              <a:ln w="19050">
                <a:noFill/>
              </a:ln>
              <a:effectLst/>
            </c:spPr>
            <c:extLst>
              <c:ext xmlns:c16="http://schemas.microsoft.com/office/drawing/2014/chart" uri="{C3380CC4-5D6E-409C-BE32-E72D297353CC}">
                <c16:uniqueId val="{00000032-CE8A-44FB-96F2-9A9D95D64389}"/>
              </c:ext>
            </c:extLst>
          </c:dPt>
          <c:cat>
            <c:strRef>
              <c:f>'Prototype 3'!$K$61:$K$65</c:f>
              <c:strCache>
                <c:ptCount val="5"/>
                <c:pt idx="0">
                  <c:v>Business</c:v>
                </c:pt>
                <c:pt idx="1">
                  <c:v>Securities</c:v>
                </c:pt>
                <c:pt idx="2">
                  <c:v>Gold</c:v>
                </c:pt>
                <c:pt idx="3">
                  <c:v>Rent</c:v>
                </c:pt>
                <c:pt idx="4">
                  <c:v>Crypto</c:v>
                </c:pt>
              </c:strCache>
            </c:strRef>
          </c:cat>
          <c:val>
            <c:numRef>
              <c:f>'Prototype 3'!$P$61:$P$66</c:f>
              <c:numCache>
                <c:formatCode>0%</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33-CE8A-44FB-96F2-9A9D95D64389}"/>
            </c:ext>
          </c:extLst>
        </c:ser>
        <c:ser>
          <c:idx val="4"/>
          <c:order val="4"/>
          <c:spPr>
            <a:ln>
              <a:noFill/>
            </a:ln>
          </c:spPr>
          <c:dPt>
            <c:idx val="0"/>
            <c:bubble3D val="0"/>
            <c:spPr>
              <a:gradFill>
                <a:gsLst>
                  <a:gs pos="0">
                    <a:srgbClr val="8D76FC"/>
                  </a:gs>
                  <a:gs pos="100000">
                    <a:srgbClr val="3647E3"/>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35-CE8A-44FB-96F2-9A9D95D64389}"/>
              </c:ext>
            </c:extLst>
          </c:dPt>
          <c:dPt>
            <c:idx val="1"/>
            <c:bubble3D val="0"/>
            <c:spPr>
              <a:noFill/>
              <a:ln w="19050">
                <a:noFill/>
              </a:ln>
              <a:effectLst/>
            </c:spPr>
            <c:extLst>
              <c:ext xmlns:c16="http://schemas.microsoft.com/office/drawing/2014/chart" uri="{C3380CC4-5D6E-409C-BE32-E72D297353CC}">
                <c16:uniqueId val="{00000037-CE8A-44FB-96F2-9A9D95D64389}"/>
              </c:ext>
            </c:extLst>
          </c:dPt>
          <c:dPt>
            <c:idx val="2"/>
            <c:bubble3D val="0"/>
            <c:spPr>
              <a:noFill/>
              <a:ln w="19050">
                <a:noFill/>
              </a:ln>
              <a:effectLst/>
            </c:spPr>
            <c:extLst>
              <c:ext xmlns:c16="http://schemas.microsoft.com/office/drawing/2014/chart" uri="{C3380CC4-5D6E-409C-BE32-E72D297353CC}">
                <c16:uniqueId val="{00000039-CE8A-44FB-96F2-9A9D95D64389}"/>
              </c:ext>
            </c:extLst>
          </c:dPt>
          <c:dPt>
            <c:idx val="3"/>
            <c:bubble3D val="0"/>
            <c:spPr>
              <a:noFill/>
              <a:ln w="19050">
                <a:noFill/>
              </a:ln>
              <a:effectLst/>
            </c:spPr>
            <c:extLst>
              <c:ext xmlns:c16="http://schemas.microsoft.com/office/drawing/2014/chart" uri="{C3380CC4-5D6E-409C-BE32-E72D297353CC}">
                <c16:uniqueId val="{0000003B-CE8A-44FB-96F2-9A9D95D64389}"/>
              </c:ext>
            </c:extLst>
          </c:dPt>
          <c:dPt>
            <c:idx val="4"/>
            <c:bubble3D val="0"/>
            <c:spPr>
              <a:noFill/>
              <a:ln w="19050">
                <a:noFill/>
              </a:ln>
              <a:effectLst/>
            </c:spPr>
            <c:extLst>
              <c:ext xmlns:c16="http://schemas.microsoft.com/office/drawing/2014/chart" uri="{C3380CC4-5D6E-409C-BE32-E72D297353CC}">
                <c16:uniqueId val="{0000003D-CE8A-44FB-96F2-9A9D95D64389}"/>
              </c:ext>
            </c:extLst>
          </c:dPt>
          <c:dPt>
            <c:idx val="5"/>
            <c:bubble3D val="0"/>
            <c:spPr>
              <a:noFill/>
              <a:ln w="19050">
                <a:noFill/>
              </a:ln>
              <a:effectLst/>
            </c:spPr>
            <c:extLst>
              <c:ext xmlns:c16="http://schemas.microsoft.com/office/drawing/2014/chart" uri="{C3380CC4-5D6E-409C-BE32-E72D297353CC}">
                <c16:uniqueId val="{0000003F-CE8A-44FB-96F2-9A9D95D64389}"/>
              </c:ext>
            </c:extLst>
          </c:dPt>
          <c:cat>
            <c:strRef>
              <c:f>'Prototype 3'!$K$61:$K$65</c:f>
              <c:strCache>
                <c:ptCount val="5"/>
                <c:pt idx="0">
                  <c:v>Business</c:v>
                </c:pt>
                <c:pt idx="1">
                  <c:v>Securities</c:v>
                </c:pt>
                <c:pt idx="2">
                  <c:v>Gold</c:v>
                </c:pt>
                <c:pt idx="3">
                  <c:v>Rent</c:v>
                </c:pt>
                <c:pt idx="4">
                  <c:v>Crypto</c:v>
                </c:pt>
              </c:strCache>
            </c:strRef>
          </c:cat>
          <c:val>
            <c:numRef>
              <c:f>'Prototype 3'!$Q$61:$Q$66</c:f>
              <c:numCache>
                <c:formatCode>0%</c:formatCode>
                <c:ptCount val="6"/>
                <c:pt idx="0">
                  <c:v>0.3</c:v>
                </c:pt>
                <c:pt idx="1">
                  <c:v>0.15</c:v>
                </c:pt>
                <c:pt idx="2">
                  <c:v>0.24</c:v>
                </c:pt>
                <c:pt idx="3">
                  <c:v>0.1</c:v>
                </c:pt>
                <c:pt idx="4">
                  <c:v>0.21</c:v>
                </c:pt>
                <c:pt idx="5">
                  <c:v>0.99999999999999989</c:v>
                </c:pt>
              </c:numCache>
            </c:numRef>
          </c:val>
          <c:extLst>
            <c:ext xmlns:c16="http://schemas.microsoft.com/office/drawing/2014/chart" uri="{C3380CC4-5D6E-409C-BE32-E72D297353CC}">
              <c16:uniqueId val="{00000040-CE8A-44FB-96F2-9A9D95D64389}"/>
            </c:ext>
          </c:extLst>
        </c:ser>
        <c:dLbls>
          <c:showLegendKey val="0"/>
          <c:showVal val="0"/>
          <c:showCatName val="0"/>
          <c:showSerName val="0"/>
          <c:showPercent val="0"/>
          <c:showBubbleSize val="0"/>
          <c:showLeaderLines val="1"/>
        </c:dLbls>
        <c:firstSliceAng val="270"/>
        <c:holeSize val="29"/>
      </c:doughnutChart>
    </c:plotArea>
    <c:legend>
      <c:legendPos val="b"/>
      <c:layout>
        <c:manualLayout>
          <c:xMode val="edge"/>
          <c:yMode val="edge"/>
          <c:x val="0.17197138434470516"/>
          <c:y val="0.58196497320513063"/>
          <c:w val="0.66815581289747472"/>
          <c:h val="8.0197188957031471E-2"/>
        </c:manualLayout>
      </c:layout>
      <c:overlay val="0"/>
      <c:txPr>
        <a:bodyPr/>
        <a:lstStyle/>
        <a:p>
          <a:pPr rtl="0">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1418133782443747"/>
          <c:y val="0.24851747975452654"/>
          <c:w val="0.78481332661566705"/>
          <c:h val="0.6707739410645539"/>
        </c:manualLayout>
      </c:layout>
      <c:scatterChart>
        <c:scatterStyle val="lineMarker"/>
        <c:varyColors val="0"/>
        <c:ser>
          <c:idx val="0"/>
          <c:order val="0"/>
          <c:tx>
            <c:strRef>
              <c:f>'Prototype 3'!$K$70</c:f>
              <c:strCache>
                <c:ptCount val="1"/>
                <c:pt idx="0">
                  <c:v>Mortgage</c:v>
                </c:pt>
              </c:strCache>
            </c:strRef>
          </c:tx>
          <c:spPr>
            <a:ln w="19050" cap="rnd">
              <a:noFill/>
              <a:round/>
            </a:ln>
            <a:effectLst>
              <a:outerShdw blurRad="50800" dist="38100" dir="8100000" algn="tr" rotWithShape="0">
                <a:prstClr val="black">
                  <a:alpha val="40000"/>
                </a:prstClr>
              </a:outerShdw>
            </a:effectLst>
          </c:spPr>
          <c:marker>
            <c:symbol val="circle"/>
            <c:size val="30"/>
            <c:spPr>
              <a:solidFill>
                <a:srgbClr val="43ADA9">
                  <a:alpha val="30000"/>
                </a:srgbClr>
              </a:solidFill>
              <a:ln w="9525">
                <a:solidFill>
                  <a:srgbClr val="43ADA9"/>
                </a:solidFill>
              </a:ln>
              <a:effectLst>
                <a:outerShdw blurRad="50800" dist="38100" dir="8100000" algn="tr" rotWithShape="0">
                  <a:prstClr val="black">
                    <a:alpha val="40000"/>
                  </a:prstClr>
                </a:outerShdw>
              </a:effectLst>
            </c:spPr>
          </c:marker>
          <c:dPt>
            <c:idx val="0"/>
            <c:marker>
              <c:spPr>
                <a:solidFill>
                  <a:srgbClr val="8D76FC">
                    <a:alpha val="30000"/>
                  </a:srgbClr>
                </a:solidFill>
                <a:ln w="9525">
                  <a:solidFill>
                    <a:srgbClr val="8D76FC"/>
                  </a:solidFill>
                </a:ln>
                <a:effectLst>
                  <a:outerShdw blurRad="50800" dist="38100" dir="8100000" algn="tr" rotWithShape="0">
                    <a:prstClr val="black">
                      <a:alpha val="40000"/>
                    </a:prstClr>
                  </a:outerShdw>
                </a:effectLst>
              </c:spPr>
            </c:marker>
            <c:bubble3D val="0"/>
            <c:extLst>
              <c:ext xmlns:c16="http://schemas.microsoft.com/office/drawing/2014/chart" uri="{C3380CC4-5D6E-409C-BE32-E72D297353CC}">
                <c16:uniqueId val="{00000000-C15A-4782-9B6C-ADF1043EAB35}"/>
              </c:ext>
            </c:extLst>
          </c:dPt>
          <c:xVal>
            <c:numRef>
              <c:f>'Prototype 3'!$L$70</c:f>
              <c:numCache>
                <c:formatCode>0%</c:formatCode>
                <c:ptCount val="1"/>
                <c:pt idx="0">
                  <c:v>0.03</c:v>
                </c:pt>
              </c:numCache>
            </c:numRef>
          </c:xVal>
          <c:yVal>
            <c:numRef>
              <c:f>'Prototype 3'!$M$70</c:f>
              <c:numCache>
                <c:formatCode>_-[$$-409]* #,##0_ ;_-[$$-409]* \-#,##0\ ;_-[$$-409]* "-"??_ ;_-@_ </c:formatCode>
                <c:ptCount val="1"/>
                <c:pt idx="0">
                  <c:v>18500</c:v>
                </c:pt>
              </c:numCache>
            </c:numRef>
          </c:yVal>
          <c:smooth val="0"/>
          <c:extLst>
            <c:ext xmlns:c16="http://schemas.microsoft.com/office/drawing/2014/chart" uri="{C3380CC4-5D6E-409C-BE32-E72D297353CC}">
              <c16:uniqueId val="{00000001-C15A-4782-9B6C-ADF1043EAB35}"/>
            </c:ext>
          </c:extLst>
        </c:ser>
        <c:ser>
          <c:idx val="1"/>
          <c:order val="1"/>
          <c:tx>
            <c:strRef>
              <c:f>'Prototype 3'!$K$71</c:f>
              <c:strCache>
                <c:ptCount val="1"/>
                <c:pt idx="0">
                  <c:v>Credit Card</c:v>
                </c:pt>
              </c:strCache>
            </c:strRef>
          </c:tx>
          <c:spPr>
            <a:ln w="25400" cap="rnd">
              <a:noFill/>
              <a:round/>
            </a:ln>
            <a:effectLst>
              <a:outerShdw blurRad="50800" dist="38100" dir="8100000" algn="tr" rotWithShape="0">
                <a:prstClr val="black">
                  <a:alpha val="40000"/>
                </a:prstClr>
              </a:outerShdw>
            </a:effectLst>
          </c:spPr>
          <c:marker>
            <c:symbol val="circle"/>
            <c:size val="25"/>
            <c:spPr>
              <a:solidFill>
                <a:srgbClr val="00B7D2">
                  <a:alpha val="30000"/>
                </a:srgbClr>
              </a:solidFill>
              <a:ln w="9525">
                <a:solidFill>
                  <a:srgbClr val="00B7D2"/>
                </a:solidFill>
              </a:ln>
              <a:effectLst>
                <a:outerShdw blurRad="50800" dist="38100" dir="8100000" algn="tr" rotWithShape="0">
                  <a:prstClr val="black">
                    <a:alpha val="40000"/>
                  </a:prstClr>
                </a:outerShdw>
              </a:effectLst>
            </c:spPr>
          </c:marker>
          <c:xVal>
            <c:numRef>
              <c:f>'Prototype 3'!$L$71</c:f>
              <c:numCache>
                <c:formatCode>0%</c:formatCode>
                <c:ptCount val="1"/>
                <c:pt idx="0">
                  <c:v>9.5000000000000001E-2</c:v>
                </c:pt>
              </c:numCache>
            </c:numRef>
          </c:xVal>
          <c:yVal>
            <c:numRef>
              <c:f>'Prototype 3'!$M$71</c:f>
              <c:numCache>
                <c:formatCode>_-[$$-409]* #,##0_ ;_-[$$-409]* \-#,##0\ ;_-[$$-409]* "-"??_ ;_-@_ </c:formatCode>
                <c:ptCount val="1"/>
                <c:pt idx="0">
                  <c:v>17915</c:v>
                </c:pt>
              </c:numCache>
            </c:numRef>
          </c:yVal>
          <c:smooth val="0"/>
          <c:extLst>
            <c:ext xmlns:c16="http://schemas.microsoft.com/office/drawing/2014/chart" uri="{C3380CC4-5D6E-409C-BE32-E72D297353CC}">
              <c16:uniqueId val="{00000002-C15A-4782-9B6C-ADF1043EAB35}"/>
            </c:ext>
          </c:extLst>
        </c:ser>
        <c:ser>
          <c:idx val="2"/>
          <c:order val="2"/>
          <c:tx>
            <c:strRef>
              <c:f>'Prototype 3'!$K$72</c:f>
              <c:strCache>
                <c:ptCount val="1"/>
                <c:pt idx="0">
                  <c:v>Car Leasing</c:v>
                </c:pt>
              </c:strCache>
            </c:strRef>
          </c:tx>
          <c:spPr>
            <a:ln w="25400" cap="rnd">
              <a:noFill/>
              <a:round/>
            </a:ln>
            <a:effectLst>
              <a:outerShdw blurRad="50800" dist="38100" dir="8100000" algn="tr" rotWithShape="0">
                <a:prstClr val="black">
                  <a:alpha val="40000"/>
                </a:prstClr>
              </a:outerShdw>
            </a:effectLst>
          </c:spPr>
          <c:marker>
            <c:symbol val="circle"/>
            <c:size val="20"/>
            <c:spPr>
              <a:solidFill>
                <a:srgbClr val="AD27FE">
                  <a:alpha val="30000"/>
                </a:srgbClr>
              </a:solidFill>
              <a:ln w="9525">
                <a:solidFill>
                  <a:srgbClr val="AD27FE"/>
                </a:solidFill>
              </a:ln>
              <a:effectLst>
                <a:outerShdw blurRad="50800" dist="38100" dir="8100000" algn="tr" rotWithShape="0">
                  <a:prstClr val="black">
                    <a:alpha val="40000"/>
                  </a:prstClr>
                </a:outerShdw>
              </a:effectLst>
            </c:spPr>
          </c:marker>
          <c:xVal>
            <c:numRef>
              <c:f>'Prototype 3'!$L$72</c:f>
              <c:numCache>
                <c:formatCode>0%</c:formatCode>
                <c:ptCount val="1"/>
                <c:pt idx="0">
                  <c:v>0.05</c:v>
                </c:pt>
              </c:numCache>
            </c:numRef>
          </c:xVal>
          <c:yVal>
            <c:numRef>
              <c:f>'Prototype 3'!$M$72</c:f>
              <c:numCache>
                <c:formatCode>_-[$$-409]* #,##0_ ;_-[$$-409]* \-#,##0\ ;_-[$$-409]* "-"??_ ;_-@_ </c:formatCode>
                <c:ptCount val="1"/>
                <c:pt idx="0">
                  <c:v>10000</c:v>
                </c:pt>
              </c:numCache>
            </c:numRef>
          </c:yVal>
          <c:smooth val="0"/>
          <c:extLst>
            <c:ext xmlns:c16="http://schemas.microsoft.com/office/drawing/2014/chart" uri="{C3380CC4-5D6E-409C-BE32-E72D297353CC}">
              <c16:uniqueId val="{00000003-C15A-4782-9B6C-ADF1043EAB35}"/>
            </c:ext>
          </c:extLst>
        </c:ser>
        <c:ser>
          <c:idx val="6"/>
          <c:order val="3"/>
          <c:tx>
            <c:strRef>
              <c:f>'Prototype 3'!$K$73</c:f>
              <c:strCache>
                <c:ptCount val="1"/>
                <c:pt idx="0">
                  <c:v>Consumer Credit</c:v>
                </c:pt>
              </c:strCache>
            </c:strRef>
          </c:tx>
          <c:spPr>
            <a:ln w="25400" cap="rnd">
              <a:noFill/>
              <a:round/>
            </a:ln>
            <a:effectLst>
              <a:outerShdw blurRad="50800" dist="38100" dir="8100000" algn="tr" rotWithShape="0">
                <a:prstClr val="black">
                  <a:alpha val="40000"/>
                </a:prstClr>
              </a:outerShdw>
            </a:effectLst>
          </c:spPr>
          <c:marker>
            <c:symbol val="circle"/>
            <c:size val="15"/>
            <c:spPr>
              <a:solidFill>
                <a:srgbClr val="476BEE">
                  <a:alpha val="30000"/>
                </a:srgbClr>
              </a:solidFill>
              <a:ln w="9525">
                <a:solidFill>
                  <a:srgbClr val="476BEE">
                    <a:alpha val="94000"/>
                  </a:srgbClr>
                </a:solidFill>
              </a:ln>
              <a:effectLst>
                <a:outerShdw blurRad="50800" dist="38100" dir="8100000" algn="tr" rotWithShape="0">
                  <a:prstClr val="black">
                    <a:alpha val="40000"/>
                  </a:prstClr>
                </a:outerShdw>
              </a:effectLst>
            </c:spPr>
          </c:marker>
          <c:xVal>
            <c:numRef>
              <c:f>'Prototype 3'!$L$73</c:f>
              <c:numCache>
                <c:formatCode>0%</c:formatCode>
                <c:ptCount val="1"/>
                <c:pt idx="0">
                  <c:v>7.0000000000000007E-2</c:v>
                </c:pt>
              </c:numCache>
            </c:numRef>
          </c:xVal>
          <c:yVal>
            <c:numRef>
              <c:f>'Prototype 3'!$M$73</c:f>
              <c:numCache>
                <c:formatCode>_-[$$-409]* #,##0_ ;_-[$$-409]* \-#,##0\ ;_-[$$-409]* "-"??_ ;_-@_ </c:formatCode>
                <c:ptCount val="1"/>
                <c:pt idx="0">
                  <c:v>8119</c:v>
                </c:pt>
              </c:numCache>
            </c:numRef>
          </c:yVal>
          <c:smooth val="0"/>
          <c:extLst>
            <c:ext xmlns:c16="http://schemas.microsoft.com/office/drawing/2014/chart" uri="{C3380CC4-5D6E-409C-BE32-E72D297353CC}">
              <c16:uniqueId val="{00000004-C15A-4782-9B6C-ADF1043EAB35}"/>
            </c:ext>
          </c:extLst>
        </c:ser>
        <c:ser>
          <c:idx val="3"/>
          <c:order val="4"/>
          <c:spPr>
            <a:ln w="25400" cap="rnd">
              <a:noFill/>
              <a:round/>
            </a:ln>
            <a:effectLst>
              <a:outerShdw blurRad="50800" dist="38100" dir="8100000" algn="tr" rotWithShape="0">
                <a:prstClr val="black">
                  <a:alpha val="40000"/>
                </a:prstClr>
              </a:outerShdw>
            </a:effectLst>
          </c:spPr>
          <c:marker>
            <c:symbol val="circle"/>
            <c:size val="9"/>
            <c:spPr>
              <a:solidFill>
                <a:srgbClr val="8D76FC"/>
              </a:solidFill>
              <a:ln w="9525">
                <a:noFill/>
              </a:ln>
              <a:effectLst>
                <a:outerShdw blurRad="50800" dist="38100" dir="8100000" algn="tr" rotWithShape="0">
                  <a:prstClr val="black">
                    <a:alpha val="40000"/>
                  </a:prstClr>
                </a:outerShdw>
              </a:effectLst>
            </c:spPr>
          </c:marker>
          <c:xVal>
            <c:numRef>
              <c:f>'Prototype 3'!$L$70</c:f>
              <c:numCache>
                <c:formatCode>0%</c:formatCode>
                <c:ptCount val="1"/>
                <c:pt idx="0">
                  <c:v>0.03</c:v>
                </c:pt>
              </c:numCache>
            </c:numRef>
          </c:xVal>
          <c:yVal>
            <c:numRef>
              <c:f>'Prototype 3'!$M$70</c:f>
              <c:numCache>
                <c:formatCode>_-[$$-409]* #,##0_ ;_-[$$-409]* \-#,##0\ ;_-[$$-409]* "-"??_ ;_-@_ </c:formatCode>
                <c:ptCount val="1"/>
                <c:pt idx="0">
                  <c:v>18500</c:v>
                </c:pt>
              </c:numCache>
            </c:numRef>
          </c:yVal>
          <c:smooth val="0"/>
          <c:extLst>
            <c:ext xmlns:c16="http://schemas.microsoft.com/office/drawing/2014/chart" uri="{C3380CC4-5D6E-409C-BE32-E72D297353CC}">
              <c16:uniqueId val="{00000005-C15A-4782-9B6C-ADF1043EAB35}"/>
            </c:ext>
          </c:extLst>
        </c:ser>
        <c:ser>
          <c:idx val="4"/>
          <c:order val="5"/>
          <c:spPr>
            <a:ln w="25400" cap="rnd">
              <a:noFill/>
              <a:round/>
            </a:ln>
            <a:effectLst>
              <a:outerShdw blurRad="50800" dist="38100" dir="8100000" algn="tr" rotWithShape="0">
                <a:prstClr val="black">
                  <a:alpha val="40000"/>
                </a:prstClr>
              </a:outerShdw>
            </a:effectLst>
          </c:spPr>
          <c:marker>
            <c:symbol val="circle"/>
            <c:size val="8"/>
            <c:spPr>
              <a:solidFill>
                <a:srgbClr val="00B7D2"/>
              </a:solidFill>
              <a:ln w="9525">
                <a:noFill/>
              </a:ln>
              <a:effectLst>
                <a:outerShdw blurRad="50800" dist="38100" dir="8100000" algn="tr" rotWithShape="0">
                  <a:prstClr val="black">
                    <a:alpha val="40000"/>
                  </a:prstClr>
                </a:outerShdw>
              </a:effectLst>
            </c:spPr>
          </c:marker>
          <c:xVal>
            <c:numRef>
              <c:f>'Prototype 3'!$L$71</c:f>
              <c:numCache>
                <c:formatCode>0%</c:formatCode>
                <c:ptCount val="1"/>
                <c:pt idx="0">
                  <c:v>9.5000000000000001E-2</c:v>
                </c:pt>
              </c:numCache>
            </c:numRef>
          </c:xVal>
          <c:yVal>
            <c:numRef>
              <c:f>'Prototype 3'!$M$71</c:f>
              <c:numCache>
                <c:formatCode>_-[$$-409]* #,##0_ ;_-[$$-409]* \-#,##0\ ;_-[$$-409]* "-"??_ ;_-@_ </c:formatCode>
                <c:ptCount val="1"/>
                <c:pt idx="0">
                  <c:v>17915</c:v>
                </c:pt>
              </c:numCache>
            </c:numRef>
          </c:yVal>
          <c:smooth val="0"/>
          <c:extLst>
            <c:ext xmlns:c16="http://schemas.microsoft.com/office/drawing/2014/chart" uri="{C3380CC4-5D6E-409C-BE32-E72D297353CC}">
              <c16:uniqueId val="{00000006-C15A-4782-9B6C-ADF1043EAB35}"/>
            </c:ext>
          </c:extLst>
        </c:ser>
        <c:ser>
          <c:idx val="5"/>
          <c:order val="6"/>
          <c:spPr>
            <a:ln w="25400" cap="rnd">
              <a:noFill/>
              <a:round/>
            </a:ln>
            <a:effectLst>
              <a:outerShdw blurRad="50800" dist="38100" dir="8100000" algn="tr" rotWithShape="0">
                <a:prstClr val="black">
                  <a:alpha val="40000"/>
                </a:prstClr>
              </a:outerShdw>
            </a:effectLst>
          </c:spPr>
          <c:marker>
            <c:symbol val="circle"/>
            <c:size val="7"/>
            <c:spPr>
              <a:solidFill>
                <a:srgbClr val="AD27FE"/>
              </a:solidFill>
              <a:ln w="9525">
                <a:noFill/>
              </a:ln>
              <a:effectLst>
                <a:outerShdw blurRad="50800" dist="38100" dir="8100000" algn="tr" rotWithShape="0">
                  <a:prstClr val="black">
                    <a:alpha val="40000"/>
                  </a:prstClr>
                </a:outerShdw>
              </a:effectLst>
            </c:spPr>
          </c:marker>
          <c:xVal>
            <c:numRef>
              <c:f>'Prototype 3'!$L$72</c:f>
              <c:numCache>
                <c:formatCode>0%</c:formatCode>
                <c:ptCount val="1"/>
                <c:pt idx="0">
                  <c:v>0.05</c:v>
                </c:pt>
              </c:numCache>
            </c:numRef>
          </c:xVal>
          <c:yVal>
            <c:numRef>
              <c:f>'Prototype 3'!$M$72</c:f>
              <c:numCache>
                <c:formatCode>_-[$$-409]* #,##0_ ;_-[$$-409]* \-#,##0\ ;_-[$$-409]* "-"??_ ;_-@_ </c:formatCode>
                <c:ptCount val="1"/>
                <c:pt idx="0">
                  <c:v>10000</c:v>
                </c:pt>
              </c:numCache>
            </c:numRef>
          </c:yVal>
          <c:smooth val="0"/>
          <c:extLst>
            <c:ext xmlns:c16="http://schemas.microsoft.com/office/drawing/2014/chart" uri="{C3380CC4-5D6E-409C-BE32-E72D297353CC}">
              <c16:uniqueId val="{00000007-C15A-4782-9B6C-ADF1043EAB35}"/>
            </c:ext>
          </c:extLst>
        </c:ser>
        <c:ser>
          <c:idx val="7"/>
          <c:order val="7"/>
          <c:spPr>
            <a:ln w="25400" cap="rnd">
              <a:noFill/>
              <a:round/>
            </a:ln>
            <a:effectLst>
              <a:outerShdw blurRad="50800" dist="38100" dir="8100000" algn="tr" rotWithShape="0">
                <a:prstClr val="black">
                  <a:alpha val="40000"/>
                </a:prstClr>
              </a:outerShdw>
            </a:effectLst>
          </c:spPr>
          <c:marker>
            <c:symbol val="circle"/>
            <c:size val="5"/>
            <c:spPr>
              <a:solidFill>
                <a:srgbClr val="476BEE"/>
              </a:solidFill>
              <a:ln w="9525">
                <a:noFill/>
              </a:ln>
              <a:effectLst>
                <a:outerShdw blurRad="50800" dist="38100" dir="8100000" algn="tr" rotWithShape="0">
                  <a:prstClr val="black">
                    <a:alpha val="40000"/>
                  </a:prstClr>
                </a:outerShdw>
              </a:effectLst>
            </c:spPr>
          </c:marker>
          <c:xVal>
            <c:numRef>
              <c:f>'Prototype 3'!$L$73</c:f>
              <c:numCache>
                <c:formatCode>0%</c:formatCode>
                <c:ptCount val="1"/>
                <c:pt idx="0">
                  <c:v>7.0000000000000007E-2</c:v>
                </c:pt>
              </c:numCache>
            </c:numRef>
          </c:xVal>
          <c:yVal>
            <c:numRef>
              <c:f>'Prototype 3'!$M$73</c:f>
              <c:numCache>
                <c:formatCode>_-[$$-409]* #,##0_ ;_-[$$-409]* \-#,##0\ ;_-[$$-409]* "-"??_ ;_-@_ </c:formatCode>
                <c:ptCount val="1"/>
                <c:pt idx="0">
                  <c:v>8119</c:v>
                </c:pt>
              </c:numCache>
            </c:numRef>
          </c:yVal>
          <c:smooth val="0"/>
          <c:extLst>
            <c:ext xmlns:c16="http://schemas.microsoft.com/office/drawing/2014/chart" uri="{C3380CC4-5D6E-409C-BE32-E72D297353CC}">
              <c16:uniqueId val="{00000008-C15A-4782-9B6C-ADF1043EAB35}"/>
            </c:ext>
          </c:extLst>
        </c:ser>
        <c:dLbls>
          <c:showLegendKey val="0"/>
          <c:showVal val="0"/>
          <c:showCatName val="0"/>
          <c:showSerName val="0"/>
          <c:showPercent val="0"/>
          <c:showBubbleSize val="0"/>
        </c:dLbls>
        <c:axId val="2108640815"/>
        <c:axId val="363615919"/>
      </c:scatterChart>
      <c:valAx>
        <c:axId val="2108640815"/>
        <c:scaling>
          <c:orientation val="minMax"/>
        </c:scaling>
        <c:delete val="1"/>
        <c:axPos val="b"/>
        <c:numFmt formatCode="0%" sourceLinked="1"/>
        <c:majorTickMark val="out"/>
        <c:minorTickMark val="none"/>
        <c:tickLblPos val="nextTo"/>
        <c:crossAx val="363615919"/>
        <c:crosses val="autoZero"/>
        <c:crossBetween val="midCat"/>
      </c:valAx>
      <c:valAx>
        <c:axId val="363615919"/>
        <c:scaling>
          <c:orientation val="minMax"/>
        </c:scaling>
        <c:delete val="1"/>
        <c:axPos val="l"/>
        <c:numFmt formatCode="_-[$$-409]* #,##0_ ;_-[$$-409]* \-#,##0\ ;_-[$$-409]* &quot;-&quot;??_ ;_-@_ " sourceLinked="1"/>
        <c:majorTickMark val="out"/>
        <c:minorTickMark val="none"/>
        <c:tickLblPos val="nextTo"/>
        <c:crossAx val="2108640815"/>
        <c:crosses val="autoZero"/>
        <c:crossBetween val="midCat"/>
      </c:valAx>
      <c:spPr>
        <a:noFill/>
      </c:spPr>
    </c:plotArea>
    <c:legend>
      <c:legendPos val="r"/>
      <c:legendEntry>
        <c:idx val="4"/>
        <c:delete val="1"/>
      </c:legendEntry>
      <c:legendEntry>
        <c:idx val="5"/>
        <c:delete val="1"/>
      </c:legendEntry>
      <c:legendEntry>
        <c:idx val="6"/>
        <c:delete val="1"/>
      </c:legendEntry>
      <c:legendEntry>
        <c:idx val="7"/>
        <c:delete val="1"/>
      </c:legendEntry>
      <c:layout>
        <c:manualLayout>
          <c:xMode val="edge"/>
          <c:yMode val="edge"/>
          <c:x val="0"/>
          <c:y val="0.4405033861508052"/>
          <c:w val="0.42926081571264274"/>
          <c:h val="0.46940045415671355"/>
        </c:manualLayout>
      </c:layout>
      <c:overlay val="0"/>
      <c:txPr>
        <a:bodyPr/>
        <a:lstStyle/>
        <a:p>
          <a:pPr>
            <a:defRPr sz="800">
              <a:solidFill>
                <a:schemeClr val="tx2">
                  <a:lumMod val="25000"/>
                  <a:lumOff val="75000"/>
                </a:schemeClr>
              </a:solidFill>
            </a:defRPr>
          </a:pPr>
          <a:endParaRPr lang="ru-RU"/>
        </a:p>
      </c:txPr>
    </c:legend>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13754055821972699"/>
          <c:y val="0.1640645596640139"/>
          <c:w val="0.77993510684843681"/>
          <c:h val="0.63998383816361726"/>
        </c:manualLayout>
      </c:layout>
      <c:doughnutChart>
        <c:varyColors val="1"/>
        <c:ser>
          <c:idx val="0"/>
          <c:order val="0"/>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09-DAE6-477E-B568-B23BB65D4C01}"/>
              </c:ext>
            </c:extLst>
          </c:dPt>
          <c:dPt>
            <c:idx val="1"/>
            <c:bubble3D val="0"/>
            <c:spPr>
              <a:solidFill>
                <a:srgbClr val="8199F3"/>
              </a:solidFill>
              <a:ln w="19050">
                <a:noFill/>
              </a:ln>
              <a:effectLst/>
            </c:spPr>
            <c:extLst>
              <c:ext xmlns:c16="http://schemas.microsoft.com/office/drawing/2014/chart" uri="{C3380CC4-5D6E-409C-BE32-E72D297353CC}">
                <c16:uniqueId val="{0000000B-DAE6-477E-B568-B23BB65D4C01}"/>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0D-DAE6-477E-B568-B23BB65D4C01}"/>
              </c:ext>
            </c:extLst>
          </c:dPt>
          <c:dPt>
            <c:idx val="3"/>
            <c:bubble3D val="0"/>
            <c:spPr>
              <a:noFill/>
              <a:ln w="19050">
                <a:noFill/>
              </a:ln>
              <a:effectLst/>
            </c:spPr>
            <c:extLst>
              <c:ext xmlns:c16="http://schemas.microsoft.com/office/drawing/2014/chart" uri="{C3380CC4-5D6E-409C-BE32-E72D297353CC}">
                <c16:uniqueId val="{0000000F-DAE6-477E-B568-B23BB65D4C01}"/>
              </c:ext>
            </c:extLst>
          </c:dPt>
          <c:val>
            <c:numRef>
              <c:f>'Prototype 3'!$B$78:$B$81</c:f>
              <c:numCache>
                <c:formatCode>0%</c:formatCode>
                <c:ptCount val="4"/>
                <c:pt idx="0">
                  <c:v>0.30088311688311692</c:v>
                </c:pt>
                <c:pt idx="1">
                  <c:v>8.872727272727271E-2</c:v>
                </c:pt>
                <c:pt idx="2">
                  <c:v>0.61038961038961037</c:v>
                </c:pt>
                <c:pt idx="3">
                  <c:v>0.34</c:v>
                </c:pt>
              </c:numCache>
            </c:numRef>
          </c:val>
          <c:extLst>
            <c:ext xmlns:c16="http://schemas.microsoft.com/office/drawing/2014/chart" uri="{C3380CC4-5D6E-409C-BE32-E72D297353CC}">
              <c16:uniqueId val="{00000010-DAE6-477E-B568-B23BB65D4C01}"/>
            </c:ext>
          </c:extLst>
        </c:ser>
        <c:ser>
          <c:idx val="1"/>
          <c:order val="1"/>
          <c:spPr>
            <a:ln>
              <a:noFill/>
            </a:ln>
          </c:spPr>
          <c:dPt>
            <c:idx val="0"/>
            <c:bubble3D val="0"/>
            <c:spPr>
              <a:noFill/>
              <a:ln w="19050">
                <a:noFill/>
              </a:ln>
              <a:effectLst/>
            </c:spPr>
            <c:extLst>
              <c:ext xmlns:c16="http://schemas.microsoft.com/office/drawing/2014/chart" uri="{C3380CC4-5D6E-409C-BE32-E72D297353CC}">
                <c16:uniqueId val="{00000013-DAE6-477E-B568-B23BB65D4C01}"/>
              </c:ext>
            </c:extLst>
          </c:dPt>
          <c:dPt>
            <c:idx val="1"/>
            <c:bubble3D val="0"/>
            <c:spPr>
              <a:noFill/>
              <a:ln w="19050">
                <a:noFill/>
              </a:ln>
              <a:effectLst/>
            </c:spPr>
            <c:extLst>
              <c:ext xmlns:c16="http://schemas.microsoft.com/office/drawing/2014/chart" uri="{C3380CC4-5D6E-409C-BE32-E72D297353CC}">
                <c16:uniqueId val="{00000015-DAE6-477E-B568-B23BB65D4C01}"/>
              </c:ext>
            </c:extLst>
          </c:dPt>
          <c:dPt>
            <c:idx val="2"/>
            <c:bubble3D val="0"/>
            <c:spPr>
              <a:noFill/>
              <a:ln w="19050">
                <a:noFill/>
              </a:ln>
              <a:effectLst/>
            </c:spPr>
            <c:extLst>
              <c:ext xmlns:c16="http://schemas.microsoft.com/office/drawing/2014/chart" uri="{C3380CC4-5D6E-409C-BE32-E72D297353CC}">
                <c16:uniqueId val="{00000017-DAE6-477E-B568-B23BB65D4C01}"/>
              </c:ext>
            </c:extLst>
          </c:dPt>
          <c:dPt>
            <c:idx val="3"/>
            <c:bubble3D val="0"/>
            <c:spPr>
              <a:noFill/>
              <a:ln w="19050">
                <a:noFill/>
              </a:ln>
              <a:effectLst/>
            </c:spPr>
            <c:extLst>
              <c:ext xmlns:c16="http://schemas.microsoft.com/office/drawing/2014/chart" uri="{C3380CC4-5D6E-409C-BE32-E72D297353CC}">
                <c16:uniqueId val="{00000019-DAE6-477E-B568-B23BB65D4C01}"/>
              </c:ext>
            </c:extLst>
          </c:dPt>
          <c:val>
            <c:numRef>
              <c:f>'Prototype 3'!$C$78:$C$81</c:f>
              <c:numCache>
                <c:formatCode>0%</c:formatCode>
                <c:ptCount val="4"/>
                <c:pt idx="0">
                  <c:v>0.30088311688311692</c:v>
                </c:pt>
                <c:pt idx="1">
                  <c:v>8.872727272727271E-2</c:v>
                </c:pt>
                <c:pt idx="2">
                  <c:v>0.61038961038961037</c:v>
                </c:pt>
                <c:pt idx="3">
                  <c:v>0.34</c:v>
                </c:pt>
              </c:numCache>
            </c:numRef>
          </c:val>
          <c:extLst>
            <c:ext xmlns:c16="http://schemas.microsoft.com/office/drawing/2014/chart" uri="{C3380CC4-5D6E-409C-BE32-E72D297353CC}">
              <c16:uniqueId val="{0000001A-DAE6-477E-B568-B23BB65D4C01}"/>
            </c:ext>
          </c:extLst>
        </c:ser>
        <c:ser>
          <c:idx val="2"/>
          <c:order val="2"/>
          <c:spPr>
            <a:ln>
              <a:noFill/>
            </a:ln>
          </c:spPr>
          <c:dPt>
            <c:idx val="0"/>
            <c:bubble3D val="0"/>
            <c:spPr>
              <a:gradFill>
                <a:gsLst>
                  <a:gs pos="0">
                    <a:srgbClr val="476BEE"/>
                  </a:gs>
                  <a:gs pos="100000">
                    <a:srgbClr val="3A5CE2"/>
                  </a:gs>
                </a:gsLst>
                <a:lin ang="5400000" scaled="1"/>
              </a:gradFill>
              <a:ln w="19050">
                <a:noFill/>
              </a:ln>
              <a:effectLst>
                <a:outerShdw blurRad="50800" dist="38100" dir="10800000" algn="r" rotWithShape="0">
                  <a:prstClr val="black">
                    <a:alpha val="40000"/>
                  </a:prstClr>
                </a:outerShdw>
              </a:effectLst>
            </c:spPr>
            <c:extLst>
              <c:ext xmlns:c16="http://schemas.microsoft.com/office/drawing/2014/chart" uri="{C3380CC4-5D6E-409C-BE32-E72D297353CC}">
                <c16:uniqueId val="{0000001D-DAE6-477E-B568-B23BB65D4C01}"/>
              </c:ext>
            </c:extLst>
          </c:dPt>
          <c:dPt>
            <c:idx val="1"/>
            <c:bubble3D val="0"/>
            <c:spPr>
              <a:solidFill>
                <a:srgbClr val="8199F3"/>
              </a:solidFill>
              <a:ln w="19050">
                <a:noFill/>
              </a:ln>
              <a:effectLst/>
            </c:spPr>
            <c:extLst>
              <c:ext xmlns:c16="http://schemas.microsoft.com/office/drawing/2014/chart" uri="{C3380CC4-5D6E-409C-BE32-E72D297353CC}">
                <c16:uniqueId val="{0000001F-DAE6-477E-B568-B23BB65D4C01}"/>
              </c:ext>
            </c:extLst>
          </c:dPt>
          <c:dPt>
            <c:idx val="2"/>
            <c:bubble3D val="0"/>
            <c:spPr>
              <a:solidFill>
                <a:srgbClr val="CAD4FA">
                  <a:alpha val="20000"/>
                </a:srgbClr>
              </a:solidFill>
              <a:ln w="19050">
                <a:noFill/>
              </a:ln>
              <a:effectLst/>
            </c:spPr>
            <c:extLst>
              <c:ext xmlns:c16="http://schemas.microsoft.com/office/drawing/2014/chart" uri="{C3380CC4-5D6E-409C-BE32-E72D297353CC}">
                <c16:uniqueId val="{00000021-DAE6-477E-B568-B23BB65D4C01}"/>
              </c:ext>
            </c:extLst>
          </c:dPt>
          <c:dPt>
            <c:idx val="3"/>
            <c:bubble3D val="0"/>
            <c:spPr>
              <a:noFill/>
              <a:ln w="19050">
                <a:noFill/>
              </a:ln>
              <a:effectLst/>
            </c:spPr>
            <c:extLst>
              <c:ext xmlns:c16="http://schemas.microsoft.com/office/drawing/2014/chart" uri="{C3380CC4-5D6E-409C-BE32-E72D297353CC}">
                <c16:uniqueId val="{00000023-DAE6-477E-B568-B23BB65D4C01}"/>
              </c:ext>
            </c:extLst>
          </c:dPt>
          <c:val>
            <c:numRef>
              <c:f>'Prototype 3'!$D$78:$D$81</c:f>
              <c:numCache>
                <c:formatCode>0%</c:formatCode>
                <c:ptCount val="4"/>
                <c:pt idx="0">
                  <c:v>0.45271428571428574</c:v>
                </c:pt>
                <c:pt idx="1">
                  <c:v>0.30053246753246754</c:v>
                </c:pt>
                <c:pt idx="2">
                  <c:v>0.24675324675324672</c:v>
                </c:pt>
                <c:pt idx="3">
                  <c:v>0.34</c:v>
                </c:pt>
              </c:numCache>
            </c:numRef>
          </c:val>
          <c:extLst>
            <c:ext xmlns:c16="http://schemas.microsoft.com/office/drawing/2014/chart" uri="{C3380CC4-5D6E-409C-BE32-E72D297353CC}">
              <c16:uniqueId val="{00000024-DAE6-477E-B568-B23BB65D4C01}"/>
            </c:ext>
          </c:extLst>
        </c:ser>
        <c:ser>
          <c:idx val="3"/>
          <c:order val="3"/>
          <c:spPr>
            <a:noFill/>
            <a:ln>
              <a:noFill/>
            </a:ln>
          </c:spPr>
          <c:dPt>
            <c:idx val="0"/>
            <c:bubble3D val="0"/>
            <c:spPr>
              <a:noFill/>
              <a:ln w="19050">
                <a:noFill/>
              </a:ln>
              <a:effectLst/>
            </c:spPr>
            <c:extLst>
              <c:ext xmlns:c16="http://schemas.microsoft.com/office/drawing/2014/chart" uri="{C3380CC4-5D6E-409C-BE32-E72D297353CC}">
                <c16:uniqueId val="{00000027-DAE6-477E-B568-B23BB65D4C01}"/>
              </c:ext>
            </c:extLst>
          </c:dPt>
          <c:dPt>
            <c:idx val="1"/>
            <c:bubble3D val="0"/>
            <c:spPr>
              <a:noFill/>
              <a:ln w="19050">
                <a:noFill/>
              </a:ln>
              <a:effectLst/>
            </c:spPr>
            <c:extLst>
              <c:ext xmlns:c16="http://schemas.microsoft.com/office/drawing/2014/chart" uri="{C3380CC4-5D6E-409C-BE32-E72D297353CC}">
                <c16:uniqueId val="{00000029-DAE6-477E-B568-B23BB65D4C01}"/>
              </c:ext>
            </c:extLst>
          </c:dPt>
          <c:dPt>
            <c:idx val="2"/>
            <c:bubble3D val="0"/>
            <c:spPr>
              <a:noFill/>
              <a:ln w="19050">
                <a:noFill/>
              </a:ln>
              <a:effectLst/>
            </c:spPr>
            <c:extLst>
              <c:ext xmlns:c16="http://schemas.microsoft.com/office/drawing/2014/chart" uri="{C3380CC4-5D6E-409C-BE32-E72D297353CC}">
                <c16:uniqueId val="{0000002B-DAE6-477E-B568-B23BB65D4C01}"/>
              </c:ext>
            </c:extLst>
          </c:dPt>
          <c:dPt>
            <c:idx val="3"/>
            <c:bubble3D val="0"/>
            <c:spPr>
              <a:noFill/>
              <a:ln w="19050">
                <a:noFill/>
              </a:ln>
              <a:effectLst/>
            </c:spPr>
            <c:extLst>
              <c:ext xmlns:c16="http://schemas.microsoft.com/office/drawing/2014/chart" uri="{C3380CC4-5D6E-409C-BE32-E72D297353CC}">
                <c16:uniqueId val="{0000002D-DAE6-477E-B568-B23BB65D4C01}"/>
              </c:ext>
            </c:extLst>
          </c:dPt>
          <c:val>
            <c:numRef>
              <c:f>'Prototype 3'!$E$78:$E$81</c:f>
              <c:numCache>
                <c:formatCode>0%</c:formatCode>
                <c:ptCount val="4"/>
                <c:pt idx="0">
                  <c:v>0.45271428571428574</c:v>
                </c:pt>
                <c:pt idx="1">
                  <c:v>0.30053246753246754</c:v>
                </c:pt>
                <c:pt idx="2">
                  <c:v>0.24675324675324672</c:v>
                </c:pt>
                <c:pt idx="3">
                  <c:v>0.34</c:v>
                </c:pt>
              </c:numCache>
            </c:numRef>
          </c:val>
          <c:extLst>
            <c:ext xmlns:c16="http://schemas.microsoft.com/office/drawing/2014/chart" uri="{C3380CC4-5D6E-409C-BE32-E72D297353CC}">
              <c16:uniqueId val="{0000002E-DAE6-477E-B568-B23BB65D4C01}"/>
            </c:ext>
          </c:extLst>
        </c:ser>
        <c:ser>
          <c:idx val="4"/>
          <c:order val="4"/>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31-DAE6-477E-B568-B23BB65D4C01}"/>
              </c:ext>
            </c:extLst>
          </c:dPt>
          <c:dPt>
            <c:idx val="1"/>
            <c:bubble3D val="0"/>
            <c:spPr>
              <a:solidFill>
                <a:srgbClr val="8199F3"/>
              </a:solidFill>
              <a:effectLst/>
            </c:spPr>
            <c:extLst>
              <c:ext xmlns:c16="http://schemas.microsoft.com/office/drawing/2014/chart" uri="{C3380CC4-5D6E-409C-BE32-E72D297353CC}">
                <c16:uniqueId val="{00000033-DAE6-477E-B568-B23BB65D4C01}"/>
              </c:ext>
            </c:extLst>
          </c:dPt>
          <c:dPt>
            <c:idx val="2"/>
            <c:bubble3D val="0"/>
            <c:spPr>
              <a:solidFill>
                <a:srgbClr val="CAD4FA">
                  <a:alpha val="20000"/>
                </a:srgbClr>
              </a:solidFill>
              <a:effectLst/>
            </c:spPr>
            <c:extLst>
              <c:ext xmlns:c16="http://schemas.microsoft.com/office/drawing/2014/chart" uri="{C3380CC4-5D6E-409C-BE32-E72D297353CC}">
                <c16:uniqueId val="{00000035-DAE6-477E-B568-B23BB65D4C01}"/>
              </c:ext>
            </c:extLst>
          </c:dPt>
          <c:dPt>
            <c:idx val="3"/>
            <c:bubble3D val="0"/>
            <c:spPr>
              <a:noFill/>
              <a:effectLst/>
            </c:spPr>
            <c:extLst>
              <c:ext xmlns:c16="http://schemas.microsoft.com/office/drawing/2014/chart" uri="{C3380CC4-5D6E-409C-BE32-E72D297353CC}">
                <c16:uniqueId val="{00000037-DAE6-477E-B568-B23BB65D4C01}"/>
              </c:ext>
            </c:extLst>
          </c:dPt>
          <c:val>
            <c:numRef>
              <c:f>'Prototype 3'!$F$78:$F$81</c:f>
              <c:numCache>
                <c:formatCode>0%</c:formatCode>
                <c:ptCount val="4"/>
                <c:pt idx="0">
                  <c:v>0.61906493506493498</c:v>
                </c:pt>
                <c:pt idx="1">
                  <c:v>0.22509090909090912</c:v>
                </c:pt>
                <c:pt idx="2">
                  <c:v>0.1558441558441559</c:v>
                </c:pt>
                <c:pt idx="3">
                  <c:v>0.34</c:v>
                </c:pt>
              </c:numCache>
            </c:numRef>
          </c:val>
          <c:extLst>
            <c:ext xmlns:c16="http://schemas.microsoft.com/office/drawing/2014/chart" uri="{C3380CC4-5D6E-409C-BE32-E72D297353CC}">
              <c16:uniqueId val="{00000038-DAE6-477E-B568-B23BB65D4C01}"/>
            </c:ext>
          </c:extLst>
        </c:ser>
        <c:ser>
          <c:idx val="5"/>
          <c:order val="5"/>
          <c:spPr>
            <a:noFill/>
          </c:spPr>
          <c:dPt>
            <c:idx val="0"/>
            <c:bubble3D val="0"/>
            <c:spPr>
              <a:noFill/>
              <a:effectLst/>
            </c:spPr>
            <c:extLst>
              <c:ext xmlns:c16="http://schemas.microsoft.com/office/drawing/2014/chart" uri="{C3380CC4-5D6E-409C-BE32-E72D297353CC}">
                <c16:uniqueId val="{0000003B-DAE6-477E-B568-B23BB65D4C01}"/>
              </c:ext>
            </c:extLst>
          </c:dPt>
          <c:dPt>
            <c:idx val="1"/>
            <c:bubble3D val="0"/>
            <c:spPr>
              <a:noFill/>
              <a:effectLst/>
            </c:spPr>
            <c:extLst>
              <c:ext xmlns:c16="http://schemas.microsoft.com/office/drawing/2014/chart" uri="{C3380CC4-5D6E-409C-BE32-E72D297353CC}">
                <c16:uniqueId val="{0000003D-DAE6-477E-B568-B23BB65D4C01}"/>
              </c:ext>
            </c:extLst>
          </c:dPt>
          <c:dPt>
            <c:idx val="2"/>
            <c:bubble3D val="0"/>
            <c:spPr>
              <a:noFill/>
              <a:effectLst/>
            </c:spPr>
            <c:extLst>
              <c:ext xmlns:c16="http://schemas.microsoft.com/office/drawing/2014/chart" uri="{C3380CC4-5D6E-409C-BE32-E72D297353CC}">
                <c16:uniqueId val="{0000003F-DAE6-477E-B568-B23BB65D4C01}"/>
              </c:ext>
            </c:extLst>
          </c:dPt>
          <c:dPt>
            <c:idx val="3"/>
            <c:bubble3D val="0"/>
            <c:spPr>
              <a:noFill/>
              <a:effectLst/>
            </c:spPr>
            <c:extLst>
              <c:ext xmlns:c16="http://schemas.microsoft.com/office/drawing/2014/chart" uri="{C3380CC4-5D6E-409C-BE32-E72D297353CC}">
                <c16:uniqueId val="{00000041-DAE6-477E-B568-B23BB65D4C01}"/>
              </c:ext>
            </c:extLst>
          </c:dPt>
          <c:val>
            <c:numRef>
              <c:f>'Prototype 3'!$G$78:$G$81</c:f>
              <c:numCache>
                <c:formatCode>0%</c:formatCode>
                <c:ptCount val="4"/>
                <c:pt idx="0">
                  <c:v>0.61906493506493498</c:v>
                </c:pt>
                <c:pt idx="1">
                  <c:v>0.22509090909090912</c:v>
                </c:pt>
                <c:pt idx="2">
                  <c:v>0.1558441558441559</c:v>
                </c:pt>
                <c:pt idx="3">
                  <c:v>0.34</c:v>
                </c:pt>
              </c:numCache>
            </c:numRef>
          </c:val>
          <c:extLst>
            <c:ext xmlns:c16="http://schemas.microsoft.com/office/drawing/2014/chart" uri="{C3380CC4-5D6E-409C-BE32-E72D297353CC}">
              <c16:uniqueId val="{00000042-DAE6-477E-B568-B23BB65D4C01}"/>
            </c:ext>
          </c:extLst>
        </c:ser>
        <c:ser>
          <c:idx val="6"/>
          <c:order val="6"/>
          <c:dPt>
            <c:idx val="0"/>
            <c:bubble3D val="0"/>
            <c:spPr>
              <a:gradFill>
                <a:gsLst>
                  <a:gs pos="0">
                    <a:srgbClr val="476BEE"/>
                  </a:gs>
                  <a:gs pos="100000">
                    <a:srgbClr val="3A5CE2"/>
                  </a:gs>
                </a:gsLst>
                <a:lin ang="5400000" scaled="1"/>
              </a:gradFill>
              <a:effectLst>
                <a:outerShdw blurRad="50800" dist="38100" dir="10800000" algn="r" rotWithShape="0">
                  <a:prstClr val="black">
                    <a:alpha val="40000"/>
                  </a:prstClr>
                </a:outerShdw>
              </a:effectLst>
            </c:spPr>
            <c:extLst>
              <c:ext xmlns:c16="http://schemas.microsoft.com/office/drawing/2014/chart" uri="{C3380CC4-5D6E-409C-BE32-E72D297353CC}">
                <c16:uniqueId val="{00000045-DAE6-477E-B568-B23BB65D4C01}"/>
              </c:ext>
            </c:extLst>
          </c:dPt>
          <c:dPt>
            <c:idx val="1"/>
            <c:bubble3D val="0"/>
            <c:spPr>
              <a:solidFill>
                <a:srgbClr val="8199F3"/>
              </a:solidFill>
              <a:effectLst/>
            </c:spPr>
            <c:extLst>
              <c:ext xmlns:c16="http://schemas.microsoft.com/office/drawing/2014/chart" uri="{C3380CC4-5D6E-409C-BE32-E72D297353CC}">
                <c16:uniqueId val="{00000047-DAE6-477E-B568-B23BB65D4C01}"/>
              </c:ext>
            </c:extLst>
          </c:dPt>
          <c:dPt>
            <c:idx val="2"/>
            <c:bubble3D val="0"/>
            <c:spPr>
              <a:solidFill>
                <a:srgbClr val="DABEF7">
                  <a:alpha val="20000"/>
                </a:srgbClr>
              </a:solidFill>
              <a:effectLst/>
            </c:spPr>
            <c:extLst>
              <c:ext xmlns:c16="http://schemas.microsoft.com/office/drawing/2014/chart" uri="{C3380CC4-5D6E-409C-BE32-E72D297353CC}">
                <c16:uniqueId val="{00000049-DAE6-477E-B568-B23BB65D4C01}"/>
              </c:ext>
            </c:extLst>
          </c:dPt>
          <c:dPt>
            <c:idx val="3"/>
            <c:bubble3D val="0"/>
            <c:spPr>
              <a:noFill/>
              <a:effectLst/>
            </c:spPr>
            <c:extLst>
              <c:ext xmlns:c16="http://schemas.microsoft.com/office/drawing/2014/chart" uri="{C3380CC4-5D6E-409C-BE32-E72D297353CC}">
                <c16:uniqueId val="{0000004B-DAE6-477E-B568-B23BB65D4C01}"/>
              </c:ext>
            </c:extLst>
          </c:dPt>
          <c:val>
            <c:numRef>
              <c:f>'Prototype 3'!$H$78:$H$81</c:f>
              <c:numCache>
                <c:formatCode>0%</c:formatCode>
                <c:ptCount val="4"/>
                <c:pt idx="0">
                  <c:v>0.79076623376623378</c:v>
                </c:pt>
                <c:pt idx="1">
                  <c:v>0.20923376623376622</c:v>
                </c:pt>
                <c:pt idx="2">
                  <c:v>0</c:v>
                </c:pt>
                <c:pt idx="3">
                  <c:v>0.34</c:v>
                </c:pt>
              </c:numCache>
            </c:numRef>
          </c:val>
          <c:extLst>
            <c:ext xmlns:c16="http://schemas.microsoft.com/office/drawing/2014/chart" uri="{C3380CC4-5D6E-409C-BE32-E72D297353CC}">
              <c16:uniqueId val="{0000004C-DAE6-477E-B568-B23BB65D4C01}"/>
            </c:ext>
          </c:extLst>
        </c:ser>
        <c:dLbls>
          <c:showLegendKey val="0"/>
          <c:showVal val="0"/>
          <c:showCatName val="0"/>
          <c:showSerName val="0"/>
          <c:showPercent val="0"/>
          <c:showBubbleSize val="0"/>
          <c:showLeaderLines val="1"/>
        </c:dLbls>
        <c:firstSliceAng val="0"/>
        <c:holeSize val="50"/>
      </c:doughnutChart>
    </c:plotArea>
    <c:plotVisOnly val="1"/>
    <c:dispBlanksAs val="gap"/>
    <c:showDLblsOverMax val="0"/>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Processing!$K$16</c:f>
              <c:strCache>
                <c:ptCount val="1"/>
                <c:pt idx="0">
                  <c:v>back</c:v>
                </c:pt>
              </c:strCache>
            </c:strRef>
          </c:tx>
          <c:spPr>
            <a:solidFill>
              <a:schemeClr val="accent1"/>
            </a:solidFill>
            <a:ln w="19050">
              <a:solidFill>
                <a:srgbClr val="0A002F"/>
              </a:solidFill>
            </a:ln>
            <a:effectLst/>
          </c:spPr>
          <c:invertIfNegative val="0"/>
          <c:dPt>
            <c:idx val="0"/>
            <c:invertIfNegative val="0"/>
            <c:bubble3D val="0"/>
            <c:spPr>
              <a:solidFill>
                <a:srgbClr val="54EBA5"/>
              </a:solidFill>
              <a:ln w="19050">
                <a:solidFill>
                  <a:srgbClr val="0A002F"/>
                </a:solidFill>
              </a:ln>
              <a:effectLst/>
            </c:spPr>
            <c:extLst>
              <c:ext xmlns:c16="http://schemas.microsoft.com/office/drawing/2014/chart" uri="{C3380CC4-5D6E-409C-BE32-E72D297353CC}">
                <c16:uniqueId val="{00000001-60CA-4761-B341-2E9701537A73}"/>
              </c:ext>
            </c:extLst>
          </c:dPt>
          <c:dPt>
            <c:idx val="1"/>
            <c:invertIfNegative val="0"/>
            <c:bubble3D val="0"/>
            <c:spPr>
              <a:solidFill>
                <a:srgbClr val="54EBA5"/>
              </a:solidFill>
              <a:ln w="19050">
                <a:solidFill>
                  <a:srgbClr val="0A002F"/>
                </a:solidFill>
              </a:ln>
              <a:effectLst/>
            </c:spPr>
            <c:extLst>
              <c:ext xmlns:c16="http://schemas.microsoft.com/office/drawing/2014/chart" uri="{C3380CC4-5D6E-409C-BE32-E72D297353CC}">
                <c16:uniqueId val="{00000003-60CA-4761-B341-2E9701537A73}"/>
              </c:ext>
            </c:extLst>
          </c:dPt>
          <c:dPt>
            <c:idx val="2"/>
            <c:invertIfNegative val="0"/>
            <c:bubble3D val="0"/>
            <c:spPr>
              <a:solidFill>
                <a:srgbClr val="7B5EFD"/>
              </a:solidFill>
              <a:ln w="19050">
                <a:solidFill>
                  <a:srgbClr val="0A002F"/>
                </a:solidFill>
              </a:ln>
              <a:effectLst/>
            </c:spPr>
            <c:extLst>
              <c:ext xmlns:c16="http://schemas.microsoft.com/office/drawing/2014/chart" uri="{C3380CC4-5D6E-409C-BE32-E72D297353CC}">
                <c16:uniqueId val="{00000005-60CA-4761-B341-2E9701537A73}"/>
              </c:ext>
            </c:extLst>
          </c:dPt>
          <c:dPt>
            <c:idx val="3"/>
            <c:invertIfNegative val="0"/>
            <c:bubble3D val="0"/>
            <c:spPr>
              <a:solidFill>
                <a:srgbClr val="FD447B"/>
              </a:solidFill>
              <a:ln w="19050">
                <a:solidFill>
                  <a:srgbClr val="0A002F"/>
                </a:solidFill>
              </a:ln>
              <a:effectLst/>
            </c:spPr>
            <c:extLst>
              <c:ext xmlns:c16="http://schemas.microsoft.com/office/drawing/2014/chart" uri="{C3380CC4-5D6E-409C-BE32-E72D297353CC}">
                <c16:uniqueId val="{00000007-60CA-4761-B341-2E9701537A73}"/>
              </c:ext>
            </c:extLst>
          </c:dPt>
          <c:val>
            <c:numRef>
              <c:f>Processing!$K$17:$K$20</c:f>
              <c:numCache>
                <c:formatCode>General</c:formatCode>
                <c:ptCount val="4"/>
                <c:pt idx="0">
                  <c:v>10</c:v>
                </c:pt>
                <c:pt idx="1">
                  <c:v>10</c:v>
                </c:pt>
                <c:pt idx="2">
                  <c:v>10</c:v>
                </c:pt>
                <c:pt idx="3">
                  <c:v>10</c:v>
                </c:pt>
              </c:numCache>
            </c:numRef>
          </c:val>
          <c:extLst>
            <c:ext xmlns:c16="http://schemas.microsoft.com/office/drawing/2014/chart" uri="{C3380CC4-5D6E-409C-BE32-E72D297353CC}">
              <c16:uniqueId val="{00000008-60CA-4761-B341-2E9701537A73}"/>
            </c:ext>
          </c:extLst>
        </c:ser>
        <c:dLbls>
          <c:showLegendKey val="0"/>
          <c:showVal val="0"/>
          <c:showCatName val="0"/>
          <c:showSerName val="0"/>
          <c:showPercent val="0"/>
          <c:showBubbleSize val="0"/>
        </c:dLbls>
        <c:gapWidth val="0"/>
        <c:overlap val="-27"/>
        <c:axId val="1050108047"/>
        <c:axId val="1050108527"/>
      </c:barChart>
      <c:catAx>
        <c:axId val="1050108047"/>
        <c:scaling>
          <c:orientation val="minMax"/>
        </c:scaling>
        <c:delete val="1"/>
        <c:axPos val="b"/>
        <c:majorTickMark val="none"/>
        <c:minorTickMark val="none"/>
        <c:tickLblPos val="nextTo"/>
        <c:crossAx val="1050108527"/>
        <c:crosses val="autoZero"/>
        <c:auto val="1"/>
        <c:lblAlgn val="ctr"/>
        <c:lblOffset val="100"/>
        <c:noMultiLvlLbl val="0"/>
      </c:catAx>
      <c:valAx>
        <c:axId val="1050108527"/>
        <c:scaling>
          <c:orientation val="minMax"/>
          <c:max val="10"/>
          <c:min val="0"/>
        </c:scaling>
        <c:delete val="1"/>
        <c:axPos val="l"/>
        <c:numFmt formatCode="General" sourceLinked="1"/>
        <c:majorTickMark val="none"/>
        <c:minorTickMark val="none"/>
        <c:tickLblPos val="nextTo"/>
        <c:crossAx val="1050108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Processing!$I$16</c:f>
              <c:strCache>
                <c:ptCount val="1"/>
                <c:pt idx="0">
                  <c:v>Sprint</c:v>
                </c:pt>
              </c:strCache>
            </c:strRef>
          </c:tx>
          <c:spPr>
            <a:ln>
              <a:solidFill>
                <a:srgbClr val="0A002F"/>
              </a:solidFill>
            </a:ln>
          </c:spPr>
          <c:dPt>
            <c:idx val="0"/>
            <c:bubble3D val="0"/>
            <c:spPr>
              <a:solidFill>
                <a:srgbClr val="0084FF"/>
              </a:solidFill>
              <a:ln w="19050">
                <a:solidFill>
                  <a:srgbClr val="0A002F"/>
                </a:solidFill>
              </a:ln>
              <a:effectLst/>
            </c:spPr>
            <c:extLst>
              <c:ext xmlns:c16="http://schemas.microsoft.com/office/drawing/2014/chart" uri="{C3380CC4-5D6E-409C-BE32-E72D297353CC}">
                <c16:uniqueId val="{00000001-17BE-4BD3-836D-9E232CB6A0BA}"/>
              </c:ext>
            </c:extLst>
          </c:dPt>
          <c:dPt>
            <c:idx val="1"/>
            <c:bubble3D val="0"/>
            <c:spPr>
              <a:solidFill>
                <a:srgbClr val="D922C7"/>
              </a:solidFill>
              <a:ln w="19050">
                <a:solidFill>
                  <a:srgbClr val="0A002F"/>
                </a:solidFill>
              </a:ln>
              <a:effectLst/>
            </c:spPr>
            <c:extLst>
              <c:ext xmlns:c16="http://schemas.microsoft.com/office/drawing/2014/chart" uri="{C3380CC4-5D6E-409C-BE32-E72D297353CC}">
                <c16:uniqueId val="{00000003-17BE-4BD3-836D-9E232CB6A0BA}"/>
              </c:ext>
            </c:extLst>
          </c:dPt>
          <c:dPt>
            <c:idx val="2"/>
            <c:bubble3D val="0"/>
            <c:spPr>
              <a:solidFill>
                <a:srgbClr val="D922C7"/>
              </a:solidFill>
              <a:ln w="19050">
                <a:solidFill>
                  <a:srgbClr val="0A002F"/>
                </a:solidFill>
              </a:ln>
              <a:effectLst/>
            </c:spPr>
            <c:extLst>
              <c:ext xmlns:c16="http://schemas.microsoft.com/office/drawing/2014/chart" uri="{C3380CC4-5D6E-409C-BE32-E72D297353CC}">
                <c16:uniqueId val="{00000005-17BE-4BD3-836D-9E232CB6A0BA}"/>
              </c:ext>
            </c:extLst>
          </c:dPt>
          <c:dPt>
            <c:idx val="3"/>
            <c:bubble3D val="0"/>
            <c:spPr>
              <a:solidFill>
                <a:srgbClr val="54EBA5"/>
              </a:solidFill>
              <a:ln w="19050">
                <a:solidFill>
                  <a:srgbClr val="0A002F"/>
                </a:solidFill>
              </a:ln>
              <a:effectLst/>
            </c:spPr>
            <c:extLst>
              <c:ext xmlns:c16="http://schemas.microsoft.com/office/drawing/2014/chart" uri="{C3380CC4-5D6E-409C-BE32-E72D297353CC}">
                <c16:uniqueId val="{00000007-17BE-4BD3-836D-9E232CB6A0BA}"/>
              </c:ext>
            </c:extLst>
          </c:dPt>
          <c:dPt>
            <c:idx val="4"/>
            <c:bubble3D val="0"/>
            <c:spPr>
              <a:solidFill>
                <a:srgbClr val="7B5EFD"/>
              </a:solidFill>
              <a:ln w="19050">
                <a:solidFill>
                  <a:srgbClr val="0A002F"/>
                </a:solidFill>
              </a:ln>
              <a:effectLst/>
            </c:spPr>
            <c:extLst>
              <c:ext xmlns:c16="http://schemas.microsoft.com/office/drawing/2014/chart" uri="{C3380CC4-5D6E-409C-BE32-E72D297353CC}">
                <c16:uniqueId val="{00000009-17BE-4BD3-836D-9E232CB6A0BA}"/>
              </c:ext>
            </c:extLst>
          </c:dPt>
          <c:dPt>
            <c:idx val="5"/>
            <c:bubble3D val="0"/>
            <c:spPr>
              <a:solidFill>
                <a:srgbClr val="0084FF"/>
              </a:solidFill>
              <a:ln w="19050">
                <a:solidFill>
                  <a:srgbClr val="0A002F"/>
                </a:solidFill>
              </a:ln>
              <a:effectLst/>
            </c:spPr>
            <c:extLst>
              <c:ext xmlns:c16="http://schemas.microsoft.com/office/drawing/2014/chart" uri="{C3380CC4-5D6E-409C-BE32-E72D297353CC}">
                <c16:uniqueId val="{0000000B-17BE-4BD3-836D-9E232CB6A0BA}"/>
              </c:ext>
            </c:extLst>
          </c:dPt>
          <c:dPt>
            <c:idx val="6"/>
            <c:bubble3D val="0"/>
            <c:spPr>
              <a:solidFill>
                <a:srgbClr val="0084FF"/>
              </a:solidFill>
              <a:ln w="19050">
                <a:solidFill>
                  <a:srgbClr val="0A002F"/>
                </a:solidFill>
              </a:ln>
              <a:effectLst/>
            </c:spPr>
            <c:extLst>
              <c:ext xmlns:c16="http://schemas.microsoft.com/office/drawing/2014/chart" uri="{C3380CC4-5D6E-409C-BE32-E72D297353CC}">
                <c16:uniqueId val="{0000000D-17BE-4BD3-836D-9E232CB6A0BA}"/>
              </c:ext>
            </c:extLst>
          </c:dPt>
          <c:dPt>
            <c:idx val="7"/>
            <c:bubble3D val="0"/>
            <c:spPr>
              <a:solidFill>
                <a:srgbClr val="0084FF"/>
              </a:solidFill>
              <a:ln w="19050">
                <a:solidFill>
                  <a:srgbClr val="0A002F"/>
                </a:solidFill>
              </a:ln>
              <a:effectLst/>
            </c:spPr>
            <c:extLst>
              <c:ext xmlns:c16="http://schemas.microsoft.com/office/drawing/2014/chart" uri="{C3380CC4-5D6E-409C-BE32-E72D297353CC}">
                <c16:uniqueId val="{0000000F-17BE-4BD3-836D-9E232CB6A0BA}"/>
              </c:ext>
            </c:extLst>
          </c:dPt>
          <c:val>
            <c:numRef>
              <c:f>Processing!$I$19:$I$26</c:f>
              <c:numCache>
                <c:formatCode>General</c:formatCode>
                <c:ptCount val="8"/>
                <c:pt idx="0">
                  <c:v>10</c:v>
                </c:pt>
                <c:pt idx="1">
                  <c:v>10</c:v>
                </c:pt>
                <c:pt idx="2">
                  <c:v>10</c:v>
                </c:pt>
                <c:pt idx="3">
                  <c:v>10</c:v>
                </c:pt>
                <c:pt idx="4">
                  <c:v>10</c:v>
                </c:pt>
                <c:pt idx="5">
                  <c:v>10</c:v>
                </c:pt>
                <c:pt idx="6">
                  <c:v>10</c:v>
                </c:pt>
                <c:pt idx="7">
                  <c:v>10</c:v>
                </c:pt>
              </c:numCache>
            </c:numRef>
          </c:val>
          <c:extLst>
            <c:ext xmlns:c16="http://schemas.microsoft.com/office/drawing/2014/chart" uri="{C3380CC4-5D6E-409C-BE32-E72D297353CC}">
              <c16:uniqueId val="{00000010-17BE-4BD3-836D-9E232CB6A0BA}"/>
            </c:ext>
          </c:extLst>
        </c:ser>
        <c:dLbls>
          <c:showLegendKey val="0"/>
          <c:showVal val="0"/>
          <c:showCatName val="0"/>
          <c:showSerName val="0"/>
          <c:showPercent val="0"/>
          <c:showBubbleSize val="0"/>
          <c:showLeaderLines val="1"/>
        </c:dLbls>
        <c:firstSliceAng val="0"/>
        <c:holeSize val="75"/>
      </c:doughnutChart>
      <c:doughnutChart>
        <c:varyColors val="1"/>
        <c:ser>
          <c:idx val="1"/>
          <c:order val="1"/>
          <c:tx>
            <c:strRef>
              <c:f>Processing!$J$16</c:f>
              <c:strCache>
                <c:ptCount val="1"/>
                <c:pt idx="0">
                  <c:v>Cursor</c:v>
                </c:pt>
              </c:strCache>
            </c:strRef>
          </c:tx>
          <c:spPr>
            <a:ln>
              <a:solidFill>
                <a:srgbClr val="0A002F"/>
              </a:solidFill>
            </a:ln>
          </c:spPr>
          <c:dPt>
            <c:idx val="0"/>
            <c:bubble3D val="0"/>
            <c:spPr>
              <a:noFill/>
              <a:ln w="19050">
                <a:solidFill>
                  <a:srgbClr val="0A002F"/>
                </a:solidFill>
              </a:ln>
              <a:effectLst/>
            </c:spPr>
            <c:extLst>
              <c:ext xmlns:c16="http://schemas.microsoft.com/office/drawing/2014/chart" uri="{C3380CC4-5D6E-409C-BE32-E72D297353CC}">
                <c16:uniqueId val="{00000012-17BE-4BD3-836D-9E232CB6A0BA}"/>
              </c:ext>
            </c:extLst>
          </c:dPt>
          <c:dPt>
            <c:idx val="1"/>
            <c:bubble3D val="0"/>
            <c:spPr>
              <a:solidFill>
                <a:schemeClr val="bg1">
                  <a:alpha val="65000"/>
                </a:schemeClr>
              </a:solidFill>
              <a:ln w="19050">
                <a:solidFill>
                  <a:srgbClr val="0A002F"/>
                </a:solidFill>
              </a:ln>
              <a:effectLst/>
            </c:spPr>
            <c:extLst>
              <c:ext xmlns:c16="http://schemas.microsoft.com/office/drawing/2014/chart" uri="{C3380CC4-5D6E-409C-BE32-E72D297353CC}">
                <c16:uniqueId val="{00000014-17BE-4BD3-836D-9E232CB6A0BA}"/>
              </c:ext>
            </c:extLst>
          </c:dPt>
          <c:dPt>
            <c:idx val="2"/>
            <c:bubble3D val="0"/>
            <c:spPr>
              <a:noFill/>
              <a:ln w="19050">
                <a:solidFill>
                  <a:srgbClr val="0A002F"/>
                </a:solidFill>
              </a:ln>
              <a:effectLst/>
            </c:spPr>
            <c:extLst>
              <c:ext xmlns:c16="http://schemas.microsoft.com/office/drawing/2014/chart" uri="{C3380CC4-5D6E-409C-BE32-E72D297353CC}">
                <c16:uniqueId val="{00000016-17BE-4BD3-836D-9E232CB6A0BA}"/>
              </c:ext>
            </c:extLst>
          </c:dPt>
          <c:val>
            <c:numRef>
              <c:f>Processing!$J$18:$J$20</c:f>
              <c:numCache>
                <c:formatCode>General</c:formatCode>
                <c:ptCount val="3"/>
                <c:pt idx="0">
                  <c:v>10</c:v>
                </c:pt>
                <c:pt idx="1">
                  <c:v>10</c:v>
                </c:pt>
                <c:pt idx="2">
                  <c:v>60</c:v>
                </c:pt>
              </c:numCache>
            </c:numRef>
          </c:val>
          <c:extLst>
            <c:ext xmlns:c16="http://schemas.microsoft.com/office/drawing/2014/chart" uri="{C3380CC4-5D6E-409C-BE32-E72D297353CC}">
              <c16:uniqueId val="{00000017-17BE-4BD3-836D-9E232CB6A0BA}"/>
            </c:ext>
          </c:extLst>
        </c:ser>
        <c:dLbls>
          <c:showLegendKey val="0"/>
          <c:showVal val="0"/>
          <c:showCatName val="0"/>
          <c:showSerName val="0"/>
          <c:showPercent val="0"/>
          <c:showBubbleSize val="0"/>
          <c:showLeaderLines val="1"/>
        </c:dLbls>
        <c:firstSliceAng val="18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Processing!$L$16</c:f>
              <c:strCache>
                <c:ptCount val="1"/>
                <c:pt idx="0">
                  <c:v>front1</c:v>
                </c:pt>
              </c:strCache>
            </c:strRef>
          </c:tx>
          <c:spPr>
            <a:solidFill>
              <a:srgbClr val="54EBA5"/>
            </a:solidFill>
            <a:ln>
              <a:solidFill>
                <a:srgbClr val="0A002F"/>
              </a:solidFill>
            </a:ln>
            <a:effectLst/>
          </c:spPr>
          <c:invertIfNegative val="0"/>
          <c:dPt>
            <c:idx val="0"/>
            <c:invertIfNegative val="0"/>
            <c:bubble3D val="0"/>
            <c:spPr>
              <a:solidFill>
                <a:srgbClr val="54EBA5"/>
              </a:solidFill>
              <a:ln w="19050">
                <a:solidFill>
                  <a:srgbClr val="0A002F"/>
                </a:solidFill>
              </a:ln>
              <a:effectLst/>
            </c:spPr>
            <c:extLst>
              <c:ext xmlns:c16="http://schemas.microsoft.com/office/drawing/2014/chart" uri="{C3380CC4-5D6E-409C-BE32-E72D297353CC}">
                <c16:uniqueId val="{00000001-9B87-407A-8A46-2BEDDF1514A8}"/>
              </c:ext>
            </c:extLst>
          </c:dPt>
          <c:val>
            <c:numRef>
              <c:f>Processing!$L$17:$L$20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9B87-407A-8A46-2BEDDF1514A8}"/>
            </c:ext>
          </c:extLst>
        </c:ser>
        <c:ser>
          <c:idx val="1"/>
          <c:order val="1"/>
          <c:tx>
            <c:strRef>
              <c:f>Processing!$M$16</c:f>
              <c:strCache>
                <c:ptCount val="1"/>
                <c:pt idx="0">
                  <c:v>front2</c:v>
                </c:pt>
              </c:strCache>
            </c:strRef>
          </c:tx>
          <c:spPr>
            <a:solidFill>
              <a:srgbClr val="54EBA5"/>
            </a:solidFill>
            <a:ln w="19050">
              <a:solidFill>
                <a:srgbClr val="0A002F"/>
              </a:solidFill>
            </a:ln>
            <a:effectLst/>
          </c:spPr>
          <c:invertIfNegative val="0"/>
          <c:dPt>
            <c:idx val="2"/>
            <c:invertIfNegative val="0"/>
            <c:bubble3D val="0"/>
            <c:spPr>
              <a:solidFill>
                <a:srgbClr val="7B5EFD"/>
              </a:solidFill>
              <a:ln w="19050">
                <a:solidFill>
                  <a:srgbClr val="0A002F"/>
                </a:solidFill>
              </a:ln>
              <a:effectLst/>
            </c:spPr>
            <c:extLst>
              <c:ext xmlns:c16="http://schemas.microsoft.com/office/drawing/2014/chart" uri="{C3380CC4-5D6E-409C-BE32-E72D297353CC}">
                <c16:uniqueId val="{00000004-9B87-407A-8A46-2BEDDF1514A8}"/>
              </c:ext>
            </c:extLst>
          </c:dPt>
          <c:val>
            <c:numRef>
              <c:f>Processing!$M$17:$M$20</c:f>
              <c:numCache>
                <c:formatCode>General</c:formatCode>
                <c:ptCount val="4"/>
                <c:pt idx="0">
                  <c:v>0</c:v>
                </c:pt>
                <c:pt idx="1">
                  <c:v>10</c:v>
                </c:pt>
                <c:pt idx="2">
                  <c:v>0</c:v>
                </c:pt>
                <c:pt idx="3">
                  <c:v>0</c:v>
                </c:pt>
              </c:numCache>
            </c:numRef>
          </c:val>
          <c:extLst>
            <c:ext xmlns:c16="http://schemas.microsoft.com/office/drawing/2014/chart" uri="{C3380CC4-5D6E-409C-BE32-E72D297353CC}">
              <c16:uniqueId val="{00000005-9B87-407A-8A46-2BEDDF1514A8}"/>
            </c:ext>
          </c:extLst>
        </c:ser>
        <c:ser>
          <c:idx val="2"/>
          <c:order val="2"/>
          <c:tx>
            <c:strRef>
              <c:f>Processing!$N$16</c:f>
              <c:strCache>
                <c:ptCount val="1"/>
                <c:pt idx="0">
                  <c:v>front3</c:v>
                </c:pt>
              </c:strCache>
            </c:strRef>
          </c:tx>
          <c:spPr>
            <a:solidFill>
              <a:schemeClr val="bg1">
                <a:alpha val="50000"/>
              </a:schemeClr>
            </a:solidFill>
            <a:ln w="19050">
              <a:solidFill>
                <a:srgbClr val="0A002F"/>
              </a:solidFill>
            </a:ln>
            <a:effectLst/>
          </c:spPr>
          <c:invertIfNegative val="0"/>
          <c:val>
            <c:numRef>
              <c:f>Processing!$N$17:$N$20</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6-9B87-407A-8A46-2BEDDF1514A8}"/>
            </c:ext>
          </c:extLst>
        </c:ser>
        <c:dLbls>
          <c:showLegendKey val="0"/>
          <c:showVal val="0"/>
          <c:showCatName val="0"/>
          <c:showSerName val="0"/>
          <c:showPercent val="0"/>
          <c:showBubbleSize val="0"/>
        </c:dLbls>
        <c:gapWidth val="0"/>
        <c:overlap val="100"/>
        <c:axId val="1050119087"/>
        <c:axId val="1050094127"/>
      </c:barChart>
      <c:catAx>
        <c:axId val="1050119087"/>
        <c:scaling>
          <c:orientation val="minMax"/>
        </c:scaling>
        <c:delete val="1"/>
        <c:axPos val="b"/>
        <c:majorTickMark val="none"/>
        <c:minorTickMark val="none"/>
        <c:tickLblPos val="nextTo"/>
        <c:crossAx val="1050094127"/>
        <c:crosses val="autoZero"/>
        <c:auto val="1"/>
        <c:lblAlgn val="ctr"/>
        <c:lblOffset val="100"/>
        <c:noMultiLvlLbl val="0"/>
      </c:catAx>
      <c:valAx>
        <c:axId val="1050094127"/>
        <c:scaling>
          <c:orientation val="minMax"/>
          <c:max val="10"/>
          <c:min val="0"/>
        </c:scaling>
        <c:delete val="1"/>
        <c:axPos val="l"/>
        <c:numFmt formatCode="General" sourceLinked="1"/>
        <c:majorTickMark val="none"/>
        <c:minorTickMark val="none"/>
        <c:tickLblPos val="nextTo"/>
        <c:crossAx val="1050119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ru-RU"/>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image" Target="../media/image1.png"/><Relationship Id="rId18" Type="http://schemas.openxmlformats.org/officeDocument/2006/relationships/chart" Target="../charts/chart12.xml"/><Relationship Id="rId3" Type="http://schemas.openxmlformats.org/officeDocument/2006/relationships/chart" Target="../charts/chart3.xml"/><Relationship Id="rId21" Type="http://schemas.openxmlformats.org/officeDocument/2006/relationships/hyperlink" Target="#'Prototype 3'!A1"/><Relationship Id="rId7" Type="http://schemas.openxmlformats.org/officeDocument/2006/relationships/chart" Target="../charts/chart7.xml"/><Relationship Id="rId12" Type="http://schemas.openxmlformats.org/officeDocument/2006/relationships/hyperlink" Target="#DASHBOARD!A1"/><Relationship Id="rId17" Type="http://schemas.openxmlformats.org/officeDocument/2006/relationships/hyperlink" Target="#'Cost Structure'!A1"/><Relationship Id="rId2" Type="http://schemas.openxmlformats.org/officeDocument/2006/relationships/chart" Target="../charts/chart2.xml"/><Relationship Id="rId16" Type="http://schemas.openxmlformats.org/officeDocument/2006/relationships/hyperlink" Target="#'Sprint Cycle'!A1"/><Relationship Id="rId20" Type="http://schemas.openxmlformats.org/officeDocument/2006/relationships/hyperlink" Target="#'Prototype 2'!A1"/><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hyperlink" Target="#'Burndown Chart'!A1"/><Relationship Id="rId10" Type="http://schemas.openxmlformats.org/officeDocument/2006/relationships/chart" Target="../charts/chart10.xml"/><Relationship Id="rId19" Type="http://schemas.openxmlformats.org/officeDocument/2006/relationships/hyperlink" Target="#'Prototype 1'!A1"/><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image" Target="../media/image2.svg"/></Relationships>
</file>

<file path=xl/drawings/_rels/drawing2.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Cost Structure'!A1"/><Relationship Id="rId3" Type="http://schemas.openxmlformats.org/officeDocument/2006/relationships/chart" Target="../charts/chart15.xml"/><Relationship Id="rId7" Type="http://schemas.openxmlformats.org/officeDocument/2006/relationships/chart" Target="../charts/chart19.xml"/><Relationship Id="rId12" Type="http://schemas.openxmlformats.org/officeDocument/2006/relationships/hyperlink" Target="#'Sprint Cycle'!A1"/><Relationship Id="rId17" Type="http://schemas.openxmlformats.org/officeDocument/2006/relationships/hyperlink" Target="#'Prototype 3'!A1"/><Relationship Id="rId2" Type="http://schemas.openxmlformats.org/officeDocument/2006/relationships/chart" Target="../charts/chart14.xml"/><Relationship Id="rId16" Type="http://schemas.openxmlformats.org/officeDocument/2006/relationships/hyperlink" Target="#'Prototype 2'!A1"/><Relationship Id="rId1" Type="http://schemas.openxmlformats.org/officeDocument/2006/relationships/chart" Target="../charts/chart13.xml"/><Relationship Id="rId6" Type="http://schemas.openxmlformats.org/officeDocument/2006/relationships/chart" Target="../charts/chart18.xml"/><Relationship Id="rId11" Type="http://schemas.openxmlformats.org/officeDocument/2006/relationships/hyperlink" Target="#'Burndown Chart'!A1"/><Relationship Id="rId5" Type="http://schemas.openxmlformats.org/officeDocument/2006/relationships/chart" Target="../charts/chart17.xml"/><Relationship Id="rId15" Type="http://schemas.openxmlformats.org/officeDocument/2006/relationships/hyperlink" Target="#'Prototype 1'!A1"/><Relationship Id="rId10" Type="http://schemas.openxmlformats.org/officeDocument/2006/relationships/image" Target="../media/image2.svg"/><Relationship Id="rId4" Type="http://schemas.openxmlformats.org/officeDocument/2006/relationships/chart" Target="../charts/chart16.xml"/><Relationship Id="rId9" Type="http://schemas.openxmlformats.org/officeDocument/2006/relationships/image" Target="../media/image1.png"/><Relationship Id="rId14" Type="http://schemas.openxmlformats.org/officeDocument/2006/relationships/chart" Target="../charts/chart20.xml"/></Relationships>
</file>

<file path=xl/drawings/_rels/drawing3.xml.rels><?xml version="1.0" encoding="UTF-8" standalone="yes"?>
<Relationships xmlns="http://schemas.openxmlformats.org/package/2006/relationships"><Relationship Id="rId8" Type="http://schemas.openxmlformats.org/officeDocument/2006/relationships/chart" Target="../charts/chart28.xml"/><Relationship Id="rId13" Type="http://schemas.openxmlformats.org/officeDocument/2006/relationships/hyperlink" Target="#'Sprint Cycle'!A1"/><Relationship Id="rId18" Type="http://schemas.openxmlformats.org/officeDocument/2006/relationships/hyperlink" Target="#'Prototype 3'!A1"/><Relationship Id="rId3" Type="http://schemas.openxmlformats.org/officeDocument/2006/relationships/chart" Target="../charts/chart23.xml"/><Relationship Id="rId7" Type="http://schemas.openxmlformats.org/officeDocument/2006/relationships/chart" Target="../charts/chart27.xml"/><Relationship Id="rId12" Type="http://schemas.openxmlformats.org/officeDocument/2006/relationships/hyperlink" Target="#'Burndown Chart'!A1"/><Relationship Id="rId17" Type="http://schemas.openxmlformats.org/officeDocument/2006/relationships/hyperlink" Target="#'Prototype 2'!A1"/><Relationship Id="rId2" Type="http://schemas.openxmlformats.org/officeDocument/2006/relationships/chart" Target="../charts/chart22.xml"/><Relationship Id="rId16" Type="http://schemas.openxmlformats.org/officeDocument/2006/relationships/hyperlink" Target="#'Prototype 1'!A1"/><Relationship Id="rId1" Type="http://schemas.openxmlformats.org/officeDocument/2006/relationships/chart" Target="../charts/chart21.xml"/><Relationship Id="rId6" Type="http://schemas.openxmlformats.org/officeDocument/2006/relationships/chart" Target="../charts/chart26.xml"/><Relationship Id="rId11" Type="http://schemas.openxmlformats.org/officeDocument/2006/relationships/image" Target="../media/image2.svg"/><Relationship Id="rId5" Type="http://schemas.openxmlformats.org/officeDocument/2006/relationships/chart" Target="../charts/chart25.xml"/><Relationship Id="rId15" Type="http://schemas.openxmlformats.org/officeDocument/2006/relationships/chart" Target="../charts/chart29.xml"/><Relationship Id="rId10" Type="http://schemas.openxmlformats.org/officeDocument/2006/relationships/image" Target="../media/image1.png"/><Relationship Id="rId19" Type="http://schemas.openxmlformats.org/officeDocument/2006/relationships/chart" Target="../charts/chart30.xml"/><Relationship Id="rId4" Type="http://schemas.openxmlformats.org/officeDocument/2006/relationships/chart" Target="../charts/chart24.xml"/><Relationship Id="rId9" Type="http://schemas.openxmlformats.org/officeDocument/2006/relationships/hyperlink" Target="#DASHBOARD!A1"/><Relationship Id="rId14" Type="http://schemas.openxmlformats.org/officeDocument/2006/relationships/hyperlink" Target="#'Cost Structure'!A1"/></Relationships>
</file>

<file path=xl/drawings/_rels/drawing4.xml.rels><?xml version="1.0" encoding="UTF-8" standalone="yes"?>
<Relationships xmlns="http://schemas.openxmlformats.org/package/2006/relationships"><Relationship Id="rId8" Type="http://schemas.openxmlformats.org/officeDocument/2006/relationships/hyperlink" Target="#DASHBOARD!A1"/><Relationship Id="rId13" Type="http://schemas.openxmlformats.org/officeDocument/2006/relationships/hyperlink" Target="#'Cost Structure'!A1"/><Relationship Id="rId3" Type="http://schemas.openxmlformats.org/officeDocument/2006/relationships/chart" Target="../charts/chart33.xml"/><Relationship Id="rId7" Type="http://schemas.openxmlformats.org/officeDocument/2006/relationships/chart" Target="../charts/chart37.xml"/><Relationship Id="rId12" Type="http://schemas.openxmlformats.org/officeDocument/2006/relationships/hyperlink" Target="#'Sprint Cycle'!A1"/><Relationship Id="rId17" Type="http://schemas.openxmlformats.org/officeDocument/2006/relationships/hyperlink" Target="#'Prototype 3'!A1"/><Relationship Id="rId2" Type="http://schemas.openxmlformats.org/officeDocument/2006/relationships/chart" Target="../charts/chart32.xml"/><Relationship Id="rId16" Type="http://schemas.openxmlformats.org/officeDocument/2006/relationships/hyperlink" Target="#'Prototype 2'!A1"/><Relationship Id="rId1" Type="http://schemas.openxmlformats.org/officeDocument/2006/relationships/chart" Target="../charts/chart31.xml"/><Relationship Id="rId6" Type="http://schemas.openxmlformats.org/officeDocument/2006/relationships/chart" Target="../charts/chart36.xml"/><Relationship Id="rId11" Type="http://schemas.openxmlformats.org/officeDocument/2006/relationships/hyperlink" Target="#'Burndown Chart'!A1"/><Relationship Id="rId5" Type="http://schemas.openxmlformats.org/officeDocument/2006/relationships/chart" Target="../charts/chart35.xml"/><Relationship Id="rId15" Type="http://schemas.openxmlformats.org/officeDocument/2006/relationships/hyperlink" Target="#'Prototype 1'!A1"/><Relationship Id="rId10" Type="http://schemas.openxmlformats.org/officeDocument/2006/relationships/image" Target="../media/image2.svg"/><Relationship Id="rId4" Type="http://schemas.openxmlformats.org/officeDocument/2006/relationships/chart" Target="../charts/chart34.xml"/><Relationship Id="rId9" Type="http://schemas.openxmlformats.org/officeDocument/2006/relationships/image" Target="../media/image1.png"/><Relationship Id="rId14" Type="http://schemas.openxmlformats.org/officeDocument/2006/relationships/chart" Target="../charts/chart38.xml"/></Relationships>
</file>

<file path=xl/drawings/_rels/drawing5.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41.xml"/><Relationship Id="rId7" Type="http://schemas.openxmlformats.org/officeDocument/2006/relationships/image" Target="../media/image1.png"/><Relationship Id="rId2" Type="http://schemas.openxmlformats.org/officeDocument/2006/relationships/chart" Target="../charts/chart40.xml"/><Relationship Id="rId1" Type="http://schemas.openxmlformats.org/officeDocument/2006/relationships/chart" Target="../charts/chart39.xml"/><Relationship Id="rId6" Type="http://schemas.openxmlformats.org/officeDocument/2006/relationships/hyperlink" Target="#DASHBOARD!A1"/><Relationship Id="rId5" Type="http://schemas.openxmlformats.org/officeDocument/2006/relationships/chart" Target="../charts/chart43.xml"/><Relationship Id="rId4" Type="http://schemas.openxmlformats.org/officeDocument/2006/relationships/chart" Target="../charts/chart42.xml"/></Relationships>
</file>

<file path=xl/drawings/_rels/drawing6.xml.rels><?xml version="1.0" encoding="UTF-8" standalone="yes"?>
<Relationships xmlns="http://schemas.openxmlformats.org/package/2006/relationships"><Relationship Id="rId8" Type="http://schemas.openxmlformats.org/officeDocument/2006/relationships/chart" Target="../charts/chart51.xml"/><Relationship Id="rId13" Type="http://schemas.openxmlformats.org/officeDocument/2006/relationships/image" Target="../media/image10.svg"/><Relationship Id="rId18" Type="http://schemas.openxmlformats.org/officeDocument/2006/relationships/image" Target="../media/image2.svg"/><Relationship Id="rId3" Type="http://schemas.openxmlformats.org/officeDocument/2006/relationships/chart" Target="../charts/chart46.xml"/><Relationship Id="rId7" Type="http://schemas.openxmlformats.org/officeDocument/2006/relationships/chart" Target="../charts/chart50.xml"/><Relationship Id="rId12" Type="http://schemas.openxmlformats.org/officeDocument/2006/relationships/image" Target="../media/image9.png"/><Relationship Id="rId17" Type="http://schemas.openxmlformats.org/officeDocument/2006/relationships/image" Target="../media/image1.png"/><Relationship Id="rId2" Type="http://schemas.openxmlformats.org/officeDocument/2006/relationships/chart" Target="../charts/chart45.xml"/><Relationship Id="rId16" Type="http://schemas.openxmlformats.org/officeDocument/2006/relationships/hyperlink" Target="#DASHBOARD!A1"/><Relationship Id="rId1" Type="http://schemas.openxmlformats.org/officeDocument/2006/relationships/chart" Target="../charts/chart44.xml"/><Relationship Id="rId6" Type="http://schemas.openxmlformats.org/officeDocument/2006/relationships/chart" Target="../charts/chart49.xml"/><Relationship Id="rId11" Type="http://schemas.openxmlformats.org/officeDocument/2006/relationships/chart" Target="../charts/chart54.xml"/><Relationship Id="rId5" Type="http://schemas.openxmlformats.org/officeDocument/2006/relationships/chart" Target="../charts/chart48.xml"/><Relationship Id="rId15" Type="http://schemas.openxmlformats.org/officeDocument/2006/relationships/image" Target="../media/image12.svg"/><Relationship Id="rId10" Type="http://schemas.openxmlformats.org/officeDocument/2006/relationships/chart" Target="../charts/chart53.xml"/><Relationship Id="rId4" Type="http://schemas.openxmlformats.org/officeDocument/2006/relationships/chart" Target="../charts/chart47.xml"/><Relationship Id="rId9" Type="http://schemas.openxmlformats.org/officeDocument/2006/relationships/chart" Target="../charts/chart52.xml"/><Relationship Id="rId14" Type="http://schemas.openxmlformats.org/officeDocument/2006/relationships/image" Target="../media/image11.png"/></Relationships>
</file>

<file path=xl/drawings/_rels/drawing7.xml.rels><?xml version="1.0" encoding="UTF-8" standalone="yes"?>
<Relationships xmlns="http://schemas.openxmlformats.org/package/2006/relationships"><Relationship Id="rId8" Type="http://schemas.openxmlformats.org/officeDocument/2006/relationships/chart" Target="../charts/chart57.xml"/><Relationship Id="rId13" Type="http://schemas.openxmlformats.org/officeDocument/2006/relationships/image" Target="../media/image17.png"/><Relationship Id="rId3" Type="http://schemas.openxmlformats.org/officeDocument/2006/relationships/image" Target="../media/image14.svg"/><Relationship Id="rId7" Type="http://schemas.openxmlformats.org/officeDocument/2006/relationships/chart" Target="../charts/chart56.xml"/><Relationship Id="rId12" Type="http://schemas.openxmlformats.org/officeDocument/2006/relationships/chart" Target="../charts/chart61.xml"/><Relationship Id="rId2" Type="http://schemas.openxmlformats.org/officeDocument/2006/relationships/image" Target="../media/image13.png"/><Relationship Id="rId16" Type="http://schemas.openxmlformats.org/officeDocument/2006/relationships/image" Target="../media/image20.svg"/><Relationship Id="rId1" Type="http://schemas.openxmlformats.org/officeDocument/2006/relationships/hyperlink" Target="#DASHBOARD!A1"/><Relationship Id="rId6" Type="http://schemas.openxmlformats.org/officeDocument/2006/relationships/chart" Target="../charts/chart55.xml"/><Relationship Id="rId11" Type="http://schemas.openxmlformats.org/officeDocument/2006/relationships/chart" Target="../charts/chart60.xml"/><Relationship Id="rId5" Type="http://schemas.openxmlformats.org/officeDocument/2006/relationships/image" Target="../media/image16.svg"/><Relationship Id="rId15" Type="http://schemas.openxmlformats.org/officeDocument/2006/relationships/image" Target="../media/image19.png"/><Relationship Id="rId10" Type="http://schemas.openxmlformats.org/officeDocument/2006/relationships/chart" Target="../charts/chart59.xml"/><Relationship Id="rId4" Type="http://schemas.openxmlformats.org/officeDocument/2006/relationships/image" Target="../media/image15.png"/><Relationship Id="rId9" Type="http://schemas.openxmlformats.org/officeDocument/2006/relationships/chart" Target="../charts/chart58.xml"/><Relationship Id="rId14" Type="http://schemas.openxmlformats.org/officeDocument/2006/relationships/image" Target="../media/image18.svg"/></Relationships>
</file>

<file path=xl/drawings/_rels/drawing8.xml.rels><?xml version="1.0" encoding="UTF-8" standalone="yes"?>
<Relationships xmlns="http://schemas.openxmlformats.org/package/2006/relationships"><Relationship Id="rId3" Type="http://schemas.openxmlformats.org/officeDocument/2006/relationships/chart" Target="../charts/chart64.xml"/><Relationship Id="rId2" Type="http://schemas.openxmlformats.org/officeDocument/2006/relationships/chart" Target="../charts/chart63.xml"/><Relationship Id="rId1" Type="http://schemas.openxmlformats.org/officeDocument/2006/relationships/chart" Target="../charts/chart62.xml"/><Relationship Id="rId6" Type="http://schemas.openxmlformats.org/officeDocument/2006/relationships/image" Target="../media/image23.png"/><Relationship Id="rId5" Type="http://schemas.openxmlformats.org/officeDocument/2006/relationships/image" Target="../media/image22.png"/><Relationship Id="rId4" Type="http://schemas.openxmlformats.org/officeDocument/2006/relationships/image" Target="../media/image21.png"/></Relationships>
</file>

<file path=xl/drawings/drawing1.xml><?xml version="1.0" encoding="utf-8"?>
<xdr:wsDr xmlns:xdr="http://schemas.openxmlformats.org/drawingml/2006/spreadsheetDrawing" xmlns:a="http://schemas.openxmlformats.org/drawingml/2006/main">
  <xdr:twoCellAnchor>
    <xdr:from>
      <xdr:col>2</xdr:col>
      <xdr:colOff>397459</xdr:colOff>
      <xdr:row>2</xdr:row>
      <xdr:rowOff>45720</xdr:rowOff>
    </xdr:from>
    <xdr:to>
      <xdr:col>20</xdr:col>
      <xdr:colOff>306019</xdr:colOff>
      <xdr:row>39</xdr:row>
      <xdr:rowOff>137160</xdr:rowOff>
    </xdr:to>
    <xdr:sp macro="" textlink="">
      <xdr:nvSpPr>
        <xdr:cNvPr id="2" name="Rectangle: Rounded Corners 1">
          <a:extLst>
            <a:ext uri="{FF2B5EF4-FFF2-40B4-BE49-F238E27FC236}">
              <a16:creationId xmlns:a16="http://schemas.microsoft.com/office/drawing/2014/main" id="{05C53B3A-D93E-7A61-7662-8D64C7E814BB}"/>
            </a:ext>
          </a:extLst>
        </xdr:cNvPr>
        <xdr:cNvSpPr/>
      </xdr:nvSpPr>
      <xdr:spPr>
        <a:xfrm>
          <a:off x="1616659" y="411480"/>
          <a:ext cx="10881360" cy="6858000"/>
        </a:xfrm>
        <a:prstGeom prst="roundRect">
          <a:avLst>
            <a:gd name="adj" fmla="val 3653"/>
          </a:avLst>
        </a:prstGeom>
        <a:gradFill flip="none" rotWithShape="1">
          <a:gsLst>
            <a:gs pos="2000">
              <a:srgbClr val="1B2A87"/>
            </a:gs>
            <a:gs pos="31000">
              <a:srgbClr val="0A002F"/>
            </a:gs>
            <a:gs pos="100000">
              <a:srgbClr val="18013D"/>
            </a:gs>
          </a:gsLst>
          <a:lin ang="81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460248</xdr:colOff>
      <xdr:row>6</xdr:row>
      <xdr:rowOff>83820</xdr:rowOff>
    </xdr:from>
    <xdr:to>
      <xdr:col>15</xdr:col>
      <xdr:colOff>399288</xdr:colOff>
      <xdr:row>13</xdr:row>
      <xdr:rowOff>175260</xdr:rowOff>
    </xdr:to>
    <xdr:grpSp>
      <xdr:nvGrpSpPr>
        <xdr:cNvPr id="12" name="Group 11">
          <a:extLst>
            <a:ext uri="{FF2B5EF4-FFF2-40B4-BE49-F238E27FC236}">
              <a16:creationId xmlns:a16="http://schemas.microsoft.com/office/drawing/2014/main" id="{08B2246B-583E-9B45-F5CD-C0AEBF34AA2E}"/>
            </a:ext>
          </a:extLst>
        </xdr:cNvPr>
        <xdr:cNvGrpSpPr/>
      </xdr:nvGrpSpPr>
      <xdr:grpSpPr>
        <a:xfrm>
          <a:off x="6979581" y="1226820"/>
          <a:ext cx="2309707" cy="1424940"/>
          <a:chOff x="7162800" y="3121152"/>
          <a:chExt cx="1908048" cy="1347216"/>
        </a:xfrm>
        <a:effectLst>
          <a:outerShdw blurRad="254000" dist="127000" dir="8100000" algn="tr" rotWithShape="0">
            <a:prstClr val="black">
              <a:alpha val="90000"/>
            </a:prstClr>
          </a:outerShdw>
        </a:effectLst>
      </xdr:grpSpPr>
      <xdr:sp macro="" textlink="">
        <xdr:nvSpPr>
          <xdr:cNvPr id="13" name="Rectangle: Rounded Corners 12">
            <a:extLst>
              <a:ext uri="{FF2B5EF4-FFF2-40B4-BE49-F238E27FC236}">
                <a16:creationId xmlns:a16="http://schemas.microsoft.com/office/drawing/2014/main" id="{D4C921DF-A3F7-4AF7-1CC0-18304433569F}"/>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4" name="Rectangle: Rounded Corners 13">
            <a:extLst>
              <a:ext uri="{FF2B5EF4-FFF2-40B4-BE49-F238E27FC236}">
                <a16:creationId xmlns:a16="http://schemas.microsoft.com/office/drawing/2014/main" id="{79B5C3C2-1655-6C62-9417-A5B6BEA44794}"/>
              </a:ext>
            </a:extLst>
          </xdr:cNvPr>
          <xdr:cNvSpPr/>
        </xdr:nvSpPr>
        <xdr:spPr>
          <a:xfrm>
            <a:off x="7162800" y="3121152"/>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327660</xdr:colOff>
      <xdr:row>6</xdr:row>
      <xdr:rowOff>83820</xdr:rowOff>
    </xdr:from>
    <xdr:to>
      <xdr:col>11</xdr:col>
      <xdr:colOff>266700</xdr:colOff>
      <xdr:row>13</xdr:row>
      <xdr:rowOff>175260</xdr:rowOff>
    </xdr:to>
    <xdr:grpSp>
      <xdr:nvGrpSpPr>
        <xdr:cNvPr id="11" name="Group 10">
          <a:extLst>
            <a:ext uri="{FF2B5EF4-FFF2-40B4-BE49-F238E27FC236}">
              <a16:creationId xmlns:a16="http://schemas.microsoft.com/office/drawing/2014/main" id="{0DCF6EED-0E7A-2549-9C2B-F58AEB25F830}"/>
            </a:ext>
          </a:extLst>
        </xdr:cNvPr>
        <xdr:cNvGrpSpPr/>
      </xdr:nvGrpSpPr>
      <xdr:grpSpPr>
        <a:xfrm>
          <a:off x="4476327" y="1226820"/>
          <a:ext cx="2309706" cy="1424940"/>
          <a:chOff x="5141976" y="3121152"/>
          <a:chExt cx="1908048" cy="1347216"/>
        </a:xfrm>
        <a:effectLst>
          <a:outerShdw blurRad="254000" dist="127000" dir="8100000" algn="tr" rotWithShape="0">
            <a:prstClr val="black">
              <a:alpha val="90000"/>
            </a:prstClr>
          </a:outerShdw>
        </a:effectLst>
      </xdr:grpSpPr>
      <xdr:sp macro="" textlink="">
        <xdr:nvSpPr>
          <xdr:cNvPr id="15" name="Rectangle: Rounded Corners 14">
            <a:extLst>
              <a:ext uri="{FF2B5EF4-FFF2-40B4-BE49-F238E27FC236}">
                <a16:creationId xmlns:a16="http://schemas.microsoft.com/office/drawing/2014/main" id="{549A14A7-ECDD-6DDA-5111-2FAA1A72E322}"/>
              </a:ext>
            </a:extLst>
          </xdr:cNvPr>
          <xdr:cNvSpPr/>
        </xdr:nvSpPr>
        <xdr:spPr>
          <a:xfrm>
            <a:off x="5141976"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6" name="Rectangle: Rounded Corners 15">
            <a:extLst>
              <a:ext uri="{FF2B5EF4-FFF2-40B4-BE49-F238E27FC236}">
                <a16:creationId xmlns:a16="http://schemas.microsoft.com/office/drawing/2014/main" id="{19E21AEE-B163-55FF-8909-1D0BF38F51EC}"/>
              </a:ext>
            </a:extLst>
          </xdr:cNvPr>
          <xdr:cNvSpPr/>
        </xdr:nvSpPr>
        <xdr:spPr>
          <a:xfrm>
            <a:off x="5141976" y="3121152"/>
            <a:ext cx="1908048" cy="1347216"/>
          </a:xfrm>
          <a:prstGeom prst="roundRect">
            <a:avLst>
              <a:gd name="adj" fmla="val 9880"/>
            </a:avLst>
          </a:prstGeom>
          <a:gradFill flip="none" rotWithShape="1">
            <a:gsLst>
              <a:gs pos="52000">
                <a:srgbClr val="1F1F98">
                  <a:alpha val="0"/>
                </a:srgbClr>
              </a:gs>
              <a:gs pos="4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205740</xdr:colOff>
      <xdr:row>6</xdr:row>
      <xdr:rowOff>83820</xdr:rowOff>
    </xdr:from>
    <xdr:to>
      <xdr:col>7</xdr:col>
      <xdr:colOff>144780</xdr:colOff>
      <xdr:row>13</xdr:row>
      <xdr:rowOff>175260</xdr:rowOff>
    </xdr:to>
    <xdr:grpSp>
      <xdr:nvGrpSpPr>
        <xdr:cNvPr id="10" name="Group 9">
          <a:extLst>
            <a:ext uri="{FF2B5EF4-FFF2-40B4-BE49-F238E27FC236}">
              <a16:creationId xmlns:a16="http://schemas.microsoft.com/office/drawing/2014/main" id="{C723CC56-7CA4-19BE-A7E3-B73849AFE49E}"/>
            </a:ext>
          </a:extLst>
        </xdr:cNvPr>
        <xdr:cNvGrpSpPr/>
      </xdr:nvGrpSpPr>
      <xdr:grpSpPr>
        <a:xfrm>
          <a:off x="1983740" y="1226820"/>
          <a:ext cx="2309707" cy="1424940"/>
          <a:chOff x="3121152" y="3121152"/>
          <a:chExt cx="1908048" cy="1347216"/>
        </a:xfrm>
        <a:effectLst>
          <a:outerShdw blurRad="254000" dist="127000" dir="8100000" algn="tr" rotWithShape="0">
            <a:prstClr val="black">
              <a:alpha val="90000"/>
            </a:prstClr>
          </a:outerShdw>
        </a:effectLst>
      </xdr:grpSpPr>
      <xdr:sp macro="" textlink="">
        <xdr:nvSpPr>
          <xdr:cNvPr id="17" name="Rectangle: Rounded Corners 16">
            <a:extLst>
              <a:ext uri="{FF2B5EF4-FFF2-40B4-BE49-F238E27FC236}">
                <a16:creationId xmlns:a16="http://schemas.microsoft.com/office/drawing/2014/main" id="{25C1ED8F-1C2C-DB40-19A6-FA3CA4B007C5}"/>
              </a:ext>
            </a:extLst>
          </xdr:cNvPr>
          <xdr:cNvSpPr/>
        </xdr:nvSpPr>
        <xdr:spPr>
          <a:xfrm>
            <a:off x="3121152"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8" name="Rectangle: Rounded Corners 17">
            <a:extLst>
              <a:ext uri="{FF2B5EF4-FFF2-40B4-BE49-F238E27FC236}">
                <a16:creationId xmlns:a16="http://schemas.microsoft.com/office/drawing/2014/main" id="{51B474A5-BC80-7908-C8F6-53F0A51FA103}"/>
              </a:ext>
            </a:extLst>
          </xdr:cNvPr>
          <xdr:cNvSpPr/>
        </xdr:nvSpPr>
        <xdr:spPr>
          <a:xfrm>
            <a:off x="3121152" y="3121152"/>
            <a:ext cx="1908048" cy="1347216"/>
          </a:xfrm>
          <a:prstGeom prst="roundRect">
            <a:avLst>
              <a:gd name="adj" fmla="val 9880"/>
            </a:avLst>
          </a:prstGeom>
          <a:gradFill flip="none" rotWithShape="1">
            <a:gsLst>
              <a:gs pos="52000">
                <a:srgbClr val="1F1F98">
                  <a:alpha val="0"/>
                </a:srgbClr>
              </a:gs>
              <a:gs pos="4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205740</xdr:colOff>
      <xdr:row>15</xdr:row>
      <xdr:rowOff>38100</xdr:rowOff>
    </xdr:from>
    <xdr:to>
      <xdr:col>11</xdr:col>
      <xdr:colOff>266700</xdr:colOff>
      <xdr:row>25</xdr:row>
      <xdr:rowOff>129540</xdr:rowOff>
    </xdr:to>
    <xdr:sp macro="" textlink="">
      <xdr:nvSpPr>
        <xdr:cNvPr id="20" name="Rectangle: Rounded Corners 19">
          <a:extLst>
            <a:ext uri="{FF2B5EF4-FFF2-40B4-BE49-F238E27FC236}">
              <a16:creationId xmlns:a16="http://schemas.microsoft.com/office/drawing/2014/main" id="{36F2669F-ECCD-9C87-D7B7-53A2EE933BD5}"/>
            </a:ext>
          </a:extLst>
        </xdr:cNvPr>
        <xdr:cNvSpPr/>
      </xdr:nvSpPr>
      <xdr:spPr>
        <a:xfrm>
          <a:off x="2034540" y="2781300"/>
          <a:ext cx="4937760" cy="1920240"/>
        </a:xfrm>
        <a:prstGeom prst="roundRect">
          <a:avLst>
            <a:gd name="adj" fmla="val 8874"/>
          </a:avLst>
        </a:prstGeom>
        <a:gradFill flip="none" rotWithShape="1">
          <a:gsLst>
            <a:gs pos="4000">
              <a:srgbClr val="0F0048"/>
            </a:gs>
            <a:gs pos="67000">
              <a:srgbClr val="0A002F"/>
            </a:gs>
          </a:gsLst>
          <a:lin ang="8100000" scaled="1"/>
          <a:tileRect/>
        </a:gradFill>
        <a:ln w="9525">
          <a:gradFill flip="none" rotWithShape="1">
            <a:gsLst>
              <a:gs pos="0">
                <a:srgbClr val="2C48D4"/>
              </a:gs>
              <a:gs pos="39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453043</xdr:colOff>
      <xdr:row>3</xdr:row>
      <xdr:rowOff>138694</xdr:rowOff>
    </xdr:from>
    <xdr:to>
      <xdr:col>20</xdr:col>
      <xdr:colOff>80356</xdr:colOff>
      <xdr:row>14</xdr:row>
      <xdr:rowOff>73224</xdr:rowOff>
    </xdr:to>
    <xdr:graphicFrame macro="">
      <xdr:nvGraphicFramePr>
        <xdr:cNvPr id="3" name="Chart 2">
          <a:extLst>
            <a:ext uri="{FF2B5EF4-FFF2-40B4-BE49-F238E27FC236}">
              <a16:creationId xmlns:a16="http://schemas.microsoft.com/office/drawing/2014/main" id="{6B51DBBA-C95B-4556-BBA1-92DC40A217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155448</xdr:colOff>
      <xdr:row>26</xdr:row>
      <xdr:rowOff>152400</xdr:rowOff>
    </xdr:from>
    <xdr:to>
      <xdr:col>19</xdr:col>
      <xdr:colOff>521208</xdr:colOff>
      <xdr:row>37</xdr:row>
      <xdr:rowOff>60960</xdr:rowOff>
    </xdr:to>
    <xdr:sp macro="" textlink="">
      <xdr:nvSpPr>
        <xdr:cNvPr id="6" name="Rectangle: Rounded Corners 5">
          <a:extLst>
            <a:ext uri="{FF2B5EF4-FFF2-40B4-BE49-F238E27FC236}">
              <a16:creationId xmlns:a16="http://schemas.microsoft.com/office/drawing/2014/main" id="{D9A6E006-1D89-0A81-2B3F-D78E865CBABA}"/>
            </a:ext>
          </a:extLst>
        </xdr:cNvPr>
        <xdr:cNvSpPr/>
      </xdr:nvSpPr>
      <xdr:spPr>
        <a:xfrm>
          <a:off x="8080248" y="4907280"/>
          <a:ext cx="4023360" cy="1920240"/>
        </a:xfrm>
        <a:prstGeom prst="roundRect">
          <a:avLst>
            <a:gd name="adj" fmla="val 8874"/>
          </a:avLst>
        </a:prstGeom>
        <a:gradFill flip="none" rotWithShape="1">
          <a:gsLst>
            <a:gs pos="4000">
              <a:srgbClr val="0F0048"/>
            </a:gs>
            <a:gs pos="40000">
              <a:srgbClr val="0A002F"/>
            </a:gs>
          </a:gsLst>
          <a:lin ang="5400000" scaled="0"/>
          <a:tileRect/>
        </a:gradFill>
        <a:ln w="9525">
          <a:gradFill flip="none" rotWithShape="1">
            <a:gsLst>
              <a:gs pos="0">
                <a:srgbClr val="2C48D4"/>
              </a:gs>
              <a:gs pos="39000">
                <a:srgbClr val="171B61"/>
              </a:gs>
            </a:gsLst>
            <a:lin ang="60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460248</xdr:colOff>
      <xdr:row>15</xdr:row>
      <xdr:rowOff>38100</xdr:rowOff>
    </xdr:from>
    <xdr:to>
      <xdr:col>15</xdr:col>
      <xdr:colOff>399288</xdr:colOff>
      <xdr:row>25</xdr:row>
      <xdr:rowOff>129540</xdr:rowOff>
    </xdr:to>
    <xdr:sp macro="" textlink="">
      <xdr:nvSpPr>
        <xdr:cNvPr id="8" name="Rectangle: Rounded Corners 7">
          <a:extLst>
            <a:ext uri="{FF2B5EF4-FFF2-40B4-BE49-F238E27FC236}">
              <a16:creationId xmlns:a16="http://schemas.microsoft.com/office/drawing/2014/main" id="{4A6A7E50-D43D-DC54-6FEA-ED512CE6BFC2}"/>
            </a:ext>
          </a:extLst>
        </xdr:cNvPr>
        <xdr:cNvSpPr/>
      </xdr:nvSpPr>
      <xdr:spPr>
        <a:xfrm>
          <a:off x="7165848" y="2781300"/>
          <a:ext cx="2377440" cy="1920240"/>
        </a:xfrm>
        <a:prstGeom prst="roundRect">
          <a:avLst>
            <a:gd name="adj" fmla="val 8874"/>
          </a:avLst>
        </a:prstGeom>
        <a:gradFill flip="none" rotWithShape="1">
          <a:gsLst>
            <a:gs pos="4000">
              <a:srgbClr val="150064"/>
            </a:gs>
            <a:gs pos="67000">
              <a:srgbClr val="0A002F"/>
            </a:gs>
          </a:gsLst>
          <a:lin ang="8100000" scaled="1"/>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582168</xdr:colOff>
      <xdr:row>15</xdr:row>
      <xdr:rowOff>38100</xdr:rowOff>
    </xdr:from>
    <xdr:to>
      <xdr:col>19</xdr:col>
      <xdr:colOff>521208</xdr:colOff>
      <xdr:row>25</xdr:row>
      <xdr:rowOff>129540</xdr:rowOff>
    </xdr:to>
    <xdr:sp macro="" textlink="">
      <xdr:nvSpPr>
        <xdr:cNvPr id="9" name="Rectangle: Rounded Corners 8">
          <a:extLst>
            <a:ext uri="{FF2B5EF4-FFF2-40B4-BE49-F238E27FC236}">
              <a16:creationId xmlns:a16="http://schemas.microsoft.com/office/drawing/2014/main" id="{7335DD2E-428E-21B9-D820-60C1A1BF0C3F}"/>
            </a:ext>
          </a:extLst>
        </xdr:cNvPr>
        <xdr:cNvSpPr/>
      </xdr:nvSpPr>
      <xdr:spPr>
        <a:xfrm>
          <a:off x="9726168" y="2781300"/>
          <a:ext cx="2377440" cy="1920240"/>
        </a:xfrm>
        <a:prstGeom prst="roundRect">
          <a:avLst>
            <a:gd name="adj" fmla="val 8874"/>
          </a:avLst>
        </a:prstGeom>
        <a:gradFill flip="none" rotWithShape="1">
          <a:gsLst>
            <a:gs pos="4000">
              <a:srgbClr val="150064"/>
            </a:gs>
            <a:gs pos="67000">
              <a:srgbClr val="0A002F"/>
            </a:gs>
          </a:gsLst>
          <a:lin ang="8100000" scaled="1"/>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205740</xdr:colOff>
      <xdr:row>26</xdr:row>
      <xdr:rowOff>152400</xdr:rowOff>
    </xdr:from>
    <xdr:to>
      <xdr:col>8</xdr:col>
      <xdr:colOff>449580</xdr:colOff>
      <xdr:row>37</xdr:row>
      <xdr:rowOff>60960</xdr:rowOff>
    </xdr:to>
    <xdr:sp macro="" textlink="">
      <xdr:nvSpPr>
        <xdr:cNvPr id="21" name="Rectangle: Rounded Corners 20">
          <a:extLst>
            <a:ext uri="{FF2B5EF4-FFF2-40B4-BE49-F238E27FC236}">
              <a16:creationId xmlns:a16="http://schemas.microsoft.com/office/drawing/2014/main" id="{2EFA879B-0CF9-38E0-BE28-A165079E7DA2}"/>
            </a:ext>
          </a:extLst>
        </xdr:cNvPr>
        <xdr:cNvSpPr/>
      </xdr:nvSpPr>
      <xdr:spPr>
        <a:xfrm>
          <a:off x="2034540" y="4907280"/>
          <a:ext cx="3291840" cy="1920240"/>
        </a:xfrm>
        <a:prstGeom prst="roundRect">
          <a:avLst>
            <a:gd name="adj" fmla="val 8874"/>
          </a:avLst>
        </a:prstGeom>
        <a:gradFill flip="none" rotWithShape="1">
          <a:gsLst>
            <a:gs pos="4000">
              <a:srgbClr val="0F0048"/>
            </a:gs>
            <a:gs pos="40000">
              <a:srgbClr val="0A002F"/>
            </a:gs>
          </a:gsLst>
          <a:lin ang="5400000" scaled="0"/>
          <a:tileRect/>
        </a:gradFill>
        <a:ln w="9525">
          <a:gradFill flip="none" rotWithShape="1">
            <a:gsLst>
              <a:gs pos="0">
                <a:srgbClr val="2C48D4"/>
              </a:gs>
              <a:gs pos="39000">
                <a:srgbClr val="171B61"/>
              </a:gs>
            </a:gsLst>
            <a:lin ang="72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3</xdr:col>
      <xdr:colOff>304800</xdr:colOff>
      <xdr:row>15</xdr:row>
      <xdr:rowOff>99060</xdr:rowOff>
    </xdr:from>
    <xdr:to>
      <xdr:col>11</xdr:col>
      <xdr:colOff>182880</xdr:colOff>
      <xdr:row>23</xdr:row>
      <xdr:rowOff>99060</xdr:rowOff>
    </xdr:to>
    <xdr:graphicFrame macro="">
      <xdr:nvGraphicFramePr>
        <xdr:cNvPr id="24" name="Chart 23">
          <a:extLst>
            <a:ext uri="{FF2B5EF4-FFF2-40B4-BE49-F238E27FC236}">
              <a16:creationId xmlns:a16="http://schemas.microsoft.com/office/drawing/2014/main" id="{43981708-60F6-4F93-A971-26BBE57BB0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518160</xdr:colOff>
      <xdr:row>17</xdr:row>
      <xdr:rowOff>30480</xdr:rowOff>
    </xdr:from>
    <xdr:to>
      <xdr:col>15</xdr:col>
      <xdr:colOff>358140</xdr:colOff>
      <xdr:row>25</xdr:row>
      <xdr:rowOff>45720</xdr:rowOff>
    </xdr:to>
    <xdr:graphicFrame macro="">
      <xdr:nvGraphicFramePr>
        <xdr:cNvPr id="25" name="Chart 24">
          <a:extLst>
            <a:ext uri="{FF2B5EF4-FFF2-40B4-BE49-F238E27FC236}">
              <a16:creationId xmlns:a16="http://schemas.microsoft.com/office/drawing/2014/main" id="{F0862108-549D-4D78-9C25-A2135E05DF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454283</xdr:colOff>
      <xdr:row>17</xdr:row>
      <xdr:rowOff>114300</xdr:rowOff>
    </xdr:from>
    <xdr:to>
      <xdr:col>19</xdr:col>
      <xdr:colOff>48800</xdr:colOff>
      <xdr:row>25</xdr:row>
      <xdr:rowOff>44747</xdr:rowOff>
    </xdr:to>
    <xdr:grpSp>
      <xdr:nvGrpSpPr>
        <xdr:cNvPr id="53" name="Group 52">
          <a:extLst>
            <a:ext uri="{FF2B5EF4-FFF2-40B4-BE49-F238E27FC236}">
              <a16:creationId xmlns:a16="http://schemas.microsoft.com/office/drawing/2014/main" id="{DC4CA6E6-1E2F-EEA8-B8DC-D1549FF2BF98}"/>
            </a:ext>
          </a:extLst>
        </xdr:cNvPr>
        <xdr:cNvGrpSpPr/>
      </xdr:nvGrpSpPr>
      <xdr:grpSpPr>
        <a:xfrm>
          <a:off x="9936950" y="3352800"/>
          <a:ext cx="1372517" cy="1454447"/>
          <a:chOff x="10207883" y="3116580"/>
          <a:chExt cx="1423317" cy="1393487"/>
        </a:xfrm>
      </xdr:grpSpPr>
      <xdr:cxnSp macro="">
        <xdr:nvCxnSpPr>
          <xdr:cNvPr id="36" name="Straight Connector 35">
            <a:extLst>
              <a:ext uri="{FF2B5EF4-FFF2-40B4-BE49-F238E27FC236}">
                <a16:creationId xmlns:a16="http://schemas.microsoft.com/office/drawing/2014/main" id="{79943900-6939-4A8B-9EA4-D20DF2EDF0C3}"/>
              </a:ext>
            </a:extLst>
          </xdr:cNvPr>
          <xdr:cNvCxnSpPr/>
        </xdr:nvCxnSpPr>
        <xdr:spPr>
          <a:xfrm>
            <a:off x="10911840" y="31165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37" name="Straight Connector 36">
            <a:extLst>
              <a:ext uri="{FF2B5EF4-FFF2-40B4-BE49-F238E27FC236}">
                <a16:creationId xmlns:a16="http://schemas.microsoft.com/office/drawing/2014/main" id="{FCF66E33-E554-DD77-B188-FECB26615A66}"/>
              </a:ext>
            </a:extLst>
          </xdr:cNvPr>
          <xdr:cNvCxnSpPr/>
        </xdr:nvCxnSpPr>
        <xdr:spPr>
          <a:xfrm rot="17280000">
            <a:off x="10573643" y="3369175"/>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38" name="Straight Connector 37">
            <a:extLst>
              <a:ext uri="{FF2B5EF4-FFF2-40B4-BE49-F238E27FC236}">
                <a16:creationId xmlns:a16="http://schemas.microsoft.com/office/drawing/2014/main" id="{E1CEEB0A-096E-ED0E-CB2E-0747903366AC}"/>
              </a:ext>
            </a:extLst>
          </xdr:cNvPr>
          <xdr:cNvCxnSpPr/>
        </xdr:nvCxnSpPr>
        <xdr:spPr>
          <a:xfrm rot="4320000">
            <a:off x="11265440" y="3365932"/>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39" name="Straight Connector 38">
            <a:extLst>
              <a:ext uri="{FF2B5EF4-FFF2-40B4-BE49-F238E27FC236}">
                <a16:creationId xmlns:a16="http://schemas.microsoft.com/office/drawing/2014/main" id="{80AD03DB-E5C9-FA8D-5C48-F53F014D9ACA}"/>
              </a:ext>
            </a:extLst>
          </xdr:cNvPr>
          <xdr:cNvCxnSpPr/>
        </xdr:nvCxnSpPr>
        <xdr:spPr>
          <a:xfrm rot="8640000">
            <a:off x="11128548" y="3778547"/>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40" name="Straight Connector 39">
            <a:extLst>
              <a:ext uri="{FF2B5EF4-FFF2-40B4-BE49-F238E27FC236}">
                <a16:creationId xmlns:a16="http://schemas.microsoft.com/office/drawing/2014/main" id="{2429ABA2-AD43-850D-60A4-794E21B953B0}"/>
              </a:ext>
            </a:extLst>
          </xdr:cNvPr>
          <xdr:cNvCxnSpPr/>
        </xdr:nvCxnSpPr>
        <xdr:spPr>
          <a:xfrm rot="12960000">
            <a:off x="10698376" y="37642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292319</xdr:colOff>
      <xdr:row>16</xdr:row>
      <xdr:rowOff>143480</xdr:rowOff>
    </xdr:from>
    <xdr:to>
      <xdr:col>19</xdr:col>
      <xdr:colOff>200879</xdr:colOff>
      <xdr:row>26</xdr:row>
      <xdr:rowOff>63714</xdr:rowOff>
    </xdr:to>
    <xdr:graphicFrame macro="">
      <xdr:nvGraphicFramePr>
        <xdr:cNvPr id="26" name="Chart 25">
          <a:extLst>
            <a:ext uri="{FF2B5EF4-FFF2-40B4-BE49-F238E27FC236}">
              <a16:creationId xmlns:a16="http://schemas.microsoft.com/office/drawing/2014/main" id="{5D305DAB-F906-4CB1-8DA3-BEBC176A67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53340</xdr:colOff>
      <xdr:row>15</xdr:row>
      <xdr:rowOff>175260</xdr:rowOff>
    </xdr:from>
    <xdr:ext cx="65" cy="172227"/>
    <xdr:sp macro="" textlink="">
      <xdr:nvSpPr>
        <xdr:cNvPr id="34" name="TextBox 33">
          <a:extLst>
            <a:ext uri="{FF2B5EF4-FFF2-40B4-BE49-F238E27FC236}">
              <a16:creationId xmlns:a16="http://schemas.microsoft.com/office/drawing/2014/main" id="{3F8C0DC2-5C74-6257-8F8D-9FAC9C3DC558}"/>
            </a:ext>
          </a:extLst>
        </xdr:cNvPr>
        <xdr:cNvSpPr txBox="1"/>
      </xdr:nvSpPr>
      <xdr:spPr>
        <a:xfrm>
          <a:off x="6758940" y="29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ru-RU" sz="1100"/>
        </a:p>
      </xdr:txBody>
    </xdr:sp>
    <xdr:clientData/>
  </xdr:oneCellAnchor>
  <xdr:twoCellAnchor>
    <xdr:from>
      <xdr:col>13</xdr:col>
      <xdr:colOff>243840</xdr:colOff>
      <xdr:row>28</xdr:row>
      <xdr:rowOff>38100</xdr:rowOff>
    </xdr:from>
    <xdr:to>
      <xdr:col>19</xdr:col>
      <xdr:colOff>441960</xdr:colOff>
      <xdr:row>36</xdr:row>
      <xdr:rowOff>160020</xdr:rowOff>
    </xdr:to>
    <xdr:graphicFrame macro="">
      <xdr:nvGraphicFramePr>
        <xdr:cNvPr id="42" name="Chart 41">
          <a:extLst>
            <a:ext uri="{FF2B5EF4-FFF2-40B4-BE49-F238E27FC236}">
              <a16:creationId xmlns:a16="http://schemas.microsoft.com/office/drawing/2014/main" id="{EA201250-6E3A-43DF-99BD-B7BD5B173B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57150</xdr:colOff>
      <xdr:row>34</xdr:row>
      <xdr:rowOff>87630</xdr:rowOff>
    </xdr:from>
    <xdr:to>
      <xdr:col>8</xdr:col>
      <xdr:colOff>41910</xdr:colOff>
      <xdr:row>36</xdr:row>
      <xdr:rowOff>160782</xdr:rowOff>
    </xdr:to>
    <xdr:graphicFrame macro="">
      <xdr:nvGraphicFramePr>
        <xdr:cNvPr id="28" name="Chart 27">
          <a:extLst>
            <a:ext uri="{FF2B5EF4-FFF2-40B4-BE49-F238E27FC236}">
              <a16:creationId xmlns:a16="http://schemas.microsoft.com/office/drawing/2014/main" id="{90D33191-60A0-4938-A95C-C8B229145C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4</xdr:col>
      <xdr:colOff>358579</xdr:colOff>
      <xdr:row>27</xdr:row>
      <xdr:rowOff>91879</xdr:rowOff>
    </xdr:from>
    <xdr:to>
      <xdr:col>7</xdr:col>
      <xdr:colOff>358579</xdr:colOff>
      <xdr:row>37</xdr:row>
      <xdr:rowOff>91879</xdr:rowOff>
    </xdr:to>
    <xdr:graphicFrame macro="">
      <xdr:nvGraphicFramePr>
        <xdr:cNvPr id="5" name="Chart 4">
          <a:extLst>
            <a:ext uri="{FF2B5EF4-FFF2-40B4-BE49-F238E27FC236}">
              <a16:creationId xmlns:a16="http://schemas.microsoft.com/office/drawing/2014/main" id="{850045A1-F982-4139-AE76-FC66CB61D54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4</xdr:col>
      <xdr:colOff>57150</xdr:colOff>
      <xdr:row>34</xdr:row>
      <xdr:rowOff>87630</xdr:rowOff>
    </xdr:from>
    <xdr:to>
      <xdr:col>8</xdr:col>
      <xdr:colOff>41910</xdr:colOff>
      <xdr:row>36</xdr:row>
      <xdr:rowOff>160782</xdr:rowOff>
    </xdr:to>
    <xdr:graphicFrame macro="">
      <xdr:nvGraphicFramePr>
        <xdr:cNvPr id="29" name="Chart 28">
          <a:extLst>
            <a:ext uri="{FF2B5EF4-FFF2-40B4-BE49-F238E27FC236}">
              <a16:creationId xmlns:a16="http://schemas.microsoft.com/office/drawing/2014/main" id="{DA601DD2-EDCC-438F-96D4-5731EDD2D14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3</xdr:col>
      <xdr:colOff>243840</xdr:colOff>
      <xdr:row>7</xdr:row>
      <xdr:rowOff>91440</xdr:rowOff>
    </xdr:from>
    <xdr:to>
      <xdr:col>6</xdr:col>
      <xdr:colOff>243840</xdr:colOff>
      <xdr:row>11</xdr:row>
      <xdr:rowOff>0</xdr:rowOff>
    </xdr:to>
    <xdr:sp macro="" textlink="Processing!O9">
      <xdr:nvSpPr>
        <xdr:cNvPr id="44" name="TextBox 43">
          <a:extLst>
            <a:ext uri="{FF2B5EF4-FFF2-40B4-BE49-F238E27FC236}">
              <a16:creationId xmlns:a16="http://schemas.microsoft.com/office/drawing/2014/main" id="{EA3437F1-EBBD-E1B7-8B45-3C8067CE6146}"/>
            </a:ext>
          </a:extLst>
        </xdr:cNvPr>
        <xdr:cNvSpPr txBox="1"/>
      </xdr:nvSpPr>
      <xdr:spPr>
        <a:xfrm>
          <a:off x="2072640" y="1371600"/>
          <a:ext cx="18288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67A2AF-8475-4C35-85E3-B52DD60A765F}" type="TxLink">
            <a:rPr lang="en-US" sz="3200" b="0" i="0" u="none" strike="noStrike">
              <a:solidFill>
                <a:schemeClr val="bg1"/>
              </a:solidFill>
              <a:latin typeface="Aptos Narrow"/>
            </a:rPr>
            <a:pPr/>
            <a:t>80/220</a:t>
          </a:fld>
          <a:endParaRPr lang="ru-RU" sz="3200">
            <a:solidFill>
              <a:schemeClr val="bg1"/>
            </a:solidFill>
          </a:endParaRPr>
        </a:p>
      </xdr:txBody>
    </xdr:sp>
    <xdr:clientData/>
  </xdr:twoCellAnchor>
  <xdr:twoCellAnchor>
    <xdr:from>
      <xdr:col>5</xdr:col>
      <xdr:colOff>405870</xdr:colOff>
      <xdr:row>7</xdr:row>
      <xdr:rowOff>152400</xdr:rowOff>
    </xdr:from>
    <xdr:to>
      <xdr:col>7</xdr:col>
      <xdr:colOff>101070</xdr:colOff>
      <xdr:row>12</xdr:row>
      <xdr:rowOff>152400</xdr:rowOff>
    </xdr:to>
    <xdr:graphicFrame macro="">
      <xdr:nvGraphicFramePr>
        <xdr:cNvPr id="45" name="Chart 44">
          <a:extLst>
            <a:ext uri="{FF2B5EF4-FFF2-40B4-BE49-F238E27FC236}">
              <a16:creationId xmlns:a16="http://schemas.microsoft.com/office/drawing/2014/main" id="{FCC3E07C-8E27-40C4-AEEA-D78D94CA67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444316</xdr:colOff>
      <xdr:row>9</xdr:row>
      <xdr:rowOff>54293</xdr:rowOff>
    </xdr:from>
    <xdr:to>
      <xdr:col>7</xdr:col>
      <xdr:colOff>81464</xdr:colOff>
      <xdr:row>11</xdr:row>
      <xdr:rowOff>60008</xdr:rowOff>
    </xdr:to>
    <xdr:sp macro="" textlink="Processing!N11">
      <xdr:nvSpPr>
        <xdr:cNvPr id="46" name="TextBox 45">
          <a:extLst>
            <a:ext uri="{FF2B5EF4-FFF2-40B4-BE49-F238E27FC236}">
              <a16:creationId xmlns:a16="http://schemas.microsoft.com/office/drawing/2014/main" id="{17DB7728-228D-978E-6CCD-3FC016EE8868}"/>
            </a:ext>
          </a:extLst>
        </xdr:cNvPr>
        <xdr:cNvSpPr txBox="1"/>
      </xdr:nvSpPr>
      <xdr:spPr>
        <a:xfrm>
          <a:off x="349231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D98AD8D-AE2D-4622-A0C3-3A270A6A486D}" type="TxLink">
            <a:rPr lang="en-US" sz="1400" b="0" i="0" u="none" strike="noStrike">
              <a:solidFill>
                <a:schemeClr val="bg1"/>
              </a:solidFill>
              <a:latin typeface="Aptos Narrow"/>
            </a:rPr>
            <a:pPr algn="ctr"/>
            <a:t>36%</a:t>
          </a:fld>
          <a:endParaRPr lang="ru-RU" sz="4800">
            <a:solidFill>
              <a:schemeClr val="bg1"/>
            </a:solidFill>
          </a:endParaRPr>
        </a:p>
      </xdr:txBody>
    </xdr:sp>
    <xdr:clientData/>
  </xdr:twoCellAnchor>
  <xdr:twoCellAnchor>
    <xdr:from>
      <xdr:col>3</xdr:col>
      <xdr:colOff>320040</xdr:colOff>
      <xdr:row>11</xdr:row>
      <xdr:rowOff>38100</xdr:rowOff>
    </xdr:from>
    <xdr:to>
      <xdr:col>6</xdr:col>
      <xdr:colOff>160020</xdr:colOff>
      <xdr:row>14</xdr:row>
      <xdr:rowOff>76200</xdr:rowOff>
    </xdr:to>
    <xdr:sp macro="" textlink="Processing!M8">
      <xdr:nvSpPr>
        <xdr:cNvPr id="47" name="TextBox 46">
          <a:extLst>
            <a:ext uri="{FF2B5EF4-FFF2-40B4-BE49-F238E27FC236}">
              <a16:creationId xmlns:a16="http://schemas.microsoft.com/office/drawing/2014/main" id="{C0ADF0C6-EF59-EB81-1D5D-8199AF19601C}"/>
            </a:ext>
          </a:extLst>
        </xdr:cNvPr>
        <xdr:cNvSpPr txBox="1"/>
      </xdr:nvSpPr>
      <xdr:spPr>
        <a:xfrm>
          <a:off x="214884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ECB5B-08AB-4119-8CB9-6CC6396EF104}" type="TxLink">
            <a:rPr lang="en-US" sz="1600" b="0" i="0" u="none" strike="noStrike">
              <a:solidFill>
                <a:schemeClr val="bg1"/>
              </a:solidFill>
              <a:latin typeface="Aptos Narrow"/>
            </a:rPr>
            <a:pPr/>
            <a:t>Scope of Work</a:t>
          </a:fld>
          <a:endParaRPr lang="ru-RU" sz="4400">
            <a:solidFill>
              <a:schemeClr val="bg1"/>
            </a:solidFill>
          </a:endParaRPr>
        </a:p>
      </xdr:txBody>
    </xdr:sp>
    <xdr:clientData/>
  </xdr:twoCellAnchor>
  <xdr:twoCellAnchor>
    <xdr:from>
      <xdr:col>9</xdr:col>
      <xdr:colOff>533400</xdr:colOff>
      <xdr:row>7</xdr:row>
      <xdr:rowOff>152400</xdr:rowOff>
    </xdr:from>
    <xdr:to>
      <xdr:col>11</xdr:col>
      <xdr:colOff>228600</xdr:colOff>
      <xdr:row>12</xdr:row>
      <xdr:rowOff>152400</xdr:rowOff>
    </xdr:to>
    <xdr:graphicFrame macro="">
      <xdr:nvGraphicFramePr>
        <xdr:cNvPr id="4" name="Chart 3">
          <a:extLst>
            <a:ext uri="{FF2B5EF4-FFF2-40B4-BE49-F238E27FC236}">
              <a16:creationId xmlns:a16="http://schemas.microsoft.com/office/drawing/2014/main" id="{AE408BCD-7220-4318-B9DC-DA93FFF5AB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7</xdr:col>
      <xdr:colOff>411480</xdr:colOff>
      <xdr:row>11</xdr:row>
      <xdr:rowOff>38100</xdr:rowOff>
    </xdr:from>
    <xdr:to>
      <xdr:col>10</xdr:col>
      <xdr:colOff>251460</xdr:colOff>
      <xdr:row>14</xdr:row>
      <xdr:rowOff>76200</xdr:rowOff>
    </xdr:to>
    <xdr:sp macro="" textlink="Processing!O5">
      <xdr:nvSpPr>
        <xdr:cNvPr id="7" name="TextBox 6">
          <a:extLst>
            <a:ext uri="{FF2B5EF4-FFF2-40B4-BE49-F238E27FC236}">
              <a16:creationId xmlns:a16="http://schemas.microsoft.com/office/drawing/2014/main" id="{ACD60C79-8104-D831-D3AA-D2E6A0B1D164}"/>
            </a:ext>
          </a:extLst>
        </xdr:cNvPr>
        <xdr:cNvSpPr txBox="1"/>
      </xdr:nvSpPr>
      <xdr:spPr>
        <a:xfrm>
          <a:off x="467868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7FFC1-29C6-40F9-9BB1-2D31ED36B262}" type="TxLink">
            <a:rPr lang="en-US" sz="1600" b="0" i="0" u="none" strike="noStrike">
              <a:solidFill>
                <a:schemeClr val="bg1"/>
              </a:solidFill>
              <a:latin typeface="Aptos Narrow"/>
              <a:ea typeface="+mn-ea"/>
              <a:cs typeface="+mn-cs"/>
            </a:rPr>
            <a:pPr marL="0" indent="0"/>
            <a:t>Time Remaining</a:t>
          </a:fld>
          <a:endParaRPr lang="ru-RU" sz="1600" b="0" i="0" u="none" strike="noStrike">
            <a:solidFill>
              <a:schemeClr val="bg1"/>
            </a:solidFill>
            <a:latin typeface="Aptos Narrow"/>
            <a:ea typeface="+mn-ea"/>
            <a:cs typeface="+mn-cs"/>
          </a:endParaRPr>
        </a:p>
      </xdr:txBody>
    </xdr:sp>
    <xdr:clientData/>
  </xdr:twoCellAnchor>
  <xdr:twoCellAnchor>
    <xdr:from>
      <xdr:col>7</xdr:col>
      <xdr:colOff>373380</xdr:colOff>
      <xdr:row>7</xdr:row>
      <xdr:rowOff>91440</xdr:rowOff>
    </xdr:from>
    <xdr:to>
      <xdr:col>9</xdr:col>
      <xdr:colOff>152400</xdr:colOff>
      <xdr:row>11</xdr:row>
      <xdr:rowOff>0</xdr:rowOff>
    </xdr:to>
    <xdr:sp macro="" textlink="Processing!M6">
      <xdr:nvSpPr>
        <xdr:cNvPr id="19" name="TextBox 18">
          <a:extLst>
            <a:ext uri="{FF2B5EF4-FFF2-40B4-BE49-F238E27FC236}">
              <a16:creationId xmlns:a16="http://schemas.microsoft.com/office/drawing/2014/main" id="{202EEAC6-9332-162E-322E-BC2D77BEF7CB}"/>
            </a:ext>
          </a:extLst>
        </xdr:cNvPr>
        <xdr:cNvSpPr txBox="1"/>
      </xdr:nvSpPr>
      <xdr:spPr>
        <a:xfrm>
          <a:off x="4640580" y="137160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BB09261-95EC-4CE7-8235-CA5F20BA4102}" type="TxLink">
            <a:rPr lang="en-US" sz="3200" b="0" i="0" u="none" strike="noStrike">
              <a:solidFill>
                <a:schemeClr val="bg1"/>
              </a:solidFill>
              <a:latin typeface="Aptos Narrow"/>
              <a:ea typeface="+mn-ea"/>
              <a:cs typeface="+mn-cs"/>
            </a:rPr>
            <a:pPr marL="0" indent="0" algn="r"/>
            <a:t>92</a:t>
          </a:fld>
          <a:endParaRPr lang="ru-RU" sz="3200" b="0" i="0" u="none" strike="noStrike">
            <a:solidFill>
              <a:schemeClr val="bg1"/>
            </a:solidFill>
            <a:latin typeface="Aptos Narrow"/>
            <a:ea typeface="+mn-ea"/>
            <a:cs typeface="+mn-cs"/>
          </a:endParaRPr>
        </a:p>
      </xdr:txBody>
    </xdr:sp>
    <xdr:clientData/>
  </xdr:twoCellAnchor>
  <xdr:twoCellAnchor>
    <xdr:from>
      <xdr:col>9</xdr:col>
      <xdr:colOff>30480</xdr:colOff>
      <xdr:row>8</xdr:row>
      <xdr:rowOff>114300</xdr:rowOff>
    </xdr:from>
    <xdr:to>
      <xdr:col>10</xdr:col>
      <xdr:colOff>419100</xdr:colOff>
      <xdr:row>12</xdr:row>
      <xdr:rowOff>22860</xdr:rowOff>
    </xdr:to>
    <xdr:sp macro="" textlink="Processing!M5">
      <xdr:nvSpPr>
        <xdr:cNvPr id="23" name="TextBox 22">
          <a:extLst>
            <a:ext uri="{FF2B5EF4-FFF2-40B4-BE49-F238E27FC236}">
              <a16:creationId xmlns:a16="http://schemas.microsoft.com/office/drawing/2014/main" id="{635FC893-8935-B4CC-0AAE-1D671FD0CA32}"/>
            </a:ext>
          </a:extLst>
        </xdr:cNvPr>
        <xdr:cNvSpPr txBox="1"/>
      </xdr:nvSpPr>
      <xdr:spPr>
        <a:xfrm>
          <a:off x="5516880" y="157734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7B169B-EF91-4A9A-9455-004958A84F01}" type="TxLink">
            <a:rPr lang="en-US" sz="1400" b="0" i="0" u="none" strike="noStrike">
              <a:solidFill>
                <a:schemeClr val="bg1"/>
              </a:solidFill>
              <a:latin typeface="Aptos Narrow"/>
              <a:ea typeface="+mn-ea"/>
              <a:cs typeface="+mn-cs"/>
            </a:rPr>
            <a:pPr marL="0" indent="0" algn="l"/>
            <a:t>Days</a:t>
          </a:fld>
          <a:endParaRPr lang="ru-RU" sz="4000" b="0" i="0" u="none" strike="noStrike">
            <a:solidFill>
              <a:schemeClr val="bg1"/>
            </a:solidFill>
            <a:latin typeface="Aptos Narrow"/>
            <a:ea typeface="+mn-ea"/>
            <a:cs typeface="+mn-cs"/>
          </a:endParaRPr>
        </a:p>
      </xdr:txBody>
    </xdr:sp>
    <xdr:clientData/>
  </xdr:twoCellAnchor>
  <xdr:twoCellAnchor>
    <xdr:from>
      <xdr:col>9</xdr:col>
      <xdr:colOff>566236</xdr:colOff>
      <xdr:row>9</xdr:row>
      <xdr:rowOff>54293</xdr:rowOff>
    </xdr:from>
    <xdr:to>
      <xdr:col>11</xdr:col>
      <xdr:colOff>203384</xdr:colOff>
      <xdr:row>11</xdr:row>
      <xdr:rowOff>60008</xdr:rowOff>
    </xdr:to>
    <xdr:sp macro="" textlink="Processing!O6">
      <xdr:nvSpPr>
        <xdr:cNvPr id="27" name="TextBox 26">
          <a:extLst>
            <a:ext uri="{FF2B5EF4-FFF2-40B4-BE49-F238E27FC236}">
              <a16:creationId xmlns:a16="http://schemas.microsoft.com/office/drawing/2014/main" id="{542FAAAE-04FE-267E-A626-FB15A82D5CAD}"/>
            </a:ext>
          </a:extLst>
        </xdr:cNvPr>
        <xdr:cNvSpPr txBox="1"/>
      </xdr:nvSpPr>
      <xdr:spPr>
        <a:xfrm>
          <a:off x="60526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46B628-5347-4F08-A289-BC44383EFD03}" type="TxLink">
            <a:rPr lang="en-US" sz="1400" b="0" i="0" u="none" strike="noStrike">
              <a:solidFill>
                <a:schemeClr val="bg1"/>
              </a:solidFill>
              <a:latin typeface="Aptos Narrow"/>
              <a:ea typeface="+mn-ea"/>
              <a:cs typeface="+mn-cs"/>
            </a:rPr>
            <a:pPr marL="0" indent="0" algn="ctr"/>
            <a:t>25%</a:t>
          </a:fld>
          <a:endParaRPr lang="ru-RU" sz="1400" b="0" i="0" u="none" strike="noStrike">
            <a:solidFill>
              <a:schemeClr val="bg1"/>
            </a:solidFill>
            <a:latin typeface="Aptos Narrow"/>
            <a:ea typeface="+mn-ea"/>
            <a:cs typeface="+mn-cs"/>
          </a:endParaRPr>
        </a:p>
      </xdr:txBody>
    </xdr:sp>
    <xdr:clientData/>
  </xdr:twoCellAnchor>
  <xdr:twoCellAnchor>
    <xdr:from>
      <xdr:col>11</xdr:col>
      <xdr:colOff>579120</xdr:colOff>
      <xdr:row>11</xdr:row>
      <xdr:rowOff>38100</xdr:rowOff>
    </xdr:from>
    <xdr:to>
      <xdr:col>14</xdr:col>
      <xdr:colOff>419100</xdr:colOff>
      <xdr:row>14</xdr:row>
      <xdr:rowOff>76200</xdr:rowOff>
    </xdr:to>
    <xdr:sp macro="" textlink="Processing!M1">
      <xdr:nvSpPr>
        <xdr:cNvPr id="30" name="TextBox 29">
          <a:extLst>
            <a:ext uri="{FF2B5EF4-FFF2-40B4-BE49-F238E27FC236}">
              <a16:creationId xmlns:a16="http://schemas.microsoft.com/office/drawing/2014/main" id="{160F8CE4-EB3D-DA37-0333-60F1CEA5F0DD}"/>
            </a:ext>
          </a:extLst>
        </xdr:cNvPr>
        <xdr:cNvSpPr txBox="1"/>
      </xdr:nvSpPr>
      <xdr:spPr>
        <a:xfrm>
          <a:off x="728472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5D8EE7-0B37-4CFC-9F7A-8CC3EFE00C68}" type="TxLink">
            <a:rPr lang="en-US" sz="1600" b="0" i="0" u="none" strike="noStrike">
              <a:solidFill>
                <a:schemeClr val="bg1"/>
              </a:solidFill>
              <a:latin typeface="Aptos Narrow"/>
              <a:ea typeface="+mn-ea"/>
              <a:cs typeface="+mn-cs"/>
            </a:rPr>
            <a:pPr marL="0" indent="0"/>
            <a:t>Budget &amp; Cost</a:t>
          </a:fld>
          <a:endParaRPr lang="ru-RU" sz="1600" b="0" i="0" u="none" strike="noStrike">
            <a:solidFill>
              <a:schemeClr val="bg1"/>
            </a:solidFill>
            <a:latin typeface="Aptos Narrow"/>
            <a:ea typeface="+mn-ea"/>
            <a:cs typeface="+mn-cs"/>
          </a:endParaRPr>
        </a:p>
      </xdr:txBody>
    </xdr:sp>
    <xdr:clientData/>
  </xdr:twoCellAnchor>
  <xdr:twoCellAnchor>
    <xdr:from>
      <xdr:col>12</xdr:col>
      <xdr:colOff>137160</xdr:colOff>
      <xdr:row>6</xdr:row>
      <xdr:rowOff>83820</xdr:rowOff>
    </xdr:from>
    <xdr:to>
      <xdr:col>15</xdr:col>
      <xdr:colOff>342900</xdr:colOff>
      <xdr:row>9</xdr:row>
      <xdr:rowOff>175260</xdr:rowOff>
    </xdr:to>
    <xdr:sp macro="" textlink="Processing!M3">
      <xdr:nvSpPr>
        <xdr:cNvPr id="31" name="TextBox 30">
          <a:extLst>
            <a:ext uri="{FF2B5EF4-FFF2-40B4-BE49-F238E27FC236}">
              <a16:creationId xmlns:a16="http://schemas.microsoft.com/office/drawing/2014/main" id="{3D17C560-B948-7DC7-0EFA-B6DC94E3163A}"/>
            </a:ext>
          </a:extLst>
        </xdr:cNvPr>
        <xdr:cNvSpPr txBox="1"/>
      </xdr:nvSpPr>
      <xdr:spPr>
        <a:xfrm>
          <a:off x="7452360" y="118110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E018FED-53A2-4BF0-83EC-17170C685B2C}" type="TxLink">
            <a:rPr lang="en-US" sz="3200" b="0" i="0" u="none" strike="noStrike">
              <a:solidFill>
                <a:schemeClr val="bg1"/>
              </a:solidFill>
              <a:latin typeface="Aptos Narrow"/>
              <a:ea typeface="+mn-ea"/>
              <a:cs typeface="+mn-cs"/>
            </a:rPr>
            <a:pPr marL="0" indent="0" algn="r"/>
            <a:t>$400 000</a:t>
          </a:fld>
          <a:endParaRPr lang="ru-RU" sz="7200" b="0" i="0" u="none" strike="noStrike">
            <a:solidFill>
              <a:schemeClr val="bg1"/>
            </a:solidFill>
            <a:latin typeface="Aptos Narrow"/>
            <a:ea typeface="+mn-ea"/>
            <a:cs typeface="+mn-cs"/>
          </a:endParaRPr>
        </a:p>
      </xdr:txBody>
    </xdr:sp>
    <xdr:clientData/>
  </xdr:twoCellAnchor>
  <xdr:twoCellAnchor>
    <xdr:from>
      <xdr:col>12</xdr:col>
      <xdr:colOff>137160</xdr:colOff>
      <xdr:row>8</xdr:row>
      <xdr:rowOff>160020</xdr:rowOff>
    </xdr:from>
    <xdr:to>
      <xdr:col>15</xdr:col>
      <xdr:colOff>342900</xdr:colOff>
      <xdr:row>12</xdr:row>
      <xdr:rowOff>68580</xdr:rowOff>
    </xdr:to>
    <xdr:sp macro="" textlink="Processing!N3">
      <xdr:nvSpPr>
        <xdr:cNvPr id="32" name="TextBox 31">
          <a:extLst>
            <a:ext uri="{FF2B5EF4-FFF2-40B4-BE49-F238E27FC236}">
              <a16:creationId xmlns:a16="http://schemas.microsoft.com/office/drawing/2014/main" id="{C7209A8D-25F4-67F3-45FF-F5A721404CCE}"/>
            </a:ext>
          </a:extLst>
        </xdr:cNvPr>
        <xdr:cNvSpPr txBox="1"/>
      </xdr:nvSpPr>
      <xdr:spPr>
        <a:xfrm>
          <a:off x="7452360" y="162306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CF0C5FA-332D-4C23-AD60-50F782A2FC7A}" type="TxLink">
            <a:rPr lang="en-US" sz="2400" b="0" i="0" u="none" strike="noStrike">
              <a:solidFill>
                <a:schemeClr val="accent5">
                  <a:lumMod val="40000"/>
                  <a:lumOff val="60000"/>
                </a:schemeClr>
              </a:solidFill>
              <a:latin typeface="Aptos Narrow"/>
              <a:ea typeface="+mn-ea"/>
              <a:cs typeface="+mn-cs"/>
            </a:rPr>
            <a:pPr marL="0" indent="0" algn="r"/>
            <a:t>-$251 709</a:t>
          </a:fld>
          <a:endParaRPr lang="ru-RU" sz="16600" b="0" i="0" u="none" strike="noStrike">
            <a:solidFill>
              <a:schemeClr val="accent5">
                <a:lumMod val="40000"/>
                <a:lumOff val="60000"/>
              </a:schemeClr>
            </a:solidFill>
            <a:latin typeface="Aptos Narrow"/>
            <a:ea typeface="+mn-ea"/>
            <a:cs typeface="+mn-cs"/>
          </a:endParaRPr>
        </a:p>
      </xdr:txBody>
    </xdr:sp>
    <xdr:clientData/>
  </xdr:twoCellAnchor>
  <xdr:twoCellAnchor>
    <xdr:from>
      <xdr:col>11</xdr:col>
      <xdr:colOff>518160</xdr:colOff>
      <xdr:row>7</xdr:row>
      <xdr:rowOff>144780</xdr:rowOff>
    </xdr:from>
    <xdr:to>
      <xdr:col>13</xdr:col>
      <xdr:colOff>15240</xdr:colOff>
      <xdr:row>9</xdr:row>
      <xdr:rowOff>121920</xdr:rowOff>
    </xdr:to>
    <xdr:sp macro="" textlink="Processing!M2">
      <xdr:nvSpPr>
        <xdr:cNvPr id="33" name="TextBox 32">
          <a:extLst>
            <a:ext uri="{FF2B5EF4-FFF2-40B4-BE49-F238E27FC236}">
              <a16:creationId xmlns:a16="http://schemas.microsoft.com/office/drawing/2014/main" id="{B7CCBCE6-880C-DCF1-2E95-876C2A31C0AE}"/>
            </a:ext>
          </a:extLst>
        </xdr:cNvPr>
        <xdr:cNvSpPr txBox="1"/>
      </xdr:nvSpPr>
      <xdr:spPr>
        <a:xfrm>
          <a:off x="7223760" y="142494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66F0F2-DD26-427E-8D67-676EBE9B0026}" type="TxLink">
            <a:rPr lang="en-US" sz="1100" b="0" i="0" u="none" strike="noStrike">
              <a:solidFill>
                <a:schemeClr val="bg1"/>
              </a:solidFill>
              <a:latin typeface="Aptos Narrow"/>
              <a:ea typeface="+mn-ea"/>
              <a:cs typeface="+mn-cs"/>
            </a:rPr>
            <a:pPr marL="0" indent="0" algn="l"/>
            <a:t>Budget</a:t>
          </a:fld>
          <a:endParaRPr lang="ru-RU" sz="4000" b="0" i="0" u="none" strike="noStrike">
            <a:solidFill>
              <a:schemeClr val="bg1"/>
            </a:solidFill>
            <a:latin typeface="Aptos Narrow"/>
            <a:ea typeface="+mn-ea"/>
            <a:cs typeface="+mn-cs"/>
          </a:endParaRPr>
        </a:p>
      </xdr:txBody>
    </xdr:sp>
    <xdr:clientData/>
  </xdr:twoCellAnchor>
  <xdr:twoCellAnchor>
    <xdr:from>
      <xdr:col>11</xdr:col>
      <xdr:colOff>533400</xdr:colOff>
      <xdr:row>9</xdr:row>
      <xdr:rowOff>129540</xdr:rowOff>
    </xdr:from>
    <xdr:to>
      <xdr:col>13</xdr:col>
      <xdr:colOff>30480</xdr:colOff>
      <xdr:row>11</xdr:row>
      <xdr:rowOff>106680</xdr:rowOff>
    </xdr:to>
    <xdr:sp macro="" textlink="Processing!N2">
      <xdr:nvSpPr>
        <xdr:cNvPr id="41" name="TextBox 40">
          <a:extLst>
            <a:ext uri="{FF2B5EF4-FFF2-40B4-BE49-F238E27FC236}">
              <a16:creationId xmlns:a16="http://schemas.microsoft.com/office/drawing/2014/main" id="{E9BFBE7D-6979-3D83-4DCC-C3D57A444293}"/>
            </a:ext>
          </a:extLst>
        </xdr:cNvPr>
        <xdr:cNvSpPr txBox="1"/>
      </xdr:nvSpPr>
      <xdr:spPr>
        <a:xfrm>
          <a:off x="7239000" y="177546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EC89C0B-96B6-449C-AC24-8E9F7D68E581}" type="TxLink">
            <a:rPr lang="en-US" sz="1100" b="0" i="0" u="none" strike="noStrike">
              <a:solidFill>
                <a:schemeClr val="bg1"/>
              </a:solidFill>
              <a:latin typeface="Aptos Narrow"/>
              <a:ea typeface="+mn-ea"/>
              <a:cs typeface="+mn-cs"/>
            </a:rPr>
            <a:pPr marL="0" indent="0" algn="l"/>
            <a:t>Cost</a:t>
          </a:fld>
          <a:endParaRPr lang="ru-RU" sz="4800" b="0" i="0" u="none" strike="noStrike">
            <a:solidFill>
              <a:schemeClr val="bg1"/>
            </a:solidFill>
            <a:latin typeface="Aptos Narrow"/>
            <a:ea typeface="+mn-ea"/>
            <a:cs typeface="+mn-cs"/>
          </a:endParaRPr>
        </a:p>
      </xdr:txBody>
    </xdr:sp>
    <xdr:clientData/>
  </xdr:twoCellAnchor>
  <xdr:twoCellAnchor editAs="oneCell">
    <xdr:from>
      <xdr:col>3</xdr:col>
      <xdr:colOff>434340</xdr:colOff>
      <xdr:row>3</xdr:row>
      <xdr:rowOff>45720</xdr:rowOff>
    </xdr:from>
    <xdr:to>
      <xdr:col>6</xdr:col>
      <xdr:colOff>434340</xdr:colOff>
      <xdr:row>5</xdr:row>
      <xdr:rowOff>109728</xdr:rowOff>
    </xdr:to>
    <mc:AlternateContent xmlns:mc="http://schemas.openxmlformats.org/markup-compatibility/2006" xmlns:a14="http://schemas.microsoft.com/office/drawing/2010/main">
      <mc:Choice Requires="a14">
        <xdr:graphicFrame macro="">
          <xdr:nvGraphicFramePr>
            <xdr:cNvPr id="48" name="Year">
              <a:extLst>
                <a:ext uri="{FF2B5EF4-FFF2-40B4-BE49-F238E27FC236}">
                  <a16:creationId xmlns:a16="http://schemas.microsoft.com/office/drawing/2014/main" id="{1FC7F13E-A097-44E1-8633-0DBE81A46641}"/>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2263140" y="594360"/>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297180</xdr:colOff>
      <xdr:row>23</xdr:row>
      <xdr:rowOff>7620</xdr:rowOff>
    </xdr:from>
    <xdr:to>
      <xdr:col>11</xdr:col>
      <xdr:colOff>175260</xdr:colOff>
      <xdr:row>25</xdr:row>
      <xdr:rowOff>71628</xdr:rowOff>
    </xdr:to>
    <mc:AlternateContent xmlns:mc="http://schemas.openxmlformats.org/markup-compatibility/2006" xmlns:a14="http://schemas.microsoft.com/office/drawing/2010/main">
      <mc:Choice Requires="a14">
        <xdr:graphicFrame macro="">
          <xdr:nvGraphicFramePr>
            <xdr:cNvPr id="49" name="Month">
              <a:extLst>
                <a:ext uri="{FF2B5EF4-FFF2-40B4-BE49-F238E27FC236}">
                  <a16:creationId xmlns:a16="http://schemas.microsoft.com/office/drawing/2014/main" id="{429B008D-AD39-4E0E-B34B-4D40EC7A9057}"/>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mlns="">
        <xdr:sp macro="" textlink="">
          <xdr:nvSpPr>
            <xdr:cNvPr id="0" name=""/>
            <xdr:cNvSpPr>
              <a:spLocks noTextEdit="1"/>
            </xdr:cNvSpPr>
          </xdr:nvSpPr>
          <xdr:spPr>
            <a:xfrm>
              <a:off x="2125980" y="421386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8</xdr:col>
      <xdr:colOff>312420</xdr:colOff>
      <xdr:row>15</xdr:row>
      <xdr:rowOff>99060</xdr:rowOff>
    </xdr:from>
    <xdr:to>
      <xdr:col>11</xdr:col>
      <xdr:colOff>152400</xdr:colOff>
      <xdr:row>17</xdr:row>
      <xdr:rowOff>68580</xdr:rowOff>
    </xdr:to>
    <xdr:sp macro="" textlink="Processing!A14">
      <xdr:nvSpPr>
        <xdr:cNvPr id="50" name="TextBox 49">
          <a:extLst>
            <a:ext uri="{FF2B5EF4-FFF2-40B4-BE49-F238E27FC236}">
              <a16:creationId xmlns:a16="http://schemas.microsoft.com/office/drawing/2014/main" id="{199A1276-5D63-B0D0-5A8B-914D243FCC1D}"/>
            </a:ext>
          </a:extLst>
        </xdr:cNvPr>
        <xdr:cNvSpPr txBox="1"/>
      </xdr:nvSpPr>
      <xdr:spPr>
        <a:xfrm>
          <a:off x="5189220"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49DC943-B6BD-4E23-BB23-AE4FFB93C5AB}" type="TxLink">
            <a:rPr lang="en-US" sz="1400" b="0" i="0" u="none" strike="noStrike">
              <a:solidFill>
                <a:schemeClr val="bg1"/>
              </a:solidFill>
              <a:latin typeface="Aptos Narrow"/>
              <a:ea typeface="+mn-ea"/>
              <a:cs typeface="+mn-cs"/>
            </a:rPr>
            <a:pPr marL="0" indent="0" algn="r"/>
            <a:t>Burndown Chart</a:t>
          </a:fld>
          <a:endParaRPr lang="ru-RU" sz="2000" b="0" i="0" u="none" strike="noStrike">
            <a:solidFill>
              <a:schemeClr val="bg1"/>
            </a:solidFill>
            <a:latin typeface="Aptos Narrow"/>
            <a:ea typeface="+mn-ea"/>
            <a:cs typeface="+mn-cs"/>
          </a:endParaRPr>
        </a:p>
      </xdr:txBody>
    </xdr:sp>
    <xdr:clientData/>
  </xdr:twoCellAnchor>
  <xdr:twoCellAnchor>
    <xdr:from>
      <xdr:col>12</xdr:col>
      <xdr:colOff>220980</xdr:colOff>
      <xdr:row>15</xdr:row>
      <xdr:rowOff>99060</xdr:rowOff>
    </xdr:from>
    <xdr:to>
      <xdr:col>15</xdr:col>
      <xdr:colOff>60960</xdr:colOff>
      <xdr:row>17</xdr:row>
      <xdr:rowOff>68580</xdr:rowOff>
    </xdr:to>
    <xdr:sp macro="" textlink="Processing!G7">
      <xdr:nvSpPr>
        <xdr:cNvPr id="51" name="TextBox 50">
          <a:extLst>
            <a:ext uri="{FF2B5EF4-FFF2-40B4-BE49-F238E27FC236}">
              <a16:creationId xmlns:a16="http://schemas.microsoft.com/office/drawing/2014/main" id="{2CC2B3BA-D492-310B-D93B-36FCD1D9C919}"/>
            </a:ext>
          </a:extLst>
        </xdr:cNvPr>
        <xdr:cNvSpPr txBox="1"/>
      </xdr:nvSpPr>
      <xdr:spPr>
        <a:xfrm>
          <a:off x="7536180"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882DA-B714-4953-B768-C0F4C0048482}" type="TxLink">
            <a:rPr lang="en-US" sz="1400" b="0" i="0" u="none" strike="noStrike">
              <a:solidFill>
                <a:schemeClr val="bg1"/>
              </a:solidFill>
              <a:latin typeface="Aptos Narrow"/>
              <a:ea typeface="+mn-ea"/>
              <a:cs typeface="+mn-cs"/>
            </a:rPr>
            <a:pPr marL="0" indent="0" algn="ctr"/>
            <a:t>Probability of Risk</a:t>
          </a:fld>
          <a:endParaRPr lang="ru-RU" sz="2800" b="0" i="0" u="none" strike="noStrike">
            <a:solidFill>
              <a:schemeClr val="bg1"/>
            </a:solidFill>
            <a:latin typeface="Aptos Narrow"/>
            <a:ea typeface="+mn-ea"/>
            <a:cs typeface="+mn-cs"/>
          </a:endParaRPr>
        </a:p>
      </xdr:txBody>
    </xdr:sp>
    <xdr:clientData/>
  </xdr:twoCellAnchor>
  <xdr:twoCellAnchor>
    <xdr:from>
      <xdr:col>16</xdr:col>
      <xdr:colOff>326898</xdr:colOff>
      <xdr:row>15</xdr:row>
      <xdr:rowOff>99060</xdr:rowOff>
    </xdr:from>
    <xdr:to>
      <xdr:col>19</xdr:col>
      <xdr:colOff>166878</xdr:colOff>
      <xdr:row>17</xdr:row>
      <xdr:rowOff>68580</xdr:rowOff>
    </xdr:to>
    <xdr:sp macro="" textlink="Processing!J1">
      <xdr:nvSpPr>
        <xdr:cNvPr id="52" name="TextBox 51">
          <a:extLst>
            <a:ext uri="{FF2B5EF4-FFF2-40B4-BE49-F238E27FC236}">
              <a16:creationId xmlns:a16="http://schemas.microsoft.com/office/drawing/2014/main" id="{287E5978-466D-EBDC-AED6-EB567B931751}"/>
            </a:ext>
          </a:extLst>
        </xdr:cNvPr>
        <xdr:cNvSpPr txBox="1"/>
      </xdr:nvSpPr>
      <xdr:spPr>
        <a:xfrm>
          <a:off x="10080498"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2F69D4EF-4EC1-4B61-83D1-79BDAFB805B6}" type="TxLink">
            <a:rPr lang="en-US" sz="1400" b="0" i="0" u="none" strike="noStrike">
              <a:solidFill>
                <a:schemeClr val="bg1"/>
              </a:solidFill>
              <a:latin typeface="Aptos Narrow"/>
              <a:ea typeface="+mn-ea"/>
              <a:cs typeface="+mn-cs"/>
            </a:rPr>
            <a:pPr marL="0" indent="0" algn="ctr"/>
            <a:t>Cost Structure</a:t>
          </a:fld>
          <a:endParaRPr lang="ru-RU" sz="1400" b="0" i="0" u="none" strike="noStrike">
            <a:solidFill>
              <a:schemeClr val="bg1"/>
            </a:solidFill>
            <a:latin typeface="Aptos Narrow"/>
            <a:ea typeface="+mn-ea"/>
            <a:cs typeface="+mn-cs"/>
          </a:endParaRPr>
        </a:p>
      </xdr:txBody>
    </xdr:sp>
    <xdr:clientData/>
  </xdr:twoCellAnchor>
  <xdr:twoCellAnchor>
    <xdr:from>
      <xdr:col>3</xdr:col>
      <xdr:colOff>365760</xdr:colOff>
      <xdr:row>27</xdr:row>
      <xdr:rowOff>15240</xdr:rowOff>
    </xdr:from>
    <xdr:to>
      <xdr:col>4</xdr:col>
      <xdr:colOff>487680</xdr:colOff>
      <xdr:row>30</xdr:row>
      <xdr:rowOff>68580</xdr:rowOff>
    </xdr:to>
    <xdr:sp macro="" textlink="Processing!J15">
      <xdr:nvSpPr>
        <xdr:cNvPr id="54" name="TextBox 53">
          <a:extLst>
            <a:ext uri="{FF2B5EF4-FFF2-40B4-BE49-F238E27FC236}">
              <a16:creationId xmlns:a16="http://schemas.microsoft.com/office/drawing/2014/main" id="{410F35B0-E88E-4429-602D-6AA7EDCBECC4}"/>
            </a:ext>
          </a:extLst>
        </xdr:cNvPr>
        <xdr:cNvSpPr txBox="1"/>
      </xdr:nvSpPr>
      <xdr:spPr>
        <a:xfrm>
          <a:off x="2194560" y="4953000"/>
          <a:ext cx="731520" cy="6019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9D522B-8322-4599-B73E-D5DB61C3F97F}" type="TxLink">
            <a:rPr lang="en-US" sz="1400" b="0" i="0" u="none" strike="noStrike">
              <a:solidFill>
                <a:schemeClr val="bg1"/>
              </a:solidFill>
              <a:latin typeface="Aptos Narrow"/>
              <a:ea typeface="+mn-ea"/>
              <a:cs typeface="+mn-cs"/>
            </a:rPr>
            <a:pPr marL="0" indent="0" algn="l"/>
            <a:t>Sprint Cycle</a:t>
          </a:fld>
          <a:endParaRPr lang="ru-RU" sz="2800" b="0" i="0" u="none" strike="noStrike">
            <a:solidFill>
              <a:schemeClr val="bg1"/>
            </a:solidFill>
            <a:latin typeface="Aptos Narrow"/>
            <a:ea typeface="+mn-ea"/>
            <a:cs typeface="+mn-cs"/>
          </a:endParaRPr>
        </a:p>
      </xdr:txBody>
    </xdr:sp>
    <xdr:clientData/>
  </xdr:twoCellAnchor>
  <xdr:twoCellAnchor>
    <xdr:from>
      <xdr:col>13</xdr:col>
      <xdr:colOff>297180</xdr:colOff>
      <xdr:row>27</xdr:row>
      <xdr:rowOff>38100</xdr:rowOff>
    </xdr:from>
    <xdr:to>
      <xdr:col>15</xdr:col>
      <xdr:colOff>541020</xdr:colOff>
      <xdr:row>29</xdr:row>
      <xdr:rowOff>7620</xdr:rowOff>
    </xdr:to>
    <xdr:sp macro="" textlink="Processing!A30">
      <xdr:nvSpPr>
        <xdr:cNvPr id="57" name="TextBox 56">
          <a:extLst>
            <a:ext uri="{FF2B5EF4-FFF2-40B4-BE49-F238E27FC236}">
              <a16:creationId xmlns:a16="http://schemas.microsoft.com/office/drawing/2014/main" id="{99A40513-0995-6D3B-E656-2F2DE614AE43}"/>
            </a:ext>
          </a:extLst>
        </xdr:cNvPr>
        <xdr:cNvSpPr txBox="1"/>
      </xdr:nvSpPr>
      <xdr:spPr>
        <a:xfrm>
          <a:off x="8221980" y="49758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0A6B1CF-986B-4FD1-B447-14AE1CCBDC6B}" type="TxLink">
            <a:rPr lang="en-US" sz="1400" b="0" i="0" u="none" strike="noStrike">
              <a:solidFill>
                <a:schemeClr val="bg1"/>
              </a:solidFill>
              <a:latin typeface="Aptos Narrow"/>
              <a:ea typeface="+mn-ea"/>
              <a:cs typeface="+mn-cs"/>
            </a:rPr>
            <a:pPr marL="0" indent="0" algn="l"/>
            <a:t>Monthly Expenses</a:t>
          </a:fld>
          <a:endParaRPr lang="ru-RU" sz="1400" b="0" i="0" u="none" strike="noStrike">
            <a:solidFill>
              <a:schemeClr val="bg1"/>
            </a:solidFill>
            <a:latin typeface="Aptos Narrow"/>
            <a:ea typeface="+mn-ea"/>
            <a:cs typeface="+mn-cs"/>
          </a:endParaRPr>
        </a:p>
      </xdr:txBody>
    </xdr:sp>
    <xdr:clientData/>
  </xdr:twoCellAnchor>
  <xdr:twoCellAnchor>
    <xdr:from>
      <xdr:col>4</xdr:col>
      <xdr:colOff>434340</xdr:colOff>
      <xdr:row>31</xdr:row>
      <xdr:rowOff>91440</xdr:rowOff>
    </xdr:from>
    <xdr:to>
      <xdr:col>7</xdr:col>
      <xdr:colOff>274320</xdr:colOff>
      <xdr:row>33</xdr:row>
      <xdr:rowOff>60960</xdr:rowOff>
    </xdr:to>
    <xdr:sp macro="" textlink="Processing!J21">
      <xdr:nvSpPr>
        <xdr:cNvPr id="58" name="TextBox 57">
          <a:extLst>
            <a:ext uri="{FF2B5EF4-FFF2-40B4-BE49-F238E27FC236}">
              <a16:creationId xmlns:a16="http://schemas.microsoft.com/office/drawing/2014/main" id="{A633969E-FD21-2DEE-F320-655B4CF9317F}"/>
            </a:ext>
          </a:extLst>
        </xdr:cNvPr>
        <xdr:cNvSpPr txBox="1"/>
      </xdr:nvSpPr>
      <xdr:spPr>
        <a:xfrm>
          <a:off x="2872740" y="576072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6B519C-04CB-4366-984C-E49743465B14}" type="TxLink">
            <a:rPr lang="en-US" sz="1100" b="0" i="0" u="none" strike="noStrike">
              <a:solidFill>
                <a:schemeClr val="tx2">
                  <a:lumMod val="10000"/>
                  <a:lumOff val="90000"/>
                </a:schemeClr>
              </a:solidFill>
              <a:latin typeface="Aptos Narrow"/>
              <a:ea typeface="+mn-ea"/>
              <a:cs typeface="+mn-cs"/>
            </a:rPr>
            <a:pPr marL="0" indent="0" algn="ctr"/>
            <a:t>Coding</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160020</xdr:colOff>
      <xdr:row>27</xdr:row>
      <xdr:rowOff>38100</xdr:rowOff>
    </xdr:from>
    <xdr:to>
      <xdr:col>8</xdr:col>
      <xdr:colOff>342900</xdr:colOff>
      <xdr:row>29</xdr:row>
      <xdr:rowOff>7620</xdr:rowOff>
    </xdr:to>
    <xdr:sp macro="" textlink="Processing!J22">
      <xdr:nvSpPr>
        <xdr:cNvPr id="59" name="TextBox 58">
          <a:extLst>
            <a:ext uri="{FF2B5EF4-FFF2-40B4-BE49-F238E27FC236}">
              <a16:creationId xmlns:a16="http://schemas.microsoft.com/office/drawing/2014/main" id="{EE4AB4ED-2126-C98B-A5E3-011335D4420B}"/>
            </a:ext>
          </a:extLst>
        </xdr:cNvPr>
        <xdr:cNvSpPr txBox="1"/>
      </xdr:nvSpPr>
      <xdr:spPr>
        <a:xfrm>
          <a:off x="4427220" y="4975860"/>
          <a:ext cx="792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197CC1-7D1D-4F64-BCB1-78D8A8D67E7B}" type="TxLink">
            <a:rPr lang="en-US" sz="1800" b="0" i="0" u="none" strike="noStrike">
              <a:solidFill>
                <a:schemeClr val="tx2">
                  <a:lumMod val="25000"/>
                  <a:lumOff val="75000"/>
                </a:schemeClr>
              </a:solidFill>
              <a:latin typeface="Aptos Narrow"/>
              <a:ea typeface="+mn-ea"/>
              <a:cs typeface="+mn-cs"/>
            </a:rPr>
            <a:pPr marL="0" indent="0" algn="r"/>
            <a:t>75%</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147136</xdr:colOff>
      <xdr:row>8</xdr:row>
      <xdr:rowOff>953</xdr:rowOff>
    </xdr:from>
    <xdr:to>
      <xdr:col>18</xdr:col>
      <xdr:colOff>393884</xdr:colOff>
      <xdr:row>10</xdr:row>
      <xdr:rowOff>6668</xdr:rowOff>
    </xdr:to>
    <xdr:sp macro="" textlink="Processing!N1">
      <xdr:nvSpPr>
        <xdr:cNvPr id="60" name="TextBox 59">
          <a:extLst>
            <a:ext uri="{FF2B5EF4-FFF2-40B4-BE49-F238E27FC236}">
              <a16:creationId xmlns:a16="http://schemas.microsoft.com/office/drawing/2014/main" id="{26164D80-27F4-89E6-17C5-461B49F465D9}"/>
            </a:ext>
          </a:extLst>
        </xdr:cNvPr>
        <xdr:cNvSpPr txBox="1"/>
      </xdr:nvSpPr>
      <xdr:spPr>
        <a:xfrm>
          <a:off x="10510336" y="146399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9BF496-A9D2-4E15-BCAB-39BC5804DCD2}" type="TxLink">
            <a:rPr lang="en-US" sz="2400" b="0" i="0" u="none" strike="noStrike">
              <a:solidFill>
                <a:schemeClr val="tx2">
                  <a:lumMod val="10000"/>
                  <a:lumOff val="90000"/>
                </a:schemeClr>
              </a:solidFill>
              <a:latin typeface="Aptos Narrow"/>
              <a:ea typeface="+mn-ea"/>
              <a:cs typeface="+mn-cs"/>
            </a:rPr>
            <a:pPr marL="0" indent="0" algn="ctr"/>
            <a:t>37%</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xdr:from>
      <xdr:col>17</xdr:col>
      <xdr:colOff>147136</xdr:colOff>
      <xdr:row>9</xdr:row>
      <xdr:rowOff>54293</xdr:rowOff>
    </xdr:from>
    <xdr:to>
      <xdr:col>18</xdr:col>
      <xdr:colOff>393884</xdr:colOff>
      <xdr:row>11</xdr:row>
      <xdr:rowOff>60008</xdr:rowOff>
    </xdr:to>
    <xdr:sp macro="" textlink="Processing!M2">
      <xdr:nvSpPr>
        <xdr:cNvPr id="61" name="TextBox 60">
          <a:extLst>
            <a:ext uri="{FF2B5EF4-FFF2-40B4-BE49-F238E27FC236}">
              <a16:creationId xmlns:a16="http://schemas.microsoft.com/office/drawing/2014/main" id="{0C0EF7B4-1FC1-00C7-36EA-5C46AB15CCC7}"/>
            </a:ext>
          </a:extLst>
        </xdr:cNvPr>
        <xdr:cNvSpPr txBox="1"/>
      </xdr:nvSpPr>
      <xdr:spPr>
        <a:xfrm>
          <a:off x="105103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75CF99-E146-4C69-9413-E960205988BC}" type="TxLink">
            <a:rPr lang="en-US" sz="1100" b="0" i="0" u="none" strike="noStrike">
              <a:solidFill>
                <a:schemeClr val="tx2">
                  <a:lumMod val="10000"/>
                  <a:lumOff val="90000"/>
                </a:schemeClr>
              </a:solidFill>
              <a:latin typeface="Aptos Narrow"/>
              <a:ea typeface="+mn-ea"/>
              <a:cs typeface="+mn-cs"/>
            </a:rPr>
            <a:pPr marL="0" indent="0" algn="ctr"/>
            <a:t>Budget</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xdr:from>
      <xdr:col>9</xdr:col>
      <xdr:colOff>28194</xdr:colOff>
      <xdr:row>26</xdr:row>
      <xdr:rowOff>152400</xdr:rowOff>
    </xdr:from>
    <xdr:to>
      <xdr:col>12</xdr:col>
      <xdr:colOff>576834</xdr:colOff>
      <xdr:row>37</xdr:row>
      <xdr:rowOff>60960</xdr:rowOff>
    </xdr:to>
    <xdr:grpSp>
      <xdr:nvGrpSpPr>
        <xdr:cNvPr id="85" name="Group 84">
          <a:extLst>
            <a:ext uri="{FF2B5EF4-FFF2-40B4-BE49-F238E27FC236}">
              <a16:creationId xmlns:a16="http://schemas.microsoft.com/office/drawing/2014/main" id="{B61D0FC9-DB40-E8B9-523A-9CD1EACC00F7}"/>
            </a:ext>
          </a:extLst>
        </xdr:cNvPr>
        <xdr:cNvGrpSpPr/>
      </xdr:nvGrpSpPr>
      <xdr:grpSpPr>
        <a:xfrm>
          <a:off x="5362194" y="5105400"/>
          <a:ext cx="2326640" cy="2004060"/>
          <a:chOff x="5514594" y="4907280"/>
          <a:chExt cx="2377440" cy="1920240"/>
        </a:xfrm>
      </xdr:grpSpPr>
      <xdr:sp macro="" textlink="">
        <xdr:nvSpPr>
          <xdr:cNvPr id="22" name="Rectangle: Rounded Corners 21">
            <a:extLst>
              <a:ext uri="{FF2B5EF4-FFF2-40B4-BE49-F238E27FC236}">
                <a16:creationId xmlns:a16="http://schemas.microsoft.com/office/drawing/2014/main" id="{3A28B0F6-E803-8918-1F86-2ABFBA43170E}"/>
              </a:ext>
            </a:extLst>
          </xdr:cNvPr>
          <xdr:cNvSpPr/>
        </xdr:nvSpPr>
        <xdr:spPr>
          <a:xfrm>
            <a:off x="5514594" y="4907280"/>
            <a:ext cx="2377440" cy="1920240"/>
          </a:xfrm>
          <a:prstGeom prst="roundRect">
            <a:avLst>
              <a:gd name="adj" fmla="val 8874"/>
            </a:avLst>
          </a:prstGeom>
          <a:gradFill flip="none" rotWithShape="1">
            <a:gsLst>
              <a:gs pos="4000">
                <a:srgbClr val="0F0048"/>
              </a:gs>
              <a:gs pos="28000">
                <a:srgbClr val="0A002F"/>
              </a:gs>
            </a:gsLst>
            <a:lin ang="5400000" scaled="0"/>
            <a:tileRect/>
          </a:gradFill>
          <a:ln w="9525">
            <a:gradFill flip="none" rotWithShape="1">
              <a:gsLst>
                <a:gs pos="0">
                  <a:srgbClr val="2C48D4"/>
                </a:gs>
                <a:gs pos="39000">
                  <a:srgbClr val="171B61"/>
                </a:gs>
              </a:gsLst>
              <a:lin ang="72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43" name="Chart 42">
            <a:extLst>
              <a:ext uri="{FF2B5EF4-FFF2-40B4-BE49-F238E27FC236}">
                <a16:creationId xmlns:a16="http://schemas.microsoft.com/office/drawing/2014/main" id="{E0248626-6223-4C3F-9EE8-09454B99F908}"/>
              </a:ext>
            </a:extLst>
          </xdr:cNvPr>
          <xdr:cNvGraphicFramePr>
            <a:graphicFrameLocks/>
          </xdr:cNvGraphicFramePr>
        </xdr:nvGraphicFramePr>
        <xdr:xfrm>
          <a:off x="5607268" y="5377094"/>
          <a:ext cx="2259724" cy="1415742"/>
        </xdr:xfrm>
        <a:graphic>
          <a:graphicData uri="http://schemas.openxmlformats.org/drawingml/2006/chart">
            <c:chart xmlns:c="http://schemas.openxmlformats.org/drawingml/2006/chart" xmlns:r="http://schemas.openxmlformats.org/officeDocument/2006/relationships" r:id="rId11"/>
          </a:graphicData>
        </a:graphic>
      </xdr:graphicFrame>
      <xdr:sp macro="" textlink="">
        <xdr:nvSpPr>
          <xdr:cNvPr id="35" name="Freeform: Shape 34">
            <a:extLst>
              <a:ext uri="{FF2B5EF4-FFF2-40B4-BE49-F238E27FC236}">
                <a16:creationId xmlns:a16="http://schemas.microsoft.com/office/drawing/2014/main" id="{416F93FF-4F54-B65F-D4D2-F50AB93F26F0}"/>
              </a:ext>
            </a:extLst>
          </xdr:cNvPr>
          <xdr:cNvSpPr/>
        </xdr:nvSpPr>
        <xdr:spPr>
          <a:xfrm>
            <a:off x="5586862" y="5445411"/>
            <a:ext cx="2280743" cy="1300729"/>
          </a:xfrm>
          <a:custGeom>
            <a:avLst/>
            <a:gdLst>
              <a:gd name="connsiteX0" fmla="*/ 2280492 w 2280745"/>
              <a:gd name="connsiteY0" fmla="*/ 0 h 1308087"/>
              <a:gd name="connsiteX1" fmla="*/ 2280693 w 2280745"/>
              <a:gd name="connsiteY1" fmla="*/ 1209940 h 1308087"/>
              <a:gd name="connsiteX2" fmla="*/ 2280745 w 2280745"/>
              <a:gd name="connsiteY2" fmla="*/ 1209940 h 1308087"/>
              <a:gd name="connsiteX3" fmla="*/ 2280745 w 2280745"/>
              <a:gd name="connsiteY3" fmla="*/ 1308087 h 1308087"/>
              <a:gd name="connsiteX4" fmla="*/ 0 w 2280745"/>
              <a:gd name="connsiteY4" fmla="*/ 1308087 h 1308087"/>
              <a:gd name="connsiteX5" fmla="*/ 0 w 2280745"/>
              <a:gd name="connsiteY5" fmla="*/ 1209940 h 1308087"/>
              <a:gd name="connsiteX6" fmla="*/ 1497 w 2280745"/>
              <a:gd name="connsiteY6" fmla="*/ 1209940 h 1308087"/>
              <a:gd name="connsiteX7" fmla="*/ 2103 w 2280745"/>
              <a:gd name="connsiteY7" fmla="*/ 757034 h 1308087"/>
              <a:gd name="connsiteX8" fmla="*/ 3107 w 2280745"/>
              <a:gd name="connsiteY8" fmla="*/ 8436 h 1308087"/>
              <a:gd name="connsiteX9" fmla="*/ 2280492 w 2280745"/>
              <a:gd name="connsiteY9" fmla="*/ 0 h 1308087"/>
              <a:gd name="connsiteX10" fmla="*/ 303668 w 2280745"/>
              <a:gd name="connsiteY10" fmla="*/ 96739 h 1308087"/>
              <a:gd name="connsiteX11" fmla="*/ 284721 w 2280745"/>
              <a:gd name="connsiteY11" fmla="*/ 113235 h 1308087"/>
              <a:gd name="connsiteX12" fmla="*/ 303668 w 2280745"/>
              <a:gd name="connsiteY12" fmla="*/ 129731 h 1308087"/>
              <a:gd name="connsiteX13" fmla="*/ 322614 w 2280745"/>
              <a:gd name="connsiteY13" fmla="*/ 113235 h 1308087"/>
              <a:gd name="connsiteX14" fmla="*/ 303668 w 2280745"/>
              <a:gd name="connsiteY14" fmla="*/ 96739 h 1308087"/>
              <a:gd name="connsiteX15" fmla="*/ 503662 w 2280745"/>
              <a:gd name="connsiteY15" fmla="*/ 96739 h 1308087"/>
              <a:gd name="connsiteX16" fmla="*/ 484717 w 2280745"/>
              <a:gd name="connsiteY16" fmla="*/ 113235 h 1308087"/>
              <a:gd name="connsiteX17" fmla="*/ 503662 w 2280745"/>
              <a:gd name="connsiteY17" fmla="*/ 129731 h 1308087"/>
              <a:gd name="connsiteX18" fmla="*/ 522607 w 2280745"/>
              <a:gd name="connsiteY18" fmla="*/ 113235 h 1308087"/>
              <a:gd name="connsiteX19" fmla="*/ 503662 w 2280745"/>
              <a:gd name="connsiteY19" fmla="*/ 96739 h 1308087"/>
              <a:gd name="connsiteX20" fmla="*/ 703653 w 2280745"/>
              <a:gd name="connsiteY20" fmla="*/ 96739 h 1308087"/>
              <a:gd name="connsiteX21" fmla="*/ 684709 w 2280745"/>
              <a:gd name="connsiteY21" fmla="*/ 113235 h 1308087"/>
              <a:gd name="connsiteX22" fmla="*/ 703653 w 2280745"/>
              <a:gd name="connsiteY22" fmla="*/ 129731 h 1308087"/>
              <a:gd name="connsiteX23" fmla="*/ 722600 w 2280745"/>
              <a:gd name="connsiteY23" fmla="*/ 113235 h 1308087"/>
              <a:gd name="connsiteX24" fmla="*/ 703653 w 2280745"/>
              <a:gd name="connsiteY24" fmla="*/ 96739 h 1308087"/>
              <a:gd name="connsiteX25" fmla="*/ 903646 w 2280745"/>
              <a:gd name="connsiteY25" fmla="*/ 96739 h 1308087"/>
              <a:gd name="connsiteX26" fmla="*/ 884701 w 2280745"/>
              <a:gd name="connsiteY26" fmla="*/ 113235 h 1308087"/>
              <a:gd name="connsiteX27" fmla="*/ 903646 w 2280745"/>
              <a:gd name="connsiteY27" fmla="*/ 129731 h 1308087"/>
              <a:gd name="connsiteX28" fmla="*/ 922591 w 2280745"/>
              <a:gd name="connsiteY28" fmla="*/ 113235 h 1308087"/>
              <a:gd name="connsiteX29" fmla="*/ 903646 w 2280745"/>
              <a:gd name="connsiteY29" fmla="*/ 96739 h 1308087"/>
              <a:gd name="connsiteX30" fmla="*/ 1103638 w 2280745"/>
              <a:gd name="connsiteY30" fmla="*/ 96739 h 1308087"/>
              <a:gd name="connsiteX31" fmla="*/ 1084694 w 2280745"/>
              <a:gd name="connsiteY31" fmla="*/ 113235 h 1308087"/>
              <a:gd name="connsiteX32" fmla="*/ 1103638 w 2280745"/>
              <a:gd name="connsiteY32" fmla="*/ 129731 h 1308087"/>
              <a:gd name="connsiteX33" fmla="*/ 1122584 w 2280745"/>
              <a:gd name="connsiteY33" fmla="*/ 113235 h 1308087"/>
              <a:gd name="connsiteX34" fmla="*/ 1103638 w 2280745"/>
              <a:gd name="connsiteY34" fmla="*/ 96739 h 1308087"/>
              <a:gd name="connsiteX35" fmla="*/ 1303631 w 2280745"/>
              <a:gd name="connsiteY35" fmla="*/ 96739 h 1308087"/>
              <a:gd name="connsiteX36" fmla="*/ 1284685 w 2280745"/>
              <a:gd name="connsiteY36" fmla="*/ 113235 h 1308087"/>
              <a:gd name="connsiteX37" fmla="*/ 1303631 w 2280745"/>
              <a:gd name="connsiteY37" fmla="*/ 129731 h 1308087"/>
              <a:gd name="connsiteX38" fmla="*/ 1322576 w 2280745"/>
              <a:gd name="connsiteY38" fmla="*/ 113235 h 1308087"/>
              <a:gd name="connsiteX39" fmla="*/ 1303631 w 2280745"/>
              <a:gd name="connsiteY39" fmla="*/ 96739 h 1308087"/>
              <a:gd name="connsiteX40" fmla="*/ 1505923 w 2280745"/>
              <a:gd name="connsiteY40" fmla="*/ 96739 h 1308087"/>
              <a:gd name="connsiteX41" fmla="*/ 1486979 w 2280745"/>
              <a:gd name="connsiteY41" fmla="*/ 113235 h 1308087"/>
              <a:gd name="connsiteX42" fmla="*/ 1505923 w 2280745"/>
              <a:gd name="connsiteY42" fmla="*/ 129731 h 1308087"/>
              <a:gd name="connsiteX43" fmla="*/ 1524868 w 2280745"/>
              <a:gd name="connsiteY43" fmla="*/ 113235 h 1308087"/>
              <a:gd name="connsiteX44" fmla="*/ 1505923 w 2280745"/>
              <a:gd name="connsiteY44" fmla="*/ 96739 h 1308087"/>
              <a:gd name="connsiteX45" fmla="*/ 1703085 w 2280745"/>
              <a:gd name="connsiteY45" fmla="*/ 96739 h 1308087"/>
              <a:gd name="connsiteX46" fmla="*/ 1684140 w 2280745"/>
              <a:gd name="connsiteY46" fmla="*/ 113235 h 1308087"/>
              <a:gd name="connsiteX47" fmla="*/ 1703085 w 2280745"/>
              <a:gd name="connsiteY47" fmla="*/ 129731 h 1308087"/>
              <a:gd name="connsiteX48" fmla="*/ 1722031 w 2280745"/>
              <a:gd name="connsiteY48" fmla="*/ 113235 h 1308087"/>
              <a:gd name="connsiteX49" fmla="*/ 1703085 w 2280745"/>
              <a:gd name="connsiteY49" fmla="*/ 96739 h 1308087"/>
              <a:gd name="connsiteX50" fmla="*/ 1905908 w 2280745"/>
              <a:gd name="connsiteY50" fmla="*/ 96739 h 1308087"/>
              <a:gd name="connsiteX51" fmla="*/ 1886962 w 2280745"/>
              <a:gd name="connsiteY51" fmla="*/ 113235 h 1308087"/>
              <a:gd name="connsiteX52" fmla="*/ 1905908 w 2280745"/>
              <a:gd name="connsiteY52" fmla="*/ 129731 h 1308087"/>
              <a:gd name="connsiteX53" fmla="*/ 1924855 w 2280745"/>
              <a:gd name="connsiteY53" fmla="*/ 113235 h 1308087"/>
              <a:gd name="connsiteX54" fmla="*/ 1905908 w 2280745"/>
              <a:gd name="connsiteY54" fmla="*/ 96739 h 1308087"/>
              <a:gd name="connsiteX55" fmla="*/ 2105231 w 2280745"/>
              <a:gd name="connsiteY55" fmla="*/ 96739 h 1308087"/>
              <a:gd name="connsiteX56" fmla="*/ 2086286 w 2280745"/>
              <a:gd name="connsiteY56" fmla="*/ 113235 h 1308087"/>
              <a:gd name="connsiteX57" fmla="*/ 2105231 w 2280745"/>
              <a:gd name="connsiteY57" fmla="*/ 129731 h 1308087"/>
              <a:gd name="connsiteX58" fmla="*/ 2124177 w 2280745"/>
              <a:gd name="connsiteY58" fmla="*/ 113235 h 1308087"/>
              <a:gd name="connsiteX59" fmla="*/ 2105231 w 2280745"/>
              <a:gd name="connsiteY59" fmla="*/ 96739 h 1308087"/>
              <a:gd name="connsiteX60" fmla="*/ 280058 w 2280745"/>
              <a:gd name="connsiteY60" fmla="*/ 133396 h 1308087"/>
              <a:gd name="connsiteX61" fmla="*/ 280058 w 2280745"/>
              <a:gd name="connsiteY61" fmla="*/ 133621 h 1308087"/>
              <a:gd name="connsiteX62" fmla="*/ 279441 w 2280745"/>
              <a:gd name="connsiteY62" fmla="*/ 133589 h 1308087"/>
              <a:gd name="connsiteX63" fmla="*/ 272279 w 2280745"/>
              <a:gd name="connsiteY63" fmla="*/ 139098 h 1308087"/>
              <a:gd name="connsiteX64" fmla="*/ 255797 w 2280745"/>
              <a:gd name="connsiteY64" fmla="*/ 192653 h 1308087"/>
              <a:gd name="connsiteX65" fmla="*/ 261911 w 2280745"/>
              <a:gd name="connsiteY65" fmla="*/ 201873 h 1308087"/>
              <a:gd name="connsiteX66" fmla="*/ 263944 w 2280745"/>
              <a:gd name="connsiteY66" fmla="*/ 202347 h 1308087"/>
              <a:gd name="connsiteX67" fmla="*/ 274533 w 2280745"/>
              <a:gd name="connsiteY67" fmla="*/ 197025 h 1308087"/>
              <a:gd name="connsiteX68" fmla="*/ 280058 w 2280745"/>
              <a:gd name="connsiteY68" fmla="*/ 179069 h 1308087"/>
              <a:gd name="connsiteX69" fmla="*/ 280058 w 2280745"/>
              <a:gd name="connsiteY69" fmla="*/ 199255 h 1308087"/>
              <a:gd name="connsiteX70" fmla="*/ 280058 w 2280745"/>
              <a:gd name="connsiteY70" fmla="*/ 205866 h 1308087"/>
              <a:gd name="connsiteX71" fmla="*/ 280058 w 2280745"/>
              <a:gd name="connsiteY71" fmla="*/ 254698 h 1308087"/>
              <a:gd name="connsiteX72" fmla="*/ 288705 w 2280745"/>
              <a:gd name="connsiteY72" fmla="*/ 262227 h 1308087"/>
              <a:gd name="connsiteX73" fmla="*/ 290809 w 2280745"/>
              <a:gd name="connsiteY73" fmla="*/ 262227 h 1308087"/>
              <a:gd name="connsiteX74" fmla="*/ 299455 w 2280745"/>
              <a:gd name="connsiteY74" fmla="*/ 254698 h 1308087"/>
              <a:gd name="connsiteX75" fmla="*/ 299455 w 2280745"/>
              <a:gd name="connsiteY75" fmla="*/ 205866 h 1308087"/>
              <a:gd name="connsiteX76" fmla="*/ 306898 w 2280745"/>
              <a:gd name="connsiteY76" fmla="*/ 205866 h 1308087"/>
              <a:gd name="connsiteX77" fmla="*/ 306898 w 2280745"/>
              <a:gd name="connsiteY77" fmla="*/ 254698 h 1308087"/>
              <a:gd name="connsiteX78" fmla="*/ 315544 w 2280745"/>
              <a:gd name="connsiteY78" fmla="*/ 262227 h 1308087"/>
              <a:gd name="connsiteX79" fmla="*/ 317649 w 2280745"/>
              <a:gd name="connsiteY79" fmla="*/ 262227 h 1308087"/>
              <a:gd name="connsiteX80" fmla="*/ 326293 w 2280745"/>
              <a:gd name="connsiteY80" fmla="*/ 254698 h 1308087"/>
              <a:gd name="connsiteX81" fmla="*/ 326293 w 2280745"/>
              <a:gd name="connsiteY81" fmla="*/ 205866 h 1308087"/>
              <a:gd name="connsiteX82" fmla="*/ 326293 w 2280745"/>
              <a:gd name="connsiteY82" fmla="*/ 199255 h 1308087"/>
              <a:gd name="connsiteX83" fmla="*/ 326293 w 2280745"/>
              <a:gd name="connsiteY83" fmla="*/ 181262 h 1308087"/>
              <a:gd name="connsiteX84" fmla="*/ 331145 w 2280745"/>
              <a:gd name="connsiteY84" fmla="*/ 197025 h 1308087"/>
              <a:gd name="connsiteX85" fmla="*/ 341734 w 2280745"/>
              <a:gd name="connsiteY85" fmla="*/ 202347 h 1308087"/>
              <a:gd name="connsiteX86" fmla="*/ 343767 w 2280745"/>
              <a:gd name="connsiteY86" fmla="*/ 201873 h 1308087"/>
              <a:gd name="connsiteX87" fmla="*/ 349881 w 2280745"/>
              <a:gd name="connsiteY87" fmla="*/ 192653 h 1308087"/>
              <a:gd name="connsiteX88" fmla="*/ 333400 w 2280745"/>
              <a:gd name="connsiteY88" fmla="*/ 139098 h 1308087"/>
              <a:gd name="connsiteX89" fmla="*/ 330722 w 2280745"/>
              <a:gd name="connsiteY89" fmla="*/ 135365 h 1308087"/>
              <a:gd name="connsiteX90" fmla="*/ 326293 w 2280745"/>
              <a:gd name="connsiteY90" fmla="*/ 133610 h 1308087"/>
              <a:gd name="connsiteX91" fmla="*/ 326293 w 2280745"/>
              <a:gd name="connsiteY91" fmla="*/ 133396 h 1308087"/>
              <a:gd name="connsiteX92" fmla="*/ 280058 w 2280745"/>
              <a:gd name="connsiteY92" fmla="*/ 133396 h 1308087"/>
              <a:gd name="connsiteX93" fmla="*/ 480053 w 2280745"/>
              <a:gd name="connsiteY93" fmla="*/ 133396 h 1308087"/>
              <a:gd name="connsiteX94" fmla="*/ 480053 w 2280745"/>
              <a:gd name="connsiteY94" fmla="*/ 133621 h 1308087"/>
              <a:gd name="connsiteX95" fmla="*/ 479436 w 2280745"/>
              <a:gd name="connsiteY95" fmla="*/ 133589 h 1308087"/>
              <a:gd name="connsiteX96" fmla="*/ 472272 w 2280745"/>
              <a:gd name="connsiteY96" fmla="*/ 139098 h 1308087"/>
              <a:gd name="connsiteX97" fmla="*/ 455791 w 2280745"/>
              <a:gd name="connsiteY97" fmla="*/ 192653 h 1308087"/>
              <a:gd name="connsiteX98" fmla="*/ 461906 w 2280745"/>
              <a:gd name="connsiteY98" fmla="*/ 201873 h 1308087"/>
              <a:gd name="connsiteX99" fmla="*/ 463938 w 2280745"/>
              <a:gd name="connsiteY99" fmla="*/ 202347 h 1308087"/>
              <a:gd name="connsiteX100" fmla="*/ 474527 w 2280745"/>
              <a:gd name="connsiteY100" fmla="*/ 197025 h 1308087"/>
              <a:gd name="connsiteX101" fmla="*/ 480053 w 2280745"/>
              <a:gd name="connsiteY101" fmla="*/ 179069 h 1308087"/>
              <a:gd name="connsiteX102" fmla="*/ 480053 w 2280745"/>
              <a:gd name="connsiteY102" fmla="*/ 199255 h 1308087"/>
              <a:gd name="connsiteX103" fmla="*/ 480053 w 2280745"/>
              <a:gd name="connsiteY103" fmla="*/ 205866 h 1308087"/>
              <a:gd name="connsiteX104" fmla="*/ 480053 w 2280745"/>
              <a:gd name="connsiteY104" fmla="*/ 254698 h 1308087"/>
              <a:gd name="connsiteX105" fmla="*/ 488698 w 2280745"/>
              <a:gd name="connsiteY105" fmla="*/ 262227 h 1308087"/>
              <a:gd name="connsiteX106" fmla="*/ 490804 w 2280745"/>
              <a:gd name="connsiteY106" fmla="*/ 262227 h 1308087"/>
              <a:gd name="connsiteX107" fmla="*/ 499450 w 2280745"/>
              <a:gd name="connsiteY107" fmla="*/ 254698 h 1308087"/>
              <a:gd name="connsiteX108" fmla="*/ 499450 w 2280745"/>
              <a:gd name="connsiteY108" fmla="*/ 205866 h 1308087"/>
              <a:gd name="connsiteX109" fmla="*/ 506892 w 2280745"/>
              <a:gd name="connsiteY109" fmla="*/ 205866 h 1308087"/>
              <a:gd name="connsiteX110" fmla="*/ 506892 w 2280745"/>
              <a:gd name="connsiteY110" fmla="*/ 254698 h 1308087"/>
              <a:gd name="connsiteX111" fmla="*/ 515538 w 2280745"/>
              <a:gd name="connsiteY111" fmla="*/ 262227 h 1308087"/>
              <a:gd name="connsiteX112" fmla="*/ 517643 w 2280745"/>
              <a:gd name="connsiteY112" fmla="*/ 262227 h 1308087"/>
              <a:gd name="connsiteX113" fmla="*/ 526287 w 2280745"/>
              <a:gd name="connsiteY113" fmla="*/ 254698 h 1308087"/>
              <a:gd name="connsiteX114" fmla="*/ 526287 w 2280745"/>
              <a:gd name="connsiteY114" fmla="*/ 205866 h 1308087"/>
              <a:gd name="connsiteX115" fmla="*/ 526287 w 2280745"/>
              <a:gd name="connsiteY115" fmla="*/ 199255 h 1308087"/>
              <a:gd name="connsiteX116" fmla="*/ 526287 w 2280745"/>
              <a:gd name="connsiteY116" fmla="*/ 181262 h 1308087"/>
              <a:gd name="connsiteX117" fmla="*/ 531139 w 2280745"/>
              <a:gd name="connsiteY117" fmla="*/ 197025 h 1308087"/>
              <a:gd name="connsiteX118" fmla="*/ 541727 w 2280745"/>
              <a:gd name="connsiteY118" fmla="*/ 202347 h 1308087"/>
              <a:gd name="connsiteX119" fmla="*/ 543761 w 2280745"/>
              <a:gd name="connsiteY119" fmla="*/ 201873 h 1308087"/>
              <a:gd name="connsiteX120" fmla="*/ 549875 w 2280745"/>
              <a:gd name="connsiteY120" fmla="*/ 192653 h 1308087"/>
              <a:gd name="connsiteX121" fmla="*/ 533394 w 2280745"/>
              <a:gd name="connsiteY121" fmla="*/ 139098 h 1308087"/>
              <a:gd name="connsiteX122" fmla="*/ 530716 w 2280745"/>
              <a:gd name="connsiteY122" fmla="*/ 135365 h 1308087"/>
              <a:gd name="connsiteX123" fmla="*/ 526287 w 2280745"/>
              <a:gd name="connsiteY123" fmla="*/ 133610 h 1308087"/>
              <a:gd name="connsiteX124" fmla="*/ 526287 w 2280745"/>
              <a:gd name="connsiteY124" fmla="*/ 133396 h 1308087"/>
              <a:gd name="connsiteX125" fmla="*/ 480053 w 2280745"/>
              <a:gd name="connsiteY125" fmla="*/ 133396 h 1308087"/>
              <a:gd name="connsiteX126" fmla="*/ 680045 w 2280745"/>
              <a:gd name="connsiteY126" fmla="*/ 133396 h 1308087"/>
              <a:gd name="connsiteX127" fmla="*/ 680045 w 2280745"/>
              <a:gd name="connsiteY127" fmla="*/ 133621 h 1308087"/>
              <a:gd name="connsiteX128" fmla="*/ 679427 w 2280745"/>
              <a:gd name="connsiteY128" fmla="*/ 133589 h 1308087"/>
              <a:gd name="connsiteX129" fmla="*/ 672265 w 2280745"/>
              <a:gd name="connsiteY129" fmla="*/ 139098 h 1308087"/>
              <a:gd name="connsiteX130" fmla="*/ 655783 w 2280745"/>
              <a:gd name="connsiteY130" fmla="*/ 192653 h 1308087"/>
              <a:gd name="connsiteX131" fmla="*/ 661899 w 2280745"/>
              <a:gd name="connsiteY131" fmla="*/ 201873 h 1308087"/>
              <a:gd name="connsiteX132" fmla="*/ 663930 w 2280745"/>
              <a:gd name="connsiteY132" fmla="*/ 202347 h 1308087"/>
              <a:gd name="connsiteX133" fmla="*/ 674518 w 2280745"/>
              <a:gd name="connsiteY133" fmla="*/ 197025 h 1308087"/>
              <a:gd name="connsiteX134" fmla="*/ 680045 w 2280745"/>
              <a:gd name="connsiteY134" fmla="*/ 179069 h 1308087"/>
              <a:gd name="connsiteX135" fmla="*/ 680045 w 2280745"/>
              <a:gd name="connsiteY135" fmla="*/ 199255 h 1308087"/>
              <a:gd name="connsiteX136" fmla="*/ 680045 w 2280745"/>
              <a:gd name="connsiteY136" fmla="*/ 205866 h 1308087"/>
              <a:gd name="connsiteX137" fmla="*/ 680045 w 2280745"/>
              <a:gd name="connsiteY137" fmla="*/ 254698 h 1308087"/>
              <a:gd name="connsiteX138" fmla="*/ 688691 w 2280745"/>
              <a:gd name="connsiteY138" fmla="*/ 262227 h 1308087"/>
              <a:gd name="connsiteX139" fmla="*/ 690797 w 2280745"/>
              <a:gd name="connsiteY139" fmla="*/ 262227 h 1308087"/>
              <a:gd name="connsiteX140" fmla="*/ 699443 w 2280745"/>
              <a:gd name="connsiteY140" fmla="*/ 254698 h 1308087"/>
              <a:gd name="connsiteX141" fmla="*/ 699443 w 2280745"/>
              <a:gd name="connsiteY141" fmla="*/ 205866 h 1308087"/>
              <a:gd name="connsiteX142" fmla="*/ 706884 w 2280745"/>
              <a:gd name="connsiteY142" fmla="*/ 205866 h 1308087"/>
              <a:gd name="connsiteX143" fmla="*/ 706884 w 2280745"/>
              <a:gd name="connsiteY143" fmla="*/ 254698 h 1308087"/>
              <a:gd name="connsiteX144" fmla="*/ 715530 w 2280745"/>
              <a:gd name="connsiteY144" fmla="*/ 262227 h 1308087"/>
              <a:gd name="connsiteX145" fmla="*/ 717635 w 2280745"/>
              <a:gd name="connsiteY145" fmla="*/ 262227 h 1308087"/>
              <a:gd name="connsiteX146" fmla="*/ 726280 w 2280745"/>
              <a:gd name="connsiteY146" fmla="*/ 254698 h 1308087"/>
              <a:gd name="connsiteX147" fmla="*/ 726280 w 2280745"/>
              <a:gd name="connsiteY147" fmla="*/ 205866 h 1308087"/>
              <a:gd name="connsiteX148" fmla="*/ 726280 w 2280745"/>
              <a:gd name="connsiteY148" fmla="*/ 199255 h 1308087"/>
              <a:gd name="connsiteX149" fmla="*/ 726280 w 2280745"/>
              <a:gd name="connsiteY149" fmla="*/ 181262 h 1308087"/>
              <a:gd name="connsiteX150" fmla="*/ 731132 w 2280745"/>
              <a:gd name="connsiteY150" fmla="*/ 197025 h 1308087"/>
              <a:gd name="connsiteX151" fmla="*/ 741720 w 2280745"/>
              <a:gd name="connsiteY151" fmla="*/ 202347 h 1308087"/>
              <a:gd name="connsiteX152" fmla="*/ 743753 w 2280745"/>
              <a:gd name="connsiteY152" fmla="*/ 201873 h 1308087"/>
              <a:gd name="connsiteX153" fmla="*/ 749868 w 2280745"/>
              <a:gd name="connsiteY153" fmla="*/ 192653 h 1308087"/>
              <a:gd name="connsiteX154" fmla="*/ 733385 w 2280745"/>
              <a:gd name="connsiteY154" fmla="*/ 139098 h 1308087"/>
              <a:gd name="connsiteX155" fmla="*/ 730709 w 2280745"/>
              <a:gd name="connsiteY155" fmla="*/ 135365 h 1308087"/>
              <a:gd name="connsiteX156" fmla="*/ 726280 w 2280745"/>
              <a:gd name="connsiteY156" fmla="*/ 133610 h 1308087"/>
              <a:gd name="connsiteX157" fmla="*/ 726280 w 2280745"/>
              <a:gd name="connsiteY157" fmla="*/ 133396 h 1308087"/>
              <a:gd name="connsiteX158" fmla="*/ 680045 w 2280745"/>
              <a:gd name="connsiteY158" fmla="*/ 133396 h 1308087"/>
              <a:gd name="connsiteX159" fmla="*/ 880037 w 2280745"/>
              <a:gd name="connsiteY159" fmla="*/ 133396 h 1308087"/>
              <a:gd name="connsiteX160" fmla="*/ 880037 w 2280745"/>
              <a:gd name="connsiteY160" fmla="*/ 133621 h 1308087"/>
              <a:gd name="connsiteX161" fmla="*/ 879420 w 2280745"/>
              <a:gd name="connsiteY161" fmla="*/ 133589 h 1308087"/>
              <a:gd name="connsiteX162" fmla="*/ 872256 w 2280745"/>
              <a:gd name="connsiteY162" fmla="*/ 139098 h 1308087"/>
              <a:gd name="connsiteX163" fmla="*/ 855776 w 2280745"/>
              <a:gd name="connsiteY163" fmla="*/ 192653 h 1308087"/>
              <a:gd name="connsiteX164" fmla="*/ 861890 w 2280745"/>
              <a:gd name="connsiteY164" fmla="*/ 201873 h 1308087"/>
              <a:gd name="connsiteX165" fmla="*/ 863923 w 2280745"/>
              <a:gd name="connsiteY165" fmla="*/ 202347 h 1308087"/>
              <a:gd name="connsiteX166" fmla="*/ 874511 w 2280745"/>
              <a:gd name="connsiteY166" fmla="*/ 197025 h 1308087"/>
              <a:gd name="connsiteX167" fmla="*/ 880037 w 2280745"/>
              <a:gd name="connsiteY167" fmla="*/ 179069 h 1308087"/>
              <a:gd name="connsiteX168" fmla="*/ 880037 w 2280745"/>
              <a:gd name="connsiteY168" fmla="*/ 199255 h 1308087"/>
              <a:gd name="connsiteX169" fmla="*/ 880037 w 2280745"/>
              <a:gd name="connsiteY169" fmla="*/ 205866 h 1308087"/>
              <a:gd name="connsiteX170" fmla="*/ 880037 w 2280745"/>
              <a:gd name="connsiteY170" fmla="*/ 254698 h 1308087"/>
              <a:gd name="connsiteX171" fmla="*/ 888683 w 2280745"/>
              <a:gd name="connsiteY171" fmla="*/ 262227 h 1308087"/>
              <a:gd name="connsiteX172" fmla="*/ 890788 w 2280745"/>
              <a:gd name="connsiteY172" fmla="*/ 262227 h 1308087"/>
              <a:gd name="connsiteX173" fmla="*/ 899434 w 2280745"/>
              <a:gd name="connsiteY173" fmla="*/ 254698 h 1308087"/>
              <a:gd name="connsiteX174" fmla="*/ 899434 w 2280745"/>
              <a:gd name="connsiteY174" fmla="*/ 205866 h 1308087"/>
              <a:gd name="connsiteX175" fmla="*/ 906877 w 2280745"/>
              <a:gd name="connsiteY175" fmla="*/ 205866 h 1308087"/>
              <a:gd name="connsiteX176" fmla="*/ 906877 w 2280745"/>
              <a:gd name="connsiteY176" fmla="*/ 254698 h 1308087"/>
              <a:gd name="connsiteX177" fmla="*/ 915521 w 2280745"/>
              <a:gd name="connsiteY177" fmla="*/ 262227 h 1308087"/>
              <a:gd name="connsiteX178" fmla="*/ 917628 w 2280745"/>
              <a:gd name="connsiteY178" fmla="*/ 262227 h 1308087"/>
              <a:gd name="connsiteX179" fmla="*/ 926272 w 2280745"/>
              <a:gd name="connsiteY179" fmla="*/ 254698 h 1308087"/>
              <a:gd name="connsiteX180" fmla="*/ 926272 w 2280745"/>
              <a:gd name="connsiteY180" fmla="*/ 205866 h 1308087"/>
              <a:gd name="connsiteX181" fmla="*/ 926272 w 2280745"/>
              <a:gd name="connsiteY181" fmla="*/ 199255 h 1308087"/>
              <a:gd name="connsiteX182" fmla="*/ 926272 w 2280745"/>
              <a:gd name="connsiteY182" fmla="*/ 181262 h 1308087"/>
              <a:gd name="connsiteX183" fmla="*/ 931123 w 2280745"/>
              <a:gd name="connsiteY183" fmla="*/ 197025 h 1308087"/>
              <a:gd name="connsiteX184" fmla="*/ 941712 w 2280745"/>
              <a:gd name="connsiteY184" fmla="*/ 202347 h 1308087"/>
              <a:gd name="connsiteX185" fmla="*/ 943745 w 2280745"/>
              <a:gd name="connsiteY185" fmla="*/ 201873 h 1308087"/>
              <a:gd name="connsiteX186" fmla="*/ 949860 w 2280745"/>
              <a:gd name="connsiteY186" fmla="*/ 192653 h 1308087"/>
              <a:gd name="connsiteX187" fmla="*/ 933378 w 2280745"/>
              <a:gd name="connsiteY187" fmla="*/ 139098 h 1308087"/>
              <a:gd name="connsiteX188" fmla="*/ 930701 w 2280745"/>
              <a:gd name="connsiteY188" fmla="*/ 135365 h 1308087"/>
              <a:gd name="connsiteX189" fmla="*/ 926272 w 2280745"/>
              <a:gd name="connsiteY189" fmla="*/ 133610 h 1308087"/>
              <a:gd name="connsiteX190" fmla="*/ 926272 w 2280745"/>
              <a:gd name="connsiteY190" fmla="*/ 133396 h 1308087"/>
              <a:gd name="connsiteX191" fmla="*/ 880037 w 2280745"/>
              <a:gd name="connsiteY191" fmla="*/ 133396 h 1308087"/>
              <a:gd name="connsiteX192" fmla="*/ 1080030 w 2280745"/>
              <a:gd name="connsiteY192" fmla="*/ 133396 h 1308087"/>
              <a:gd name="connsiteX193" fmla="*/ 1080030 w 2280745"/>
              <a:gd name="connsiteY193" fmla="*/ 133621 h 1308087"/>
              <a:gd name="connsiteX194" fmla="*/ 1079412 w 2280745"/>
              <a:gd name="connsiteY194" fmla="*/ 133589 h 1308087"/>
              <a:gd name="connsiteX195" fmla="*/ 1072249 w 2280745"/>
              <a:gd name="connsiteY195" fmla="*/ 139098 h 1308087"/>
              <a:gd name="connsiteX196" fmla="*/ 1055767 w 2280745"/>
              <a:gd name="connsiteY196" fmla="*/ 192653 h 1308087"/>
              <a:gd name="connsiteX197" fmla="*/ 1061881 w 2280745"/>
              <a:gd name="connsiteY197" fmla="*/ 201873 h 1308087"/>
              <a:gd name="connsiteX198" fmla="*/ 1063914 w 2280745"/>
              <a:gd name="connsiteY198" fmla="*/ 202347 h 1308087"/>
              <a:gd name="connsiteX199" fmla="*/ 1074503 w 2280745"/>
              <a:gd name="connsiteY199" fmla="*/ 197025 h 1308087"/>
              <a:gd name="connsiteX200" fmla="*/ 1080030 w 2280745"/>
              <a:gd name="connsiteY200" fmla="*/ 179069 h 1308087"/>
              <a:gd name="connsiteX201" fmla="*/ 1080030 w 2280745"/>
              <a:gd name="connsiteY201" fmla="*/ 199255 h 1308087"/>
              <a:gd name="connsiteX202" fmla="*/ 1080030 w 2280745"/>
              <a:gd name="connsiteY202" fmla="*/ 205866 h 1308087"/>
              <a:gd name="connsiteX203" fmla="*/ 1080030 w 2280745"/>
              <a:gd name="connsiteY203" fmla="*/ 254698 h 1308087"/>
              <a:gd name="connsiteX204" fmla="*/ 1088676 w 2280745"/>
              <a:gd name="connsiteY204" fmla="*/ 262227 h 1308087"/>
              <a:gd name="connsiteX205" fmla="*/ 1090781 w 2280745"/>
              <a:gd name="connsiteY205" fmla="*/ 262227 h 1308087"/>
              <a:gd name="connsiteX206" fmla="*/ 1099427 w 2280745"/>
              <a:gd name="connsiteY206" fmla="*/ 254698 h 1308087"/>
              <a:gd name="connsiteX207" fmla="*/ 1099427 w 2280745"/>
              <a:gd name="connsiteY207" fmla="*/ 205866 h 1308087"/>
              <a:gd name="connsiteX208" fmla="*/ 1106868 w 2280745"/>
              <a:gd name="connsiteY208" fmla="*/ 205866 h 1308087"/>
              <a:gd name="connsiteX209" fmla="*/ 1106868 w 2280745"/>
              <a:gd name="connsiteY209" fmla="*/ 254698 h 1308087"/>
              <a:gd name="connsiteX210" fmla="*/ 1115514 w 2280745"/>
              <a:gd name="connsiteY210" fmla="*/ 262227 h 1308087"/>
              <a:gd name="connsiteX211" fmla="*/ 1117619 w 2280745"/>
              <a:gd name="connsiteY211" fmla="*/ 262227 h 1308087"/>
              <a:gd name="connsiteX212" fmla="*/ 1126264 w 2280745"/>
              <a:gd name="connsiteY212" fmla="*/ 254698 h 1308087"/>
              <a:gd name="connsiteX213" fmla="*/ 1126264 w 2280745"/>
              <a:gd name="connsiteY213" fmla="*/ 205866 h 1308087"/>
              <a:gd name="connsiteX214" fmla="*/ 1126264 w 2280745"/>
              <a:gd name="connsiteY214" fmla="*/ 199255 h 1308087"/>
              <a:gd name="connsiteX215" fmla="*/ 1126264 w 2280745"/>
              <a:gd name="connsiteY215" fmla="*/ 181262 h 1308087"/>
              <a:gd name="connsiteX216" fmla="*/ 1131115 w 2280745"/>
              <a:gd name="connsiteY216" fmla="*/ 197025 h 1308087"/>
              <a:gd name="connsiteX217" fmla="*/ 1141704 w 2280745"/>
              <a:gd name="connsiteY217" fmla="*/ 202347 h 1308087"/>
              <a:gd name="connsiteX218" fmla="*/ 1143738 w 2280745"/>
              <a:gd name="connsiteY218" fmla="*/ 201873 h 1308087"/>
              <a:gd name="connsiteX219" fmla="*/ 1149853 w 2280745"/>
              <a:gd name="connsiteY219" fmla="*/ 192653 h 1308087"/>
              <a:gd name="connsiteX220" fmla="*/ 1133370 w 2280745"/>
              <a:gd name="connsiteY220" fmla="*/ 139098 h 1308087"/>
              <a:gd name="connsiteX221" fmla="*/ 1130693 w 2280745"/>
              <a:gd name="connsiteY221" fmla="*/ 135365 h 1308087"/>
              <a:gd name="connsiteX222" fmla="*/ 1126264 w 2280745"/>
              <a:gd name="connsiteY222" fmla="*/ 133610 h 1308087"/>
              <a:gd name="connsiteX223" fmla="*/ 1126264 w 2280745"/>
              <a:gd name="connsiteY223" fmla="*/ 133396 h 1308087"/>
              <a:gd name="connsiteX224" fmla="*/ 1080030 w 2280745"/>
              <a:gd name="connsiteY224" fmla="*/ 133396 h 1308087"/>
              <a:gd name="connsiteX225" fmla="*/ 1280022 w 2280745"/>
              <a:gd name="connsiteY225" fmla="*/ 133396 h 1308087"/>
              <a:gd name="connsiteX226" fmla="*/ 1280022 w 2280745"/>
              <a:gd name="connsiteY226" fmla="*/ 133621 h 1308087"/>
              <a:gd name="connsiteX227" fmla="*/ 1279405 w 2280745"/>
              <a:gd name="connsiteY227" fmla="*/ 133589 h 1308087"/>
              <a:gd name="connsiteX228" fmla="*/ 1272241 w 2280745"/>
              <a:gd name="connsiteY228" fmla="*/ 139098 h 1308087"/>
              <a:gd name="connsiteX229" fmla="*/ 1255760 w 2280745"/>
              <a:gd name="connsiteY229" fmla="*/ 192653 h 1308087"/>
              <a:gd name="connsiteX230" fmla="*/ 1261874 w 2280745"/>
              <a:gd name="connsiteY230" fmla="*/ 201873 h 1308087"/>
              <a:gd name="connsiteX231" fmla="*/ 1263907 w 2280745"/>
              <a:gd name="connsiteY231" fmla="*/ 202347 h 1308087"/>
              <a:gd name="connsiteX232" fmla="*/ 1274496 w 2280745"/>
              <a:gd name="connsiteY232" fmla="*/ 197025 h 1308087"/>
              <a:gd name="connsiteX233" fmla="*/ 1280022 w 2280745"/>
              <a:gd name="connsiteY233" fmla="*/ 179069 h 1308087"/>
              <a:gd name="connsiteX234" fmla="*/ 1280022 w 2280745"/>
              <a:gd name="connsiteY234" fmla="*/ 199255 h 1308087"/>
              <a:gd name="connsiteX235" fmla="*/ 1280022 w 2280745"/>
              <a:gd name="connsiteY235" fmla="*/ 205866 h 1308087"/>
              <a:gd name="connsiteX236" fmla="*/ 1280022 w 2280745"/>
              <a:gd name="connsiteY236" fmla="*/ 254698 h 1308087"/>
              <a:gd name="connsiteX237" fmla="*/ 1288667 w 2280745"/>
              <a:gd name="connsiteY237" fmla="*/ 262227 h 1308087"/>
              <a:gd name="connsiteX238" fmla="*/ 1290773 w 2280745"/>
              <a:gd name="connsiteY238" fmla="*/ 262227 h 1308087"/>
              <a:gd name="connsiteX239" fmla="*/ 1299419 w 2280745"/>
              <a:gd name="connsiteY239" fmla="*/ 254698 h 1308087"/>
              <a:gd name="connsiteX240" fmla="*/ 1299419 w 2280745"/>
              <a:gd name="connsiteY240" fmla="*/ 205866 h 1308087"/>
              <a:gd name="connsiteX241" fmla="*/ 1306860 w 2280745"/>
              <a:gd name="connsiteY241" fmla="*/ 205866 h 1308087"/>
              <a:gd name="connsiteX242" fmla="*/ 1306860 w 2280745"/>
              <a:gd name="connsiteY242" fmla="*/ 254698 h 1308087"/>
              <a:gd name="connsiteX243" fmla="*/ 1315506 w 2280745"/>
              <a:gd name="connsiteY243" fmla="*/ 262227 h 1308087"/>
              <a:gd name="connsiteX244" fmla="*/ 1317610 w 2280745"/>
              <a:gd name="connsiteY244" fmla="*/ 262227 h 1308087"/>
              <a:gd name="connsiteX245" fmla="*/ 1326256 w 2280745"/>
              <a:gd name="connsiteY245" fmla="*/ 254698 h 1308087"/>
              <a:gd name="connsiteX246" fmla="*/ 1326256 w 2280745"/>
              <a:gd name="connsiteY246" fmla="*/ 205866 h 1308087"/>
              <a:gd name="connsiteX247" fmla="*/ 1326256 w 2280745"/>
              <a:gd name="connsiteY247" fmla="*/ 199255 h 1308087"/>
              <a:gd name="connsiteX248" fmla="*/ 1326256 w 2280745"/>
              <a:gd name="connsiteY248" fmla="*/ 181262 h 1308087"/>
              <a:gd name="connsiteX249" fmla="*/ 1331108 w 2280745"/>
              <a:gd name="connsiteY249" fmla="*/ 197025 h 1308087"/>
              <a:gd name="connsiteX250" fmla="*/ 1341696 w 2280745"/>
              <a:gd name="connsiteY250" fmla="*/ 202347 h 1308087"/>
              <a:gd name="connsiteX251" fmla="*/ 1343730 w 2280745"/>
              <a:gd name="connsiteY251" fmla="*/ 201873 h 1308087"/>
              <a:gd name="connsiteX252" fmla="*/ 1349844 w 2280745"/>
              <a:gd name="connsiteY252" fmla="*/ 192653 h 1308087"/>
              <a:gd name="connsiteX253" fmla="*/ 1333361 w 2280745"/>
              <a:gd name="connsiteY253" fmla="*/ 139098 h 1308087"/>
              <a:gd name="connsiteX254" fmla="*/ 1330685 w 2280745"/>
              <a:gd name="connsiteY254" fmla="*/ 135365 h 1308087"/>
              <a:gd name="connsiteX255" fmla="*/ 1326256 w 2280745"/>
              <a:gd name="connsiteY255" fmla="*/ 133610 h 1308087"/>
              <a:gd name="connsiteX256" fmla="*/ 1326256 w 2280745"/>
              <a:gd name="connsiteY256" fmla="*/ 133396 h 1308087"/>
              <a:gd name="connsiteX257" fmla="*/ 1280022 w 2280745"/>
              <a:gd name="connsiteY257" fmla="*/ 133396 h 1308087"/>
              <a:gd name="connsiteX258" fmla="*/ 1482314 w 2280745"/>
              <a:gd name="connsiteY258" fmla="*/ 133396 h 1308087"/>
              <a:gd name="connsiteX259" fmla="*/ 1482314 w 2280745"/>
              <a:gd name="connsiteY259" fmla="*/ 133621 h 1308087"/>
              <a:gd name="connsiteX260" fmla="*/ 1481697 w 2280745"/>
              <a:gd name="connsiteY260" fmla="*/ 133589 h 1308087"/>
              <a:gd name="connsiteX261" fmla="*/ 1474533 w 2280745"/>
              <a:gd name="connsiteY261" fmla="*/ 139098 h 1308087"/>
              <a:gd name="connsiteX262" fmla="*/ 1458052 w 2280745"/>
              <a:gd name="connsiteY262" fmla="*/ 192653 h 1308087"/>
              <a:gd name="connsiteX263" fmla="*/ 1464166 w 2280745"/>
              <a:gd name="connsiteY263" fmla="*/ 201873 h 1308087"/>
              <a:gd name="connsiteX264" fmla="*/ 1466199 w 2280745"/>
              <a:gd name="connsiteY264" fmla="*/ 202347 h 1308087"/>
              <a:gd name="connsiteX265" fmla="*/ 1476788 w 2280745"/>
              <a:gd name="connsiteY265" fmla="*/ 197025 h 1308087"/>
              <a:gd name="connsiteX266" fmla="*/ 1482314 w 2280745"/>
              <a:gd name="connsiteY266" fmla="*/ 179069 h 1308087"/>
              <a:gd name="connsiteX267" fmla="*/ 1482314 w 2280745"/>
              <a:gd name="connsiteY267" fmla="*/ 199255 h 1308087"/>
              <a:gd name="connsiteX268" fmla="*/ 1482314 w 2280745"/>
              <a:gd name="connsiteY268" fmla="*/ 205866 h 1308087"/>
              <a:gd name="connsiteX269" fmla="*/ 1482314 w 2280745"/>
              <a:gd name="connsiteY269" fmla="*/ 254698 h 1308087"/>
              <a:gd name="connsiteX270" fmla="*/ 1490960 w 2280745"/>
              <a:gd name="connsiteY270" fmla="*/ 262227 h 1308087"/>
              <a:gd name="connsiteX271" fmla="*/ 1493064 w 2280745"/>
              <a:gd name="connsiteY271" fmla="*/ 262227 h 1308087"/>
              <a:gd name="connsiteX272" fmla="*/ 1501710 w 2280745"/>
              <a:gd name="connsiteY272" fmla="*/ 254698 h 1308087"/>
              <a:gd name="connsiteX273" fmla="*/ 1501710 w 2280745"/>
              <a:gd name="connsiteY273" fmla="*/ 205866 h 1308087"/>
              <a:gd name="connsiteX274" fmla="*/ 1509153 w 2280745"/>
              <a:gd name="connsiteY274" fmla="*/ 205866 h 1308087"/>
              <a:gd name="connsiteX275" fmla="*/ 1509153 w 2280745"/>
              <a:gd name="connsiteY275" fmla="*/ 254698 h 1308087"/>
              <a:gd name="connsiteX276" fmla="*/ 1517799 w 2280745"/>
              <a:gd name="connsiteY276" fmla="*/ 262227 h 1308087"/>
              <a:gd name="connsiteX277" fmla="*/ 1519903 w 2280745"/>
              <a:gd name="connsiteY277" fmla="*/ 262227 h 1308087"/>
              <a:gd name="connsiteX278" fmla="*/ 1528549 w 2280745"/>
              <a:gd name="connsiteY278" fmla="*/ 254698 h 1308087"/>
              <a:gd name="connsiteX279" fmla="*/ 1528549 w 2280745"/>
              <a:gd name="connsiteY279" fmla="*/ 205866 h 1308087"/>
              <a:gd name="connsiteX280" fmla="*/ 1528549 w 2280745"/>
              <a:gd name="connsiteY280" fmla="*/ 199255 h 1308087"/>
              <a:gd name="connsiteX281" fmla="*/ 1528549 w 2280745"/>
              <a:gd name="connsiteY281" fmla="*/ 181262 h 1308087"/>
              <a:gd name="connsiteX282" fmla="*/ 1533400 w 2280745"/>
              <a:gd name="connsiteY282" fmla="*/ 197025 h 1308087"/>
              <a:gd name="connsiteX283" fmla="*/ 1543989 w 2280745"/>
              <a:gd name="connsiteY283" fmla="*/ 202347 h 1308087"/>
              <a:gd name="connsiteX284" fmla="*/ 1546022 w 2280745"/>
              <a:gd name="connsiteY284" fmla="*/ 201873 h 1308087"/>
              <a:gd name="connsiteX285" fmla="*/ 1552136 w 2280745"/>
              <a:gd name="connsiteY285" fmla="*/ 192653 h 1308087"/>
              <a:gd name="connsiteX286" fmla="*/ 1535655 w 2280745"/>
              <a:gd name="connsiteY286" fmla="*/ 139098 h 1308087"/>
              <a:gd name="connsiteX287" fmla="*/ 1532977 w 2280745"/>
              <a:gd name="connsiteY287" fmla="*/ 135365 h 1308087"/>
              <a:gd name="connsiteX288" fmla="*/ 1528549 w 2280745"/>
              <a:gd name="connsiteY288" fmla="*/ 133610 h 1308087"/>
              <a:gd name="connsiteX289" fmla="*/ 1528549 w 2280745"/>
              <a:gd name="connsiteY289" fmla="*/ 133396 h 1308087"/>
              <a:gd name="connsiteX290" fmla="*/ 1482314 w 2280745"/>
              <a:gd name="connsiteY290" fmla="*/ 133396 h 1308087"/>
              <a:gd name="connsiteX291" fmla="*/ 1679477 w 2280745"/>
              <a:gd name="connsiteY291" fmla="*/ 133396 h 1308087"/>
              <a:gd name="connsiteX292" fmla="*/ 1679477 w 2280745"/>
              <a:gd name="connsiteY292" fmla="*/ 133621 h 1308087"/>
              <a:gd name="connsiteX293" fmla="*/ 1678860 w 2280745"/>
              <a:gd name="connsiteY293" fmla="*/ 133589 h 1308087"/>
              <a:gd name="connsiteX294" fmla="*/ 1671696 w 2280745"/>
              <a:gd name="connsiteY294" fmla="*/ 139098 h 1308087"/>
              <a:gd name="connsiteX295" fmla="*/ 1655215 w 2280745"/>
              <a:gd name="connsiteY295" fmla="*/ 192653 h 1308087"/>
              <a:gd name="connsiteX296" fmla="*/ 1661328 w 2280745"/>
              <a:gd name="connsiteY296" fmla="*/ 201873 h 1308087"/>
              <a:gd name="connsiteX297" fmla="*/ 1663362 w 2280745"/>
              <a:gd name="connsiteY297" fmla="*/ 202347 h 1308087"/>
              <a:gd name="connsiteX298" fmla="*/ 1673951 w 2280745"/>
              <a:gd name="connsiteY298" fmla="*/ 197025 h 1308087"/>
              <a:gd name="connsiteX299" fmla="*/ 1679477 w 2280745"/>
              <a:gd name="connsiteY299" fmla="*/ 179069 h 1308087"/>
              <a:gd name="connsiteX300" fmla="*/ 1679477 w 2280745"/>
              <a:gd name="connsiteY300" fmla="*/ 199255 h 1308087"/>
              <a:gd name="connsiteX301" fmla="*/ 1679477 w 2280745"/>
              <a:gd name="connsiteY301" fmla="*/ 205866 h 1308087"/>
              <a:gd name="connsiteX302" fmla="*/ 1679477 w 2280745"/>
              <a:gd name="connsiteY302" fmla="*/ 254698 h 1308087"/>
              <a:gd name="connsiteX303" fmla="*/ 1688123 w 2280745"/>
              <a:gd name="connsiteY303" fmla="*/ 262227 h 1308087"/>
              <a:gd name="connsiteX304" fmla="*/ 1690227 w 2280745"/>
              <a:gd name="connsiteY304" fmla="*/ 262227 h 1308087"/>
              <a:gd name="connsiteX305" fmla="*/ 1698873 w 2280745"/>
              <a:gd name="connsiteY305" fmla="*/ 254698 h 1308087"/>
              <a:gd name="connsiteX306" fmla="*/ 1698873 w 2280745"/>
              <a:gd name="connsiteY306" fmla="*/ 205866 h 1308087"/>
              <a:gd name="connsiteX307" fmla="*/ 1706314 w 2280745"/>
              <a:gd name="connsiteY307" fmla="*/ 205866 h 1308087"/>
              <a:gd name="connsiteX308" fmla="*/ 1706314 w 2280745"/>
              <a:gd name="connsiteY308" fmla="*/ 254698 h 1308087"/>
              <a:gd name="connsiteX309" fmla="*/ 1714961 w 2280745"/>
              <a:gd name="connsiteY309" fmla="*/ 262227 h 1308087"/>
              <a:gd name="connsiteX310" fmla="*/ 1717066 w 2280745"/>
              <a:gd name="connsiteY310" fmla="*/ 262227 h 1308087"/>
              <a:gd name="connsiteX311" fmla="*/ 1725712 w 2280745"/>
              <a:gd name="connsiteY311" fmla="*/ 254698 h 1308087"/>
              <a:gd name="connsiteX312" fmla="*/ 1725712 w 2280745"/>
              <a:gd name="connsiteY312" fmla="*/ 205866 h 1308087"/>
              <a:gd name="connsiteX313" fmla="*/ 1725712 w 2280745"/>
              <a:gd name="connsiteY313" fmla="*/ 199255 h 1308087"/>
              <a:gd name="connsiteX314" fmla="*/ 1725712 w 2280745"/>
              <a:gd name="connsiteY314" fmla="*/ 181262 h 1308087"/>
              <a:gd name="connsiteX315" fmla="*/ 1730563 w 2280745"/>
              <a:gd name="connsiteY315" fmla="*/ 197025 h 1308087"/>
              <a:gd name="connsiteX316" fmla="*/ 1741152 w 2280745"/>
              <a:gd name="connsiteY316" fmla="*/ 202347 h 1308087"/>
              <a:gd name="connsiteX317" fmla="*/ 1743185 w 2280745"/>
              <a:gd name="connsiteY317" fmla="*/ 201873 h 1308087"/>
              <a:gd name="connsiteX318" fmla="*/ 1749299 w 2280745"/>
              <a:gd name="connsiteY318" fmla="*/ 192653 h 1308087"/>
              <a:gd name="connsiteX319" fmla="*/ 1732817 w 2280745"/>
              <a:gd name="connsiteY319" fmla="*/ 139098 h 1308087"/>
              <a:gd name="connsiteX320" fmla="*/ 1730140 w 2280745"/>
              <a:gd name="connsiteY320" fmla="*/ 135365 h 1308087"/>
              <a:gd name="connsiteX321" fmla="*/ 1725712 w 2280745"/>
              <a:gd name="connsiteY321" fmla="*/ 133610 h 1308087"/>
              <a:gd name="connsiteX322" fmla="*/ 1725712 w 2280745"/>
              <a:gd name="connsiteY322" fmla="*/ 133396 h 1308087"/>
              <a:gd name="connsiteX323" fmla="*/ 1679477 w 2280745"/>
              <a:gd name="connsiteY323" fmla="*/ 133396 h 1308087"/>
              <a:gd name="connsiteX324" fmla="*/ 1882298 w 2280745"/>
              <a:gd name="connsiteY324" fmla="*/ 133396 h 1308087"/>
              <a:gd name="connsiteX325" fmla="*/ 1882298 w 2280745"/>
              <a:gd name="connsiteY325" fmla="*/ 133621 h 1308087"/>
              <a:gd name="connsiteX326" fmla="*/ 1881681 w 2280745"/>
              <a:gd name="connsiteY326" fmla="*/ 133589 h 1308087"/>
              <a:gd name="connsiteX327" fmla="*/ 1874518 w 2280745"/>
              <a:gd name="connsiteY327" fmla="*/ 139098 h 1308087"/>
              <a:gd name="connsiteX328" fmla="*/ 1858037 w 2280745"/>
              <a:gd name="connsiteY328" fmla="*/ 192653 h 1308087"/>
              <a:gd name="connsiteX329" fmla="*/ 1864152 w 2280745"/>
              <a:gd name="connsiteY329" fmla="*/ 201873 h 1308087"/>
              <a:gd name="connsiteX330" fmla="*/ 1866184 w 2280745"/>
              <a:gd name="connsiteY330" fmla="*/ 202347 h 1308087"/>
              <a:gd name="connsiteX331" fmla="*/ 1876773 w 2280745"/>
              <a:gd name="connsiteY331" fmla="*/ 197025 h 1308087"/>
              <a:gd name="connsiteX332" fmla="*/ 1882298 w 2280745"/>
              <a:gd name="connsiteY332" fmla="*/ 179069 h 1308087"/>
              <a:gd name="connsiteX333" fmla="*/ 1882298 w 2280745"/>
              <a:gd name="connsiteY333" fmla="*/ 199255 h 1308087"/>
              <a:gd name="connsiteX334" fmla="*/ 1882298 w 2280745"/>
              <a:gd name="connsiteY334" fmla="*/ 205866 h 1308087"/>
              <a:gd name="connsiteX335" fmla="*/ 1882298 w 2280745"/>
              <a:gd name="connsiteY335" fmla="*/ 254698 h 1308087"/>
              <a:gd name="connsiteX336" fmla="*/ 1890944 w 2280745"/>
              <a:gd name="connsiteY336" fmla="*/ 262227 h 1308087"/>
              <a:gd name="connsiteX337" fmla="*/ 1893050 w 2280745"/>
              <a:gd name="connsiteY337" fmla="*/ 262227 h 1308087"/>
              <a:gd name="connsiteX338" fmla="*/ 1901696 w 2280745"/>
              <a:gd name="connsiteY338" fmla="*/ 254698 h 1308087"/>
              <a:gd name="connsiteX339" fmla="*/ 1901696 w 2280745"/>
              <a:gd name="connsiteY339" fmla="*/ 205866 h 1308087"/>
              <a:gd name="connsiteX340" fmla="*/ 1909138 w 2280745"/>
              <a:gd name="connsiteY340" fmla="*/ 205866 h 1308087"/>
              <a:gd name="connsiteX341" fmla="*/ 1909138 w 2280745"/>
              <a:gd name="connsiteY341" fmla="*/ 254698 h 1308087"/>
              <a:gd name="connsiteX342" fmla="*/ 1917783 w 2280745"/>
              <a:gd name="connsiteY342" fmla="*/ 262227 h 1308087"/>
              <a:gd name="connsiteX343" fmla="*/ 1919889 w 2280745"/>
              <a:gd name="connsiteY343" fmla="*/ 262227 h 1308087"/>
              <a:gd name="connsiteX344" fmla="*/ 1928535 w 2280745"/>
              <a:gd name="connsiteY344" fmla="*/ 254698 h 1308087"/>
              <a:gd name="connsiteX345" fmla="*/ 1928535 w 2280745"/>
              <a:gd name="connsiteY345" fmla="*/ 205866 h 1308087"/>
              <a:gd name="connsiteX346" fmla="*/ 1928535 w 2280745"/>
              <a:gd name="connsiteY346" fmla="*/ 199255 h 1308087"/>
              <a:gd name="connsiteX347" fmla="*/ 1928535 w 2280745"/>
              <a:gd name="connsiteY347" fmla="*/ 181262 h 1308087"/>
              <a:gd name="connsiteX348" fmla="*/ 1933385 w 2280745"/>
              <a:gd name="connsiteY348" fmla="*/ 197025 h 1308087"/>
              <a:gd name="connsiteX349" fmla="*/ 1943974 w 2280745"/>
              <a:gd name="connsiteY349" fmla="*/ 202347 h 1308087"/>
              <a:gd name="connsiteX350" fmla="*/ 1946009 w 2280745"/>
              <a:gd name="connsiteY350" fmla="*/ 201873 h 1308087"/>
              <a:gd name="connsiteX351" fmla="*/ 1952121 w 2280745"/>
              <a:gd name="connsiteY351" fmla="*/ 192653 h 1308087"/>
              <a:gd name="connsiteX352" fmla="*/ 1935640 w 2280745"/>
              <a:gd name="connsiteY352" fmla="*/ 139098 h 1308087"/>
              <a:gd name="connsiteX353" fmla="*/ 1932962 w 2280745"/>
              <a:gd name="connsiteY353" fmla="*/ 135365 h 1308087"/>
              <a:gd name="connsiteX354" fmla="*/ 1928535 w 2280745"/>
              <a:gd name="connsiteY354" fmla="*/ 133610 h 1308087"/>
              <a:gd name="connsiteX355" fmla="*/ 1928535 w 2280745"/>
              <a:gd name="connsiteY355" fmla="*/ 133396 h 1308087"/>
              <a:gd name="connsiteX356" fmla="*/ 1882298 w 2280745"/>
              <a:gd name="connsiteY356" fmla="*/ 133396 h 1308087"/>
              <a:gd name="connsiteX357" fmla="*/ 2081622 w 2280745"/>
              <a:gd name="connsiteY357" fmla="*/ 133396 h 1308087"/>
              <a:gd name="connsiteX358" fmla="*/ 2081622 w 2280745"/>
              <a:gd name="connsiteY358" fmla="*/ 133621 h 1308087"/>
              <a:gd name="connsiteX359" fmla="*/ 2081004 w 2280745"/>
              <a:gd name="connsiteY359" fmla="*/ 133589 h 1308087"/>
              <a:gd name="connsiteX360" fmla="*/ 2073841 w 2280745"/>
              <a:gd name="connsiteY360" fmla="*/ 139098 h 1308087"/>
              <a:gd name="connsiteX361" fmla="*/ 2057362 w 2280745"/>
              <a:gd name="connsiteY361" fmla="*/ 192653 h 1308087"/>
              <a:gd name="connsiteX362" fmla="*/ 2063474 w 2280745"/>
              <a:gd name="connsiteY362" fmla="*/ 201873 h 1308087"/>
              <a:gd name="connsiteX363" fmla="*/ 2065507 w 2280745"/>
              <a:gd name="connsiteY363" fmla="*/ 202347 h 1308087"/>
              <a:gd name="connsiteX364" fmla="*/ 2076097 w 2280745"/>
              <a:gd name="connsiteY364" fmla="*/ 197025 h 1308087"/>
              <a:gd name="connsiteX365" fmla="*/ 2081622 w 2280745"/>
              <a:gd name="connsiteY365" fmla="*/ 179069 h 1308087"/>
              <a:gd name="connsiteX366" fmla="*/ 2081622 w 2280745"/>
              <a:gd name="connsiteY366" fmla="*/ 199255 h 1308087"/>
              <a:gd name="connsiteX367" fmla="*/ 2081622 w 2280745"/>
              <a:gd name="connsiteY367" fmla="*/ 205866 h 1308087"/>
              <a:gd name="connsiteX368" fmla="*/ 2081622 w 2280745"/>
              <a:gd name="connsiteY368" fmla="*/ 254698 h 1308087"/>
              <a:gd name="connsiteX369" fmla="*/ 2090268 w 2280745"/>
              <a:gd name="connsiteY369" fmla="*/ 262227 h 1308087"/>
              <a:gd name="connsiteX370" fmla="*/ 2092373 w 2280745"/>
              <a:gd name="connsiteY370" fmla="*/ 262227 h 1308087"/>
              <a:gd name="connsiteX371" fmla="*/ 2101019 w 2280745"/>
              <a:gd name="connsiteY371" fmla="*/ 254698 h 1308087"/>
              <a:gd name="connsiteX372" fmla="*/ 2101019 w 2280745"/>
              <a:gd name="connsiteY372" fmla="*/ 205866 h 1308087"/>
              <a:gd name="connsiteX373" fmla="*/ 2108461 w 2280745"/>
              <a:gd name="connsiteY373" fmla="*/ 205866 h 1308087"/>
              <a:gd name="connsiteX374" fmla="*/ 2108461 w 2280745"/>
              <a:gd name="connsiteY374" fmla="*/ 254698 h 1308087"/>
              <a:gd name="connsiteX375" fmla="*/ 2117107 w 2280745"/>
              <a:gd name="connsiteY375" fmla="*/ 262227 h 1308087"/>
              <a:gd name="connsiteX376" fmla="*/ 2119212 w 2280745"/>
              <a:gd name="connsiteY376" fmla="*/ 262227 h 1308087"/>
              <a:gd name="connsiteX377" fmla="*/ 2127858 w 2280745"/>
              <a:gd name="connsiteY377" fmla="*/ 254698 h 1308087"/>
              <a:gd name="connsiteX378" fmla="*/ 2127858 w 2280745"/>
              <a:gd name="connsiteY378" fmla="*/ 205866 h 1308087"/>
              <a:gd name="connsiteX379" fmla="*/ 2127858 w 2280745"/>
              <a:gd name="connsiteY379" fmla="*/ 199255 h 1308087"/>
              <a:gd name="connsiteX380" fmla="*/ 2127858 w 2280745"/>
              <a:gd name="connsiteY380" fmla="*/ 181262 h 1308087"/>
              <a:gd name="connsiteX381" fmla="*/ 2132707 w 2280745"/>
              <a:gd name="connsiteY381" fmla="*/ 197025 h 1308087"/>
              <a:gd name="connsiteX382" fmla="*/ 2143298 w 2280745"/>
              <a:gd name="connsiteY382" fmla="*/ 202347 h 1308087"/>
              <a:gd name="connsiteX383" fmla="*/ 2145331 w 2280745"/>
              <a:gd name="connsiteY383" fmla="*/ 201873 h 1308087"/>
              <a:gd name="connsiteX384" fmla="*/ 2151445 w 2280745"/>
              <a:gd name="connsiteY384" fmla="*/ 192653 h 1308087"/>
              <a:gd name="connsiteX385" fmla="*/ 2134963 w 2280745"/>
              <a:gd name="connsiteY385" fmla="*/ 139098 h 1308087"/>
              <a:gd name="connsiteX386" fmla="*/ 2132286 w 2280745"/>
              <a:gd name="connsiteY386" fmla="*/ 135365 h 1308087"/>
              <a:gd name="connsiteX387" fmla="*/ 2127858 w 2280745"/>
              <a:gd name="connsiteY387" fmla="*/ 133610 h 1308087"/>
              <a:gd name="connsiteX388" fmla="*/ 2127858 w 2280745"/>
              <a:gd name="connsiteY388" fmla="*/ 133396 h 1308087"/>
              <a:gd name="connsiteX389" fmla="*/ 2081622 w 2280745"/>
              <a:gd name="connsiteY389" fmla="*/ 133396 h 1308087"/>
              <a:gd name="connsiteX390" fmla="*/ 303668 w 2280745"/>
              <a:gd name="connsiteY390" fmla="*/ 315528 h 1308087"/>
              <a:gd name="connsiteX391" fmla="*/ 284721 w 2280745"/>
              <a:gd name="connsiteY391" fmla="*/ 332024 h 1308087"/>
              <a:gd name="connsiteX392" fmla="*/ 303668 w 2280745"/>
              <a:gd name="connsiteY392" fmla="*/ 348520 h 1308087"/>
              <a:gd name="connsiteX393" fmla="*/ 322614 w 2280745"/>
              <a:gd name="connsiteY393" fmla="*/ 332024 h 1308087"/>
              <a:gd name="connsiteX394" fmla="*/ 303668 w 2280745"/>
              <a:gd name="connsiteY394" fmla="*/ 315528 h 1308087"/>
              <a:gd name="connsiteX395" fmla="*/ 503662 w 2280745"/>
              <a:gd name="connsiteY395" fmla="*/ 315528 h 1308087"/>
              <a:gd name="connsiteX396" fmla="*/ 484717 w 2280745"/>
              <a:gd name="connsiteY396" fmla="*/ 332024 h 1308087"/>
              <a:gd name="connsiteX397" fmla="*/ 503662 w 2280745"/>
              <a:gd name="connsiteY397" fmla="*/ 348520 h 1308087"/>
              <a:gd name="connsiteX398" fmla="*/ 522607 w 2280745"/>
              <a:gd name="connsiteY398" fmla="*/ 332024 h 1308087"/>
              <a:gd name="connsiteX399" fmla="*/ 503662 w 2280745"/>
              <a:gd name="connsiteY399" fmla="*/ 315528 h 1308087"/>
              <a:gd name="connsiteX400" fmla="*/ 703653 w 2280745"/>
              <a:gd name="connsiteY400" fmla="*/ 315528 h 1308087"/>
              <a:gd name="connsiteX401" fmla="*/ 684709 w 2280745"/>
              <a:gd name="connsiteY401" fmla="*/ 332024 h 1308087"/>
              <a:gd name="connsiteX402" fmla="*/ 703653 w 2280745"/>
              <a:gd name="connsiteY402" fmla="*/ 348520 h 1308087"/>
              <a:gd name="connsiteX403" fmla="*/ 722600 w 2280745"/>
              <a:gd name="connsiteY403" fmla="*/ 332024 h 1308087"/>
              <a:gd name="connsiteX404" fmla="*/ 703653 w 2280745"/>
              <a:gd name="connsiteY404" fmla="*/ 315528 h 1308087"/>
              <a:gd name="connsiteX405" fmla="*/ 903646 w 2280745"/>
              <a:gd name="connsiteY405" fmla="*/ 315528 h 1308087"/>
              <a:gd name="connsiteX406" fmla="*/ 884701 w 2280745"/>
              <a:gd name="connsiteY406" fmla="*/ 332024 h 1308087"/>
              <a:gd name="connsiteX407" fmla="*/ 903646 w 2280745"/>
              <a:gd name="connsiteY407" fmla="*/ 348520 h 1308087"/>
              <a:gd name="connsiteX408" fmla="*/ 922591 w 2280745"/>
              <a:gd name="connsiteY408" fmla="*/ 332024 h 1308087"/>
              <a:gd name="connsiteX409" fmla="*/ 903646 w 2280745"/>
              <a:gd name="connsiteY409" fmla="*/ 315528 h 1308087"/>
              <a:gd name="connsiteX410" fmla="*/ 1103638 w 2280745"/>
              <a:gd name="connsiteY410" fmla="*/ 315528 h 1308087"/>
              <a:gd name="connsiteX411" fmla="*/ 1084694 w 2280745"/>
              <a:gd name="connsiteY411" fmla="*/ 332024 h 1308087"/>
              <a:gd name="connsiteX412" fmla="*/ 1103638 w 2280745"/>
              <a:gd name="connsiteY412" fmla="*/ 348520 h 1308087"/>
              <a:gd name="connsiteX413" fmla="*/ 1122584 w 2280745"/>
              <a:gd name="connsiteY413" fmla="*/ 332024 h 1308087"/>
              <a:gd name="connsiteX414" fmla="*/ 1103638 w 2280745"/>
              <a:gd name="connsiteY414" fmla="*/ 315528 h 1308087"/>
              <a:gd name="connsiteX415" fmla="*/ 1303631 w 2280745"/>
              <a:gd name="connsiteY415" fmla="*/ 315528 h 1308087"/>
              <a:gd name="connsiteX416" fmla="*/ 1284685 w 2280745"/>
              <a:gd name="connsiteY416" fmla="*/ 332024 h 1308087"/>
              <a:gd name="connsiteX417" fmla="*/ 1303631 w 2280745"/>
              <a:gd name="connsiteY417" fmla="*/ 348520 h 1308087"/>
              <a:gd name="connsiteX418" fmla="*/ 1322576 w 2280745"/>
              <a:gd name="connsiteY418" fmla="*/ 332024 h 1308087"/>
              <a:gd name="connsiteX419" fmla="*/ 1303631 w 2280745"/>
              <a:gd name="connsiteY419" fmla="*/ 315528 h 1308087"/>
              <a:gd name="connsiteX420" fmla="*/ 1505923 w 2280745"/>
              <a:gd name="connsiteY420" fmla="*/ 315528 h 1308087"/>
              <a:gd name="connsiteX421" fmla="*/ 1486979 w 2280745"/>
              <a:gd name="connsiteY421" fmla="*/ 332024 h 1308087"/>
              <a:gd name="connsiteX422" fmla="*/ 1505923 w 2280745"/>
              <a:gd name="connsiteY422" fmla="*/ 348520 h 1308087"/>
              <a:gd name="connsiteX423" fmla="*/ 1524868 w 2280745"/>
              <a:gd name="connsiteY423" fmla="*/ 332024 h 1308087"/>
              <a:gd name="connsiteX424" fmla="*/ 1505923 w 2280745"/>
              <a:gd name="connsiteY424" fmla="*/ 315528 h 1308087"/>
              <a:gd name="connsiteX425" fmla="*/ 1703085 w 2280745"/>
              <a:gd name="connsiteY425" fmla="*/ 315528 h 1308087"/>
              <a:gd name="connsiteX426" fmla="*/ 1684140 w 2280745"/>
              <a:gd name="connsiteY426" fmla="*/ 332024 h 1308087"/>
              <a:gd name="connsiteX427" fmla="*/ 1703085 w 2280745"/>
              <a:gd name="connsiteY427" fmla="*/ 348520 h 1308087"/>
              <a:gd name="connsiteX428" fmla="*/ 1722031 w 2280745"/>
              <a:gd name="connsiteY428" fmla="*/ 332024 h 1308087"/>
              <a:gd name="connsiteX429" fmla="*/ 1703085 w 2280745"/>
              <a:gd name="connsiteY429" fmla="*/ 315528 h 1308087"/>
              <a:gd name="connsiteX430" fmla="*/ 1905908 w 2280745"/>
              <a:gd name="connsiteY430" fmla="*/ 315528 h 1308087"/>
              <a:gd name="connsiteX431" fmla="*/ 1886962 w 2280745"/>
              <a:gd name="connsiteY431" fmla="*/ 332024 h 1308087"/>
              <a:gd name="connsiteX432" fmla="*/ 1905908 w 2280745"/>
              <a:gd name="connsiteY432" fmla="*/ 348520 h 1308087"/>
              <a:gd name="connsiteX433" fmla="*/ 1924855 w 2280745"/>
              <a:gd name="connsiteY433" fmla="*/ 332024 h 1308087"/>
              <a:gd name="connsiteX434" fmla="*/ 1905908 w 2280745"/>
              <a:gd name="connsiteY434" fmla="*/ 315528 h 1308087"/>
              <a:gd name="connsiteX435" fmla="*/ 2105231 w 2280745"/>
              <a:gd name="connsiteY435" fmla="*/ 315528 h 1308087"/>
              <a:gd name="connsiteX436" fmla="*/ 2086286 w 2280745"/>
              <a:gd name="connsiteY436" fmla="*/ 332024 h 1308087"/>
              <a:gd name="connsiteX437" fmla="*/ 2105231 w 2280745"/>
              <a:gd name="connsiteY437" fmla="*/ 348520 h 1308087"/>
              <a:gd name="connsiteX438" fmla="*/ 2124177 w 2280745"/>
              <a:gd name="connsiteY438" fmla="*/ 332024 h 1308087"/>
              <a:gd name="connsiteX439" fmla="*/ 2105231 w 2280745"/>
              <a:gd name="connsiteY439" fmla="*/ 315528 h 1308087"/>
              <a:gd name="connsiteX440" fmla="*/ 280058 w 2280745"/>
              <a:gd name="connsiteY440" fmla="*/ 352185 h 1308087"/>
              <a:gd name="connsiteX441" fmla="*/ 280058 w 2280745"/>
              <a:gd name="connsiteY441" fmla="*/ 352410 h 1308087"/>
              <a:gd name="connsiteX442" fmla="*/ 279441 w 2280745"/>
              <a:gd name="connsiteY442" fmla="*/ 352375 h 1308087"/>
              <a:gd name="connsiteX443" fmla="*/ 272279 w 2280745"/>
              <a:gd name="connsiteY443" fmla="*/ 357886 h 1308087"/>
              <a:gd name="connsiteX444" fmla="*/ 255797 w 2280745"/>
              <a:gd name="connsiteY444" fmla="*/ 411442 h 1308087"/>
              <a:gd name="connsiteX445" fmla="*/ 261911 w 2280745"/>
              <a:gd name="connsiteY445" fmla="*/ 420662 h 1308087"/>
              <a:gd name="connsiteX446" fmla="*/ 263944 w 2280745"/>
              <a:gd name="connsiteY446" fmla="*/ 421136 h 1308087"/>
              <a:gd name="connsiteX447" fmla="*/ 274533 w 2280745"/>
              <a:gd name="connsiteY447" fmla="*/ 415813 h 1308087"/>
              <a:gd name="connsiteX448" fmla="*/ 280058 w 2280745"/>
              <a:gd name="connsiteY448" fmla="*/ 397857 h 1308087"/>
              <a:gd name="connsiteX449" fmla="*/ 280058 w 2280745"/>
              <a:gd name="connsiteY449" fmla="*/ 418041 h 1308087"/>
              <a:gd name="connsiteX450" fmla="*/ 280058 w 2280745"/>
              <a:gd name="connsiteY450" fmla="*/ 424655 h 1308087"/>
              <a:gd name="connsiteX451" fmla="*/ 280058 w 2280745"/>
              <a:gd name="connsiteY451" fmla="*/ 473487 h 1308087"/>
              <a:gd name="connsiteX452" fmla="*/ 288705 w 2280745"/>
              <a:gd name="connsiteY452" fmla="*/ 481014 h 1308087"/>
              <a:gd name="connsiteX453" fmla="*/ 290809 w 2280745"/>
              <a:gd name="connsiteY453" fmla="*/ 481014 h 1308087"/>
              <a:gd name="connsiteX454" fmla="*/ 299455 w 2280745"/>
              <a:gd name="connsiteY454" fmla="*/ 473487 h 1308087"/>
              <a:gd name="connsiteX455" fmla="*/ 299455 w 2280745"/>
              <a:gd name="connsiteY455" fmla="*/ 424655 h 1308087"/>
              <a:gd name="connsiteX456" fmla="*/ 306898 w 2280745"/>
              <a:gd name="connsiteY456" fmla="*/ 424655 h 1308087"/>
              <a:gd name="connsiteX457" fmla="*/ 306898 w 2280745"/>
              <a:gd name="connsiteY457" fmla="*/ 473487 h 1308087"/>
              <a:gd name="connsiteX458" fmla="*/ 315544 w 2280745"/>
              <a:gd name="connsiteY458" fmla="*/ 481014 h 1308087"/>
              <a:gd name="connsiteX459" fmla="*/ 317649 w 2280745"/>
              <a:gd name="connsiteY459" fmla="*/ 481014 h 1308087"/>
              <a:gd name="connsiteX460" fmla="*/ 326293 w 2280745"/>
              <a:gd name="connsiteY460" fmla="*/ 473487 h 1308087"/>
              <a:gd name="connsiteX461" fmla="*/ 326293 w 2280745"/>
              <a:gd name="connsiteY461" fmla="*/ 424655 h 1308087"/>
              <a:gd name="connsiteX462" fmla="*/ 326293 w 2280745"/>
              <a:gd name="connsiteY462" fmla="*/ 418041 h 1308087"/>
              <a:gd name="connsiteX463" fmla="*/ 326293 w 2280745"/>
              <a:gd name="connsiteY463" fmla="*/ 400049 h 1308087"/>
              <a:gd name="connsiteX464" fmla="*/ 331145 w 2280745"/>
              <a:gd name="connsiteY464" fmla="*/ 415813 h 1308087"/>
              <a:gd name="connsiteX465" fmla="*/ 341734 w 2280745"/>
              <a:gd name="connsiteY465" fmla="*/ 421136 h 1308087"/>
              <a:gd name="connsiteX466" fmla="*/ 343767 w 2280745"/>
              <a:gd name="connsiteY466" fmla="*/ 420662 h 1308087"/>
              <a:gd name="connsiteX467" fmla="*/ 349881 w 2280745"/>
              <a:gd name="connsiteY467" fmla="*/ 411442 h 1308087"/>
              <a:gd name="connsiteX468" fmla="*/ 333400 w 2280745"/>
              <a:gd name="connsiteY468" fmla="*/ 357886 h 1308087"/>
              <a:gd name="connsiteX469" fmla="*/ 330722 w 2280745"/>
              <a:gd name="connsiteY469" fmla="*/ 354153 h 1308087"/>
              <a:gd name="connsiteX470" fmla="*/ 326293 w 2280745"/>
              <a:gd name="connsiteY470" fmla="*/ 352399 h 1308087"/>
              <a:gd name="connsiteX471" fmla="*/ 326293 w 2280745"/>
              <a:gd name="connsiteY471" fmla="*/ 352185 h 1308087"/>
              <a:gd name="connsiteX472" fmla="*/ 280058 w 2280745"/>
              <a:gd name="connsiteY472" fmla="*/ 352185 h 1308087"/>
              <a:gd name="connsiteX473" fmla="*/ 480053 w 2280745"/>
              <a:gd name="connsiteY473" fmla="*/ 352185 h 1308087"/>
              <a:gd name="connsiteX474" fmla="*/ 480053 w 2280745"/>
              <a:gd name="connsiteY474" fmla="*/ 352410 h 1308087"/>
              <a:gd name="connsiteX475" fmla="*/ 479436 w 2280745"/>
              <a:gd name="connsiteY475" fmla="*/ 352375 h 1308087"/>
              <a:gd name="connsiteX476" fmla="*/ 472272 w 2280745"/>
              <a:gd name="connsiteY476" fmla="*/ 357886 h 1308087"/>
              <a:gd name="connsiteX477" fmla="*/ 455791 w 2280745"/>
              <a:gd name="connsiteY477" fmla="*/ 411442 h 1308087"/>
              <a:gd name="connsiteX478" fmla="*/ 461906 w 2280745"/>
              <a:gd name="connsiteY478" fmla="*/ 420662 h 1308087"/>
              <a:gd name="connsiteX479" fmla="*/ 463938 w 2280745"/>
              <a:gd name="connsiteY479" fmla="*/ 421136 h 1308087"/>
              <a:gd name="connsiteX480" fmla="*/ 474527 w 2280745"/>
              <a:gd name="connsiteY480" fmla="*/ 415813 h 1308087"/>
              <a:gd name="connsiteX481" fmla="*/ 480053 w 2280745"/>
              <a:gd name="connsiteY481" fmla="*/ 397857 h 1308087"/>
              <a:gd name="connsiteX482" fmla="*/ 480053 w 2280745"/>
              <a:gd name="connsiteY482" fmla="*/ 418041 h 1308087"/>
              <a:gd name="connsiteX483" fmla="*/ 480053 w 2280745"/>
              <a:gd name="connsiteY483" fmla="*/ 424655 h 1308087"/>
              <a:gd name="connsiteX484" fmla="*/ 480053 w 2280745"/>
              <a:gd name="connsiteY484" fmla="*/ 473487 h 1308087"/>
              <a:gd name="connsiteX485" fmla="*/ 488698 w 2280745"/>
              <a:gd name="connsiteY485" fmla="*/ 481014 h 1308087"/>
              <a:gd name="connsiteX486" fmla="*/ 490804 w 2280745"/>
              <a:gd name="connsiteY486" fmla="*/ 481014 h 1308087"/>
              <a:gd name="connsiteX487" fmla="*/ 499450 w 2280745"/>
              <a:gd name="connsiteY487" fmla="*/ 473487 h 1308087"/>
              <a:gd name="connsiteX488" fmla="*/ 499450 w 2280745"/>
              <a:gd name="connsiteY488" fmla="*/ 424655 h 1308087"/>
              <a:gd name="connsiteX489" fmla="*/ 506892 w 2280745"/>
              <a:gd name="connsiteY489" fmla="*/ 424655 h 1308087"/>
              <a:gd name="connsiteX490" fmla="*/ 506892 w 2280745"/>
              <a:gd name="connsiteY490" fmla="*/ 473487 h 1308087"/>
              <a:gd name="connsiteX491" fmla="*/ 515538 w 2280745"/>
              <a:gd name="connsiteY491" fmla="*/ 481014 h 1308087"/>
              <a:gd name="connsiteX492" fmla="*/ 517643 w 2280745"/>
              <a:gd name="connsiteY492" fmla="*/ 481014 h 1308087"/>
              <a:gd name="connsiteX493" fmla="*/ 526287 w 2280745"/>
              <a:gd name="connsiteY493" fmla="*/ 473487 h 1308087"/>
              <a:gd name="connsiteX494" fmla="*/ 526287 w 2280745"/>
              <a:gd name="connsiteY494" fmla="*/ 424655 h 1308087"/>
              <a:gd name="connsiteX495" fmla="*/ 526287 w 2280745"/>
              <a:gd name="connsiteY495" fmla="*/ 418041 h 1308087"/>
              <a:gd name="connsiteX496" fmla="*/ 526287 w 2280745"/>
              <a:gd name="connsiteY496" fmla="*/ 400049 h 1308087"/>
              <a:gd name="connsiteX497" fmla="*/ 531139 w 2280745"/>
              <a:gd name="connsiteY497" fmla="*/ 415813 h 1308087"/>
              <a:gd name="connsiteX498" fmla="*/ 541727 w 2280745"/>
              <a:gd name="connsiteY498" fmla="*/ 421136 h 1308087"/>
              <a:gd name="connsiteX499" fmla="*/ 543761 w 2280745"/>
              <a:gd name="connsiteY499" fmla="*/ 420662 h 1308087"/>
              <a:gd name="connsiteX500" fmla="*/ 549875 w 2280745"/>
              <a:gd name="connsiteY500" fmla="*/ 411442 h 1308087"/>
              <a:gd name="connsiteX501" fmla="*/ 533394 w 2280745"/>
              <a:gd name="connsiteY501" fmla="*/ 357886 h 1308087"/>
              <a:gd name="connsiteX502" fmla="*/ 530716 w 2280745"/>
              <a:gd name="connsiteY502" fmla="*/ 354153 h 1308087"/>
              <a:gd name="connsiteX503" fmla="*/ 526287 w 2280745"/>
              <a:gd name="connsiteY503" fmla="*/ 352399 h 1308087"/>
              <a:gd name="connsiteX504" fmla="*/ 526287 w 2280745"/>
              <a:gd name="connsiteY504" fmla="*/ 352185 h 1308087"/>
              <a:gd name="connsiteX505" fmla="*/ 480053 w 2280745"/>
              <a:gd name="connsiteY505" fmla="*/ 352185 h 1308087"/>
              <a:gd name="connsiteX506" fmla="*/ 680045 w 2280745"/>
              <a:gd name="connsiteY506" fmla="*/ 352185 h 1308087"/>
              <a:gd name="connsiteX507" fmla="*/ 680045 w 2280745"/>
              <a:gd name="connsiteY507" fmla="*/ 352410 h 1308087"/>
              <a:gd name="connsiteX508" fmla="*/ 679427 w 2280745"/>
              <a:gd name="connsiteY508" fmla="*/ 352375 h 1308087"/>
              <a:gd name="connsiteX509" fmla="*/ 672265 w 2280745"/>
              <a:gd name="connsiteY509" fmla="*/ 357886 h 1308087"/>
              <a:gd name="connsiteX510" fmla="*/ 655783 w 2280745"/>
              <a:gd name="connsiteY510" fmla="*/ 411442 h 1308087"/>
              <a:gd name="connsiteX511" fmla="*/ 661899 w 2280745"/>
              <a:gd name="connsiteY511" fmla="*/ 420662 h 1308087"/>
              <a:gd name="connsiteX512" fmla="*/ 663930 w 2280745"/>
              <a:gd name="connsiteY512" fmla="*/ 421136 h 1308087"/>
              <a:gd name="connsiteX513" fmla="*/ 674518 w 2280745"/>
              <a:gd name="connsiteY513" fmla="*/ 415813 h 1308087"/>
              <a:gd name="connsiteX514" fmla="*/ 680045 w 2280745"/>
              <a:gd name="connsiteY514" fmla="*/ 397857 h 1308087"/>
              <a:gd name="connsiteX515" fmla="*/ 680045 w 2280745"/>
              <a:gd name="connsiteY515" fmla="*/ 418041 h 1308087"/>
              <a:gd name="connsiteX516" fmla="*/ 680045 w 2280745"/>
              <a:gd name="connsiteY516" fmla="*/ 424655 h 1308087"/>
              <a:gd name="connsiteX517" fmla="*/ 680045 w 2280745"/>
              <a:gd name="connsiteY517" fmla="*/ 473487 h 1308087"/>
              <a:gd name="connsiteX518" fmla="*/ 688691 w 2280745"/>
              <a:gd name="connsiteY518" fmla="*/ 481014 h 1308087"/>
              <a:gd name="connsiteX519" fmla="*/ 690797 w 2280745"/>
              <a:gd name="connsiteY519" fmla="*/ 481014 h 1308087"/>
              <a:gd name="connsiteX520" fmla="*/ 699443 w 2280745"/>
              <a:gd name="connsiteY520" fmla="*/ 473487 h 1308087"/>
              <a:gd name="connsiteX521" fmla="*/ 699443 w 2280745"/>
              <a:gd name="connsiteY521" fmla="*/ 424655 h 1308087"/>
              <a:gd name="connsiteX522" fmla="*/ 706884 w 2280745"/>
              <a:gd name="connsiteY522" fmla="*/ 424655 h 1308087"/>
              <a:gd name="connsiteX523" fmla="*/ 706884 w 2280745"/>
              <a:gd name="connsiteY523" fmla="*/ 473487 h 1308087"/>
              <a:gd name="connsiteX524" fmla="*/ 715530 w 2280745"/>
              <a:gd name="connsiteY524" fmla="*/ 481014 h 1308087"/>
              <a:gd name="connsiteX525" fmla="*/ 717635 w 2280745"/>
              <a:gd name="connsiteY525" fmla="*/ 481014 h 1308087"/>
              <a:gd name="connsiteX526" fmla="*/ 726280 w 2280745"/>
              <a:gd name="connsiteY526" fmla="*/ 473487 h 1308087"/>
              <a:gd name="connsiteX527" fmla="*/ 726280 w 2280745"/>
              <a:gd name="connsiteY527" fmla="*/ 424655 h 1308087"/>
              <a:gd name="connsiteX528" fmla="*/ 726280 w 2280745"/>
              <a:gd name="connsiteY528" fmla="*/ 418041 h 1308087"/>
              <a:gd name="connsiteX529" fmla="*/ 726280 w 2280745"/>
              <a:gd name="connsiteY529" fmla="*/ 400049 h 1308087"/>
              <a:gd name="connsiteX530" fmla="*/ 731132 w 2280745"/>
              <a:gd name="connsiteY530" fmla="*/ 415813 h 1308087"/>
              <a:gd name="connsiteX531" fmla="*/ 741720 w 2280745"/>
              <a:gd name="connsiteY531" fmla="*/ 421136 h 1308087"/>
              <a:gd name="connsiteX532" fmla="*/ 743753 w 2280745"/>
              <a:gd name="connsiteY532" fmla="*/ 420662 h 1308087"/>
              <a:gd name="connsiteX533" fmla="*/ 749868 w 2280745"/>
              <a:gd name="connsiteY533" fmla="*/ 411442 h 1308087"/>
              <a:gd name="connsiteX534" fmla="*/ 733385 w 2280745"/>
              <a:gd name="connsiteY534" fmla="*/ 357886 h 1308087"/>
              <a:gd name="connsiteX535" fmla="*/ 730709 w 2280745"/>
              <a:gd name="connsiteY535" fmla="*/ 354153 h 1308087"/>
              <a:gd name="connsiteX536" fmla="*/ 726280 w 2280745"/>
              <a:gd name="connsiteY536" fmla="*/ 352399 h 1308087"/>
              <a:gd name="connsiteX537" fmla="*/ 726280 w 2280745"/>
              <a:gd name="connsiteY537" fmla="*/ 352185 h 1308087"/>
              <a:gd name="connsiteX538" fmla="*/ 680045 w 2280745"/>
              <a:gd name="connsiteY538" fmla="*/ 352185 h 1308087"/>
              <a:gd name="connsiteX539" fmla="*/ 880037 w 2280745"/>
              <a:gd name="connsiteY539" fmla="*/ 352185 h 1308087"/>
              <a:gd name="connsiteX540" fmla="*/ 880037 w 2280745"/>
              <a:gd name="connsiteY540" fmla="*/ 352410 h 1308087"/>
              <a:gd name="connsiteX541" fmla="*/ 879420 w 2280745"/>
              <a:gd name="connsiteY541" fmla="*/ 352375 h 1308087"/>
              <a:gd name="connsiteX542" fmla="*/ 872256 w 2280745"/>
              <a:gd name="connsiteY542" fmla="*/ 357886 h 1308087"/>
              <a:gd name="connsiteX543" fmla="*/ 855776 w 2280745"/>
              <a:gd name="connsiteY543" fmla="*/ 411442 h 1308087"/>
              <a:gd name="connsiteX544" fmla="*/ 861890 w 2280745"/>
              <a:gd name="connsiteY544" fmla="*/ 420662 h 1308087"/>
              <a:gd name="connsiteX545" fmla="*/ 863923 w 2280745"/>
              <a:gd name="connsiteY545" fmla="*/ 421136 h 1308087"/>
              <a:gd name="connsiteX546" fmla="*/ 874511 w 2280745"/>
              <a:gd name="connsiteY546" fmla="*/ 415813 h 1308087"/>
              <a:gd name="connsiteX547" fmla="*/ 880037 w 2280745"/>
              <a:gd name="connsiteY547" fmla="*/ 397857 h 1308087"/>
              <a:gd name="connsiteX548" fmla="*/ 880037 w 2280745"/>
              <a:gd name="connsiteY548" fmla="*/ 418041 h 1308087"/>
              <a:gd name="connsiteX549" fmla="*/ 880037 w 2280745"/>
              <a:gd name="connsiteY549" fmla="*/ 424655 h 1308087"/>
              <a:gd name="connsiteX550" fmla="*/ 880037 w 2280745"/>
              <a:gd name="connsiteY550" fmla="*/ 473487 h 1308087"/>
              <a:gd name="connsiteX551" fmla="*/ 888683 w 2280745"/>
              <a:gd name="connsiteY551" fmla="*/ 481014 h 1308087"/>
              <a:gd name="connsiteX552" fmla="*/ 890788 w 2280745"/>
              <a:gd name="connsiteY552" fmla="*/ 481014 h 1308087"/>
              <a:gd name="connsiteX553" fmla="*/ 899434 w 2280745"/>
              <a:gd name="connsiteY553" fmla="*/ 473487 h 1308087"/>
              <a:gd name="connsiteX554" fmla="*/ 899434 w 2280745"/>
              <a:gd name="connsiteY554" fmla="*/ 424655 h 1308087"/>
              <a:gd name="connsiteX555" fmla="*/ 906877 w 2280745"/>
              <a:gd name="connsiteY555" fmla="*/ 424655 h 1308087"/>
              <a:gd name="connsiteX556" fmla="*/ 906877 w 2280745"/>
              <a:gd name="connsiteY556" fmla="*/ 473487 h 1308087"/>
              <a:gd name="connsiteX557" fmla="*/ 915521 w 2280745"/>
              <a:gd name="connsiteY557" fmla="*/ 481014 h 1308087"/>
              <a:gd name="connsiteX558" fmla="*/ 917628 w 2280745"/>
              <a:gd name="connsiteY558" fmla="*/ 481014 h 1308087"/>
              <a:gd name="connsiteX559" fmla="*/ 926272 w 2280745"/>
              <a:gd name="connsiteY559" fmla="*/ 473487 h 1308087"/>
              <a:gd name="connsiteX560" fmla="*/ 926272 w 2280745"/>
              <a:gd name="connsiteY560" fmla="*/ 424655 h 1308087"/>
              <a:gd name="connsiteX561" fmla="*/ 926272 w 2280745"/>
              <a:gd name="connsiteY561" fmla="*/ 418041 h 1308087"/>
              <a:gd name="connsiteX562" fmla="*/ 926272 w 2280745"/>
              <a:gd name="connsiteY562" fmla="*/ 400049 h 1308087"/>
              <a:gd name="connsiteX563" fmla="*/ 931123 w 2280745"/>
              <a:gd name="connsiteY563" fmla="*/ 415813 h 1308087"/>
              <a:gd name="connsiteX564" fmla="*/ 941712 w 2280745"/>
              <a:gd name="connsiteY564" fmla="*/ 421136 h 1308087"/>
              <a:gd name="connsiteX565" fmla="*/ 943745 w 2280745"/>
              <a:gd name="connsiteY565" fmla="*/ 420662 h 1308087"/>
              <a:gd name="connsiteX566" fmla="*/ 949860 w 2280745"/>
              <a:gd name="connsiteY566" fmla="*/ 411442 h 1308087"/>
              <a:gd name="connsiteX567" fmla="*/ 933378 w 2280745"/>
              <a:gd name="connsiteY567" fmla="*/ 357886 h 1308087"/>
              <a:gd name="connsiteX568" fmla="*/ 930701 w 2280745"/>
              <a:gd name="connsiteY568" fmla="*/ 354153 h 1308087"/>
              <a:gd name="connsiteX569" fmla="*/ 926272 w 2280745"/>
              <a:gd name="connsiteY569" fmla="*/ 352399 h 1308087"/>
              <a:gd name="connsiteX570" fmla="*/ 926272 w 2280745"/>
              <a:gd name="connsiteY570" fmla="*/ 352185 h 1308087"/>
              <a:gd name="connsiteX571" fmla="*/ 880037 w 2280745"/>
              <a:gd name="connsiteY571" fmla="*/ 352185 h 1308087"/>
              <a:gd name="connsiteX572" fmla="*/ 1080030 w 2280745"/>
              <a:gd name="connsiteY572" fmla="*/ 352185 h 1308087"/>
              <a:gd name="connsiteX573" fmla="*/ 1080030 w 2280745"/>
              <a:gd name="connsiteY573" fmla="*/ 352410 h 1308087"/>
              <a:gd name="connsiteX574" fmla="*/ 1079412 w 2280745"/>
              <a:gd name="connsiteY574" fmla="*/ 352375 h 1308087"/>
              <a:gd name="connsiteX575" fmla="*/ 1072249 w 2280745"/>
              <a:gd name="connsiteY575" fmla="*/ 357886 h 1308087"/>
              <a:gd name="connsiteX576" fmla="*/ 1055767 w 2280745"/>
              <a:gd name="connsiteY576" fmla="*/ 411442 h 1308087"/>
              <a:gd name="connsiteX577" fmla="*/ 1061881 w 2280745"/>
              <a:gd name="connsiteY577" fmla="*/ 420662 h 1308087"/>
              <a:gd name="connsiteX578" fmla="*/ 1063914 w 2280745"/>
              <a:gd name="connsiteY578" fmla="*/ 421136 h 1308087"/>
              <a:gd name="connsiteX579" fmla="*/ 1074503 w 2280745"/>
              <a:gd name="connsiteY579" fmla="*/ 415813 h 1308087"/>
              <a:gd name="connsiteX580" fmla="*/ 1080030 w 2280745"/>
              <a:gd name="connsiteY580" fmla="*/ 397857 h 1308087"/>
              <a:gd name="connsiteX581" fmla="*/ 1080030 w 2280745"/>
              <a:gd name="connsiteY581" fmla="*/ 418041 h 1308087"/>
              <a:gd name="connsiteX582" fmla="*/ 1080030 w 2280745"/>
              <a:gd name="connsiteY582" fmla="*/ 424655 h 1308087"/>
              <a:gd name="connsiteX583" fmla="*/ 1080030 w 2280745"/>
              <a:gd name="connsiteY583" fmla="*/ 473487 h 1308087"/>
              <a:gd name="connsiteX584" fmla="*/ 1088676 w 2280745"/>
              <a:gd name="connsiteY584" fmla="*/ 481014 h 1308087"/>
              <a:gd name="connsiteX585" fmla="*/ 1090781 w 2280745"/>
              <a:gd name="connsiteY585" fmla="*/ 481014 h 1308087"/>
              <a:gd name="connsiteX586" fmla="*/ 1099427 w 2280745"/>
              <a:gd name="connsiteY586" fmla="*/ 473487 h 1308087"/>
              <a:gd name="connsiteX587" fmla="*/ 1099427 w 2280745"/>
              <a:gd name="connsiteY587" fmla="*/ 424655 h 1308087"/>
              <a:gd name="connsiteX588" fmla="*/ 1106868 w 2280745"/>
              <a:gd name="connsiteY588" fmla="*/ 424655 h 1308087"/>
              <a:gd name="connsiteX589" fmla="*/ 1106868 w 2280745"/>
              <a:gd name="connsiteY589" fmla="*/ 473487 h 1308087"/>
              <a:gd name="connsiteX590" fmla="*/ 1115514 w 2280745"/>
              <a:gd name="connsiteY590" fmla="*/ 481014 h 1308087"/>
              <a:gd name="connsiteX591" fmla="*/ 1117619 w 2280745"/>
              <a:gd name="connsiteY591" fmla="*/ 481014 h 1308087"/>
              <a:gd name="connsiteX592" fmla="*/ 1126264 w 2280745"/>
              <a:gd name="connsiteY592" fmla="*/ 473487 h 1308087"/>
              <a:gd name="connsiteX593" fmla="*/ 1126264 w 2280745"/>
              <a:gd name="connsiteY593" fmla="*/ 424655 h 1308087"/>
              <a:gd name="connsiteX594" fmla="*/ 1126264 w 2280745"/>
              <a:gd name="connsiteY594" fmla="*/ 418041 h 1308087"/>
              <a:gd name="connsiteX595" fmla="*/ 1126264 w 2280745"/>
              <a:gd name="connsiteY595" fmla="*/ 400049 h 1308087"/>
              <a:gd name="connsiteX596" fmla="*/ 1131115 w 2280745"/>
              <a:gd name="connsiteY596" fmla="*/ 415813 h 1308087"/>
              <a:gd name="connsiteX597" fmla="*/ 1141704 w 2280745"/>
              <a:gd name="connsiteY597" fmla="*/ 421136 h 1308087"/>
              <a:gd name="connsiteX598" fmla="*/ 1143738 w 2280745"/>
              <a:gd name="connsiteY598" fmla="*/ 420662 h 1308087"/>
              <a:gd name="connsiteX599" fmla="*/ 1149853 w 2280745"/>
              <a:gd name="connsiteY599" fmla="*/ 411442 h 1308087"/>
              <a:gd name="connsiteX600" fmla="*/ 1133370 w 2280745"/>
              <a:gd name="connsiteY600" fmla="*/ 357886 h 1308087"/>
              <a:gd name="connsiteX601" fmla="*/ 1130693 w 2280745"/>
              <a:gd name="connsiteY601" fmla="*/ 354153 h 1308087"/>
              <a:gd name="connsiteX602" fmla="*/ 1126264 w 2280745"/>
              <a:gd name="connsiteY602" fmla="*/ 352399 h 1308087"/>
              <a:gd name="connsiteX603" fmla="*/ 1126264 w 2280745"/>
              <a:gd name="connsiteY603" fmla="*/ 352185 h 1308087"/>
              <a:gd name="connsiteX604" fmla="*/ 1080030 w 2280745"/>
              <a:gd name="connsiteY604" fmla="*/ 352185 h 1308087"/>
              <a:gd name="connsiteX605" fmla="*/ 1280022 w 2280745"/>
              <a:gd name="connsiteY605" fmla="*/ 352185 h 1308087"/>
              <a:gd name="connsiteX606" fmla="*/ 1280022 w 2280745"/>
              <a:gd name="connsiteY606" fmla="*/ 352410 h 1308087"/>
              <a:gd name="connsiteX607" fmla="*/ 1279405 w 2280745"/>
              <a:gd name="connsiteY607" fmla="*/ 352375 h 1308087"/>
              <a:gd name="connsiteX608" fmla="*/ 1272241 w 2280745"/>
              <a:gd name="connsiteY608" fmla="*/ 357886 h 1308087"/>
              <a:gd name="connsiteX609" fmla="*/ 1255760 w 2280745"/>
              <a:gd name="connsiteY609" fmla="*/ 411442 h 1308087"/>
              <a:gd name="connsiteX610" fmla="*/ 1261874 w 2280745"/>
              <a:gd name="connsiteY610" fmla="*/ 420662 h 1308087"/>
              <a:gd name="connsiteX611" fmla="*/ 1263907 w 2280745"/>
              <a:gd name="connsiteY611" fmla="*/ 421136 h 1308087"/>
              <a:gd name="connsiteX612" fmla="*/ 1274496 w 2280745"/>
              <a:gd name="connsiteY612" fmla="*/ 415813 h 1308087"/>
              <a:gd name="connsiteX613" fmla="*/ 1280022 w 2280745"/>
              <a:gd name="connsiteY613" fmla="*/ 397857 h 1308087"/>
              <a:gd name="connsiteX614" fmla="*/ 1280022 w 2280745"/>
              <a:gd name="connsiteY614" fmla="*/ 418041 h 1308087"/>
              <a:gd name="connsiteX615" fmla="*/ 1280022 w 2280745"/>
              <a:gd name="connsiteY615" fmla="*/ 424655 h 1308087"/>
              <a:gd name="connsiteX616" fmla="*/ 1280022 w 2280745"/>
              <a:gd name="connsiteY616" fmla="*/ 473487 h 1308087"/>
              <a:gd name="connsiteX617" fmla="*/ 1288667 w 2280745"/>
              <a:gd name="connsiteY617" fmla="*/ 481014 h 1308087"/>
              <a:gd name="connsiteX618" fmla="*/ 1290773 w 2280745"/>
              <a:gd name="connsiteY618" fmla="*/ 481014 h 1308087"/>
              <a:gd name="connsiteX619" fmla="*/ 1299419 w 2280745"/>
              <a:gd name="connsiteY619" fmla="*/ 473487 h 1308087"/>
              <a:gd name="connsiteX620" fmla="*/ 1299419 w 2280745"/>
              <a:gd name="connsiteY620" fmla="*/ 424655 h 1308087"/>
              <a:gd name="connsiteX621" fmla="*/ 1306860 w 2280745"/>
              <a:gd name="connsiteY621" fmla="*/ 424655 h 1308087"/>
              <a:gd name="connsiteX622" fmla="*/ 1306860 w 2280745"/>
              <a:gd name="connsiteY622" fmla="*/ 473487 h 1308087"/>
              <a:gd name="connsiteX623" fmla="*/ 1315506 w 2280745"/>
              <a:gd name="connsiteY623" fmla="*/ 481014 h 1308087"/>
              <a:gd name="connsiteX624" fmla="*/ 1317610 w 2280745"/>
              <a:gd name="connsiteY624" fmla="*/ 481014 h 1308087"/>
              <a:gd name="connsiteX625" fmla="*/ 1326256 w 2280745"/>
              <a:gd name="connsiteY625" fmla="*/ 473487 h 1308087"/>
              <a:gd name="connsiteX626" fmla="*/ 1326256 w 2280745"/>
              <a:gd name="connsiteY626" fmla="*/ 424655 h 1308087"/>
              <a:gd name="connsiteX627" fmla="*/ 1326256 w 2280745"/>
              <a:gd name="connsiteY627" fmla="*/ 418041 h 1308087"/>
              <a:gd name="connsiteX628" fmla="*/ 1326256 w 2280745"/>
              <a:gd name="connsiteY628" fmla="*/ 400049 h 1308087"/>
              <a:gd name="connsiteX629" fmla="*/ 1331108 w 2280745"/>
              <a:gd name="connsiteY629" fmla="*/ 415813 h 1308087"/>
              <a:gd name="connsiteX630" fmla="*/ 1341696 w 2280745"/>
              <a:gd name="connsiteY630" fmla="*/ 421136 h 1308087"/>
              <a:gd name="connsiteX631" fmla="*/ 1343730 w 2280745"/>
              <a:gd name="connsiteY631" fmla="*/ 420662 h 1308087"/>
              <a:gd name="connsiteX632" fmla="*/ 1349844 w 2280745"/>
              <a:gd name="connsiteY632" fmla="*/ 411442 h 1308087"/>
              <a:gd name="connsiteX633" fmla="*/ 1333361 w 2280745"/>
              <a:gd name="connsiteY633" fmla="*/ 357886 h 1308087"/>
              <a:gd name="connsiteX634" fmla="*/ 1330685 w 2280745"/>
              <a:gd name="connsiteY634" fmla="*/ 354153 h 1308087"/>
              <a:gd name="connsiteX635" fmla="*/ 1326256 w 2280745"/>
              <a:gd name="connsiteY635" fmla="*/ 352399 h 1308087"/>
              <a:gd name="connsiteX636" fmla="*/ 1326256 w 2280745"/>
              <a:gd name="connsiteY636" fmla="*/ 352185 h 1308087"/>
              <a:gd name="connsiteX637" fmla="*/ 1280022 w 2280745"/>
              <a:gd name="connsiteY637" fmla="*/ 352185 h 1308087"/>
              <a:gd name="connsiteX638" fmla="*/ 1482314 w 2280745"/>
              <a:gd name="connsiteY638" fmla="*/ 352185 h 1308087"/>
              <a:gd name="connsiteX639" fmla="*/ 1482314 w 2280745"/>
              <a:gd name="connsiteY639" fmla="*/ 352410 h 1308087"/>
              <a:gd name="connsiteX640" fmla="*/ 1481697 w 2280745"/>
              <a:gd name="connsiteY640" fmla="*/ 352375 h 1308087"/>
              <a:gd name="connsiteX641" fmla="*/ 1474533 w 2280745"/>
              <a:gd name="connsiteY641" fmla="*/ 357886 h 1308087"/>
              <a:gd name="connsiteX642" fmla="*/ 1458052 w 2280745"/>
              <a:gd name="connsiteY642" fmla="*/ 411442 h 1308087"/>
              <a:gd name="connsiteX643" fmla="*/ 1464166 w 2280745"/>
              <a:gd name="connsiteY643" fmla="*/ 420662 h 1308087"/>
              <a:gd name="connsiteX644" fmla="*/ 1466199 w 2280745"/>
              <a:gd name="connsiteY644" fmla="*/ 421136 h 1308087"/>
              <a:gd name="connsiteX645" fmla="*/ 1476788 w 2280745"/>
              <a:gd name="connsiteY645" fmla="*/ 415813 h 1308087"/>
              <a:gd name="connsiteX646" fmla="*/ 1482314 w 2280745"/>
              <a:gd name="connsiteY646" fmla="*/ 397857 h 1308087"/>
              <a:gd name="connsiteX647" fmla="*/ 1482314 w 2280745"/>
              <a:gd name="connsiteY647" fmla="*/ 418041 h 1308087"/>
              <a:gd name="connsiteX648" fmla="*/ 1482314 w 2280745"/>
              <a:gd name="connsiteY648" fmla="*/ 424655 h 1308087"/>
              <a:gd name="connsiteX649" fmla="*/ 1482314 w 2280745"/>
              <a:gd name="connsiteY649" fmla="*/ 473487 h 1308087"/>
              <a:gd name="connsiteX650" fmla="*/ 1490960 w 2280745"/>
              <a:gd name="connsiteY650" fmla="*/ 481014 h 1308087"/>
              <a:gd name="connsiteX651" fmla="*/ 1493064 w 2280745"/>
              <a:gd name="connsiteY651" fmla="*/ 481014 h 1308087"/>
              <a:gd name="connsiteX652" fmla="*/ 1501710 w 2280745"/>
              <a:gd name="connsiteY652" fmla="*/ 473487 h 1308087"/>
              <a:gd name="connsiteX653" fmla="*/ 1501710 w 2280745"/>
              <a:gd name="connsiteY653" fmla="*/ 424655 h 1308087"/>
              <a:gd name="connsiteX654" fmla="*/ 1509153 w 2280745"/>
              <a:gd name="connsiteY654" fmla="*/ 424655 h 1308087"/>
              <a:gd name="connsiteX655" fmla="*/ 1509153 w 2280745"/>
              <a:gd name="connsiteY655" fmla="*/ 473487 h 1308087"/>
              <a:gd name="connsiteX656" fmla="*/ 1517799 w 2280745"/>
              <a:gd name="connsiteY656" fmla="*/ 481014 h 1308087"/>
              <a:gd name="connsiteX657" fmla="*/ 1519903 w 2280745"/>
              <a:gd name="connsiteY657" fmla="*/ 481014 h 1308087"/>
              <a:gd name="connsiteX658" fmla="*/ 1528549 w 2280745"/>
              <a:gd name="connsiteY658" fmla="*/ 473487 h 1308087"/>
              <a:gd name="connsiteX659" fmla="*/ 1528549 w 2280745"/>
              <a:gd name="connsiteY659" fmla="*/ 424655 h 1308087"/>
              <a:gd name="connsiteX660" fmla="*/ 1528549 w 2280745"/>
              <a:gd name="connsiteY660" fmla="*/ 418041 h 1308087"/>
              <a:gd name="connsiteX661" fmla="*/ 1528549 w 2280745"/>
              <a:gd name="connsiteY661" fmla="*/ 400049 h 1308087"/>
              <a:gd name="connsiteX662" fmla="*/ 1533400 w 2280745"/>
              <a:gd name="connsiteY662" fmla="*/ 415813 h 1308087"/>
              <a:gd name="connsiteX663" fmla="*/ 1543989 w 2280745"/>
              <a:gd name="connsiteY663" fmla="*/ 421136 h 1308087"/>
              <a:gd name="connsiteX664" fmla="*/ 1546022 w 2280745"/>
              <a:gd name="connsiteY664" fmla="*/ 420662 h 1308087"/>
              <a:gd name="connsiteX665" fmla="*/ 1552136 w 2280745"/>
              <a:gd name="connsiteY665" fmla="*/ 411442 h 1308087"/>
              <a:gd name="connsiteX666" fmla="*/ 1535655 w 2280745"/>
              <a:gd name="connsiteY666" fmla="*/ 357886 h 1308087"/>
              <a:gd name="connsiteX667" fmla="*/ 1532977 w 2280745"/>
              <a:gd name="connsiteY667" fmla="*/ 354153 h 1308087"/>
              <a:gd name="connsiteX668" fmla="*/ 1528549 w 2280745"/>
              <a:gd name="connsiteY668" fmla="*/ 352399 h 1308087"/>
              <a:gd name="connsiteX669" fmla="*/ 1528549 w 2280745"/>
              <a:gd name="connsiteY669" fmla="*/ 352185 h 1308087"/>
              <a:gd name="connsiteX670" fmla="*/ 1482314 w 2280745"/>
              <a:gd name="connsiteY670" fmla="*/ 352185 h 1308087"/>
              <a:gd name="connsiteX671" fmla="*/ 1679477 w 2280745"/>
              <a:gd name="connsiteY671" fmla="*/ 352185 h 1308087"/>
              <a:gd name="connsiteX672" fmla="*/ 1679477 w 2280745"/>
              <a:gd name="connsiteY672" fmla="*/ 352410 h 1308087"/>
              <a:gd name="connsiteX673" fmla="*/ 1678860 w 2280745"/>
              <a:gd name="connsiteY673" fmla="*/ 352375 h 1308087"/>
              <a:gd name="connsiteX674" fmla="*/ 1671696 w 2280745"/>
              <a:gd name="connsiteY674" fmla="*/ 357886 h 1308087"/>
              <a:gd name="connsiteX675" fmla="*/ 1655215 w 2280745"/>
              <a:gd name="connsiteY675" fmla="*/ 411442 h 1308087"/>
              <a:gd name="connsiteX676" fmla="*/ 1661328 w 2280745"/>
              <a:gd name="connsiteY676" fmla="*/ 420662 h 1308087"/>
              <a:gd name="connsiteX677" fmla="*/ 1663362 w 2280745"/>
              <a:gd name="connsiteY677" fmla="*/ 421136 h 1308087"/>
              <a:gd name="connsiteX678" fmla="*/ 1673951 w 2280745"/>
              <a:gd name="connsiteY678" fmla="*/ 415813 h 1308087"/>
              <a:gd name="connsiteX679" fmla="*/ 1679477 w 2280745"/>
              <a:gd name="connsiteY679" fmla="*/ 397857 h 1308087"/>
              <a:gd name="connsiteX680" fmla="*/ 1679477 w 2280745"/>
              <a:gd name="connsiteY680" fmla="*/ 418041 h 1308087"/>
              <a:gd name="connsiteX681" fmla="*/ 1679477 w 2280745"/>
              <a:gd name="connsiteY681" fmla="*/ 424655 h 1308087"/>
              <a:gd name="connsiteX682" fmla="*/ 1679477 w 2280745"/>
              <a:gd name="connsiteY682" fmla="*/ 473487 h 1308087"/>
              <a:gd name="connsiteX683" fmla="*/ 1688123 w 2280745"/>
              <a:gd name="connsiteY683" fmla="*/ 481014 h 1308087"/>
              <a:gd name="connsiteX684" fmla="*/ 1690227 w 2280745"/>
              <a:gd name="connsiteY684" fmla="*/ 481014 h 1308087"/>
              <a:gd name="connsiteX685" fmla="*/ 1698873 w 2280745"/>
              <a:gd name="connsiteY685" fmla="*/ 473487 h 1308087"/>
              <a:gd name="connsiteX686" fmla="*/ 1698873 w 2280745"/>
              <a:gd name="connsiteY686" fmla="*/ 424655 h 1308087"/>
              <a:gd name="connsiteX687" fmla="*/ 1706314 w 2280745"/>
              <a:gd name="connsiteY687" fmla="*/ 424655 h 1308087"/>
              <a:gd name="connsiteX688" fmla="*/ 1706314 w 2280745"/>
              <a:gd name="connsiteY688" fmla="*/ 473487 h 1308087"/>
              <a:gd name="connsiteX689" fmla="*/ 1714961 w 2280745"/>
              <a:gd name="connsiteY689" fmla="*/ 481014 h 1308087"/>
              <a:gd name="connsiteX690" fmla="*/ 1717066 w 2280745"/>
              <a:gd name="connsiteY690" fmla="*/ 481014 h 1308087"/>
              <a:gd name="connsiteX691" fmla="*/ 1725712 w 2280745"/>
              <a:gd name="connsiteY691" fmla="*/ 473487 h 1308087"/>
              <a:gd name="connsiteX692" fmla="*/ 1725712 w 2280745"/>
              <a:gd name="connsiteY692" fmla="*/ 424655 h 1308087"/>
              <a:gd name="connsiteX693" fmla="*/ 1725712 w 2280745"/>
              <a:gd name="connsiteY693" fmla="*/ 418041 h 1308087"/>
              <a:gd name="connsiteX694" fmla="*/ 1725712 w 2280745"/>
              <a:gd name="connsiteY694" fmla="*/ 400049 h 1308087"/>
              <a:gd name="connsiteX695" fmla="*/ 1730563 w 2280745"/>
              <a:gd name="connsiteY695" fmla="*/ 415813 h 1308087"/>
              <a:gd name="connsiteX696" fmla="*/ 1741152 w 2280745"/>
              <a:gd name="connsiteY696" fmla="*/ 421136 h 1308087"/>
              <a:gd name="connsiteX697" fmla="*/ 1743185 w 2280745"/>
              <a:gd name="connsiteY697" fmla="*/ 420662 h 1308087"/>
              <a:gd name="connsiteX698" fmla="*/ 1749299 w 2280745"/>
              <a:gd name="connsiteY698" fmla="*/ 411442 h 1308087"/>
              <a:gd name="connsiteX699" fmla="*/ 1732817 w 2280745"/>
              <a:gd name="connsiteY699" fmla="*/ 357886 h 1308087"/>
              <a:gd name="connsiteX700" fmla="*/ 1730140 w 2280745"/>
              <a:gd name="connsiteY700" fmla="*/ 354153 h 1308087"/>
              <a:gd name="connsiteX701" fmla="*/ 1725712 w 2280745"/>
              <a:gd name="connsiteY701" fmla="*/ 352399 h 1308087"/>
              <a:gd name="connsiteX702" fmla="*/ 1725712 w 2280745"/>
              <a:gd name="connsiteY702" fmla="*/ 352185 h 1308087"/>
              <a:gd name="connsiteX703" fmla="*/ 1679477 w 2280745"/>
              <a:gd name="connsiteY703" fmla="*/ 352185 h 1308087"/>
              <a:gd name="connsiteX704" fmla="*/ 1882298 w 2280745"/>
              <a:gd name="connsiteY704" fmla="*/ 352185 h 1308087"/>
              <a:gd name="connsiteX705" fmla="*/ 1882298 w 2280745"/>
              <a:gd name="connsiteY705" fmla="*/ 352410 h 1308087"/>
              <a:gd name="connsiteX706" fmla="*/ 1881681 w 2280745"/>
              <a:gd name="connsiteY706" fmla="*/ 352375 h 1308087"/>
              <a:gd name="connsiteX707" fmla="*/ 1874518 w 2280745"/>
              <a:gd name="connsiteY707" fmla="*/ 357886 h 1308087"/>
              <a:gd name="connsiteX708" fmla="*/ 1858037 w 2280745"/>
              <a:gd name="connsiteY708" fmla="*/ 411442 h 1308087"/>
              <a:gd name="connsiteX709" fmla="*/ 1864152 w 2280745"/>
              <a:gd name="connsiteY709" fmla="*/ 420662 h 1308087"/>
              <a:gd name="connsiteX710" fmla="*/ 1866184 w 2280745"/>
              <a:gd name="connsiteY710" fmla="*/ 421136 h 1308087"/>
              <a:gd name="connsiteX711" fmla="*/ 1876773 w 2280745"/>
              <a:gd name="connsiteY711" fmla="*/ 415813 h 1308087"/>
              <a:gd name="connsiteX712" fmla="*/ 1882298 w 2280745"/>
              <a:gd name="connsiteY712" fmla="*/ 397857 h 1308087"/>
              <a:gd name="connsiteX713" fmla="*/ 1882298 w 2280745"/>
              <a:gd name="connsiteY713" fmla="*/ 418041 h 1308087"/>
              <a:gd name="connsiteX714" fmla="*/ 1882298 w 2280745"/>
              <a:gd name="connsiteY714" fmla="*/ 424655 h 1308087"/>
              <a:gd name="connsiteX715" fmla="*/ 1882298 w 2280745"/>
              <a:gd name="connsiteY715" fmla="*/ 473487 h 1308087"/>
              <a:gd name="connsiteX716" fmla="*/ 1890944 w 2280745"/>
              <a:gd name="connsiteY716" fmla="*/ 481014 h 1308087"/>
              <a:gd name="connsiteX717" fmla="*/ 1893050 w 2280745"/>
              <a:gd name="connsiteY717" fmla="*/ 481014 h 1308087"/>
              <a:gd name="connsiteX718" fmla="*/ 1901696 w 2280745"/>
              <a:gd name="connsiteY718" fmla="*/ 473487 h 1308087"/>
              <a:gd name="connsiteX719" fmla="*/ 1901696 w 2280745"/>
              <a:gd name="connsiteY719" fmla="*/ 424655 h 1308087"/>
              <a:gd name="connsiteX720" fmla="*/ 1909138 w 2280745"/>
              <a:gd name="connsiteY720" fmla="*/ 424655 h 1308087"/>
              <a:gd name="connsiteX721" fmla="*/ 1909138 w 2280745"/>
              <a:gd name="connsiteY721" fmla="*/ 473487 h 1308087"/>
              <a:gd name="connsiteX722" fmla="*/ 1917783 w 2280745"/>
              <a:gd name="connsiteY722" fmla="*/ 481014 h 1308087"/>
              <a:gd name="connsiteX723" fmla="*/ 1919889 w 2280745"/>
              <a:gd name="connsiteY723" fmla="*/ 481014 h 1308087"/>
              <a:gd name="connsiteX724" fmla="*/ 1928535 w 2280745"/>
              <a:gd name="connsiteY724" fmla="*/ 473487 h 1308087"/>
              <a:gd name="connsiteX725" fmla="*/ 1928535 w 2280745"/>
              <a:gd name="connsiteY725" fmla="*/ 424655 h 1308087"/>
              <a:gd name="connsiteX726" fmla="*/ 1928535 w 2280745"/>
              <a:gd name="connsiteY726" fmla="*/ 418041 h 1308087"/>
              <a:gd name="connsiteX727" fmla="*/ 1928535 w 2280745"/>
              <a:gd name="connsiteY727" fmla="*/ 400049 h 1308087"/>
              <a:gd name="connsiteX728" fmla="*/ 1933385 w 2280745"/>
              <a:gd name="connsiteY728" fmla="*/ 415813 h 1308087"/>
              <a:gd name="connsiteX729" fmla="*/ 1943974 w 2280745"/>
              <a:gd name="connsiteY729" fmla="*/ 421136 h 1308087"/>
              <a:gd name="connsiteX730" fmla="*/ 1946009 w 2280745"/>
              <a:gd name="connsiteY730" fmla="*/ 420662 h 1308087"/>
              <a:gd name="connsiteX731" fmla="*/ 1952121 w 2280745"/>
              <a:gd name="connsiteY731" fmla="*/ 411442 h 1308087"/>
              <a:gd name="connsiteX732" fmla="*/ 1935640 w 2280745"/>
              <a:gd name="connsiteY732" fmla="*/ 357886 h 1308087"/>
              <a:gd name="connsiteX733" fmla="*/ 1932962 w 2280745"/>
              <a:gd name="connsiteY733" fmla="*/ 354153 h 1308087"/>
              <a:gd name="connsiteX734" fmla="*/ 1928535 w 2280745"/>
              <a:gd name="connsiteY734" fmla="*/ 352399 h 1308087"/>
              <a:gd name="connsiteX735" fmla="*/ 1928535 w 2280745"/>
              <a:gd name="connsiteY735" fmla="*/ 352185 h 1308087"/>
              <a:gd name="connsiteX736" fmla="*/ 1882298 w 2280745"/>
              <a:gd name="connsiteY736" fmla="*/ 352185 h 1308087"/>
              <a:gd name="connsiteX737" fmla="*/ 2081622 w 2280745"/>
              <a:gd name="connsiteY737" fmla="*/ 352185 h 1308087"/>
              <a:gd name="connsiteX738" fmla="*/ 2081622 w 2280745"/>
              <a:gd name="connsiteY738" fmla="*/ 352410 h 1308087"/>
              <a:gd name="connsiteX739" fmla="*/ 2081004 w 2280745"/>
              <a:gd name="connsiteY739" fmla="*/ 352375 h 1308087"/>
              <a:gd name="connsiteX740" fmla="*/ 2073841 w 2280745"/>
              <a:gd name="connsiteY740" fmla="*/ 357886 h 1308087"/>
              <a:gd name="connsiteX741" fmla="*/ 2057362 w 2280745"/>
              <a:gd name="connsiteY741" fmla="*/ 411442 h 1308087"/>
              <a:gd name="connsiteX742" fmla="*/ 2063474 w 2280745"/>
              <a:gd name="connsiteY742" fmla="*/ 420662 h 1308087"/>
              <a:gd name="connsiteX743" fmla="*/ 2065507 w 2280745"/>
              <a:gd name="connsiteY743" fmla="*/ 421136 h 1308087"/>
              <a:gd name="connsiteX744" fmla="*/ 2076097 w 2280745"/>
              <a:gd name="connsiteY744" fmla="*/ 415813 h 1308087"/>
              <a:gd name="connsiteX745" fmla="*/ 2081622 w 2280745"/>
              <a:gd name="connsiteY745" fmla="*/ 397857 h 1308087"/>
              <a:gd name="connsiteX746" fmla="*/ 2081622 w 2280745"/>
              <a:gd name="connsiteY746" fmla="*/ 418041 h 1308087"/>
              <a:gd name="connsiteX747" fmla="*/ 2081622 w 2280745"/>
              <a:gd name="connsiteY747" fmla="*/ 424655 h 1308087"/>
              <a:gd name="connsiteX748" fmla="*/ 2081622 w 2280745"/>
              <a:gd name="connsiteY748" fmla="*/ 473487 h 1308087"/>
              <a:gd name="connsiteX749" fmla="*/ 2090268 w 2280745"/>
              <a:gd name="connsiteY749" fmla="*/ 481014 h 1308087"/>
              <a:gd name="connsiteX750" fmla="*/ 2092373 w 2280745"/>
              <a:gd name="connsiteY750" fmla="*/ 481014 h 1308087"/>
              <a:gd name="connsiteX751" fmla="*/ 2101019 w 2280745"/>
              <a:gd name="connsiteY751" fmla="*/ 473487 h 1308087"/>
              <a:gd name="connsiteX752" fmla="*/ 2101019 w 2280745"/>
              <a:gd name="connsiteY752" fmla="*/ 424655 h 1308087"/>
              <a:gd name="connsiteX753" fmla="*/ 2108461 w 2280745"/>
              <a:gd name="connsiteY753" fmla="*/ 424655 h 1308087"/>
              <a:gd name="connsiteX754" fmla="*/ 2108461 w 2280745"/>
              <a:gd name="connsiteY754" fmla="*/ 473487 h 1308087"/>
              <a:gd name="connsiteX755" fmla="*/ 2117107 w 2280745"/>
              <a:gd name="connsiteY755" fmla="*/ 481014 h 1308087"/>
              <a:gd name="connsiteX756" fmla="*/ 2119212 w 2280745"/>
              <a:gd name="connsiteY756" fmla="*/ 481014 h 1308087"/>
              <a:gd name="connsiteX757" fmla="*/ 2127858 w 2280745"/>
              <a:gd name="connsiteY757" fmla="*/ 473487 h 1308087"/>
              <a:gd name="connsiteX758" fmla="*/ 2127858 w 2280745"/>
              <a:gd name="connsiteY758" fmla="*/ 424655 h 1308087"/>
              <a:gd name="connsiteX759" fmla="*/ 2127858 w 2280745"/>
              <a:gd name="connsiteY759" fmla="*/ 418041 h 1308087"/>
              <a:gd name="connsiteX760" fmla="*/ 2127858 w 2280745"/>
              <a:gd name="connsiteY760" fmla="*/ 400049 h 1308087"/>
              <a:gd name="connsiteX761" fmla="*/ 2132707 w 2280745"/>
              <a:gd name="connsiteY761" fmla="*/ 415813 h 1308087"/>
              <a:gd name="connsiteX762" fmla="*/ 2143298 w 2280745"/>
              <a:gd name="connsiteY762" fmla="*/ 421136 h 1308087"/>
              <a:gd name="connsiteX763" fmla="*/ 2145331 w 2280745"/>
              <a:gd name="connsiteY763" fmla="*/ 420662 h 1308087"/>
              <a:gd name="connsiteX764" fmla="*/ 2151445 w 2280745"/>
              <a:gd name="connsiteY764" fmla="*/ 411442 h 1308087"/>
              <a:gd name="connsiteX765" fmla="*/ 2134963 w 2280745"/>
              <a:gd name="connsiteY765" fmla="*/ 357886 h 1308087"/>
              <a:gd name="connsiteX766" fmla="*/ 2132286 w 2280745"/>
              <a:gd name="connsiteY766" fmla="*/ 354153 h 1308087"/>
              <a:gd name="connsiteX767" fmla="*/ 2127858 w 2280745"/>
              <a:gd name="connsiteY767" fmla="*/ 352399 h 1308087"/>
              <a:gd name="connsiteX768" fmla="*/ 2127858 w 2280745"/>
              <a:gd name="connsiteY768" fmla="*/ 352185 h 1308087"/>
              <a:gd name="connsiteX769" fmla="*/ 2081622 w 2280745"/>
              <a:gd name="connsiteY769" fmla="*/ 352185 h 1308087"/>
              <a:gd name="connsiteX770" fmla="*/ 303668 w 2280745"/>
              <a:gd name="connsiteY770" fmla="*/ 560173 h 1308087"/>
              <a:gd name="connsiteX771" fmla="*/ 284721 w 2280745"/>
              <a:gd name="connsiteY771" fmla="*/ 576669 h 1308087"/>
              <a:gd name="connsiteX772" fmla="*/ 303668 w 2280745"/>
              <a:gd name="connsiteY772" fmla="*/ 593165 h 1308087"/>
              <a:gd name="connsiteX773" fmla="*/ 322614 w 2280745"/>
              <a:gd name="connsiteY773" fmla="*/ 576669 h 1308087"/>
              <a:gd name="connsiteX774" fmla="*/ 303668 w 2280745"/>
              <a:gd name="connsiteY774" fmla="*/ 560173 h 1308087"/>
              <a:gd name="connsiteX775" fmla="*/ 503662 w 2280745"/>
              <a:gd name="connsiteY775" fmla="*/ 560173 h 1308087"/>
              <a:gd name="connsiteX776" fmla="*/ 484717 w 2280745"/>
              <a:gd name="connsiteY776" fmla="*/ 576669 h 1308087"/>
              <a:gd name="connsiteX777" fmla="*/ 503662 w 2280745"/>
              <a:gd name="connsiteY777" fmla="*/ 593165 h 1308087"/>
              <a:gd name="connsiteX778" fmla="*/ 522607 w 2280745"/>
              <a:gd name="connsiteY778" fmla="*/ 576669 h 1308087"/>
              <a:gd name="connsiteX779" fmla="*/ 503662 w 2280745"/>
              <a:gd name="connsiteY779" fmla="*/ 560173 h 1308087"/>
              <a:gd name="connsiteX780" fmla="*/ 703653 w 2280745"/>
              <a:gd name="connsiteY780" fmla="*/ 560173 h 1308087"/>
              <a:gd name="connsiteX781" fmla="*/ 684709 w 2280745"/>
              <a:gd name="connsiteY781" fmla="*/ 576669 h 1308087"/>
              <a:gd name="connsiteX782" fmla="*/ 703653 w 2280745"/>
              <a:gd name="connsiteY782" fmla="*/ 593165 h 1308087"/>
              <a:gd name="connsiteX783" fmla="*/ 722600 w 2280745"/>
              <a:gd name="connsiteY783" fmla="*/ 576669 h 1308087"/>
              <a:gd name="connsiteX784" fmla="*/ 703653 w 2280745"/>
              <a:gd name="connsiteY784" fmla="*/ 560173 h 1308087"/>
              <a:gd name="connsiteX785" fmla="*/ 903646 w 2280745"/>
              <a:gd name="connsiteY785" fmla="*/ 560173 h 1308087"/>
              <a:gd name="connsiteX786" fmla="*/ 884701 w 2280745"/>
              <a:gd name="connsiteY786" fmla="*/ 576669 h 1308087"/>
              <a:gd name="connsiteX787" fmla="*/ 903646 w 2280745"/>
              <a:gd name="connsiteY787" fmla="*/ 593165 h 1308087"/>
              <a:gd name="connsiteX788" fmla="*/ 922591 w 2280745"/>
              <a:gd name="connsiteY788" fmla="*/ 576669 h 1308087"/>
              <a:gd name="connsiteX789" fmla="*/ 903646 w 2280745"/>
              <a:gd name="connsiteY789" fmla="*/ 560173 h 1308087"/>
              <a:gd name="connsiteX790" fmla="*/ 1103638 w 2280745"/>
              <a:gd name="connsiteY790" fmla="*/ 560173 h 1308087"/>
              <a:gd name="connsiteX791" fmla="*/ 1084694 w 2280745"/>
              <a:gd name="connsiteY791" fmla="*/ 576669 h 1308087"/>
              <a:gd name="connsiteX792" fmla="*/ 1103638 w 2280745"/>
              <a:gd name="connsiteY792" fmla="*/ 593165 h 1308087"/>
              <a:gd name="connsiteX793" fmla="*/ 1122584 w 2280745"/>
              <a:gd name="connsiteY793" fmla="*/ 576669 h 1308087"/>
              <a:gd name="connsiteX794" fmla="*/ 1103638 w 2280745"/>
              <a:gd name="connsiteY794" fmla="*/ 560173 h 1308087"/>
              <a:gd name="connsiteX795" fmla="*/ 1303631 w 2280745"/>
              <a:gd name="connsiteY795" fmla="*/ 560173 h 1308087"/>
              <a:gd name="connsiteX796" fmla="*/ 1284685 w 2280745"/>
              <a:gd name="connsiteY796" fmla="*/ 576669 h 1308087"/>
              <a:gd name="connsiteX797" fmla="*/ 1303631 w 2280745"/>
              <a:gd name="connsiteY797" fmla="*/ 593165 h 1308087"/>
              <a:gd name="connsiteX798" fmla="*/ 1322576 w 2280745"/>
              <a:gd name="connsiteY798" fmla="*/ 576669 h 1308087"/>
              <a:gd name="connsiteX799" fmla="*/ 1303631 w 2280745"/>
              <a:gd name="connsiteY799" fmla="*/ 560173 h 1308087"/>
              <a:gd name="connsiteX800" fmla="*/ 1505923 w 2280745"/>
              <a:gd name="connsiteY800" fmla="*/ 560173 h 1308087"/>
              <a:gd name="connsiteX801" fmla="*/ 1486979 w 2280745"/>
              <a:gd name="connsiteY801" fmla="*/ 576669 h 1308087"/>
              <a:gd name="connsiteX802" fmla="*/ 1505923 w 2280745"/>
              <a:gd name="connsiteY802" fmla="*/ 593165 h 1308087"/>
              <a:gd name="connsiteX803" fmla="*/ 1524868 w 2280745"/>
              <a:gd name="connsiteY803" fmla="*/ 576669 h 1308087"/>
              <a:gd name="connsiteX804" fmla="*/ 1505923 w 2280745"/>
              <a:gd name="connsiteY804" fmla="*/ 560173 h 1308087"/>
              <a:gd name="connsiteX805" fmla="*/ 1703085 w 2280745"/>
              <a:gd name="connsiteY805" fmla="*/ 560173 h 1308087"/>
              <a:gd name="connsiteX806" fmla="*/ 1684140 w 2280745"/>
              <a:gd name="connsiteY806" fmla="*/ 576669 h 1308087"/>
              <a:gd name="connsiteX807" fmla="*/ 1703085 w 2280745"/>
              <a:gd name="connsiteY807" fmla="*/ 593165 h 1308087"/>
              <a:gd name="connsiteX808" fmla="*/ 1722031 w 2280745"/>
              <a:gd name="connsiteY808" fmla="*/ 576669 h 1308087"/>
              <a:gd name="connsiteX809" fmla="*/ 1703085 w 2280745"/>
              <a:gd name="connsiteY809" fmla="*/ 560173 h 1308087"/>
              <a:gd name="connsiteX810" fmla="*/ 1905908 w 2280745"/>
              <a:gd name="connsiteY810" fmla="*/ 560173 h 1308087"/>
              <a:gd name="connsiteX811" fmla="*/ 1886962 w 2280745"/>
              <a:gd name="connsiteY811" fmla="*/ 576669 h 1308087"/>
              <a:gd name="connsiteX812" fmla="*/ 1905908 w 2280745"/>
              <a:gd name="connsiteY812" fmla="*/ 593165 h 1308087"/>
              <a:gd name="connsiteX813" fmla="*/ 1924855 w 2280745"/>
              <a:gd name="connsiteY813" fmla="*/ 576669 h 1308087"/>
              <a:gd name="connsiteX814" fmla="*/ 1905908 w 2280745"/>
              <a:gd name="connsiteY814" fmla="*/ 560173 h 1308087"/>
              <a:gd name="connsiteX815" fmla="*/ 2105231 w 2280745"/>
              <a:gd name="connsiteY815" fmla="*/ 560173 h 1308087"/>
              <a:gd name="connsiteX816" fmla="*/ 2086286 w 2280745"/>
              <a:gd name="connsiteY816" fmla="*/ 576669 h 1308087"/>
              <a:gd name="connsiteX817" fmla="*/ 2105231 w 2280745"/>
              <a:gd name="connsiteY817" fmla="*/ 593165 h 1308087"/>
              <a:gd name="connsiteX818" fmla="*/ 2124177 w 2280745"/>
              <a:gd name="connsiteY818" fmla="*/ 576669 h 1308087"/>
              <a:gd name="connsiteX819" fmla="*/ 2105231 w 2280745"/>
              <a:gd name="connsiteY819" fmla="*/ 560173 h 1308087"/>
              <a:gd name="connsiteX820" fmla="*/ 280058 w 2280745"/>
              <a:gd name="connsiteY820" fmla="*/ 596830 h 1308087"/>
              <a:gd name="connsiteX821" fmla="*/ 280058 w 2280745"/>
              <a:gd name="connsiteY821" fmla="*/ 597055 h 1308087"/>
              <a:gd name="connsiteX822" fmla="*/ 279441 w 2280745"/>
              <a:gd name="connsiteY822" fmla="*/ 597020 h 1308087"/>
              <a:gd name="connsiteX823" fmla="*/ 272279 w 2280745"/>
              <a:gd name="connsiteY823" fmla="*/ 602531 h 1308087"/>
              <a:gd name="connsiteX824" fmla="*/ 255797 w 2280745"/>
              <a:gd name="connsiteY824" fmla="*/ 656086 h 1308087"/>
              <a:gd name="connsiteX825" fmla="*/ 261911 w 2280745"/>
              <a:gd name="connsiteY825" fmla="*/ 665305 h 1308087"/>
              <a:gd name="connsiteX826" fmla="*/ 263944 w 2280745"/>
              <a:gd name="connsiteY826" fmla="*/ 665780 h 1308087"/>
              <a:gd name="connsiteX827" fmla="*/ 274533 w 2280745"/>
              <a:gd name="connsiteY827" fmla="*/ 660457 h 1308087"/>
              <a:gd name="connsiteX828" fmla="*/ 280058 w 2280745"/>
              <a:gd name="connsiteY828" fmla="*/ 642502 h 1308087"/>
              <a:gd name="connsiteX829" fmla="*/ 280058 w 2280745"/>
              <a:gd name="connsiteY829" fmla="*/ 662686 h 1308087"/>
              <a:gd name="connsiteX830" fmla="*/ 280058 w 2280745"/>
              <a:gd name="connsiteY830" fmla="*/ 669300 h 1308087"/>
              <a:gd name="connsiteX831" fmla="*/ 280058 w 2280745"/>
              <a:gd name="connsiteY831" fmla="*/ 718130 h 1308087"/>
              <a:gd name="connsiteX832" fmla="*/ 288705 w 2280745"/>
              <a:gd name="connsiteY832" fmla="*/ 725658 h 1308087"/>
              <a:gd name="connsiteX833" fmla="*/ 290809 w 2280745"/>
              <a:gd name="connsiteY833" fmla="*/ 725658 h 1308087"/>
              <a:gd name="connsiteX834" fmla="*/ 299455 w 2280745"/>
              <a:gd name="connsiteY834" fmla="*/ 718130 h 1308087"/>
              <a:gd name="connsiteX835" fmla="*/ 299455 w 2280745"/>
              <a:gd name="connsiteY835" fmla="*/ 669300 h 1308087"/>
              <a:gd name="connsiteX836" fmla="*/ 306898 w 2280745"/>
              <a:gd name="connsiteY836" fmla="*/ 669300 h 1308087"/>
              <a:gd name="connsiteX837" fmla="*/ 306898 w 2280745"/>
              <a:gd name="connsiteY837" fmla="*/ 718130 h 1308087"/>
              <a:gd name="connsiteX838" fmla="*/ 315544 w 2280745"/>
              <a:gd name="connsiteY838" fmla="*/ 725658 h 1308087"/>
              <a:gd name="connsiteX839" fmla="*/ 317649 w 2280745"/>
              <a:gd name="connsiteY839" fmla="*/ 725658 h 1308087"/>
              <a:gd name="connsiteX840" fmla="*/ 326293 w 2280745"/>
              <a:gd name="connsiteY840" fmla="*/ 718130 h 1308087"/>
              <a:gd name="connsiteX841" fmla="*/ 326293 w 2280745"/>
              <a:gd name="connsiteY841" fmla="*/ 669300 h 1308087"/>
              <a:gd name="connsiteX842" fmla="*/ 326293 w 2280745"/>
              <a:gd name="connsiteY842" fmla="*/ 662686 h 1308087"/>
              <a:gd name="connsiteX843" fmla="*/ 326293 w 2280745"/>
              <a:gd name="connsiteY843" fmla="*/ 644694 h 1308087"/>
              <a:gd name="connsiteX844" fmla="*/ 331145 w 2280745"/>
              <a:gd name="connsiteY844" fmla="*/ 660457 h 1308087"/>
              <a:gd name="connsiteX845" fmla="*/ 341734 w 2280745"/>
              <a:gd name="connsiteY845" fmla="*/ 665780 h 1308087"/>
              <a:gd name="connsiteX846" fmla="*/ 343767 w 2280745"/>
              <a:gd name="connsiteY846" fmla="*/ 665305 h 1308087"/>
              <a:gd name="connsiteX847" fmla="*/ 349881 w 2280745"/>
              <a:gd name="connsiteY847" fmla="*/ 656086 h 1308087"/>
              <a:gd name="connsiteX848" fmla="*/ 333400 w 2280745"/>
              <a:gd name="connsiteY848" fmla="*/ 602531 h 1308087"/>
              <a:gd name="connsiteX849" fmla="*/ 330722 w 2280745"/>
              <a:gd name="connsiteY849" fmla="*/ 598798 h 1308087"/>
              <a:gd name="connsiteX850" fmla="*/ 326293 w 2280745"/>
              <a:gd name="connsiteY850" fmla="*/ 597043 h 1308087"/>
              <a:gd name="connsiteX851" fmla="*/ 326293 w 2280745"/>
              <a:gd name="connsiteY851" fmla="*/ 596830 h 1308087"/>
              <a:gd name="connsiteX852" fmla="*/ 280058 w 2280745"/>
              <a:gd name="connsiteY852" fmla="*/ 596830 h 1308087"/>
              <a:gd name="connsiteX853" fmla="*/ 480053 w 2280745"/>
              <a:gd name="connsiteY853" fmla="*/ 596830 h 1308087"/>
              <a:gd name="connsiteX854" fmla="*/ 480053 w 2280745"/>
              <a:gd name="connsiteY854" fmla="*/ 597055 h 1308087"/>
              <a:gd name="connsiteX855" fmla="*/ 479436 w 2280745"/>
              <a:gd name="connsiteY855" fmla="*/ 597020 h 1308087"/>
              <a:gd name="connsiteX856" fmla="*/ 472272 w 2280745"/>
              <a:gd name="connsiteY856" fmla="*/ 602531 h 1308087"/>
              <a:gd name="connsiteX857" fmla="*/ 455791 w 2280745"/>
              <a:gd name="connsiteY857" fmla="*/ 656086 h 1308087"/>
              <a:gd name="connsiteX858" fmla="*/ 461906 w 2280745"/>
              <a:gd name="connsiteY858" fmla="*/ 665305 h 1308087"/>
              <a:gd name="connsiteX859" fmla="*/ 463938 w 2280745"/>
              <a:gd name="connsiteY859" fmla="*/ 665780 h 1308087"/>
              <a:gd name="connsiteX860" fmla="*/ 474527 w 2280745"/>
              <a:gd name="connsiteY860" fmla="*/ 660457 h 1308087"/>
              <a:gd name="connsiteX861" fmla="*/ 480053 w 2280745"/>
              <a:gd name="connsiteY861" fmla="*/ 642502 h 1308087"/>
              <a:gd name="connsiteX862" fmla="*/ 480053 w 2280745"/>
              <a:gd name="connsiteY862" fmla="*/ 662686 h 1308087"/>
              <a:gd name="connsiteX863" fmla="*/ 480053 w 2280745"/>
              <a:gd name="connsiteY863" fmla="*/ 669300 h 1308087"/>
              <a:gd name="connsiteX864" fmla="*/ 480053 w 2280745"/>
              <a:gd name="connsiteY864" fmla="*/ 718130 h 1308087"/>
              <a:gd name="connsiteX865" fmla="*/ 488698 w 2280745"/>
              <a:gd name="connsiteY865" fmla="*/ 725658 h 1308087"/>
              <a:gd name="connsiteX866" fmla="*/ 490804 w 2280745"/>
              <a:gd name="connsiteY866" fmla="*/ 725658 h 1308087"/>
              <a:gd name="connsiteX867" fmla="*/ 499450 w 2280745"/>
              <a:gd name="connsiteY867" fmla="*/ 718130 h 1308087"/>
              <a:gd name="connsiteX868" fmla="*/ 499450 w 2280745"/>
              <a:gd name="connsiteY868" fmla="*/ 669300 h 1308087"/>
              <a:gd name="connsiteX869" fmla="*/ 506892 w 2280745"/>
              <a:gd name="connsiteY869" fmla="*/ 669300 h 1308087"/>
              <a:gd name="connsiteX870" fmla="*/ 506892 w 2280745"/>
              <a:gd name="connsiteY870" fmla="*/ 718130 h 1308087"/>
              <a:gd name="connsiteX871" fmla="*/ 515538 w 2280745"/>
              <a:gd name="connsiteY871" fmla="*/ 725658 h 1308087"/>
              <a:gd name="connsiteX872" fmla="*/ 517643 w 2280745"/>
              <a:gd name="connsiteY872" fmla="*/ 725658 h 1308087"/>
              <a:gd name="connsiteX873" fmla="*/ 526287 w 2280745"/>
              <a:gd name="connsiteY873" fmla="*/ 718130 h 1308087"/>
              <a:gd name="connsiteX874" fmla="*/ 526287 w 2280745"/>
              <a:gd name="connsiteY874" fmla="*/ 669300 h 1308087"/>
              <a:gd name="connsiteX875" fmla="*/ 526287 w 2280745"/>
              <a:gd name="connsiteY875" fmla="*/ 662686 h 1308087"/>
              <a:gd name="connsiteX876" fmla="*/ 526287 w 2280745"/>
              <a:gd name="connsiteY876" fmla="*/ 644694 h 1308087"/>
              <a:gd name="connsiteX877" fmla="*/ 531139 w 2280745"/>
              <a:gd name="connsiteY877" fmla="*/ 660457 h 1308087"/>
              <a:gd name="connsiteX878" fmla="*/ 541727 w 2280745"/>
              <a:gd name="connsiteY878" fmla="*/ 665780 h 1308087"/>
              <a:gd name="connsiteX879" fmla="*/ 543761 w 2280745"/>
              <a:gd name="connsiteY879" fmla="*/ 665305 h 1308087"/>
              <a:gd name="connsiteX880" fmla="*/ 549875 w 2280745"/>
              <a:gd name="connsiteY880" fmla="*/ 656086 h 1308087"/>
              <a:gd name="connsiteX881" fmla="*/ 533394 w 2280745"/>
              <a:gd name="connsiteY881" fmla="*/ 602531 h 1308087"/>
              <a:gd name="connsiteX882" fmla="*/ 530716 w 2280745"/>
              <a:gd name="connsiteY882" fmla="*/ 598798 h 1308087"/>
              <a:gd name="connsiteX883" fmla="*/ 526287 w 2280745"/>
              <a:gd name="connsiteY883" fmla="*/ 597043 h 1308087"/>
              <a:gd name="connsiteX884" fmla="*/ 526287 w 2280745"/>
              <a:gd name="connsiteY884" fmla="*/ 596830 h 1308087"/>
              <a:gd name="connsiteX885" fmla="*/ 480053 w 2280745"/>
              <a:gd name="connsiteY885" fmla="*/ 596830 h 1308087"/>
              <a:gd name="connsiteX886" fmla="*/ 680045 w 2280745"/>
              <a:gd name="connsiteY886" fmla="*/ 596830 h 1308087"/>
              <a:gd name="connsiteX887" fmla="*/ 680045 w 2280745"/>
              <a:gd name="connsiteY887" fmla="*/ 597055 h 1308087"/>
              <a:gd name="connsiteX888" fmla="*/ 679427 w 2280745"/>
              <a:gd name="connsiteY888" fmla="*/ 597020 h 1308087"/>
              <a:gd name="connsiteX889" fmla="*/ 672265 w 2280745"/>
              <a:gd name="connsiteY889" fmla="*/ 602531 h 1308087"/>
              <a:gd name="connsiteX890" fmla="*/ 655783 w 2280745"/>
              <a:gd name="connsiteY890" fmla="*/ 656086 h 1308087"/>
              <a:gd name="connsiteX891" fmla="*/ 661899 w 2280745"/>
              <a:gd name="connsiteY891" fmla="*/ 665305 h 1308087"/>
              <a:gd name="connsiteX892" fmla="*/ 663930 w 2280745"/>
              <a:gd name="connsiteY892" fmla="*/ 665780 h 1308087"/>
              <a:gd name="connsiteX893" fmla="*/ 674518 w 2280745"/>
              <a:gd name="connsiteY893" fmla="*/ 660457 h 1308087"/>
              <a:gd name="connsiteX894" fmla="*/ 680045 w 2280745"/>
              <a:gd name="connsiteY894" fmla="*/ 642502 h 1308087"/>
              <a:gd name="connsiteX895" fmla="*/ 680045 w 2280745"/>
              <a:gd name="connsiteY895" fmla="*/ 662686 h 1308087"/>
              <a:gd name="connsiteX896" fmla="*/ 680045 w 2280745"/>
              <a:gd name="connsiteY896" fmla="*/ 669300 h 1308087"/>
              <a:gd name="connsiteX897" fmla="*/ 680045 w 2280745"/>
              <a:gd name="connsiteY897" fmla="*/ 718130 h 1308087"/>
              <a:gd name="connsiteX898" fmla="*/ 688691 w 2280745"/>
              <a:gd name="connsiteY898" fmla="*/ 725658 h 1308087"/>
              <a:gd name="connsiteX899" fmla="*/ 690797 w 2280745"/>
              <a:gd name="connsiteY899" fmla="*/ 725658 h 1308087"/>
              <a:gd name="connsiteX900" fmla="*/ 699443 w 2280745"/>
              <a:gd name="connsiteY900" fmla="*/ 718130 h 1308087"/>
              <a:gd name="connsiteX901" fmla="*/ 699443 w 2280745"/>
              <a:gd name="connsiteY901" fmla="*/ 669300 h 1308087"/>
              <a:gd name="connsiteX902" fmla="*/ 706884 w 2280745"/>
              <a:gd name="connsiteY902" fmla="*/ 669300 h 1308087"/>
              <a:gd name="connsiteX903" fmla="*/ 706884 w 2280745"/>
              <a:gd name="connsiteY903" fmla="*/ 718130 h 1308087"/>
              <a:gd name="connsiteX904" fmla="*/ 715530 w 2280745"/>
              <a:gd name="connsiteY904" fmla="*/ 725658 h 1308087"/>
              <a:gd name="connsiteX905" fmla="*/ 717635 w 2280745"/>
              <a:gd name="connsiteY905" fmla="*/ 725658 h 1308087"/>
              <a:gd name="connsiteX906" fmla="*/ 726280 w 2280745"/>
              <a:gd name="connsiteY906" fmla="*/ 718130 h 1308087"/>
              <a:gd name="connsiteX907" fmla="*/ 726280 w 2280745"/>
              <a:gd name="connsiteY907" fmla="*/ 669300 h 1308087"/>
              <a:gd name="connsiteX908" fmla="*/ 726280 w 2280745"/>
              <a:gd name="connsiteY908" fmla="*/ 662686 h 1308087"/>
              <a:gd name="connsiteX909" fmla="*/ 726280 w 2280745"/>
              <a:gd name="connsiteY909" fmla="*/ 644694 h 1308087"/>
              <a:gd name="connsiteX910" fmla="*/ 731132 w 2280745"/>
              <a:gd name="connsiteY910" fmla="*/ 660457 h 1308087"/>
              <a:gd name="connsiteX911" fmla="*/ 741720 w 2280745"/>
              <a:gd name="connsiteY911" fmla="*/ 665780 h 1308087"/>
              <a:gd name="connsiteX912" fmla="*/ 743753 w 2280745"/>
              <a:gd name="connsiteY912" fmla="*/ 665305 h 1308087"/>
              <a:gd name="connsiteX913" fmla="*/ 749868 w 2280745"/>
              <a:gd name="connsiteY913" fmla="*/ 656086 h 1308087"/>
              <a:gd name="connsiteX914" fmla="*/ 733385 w 2280745"/>
              <a:gd name="connsiteY914" fmla="*/ 602531 h 1308087"/>
              <a:gd name="connsiteX915" fmla="*/ 730709 w 2280745"/>
              <a:gd name="connsiteY915" fmla="*/ 598798 h 1308087"/>
              <a:gd name="connsiteX916" fmla="*/ 726280 w 2280745"/>
              <a:gd name="connsiteY916" fmla="*/ 597043 h 1308087"/>
              <a:gd name="connsiteX917" fmla="*/ 726280 w 2280745"/>
              <a:gd name="connsiteY917" fmla="*/ 596830 h 1308087"/>
              <a:gd name="connsiteX918" fmla="*/ 680045 w 2280745"/>
              <a:gd name="connsiteY918" fmla="*/ 596830 h 1308087"/>
              <a:gd name="connsiteX919" fmla="*/ 880037 w 2280745"/>
              <a:gd name="connsiteY919" fmla="*/ 596830 h 1308087"/>
              <a:gd name="connsiteX920" fmla="*/ 880037 w 2280745"/>
              <a:gd name="connsiteY920" fmla="*/ 597055 h 1308087"/>
              <a:gd name="connsiteX921" fmla="*/ 879420 w 2280745"/>
              <a:gd name="connsiteY921" fmla="*/ 597020 h 1308087"/>
              <a:gd name="connsiteX922" fmla="*/ 872256 w 2280745"/>
              <a:gd name="connsiteY922" fmla="*/ 602531 h 1308087"/>
              <a:gd name="connsiteX923" fmla="*/ 855776 w 2280745"/>
              <a:gd name="connsiteY923" fmla="*/ 656086 h 1308087"/>
              <a:gd name="connsiteX924" fmla="*/ 861890 w 2280745"/>
              <a:gd name="connsiteY924" fmla="*/ 665305 h 1308087"/>
              <a:gd name="connsiteX925" fmla="*/ 863923 w 2280745"/>
              <a:gd name="connsiteY925" fmla="*/ 665780 h 1308087"/>
              <a:gd name="connsiteX926" fmla="*/ 874511 w 2280745"/>
              <a:gd name="connsiteY926" fmla="*/ 660457 h 1308087"/>
              <a:gd name="connsiteX927" fmla="*/ 880037 w 2280745"/>
              <a:gd name="connsiteY927" fmla="*/ 642502 h 1308087"/>
              <a:gd name="connsiteX928" fmla="*/ 880037 w 2280745"/>
              <a:gd name="connsiteY928" fmla="*/ 662686 h 1308087"/>
              <a:gd name="connsiteX929" fmla="*/ 880037 w 2280745"/>
              <a:gd name="connsiteY929" fmla="*/ 669300 h 1308087"/>
              <a:gd name="connsiteX930" fmla="*/ 880037 w 2280745"/>
              <a:gd name="connsiteY930" fmla="*/ 718130 h 1308087"/>
              <a:gd name="connsiteX931" fmla="*/ 888683 w 2280745"/>
              <a:gd name="connsiteY931" fmla="*/ 725658 h 1308087"/>
              <a:gd name="connsiteX932" fmla="*/ 890788 w 2280745"/>
              <a:gd name="connsiteY932" fmla="*/ 725658 h 1308087"/>
              <a:gd name="connsiteX933" fmla="*/ 899434 w 2280745"/>
              <a:gd name="connsiteY933" fmla="*/ 718130 h 1308087"/>
              <a:gd name="connsiteX934" fmla="*/ 899434 w 2280745"/>
              <a:gd name="connsiteY934" fmla="*/ 669300 h 1308087"/>
              <a:gd name="connsiteX935" fmla="*/ 906877 w 2280745"/>
              <a:gd name="connsiteY935" fmla="*/ 669300 h 1308087"/>
              <a:gd name="connsiteX936" fmla="*/ 906877 w 2280745"/>
              <a:gd name="connsiteY936" fmla="*/ 718130 h 1308087"/>
              <a:gd name="connsiteX937" fmla="*/ 915521 w 2280745"/>
              <a:gd name="connsiteY937" fmla="*/ 725658 h 1308087"/>
              <a:gd name="connsiteX938" fmla="*/ 917628 w 2280745"/>
              <a:gd name="connsiteY938" fmla="*/ 725658 h 1308087"/>
              <a:gd name="connsiteX939" fmla="*/ 926272 w 2280745"/>
              <a:gd name="connsiteY939" fmla="*/ 718130 h 1308087"/>
              <a:gd name="connsiteX940" fmla="*/ 926272 w 2280745"/>
              <a:gd name="connsiteY940" fmla="*/ 669300 h 1308087"/>
              <a:gd name="connsiteX941" fmla="*/ 926272 w 2280745"/>
              <a:gd name="connsiteY941" fmla="*/ 662686 h 1308087"/>
              <a:gd name="connsiteX942" fmla="*/ 926272 w 2280745"/>
              <a:gd name="connsiteY942" fmla="*/ 644694 h 1308087"/>
              <a:gd name="connsiteX943" fmla="*/ 931123 w 2280745"/>
              <a:gd name="connsiteY943" fmla="*/ 660457 h 1308087"/>
              <a:gd name="connsiteX944" fmla="*/ 941712 w 2280745"/>
              <a:gd name="connsiteY944" fmla="*/ 665780 h 1308087"/>
              <a:gd name="connsiteX945" fmla="*/ 943745 w 2280745"/>
              <a:gd name="connsiteY945" fmla="*/ 665305 h 1308087"/>
              <a:gd name="connsiteX946" fmla="*/ 949860 w 2280745"/>
              <a:gd name="connsiteY946" fmla="*/ 656086 h 1308087"/>
              <a:gd name="connsiteX947" fmla="*/ 933378 w 2280745"/>
              <a:gd name="connsiteY947" fmla="*/ 602531 h 1308087"/>
              <a:gd name="connsiteX948" fmla="*/ 930701 w 2280745"/>
              <a:gd name="connsiteY948" fmla="*/ 598798 h 1308087"/>
              <a:gd name="connsiteX949" fmla="*/ 926272 w 2280745"/>
              <a:gd name="connsiteY949" fmla="*/ 597043 h 1308087"/>
              <a:gd name="connsiteX950" fmla="*/ 926272 w 2280745"/>
              <a:gd name="connsiteY950" fmla="*/ 596830 h 1308087"/>
              <a:gd name="connsiteX951" fmla="*/ 880037 w 2280745"/>
              <a:gd name="connsiteY951" fmla="*/ 596830 h 1308087"/>
              <a:gd name="connsiteX952" fmla="*/ 1080030 w 2280745"/>
              <a:gd name="connsiteY952" fmla="*/ 596830 h 1308087"/>
              <a:gd name="connsiteX953" fmla="*/ 1080030 w 2280745"/>
              <a:gd name="connsiteY953" fmla="*/ 597055 h 1308087"/>
              <a:gd name="connsiteX954" fmla="*/ 1079412 w 2280745"/>
              <a:gd name="connsiteY954" fmla="*/ 597020 h 1308087"/>
              <a:gd name="connsiteX955" fmla="*/ 1072249 w 2280745"/>
              <a:gd name="connsiteY955" fmla="*/ 602531 h 1308087"/>
              <a:gd name="connsiteX956" fmla="*/ 1055767 w 2280745"/>
              <a:gd name="connsiteY956" fmla="*/ 656086 h 1308087"/>
              <a:gd name="connsiteX957" fmla="*/ 1061881 w 2280745"/>
              <a:gd name="connsiteY957" fmla="*/ 665305 h 1308087"/>
              <a:gd name="connsiteX958" fmla="*/ 1063914 w 2280745"/>
              <a:gd name="connsiteY958" fmla="*/ 665780 h 1308087"/>
              <a:gd name="connsiteX959" fmla="*/ 1074503 w 2280745"/>
              <a:gd name="connsiteY959" fmla="*/ 660457 h 1308087"/>
              <a:gd name="connsiteX960" fmla="*/ 1080030 w 2280745"/>
              <a:gd name="connsiteY960" fmla="*/ 642502 h 1308087"/>
              <a:gd name="connsiteX961" fmla="*/ 1080030 w 2280745"/>
              <a:gd name="connsiteY961" fmla="*/ 662686 h 1308087"/>
              <a:gd name="connsiteX962" fmla="*/ 1080030 w 2280745"/>
              <a:gd name="connsiteY962" fmla="*/ 669300 h 1308087"/>
              <a:gd name="connsiteX963" fmla="*/ 1080030 w 2280745"/>
              <a:gd name="connsiteY963" fmla="*/ 718130 h 1308087"/>
              <a:gd name="connsiteX964" fmla="*/ 1088676 w 2280745"/>
              <a:gd name="connsiteY964" fmla="*/ 725658 h 1308087"/>
              <a:gd name="connsiteX965" fmla="*/ 1090781 w 2280745"/>
              <a:gd name="connsiteY965" fmla="*/ 725658 h 1308087"/>
              <a:gd name="connsiteX966" fmla="*/ 1099427 w 2280745"/>
              <a:gd name="connsiteY966" fmla="*/ 718130 h 1308087"/>
              <a:gd name="connsiteX967" fmla="*/ 1099427 w 2280745"/>
              <a:gd name="connsiteY967" fmla="*/ 669300 h 1308087"/>
              <a:gd name="connsiteX968" fmla="*/ 1106868 w 2280745"/>
              <a:gd name="connsiteY968" fmla="*/ 669300 h 1308087"/>
              <a:gd name="connsiteX969" fmla="*/ 1106868 w 2280745"/>
              <a:gd name="connsiteY969" fmla="*/ 718130 h 1308087"/>
              <a:gd name="connsiteX970" fmla="*/ 1115514 w 2280745"/>
              <a:gd name="connsiteY970" fmla="*/ 725658 h 1308087"/>
              <a:gd name="connsiteX971" fmla="*/ 1117619 w 2280745"/>
              <a:gd name="connsiteY971" fmla="*/ 725658 h 1308087"/>
              <a:gd name="connsiteX972" fmla="*/ 1126264 w 2280745"/>
              <a:gd name="connsiteY972" fmla="*/ 718130 h 1308087"/>
              <a:gd name="connsiteX973" fmla="*/ 1126264 w 2280745"/>
              <a:gd name="connsiteY973" fmla="*/ 669300 h 1308087"/>
              <a:gd name="connsiteX974" fmla="*/ 1126264 w 2280745"/>
              <a:gd name="connsiteY974" fmla="*/ 662686 h 1308087"/>
              <a:gd name="connsiteX975" fmla="*/ 1126264 w 2280745"/>
              <a:gd name="connsiteY975" fmla="*/ 644694 h 1308087"/>
              <a:gd name="connsiteX976" fmla="*/ 1131115 w 2280745"/>
              <a:gd name="connsiteY976" fmla="*/ 660457 h 1308087"/>
              <a:gd name="connsiteX977" fmla="*/ 1141704 w 2280745"/>
              <a:gd name="connsiteY977" fmla="*/ 665780 h 1308087"/>
              <a:gd name="connsiteX978" fmla="*/ 1143738 w 2280745"/>
              <a:gd name="connsiteY978" fmla="*/ 665305 h 1308087"/>
              <a:gd name="connsiteX979" fmla="*/ 1149853 w 2280745"/>
              <a:gd name="connsiteY979" fmla="*/ 656086 h 1308087"/>
              <a:gd name="connsiteX980" fmla="*/ 1133370 w 2280745"/>
              <a:gd name="connsiteY980" fmla="*/ 602531 h 1308087"/>
              <a:gd name="connsiteX981" fmla="*/ 1130693 w 2280745"/>
              <a:gd name="connsiteY981" fmla="*/ 598798 h 1308087"/>
              <a:gd name="connsiteX982" fmla="*/ 1126264 w 2280745"/>
              <a:gd name="connsiteY982" fmla="*/ 597043 h 1308087"/>
              <a:gd name="connsiteX983" fmla="*/ 1126264 w 2280745"/>
              <a:gd name="connsiteY983" fmla="*/ 596830 h 1308087"/>
              <a:gd name="connsiteX984" fmla="*/ 1080030 w 2280745"/>
              <a:gd name="connsiteY984" fmla="*/ 596830 h 1308087"/>
              <a:gd name="connsiteX985" fmla="*/ 1280022 w 2280745"/>
              <a:gd name="connsiteY985" fmla="*/ 596830 h 1308087"/>
              <a:gd name="connsiteX986" fmla="*/ 1280022 w 2280745"/>
              <a:gd name="connsiteY986" fmla="*/ 597055 h 1308087"/>
              <a:gd name="connsiteX987" fmla="*/ 1279405 w 2280745"/>
              <a:gd name="connsiteY987" fmla="*/ 597020 h 1308087"/>
              <a:gd name="connsiteX988" fmla="*/ 1272241 w 2280745"/>
              <a:gd name="connsiteY988" fmla="*/ 602531 h 1308087"/>
              <a:gd name="connsiteX989" fmla="*/ 1255760 w 2280745"/>
              <a:gd name="connsiteY989" fmla="*/ 656086 h 1308087"/>
              <a:gd name="connsiteX990" fmla="*/ 1261874 w 2280745"/>
              <a:gd name="connsiteY990" fmla="*/ 665305 h 1308087"/>
              <a:gd name="connsiteX991" fmla="*/ 1263907 w 2280745"/>
              <a:gd name="connsiteY991" fmla="*/ 665780 h 1308087"/>
              <a:gd name="connsiteX992" fmla="*/ 1274496 w 2280745"/>
              <a:gd name="connsiteY992" fmla="*/ 660457 h 1308087"/>
              <a:gd name="connsiteX993" fmla="*/ 1280022 w 2280745"/>
              <a:gd name="connsiteY993" fmla="*/ 642502 h 1308087"/>
              <a:gd name="connsiteX994" fmla="*/ 1280022 w 2280745"/>
              <a:gd name="connsiteY994" fmla="*/ 662686 h 1308087"/>
              <a:gd name="connsiteX995" fmla="*/ 1280022 w 2280745"/>
              <a:gd name="connsiteY995" fmla="*/ 669300 h 1308087"/>
              <a:gd name="connsiteX996" fmla="*/ 1280022 w 2280745"/>
              <a:gd name="connsiteY996" fmla="*/ 718130 h 1308087"/>
              <a:gd name="connsiteX997" fmla="*/ 1288667 w 2280745"/>
              <a:gd name="connsiteY997" fmla="*/ 725658 h 1308087"/>
              <a:gd name="connsiteX998" fmla="*/ 1290773 w 2280745"/>
              <a:gd name="connsiteY998" fmla="*/ 725658 h 1308087"/>
              <a:gd name="connsiteX999" fmla="*/ 1299419 w 2280745"/>
              <a:gd name="connsiteY999" fmla="*/ 718130 h 1308087"/>
              <a:gd name="connsiteX1000" fmla="*/ 1299419 w 2280745"/>
              <a:gd name="connsiteY1000" fmla="*/ 669300 h 1308087"/>
              <a:gd name="connsiteX1001" fmla="*/ 1306860 w 2280745"/>
              <a:gd name="connsiteY1001" fmla="*/ 669300 h 1308087"/>
              <a:gd name="connsiteX1002" fmla="*/ 1306860 w 2280745"/>
              <a:gd name="connsiteY1002" fmla="*/ 718130 h 1308087"/>
              <a:gd name="connsiteX1003" fmla="*/ 1315506 w 2280745"/>
              <a:gd name="connsiteY1003" fmla="*/ 725658 h 1308087"/>
              <a:gd name="connsiteX1004" fmla="*/ 1317610 w 2280745"/>
              <a:gd name="connsiteY1004" fmla="*/ 725658 h 1308087"/>
              <a:gd name="connsiteX1005" fmla="*/ 1326256 w 2280745"/>
              <a:gd name="connsiteY1005" fmla="*/ 718130 h 1308087"/>
              <a:gd name="connsiteX1006" fmla="*/ 1326256 w 2280745"/>
              <a:gd name="connsiteY1006" fmla="*/ 669300 h 1308087"/>
              <a:gd name="connsiteX1007" fmla="*/ 1326256 w 2280745"/>
              <a:gd name="connsiteY1007" fmla="*/ 662686 h 1308087"/>
              <a:gd name="connsiteX1008" fmla="*/ 1326256 w 2280745"/>
              <a:gd name="connsiteY1008" fmla="*/ 644694 h 1308087"/>
              <a:gd name="connsiteX1009" fmla="*/ 1331108 w 2280745"/>
              <a:gd name="connsiteY1009" fmla="*/ 660457 h 1308087"/>
              <a:gd name="connsiteX1010" fmla="*/ 1341696 w 2280745"/>
              <a:gd name="connsiteY1010" fmla="*/ 665780 h 1308087"/>
              <a:gd name="connsiteX1011" fmla="*/ 1343730 w 2280745"/>
              <a:gd name="connsiteY1011" fmla="*/ 665305 h 1308087"/>
              <a:gd name="connsiteX1012" fmla="*/ 1349844 w 2280745"/>
              <a:gd name="connsiteY1012" fmla="*/ 656086 h 1308087"/>
              <a:gd name="connsiteX1013" fmla="*/ 1333361 w 2280745"/>
              <a:gd name="connsiteY1013" fmla="*/ 602531 h 1308087"/>
              <a:gd name="connsiteX1014" fmla="*/ 1330685 w 2280745"/>
              <a:gd name="connsiteY1014" fmla="*/ 598798 h 1308087"/>
              <a:gd name="connsiteX1015" fmla="*/ 1326256 w 2280745"/>
              <a:gd name="connsiteY1015" fmla="*/ 597043 h 1308087"/>
              <a:gd name="connsiteX1016" fmla="*/ 1326256 w 2280745"/>
              <a:gd name="connsiteY1016" fmla="*/ 596830 h 1308087"/>
              <a:gd name="connsiteX1017" fmla="*/ 1280022 w 2280745"/>
              <a:gd name="connsiteY1017" fmla="*/ 596830 h 1308087"/>
              <a:gd name="connsiteX1018" fmla="*/ 1482314 w 2280745"/>
              <a:gd name="connsiteY1018" fmla="*/ 596830 h 1308087"/>
              <a:gd name="connsiteX1019" fmla="*/ 1482314 w 2280745"/>
              <a:gd name="connsiteY1019" fmla="*/ 597055 h 1308087"/>
              <a:gd name="connsiteX1020" fmla="*/ 1481697 w 2280745"/>
              <a:gd name="connsiteY1020" fmla="*/ 597020 h 1308087"/>
              <a:gd name="connsiteX1021" fmla="*/ 1474533 w 2280745"/>
              <a:gd name="connsiteY1021" fmla="*/ 602531 h 1308087"/>
              <a:gd name="connsiteX1022" fmla="*/ 1458052 w 2280745"/>
              <a:gd name="connsiteY1022" fmla="*/ 656086 h 1308087"/>
              <a:gd name="connsiteX1023" fmla="*/ 1464166 w 2280745"/>
              <a:gd name="connsiteY1023" fmla="*/ 665305 h 1308087"/>
              <a:gd name="connsiteX1024" fmla="*/ 1466199 w 2280745"/>
              <a:gd name="connsiteY1024" fmla="*/ 665780 h 1308087"/>
              <a:gd name="connsiteX1025" fmla="*/ 1476788 w 2280745"/>
              <a:gd name="connsiteY1025" fmla="*/ 660457 h 1308087"/>
              <a:gd name="connsiteX1026" fmla="*/ 1482314 w 2280745"/>
              <a:gd name="connsiteY1026" fmla="*/ 642502 h 1308087"/>
              <a:gd name="connsiteX1027" fmla="*/ 1482314 w 2280745"/>
              <a:gd name="connsiteY1027" fmla="*/ 662686 h 1308087"/>
              <a:gd name="connsiteX1028" fmla="*/ 1482314 w 2280745"/>
              <a:gd name="connsiteY1028" fmla="*/ 669300 h 1308087"/>
              <a:gd name="connsiteX1029" fmla="*/ 1482314 w 2280745"/>
              <a:gd name="connsiteY1029" fmla="*/ 718130 h 1308087"/>
              <a:gd name="connsiteX1030" fmla="*/ 1490960 w 2280745"/>
              <a:gd name="connsiteY1030" fmla="*/ 725658 h 1308087"/>
              <a:gd name="connsiteX1031" fmla="*/ 1493064 w 2280745"/>
              <a:gd name="connsiteY1031" fmla="*/ 725658 h 1308087"/>
              <a:gd name="connsiteX1032" fmla="*/ 1501710 w 2280745"/>
              <a:gd name="connsiteY1032" fmla="*/ 718130 h 1308087"/>
              <a:gd name="connsiteX1033" fmla="*/ 1501710 w 2280745"/>
              <a:gd name="connsiteY1033" fmla="*/ 669300 h 1308087"/>
              <a:gd name="connsiteX1034" fmla="*/ 1509153 w 2280745"/>
              <a:gd name="connsiteY1034" fmla="*/ 669300 h 1308087"/>
              <a:gd name="connsiteX1035" fmla="*/ 1509153 w 2280745"/>
              <a:gd name="connsiteY1035" fmla="*/ 718130 h 1308087"/>
              <a:gd name="connsiteX1036" fmla="*/ 1517799 w 2280745"/>
              <a:gd name="connsiteY1036" fmla="*/ 725658 h 1308087"/>
              <a:gd name="connsiteX1037" fmla="*/ 1519903 w 2280745"/>
              <a:gd name="connsiteY1037" fmla="*/ 725658 h 1308087"/>
              <a:gd name="connsiteX1038" fmla="*/ 1528549 w 2280745"/>
              <a:gd name="connsiteY1038" fmla="*/ 718130 h 1308087"/>
              <a:gd name="connsiteX1039" fmla="*/ 1528549 w 2280745"/>
              <a:gd name="connsiteY1039" fmla="*/ 669300 h 1308087"/>
              <a:gd name="connsiteX1040" fmla="*/ 1528549 w 2280745"/>
              <a:gd name="connsiteY1040" fmla="*/ 662686 h 1308087"/>
              <a:gd name="connsiteX1041" fmla="*/ 1528549 w 2280745"/>
              <a:gd name="connsiteY1041" fmla="*/ 644694 h 1308087"/>
              <a:gd name="connsiteX1042" fmla="*/ 1533400 w 2280745"/>
              <a:gd name="connsiteY1042" fmla="*/ 660457 h 1308087"/>
              <a:gd name="connsiteX1043" fmla="*/ 1543989 w 2280745"/>
              <a:gd name="connsiteY1043" fmla="*/ 665780 h 1308087"/>
              <a:gd name="connsiteX1044" fmla="*/ 1546022 w 2280745"/>
              <a:gd name="connsiteY1044" fmla="*/ 665305 h 1308087"/>
              <a:gd name="connsiteX1045" fmla="*/ 1552136 w 2280745"/>
              <a:gd name="connsiteY1045" fmla="*/ 656086 h 1308087"/>
              <a:gd name="connsiteX1046" fmla="*/ 1535655 w 2280745"/>
              <a:gd name="connsiteY1046" fmla="*/ 602531 h 1308087"/>
              <a:gd name="connsiteX1047" fmla="*/ 1532977 w 2280745"/>
              <a:gd name="connsiteY1047" fmla="*/ 598798 h 1308087"/>
              <a:gd name="connsiteX1048" fmla="*/ 1528549 w 2280745"/>
              <a:gd name="connsiteY1048" fmla="*/ 597043 h 1308087"/>
              <a:gd name="connsiteX1049" fmla="*/ 1528549 w 2280745"/>
              <a:gd name="connsiteY1049" fmla="*/ 596830 h 1308087"/>
              <a:gd name="connsiteX1050" fmla="*/ 1482314 w 2280745"/>
              <a:gd name="connsiteY1050" fmla="*/ 596830 h 1308087"/>
              <a:gd name="connsiteX1051" fmla="*/ 1679477 w 2280745"/>
              <a:gd name="connsiteY1051" fmla="*/ 596830 h 1308087"/>
              <a:gd name="connsiteX1052" fmla="*/ 1679477 w 2280745"/>
              <a:gd name="connsiteY1052" fmla="*/ 597055 h 1308087"/>
              <a:gd name="connsiteX1053" fmla="*/ 1678860 w 2280745"/>
              <a:gd name="connsiteY1053" fmla="*/ 597020 h 1308087"/>
              <a:gd name="connsiteX1054" fmla="*/ 1671696 w 2280745"/>
              <a:gd name="connsiteY1054" fmla="*/ 602531 h 1308087"/>
              <a:gd name="connsiteX1055" fmla="*/ 1655215 w 2280745"/>
              <a:gd name="connsiteY1055" fmla="*/ 656086 h 1308087"/>
              <a:gd name="connsiteX1056" fmla="*/ 1661328 w 2280745"/>
              <a:gd name="connsiteY1056" fmla="*/ 665305 h 1308087"/>
              <a:gd name="connsiteX1057" fmla="*/ 1663362 w 2280745"/>
              <a:gd name="connsiteY1057" fmla="*/ 665780 h 1308087"/>
              <a:gd name="connsiteX1058" fmla="*/ 1673951 w 2280745"/>
              <a:gd name="connsiteY1058" fmla="*/ 660457 h 1308087"/>
              <a:gd name="connsiteX1059" fmla="*/ 1679477 w 2280745"/>
              <a:gd name="connsiteY1059" fmla="*/ 642502 h 1308087"/>
              <a:gd name="connsiteX1060" fmla="*/ 1679477 w 2280745"/>
              <a:gd name="connsiteY1060" fmla="*/ 662686 h 1308087"/>
              <a:gd name="connsiteX1061" fmla="*/ 1679477 w 2280745"/>
              <a:gd name="connsiteY1061" fmla="*/ 669300 h 1308087"/>
              <a:gd name="connsiteX1062" fmla="*/ 1679477 w 2280745"/>
              <a:gd name="connsiteY1062" fmla="*/ 718130 h 1308087"/>
              <a:gd name="connsiteX1063" fmla="*/ 1688123 w 2280745"/>
              <a:gd name="connsiteY1063" fmla="*/ 725658 h 1308087"/>
              <a:gd name="connsiteX1064" fmla="*/ 1690227 w 2280745"/>
              <a:gd name="connsiteY1064" fmla="*/ 725658 h 1308087"/>
              <a:gd name="connsiteX1065" fmla="*/ 1698873 w 2280745"/>
              <a:gd name="connsiteY1065" fmla="*/ 718130 h 1308087"/>
              <a:gd name="connsiteX1066" fmla="*/ 1698873 w 2280745"/>
              <a:gd name="connsiteY1066" fmla="*/ 669300 h 1308087"/>
              <a:gd name="connsiteX1067" fmla="*/ 1706314 w 2280745"/>
              <a:gd name="connsiteY1067" fmla="*/ 669300 h 1308087"/>
              <a:gd name="connsiteX1068" fmla="*/ 1706314 w 2280745"/>
              <a:gd name="connsiteY1068" fmla="*/ 718130 h 1308087"/>
              <a:gd name="connsiteX1069" fmla="*/ 1714961 w 2280745"/>
              <a:gd name="connsiteY1069" fmla="*/ 725658 h 1308087"/>
              <a:gd name="connsiteX1070" fmla="*/ 1717066 w 2280745"/>
              <a:gd name="connsiteY1070" fmla="*/ 725658 h 1308087"/>
              <a:gd name="connsiteX1071" fmla="*/ 1725712 w 2280745"/>
              <a:gd name="connsiteY1071" fmla="*/ 718130 h 1308087"/>
              <a:gd name="connsiteX1072" fmla="*/ 1725712 w 2280745"/>
              <a:gd name="connsiteY1072" fmla="*/ 669300 h 1308087"/>
              <a:gd name="connsiteX1073" fmla="*/ 1725712 w 2280745"/>
              <a:gd name="connsiteY1073" fmla="*/ 662686 h 1308087"/>
              <a:gd name="connsiteX1074" fmla="*/ 1725712 w 2280745"/>
              <a:gd name="connsiteY1074" fmla="*/ 644694 h 1308087"/>
              <a:gd name="connsiteX1075" fmla="*/ 1730563 w 2280745"/>
              <a:gd name="connsiteY1075" fmla="*/ 660457 h 1308087"/>
              <a:gd name="connsiteX1076" fmla="*/ 1741152 w 2280745"/>
              <a:gd name="connsiteY1076" fmla="*/ 665780 h 1308087"/>
              <a:gd name="connsiteX1077" fmla="*/ 1743185 w 2280745"/>
              <a:gd name="connsiteY1077" fmla="*/ 665305 h 1308087"/>
              <a:gd name="connsiteX1078" fmla="*/ 1749299 w 2280745"/>
              <a:gd name="connsiteY1078" fmla="*/ 656086 h 1308087"/>
              <a:gd name="connsiteX1079" fmla="*/ 1732817 w 2280745"/>
              <a:gd name="connsiteY1079" fmla="*/ 602531 h 1308087"/>
              <a:gd name="connsiteX1080" fmla="*/ 1730140 w 2280745"/>
              <a:gd name="connsiteY1080" fmla="*/ 598798 h 1308087"/>
              <a:gd name="connsiteX1081" fmla="*/ 1725712 w 2280745"/>
              <a:gd name="connsiteY1081" fmla="*/ 597043 h 1308087"/>
              <a:gd name="connsiteX1082" fmla="*/ 1725712 w 2280745"/>
              <a:gd name="connsiteY1082" fmla="*/ 596830 h 1308087"/>
              <a:gd name="connsiteX1083" fmla="*/ 1679477 w 2280745"/>
              <a:gd name="connsiteY1083" fmla="*/ 596830 h 1308087"/>
              <a:gd name="connsiteX1084" fmla="*/ 1882298 w 2280745"/>
              <a:gd name="connsiteY1084" fmla="*/ 596830 h 1308087"/>
              <a:gd name="connsiteX1085" fmla="*/ 1882298 w 2280745"/>
              <a:gd name="connsiteY1085" fmla="*/ 597055 h 1308087"/>
              <a:gd name="connsiteX1086" fmla="*/ 1881681 w 2280745"/>
              <a:gd name="connsiteY1086" fmla="*/ 597020 h 1308087"/>
              <a:gd name="connsiteX1087" fmla="*/ 1874518 w 2280745"/>
              <a:gd name="connsiteY1087" fmla="*/ 602531 h 1308087"/>
              <a:gd name="connsiteX1088" fmla="*/ 1858037 w 2280745"/>
              <a:gd name="connsiteY1088" fmla="*/ 656086 h 1308087"/>
              <a:gd name="connsiteX1089" fmla="*/ 1864152 w 2280745"/>
              <a:gd name="connsiteY1089" fmla="*/ 665305 h 1308087"/>
              <a:gd name="connsiteX1090" fmla="*/ 1866184 w 2280745"/>
              <a:gd name="connsiteY1090" fmla="*/ 665780 h 1308087"/>
              <a:gd name="connsiteX1091" fmla="*/ 1876773 w 2280745"/>
              <a:gd name="connsiteY1091" fmla="*/ 660457 h 1308087"/>
              <a:gd name="connsiteX1092" fmla="*/ 1882298 w 2280745"/>
              <a:gd name="connsiteY1092" fmla="*/ 642502 h 1308087"/>
              <a:gd name="connsiteX1093" fmla="*/ 1882298 w 2280745"/>
              <a:gd name="connsiteY1093" fmla="*/ 662686 h 1308087"/>
              <a:gd name="connsiteX1094" fmla="*/ 1882298 w 2280745"/>
              <a:gd name="connsiteY1094" fmla="*/ 669300 h 1308087"/>
              <a:gd name="connsiteX1095" fmla="*/ 1882298 w 2280745"/>
              <a:gd name="connsiteY1095" fmla="*/ 718130 h 1308087"/>
              <a:gd name="connsiteX1096" fmla="*/ 1890944 w 2280745"/>
              <a:gd name="connsiteY1096" fmla="*/ 725658 h 1308087"/>
              <a:gd name="connsiteX1097" fmla="*/ 1893050 w 2280745"/>
              <a:gd name="connsiteY1097" fmla="*/ 725658 h 1308087"/>
              <a:gd name="connsiteX1098" fmla="*/ 1901696 w 2280745"/>
              <a:gd name="connsiteY1098" fmla="*/ 718130 h 1308087"/>
              <a:gd name="connsiteX1099" fmla="*/ 1901696 w 2280745"/>
              <a:gd name="connsiteY1099" fmla="*/ 669300 h 1308087"/>
              <a:gd name="connsiteX1100" fmla="*/ 1909138 w 2280745"/>
              <a:gd name="connsiteY1100" fmla="*/ 669300 h 1308087"/>
              <a:gd name="connsiteX1101" fmla="*/ 1909138 w 2280745"/>
              <a:gd name="connsiteY1101" fmla="*/ 718130 h 1308087"/>
              <a:gd name="connsiteX1102" fmla="*/ 1917783 w 2280745"/>
              <a:gd name="connsiteY1102" fmla="*/ 725658 h 1308087"/>
              <a:gd name="connsiteX1103" fmla="*/ 1919889 w 2280745"/>
              <a:gd name="connsiteY1103" fmla="*/ 725658 h 1308087"/>
              <a:gd name="connsiteX1104" fmla="*/ 1928535 w 2280745"/>
              <a:gd name="connsiteY1104" fmla="*/ 718130 h 1308087"/>
              <a:gd name="connsiteX1105" fmla="*/ 1928535 w 2280745"/>
              <a:gd name="connsiteY1105" fmla="*/ 669300 h 1308087"/>
              <a:gd name="connsiteX1106" fmla="*/ 1928535 w 2280745"/>
              <a:gd name="connsiteY1106" fmla="*/ 662686 h 1308087"/>
              <a:gd name="connsiteX1107" fmla="*/ 1928535 w 2280745"/>
              <a:gd name="connsiteY1107" fmla="*/ 644694 h 1308087"/>
              <a:gd name="connsiteX1108" fmla="*/ 1933385 w 2280745"/>
              <a:gd name="connsiteY1108" fmla="*/ 660457 h 1308087"/>
              <a:gd name="connsiteX1109" fmla="*/ 1943974 w 2280745"/>
              <a:gd name="connsiteY1109" fmla="*/ 665780 h 1308087"/>
              <a:gd name="connsiteX1110" fmla="*/ 1946009 w 2280745"/>
              <a:gd name="connsiteY1110" fmla="*/ 665305 h 1308087"/>
              <a:gd name="connsiteX1111" fmla="*/ 1952121 w 2280745"/>
              <a:gd name="connsiteY1111" fmla="*/ 656086 h 1308087"/>
              <a:gd name="connsiteX1112" fmla="*/ 1935640 w 2280745"/>
              <a:gd name="connsiteY1112" fmla="*/ 602531 h 1308087"/>
              <a:gd name="connsiteX1113" fmla="*/ 1932962 w 2280745"/>
              <a:gd name="connsiteY1113" fmla="*/ 598798 h 1308087"/>
              <a:gd name="connsiteX1114" fmla="*/ 1928535 w 2280745"/>
              <a:gd name="connsiteY1114" fmla="*/ 597043 h 1308087"/>
              <a:gd name="connsiteX1115" fmla="*/ 1928535 w 2280745"/>
              <a:gd name="connsiteY1115" fmla="*/ 596830 h 1308087"/>
              <a:gd name="connsiteX1116" fmla="*/ 1882298 w 2280745"/>
              <a:gd name="connsiteY1116" fmla="*/ 596830 h 1308087"/>
              <a:gd name="connsiteX1117" fmla="*/ 2081622 w 2280745"/>
              <a:gd name="connsiteY1117" fmla="*/ 596830 h 1308087"/>
              <a:gd name="connsiteX1118" fmla="*/ 2081622 w 2280745"/>
              <a:gd name="connsiteY1118" fmla="*/ 597055 h 1308087"/>
              <a:gd name="connsiteX1119" fmla="*/ 2081004 w 2280745"/>
              <a:gd name="connsiteY1119" fmla="*/ 597020 h 1308087"/>
              <a:gd name="connsiteX1120" fmla="*/ 2073841 w 2280745"/>
              <a:gd name="connsiteY1120" fmla="*/ 602531 h 1308087"/>
              <a:gd name="connsiteX1121" fmla="*/ 2057362 w 2280745"/>
              <a:gd name="connsiteY1121" fmla="*/ 656086 h 1308087"/>
              <a:gd name="connsiteX1122" fmla="*/ 2063474 w 2280745"/>
              <a:gd name="connsiteY1122" fmla="*/ 665305 h 1308087"/>
              <a:gd name="connsiteX1123" fmla="*/ 2065507 w 2280745"/>
              <a:gd name="connsiteY1123" fmla="*/ 665780 h 1308087"/>
              <a:gd name="connsiteX1124" fmla="*/ 2076097 w 2280745"/>
              <a:gd name="connsiteY1124" fmla="*/ 660457 h 1308087"/>
              <a:gd name="connsiteX1125" fmla="*/ 2081622 w 2280745"/>
              <a:gd name="connsiteY1125" fmla="*/ 642502 h 1308087"/>
              <a:gd name="connsiteX1126" fmla="*/ 2081622 w 2280745"/>
              <a:gd name="connsiteY1126" fmla="*/ 662686 h 1308087"/>
              <a:gd name="connsiteX1127" fmla="*/ 2081622 w 2280745"/>
              <a:gd name="connsiteY1127" fmla="*/ 669300 h 1308087"/>
              <a:gd name="connsiteX1128" fmla="*/ 2081622 w 2280745"/>
              <a:gd name="connsiteY1128" fmla="*/ 718130 h 1308087"/>
              <a:gd name="connsiteX1129" fmla="*/ 2090268 w 2280745"/>
              <a:gd name="connsiteY1129" fmla="*/ 725658 h 1308087"/>
              <a:gd name="connsiteX1130" fmla="*/ 2092373 w 2280745"/>
              <a:gd name="connsiteY1130" fmla="*/ 725658 h 1308087"/>
              <a:gd name="connsiteX1131" fmla="*/ 2101019 w 2280745"/>
              <a:gd name="connsiteY1131" fmla="*/ 718130 h 1308087"/>
              <a:gd name="connsiteX1132" fmla="*/ 2101019 w 2280745"/>
              <a:gd name="connsiteY1132" fmla="*/ 669300 h 1308087"/>
              <a:gd name="connsiteX1133" fmla="*/ 2108461 w 2280745"/>
              <a:gd name="connsiteY1133" fmla="*/ 669300 h 1308087"/>
              <a:gd name="connsiteX1134" fmla="*/ 2108461 w 2280745"/>
              <a:gd name="connsiteY1134" fmla="*/ 718130 h 1308087"/>
              <a:gd name="connsiteX1135" fmla="*/ 2117107 w 2280745"/>
              <a:gd name="connsiteY1135" fmla="*/ 725658 h 1308087"/>
              <a:gd name="connsiteX1136" fmla="*/ 2119212 w 2280745"/>
              <a:gd name="connsiteY1136" fmla="*/ 725658 h 1308087"/>
              <a:gd name="connsiteX1137" fmla="*/ 2127858 w 2280745"/>
              <a:gd name="connsiteY1137" fmla="*/ 718130 h 1308087"/>
              <a:gd name="connsiteX1138" fmla="*/ 2127858 w 2280745"/>
              <a:gd name="connsiteY1138" fmla="*/ 669300 h 1308087"/>
              <a:gd name="connsiteX1139" fmla="*/ 2127858 w 2280745"/>
              <a:gd name="connsiteY1139" fmla="*/ 662686 h 1308087"/>
              <a:gd name="connsiteX1140" fmla="*/ 2127858 w 2280745"/>
              <a:gd name="connsiteY1140" fmla="*/ 644694 h 1308087"/>
              <a:gd name="connsiteX1141" fmla="*/ 2132707 w 2280745"/>
              <a:gd name="connsiteY1141" fmla="*/ 660457 h 1308087"/>
              <a:gd name="connsiteX1142" fmla="*/ 2143298 w 2280745"/>
              <a:gd name="connsiteY1142" fmla="*/ 665780 h 1308087"/>
              <a:gd name="connsiteX1143" fmla="*/ 2145331 w 2280745"/>
              <a:gd name="connsiteY1143" fmla="*/ 665305 h 1308087"/>
              <a:gd name="connsiteX1144" fmla="*/ 2151445 w 2280745"/>
              <a:gd name="connsiteY1144" fmla="*/ 656086 h 1308087"/>
              <a:gd name="connsiteX1145" fmla="*/ 2134963 w 2280745"/>
              <a:gd name="connsiteY1145" fmla="*/ 602531 h 1308087"/>
              <a:gd name="connsiteX1146" fmla="*/ 2132286 w 2280745"/>
              <a:gd name="connsiteY1146" fmla="*/ 598798 h 1308087"/>
              <a:gd name="connsiteX1147" fmla="*/ 2127858 w 2280745"/>
              <a:gd name="connsiteY1147" fmla="*/ 597043 h 1308087"/>
              <a:gd name="connsiteX1148" fmla="*/ 2127858 w 2280745"/>
              <a:gd name="connsiteY1148" fmla="*/ 596830 h 1308087"/>
              <a:gd name="connsiteX1149" fmla="*/ 2081622 w 2280745"/>
              <a:gd name="connsiteY1149" fmla="*/ 596830 h 1308087"/>
              <a:gd name="connsiteX1150" fmla="*/ 303668 w 2280745"/>
              <a:gd name="connsiteY1150" fmla="*/ 787580 h 1308087"/>
              <a:gd name="connsiteX1151" fmla="*/ 284721 w 2280745"/>
              <a:gd name="connsiteY1151" fmla="*/ 804077 h 1308087"/>
              <a:gd name="connsiteX1152" fmla="*/ 303668 w 2280745"/>
              <a:gd name="connsiteY1152" fmla="*/ 820573 h 1308087"/>
              <a:gd name="connsiteX1153" fmla="*/ 322614 w 2280745"/>
              <a:gd name="connsiteY1153" fmla="*/ 804077 h 1308087"/>
              <a:gd name="connsiteX1154" fmla="*/ 303668 w 2280745"/>
              <a:gd name="connsiteY1154" fmla="*/ 787580 h 1308087"/>
              <a:gd name="connsiteX1155" fmla="*/ 503662 w 2280745"/>
              <a:gd name="connsiteY1155" fmla="*/ 787580 h 1308087"/>
              <a:gd name="connsiteX1156" fmla="*/ 484717 w 2280745"/>
              <a:gd name="connsiteY1156" fmla="*/ 804077 h 1308087"/>
              <a:gd name="connsiteX1157" fmla="*/ 503662 w 2280745"/>
              <a:gd name="connsiteY1157" fmla="*/ 820573 h 1308087"/>
              <a:gd name="connsiteX1158" fmla="*/ 522607 w 2280745"/>
              <a:gd name="connsiteY1158" fmla="*/ 804077 h 1308087"/>
              <a:gd name="connsiteX1159" fmla="*/ 503662 w 2280745"/>
              <a:gd name="connsiteY1159" fmla="*/ 787580 h 1308087"/>
              <a:gd name="connsiteX1160" fmla="*/ 703653 w 2280745"/>
              <a:gd name="connsiteY1160" fmla="*/ 787580 h 1308087"/>
              <a:gd name="connsiteX1161" fmla="*/ 684709 w 2280745"/>
              <a:gd name="connsiteY1161" fmla="*/ 804077 h 1308087"/>
              <a:gd name="connsiteX1162" fmla="*/ 703653 w 2280745"/>
              <a:gd name="connsiteY1162" fmla="*/ 820573 h 1308087"/>
              <a:gd name="connsiteX1163" fmla="*/ 722600 w 2280745"/>
              <a:gd name="connsiteY1163" fmla="*/ 804077 h 1308087"/>
              <a:gd name="connsiteX1164" fmla="*/ 703653 w 2280745"/>
              <a:gd name="connsiteY1164" fmla="*/ 787580 h 1308087"/>
              <a:gd name="connsiteX1165" fmla="*/ 903646 w 2280745"/>
              <a:gd name="connsiteY1165" fmla="*/ 787580 h 1308087"/>
              <a:gd name="connsiteX1166" fmla="*/ 884701 w 2280745"/>
              <a:gd name="connsiteY1166" fmla="*/ 804077 h 1308087"/>
              <a:gd name="connsiteX1167" fmla="*/ 903646 w 2280745"/>
              <a:gd name="connsiteY1167" fmla="*/ 820573 h 1308087"/>
              <a:gd name="connsiteX1168" fmla="*/ 922591 w 2280745"/>
              <a:gd name="connsiteY1168" fmla="*/ 804077 h 1308087"/>
              <a:gd name="connsiteX1169" fmla="*/ 903646 w 2280745"/>
              <a:gd name="connsiteY1169" fmla="*/ 787580 h 1308087"/>
              <a:gd name="connsiteX1170" fmla="*/ 1103638 w 2280745"/>
              <a:gd name="connsiteY1170" fmla="*/ 787580 h 1308087"/>
              <a:gd name="connsiteX1171" fmla="*/ 1084694 w 2280745"/>
              <a:gd name="connsiteY1171" fmla="*/ 804077 h 1308087"/>
              <a:gd name="connsiteX1172" fmla="*/ 1103638 w 2280745"/>
              <a:gd name="connsiteY1172" fmla="*/ 820573 h 1308087"/>
              <a:gd name="connsiteX1173" fmla="*/ 1122584 w 2280745"/>
              <a:gd name="connsiteY1173" fmla="*/ 804077 h 1308087"/>
              <a:gd name="connsiteX1174" fmla="*/ 1103638 w 2280745"/>
              <a:gd name="connsiteY1174" fmla="*/ 787580 h 1308087"/>
              <a:gd name="connsiteX1175" fmla="*/ 1303631 w 2280745"/>
              <a:gd name="connsiteY1175" fmla="*/ 787580 h 1308087"/>
              <a:gd name="connsiteX1176" fmla="*/ 1284685 w 2280745"/>
              <a:gd name="connsiteY1176" fmla="*/ 804077 h 1308087"/>
              <a:gd name="connsiteX1177" fmla="*/ 1303631 w 2280745"/>
              <a:gd name="connsiteY1177" fmla="*/ 820573 h 1308087"/>
              <a:gd name="connsiteX1178" fmla="*/ 1322576 w 2280745"/>
              <a:gd name="connsiteY1178" fmla="*/ 804077 h 1308087"/>
              <a:gd name="connsiteX1179" fmla="*/ 1303631 w 2280745"/>
              <a:gd name="connsiteY1179" fmla="*/ 787580 h 1308087"/>
              <a:gd name="connsiteX1180" fmla="*/ 1505923 w 2280745"/>
              <a:gd name="connsiteY1180" fmla="*/ 787580 h 1308087"/>
              <a:gd name="connsiteX1181" fmla="*/ 1486979 w 2280745"/>
              <a:gd name="connsiteY1181" fmla="*/ 804077 h 1308087"/>
              <a:gd name="connsiteX1182" fmla="*/ 1505923 w 2280745"/>
              <a:gd name="connsiteY1182" fmla="*/ 820573 h 1308087"/>
              <a:gd name="connsiteX1183" fmla="*/ 1524868 w 2280745"/>
              <a:gd name="connsiteY1183" fmla="*/ 804077 h 1308087"/>
              <a:gd name="connsiteX1184" fmla="*/ 1505923 w 2280745"/>
              <a:gd name="connsiteY1184" fmla="*/ 787580 h 1308087"/>
              <a:gd name="connsiteX1185" fmla="*/ 1703085 w 2280745"/>
              <a:gd name="connsiteY1185" fmla="*/ 787580 h 1308087"/>
              <a:gd name="connsiteX1186" fmla="*/ 1684140 w 2280745"/>
              <a:gd name="connsiteY1186" fmla="*/ 804077 h 1308087"/>
              <a:gd name="connsiteX1187" fmla="*/ 1703085 w 2280745"/>
              <a:gd name="connsiteY1187" fmla="*/ 820573 h 1308087"/>
              <a:gd name="connsiteX1188" fmla="*/ 1722031 w 2280745"/>
              <a:gd name="connsiteY1188" fmla="*/ 804077 h 1308087"/>
              <a:gd name="connsiteX1189" fmla="*/ 1703085 w 2280745"/>
              <a:gd name="connsiteY1189" fmla="*/ 787580 h 1308087"/>
              <a:gd name="connsiteX1190" fmla="*/ 1905908 w 2280745"/>
              <a:gd name="connsiteY1190" fmla="*/ 787580 h 1308087"/>
              <a:gd name="connsiteX1191" fmla="*/ 1886962 w 2280745"/>
              <a:gd name="connsiteY1191" fmla="*/ 804077 h 1308087"/>
              <a:gd name="connsiteX1192" fmla="*/ 1905908 w 2280745"/>
              <a:gd name="connsiteY1192" fmla="*/ 820573 h 1308087"/>
              <a:gd name="connsiteX1193" fmla="*/ 1924855 w 2280745"/>
              <a:gd name="connsiteY1193" fmla="*/ 804077 h 1308087"/>
              <a:gd name="connsiteX1194" fmla="*/ 1905908 w 2280745"/>
              <a:gd name="connsiteY1194" fmla="*/ 787580 h 1308087"/>
              <a:gd name="connsiteX1195" fmla="*/ 2105231 w 2280745"/>
              <a:gd name="connsiteY1195" fmla="*/ 787580 h 1308087"/>
              <a:gd name="connsiteX1196" fmla="*/ 2086286 w 2280745"/>
              <a:gd name="connsiteY1196" fmla="*/ 804077 h 1308087"/>
              <a:gd name="connsiteX1197" fmla="*/ 2105231 w 2280745"/>
              <a:gd name="connsiteY1197" fmla="*/ 820573 h 1308087"/>
              <a:gd name="connsiteX1198" fmla="*/ 2124177 w 2280745"/>
              <a:gd name="connsiteY1198" fmla="*/ 804077 h 1308087"/>
              <a:gd name="connsiteX1199" fmla="*/ 2105231 w 2280745"/>
              <a:gd name="connsiteY1199" fmla="*/ 787580 h 1308087"/>
              <a:gd name="connsiteX1200" fmla="*/ 280058 w 2280745"/>
              <a:gd name="connsiteY1200" fmla="*/ 824238 h 1308087"/>
              <a:gd name="connsiteX1201" fmla="*/ 280058 w 2280745"/>
              <a:gd name="connsiteY1201" fmla="*/ 824463 h 1308087"/>
              <a:gd name="connsiteX1202" fmla="*/ 279441 w 2280745"/>
              <a:gd name="connsiteY1202" fmla="*/ 824428 h 1308087"/>
              <a:gd name="connsiteX1203" fmla="*/ 272279 w 2280745"/>
              <a:gd name="connsiteY1203" fmla="*/ 829938 h 1308087"/>
              <a:gd name="connsiteX1204" fmla="*/ 255797 w 2280745"/>
              <a:gd name="connsiteY1204" fmla="*/ 883493 h 1308087"/>
              <a:gd name="connsiteX1205" fmla="*/ 261911 w 2280745"/>
              <a:gd name="connsiteY1205" fmla="*/ 892712 h 1308087"/>
              <a:gd name="connsiteX1206" fmla="*/ 263944 w 2280745"/>
              <a:gd name="connsiteY1206" fmla="*/ 893188 h 1308087"/>
              <a:gd name="connsiteX1207" fmla="*/ 274533 w 2280745"/>
              <a:gd name="connsiteY1207" fmla="*/ 887865 h 1308087"/>
              <a:gd name="connsiteX1208" fmla="*/ 280058 w 2280745"/>
              <a:gd name="connsiteY1208" fmla="*/ 869910 h 1308087"/>
              <a:gd name="connsiteX1209" fmla="*/ 280058 w 2280745"/>
              <a:gd name="connsiteY1209" fmla="*/ 890094 h 1308087"/>
              <a:gd name="connsiteX1210" fmla="*/ 280058 w 2280745"/>
              <a:gd name="connsiteY1210" fmla="*/ 896707 h 1308087"/>
              <a:gd name="connsiteX1211" fmla="*/ 280058 w 2280745"/>
              <a:gd name="connsiteY1211" fmla="*/ 945537 h 1308087"/>
              <a:gd name="connsiteX1212" fmla="*/ 288705 w 2280745"/>
              <a:gd name="connsiteY1212" fmla="*/ 953066 h 1308087"/>
              <a:gd name="connsiteX1213" fmla="*/ 290809 w 2280745"/>
              <a:gd name="connsiteY1213" fmla="*/ 953066 h 1308087"/>
              <a:gd name="connsiteX1214" fmla="*/ 299455 w 2280745"/>
              <a:gd name="connsiteY1214" fmla="*/ 945537 h 1308087"/>
              <a:gd name="connsiteX1215" fmla="*/ 299455 w 2280745"/>
              <a:gd name="connsiteY1215" fmla="*/ 896707 h 1308087"/>
              <a:gd name="connsiteX1216" fmla="*/ 306898 w 2280745"/>
              <a:gd name="connsiteY1216" fmla="*/ 896707 h 1308087"/>
              <a:gd name="connsiteX1217" fmla="*/ 306898 w 2280745"/>
              <a:gd name="connsiteY1217" fmla="*/ 945537 h 1308087"/>
              <a:gd name="connsiteX1218" fmla="*/ 315544 w 2280745"/>
              <a:gd name="connsiteY1218" fmla="*/ 953066 h 1308087"/>
              <a:gd name="connsiteX1219" fmla="*/ 317649 w 2280745"/>
              <a:gd name="connsiteY1219" fmla="*/ 953066 h 1308087"/>
              <a:gd name="connsiteX1220" fmla="*/ 326293 w 2280745"/>
              <a:gd name="connsiteY1220" fmla="*/ 945537 h 1308087"/>
              <a:gd name="connsiteX1221" fmla="*/ 326293 w 2280745"/>
              <a:gd name="connsiteY1221" fmla="*/ 896707 h 1308087"/>
              <a:gd name="connsiteX1222" fmla="*/ 326293 w 2280745"/>
              <a:gd name="connsiteY1222" fmla="*/ 890094 h 1308087"/>
              <a:gd name="connsiteX1223" fmla="*/ 326293 w 2280745"/>
              <a:gd name="connsiteY1223" fmla="*/ 872102 h 1308087"/>
              <a:gd name="connsiteX1224" fmla="*/ 331145 w 2280745"/>
              <a:gd name="connsiteY1224" fmla="*/ 887865 h 1308087"/>
              <a:gd name="connsiteX1225" fmla="*/ 341734 w 2280745"/>
              <a:gd name="connsiteY1225" fmla="*/ 893188 h 1308087"/>
              <a:gd name="connsiteX1226" fmla="*/ 343767 w 2280745"/>
              <a:gd name="connsiteY1226" fmla="*/ 892712 h 1308087"/>
              <a:gd name="connsiteX1227" fmla="*/ 349881 w 2280745"/>
              <a:gd name="connsiteY1227" fmla="*/ 883493 h 1308087"/>
              <a:gd name="connsiteX1228" fmla="*/ 333400 w 2280745"/>
              <a:gd name="connsiteY1228" fmla="*/ 829938 h 1308087"/>
              <a:gd name="connsiteX1229" fmla="*/ 330722 w 2280745"/>
              <a:gd name="connsiteY1229" fmla="*/ 826205 h 1308087"/>
              <a:gd name="connsiteX1230" fmla="*/ 326293 w 2280745"/>
              <a:gd name="connsiteY1230" fmla="*/ 824451 h 1308087"/>
              <a:gd name="connsiteX1231" fmla="*/ 326293 w 2280745"/>
              <a:gd name="connsiteY1231" fmla="*/ 824238 h 1308087"/>
              <a:gd name="connsiteX1232" fmla="*/ 280058 w 2280745"/>
              <a:gd name="connsiteY1232" fmla="*/ 824238 h 1308087"/>
              <a:gd name="connsiteX1233" fmla="*/ 480053 w 2280745"/>
              <a:gd name="connsiteY1233" fmla="*/ 824238 h 1308087"/>
              <a:gd name="connsiteX1234" fmla="*/ 480053 w 2280745"/>
              <a:gd name="connsiteY1234" fmla="*/ 824463 h 1308087"/>
              <a:gd name="connsiteX1235" fmla="*/ 479436 w 2280745"/>
              <a:gd name="connsiteY1235" fmla="*/ 824428 h 1308087"/>
              <a:gd name="connsiteX1236" fmla="*/ 472272 w 2280745"/>
              <a:gd name="connsiteY1236" fmla="*/ 829938 h 1308087"/>
              <a:gd name="connsiteX1237" fmla="*/ 455791 w 2280745"/>
              <a:gd name="connsiteY1237" fmla="*/ 883493 h 1308087"/>
              <a:gd name="connsiteX1238" fmla="*/ 461906 w 2280745"/>
              <a:gd name="connsiteY1238" fmla="*/ 892712 h 1308087"/>
              <a:gd name="connsiteX1239" fmla="*/ 463938 w 2280745"/>
              <a:gd name="connsiteY1239" fmla="*/ 893188 h 1308087"/>
              <a:gd name="connsiteX1240" fmla="*/ 474527 w 2280745"/>
              <a:gd name="connsiteY1240" fmla="*/ 887865 h 1308087"/>
              <a:gd name="connsiteX1241" fmla="*/ 480053 w 2280745"/>
              <a:gd name="connsiteY1241" fmla="*/ 869910 h 1308087"/>
              <a:gd name="connsiteX1242" fmla="*/ 480053 w 2280745"/>
              <a:gd name="connsiteY1242" fmla="*/ 890094 h 1308087"/>
              <a:gd name="connsiteX1243" fmla="*/ 480053 w 2280745"/>
              <a:gd name="connsiteY1243" fmla="*/ 896707 h 1308087"/>
              <a:gd name="connsiteX1244" fmla="*/ 480053 w 2280745"/>
              <a:gd name="connsiteY1244" fmla="*/ 945537 h 1308087"/>
              <a:gd name="connsiteX1245" fmla="*/ 488698 w 2280745"/>
              <a:gd name="connsiteY1245" fmla="*/ 953066 h 1308087"/>
              <a:gd name="connsiteX1246" fmla="*/ 490804 w 2280745"/>
              <a:gd name="connsiteY1246" fmla="*/ 953066 h 1308087"/>
              <a:gd name="connsiteX1247" fmla="*/ 499450 w 2280745"/>
              <a:gd name="connsiteY1247" fmla="*/ 945537 h 1308087"/>
              <a:gd name="connsiteX1248" fmla="*/ 499450 w 2280745"/>
              <a:gd name="connsiteY1248" fmla="*/ 896707 h 1308087"/>
              <a:gd name="connsiteX1249" fmla="*/ 506892 w 2280745"/>
              <a:gd name="connsiteY1249" fmla="*/ 896707 h 1308087"/>
              <a:gd name="connsiteX1250" fmla="*/ 506892 w 2280745"/>
              <a:gd name="connsiteY1250" fmla="*/ 945537 h 1308087"/>
              <a:gd name="connsiteX1251" fmla="*/ 515538 w 2280745"/>
              <a:gd name="connsiteY1251" fmla="*/ 953066 h 1308087"/>
              <a:gd name="connsiteX1252" fmla="*/ 517643 w 2280745"/>
              <a:gd name="connsiteY1252" fmla="*/ 953066 h 1308087"/>
              <a:gd name="connsiteX1253" fmla="*/ 526287 w 2280745"/>
              <a:gd name="connsiteY1253" fmla="*/ 945537 h 1308087"/>
              <a:gd name="connsiteX1254" fmla="*/ 526287 w 2280745"/>
              <a:gd name="connsiteY1254" fmla="*/ 896707 h 1308087"/>
              <a:gd name="connsiteX1255" fmla="*/ 526287 w 2280745"/>
              <a:gd name="connsiteY1255" fmla="*/ 890094 h 1308087"/>
              <a:gd name="connsiteX1256" fmla="*/ 526287 w 2280745"/>
              <a:gd name="connsiteY1256" fmla="*/ 872102 h 1308087"/>
              <a:gd name="connsiteX1257" fmla="*/ 531139 w 2280745"/>
              <a:gd name="connsiteY1257" fmla="*/ 887865 h 1308087"/>
              <a:gd name="connsiteX1258" fmla="*/ 541727 w 2280745"/>
              <a:gd name="connsiteY1258" fmla="*/ 893188 h 1308087"/>
              <a:gd name="connsiteX1259" fmla="*/ 543761 w 2280745"/>
              <a:gd name="connsiteY1259" fmla="*/ 892712 h 1308087"/>
              <a:gd name="connsiteX1260" fmla="*/ 549875 w 2280745"/>
              <a:gd name="connsiteY1260" fmla="*/ 883493 h 1308087"/>
              <a:gd name="connsiteX1261" fmla="*/ 533394 w 2280745"/>
              <a:gd name="connsiteY1261" fmla="*/ 829938 h 1308087"/>
              <a:gd name="connsiteX1262" fmla="*/ 530716 w 2280745"/>
              <a:gd name="connsiteY1262" fmla="*/ 826205 h 1308087"/>
              <a:gd name="connsiteX1263" fmla="*/ 526287 w 2280745"/>
              <a:gd name="connsiteY1263" fmla="*/ 824451 h 1308087"/>
              <a:gd name="connsiteX1264" fmla="*/ 526287 w 2280745"/>
              <a:gd name="connsiteY1264" fmla="*/ 824238 h 1308087"/>
              <a:gd name="connsiteX1265" fmla="*/ 480053 w 2280745"/>
              <a:gd name="connsiteY1265" fmla="*/ 824238 h 1308087"/>
              <a:gd name="connsiteX1266" fmla="*/ 680045 w 2280745"/>
              <a:gd name="connsiteY1266" fmla="*/ 824238 h 1308087"/>
              <a:gd name="connsiteX1267" fmla="*/ 680045 w 2280745"/>
              <a:gd name="connsiteY1267" fmla="*/ 824463 h 1308087"/>
              <a:gd name="connsiteX1268" fmla="*/ 679427 w 2280745"/>
              <a:gd name="connsiteY1268" fmla="*/ 824428 h 1308087"/>
              <a:gd name="connsiteX1269" fmla="*/ 672265 w 2280745"/>
              <a:gd name="connsiteY1269" fmla="*/ 829938 h 1308087"/>
              <a:gd name="connsiteX1270" fmla="*/ 655783 w 2280745"/>
              <a:gd name="connsiteY1270" fmla="*/ 883493 h 1308087"/>
              <a:gd name="connsiteX1271" fmla="*/ 661899 w 2280745"/>
              <a:gd name="connsiteY1271" fmla="*/ 892712 h 1308087"/>
              <a:gd name="connsiteX1272" fmla="*/ 663930 w 2280745"/>
              <a:gd name="connsiteY1272" fmla="*/ 893188 h 1308087"/>
              <a:gd name="connsiteX1273" fmla="*/ 674518 w 2280745"/>
              <a:gd name="connsiteY1273" fmla="*/ 887865 h 1308087"/>
              <a:gd name="connsiteX1274" fmla="*/ 680045 w 2280745"/>
              <a:gd name="connsiteY1274" fmla="*/ 869910 h 1308087"/>
              <a:gd name="connsiteX1275" fmla="*/ 680045 w 2280745"/>
              <a:gd name="connsiteY1275" fmla="*/ 890094 h 1308087"/>
              <a:gd name="connsiteX1276" fmla="*/ 680045 w 2280745"/>
              <a:gd name="connsiteY1276" fmla="*/ 896707 h 1308087"/>
              <a:gd name="connsiteX1277" fmla="*/ 680045 w 2280745"/>
              <a:gd name="connsiteY1277" fmla="*/ 945537 h 1308087"/>
              <a:gd name="connsiteX1278" fmla="*/ 688691 w 2280745"/>
              <a:gd name="connsiteY1278" fmla="*/ 953066 h 1308087"/>
              <a:gd name="connsiteX1279" fmla="*/ 690797 w 2280745"/>
              <a:gd name="connsiteY1279" fmla="*/ 953066 h 1308087"/>
              <a:gd name="connsiteX1280" fmla="*/ 699443 w 2280745"/>
              <a:gd name="connsiteY1280" fmla="*/ 945537 h 1308087"/>
              <a:gd name="connsiteX1281" fmla="*/ 699443 w 2280745"/>
              <a:gd name="connsiteY1281" fmla="*/ 896707 h 1308087"/>
              <a:gd name="connsiteX1282" fmla="*/ 706884 w 2280745"/>
              <a:gd name="connsiteY1282" fmla="*/ 896707 h 1308087"/>
              <a:gd name="connsiteX1283" fmla="*/ 706884 w 2280745"/>
              <a:gd name="connsiteY1283" fmla="*/ 945537 h 1308087"/>
              <a:gd name="connsiteX1284" fmla="*/ 715530 w 2280745"/>
              <a:gd name="connsiteY1284" fmla="*/ 953066 h 1308087"/>
              <a:gd name="connsiteX1285" fmla="*/ 717635 w 2280745"/>
              <a:gd name="connsiteY1285" fmla="*/ 953066 h 1308087"/>
              <a:gd name="connsiteX1286" fmla="*/ 726280 w 2280745"/>
              <a:gd name="connsiteY1286" fmla="*/ 945537 h 1308087"/>
              <a:gd name="connsiteX1287" fmla="*/ 726280 w 2280745"/>
              <a:gd name="connsiteY1287" fmla="*/ 896707 h 1308087"/>
              <a:gd name="connsiteX1288" fmla="*/ 726280 w 2280745"/>
              <a:gd name="connsiteY1288" fmla="*/ 890094 h 1308087"/>
              <a:gd name="connsiteX1289" fmla="*/ 726280 w 2280745"/>
              <a:gd name="connsiteY1289" fmla="*/ 872102 h 1308087"/>
              <a:gd name="connsiteX1290" fmla="*/ 731132 w 2280745"/>
              <a:gd name="connsiteY1290" fmla="*/ 887865 h 1308087"/>
              <a:gd name="connsiteX1291" fmla="*/ 741720 w 2280745"/>
              <a:gd name="connsiteY1291" fmla="*/ 893188 h 1308087"/>
              <a:gd name="connsiteX1292" fmla="*/ 743753 w 2280745"/>
              <a:gd name="connsiteY1292" fmla="*/ 892712 h 1308087"/>
              <a:gd name="connsiteX1293" fmla="*/ 749868 w 2280745"/>
              <a:gd name="connsiteY1293" fmla="*/ 883493 h 1308087"/>
              <a:gd name="connsiteX1294" fmla="*/ 733385 w 2280745"/>
              <a:gd name="connsiteY1294" fmla="*/ 829938 h 1308087"/>
              <a:gd name="connsiteX1295" fmla="*/ 730709 w 2280745"/>
              <a:gd name="connsiteY1295" fmla="*/ 826205 h 1308087"/>
              <a:gd name="connsiteX1296" fmla="*/ 726280 w 2280745"/>
              <a:gd name="connsiteY1296" fmla="*/ 824451 h 1308087"/>
              <a:gd name="connsiteX1297" fmla="*/ 726280 w 2280745"/>
              <a:gd name="connsiteY1297" fmla="*/ 824238 h 1308087"/>
              <a:gd name="connsiteX1298" fmla="*/ 680045 w 2280745"/>
              <a:gd name="connsiteY1298" fmla="*/ 824238 h 1308087"/>
              <a:gd name="connsiteX1299" fmla="*/ 880037 w 2280745"/>
              <a:gd name="connsiteY1299" fmla="*/ 824238 h 1308087"/>
              <a:gd name="connsiteX1300" fmla="*/ 880037 w 2280745"/>
              <a:gd name="connsiteY1300" fmla="*/ 824463 h 1308087"/>
              <a:gd name="connsiteX1301" fmla="*/ 879420 w 2280745"/>
              <a:gd name="connsiteY1301" fmla="*/ 824428 h 1308087"/>
              <a:gd name="connsiteX1302" fmla="*/ 872256 w 2280745"/>
              <a:gd name="connsiteY1302" fmla="*/ 829938 h 1308087"/>
              <a:gd name="connsiteX1303" fmla="*/ 855776 w 2280745"/>
              <a:gd name="connsiteY1303" fmla="*/ 883493 h 1308087"/>
              <a:gd name="connsiteX1304" fmla="*/ 861890 w 2280745"/>
              <a:gd name="connsiteY1304" fmla="*/ 892712 h 1308087"/>
              <a:gd name="connsiteX1305" fmla="*/ 863923 w 2280745"/>
              <a:gd name="connsiteY1305" fmla="*/ 893188 h 1308087"/>
              <a:gd name="connsiteX1306" fmla="*/ 874511 w 2280745"/>
              <a:gd name="connsiteY1306" fmla="*/ 887865 h 1308087"/>
              <a:gd name="connsiteX1307" fmla="*/ 880037 w 2280745"/>
              <a:gd name="connsiteY1307" fmla="*/ 869910 h 1308087"/>
              <a:gd name="connsiteX1308" fmla="*/ 880037 w 2280745"/>
              <a:gd name="connsiteY1308" fmla="*/ 890094 h 1308087"/>
              <a:gd name="connsiteX1309" fmla="*/ 880037 w 2280745"/>
              <a:gd name="connsiteY1309" fmla="*/ 896707 h 1308087"/>
              <a:gd name="connsiteX1310" fmla="*/ 880037 w 2280745"/>
              <a:gd name="connsiteY1310" fmla="*/ 945537 h 1308087"/>
              <a:gd name="connsiteX1311" fmla="*/ 888683 w 2280745"/>
              <a:gd name="connsiteY1311" fmla="*/ 953066 h 1308087"/>
              <a:gd name="connsiteX1312" fmla="*/ 890788 w 2280745"/>
              <a:gd name="connsiteY1312" fmla="*/ 953066 h 1308087"/>
              <a:gd name="connsiteX1313" fmla="*/ 899434 w 2280745"/>
              <a:gd name="connsiteY1313" fmla="*/ 945537 h 1308087"/>
              <a:gd name="connsiteX1314" fmla="*/ 899434 w 2280745"/>
              <a:gd name="connsiteY1314" fmla="*/ 896707 h 1308087"/>
              <a:gd name="connsiteX1315" fmla="*/ 906877 w 2280745"/>
              <a:gd name="connsiteY1315" fmla="*/ 896707 h 1308087"/>
              <a:gd name="connsiteX1316" fmla="*/ 906877 w 2280745"/>
              <a:gd name="connsiteY1316" fmla="*/ 945537 h 1308087"/>
              <a:gd name="connsiteX1317" fmla="*/ 915521 w 2280745"/>
              <a:gd name="connsiteY1317" fmla="*/ 953066 h 1308087"/>
              <a:gd name="connsiteX1318" fmla="*/ 917628 w 2280745"/>
              <a:gd name="connsiteY1318" fmla="*/ 953066 h 1308087"/>
              <a:gd name="connsiteX1319" fmla="*/ 926272 w 2280745"/>
              <a:gd name="connsiteY1319" fmla="*/ 945537 h 1308087"/>
              <a:gd name="connsiteX1320" fmla="*/ 926272 w 2280745"/>
              <a:gd name="connsiteY1320" fmla="*/ 896707 h 1308087"/>
              <a:gd name="connsiteX1321" fmla="*/ 926272 w 2280745"/>
              <a:gd name="connsiteY1321" fmla="*/ 890094 h 1308087"/>
              <a:gd name="connsiteX1322" fmla="*/ 926272 w 2280745"/>
              <a:gd name="connsiteY1322" fmla="*/ 872102 h 1308087"/>
              <a:gd name="connsiteX1323" fmla="*/ 931123 w 2280745"/>
              <a:gd name="connsiteY1323" fmla="*/ 887865 h 1308087"/>
              <a:gd name="connsiteX1324" fmla="*/ 941712 w 2280745"/>
              <a:gd name="connsiteY1324" fmla="*/ 893188 h 1308087"/>
              <a:gd name="connsiteX1325" fmla="*/ 943745 w 2280745"/>
              <a:gd name="connsiteY1325" fmla="*/ 892712 h 1308087"/>
              <a:gd name="connsiteX1326" fmla="*/ 949860 w 2280745"/>
              <a:gd name="connsiteY1326" fmla="*/ 883493 h 1308087"/>
              <a:gd name="connsiteX1327" fmla="*/ 933378 w 2280745"/>
              <a:gd name="connsiteY1327" fmla="*/ 829938 h 1308087"/>
              <a:gd name="connsiteX1328" fmla="*/ 930701 w 2280745"/>
              <a:gd name="connsiteY1328" fmla="*/ 826205 h 1308087"/>
              <a:gd name="connsiteX1329" fmla="*/ 926272 w 2280745"/>
              <a:gd name="connsiteY1329" fmla="*/ 824451 h 1308087"/>
              <a:gd name="connsiteX1330" fmla="*/ 926272 w 2280745"/>
              <a:gd name="connsiteY1330" fmla="*/ 824238 h 1308087"/>
              <a:gd name="connsiteX1331" fmla="*/ 880037 w 2280745"/>
              <a:gd name="connsiteY1331" fmla="*/ 824238 h 1308087"/>
              <a:gd name="connsiteX1332" fmla="*/ 1080030 w 2280745"/>
              <a:gd name="connsiteY1332" fmla="*/ 824238 h 1308087"/>
              <a:gd name="connsiteX1333" fmla="*/ 1080030 w 2280745"/>
              <a:gd name="connsiteY1333" fmla="*/ 824463 h 1308087"/>
              <a:gd name="connsiteX1334" fmla="*/ 1079412 w 2280745"/>
              <a:gd name="connsiteY1334" fmla="*/ 824428 h 1308087"/>
              <a:gd name="connsiteX1335" fmla="*/ 1072249 w 2280745"/>
              <a:gd name="connsiteY1335" fmla="*/ 829938 h 1308087"/>
              <a:gd name="connsiteX1336" fmla="*/ 1055767 w 2280745"/>
              <a:gd name="connsiteY1336" fmla="*/ 883493 h 1308087"/>
              <a:gd name="connsiteX1337" fmla="*/ 1061881 w 2280745"/>
              <a:gd name="connsiteY1337" fmla="*/ 892712 h 1308087"/>
              <a:gd name="connsiteX1338" fmla="*/ 1063914 w 2280745"/>
              <a:gd name="connsiteY1338" fmla="*/ 893188 h 1308087"/>
              <a:gd name="connsiteX1339" fmla="*/ 1074503 w 2280745"/>
              <a:gd name="connsiteY1339" fmla="*/ 887865 h 1308087"/>
              <a:gd name="connsiteX1340" fmla="*/ 1080030 w 2280745"/>
              <a:gd name="connsiteY1340" fmla="*/ 869910 h 1308087"/>
              <a:gd name="connsiteX1341" fmla="*/ 1080030 w 2280745"/>
              <a:gd name="connsiteY1341" fmla="*/ 890094 h 1308087"/>
              <a:gd name="connsiteX1342" fmla="*/ 1080030 w 2280745"/>
              <a:gd name="connsiteY1342" fmla="*/ 896707 h 1308087"/>
              <a:gd name="connsiteX1343" fmla="*/ 1080030 w 2280745"/>
              <a:gd name="connsiteY1343" fmla="*/ 945537 h 1308087"/>
              <a:gd name="connsiteX1344" fmla="*/ 1088676 w 2280745"/>
              <a:gd name="connsiteY1344" fmla="*/ 953066 h 1308087"/>
              <a:gd name="connsiteX1345" fmla="*/ 1090781 w 2280745"/>
              <a:gd name="connsiteY1345" fmla="*/ 953066 h 1308087"/>
              <a:gd name="connsiteX1346" fmla="*/ 1099427 w 2280745"/>
              <a:gd name="connsiteY1346" fmla="*/ 945537 h 1308087"/>
              <a:gd name="connsiteX1347" fmla="*/ 1099427 w 2280745"/>
              <a:gd name="connsiteY1347" fmla="*/ 896707 h 1308087"/>
              <a:gd name="connsiteX1348" fmla="*/ 1106868 w 2280745"/>
              <a:gd name="connsiteY1348" fmla="*/ 896707 h 1308087"/>
              <a:gd name="connsiteX1349" fmla="*/ 1106868 w 2280745"/>
              <a:gd name="connsiteY1349" fmla="*/ 945537 h 1308087"/>
              <a:gd name="connsiteX1350" fmla="*/ 1115514 w 2280745"/>
              <a:gd name="connsiteY1350" fmla="*/ 953066 h 1308087"/>
              <a:gd name="connsiteX1351" fmla="*/ 1117619 w 2280745"/>
              <a:gd name="connsiteY1351" fmla="*/ 953066 h 1308087"/>
              <a:gd name="connsiteX1352" fmla="*/ 1126264 w 2280745"/>
              <a:gd name="connsiteY1352" fmla="*/ 945537 h 1308087"/>
              <a:gd name="connsiteX1353" fmla="*/ 1126264 w 2280745"/>
              <a:gd name="connsiteY1353" fmla="*/ 896707 h 1308087"/>
              <a:gd name="connsiteX1354" fmla="*/ 1126264 w 2280745"/>
              <a:gd name="connsiteY1354" fmla="*/ 890094 h 1308087"/>
              <a:gd name="connsiteX1355" fmla="*/ 1126264 w 2280745"/>
              <a:gd name="connsiteY1355" fmla="*/ 872102 h 1308087"/>
              <a:gd name="connsiteX1356" fmla="*/ 1131115 w 2280745"/>
              <a:gd name="connsiteY1356" fmla="*/ 887865 h 1308087"/>
              <a:gd name="connsiteX1357" fmla="*/ 1141704 w 2280745"/>
              <a:gd name="connsiteY1357" fmla="*/ 893188 h 1308087"/>
              <a:gd name="connsiteX1358" fmla="*/ 1143738 w 2280745"/>
              <a:gd name="connsiteY1358" fmla="*/ 892712 h 1308087"/>
              <a:gd name="connsiteX1359" fmla="*/ 1149853 w 2280745"/>
              <a:gd name="connsiteY1359" fmla="*/ 883493 h 1308087"/>
              <a:gd name="connsiteX1360" fmla="*/ 1133370 w 2280745"/>
              <a:gd name="connsiteY1360" fmla="*/ 829938 h 1308087"/>
              <a:gd name="connsiteX1361" fmla="*/ 1130693 w 2280745"/>
              <a:gd name="connsiteY1361" fmla="*/ 826205 h 1308087"/>
              <a:gd name="connsiteX1362" fmla="*/ 1126264 w 2280745"/>
              <a:gd name="connsiteY1362" fmla="*/ 824451 h 1308087"/>
              <a:gd name="connsiteX1363" fmla="*/ 1126264 w 2280745"/>
              <a:gd name="connsiteY1363" fmla="*/ 824238 h 1308087"/>
              <a:gd name="connsiteX1364" fmla="*/ 1080030 w 2280745"/>
              <a:gd name="connsiteY1364" fmla="*/ 824238 h 1308087"/>
              <a:gd name="connsiteX1365" fmla="*/ 1280022 w 2280745"/>
              <a:gd name="connsiteY1365" fmla="*/ 824238 h 1308087"/>
              <a:gd name="connsiteX1366" fmla="*/ 1280022 w 2280745"/>
              <a:gd name="connsiteY1366" fmla="*/ 824463 h 1308087"/>
              <a:gd name="connsiteX1367" fmla="*/ 1279405 w 2280745"/>
              <a:gd name="connsiteY1367" fmla="*/ 824428 h 1308087"/>
              <a:gd name="connsiteX1368" fmla="*/ 1272241 w 2280745"/>
              <a:gd name="connsiteY1368" fmla="*/ 829938 h 1308087"/>
              <a:gd name="connsiteX1369" fmla="*/ 1255760 w 2280745"/>
              <a:gd name="connsiteY1369" fmla="*/ 883493 h 1308087"/>
              <a:gd name="connsiteX1370" fmla="*/ 1261874 w 2280745"/>
              <a:gd name="connsiteY1370" fmla="*/ 892712 h 1308087"/>
              <a:gd name="connsiteX1371" fmla="*/ 1263907 w 2280745"/>
              <a:gd name="connsiteY1371" fmla="*/ 893188 h 1308087"/>
              <a:gd name="connsiteX1372" fmla="*/ 1274496 w 2280745"/>
              <a:gd name="connsiteY1372" fmla="*/ 887865 h 1308087"/>
              <a:gd name="connsiteX1373" fmla="*/ 1280022 w 2280745"/>
              <a:gd name="connsiteY1373" fmla="*/ 869910 h 1308087"/>
              <a:gd name="connsiteX1374" fmla="*/ 1280022 w 2280745"/>
              <a:gd name="connsiteY1374" fmla="*/ 890094 h 1308087"/>
              <a:gd name="connsiteX1375" fmla="*/ 1280022 w 2280745"/>
              <a:gd name="connsiteY1375" fmla="*/ 896707 h 1308087"/>
              <a:gd name="connsiteX1376" fmla="*/ 1280022 w 2280745"/>
              <a:gd name="connsiteY1376" fmla="*/ 945537 h 1308087"/>
              <a:gd name="connsiteX1377" fmla="*/ 1288667 w 2280745"/>
              <a:gd name="connsiteY1377" fmla="*/ 953066 h 1308087"/>
              <a:gd name="connsiteX1378" fmla="*/ 1290773 w 2280745"/>
              <a:gd name="connsiteY1378" fmla="*/ 953066 h 1308087"/>
              <a:gd name="connsiteX1379" fmla="*/ 1299419 w 2280745"/>
              <a:gd name="connsiteY1379" fmla="*/ 945537 h 1308087"/>
              <a:gd name="connsiteX1380" fmla="*/ 1299419 w 2280745"/>
              <a:gd name="connsiteY1380" fmla="*/ 896707 h 1308087"/>
              <a:gd name="connsiteX1381" fmla="*/ 1306860 w 2280745"/>
              <a:gd name="connsiteY1381" fmla="*/ 896707 h 1308087"/>
              <a:gd name="connsiteX1382" fmla="*/ 1306860 w 2280745"/>
              <a:gd name="connsiteY1382" fmla="*/ 945537 h 1308087"/>
              <a:gd name="connsiteX1383" fmla="*/ 1315506 w 2280745"/>
              <a:gd name="connsiteY1383" fmla="*/ 953066 h 1308087"/>
              <a:gd name="connsiteX1384" fmla="*/ 1317610 w 2280745"/>
              <a:gd name="connsiteY1384" fmla="*/ 953066 h 1308087"/>
              <a:gd name="connsiteX1385" fmla="*/ 1326256 w 2280745"/>
              <a:gd name="connsiteY1385" fmla="*/ 945537 h 1308087"/>
              <a:gd name="connsiteX1386" fmla="*/ 1326256 w 2280745"/>
              <a:gd name="connsiteY1386" fmla="*/ 896707 h 1308087"/>
              <a:gd name="connsiteX1387" fmla="*/ 1326256 w 2280745"/>
              <a:gd name="connsiteY1387" fmla="*/ 890094 h 1308087"/>
              <a:gd name="connsiteX1388" fmla="*/ 1326256 w 2280745"/>
              <a:gd name="connsiteY1388" fmla="*/ 872102 h 1308087"/>
              <a:gd name="connsiteX1389" fmla="*/ 1331108 w 2280745"/>
              <a:gd name="connsiteY1389" fmla="*/ 887865 h 1308087"/>
              <a:gd name="connsiteX1390" fmla="*/ 1341696 w 2280745"/>
              <a:gd name="connsiteY1390" fmla="*/ 893188 h 1308087"/>
              <a:gd name="connsiteX1391" fmla="*/ 1343730 w 2280745"/>
              <a:gd name="connsiteY1391" fmla="*/ 892712 h 1308087"/>
              <a:gd name="connsiteX1392" fmla="*/ 1349844 w 2280745"/>
              <a:gd name="connsiteY1392" fmla="*/ 883493 h 1308087"/>
              <a:gd name="connsiteX1393" fmla="*/ 1333361 w 2280745"/>
              <a:gd name="connsiteY1393" fmla="*/ 829938 h 1308087"/>
              <a:gd name="connsiteX1394" fmla="*/ 1330685 w 2280745"/>
              <a:gd name="connsiteY1394" fmla="*/ 826205 h 1308087"/>
              <a:gd name="connsiteX1395" fmla="*/ 1326256 w 2280745"/>
              <a:gd name="connsiteY1395" fmla="*/ 824451 h 1308087"/>
              <a:gd name="connsiteX1396" fmla="*/ 1326256 w 2280745"/>
              <a:gd name="connsiteY1396" fmla="*/ 824238 h 1308087"/>
              <a:gd name="connsiteX1397" fmla="*/ 1280022 w 2280745"/>
              <a:gd name="connsiteY1397" fmla="*/ 824238 h 1308087"/>
              <a:gd name="connsiteX1398" fmla="*/ 1482314 w 2280745"/>
              <a:gd name="connsiteY1398" fmla="*/ 824238 h 1308087"/>
              <a:gd name="connsiteX1399" fmla="*/ 1482314 w 2280745"/>
              <a:gd name="connsiteY1399" fmla="*/ 824463 h 1308087"/>
              <a:gd name="connsiteX1400" fmla="*/ 1481697 w 2280745"/>
              <a:gd name="connsiteY1400" fmla="*/ 824428 h 1308087"/>
              <a:gd name="connsiteX1401" fmla="*/ 1474533 w 2280745"/>
              <a:gd name="connsiteY1401" fmla="*/ 829938 h 1308087"/>
              <a:gd name="connsiteX1402" fmla="*/ 1458052 w 2280745"/>
              <a:gd name="connsiteY1402" fmla="*/ 883493 h 1308087"/>
              <a:gd name="connsiteX1403" fmla="*/ 1464166 w 2280745"/>
              <a:gd name="connsiteY1403" fmla="*/ 892712 h 1308087"/>
              <a:gd name="connsiteX1404" fmla="*/ 1466199 w 2280745"/>
              <a:gd name="connsiteY1404" fmla="*/ 893188 h 1308087"/>
              <a:gd name="connsiteX1405" fmla="*/ 1476788 w 2280745"/>
              <a:gd name="connsiteY1405" fmla="*/ 887865 h 1308087"/>
              <a:gd name="connsiteX1406" fmla="*/ 1482314 w 2280745"/>
              <a:gd name="connsiteY1406" fmla="*/ 869910 h 1308087"/>
              <a:gd name="connsiteX1407" fmla="*/ 1482314 w 2280745"/>
              <a:gd name="connsiteY1407" fmla="*/ 890094 h 1308087"/>
              <a:gd name="connsiteX1408" fmla="*/ 1482314 w 2280745"/>
              <a:gd name="connsiteY1408" fmla="*/ 896707 h 1308087"/>
              <a:gd name="connsiteX1409" fmla="*/ 1482314 w 2280745"/>
              <a:gd name="connsiteY1409" fmla="*/ 945537 h 1308087"/>
              <a:gd name="connsiteX1410" fmla="*/ 1490960 w 2280745"/>
              <a:gd name="connsiteY1410" fmla="*/ 953066 h 1308087"/>
              <a:gd name="connsiteX1411" fmla="*/ 1493064 w 2280745"/>
              <a:gd name="connsiteY1411" fmla="*/ 953066 h 1308087"/>
              <a:gd name="connsiteX1412" fmla="*/ 1501710 w 2280745"/>
              <a:gd name="connsiteY1412" fmla="*/ 945537 h 1308087"/>
              <a:gd name="connsiteX1413" fmla="*/ 1501710 w 2280745"/>
              <a:gd name="connsiteY1413" fmla="*/ 896707 h 1308087"/>
              <a:gd name="connsiteX1414" fmla="*/ 1509153 w 2280745"/>
              <a:gd name="connsiteY1414" fmla="*/ 896707 h 1308087"/>
              <a:gd name="connsiteX1415" fmla="*/ 1509153 w 2280745"/>
              <a:gd name="connsiteY1415" fmla="*/ 945537 h 1308087"/>
              <a:gd name="connsiteX1416" fmla="*/ 1517799 w 2280745"/>
              <a:gd name="connsiteY1416" fmla="*/ 953066 h 1308087"/>
              <a:gd name="connsiteX1417" fmla="*/ 1519903 w 2280745"/>
              <a:gd name="connsiteY1417" fmla="*/ 953066 h 1308087"/>
              <a:gd name="connsiteX1418" fmla="*/ 1528549 w 2280745"/>
              <a:gd name="connsiteY1418" fmla="*/ 945537 h 1308087"/>
              <a:gd name="connsiteX1419" fmla="*/ 1528549 w 2280745"/>
              <a:gd name="connsiteY1419" fmla="*/ 896707 h 1308087"/>
              <a:gd name="connsiteX1420" fmla="*/ 1528549 w 2280745"/>
              <a:gd name="connsiteY1420" fmla="*/ 890094 h 1308087"/>
              <a:gd name="connsiteX1421" fmla="*/ 1528549 w 2280745"/>
              <a:gd name="connsiteY1421" fmla="*/ 872102 h 1308087"/>
              <a:gd name="connsiteX1422" fmla="*/ 1533400 w 2280745"/>
              <a:gd name="connsiteY1422" fmla="*/ 887865 h 1308087"/>
              <a:gd name="connsiteX1423" fmla="*/ 1543989 w 2280745"/>
              <a:gd name="connsiteY1423" fmla="*/ 893188 h 1308087"/>
              <a:gd name="connsiteX1424" fmla="*/ 1546022 w 2280745"/>
              <a:gd name="connsiteY1424" fmla="*/ 892712 h 1308087"/>
              <a:gd name="connsiteX1425" fmla="*/ 1552136 w 2280745"/>
              <a:gd name="connsiteY1425" fmla="*/ 883493 h 1308087"/>
              <a:gd name="connsiteX1426" fmla="*/ 1535655 w 2280745"/>
              <a:gd name="connsiteY1426" fmla="*/ 829938 h 1308087"/>
              <a:gd name="connsiteX1427" fmla="*/ 1532977 w 2280745"/>
              <a:gd name="connsiteY1427" fmla="*/ 826205 h 1308087"/>
              <a:gd name="connsiteX1428" fmla="*/ 1528549 w 2280745"/>
              <a:gd name="connsiteY1428" fmla="*/ 824451 h 1308087"/>
              <a:gd name="connsiteX1429" fmla="*/ 1528549 w 2280745"/>
              <a:gd name="connsiteY1429" fmla="*/ 824238 h 1308087"/>
              <a:gd name="connsiteX1430" fmla="*/ 1482314 w 2280745"/>
              <a:gd name="connsiteY1430" fmla="*/ 824238 h 1308087"/>
              <a:gd name="connsiteX1431" fmla="*/ 1679477 w 2280745"/>
              <a:gd name="connsiteY1431" fmla="*/ 824238 h 1308087"/>
              <a:gd name="connsiteX1432" fmla="*/ 1679477 w 2280745"/>
              <a:gd name="connsiteY1432" fmla="*/ 824463 h 1308087"/>
              <a:gd name="connsiteX1433" fmla="*/ 1678860 w 2280745"/>
              <a:gd name="connsiteY1433" fmla="*/ 824428 h 1308087"/>
              <a:gd name="connsiteX1434" fmla="*/ 1671696 w 2280745"/>
              <a:gd name="connsiteY1434" fmla="*/ 829938 h 1308087"/>
              <a:gd name="connsiteX1435" fmla="*/ 1655215 w 2280745"/>
              <a:gd name="connsiteY1435" fmla="*/ 883493 h 1308087"/>
              <a:gd name="connsiteX1436" fmla="*/ 1661328 w 2280745"/>
              <a:gd name="connsiteY1436" fmla="*/ 892712 h 1308087"/>
              <a:gd name="connsiteX1437" fmla="*/ 1663362 w 2280745"/>
              <a:gd name="connsiteY1437" fmla="*/ 893188 h 1308087"/>
              <a:gd name="connsiteX1438" fmla="*/ 1673951 w 2280745"/>
              <a:gd name="connsiteY1438" fmla="*/ 887865 h 1308087"/>
              <a:gd name="connsiteX1439" fmla="*/ 1679477 w 2280745"/>
              <a:gd name="connsiteY1439" fmla="*/ 869910 h 1308087"/>
              <a:gd name="connsiteX1440" fmla="*/ 1679477 w 2280745"/>
              <a:gd name="connsiteY1440" fmla="*/ 890094 h 1308087"/>
              <a:gd name="connsiteX1441" fmla="*/ 1679477 w 2280745"/>
              <a:gd name="connsiteY1441" fmla="*/ 896707 h 1308087"/>
              <a:gd name="connsiteX1442" fmla="*/ 1679477 w 2280745"/>
              <a:gd name="connsiteY1442" fmla="*/ 945537 h 1308087"/>
              <a:gd name="connsiteX1443" fmla="*/ 1688123 w 2280745"/>
              <a:gd name="connsiteY1443" fmla="*/ 953066 h 1308087"/>
              <a:gd name="connsiteX1444" fmla="*/ 1690227 w 2280745"/>
              <a:gd name="connsiteY1444" fmla="*/ 953066 h 1308087"/>
              <a:gd name="connsiteX1445" fmla="*/ 1698873 w 2280745"/>
              <a:gd name="connsiteY1445" fmla="*/ 945537 h 1308087"/>
              <a:gd name="connsiteX1446" fmla="*/ 1698873 w 2280745"/>
              <a:gd name="connsiteY1446" fmla="*/ 896707 h 1308087"/>
              <a:gd name="connsiteX1447" fmla="*/ 1706314 w 2280745"/>
              <a:gd name="connsiteY1447" fmla="*/ 896707 h 1308087"/>
              <a:gd name="connsiteX1448" fmla="*/ 1706314 w 2280745"/>
              <a:gd name="connsiteY1448" fmla="*/ 945537 h 1308087"/>
              <a:gd name="connsiteX1449" fmla="*/ 1714961 w 2280745"/>
              <a:gd name="connsiteY1449" fmla="*/ 953066 h 1308087"/>
              <a:gd name="connsiteX1450" fmla="*/ 1717066 w 2280745"/>
              <a:gd name="connsiteY1450" fmla="*/ 953066 h 1308087"/>
              <a:gd name="connsiteX1451" fmla="*/ 1725712 w 2280745"/>
              <a:gd name="connsiteY1451" fmla="*/ 945537 h 1308087"/>
              <a:gd name="connsiteX1452" fmla="*/ 1725712 w 2280745"/>
              <a:gd name="connsiteY1452" fmla="*/ 896707 h 1308087"/>
              <a:gd name="connsiteX1453" fmla="*/ 1725712 w 2280745"/>
              <a:gd name="connsiteY1453" fmla="*/ 890094 h 1308087"/>
              <a:gd name="connsiteX1454" fmla="*/ 1725712 w 2280745"/>
              <a:gd name="connsiteY1454" fmla="*/ 872102 h 1308087"/>
              <a:gd name="connsiteX1455" fmla="*/ 1730563 w 2280745"/>
              <a:gd name="connsiteY1455" fmla="*/ 887865 h 1308087"/>
              <a:gd name="connsiteX1456" fmla="*/ 1741152 w 2280745"/>
              <a:gd name="connsiteY1456" fmla="*/ 893188 h 1308087"/>
              <a:gd name="connsiteX1457" fmla="*/ 1743185 w 2280745"/>
              <a:gd name="connsiteY1457" fmla="*/ 892712 h 1308087"/>
              <a:gd name="connsiteX1458" fmla="*/ 1749299 w 2280745"/>
              <a:gd name="connsiteY1458" fmla="*/ 883493 h 1308087"/>
              <a:gd name="connsiteX1459" fmla="*/ 1732817 w 2280745"/>
              <a:gd name="connsiteY1459" fmla="*/ 829938 h 1308087"/>
              <a:gd name="connsiteX1460" fmla="*/ 1730140 w 2280745"/>
              <a:gd name="connsiteY1460" fmla="*/ 826205 h 1308087"/>
              <a:gd name="connsiteX1461" fmla="*/ 1725712 w 2280745"/>
              <a:gd name="connsiteY1461" fmla="*/ 824451 h 1308087"/>
              <a:gd name="connsiteX1462" fmla="*/ 1725712 w 2280745"/>
              <a:gd name="connsiteY1462" fmla="*/ 824238 h 1308087"/>
              <a:gd name="connsiteX1463" fmla="*/ 1679477 w 2280745"/>
              <a:gd name="connsiteY1463" fmla="*/ 824238 h 1308087"/>
              <a:gd name="connsiteX1464" fmla="*/ 1882298 w 2280745"/>
              <a:gd name="connsiteY1464" fmla="*/ 824238 h 1308087"/>
              <a:gd name="connsiteX1465" fmla="*/ 1882298 w 2280745"/>
              <a:gd name="connsiteY1465" fmla="*/ 824463 h 1308087"/>
              <a:gd name="connsiteX1466" fmla="*/ 1881681 w 2280745"/>
              <a:gd name="connsiteY1466" fmla="*/ 824428 h 1308087"/>
              <a:gd name="connsiteX1467" fmla="*/ 1874518 w 2280745"/>
              <a:gd name="connsiteY1467" fmla="*/ 829938 h 1308087"/>
              <a:gd name="connsiteX1468" fmla="*/ 1858037 w 2280745"/>
              <a:gd name="connsiteY1468" fmla="*/ 883493 h 1308087"/>
              <a:gd name="connsiteX1469" fmla="*/ 1864152 w 2280745"/>
              <a:gd name="connsiteY1469" fmla="*/ 892712 h 1308087"/>
              <a:gd name="connsiteX1470" fmla="*/ 1866184 w 2280745"/>
              <a:gd name="connsiteY1470" fmla="*/ 893188 h 1308087"/>
              <a:gd name="connsiteX1471" fmla="*/ 1876773 w 2280745"/>
              <a:gd name="connsiteY1471" fmla="*/ 887865 h 1308087"/>
              <a:gd name="connsiteX1472" fmla="*/ 1882298 w 2280745"/>
              <a:gd name="connsiteY1472" fmla="*/ 869910 h 1308087"/>
              <a:gd name="connsiteX1473" fmla="*/ 1882298 w 2280745"/>
              <a:gd name="connsiteY1473" fmla="*/ 890094 h 1308087"/>
              <a:gd name="connsiteX1474" fmla="*/ 1882298 w 2280745"/>
              <a:gd name="connsiteY1474" fmla="*/ 896707 h 1308087"/>
              <a:gd name="connsiteX1475" fmla="*/ 1882298 w 2280745"/>
              <a:gd name="connsiteY1475" fmla="*/ 945537 h 1308087"/>
              <a:gd name="connsiteX1476" fmla="*/ 1890944 w 2280745"/>
              <a:gd name="connsiteY1476" fmla="*/ 953066 h 1308087"/>
              <a:gd name="connsiteX1477" fmla="*/ 1893050 w 2280745"/>
              <a:gd name="connsiteY1477" fmla="*/ 953066 h 1308087"/>
              <a:gd name="connsiteX1478" fmla="*/ 1901696 w 2280745"/>
              <a:gd name="connsiteY1478" fmla="*/ 945537 h 1308087"/>
              <a:gd name="connsiteX1479" fmla="*/ 1901696 w 2280745"/>
              <a:gd name="connsiteY1479" fmla="*/ 896707 h 1308087"/>
              <a:gd name="connsiteX1480" fmla="*/ 1909138 w 2280745"/>
              <a:gd name="connsiteY1480" fmla="*/ 896707 h 1308087"/>
              <a:gd name="connsiteX1481" fmla="*/ 1909138 w 2280745"/>
              <a:gd name="connsiteY1481" fmla="*/ 945537 h 1308087"/>
              <a:gd name="connsiteX1482" fmla="*/ 1917783 w 2280745"/>
              <a:gd name="connsiteY1482" fmla="*/ 953066 h 1308087"/>
              <a:gd name="connsiteX1483" fmla="*/ 1919889 w 2280745"/>
              <a:gd name="connsiteY1483" fmla="*/ 953066 h 1308087"/>
              <a:gd name="connsiteX1484" fmla="*/ 1928535 w 2280745"/>
              <a:gd name="connsiteY1484" fmla="*/ 945537 h 1308087"/>
              <a:gd name="connsiteX1485" fmla="*/ 1928535 w 2280745"/>
              <a:gd name="connsiteY1485" fmla="*/ 896707 h 1308087"/>
              <a:gd name="connsiteX1486" fmla="*/ 1928535 w 2280745"/>
              <a:gd name="connsiteY1486" fmla="*/ 890094 h 1308087"/>
              <a:gd name="connsiteX1487" fmla="*/ 1928535 w 2280745"/>
              <a:gd name="connsiteY1487" fmla="*/ 872102 h 1308087"/>
              <a:gd name="connsiteX1488" fmla="*/ 1933385 w 2280745"/>
              <a:gd name="connsiteY1488" fmla="*/ 887865 h 1308087"/>
              <a:gd name="connsiteX1489" fmla="*/ 1943974 w 2280745"/>
              <a:gd name="connsiteY1489" fmla="*/ 893188 h 1308087"/>
              <a:gd name="connsiteX1490" fmla="*/ 1946009 w 2280745"/>
              <a:gd name="connsiteY1490" fmla="*/ 892712 h 1308087"/>
              <a:gd name="connsiteX1491" fmla="*/ 1952121 w 2280745"/>
              <a:gd name="connsiteY1491" fmla="*/ 883493 h 1308087"/>
              <a:gd name="connsiteX1492" fmla="*/ 1935640 w 2280745"/>
              <a:gd name="connsiteY1492" fmla="*/ 829938 h 1308087"/>
              <a:gd name="connsiteX1493" fmla="*/ 1932962 w 2280745"/>
              <a:gd name="connsiteY1493" fmla="*/ 826205 h 1308087"/>
              <a:gd name="connsiteX1494" fmla="*/ 1928535 w 2280745"/>
              <a:gd name="connsiteY1494" fmla="*/ 824451 h 1308087"/>
              <a:gd name="connsiteX1495" fmla="*/ 1928535 w 2280745"/>
              <a:gd name="connsiteY1495" fmla="*/ 824238 h 1308087"/>
              <a:gd name="connsiteX1496" fmla="*/ 1882298 w 2280745"/>
              <a:gd name="connsiteY1496" fmla="*/ 824238 h 1308087"/>
              <a:gd name="connsiteX1497" fmla="*/ 2081622 w 2280745"/>
              <a:gd name="connsiteY1497" fmla="*/ 824238 h 1308087"/>
              <a:gd name="connsiteX1498" fmla="*/ 2081622 w 2280745"/>
              <a:gd name="connsiteY1498" fmla="*/ 824463 h 1308087"/>
              <a:gd name="connsiteX1499" fmla="*/ 2081004 w 2280745"/>
              <a:gd name="connsiteY1499" fmla="*/ 824428 h 1308087"/>
              <a:gd name="connsiteX1500" fmla="*/ 2073841 w 2280745"/>
              <a:gd name="connsiteY1500" fmla="*/ 829938 h 1308087"/>
              <a:gd name="connsiteX1501" fmla="*/ 2057362 w 2280745"/>
              <a:gd name="connsiteY1501" fmla="*/ 883493 h 1308087"/>
              <a:gd name="connsiteX1502" fmla="*/ 2063474 w 2280745"/>
              <a:gd name="connsiteY1502" fmla="*/ 892712 h 1308087"/>
              <a:gd name="connsiteX1503" fmla="*/ 2065507 w 2280745"/>
              <a:gd name="connsiteY1503" fmla="*/ 893188 h 1308087"/>
              <a:gd name="connsiteX1504" fmla="*/ 2076097 w 2280745"/>
              <a:gd name="connsiteY1504" fmla="*/ 887865 h 1308087"/>
              <a:gd name="connsiteX1505" fmla="*/ 2081622 w 2280745"/>
              <a:gd name="connsiteY1505" fmla="*/ 869910 h 1308087"/>
              <a:gd name="connsiteX1506" fmla="*/ 2081622 w 2280745"/>
              <a:gd name="connsiteY1506" fmla="*/ 890094 h 1308087"/>
              <a:gd name="connsiteX1507" fmla="*/ 2081622 w 2280745"/>
              <a:gd name="connsiteY1507" fmla="*/ 896707 h 1308087"/>
              <a:gd name="connsiteX1508" fmla="*/ 2081622 w 2280745"/>
              <a:gd name="connsiteY1508" fmla="*/ 945537 h 1308087"/>
              <a:gd name="connsiteX1509" fmla="*/ 2090268 w 2280745"/>
              <a:gd name="connsiteY1509" fmla="*/ 953066 h 1308087"/>
              <a:gd name="connsiteX1510" fmla="*/ 2092373 w 2280745"/>
              <a:gd name="connsiteY1510" fmla="*/ 953066 h 1308087"/>
              <a:gd name="connsiteX1511" fmla="*/ 2101019 w 2280745"/>
              <a:gd name="connsiteY1511" fmla="*/ 945537 h 1308087"/>
              <a:gd name="connsiteX1512" fmla="*/ 2101019 w 2280745"/>
              <a:gd name="connsiteY1512" fmla="*/ 896707 h 1308087"/>
              <a:gd name="connsiteX1513" fmla="*/ 2108461 w 2280745"/>
              <a:gd name="connsiteY1513" fmla="*/ 896707 h 1308087"/>
              <a:gd name="connsiteX1514" fmla="*/ 2108461 w 2280745"/>
              <a:gd name="connsiteY1514" fmla="*/ 945537 h 1308087"/>
              <a:gd name="connsiteX1515" fmla="*/ 2117107 w 2280745"/>
              <a:gd name="connsiteY1515" fmla="*/ 953066 h 1308087"/>
              <a:gd name="connsiteX1516" fmla="*/ 2119212 w 2280745"/>
              <a:gd name="connsiteY1516" fmla="*/ 953066 h 1308087"/>
              <a:gd name="connsiteX1517" fmla="*/ 2127858 w 2280745"/>
              <a:gd name="connsiteY1517" fmla="*/ 945537 h 1308087"/>
              <a:gd name="connsiteX1518" fmla="*/ 2127858 w 2280745"/>
              <a:gd name="connsiteY1518" fmla="*/ 896707 h 1308087"/>
              <a:gd name="connsiteX1519" fmla="*/ 2127858 w 2280745"/>
              <a:gd name="connsiteY1519" fmla="*/ 890094 h 1308087"/>
              <a:gd name="connsiteX1520" fmla="*/ 2127858 w 2280745"/>
              <a:gd name="connsiteY1520" fmla="*/ 872102 h 1308087"/>
              <a:gd name="connsiteX1521" fmla="*/ 2132707 w 2280745"/>
              <a:gd name="connsiteY1521" fmla="*/ 887865 h 1308087"/>
              <a:gd name="connsiteX1522" fmla="*/ 2143298 w 2280745"/>
              <a:gd name="connsiteY1522" fmla="*/ 893188 h 1308087"/>
              <a:gd name="connsiteX1523" fmla="*/ 2145331 w 2280745"/>
              <a:gd name="connsiteY1523" fmla="*/ 892712 h 1308087"/>
              <a:gd name="connsiteX1524" fmla="*/ 2151445 w 2280745"/>
              <a:gd name="connsiteY1524" fmla="*/ 883493 h 1308087"/>
              <a:gd name="connsiteX1525" fmla="*/ 2134963 w 2280745"/>
              <a:gd name="connsiteY1525" fmla="*/ 829938 h 1308087"/>
              <a:gd name="connsiteX1526" fmla="*/ 2132286 w 2280745"/>
              <a:gd name="connsiteY1526" fmla="*/ 826205 h 1308087"/>
              <a:gd name="connsiteX1527" fmla="*/ 2127858 w 2280745"/>
              <a:gd name="connsiteY1527" fmla="*/ 824451 h 1308087"/>
              <a:gd name="connsiteX1528" fmla="*/ 2127858 w 2280745"/>
              <a:gd name="connsiteY1528" fmla="*/ 824238 h 1308087"/>
              <a:gd name="connsiteX1529" fmla="*/ 2081622 w 2280745"/>
              <a:gd name="connsiteY1529" fmla="*/ 824238 h 1308087"/>
              <a:gd name="connsiteX1530" fmla="*/ 303668 w 2280745"/>
              <a:gd name="connsiteY1530" fmla="*/ 1023606 h 1308087"/>
              <a:gd name="connsiteX1531" fmla="*/ 284721 w 2280745"/>
              <a:gd name="connsiteY1531" fmla="*/ 1040102 h 1308087"/>
              <a:gd name="connsiteX1532" fmla="*/ 303668 w 2280745"/>
              <a:gd name="connsiteY1532" fmla="*/ 1056599 h 1308087"/>
              <a:gd name="connsiteX1533" fmla="*/ 322614 w 2280745"/>
              <a:gd name="connsiteY1533" fmla="*/ 1040102 h 1308087"/>
              <a:gd name="connsiteX1534" fmla="*/ 303668 w 2280745"/>
              <a:gd name="connsiteY1534" fmla="*/ 1023606 h 1308087"/>
              <a:gd name="connsiteX1535" fmla="*/ 503662 w 2280745"/>
              <a:gd name="connsiteY1535" fmla="*/ 1023606 h 1308087"/>
              <a:gd name="connsiteX1536" fmla="*/ 484717 w 2280745"/>
              <a:gd name="connsiteY1536" fmla="*/ 1040102 h 1308087"/>
              <a:gd name="connsiteX1537" fmla="*/ 503662 w 2280745"/>
              <a:gd name="connsiteY1537" fmla="*/ 1056599 h 1308087"/>
              <a:gd name="connsiteX1538" fmla="*/ 522607 w 2280745"/>
              <a:gd name="connsiteY1538" fmla="*/ 1040102 h 1308087"/>
              <a:gd name="connsiteX1539" fmla="*/ 503662 w 2280745"/>
              <a:gd name="connsiteY1539" fmla="*/ 1023606 h 1308087"/>
              <a:gd name="connsiteX1540" fmla="*/ 703653 w 2280745"/>
              <a:gd name="connsiteY1540" fmla="*/ 1023606 h 1308087"/>
              <a:gd name="connsiteX1541" fmla="*/ 684709 w 2280745"/>
              <a:gd name="connsiteY1541" fmla="*/ 1040102 h 1308087"/>
              <a:gd name="connsiteX1542" fmla="*/ 703653 w 2280745"/>
              <a:gd name="connsiteY1542" fmla="*/ 1056599 h 1308087"/>
              <a:gd name="connsiteX1543" fmla="*/ 722600 w 2280745"/>
              <a:gd name="connsiteY1543" fmla="*/ 1040102 h 1308087"/>
              <a:gd name="connsiteX1544" fmla="*/ 703653 w 2280745"/>
              <a:gd name="connsiteY1544" fmla="*/ 1023606 h 1308087"/>
              <a:gd name="connsiteX1545" fmla="*/ 903646 w 2280745"/>
              <a:gd name="connsiteY1545" fmla="*/ 1023606 h 1308087"/>
              <a:gd name="connsiteX1546" fmla="*/ 884701 w 2280745"/>
              <a:gd name="connsiteY1546" fmla="*/ 1040102 h 1308087"/>
              <a:gd name="connsiteX1547" fmla="*/ 903646 w 2280745"/>
              <a:gd name="connsiteY1547" fmla="*/ 1056599 h 1308087"/>
              <a:gd name="connsiteX1548" fmla="*/ 922591 w 2280745"/>
              <a:gd name="connsiteY1548" fmla="*/ 1040102 h 1308087"/>
              <a:gd name="connsiteX1549" fmla="*/ 903646 w 2280745"/>
              <a:gd name="connsiteY1549" fmla="*/ 1023606 h 1308087"/>
              <a:gd name="connsiteX1550" fmla="*/ 1103638 w 2280745"/>
              <a:gd name="connsiteY1550" fmla="*/ 1023606 h 1308087"/>
              <a:gd name="connsiteX1551" fmla="*/ 1084694 w 2280745"/>
              <a:gd name="connsiteY1551" fmla="*/ 1040102 h 1308087"/>
              <a:gd name="connsiteX1552" fmla="*/ 1103638 w 2280745"/>
              <a:gd name="connsiteY1552" fmla="*/ 1056599 h 1308087"/>
              <a:gd name="connsiteX1553" fmla="*/ 1122584 w 2280745"/>
              <a:gd name="connsiteY1553" fmla="*/ 1040102 h 1308087"/>
              <a:gd name="connsiteX1554" fmla="*/ 1103638 w 2280745"/>
              <a:gd name="connsiteY1554" fmla="*/ 1023606 h 1308087"/>
              <a:gd name="connsiteX1555" fmla="*/ 1303631 w 2280745"/>
              <a:gd name="connsiteY1555" fmla="*/ 1023606 h 1308087"/>
              <a:gd name="connsiteX1556" fmla="*/ 1284685 w 2280745"/>
              <a:gd name="connsiteY1556" fmla="*/ 1040102 h 1308087"/>
              <a:gd name="connsiteX1557" fmla="*/ 1303631 w 2280745"/>
              <a:gd name="connsiteY1557" fmla="*/ 1056599 h 1308087"/>
              <a:gd name="connsiteX1558" fmla="*/ 1322576 w 2280745"/>
              <a:gd name="connsiteY1558" fmla="*/ 1040102 h 1308087"/>
              <a:gd name="connsiteX1559" fmla="*/ 1303631 w 2280745"/>
              <a:gd name="connsiteY1559" fmla="*/ 1023606 h 1308087"/>
              <a:gd name="connsiteX1560" fmla="*/ 1505923 w 2280745"/>
              <a:gd name="connsiteY1560" fmla="*/ 1023606 h 1308087"/>
              <a:gd name="connsiteX1561" fmla="*/ 1486979 w 2280745"/>
              <a:gd name="connsiteY1561" fmla="*/ 1040102 h 1308087"/>
              <a:gd name="connsiteX1562" fmla="*/ 1505923 w 2280745"/>
              <a:gd name="connsiteY1562" fmla="*/ 1056599 h 1308087"/>
              <a:gd name="connsiteX1563" fmla="*/ 1524868 w 2280745"/>
              <a:gd name="connsiteY1563" fmla="*/ 1040102 h 1308087"/>
              <a:gd name="connsiteX1564" fmla="*/ 1505923 w 2280745"/>
              <a:gd name="connsiteY1564" fmla="*/ 1023606 h 1308087"/>
              <a:gd name="connsiteX1565" fmla="*/ 1703085 w 2280745"/>
              <a:gd name="connsiteY1565" fmla="*/ 1023606 h 1308087"/>
              <a:gd name="connsiteX1566" fmla="*/ 1684140 w 2280745"/>
              <a:gd name="connsiteY1566" fmla="*/ 1040102 h 1308087"/>
              <a:gd name="connsiteX1567" fmla="*/ 1703085 w 2280745"/>
              <a:gd name="connsiteY1567" fmla="*/ 1056599 h 1308087"/>
              <a:gd name="connsiteX1568" fmla="*/ 1722031 w 2280745"/>
              <a:gd name="connsiteY1568" fmla="*/ 1040102 h 1308087"/>
              <a:gd name="connsiteX1569" fmla="*/ 1703085 w 2280745"/>
              <a:gd name="connsiteY1569" fmla="*/ 1023606 h 1308087"/>
              <a:gd name="connsiteX1570" fmla="*/ 1905908 w 2280745"/>
              <a:gd name="connsiteY1570" fmla="*/ 1023606 h 1308087"/>
              <a:gd name="connsiteX1571" fmla="*/ 1886962 w 2280745"/>
              <a:gd name="connsiteY1571" fmla="*/ 1040102 h 1308087"/>
              <a:gd name="connsiteX1572" fmla="*/ 1905908 w 2280745"/>
              <a:gd name="connsiteY1572" fmla="*/ 1056599 h 1308087"/>
              <a:gd name="connsiteX1573" fmla="*/ 1924855 w 2280745"/>
              <a:gd name="connsiteY1573" fmla="*/ 1040102 h 1308087"/>
              <a:gd name="connsiteX1574" fmla="*/ 1905908 w 2280745"/>
              <a:gd name="connsiteY1574" fmla="*/ 1023606 h 1308087"/>
              <a:gd name="connsiteX1575" fmla="*/ 2105231 w 2280745"/>
              <a:gd name="connsiteY1575" fmla="*/ 1023606 h 1308087"/>
              <a:gd name="connsiteX1576" fmla="*/ 2086286 w 2280745"/>
              <a:gd name="connsiteY1576" fmla="*/ 1040102 h 1308087"/>
              <a:gd name="connsiteX1577" fmla="*/ 2105231 w 2280745"/>
              <a:gd name="connsiteY1577" fmla="*/ 1056599 h 1308087"/>
              <a:gd name="connsiteX1578" fmla="*/ 2124177 w 2280745"/>
              <a:gd name="connsiteY1578" fmla="*/ 1040102 h 1308087"/>
              <a:gd name="connsiteX1579" fmla="*/ 2105231 w 2280745"/>
              <a:gd name="connsiteY1579" fmla="*/ 1023606 h 1308087"/>
              <a:gd name="connsiteX1580" fmla="*/ 280058 w 2280745"/>
              <a:gd name="connsiteY1580" fmla="*/ 1060264 h 1308087"/>
              <a:gd name="connsiteX1581" fmla="*/ 280058 w 2280745"/>
              <a:gd name="connsiteY1581" fmla="*/ 1060489 h 1308087"/>
              <a:gd name="connsiteX1582" fmla="*/ 279441 w 2280745"/>
              <a:gd name="connsiteY1582" fmla="*/ 1060454 h 1308087"/>
              <a:gd name="connsiteX1583" fmla="*/ 272279 w 2280745"/>
              <a:gd name="connsiteY1583" fmla="*/ 1065964 h 1308087"/>
              <a:gd name="connsiteX1584" fmla="*/ 255797 w 2280745"/>
              <a:gd name="connsiteY1584" fmla="*/ 1119520 h 1308087"/>
              <a:gd name="connsiteX1585" fmla="*/ 261911 w 2280745"/>
              <a:gd name="connsiteY1585" fmla="*/ 1128739 h 1308087"/>
              <a:gd name="connsiteX1586" fmla="*/ 263944 w 2280745"/>
              <a:gd name="connsiteY1586" fmla="*/ 1129214 h 1308087"/>
              <a:gd name="connsiteX1587" fmla="*/ 274533 w 2280745"/>
              <a:gd name="connsiteY1587" fmla="*/ 1123891 h 1308087"/>
              <a:gd name="connsiteX1588" fmla="*/ 280058 w 2280745"/>
              <a:gd name="connsiteY1588" fmla="*/ 1105936 h 1308087"/>
              <a:gd name="connsiteX1589" fmla="*/ 280058 w 2280745"/>
              <a:gd name="connsiteY1589" fmla="*/ 1126120 h 1308087"/>
              <a:gd name="connsiteX1590" fmla="*/ 280058 w 2280745"/>
              <a:gd name="connsiteY1590" fmla="*/ 1132734 h 1308087"/>
              <a:gd name="connsiteX1591" fmla="*/ 280058 w 2280745"/>
              <a:gd name="connsiteY1591" fmla="*/ 1181563 h 1308087"/>
              <a:gd name="connsiteX1592" fmla="*/ 288705 w 2280745"/>
              <a:gd name="connsiteY1592" fmla="*/ 1189092 h 1308087"/>
              <a:gd name="connsiteX1593" fmla="*/ 290809 w 2280745"/>
              <a:gd name="connsiteY1593" fmla="*/ 1189092 h 1308087"/>
              <a:gd name="connsiteX1594" fmla="*/ 299455 w 2280745"/>
              <a:gd name="connsiteY1594" fmla="*/ 1181563 h 1308087"/>
              <a:gd name="connsiteX1595" fmla="*/ 299455 w 2280745"/>
              <a:gd name="connsiteY1595" fmla="*/ 1132734 h 1308087"/>
              <a:gd name="connsiteX1596" fmla="*/ 306898 w 2280745"/>
              <a:gd name="connsiteY1596" fmla="*/ 1132734 h 1308087"/>
              <a:gd name="connsiteX1597" fmla="*/ 306898 w 2280745"/>
              <a:gd name="connsiteY1597" fmla="*/ 1181563 h 1308087"/>
              <a:gd name="connsiteX1598" fmla="*/ 315544 w 2280745"/>
              <a:gd name="connsiteY1598" fmla="*/ 1189092 h 1308087"/>
              <a:gd name="connsiteX1599" fmla="*/ 317649 w 2280745"/>
              <a:gd name="connsiteY1599" fmla="*/ 1189092 h 1308087"/>
              <a:gd name="connsiteX1600" fmla="*/ 326293 w 2280745"/>
              <a:gd name="connsiteY1600" fmla="*/ 1181563 h 1308087"/>
              <a:gd name="connsiteX1601" fmla="*/ 326293 w 2280745"/>
              <a:gd name="connsiteY1601" fmla="*/ 1132734 h 1308087"/>
              <a:gd name="connsiteX1602" fmla="*/ 326293 w 2280745"/>
              <a:gd name="connsiteY1602" fmla="*/ 1126120 h 1308087"/>
              <a:gd name="connsiteX1603" fmla="*/ 326293 w 2280745"/>
              <a:gd name="connsiteY1603" fmla="*/ 1108128 h 1308087"/>
              <a:gd name="connsiteX1604" fmla="*/ 331145 w 2280745"/>
              <a:gd name="connsiteY1604" fmla="*/ 1123891 h 1308087"/>
              <a:gd name="connsiteX1605" fmla="*/ 341734 w 2280745"/>
              <a:gd name="connsiteY1605" fmla="*/ 1129214 h 1308087"/>
              <a:gd name="connsiteX1606" fmla="*/ 343767 w 2280745"/>
              <a:gd name="connsiteY1606" fmla="*/ 1128739 h 1308087"/>
              <a:gd name="connsiteX1607" fmla="*/ 349881 w 2280745"/>
              <a:gd name="connsiteY1607" fmla="*/ 1119520 h 1308087"/>
              <a:gd name="connsiteX1608" fmla="*/ 333400 w 2280745"/>
              <a:gd name="connsiteY1608" fmla="*/ 1065964 h 1308087"/>
              <a:gd name="connsiteX1609" fmla="*/ 330722 w 2280745"/>
              <a:gd name="connsiteY1609" fmla="*/ 1062232 h 1308087"/>
              <a:gd name="connsiteX1610" fmla="*/ 326293 w 2280745"/>
              <a:gd name="connsiteY1610" fmla="*/ 1060477 h 1308087"/>
              <a:gd name="connsiteX1611" fmla="*/ 326293 w 2280745"/>
              <a:gd name="connsiteY1611" fmla="*/ 1060264 h 1308087"/>
              <a:gd name="connsiteX1612" fmla="*/ 280058 w 2280745"/>
              <a:gd name="connsiteY1612" fmla="*/ 1060264 h 1308087"/>
              <a:gd name="connsiteX1613" fmla="*/ 480053 w 2280745"/>
              <a:gd name="connsiteY1613" fmla="*/ 1060264 h 1308087"/>
              <a:gd name="connsiteX1614" fmla="*/ 480053 w 2280745"/>
              <a:gd name="connsiteY1614" fmla="*/ 1060489 h 1308087"/>
              <a:gd name="connsiteX1615" fmla="*/ 479436 w 2280745"/>
              <a:gd name="connsiteY1615" fmla="*/ 1060454 h 1308087"/>
              <a:gd name="connsiteX1616" fmla="*/ 472272 w 2280745"/>
              <a:gd name="connsiteY1616" fmla="*/ 1065964 h 1308087"/>
              <a:gd name="connsiteX1617" fmla="*/ 455791 w 2280745"/>
              <a:gd name="connsiteY1617" fmla="*/ 1119520 h 1308087"/>
              <a:gd name="connsiteX1618" fmla="*/ 461906 w 2280745"/>
              <a:gd name="connsiteY1618" fmla="*/ 1128739 h 1308087"/>
              <a:gd name="connsiteX1619" fmla="*/ 463938 w 2280745"/>
              <a:gd name="connsiteY1619" fmla="*/ 1129214 h 1308087"/>
              <a:gd name="connsiteX1620" fmla="*/ 474527 w 2280745"/>
              <a:gd name="connsiteY1620" fmla="*/ 1123891 h 1308087"/>
              <a:gd name="connsiteX1621" fmla="*/ 480053 w 2280745"/>
              <a:gd name="connsiteY1621" fmla="*/ 1105936 h 1308087"/>
              <a:gd name="connsiteX1622" fmla="*/ 480053 w 2280745"/>
              <a:gd name="connsiteY1622" fmla="*/ 1126120 h 1308087"/>
              <a:gd name="connsiteX1623" fmla="*/ 480053 w 2280745"/>
              <a:gd name="connsiteY1623" fmla="*/ 1132734 h 1308087"/>
              <a:gd name="connsiteX1624" fmla="*/ 480053 w 2280745"/>
              <a:gd name="connsiteY1624" fmla="*/ 1181563 h 1308087"/>
              <a:gd name="connsiteX1625" fmla="*/ 488698 w 2280745"/>
              <a:gd name="connsiteY1625" fmla="*/ 1189092 h 1308087"/>
              <a:gd name="connsiteX1626" fmla="*/ 490804 w 2280745"/>
              <a:gd name="connsiteY1626" fmla="*/ 1189092 h 1308087"/>
              <a:gd name="connsiteX1627" fmla="*/ 499450 w 2280745"/>
              <a:gd name="connsiteY1627" fmla="*/ 1181563 h 1308087"/>
              <a:gd name="connsiteX1628" fmla="*/ 499450 w 2280745"/>
              <a:gd name="connsiteY1628" fmla="*/ 1132734 h 1308087"/>
              <a:gd name="connsiteX1629" fmla="*/ 506892 w 2280745"/>
              <a:gd name="connsiteY1629" fmla="*/ 1132734 h 1308087"/>
              <a:gd name="connsiteX1630" fmla="*/ 506892 w 2280745"/>
              <a:gd name="connsiteY1630" fmla="*/ 1181563 h 1308087"/>
              <a:gd name="connsiteX1631" fmla="*/ 515538 w 2280745"/>
              <a:gd name="connsiteY1631" fmla="*/ 1189092 h 1308087"/>
              <a:gd name="connsiteX1632" fmla="*/ 517643 w 2280745"/>
              <a:gd name="connsiteY1632" fmla="*/ 1189092 h 1308087"/>
              <a:gd name="connsiteX1633" fmla="*/ 526287 w 2280745"/>
              <a:gd name="connsiteY1633" fmla="*/ 1181563 h 1308087"/>
              <a:gd name="connsiteX1634" fmla="*/ 526287 w 2280745"/>
              <a:gd name="connsiteY1634" fmla="*/ 1132734 h 1308087"/>
              <a:gd name="connsiteX1635" fmla="*/ 526287 w 2280745"/>
              <a:gd name="connsiteY1635" fmla="*/ 1126120 h 1308087"/>
              <a:gd name="connsiteX1636" fmla="*/ 526287 w 2280745"/>
              <a:gd name="connsiteY1636" fmla="*/ 1108128 h 1308087"/>
              <a:gd name="connsiteX1637" fmla="*/ 531139 w 2280745"/>
              <a:gd name="connsiteY1637" fmla="*/ 1123891 h 1308087"/>
              <a:gd name="connsiteX1638" fmla="*/ 541727 w 2280745"/>
              <a:gd name="connsiteY1638" fmla="*/ 1129214 h 1308087"/>
              <a:gd name="connsiteX1639" fmla="*/ 543761 w 2280745"/>
              <a:gd name="connsiteY1639" fmla="*/ 1128739 h 1308087"/>
              <a:gd name="connsiteX1640" fmla="*/ 549875 w 2280745"/>
              <a:gd name="connsiteY1640" fmla="*/ 1119520 h 1308087"/>
              <a:gd name="connsiteX1641" fmla="*/ 533394 w 2280745"/>
              <a:gd name="connsiteY1641" fmla="*/ 1065964 h 1308087"/>
              <a:gd name="connsiteX1642" fmla="*/ 530716 w 2280745"/>
              <a:gd name="connsiteY1642" fmla="*/ 1062232 h 1308087"/>
              <a:gd name="connsiteX1643" fmla="*/ 526287 w 2280745"/>
              <a:gd name="connsiteY1643" fmla="*/ 1060477 h 1308087"/>
              <a:gd name="connsiteX1644" fmla="*/ 526287 w 2280745"/>
              <a:gd name="connsiteY1644" fmla="*/ 1060264 h 1308087"/>
              <a:gd name="connsiteX1645" fmla="*/ 480053 w 2280745"/>
              <a:gd name="connsiteY1645" fmla="*/ 1060264 h 1308087"/>
              <a:gd name="connsiteX1646" fmla="*/ 680045 w 2280745"/>
              <a:gd name="connsiteY1646" fmla="*/ 1060264 h 1308087"/>
              <a:gd name="connsiteX1647" fmla="*/ 680045 w 2280745"/>
              <a:gd name="connsiteY1647" fmla="*/ 1060489 h 1308087"/>
              <a:gd name="connsiteX1648" fmla="*/ 679427 w 2280745"/>
              <a:gd name="connsiteY1648" fmla="*/ 1060454 h 1308087"/>
              <a:gd name="connsiteX1649" fmla="*/ 672265 w 2280745"/>
              <a:gd name="connsiteY1649" fmla="*/ 1065964 h 1308087"/>
              <a:gd name="connsiteX1650" fmla="*/ 655783 w 2280745"/>
              <a:gd name="connsiteY1650" fmla="*/ 1119520 h 1308087"/>
              <a:gd name="connsiteX1651" fmla="*/ 661899 w 2280745"/>
              <a:gd name="connsiteY1651" fmla="*/ 1128739 h 1308087"/>
              <a:gd name="connsiteX1652" fmla="*/ 663930 w 2280745"/>
              <a:gd name="connsiteY1652" fmla="*/ 1129214 h 1308087"/>
              <a:gd name="connsiteX1653" fmla="*/ 674518 w 2280745"/>
              <a:gd name="connsiteY1653" fmla="*/ 1123891 h 1308087"/>
              <a:gd name="connsiteX1654" fmla="*/ 680045 w 2280745"/>
              <a:gd name="connsiteY1654" fmla="*/ 1105936 h 1308087"/>
              <a:gd name="connsiteX1655" fmla="*/ 680045 w 2280745"/>
              <a:gd name="connsiteY1655" fmla="*/ 1126120 h 1308087"/>
              <a:gd name="connsiteX1656" fmla="*/ 680045 w 2280745"/>
              <a:gd name="connsiteY1656" fmla="*/ 1132734 h 1308087"/>
              <a:gd name="connsiteX1657" fmla="*/ 680045 w 2280745"/>
              <a:gd name="connsiteY1657" fmla="*/ 1181563 h 1308087"/>
              <a:gd name="connsiteX1658" fmla="*/ 688691 w 2280745"/>
              <a:gd name="connsiteY1658" fmla="*/ 1189092 h 1308087"/>
              <a:gd name="connsiteX1659" fmla="*/ 690797 w 2280745"/>
              <a:gd name="connsiteY1659" fmla="*/ 1189092 h 1308087"/>
              <a:gd name="connsiteX1660" fmla="*/ 699443 w 2280745"/>
              <a:gd name="connsiteY1660" fmla="*/ 1181563 h 1308087"/>
              <a:gd name="connsiteX1661" fmla="*/ 699443 w 2280745"/>
              <a:gd name="connsiteY1661" fmla="*/ 1132734 h 1308087"/>
              <a:gd name="connsiteX1662" fmla="*/ 706884 w 2280745"/>
              <a:gd name="connsiteY1662" fmla="*/ 1132734 h 1308087"/>
              <a:gd name="connsiteX1663" fmla="*/ 706884 w 2280745"/>
              <a:gd name="connsiteY1663" fmla="*/ 1181563 h 1308087"/>
              <a:gd name="connsiteX1664" fmla="*/ 715530 w 2280745"/>
              <a:gd name="connsiteY1664" fmla="*/ 1189092 h 1308087"/>
              <a:gd name="connsiteX1665" fmla="*/ 717635 w 2280745"/>
              <a:gd name="connsiteY1665" fmla="*/ 1189092 h 1308087"/>
              <a:gd name="connsiteX1666" fmla="*/ 726280 w 2280745"/>
              <a:gd name="connsiteY1666" fmla="*/ 1181563 h 1308087"/>
              <a:gd name="connsiteX1667" fmla="*/ 726280 w 2280745"/>
              <a:gd name="connsiteY1667" fmla="*/ 1132734 h 1308087"/>
              <a:gd name="connsiteX1668" fmla="*/ 726280 w 2280745"/>
              <a:gd name="connsiteY1668" fmla="*/ 1126120 h 1308087"/>
              <a:gd name="connsiteX1669" fmla="*/ 726280 w 2280745"/>
              <a:gd name="connsiteY1669" fmla="*/ 1108128 h 1308087"/>
              <a:gd name="connsiteX1670" fmla="*/ 731132 w 2280745"/>
              <a:gd name="connsiteY1670" fmla="*/ 1123891 h 1308087"/>
              <a:gd name="connsiteX1671" fmla="*/ 741720 w 2280745"/>
              <a:gd name="connsiteY1671" fmla="*/ 1129214 h 1308087"/>
              <a:gd name="connsiteX1672" fmla="*/ 743753 w 2280745"/>
              <a:gd name="connsiteY1672" fmla="*/ 1128739 h 1308087"/>
              <a:gd name="connsiteX1673" fmla="*/ 749868 w 2280745"/>
              <a:gd name="connsiteY1673" fmla="*/ 1119520 h 1308087"/>
              <a:gd name="connsiteX1674" fmla="*/ 733385 w 2280745"/>
              <a:gd name="connsiteY1674" fmla="*/ 1065964 h 1308087"/>
              <a:gd name="connsiteX1675" fmla="*/ 730709 w 2280745"/>
              <a:gd name="connsiteY1675" fmla="*/ 1062232 h 1308087"/>
              <a:gd name="connsiteX1676" fmla="*/ 726280 w 2280745"/>
              <a:gd name="connsiteY1676" fmla="*/ 1060477 h 1308087"/>
              <a:gd name="connsiteX1677" fmla="*/ 726280 w 2280745"/>
              <a:gd name="connsiteY1677" fmla="*/ 1060264 h 1308087"/>
              <a:gd name="connsiteX1678" fmla="*/ 680045 w 2280745"/>
              <a:gd name="connsiteY1678" fmla="*/ 1060264 h 1308087"/>
              <a:gd name="connsiteX1679" fmla="*/ 880037 w 2280745"/>
              <a:gd name="connsiteY1679" fmla="*/ 1060264 h 1308087"/>
              <a:gd name="connsiteX1680" fmla="*/ 880037 w 2280745"/>
              <a:gd name="connsiteY1680" fmla="*/ 1060489 h 1308087"/>
              <a:gd name="connsiteX1681" fmla="*/ 879420 w 2280745"/>
              <a:gd name="connsiteY1681" fmla="*/ 1060454 h 1308087"/>
              <a:gd name="connsiteX1682" fmla="*/ 872256 w 2280745"/>
              <a:gd name="connsiteY1682" fmla="*/ 1065964 h 1308087"/>
              <a:gd name="connsiteX1683" fmla="*/ 855776 w 2280745"/>
              <a:gd name="connsiteY1683" fmla="*/ 1119520 h 1308087"/>
              <a:gd name="connsiteX1684" fmla="*/ 861890 w 2280745"/>
              <a:gd name="connsiteY1684" fmla="*/ 1128739 h 1308087"/>
              <a:gd name="connsiteX1685" fmla="*/ 863923 w 2280745"/>
              <a:gd name="connsiteY1685" fmla="*/ 1129214 h 1308087"/>
              <a:gd name="connsiteX1686" fmla="*/ 874511 w 2280745"/>
              <a:gd name="connsiteY1686" fmla="*/ 1123891 h 1308087"/>
              <a:gd name="connsiteX1687" fmla="*/ 880037 w 2280745"/>
              <a:gd name="connsiteY1687" fmla="*/ 1105936 h 1308087"/>
              <a:gd name="connsiteX1688" fmla="*/ 880037 w 2280745"/>
              <a:gd name="connsiteY1688" fmla="*/ 1126120 h 1308087"/>
              <a:gd name="connsiteX1689" fmla="*/ 880037 w 2280745"/>
              <a:gd name="connsiteY1689" fmla="*/ 1132734 h 1308087"/>
              <a:gd name="connsiteX1690" fmla="*/ 880037 w 2280745"/>
              <a:gd name="connsiteY1690" fmla="*/ 1181563 h 1308087"/>
              <a:gd name="connsiteX1691" fmla="*/ 888683 w 2280745"/>
              <a:gd name="connsiteY1691" fmla="*/ 1189092 h 1308087"/>
              <a:gd name="connsiteX1692" fmla="*/ 890788 w 2280745"/>
              <a:gd name="connsiteY1692" fmla="*/ 1189092 h 1308087"/>
              <a:gd name="connsiteX1693" fmla="*/ 899434 w 2280745"/>
              <a:gd name="connsiteY1693" fmla="*/ 1181563 h 1308087"/>
              <a:gd name="connsiteX1694" fmla="*/ 899434 w 2280745"/>
              <a:gd name="connsiteY1694" fmla="*/ 1132734 h 1308087"/>
              <a:gd name="connsiteX1695" fmla="*/ 906877 w 2280745"/>
              <a:gd name="connsiteY1695" fmla="*/ 1132734 h 1308087"/>
              <a:gd name="connsiteX1696" fmla="*/ 906877 w 2280745"/>
              <a:gd name="connsiteY1696" fmla="*/ 1181563 h 1308087"/>
              <a:gd name="connsiteX1697" fmla="*/ 915521 w 2280745"/>
              <a:gd name="connsiteY1697" fmla="*/ 1189092 h 1308087"/>
              <a:gd name="connsiteX1698" fmla="*/ 917628 w 2280745"/>
              <a:gd name="connsiteY1698" fmla="*/ 1189092 h 1308087"/>
              <a:gd name="connsiteX1699" fmla="*/ 926272 w 2280745"/>
              <a:gd name="connsiteY1699" fmla="*/ 1181563 h 1308087"/>
              <a:gd name="connsiteX1700" fmla="*/ 926272 w 2280745"/>
              <a:gd name="connsiteY1700" fmla="*/ 1132734 h 1308087"/>
              <a:gd name="connsiteX1701" fmla="*/ 926272 w 2280745"/>
              <a:gd name="connsiteY1701" fmla="*/ 1126120 h 1308087"/>
              <a:gd name="connsiteX1702" fmla="*/ 926272 w 2280745"/>
              <a:gd name="connsiteY1702" fmla="*/ 1108128 h 1308087"/>
              <a:gd name="connsiteX1703" fmla="*/ 931123 w 2280745"/>
              <a:gd name="connsiteY1703" fmla="*/ 1123891 h 1308087"/>
              <a:gd name="connsiteX1704" fmla="*/ 941712 w 2280745"/>
              <a:gd name="connsiteY1704" fmla="*/ 1129214 h 1308087"/>
              <a:gd name="connsiteX1705" fmla="*/ 943745 w 2280745"/>
              <a:gd name="connsiteY1705" fmla="*/ 1128739 h 1308087"/>
              <a:gd name="connsiteX1706" fmla="*/ 949860 w 2280745"/>
              <a:gd name="connsiteY1706" fmla="*/ 1119520 h 1308087"/>
              <a:gd name="connsiteX1707" fmla="*/ 933378 w 2280745"/>
              <a:gd name="connsiteY1707" fmla="*/ 1065964 h 1308087"/>
              <a:gd name="connsiteX1708" fmla="*/ 930701 w 2280745"/>
              <a:gd name="connsiteY1708" fmla="*/ 1062232 h 1308087"/>
              <a:gd name="connsiteX1709" fmla="*/ 926272 w 2280745"/>
              <a:gd name="connsiteY1709" fmla="*/ 1060477 h 1308087"/>
              <a:gd name="connsiteX1710" fmla="*/ 926272 w 2280745"/>
              <a:gd name="connsiteY1710" fmla="*/ 1060264 h 1308087"/>
              <a:gd name="connsiteX1711" fmla="*/ 880037 w 2280745"/>
              <a:gd name="connsiteY1711" fmla="*/ 1060264 h 1308087"/>
              <a:gd name="connsiteX1712" fmla="*/ 1080030 w 2280745"/>
              <a:gd name="connsiteY1712" fmla="*/ 1060264 h 1308087"/>
              <a:gd name="connsiteX1713" fmla="*/ 1080030 w 2280745"/>
              <a:gd name="connsiteY1713" fmla="*/ 1060489 h 1308087"/>
              <a:gd name="connsiteX1714" fmla="*/ 1079412 w 2280745"/>
              <a:gd name="connsiteY1714" fmla="*/ 1060454 h 1308087"/>
              <a:gd name="connsiteX1715" fmla="*/ 1072249 w 2280745"/>
              <a:gd name="connsiteY1715" fmla="*/ 1065964 h 1308087"/>
              <a:gd name="connsiteX1716" fmla="*/ 1055767 w 2280745"/>
              <a:gd name="connsiteY1716" fmla="*/ 1119520 h 1308087"/>
              <a:gd name="connsiteX1717" fmla="*/ 1061881 w 2280745"/>
              <a:gd name="connsiteY1717" fmla="*/ 1128739 h 1308087"/>
              <a:gd name="connsiteX1718" fmla="*/ 1063914 w 2280745"/>
              <a:gd name="connsiteY1718" fmla="*/ 1129214 h 1308087"/>
              <a:gd name="connsiteX1719" fmla="*/ 1074503 w 2280745"/>
              <a:gd name="connsiteY1719" fmla="*/ 1123891 h 1308087"/>
              <a:gd name="connsiteX1720" fmla="*/ 1080030 w 2280745"/>
              <a:gd name="connsiteY1720" fmla="*/ 1105936 h 1308087"/>
              <a:gd name="connsiteX1721" fmla="*/ 1080030 w 2280745"/>
              <a:gd name="connsiteY1721" fmla="*/ 1126120 h 1308087"/>
              <a:gd name="connsiteX1722" fmla="*/ 1080030 w 2280745"/>
              <a:gd name="connsiteY1722" fmla="*/ 1132734 h 1308087"/>
              <a:gd name="connsiteX1723" fmla="*/ 1080030 w 2280745"/>
              <a:gd name="connsiteY1723" fmla="*/ 1181563 h 1308087"/>
              <a:gd name="connsiteX1724" fmla="*/ 1088676 w 2280745"/>
              <a:gd name="connsiteY1724" fmla="*/ 1189092 h 1308087"/>
              <a:gd name="connsiteX1725" fmla="*/ 1090781 w 2280745"/>
              <a:gd name="connsiteY1725" fmla="*/ 1189092 h 1308087"/>
              <a:gd name="connsiteX1726" fmla="*/ 1099427 w 2280745"/>
              <a:gd name="connsiteY1726" fmla="*/ 1181563 h 1308087"/>
              <a:gd name="connsiteX1727" fmla="*/ 1099427 w 2280745"/>
              <a:gd name="connsiteY1727" fmla="*/ 1132734 h 1308087"/>
              <a:gd name="connsiteX1728" fmla="*/ 1106868 w 2280745"/>
              <a:gd name="connsiteY1728" fmla="*/ 1132734 h 1308087"/>
              <a:gd name="connsiteX1729" fmla="*/ 1106868 w 2280745"/>
              <a:gd name="connsiteY1729" fmla="*/ 1181563 h 1308087"/>
              <a:gd name="connsiteX1730" fmla="*/ 1115514 w 2280745"/>
              <a:gd name="connsiteY1730" fmla="*/ 1189092 h 1308087"/>
              <a:gd name="connsiteX1731" fmla="*/ 1117619 w 2280745"/>
              <a:gd name="connsiteY1731" fmla="*/ 1189092 h 1308087"/>
              <a:gd name="connsiteX1732" fmla="*/ 1126264 w 2280745"/>
              <a:gd name="connsiteY1732" fmla="*/ 1181563 h 1308087"/>
              <a:gd name="connsiteX1733" fmla="*/ 1126264 w 2280745"/>
              <a:gd name="connsiteY1733" fmla="*/ 1132734 h 1308087"/>
              <a:gd name="connsiteX1734" fmla="*/ 1126264 w 2280745"/>
              <a:gd name="connsiteY1734" fmla="*/ 1126120 h 1308087"/>
              <a:gd name="connsiteX1735" fmla="*/ 1126264 w 2280745"/>
              <a:gd name="connsiteY1735" fmla="*/ 1108128 h 1308087"/>
              <a:gd name="connsiteX1736" fmla="*/ 1131115 w 2280745"/>
              <a:gd name="connsiteY1736" fmla="*/ 1123891 h 1308087"/>
              <a:gd name="connsiteX1737" fmla="*/ 1141704 w 2280745"/>
              <a:gd name="connsiteY1737" fmla="*/ 1129214 h 1308087"/>
              <a:gd name="connsiteX1738" fmla="*/ 1143738 w 2280745"/>
              <a:gd name="connsiteY1738" fmla="*/ 1128739 h 1308087"/>
              <a:gd name="connsiteX1739" fmla="*/ 1149853 w 2280745"/>
              <a:gd name="connsiteY1739" fmla="*/ 1119520 h 1308087"/>
              <a:gd name="connsiteX1740" fmla="*/ 1133370 w 2280745"/>
              <a:gd name="connsiteY1740" fmla="*/ 1065964 h 1308087"/>
              <a:gd name="connsiteX1741" fmla="*/ 1130693 w 2280745"/>
              <a:gd name="connsiteY1741" fmla="*/ 1062232 h 1308087"/>
              <a:gd name="connsiteX1742" fmla="*/ 1126264 w 2280745"/>
              <a:gd name="connsiteY1742" fmla="*/ 1060477 h 1308087"/>
              <a:gd name="connsiteX1743" fmla="*/ 1126264 w 2280745"/>
              <a:gd name="connsiteY1743" fmla="*/ 1060264 h 1308087"/>
              <a:gd name="connsiteX1744" fmla="*/ 1080030 w 2280745"/>
              <a:gd name="connsiteY1744" fmla="*/ 1060264 h 1308087"/>
              <a:gd name="connsiteX1745" fmla="*/ 1280022 w 2280745"/>
              <a:gd name="connsiteY1745" fmla="*/ 1060264 h 1308087"/>
              <a:gd name="connsiteX1746" fmla="*/ 1280022 w 2280745"/>
              <a:gd name="connsiteY1746" fmla="*/ 1060489 h 1308087"/>
              <a:gd name="connsiteX1747" fmla="*/ 1279405 w 2280745"/>
              <a:gd name="connsiteY1747" fmla="*/ 1060454 h 1308087"/>
              <a:gd name="connsiteX1748" fmla="*/ 1272241 w 2280745"/>
              <a:gd name="connsiteY1748" fmla="*/ 1065964 h 1308087"/>
              <a:gd name="connsiteX1749" fmla="*/ 1255760 w 2280745"/>
              <a:gd name="connsiteY1749" fmla="*/ 1119520 h 1308087"/>
              <a:gd name="connsiteX1750" fmla="*/ 1261874 w 2280745"/>
              <a:gd name="connsiteY1750" fmla="*/ 1128739 h 1308087"/>
              <a:gd name="connsiteX1751" fmla="*/ 1263907 w 2280745"/>
              <a:gd name="connsiteY1751" fmla="*/ 1129214 h 1308087"/>
              <a:gd name="connsiteX1752" fmla="*/ 1274496 w 2280745"/>
              <a:gd name="connsiteY1752" fmla="*/ 1123891 h 1308087"/>
              <a:gd name="connsiteX1753" fmla="*/ 1280022 w 2280745"/>
              <a:gd name="connsiteY1753" fmla="*/ 1105936 h 1308087"/>
              <a:gd name="connsiteX1754" fmla="*/ 1280022 w 2280745"/>
              <a:gd name="connsiteY1754" fmla="*/ 1126120 h 1308087"/>
              <a:gd name="connsiteX1755" fmla="*/ 1280022 w 2280745"/>
              <a:gd name="connsiteY1755" fmla="*/ 1132734 h 1308087"/>
              <a:gd name="connsiteX1756" fmla="*/ 1280022 w 2280745"/>
              <a:gd name="connsiteY1756" fmla="*/ 1181563 h 1308087"/>
              <a:gd name="connsiteX1757" fmla="*/ 1288667 w 2280745"/>
              <a:gd name="connsiteY1757" fmla="*/ 1189092 h 1308087"/>
              <a:gd name="connsiteX1758" fmla="*/ 1290773 w 2280745"/>
              <a:gd name="connsiteY1758" fmla="*/ 1189092 h 1308087"/>
              <a:gd name="connsiteX1759" fmla="*/ 1299419 w 2280745"/>
              <a:gd name="connsiteY1759" fmla="*/ 1181563 h 1308087"/>
              <a:gd name="connsiteX1760" fmla="*/ 1299419 w 2280745"/>
              <a:gd name="connsiteY1760" fmla="*/ 1132734 h 1308087"/>
              <a:gd name="connsiteX1761" fmla="*/ 1306860 w 2280745"/>
              <a:gd name="connsiteY1761" fmla="*/ 1132734 h 1308087"/>
              <a:gd name="connsiteX1762" fmla="*/ 1306860 w 2280745"/>
              <a:gd name="connsiteY1762" fmla="*/ 1181563 h 1308087"/>
              <a:gd name="connsiteX1763" fmla="*/ 1315506 w 2280745"/>
              <a:gd name="connsiteY1763" fmla="*/ 1189092 h 1308087"/>
              <a:gd name="connsiteX1764" fmla="*/ 1317610 w 2280745"/>
              <a:gd name="connsiteY1764" fmla="*/ 1189092 h 1308087"/>
              <a:gd name="connsiteX1765" fmla="*/ 1326256 w 2280745"/>
              <a:gd name="connsiteY1765" fmla="*/ 1181563 h 1308087"/>
              <a:gd name="connsiteX1766" fmla="*/ 1326256 w 2280745"/>
              <a:gd name="connsiteY1766" fmla="*/ 1132734 h 1308087"/>
              <a:gd name="connsiteX1767" fmla="*/ 1326256 w 2280745"/>
              <a:gd name="connsiteY1767" fmla="*/ 1126120 h 1308087"/>
              <a:gd name="connsiteX1768" fmla="*/ 1326256 w 2280745"/>
              <a:gd name="connsiteY1768" fmla="*/ 1108128 h 1308087"/>
              <a:gd name="connsiteX1769" fmla="*/ 1331108 w 2280745"/>
              <a:gd name="connsiteY1769" fmla="*/ 1123891 h 1308087"/>
              <a:gd name="connsiteX1770" fmla="*/ 1341696 w 2280745"/>
              <a:gd name="connsiteY1770" fmla="*/ 1129214 h 1308087"/>
              <a:gd name="connsiteX1771" fmla="*/ 1343730 w 2280745"/>
              <a:gd name="connsiteY1771" fmla="*/ 1128739 h 1308087"/>
              <a:gd name="connsiteX1772" fmla="*/ 1349844 w 2280745"/>
              <a:gd name="connsiteY1772" fmla="*/ 1119520 h 1308087"/>
              <a:gd name="connsiteX1773" fmla="*/ 1333361 w 2280745"/>
              <a:gd name="connsiteY1773" fmla="*/ 1065964 h 1308087"/>
              <a:gd name="connsiteX1774" fmla="*/ 1330685 w 2280745"/>
              <a:gd name="connsiteY1774" fmla="*/ 1062232 h 1308087"/>
              <a:gd name="connsiteX1775" fmla="*/ 1326256 w 2280745"/>
              <a:gd name="connsiteY1775" fmla="*/ 1060477 h 1308087"/>
              <a:gd name="connsiteX1776" fmla="*/ 1326256 w 2280745"/>
              <a:gd name="connsiteY1776" fmla="*/ 1060264 h 1308087"/>
              <a:gd name="connsiteX1777" fmla="*/ 1280022 w 2280745"/>
              <a:gd name="connsiteY1777" fmla="*/ 1060264 h 1308087"/>
              <a:gd name="connsiteX1778" fmla="*/ 1482314 w 2280745"/>
              <a:gd name="connsiteY1778" fmla="*/ 1060264 h 1308087"/>
              <a:gd name="connsiteX1779" fmla="*/ 1482314 w 2280745"/>
              <a:gd name="connsiteY1779" fmla="*/ 1060489 h 1308087"/>
              <a:gd name="connsiteX1780" fmla="*/ 1481697 w 2280745"/>
              <a:gd name="connsiteY1780" fmla="*/ 1060454 h 1308087"/>
              <a:gd name="connsiteX1781" fmla="*/ 1474533 w 2280745"/>
              <a:gd name="connsiteY1781" fmla="*/ 1065964 h 1308087"/>
              <a:gd name="connsiteX1782" fmla="*/ 1458052 w 2280745"/>
              <a:gd name="connsiteY1782" fmla="*/ 1119520 h 1308087"/>
              <a:gd name="connsiteX1783" fmla="*/ 1464166 w 2280745"/>
              <a:gd name="connsiteY1783" fmla="*/ 1128739 h 1308087"/>
              <a:gd name="connsiteX1784" fmla="*/ 1466199 w 2280745"/>
              <a:gd name="connsiteY1784" fmla="*/ 1129214 h 1308087"/>
              <a:gd name="connsiteX1785" fmla="*/ 1476788 w 2280745"/>
              <a:gd name="connsiteY1785" fmla="*/ 1123891 h 1308087"/>
              <a:gd name="connsiteX1786" fmla="*/ 1482314 w 2280745"/>
              <a:gd name="connsiteY1786" fmla="*/ 1105936 h 1308087"/>
              <a:gd name="connsiteX1787" fmla="*/ 1482314 w 2280745"/>
              <a:gd name="connsiteY1787" fmla="*/ 1126120 h 1308087"/>
              <a:gd name="connsiteX1788" fmla="*/ 1482314 w 2280745"/>
              <a:gd name="connsiteY1788" fmla="*/ 1132734 h 1308087"/>
              <a:gd name="connsiteX1789" fmla="*/ 1482314 w 2280745"/>
              <a:gd name="connsiteY1789" fmla="*/ 1181563 h 1308087"/>
              <a:gd name="connsiteX1790" fmla="*/ 1490960 w 2280745"/>
              <a:gd name="connsiteY1790" fmla="*/ 1189092 h 1308087"/>
              <a:gd name="connsiteX1791" fmla="*/ 1493064 w 2280745"/>
              <a:gd name="connsiteY1791" fmla="*/ 1189092 h 1308087"/>
              <a:gd name="connsiteX1792" fmla="*/ 1501710 w 2280745"/>
              <a:gd name="connsiteY1792" fmla="*/ 1181563 h 1308087"/>
              <a:gd name="connsiteX1793" fmla="*/ 1501710 w 2280745"/>
              <a:gd name="connsiteY1793" fmla="*/ 1132734 h 1308087"/>
              <a:gd name="connsiteX1794" fmla="*/ 1509153 w 2280745"/>
              <a:gd name="connsiteY1794" fmla="*/ 1132734 h 1308087"/>
              <a:gd name="connsiteX1795" fmla="*/ 1509153 w 2280745"/>
              <a:gd name="connsiteY1795" fmla="*/ 1181563 h 1308087"/>
              <a:gd name="connsiteX1796" fmla="*/ 1517799 w 2280745"/>
              <a:gd name="connsiteY1796" fmla="*/ 1189092 h 1308087"/>
              <a:gd name="connsiteX1797" fmla="*/ 1519903 w 2280745"/>
              <a:gd name="connsiteY1797" fmla="*/ 1189092 h 1308087"/>
              <a:gd name="connsiteX1798" fmla="*/ 1528549 w 2280745"/>
              <a:gd name="connsiteY1798" fmla="*/ 1181563 h 1308087"/>
              <a:gd name="connsiteX1799" fmla="*/ 1528549 w 2280745"/>
              <a:gd name="connsiteY1799" fmla="*/ 1132734 h 1308087"/>
              <a:gd name="connsiteX1800" fmla="*/ 1528549 w 2280745"/>
              <a:gd name="connsiteY1800" fmla="*/ 1126120 h 1308087"/>
              <a:gd name="connsiteX1801" fmla="*/ 1528549 w 2280745"/>
              <a:gd name="connsiteY1801" fmla="*/ 1108128 h 1308087"/>
              <a:gd name="connsiteX1802" fmla="*/ 1533400 w 2280745"/>
              <a:gd name="connsiteY1802" fmla="*/ 1123891 h 1308087"/>
              <a:gd name="connsiteX1803" fmla="*/ 1543989 w 2280745"/>
              <a:gd name="connsiteY1803" fmla="*/ 1129214 h 1308087"/>
              <a:gd name="connsiteX1804" fmla="*/ 1546022 w 2280745"/>
              <a:gd name="connsiteY1804" fmla="*/ 1128739 h 1308087"/>
              <a:gd name="connsiteX1805" fmla="*/ 1552136 w 2280745"/>
              <a:gd name="connsiteY1805" fmla="*/ 1119520 h 1308087"/>
              <a:gd name="connsiteX1806" fmla="*/ 1535655 w 2280745"/>
              <a:gd name="connsiteY1806" fmla="*/ 1065964 h 1308087"/>
              <a:gd name="connsiteX1807" fmla="*/ 1532977 w 2280745"/>
              <a:gd name="connsiteY1807" fmla="*/ 1062232 h 1308087"/>
              <a:gd name="connsiteX1808" fmla="*/ 1528549 w 2280745"/>
              <a:gd name="connsiteY1808" fmla="*/ 1060477 h 1308087"/>
              <a:gd name="connsiteX1809" fmla="*/ 1528549 w 2280745"/>
              <a:gd name="connsiteY1809" fmla="*/ 1060264 h 1308087"/>
              <a:gd name="connsiteX1810" fmla="*/ 1482314 w 2280745"/>
              <a:gd name="connsiteY1810" fmla="*/ 1060264 h 1308087"/>
              <a:gd name="connsiteX1811" fmla="*/ 1679477 w 2280745"/>
              <a:gd name="connsiteY1811" fmla="*/ 1060264 h 1308087"/>
              <a:gd name="connsiteX1812" fmla="*/ 1679477 w 2280745"/>
              <a:gd name="connsiteY1812" fmla="*/ 1060489 h 1308087"/>
              <a:gd name="connsiteX1813" fmla="*/ 1678860 w 2280745"/>
              <a:gd name="connsiteY1813" fmla="*/ 1060454 h 1308087"/>
              <a:gd name="connsiteX1814" fmla="*/ 1671696 w 2280745"/>
              <a:gd name="connsiteY1814" fmla="*/ 1065964 h 1308087"/>
              <a:gd name="connsiteX1815" fmla="*/ 1655215 w 2280745"/>
              <a:gd name="connsiteY1815" fmla="*/ 1119520 h 1308087"/>
              <a:gd name="connsiteX1816" fmla="*/ 1661328 w 2280745"/>
              <a:gd name="connsiteY1816" fmla="*/ 1128739 h 1308087"/>
              <a:gd name="connsiteX1817" fmla="*/ 1663362 w 2280745"/>
              <a:gd name="connsiteY1817" fmla="*/ 1129214 h 1308087"/>
              <a:gd name="connsiteX1818" fmla="*/ 1673951 w 2280745"/>
              <a:gd name="connsiteY1818" fmla="*/ 1123891 h 1308087"/>
              <a:gd name="connsiteX1819" fmla="*/ 1679477 w 2280745"/>
              <a:gd name="connsiteY1819" fmla="*/ 1105936 h 1308087"/>
              <a:gd name="connsiteX1820" fmla="*/ 1679477 w 2280745"/>
              <a:gd name="connsiteY1820" fmla="*/ 1126120 h 1308087"/>
              <a:gd name="connsiteX1821" fmla="*/ 1679477 w 2280745"/>
              <a:gd name="connsiteY1821" fmla="*/ 1132734 h 1308087"/>
              <a:gd name="connsiteX1822" fmla="*/ 1679477 w 2280745"/>
              <a:gd name="connsiteY1822" fmla="*/ 1181563 h 1308087"/>
              <a:gd name="connsiteX1823" fmla="*/ 1688123 w 2280745"/>
              <a:gd name="connsiteY1823" fmla="*/ 1189092 h 1308087"/>
              <a:gd name="connsiteX1824" fmla="*/ 1690227 w 2280745"/>
              <a:gd name="connsiteY1824" fmla="*/ 1189092 h 1308087"/>
              <a:gd name="connsiteX1825" fmla="*/ 1698873 w 2280745"/>
              <a:gd name="connsiteY1825" fmla="*/ 1181563 h 1308087"/>
              <a:gd name="connsiteX1826" fmla="*/ 1698873 w 2280745"/>
              <a:gd name="connsiteY1826" fmla="*/ 1132734 h 1308087"/>
              <a:gd name="connsiteX1827" fmla="*/ 1706314 w 2280745"/>
              <a:gd name="connsiteY1827" fmla="*/ 1132734 h 1308087"/>
              <a:gd name="connsiteX1828" fmla="*/ 1706314 w 2280745"/>
              <a:gd name="connsiteY1828" fmla="*/ 1181563 h 1308087"/>
              <a:gd name="connsiteX1829" fmla="*/ 1714961 w 2280745"/>
              <a:gd name="connsiteY1829" fmla="*/ 1189092 h 1308087"/>
              <a:gd name="connsiteX1830" fmla="*/ 1717066 w 2280745"/>
              <a:gd name="connsiteY1830" fmla="*/ 1189092 h 1308087"/>
              <a:gd name="connsiteX1831" fmla="*/ 1725712 w 2280745"/>
              <a:gd name="connsiteY1831" fmla="*/ 1181563 h 1308087"/>
              <a:gd name="connsiteX1832" fmla="*/ 1725712 w 2280745"/>
              <a:gd name="connsiteY1832" fmla="*/ 1132734 h 1308087"/>
              <a:gd name="connsiteX1833" fmla="*/ 1725712 w 2280745"/>
              <a:gd name="connsiteY1833" fmla="*/ 1126120 h 1308087"/>
              <a:gd name="connsiteX1834" fmla="*/ 1725712 w 2280745"/>
              <a:gd name="connsiteY1834" fmla="*/ 1108128 h 1308087"/>
              <a:gd name="connsiteX1835" fmla="*/ 1730563 w 2280745"/>
              <a:gd name="connsiteY1835" fmla="*/ 1123891 h 1308087"/>
              <a:gd name="connsiteX1836" fmla="*/ 1741152 w 2280745"/>
              <a:gd name="connsiteY1836" fmla="*/ 1129214 h 1308087"/>
              <a:gd name="connsiteX1837" fmla="*/ 1743185 w 2280745"/>
              <a:gd name="connsiteY1837" fmla="*/ 1128739 h 1308087"/>
              <a:gd name="connsiteX1838" fmla="*/ 1749299 w 2280745"/>
              <a:gd name="connsiteY1838" fmla="*/ 1119520 h 1308087"/>
              <a:gd name="connsiteX1839" fmla="*/ 1732817 w 2280745"/>
              <a:gd name="connsiteY1839" fmla="*/ 1065964 h 1308087"/>
              <a:gd name="connsiteX1840" fmla="*/ 1730140 w 2280745"/>
              <a:gd name="connsiteY1840" fmla="*/ 1062232 h 1308087"/>
              <a:gd name="connsiteX1841" fmla="*/ 1725712 w 2280745"/>
              <a:gd name="connsiteY1841" fmla="*/ 1060477 h 1308087"/>
              <a:gd name="connsiteX1842" fmla="*/ 1725712 w 2280745"/>
              <a:gd name="connsiteY1842" fmla="*/ 1060264 h 1308087"/>
              <a:gd name="connsiteX1843" fmla="*/ 1679477 w 2280745"/>
              <a:gd name="connsiteY1843" fmla="*/ 1060264 h 1308087"/>
              <a:gd name="connsiteX1844" fmla="*/ 1882298 w 2280745"/>
              <a:gd name="connsiteY1844" fmla="*/ 1060264 h 1308087"/>
              <a:gd name="connsiteX1845" fmla="*/ 1882298 w 2280745"/>
              <a:gd name="connsiteY1845" fmla="*/ 1060489 h 1308087"/>
              <a:gd name="connsiteX1846" fmla="*/ 1881681 w 2280745"/>
              <a:gd name="connsiteY1846" fmla="*/ 1060454 h 1308087"/>
              <a:gd name="connsiteX1847" fmla="*/ 1874518 w 2280745"/>
              <a:gd name="connsiteY1847" fmla="*/ 1065964 h 1308087"/>
              <a:gd name="connsiteX1848" fmla="*/ 1858037 w 2280745"/>
              <a:gd name="connsiteY1848" fmla="*/ 1119520 h 1308087"/>
              <a:gd name="connsiteX1849" fmla="*/ 1864152 w 2280745"/>
              <a:gd name="connsiteY1849" fmla="*/ 1128739 h 1308087"/>
              <a:gd name="connsiteX1850" fmla="*/ 1866184 w 2280745"/>
              <a:gd name="connsiteY1850" fmla="*/ 1129214 h 1308087"/>
              <a:gd name="connsiteX1851" fmla="*/ 1876773 w 2280745"/>
              <a:gd name="connsiteY1851" fmla="*/ 1123891 h 1308087"/>
              <a:gd name="connsiteX1852" fmla="*/ 1882298 w 2280745"/>
              <a:gd name="connsiteY1852" fmla="*/ 1105936 h 1308087"/>
              <a:gd name="connsiteX1853" fmla="*/ 1882298 w 2280745"/>
              <a:gd name="connsiteY1853" fmla="*/ 1126120 h 1308087"/>
              <a:gd name="connsiteX1854" fmla="*/ 1882298 w 2280745"/>
              <a:gd name="connsiteY1854" fmla="*/ 1132734 h 1308087"/>
              <a:gd name="connsiteX1855" fmla="*/ 1882298 w 2280745"/>
              <a:gd name="connsiteY1855" fmla="*/ 1181563 h 1308087"/>
              <a:gd name="connsiteX1856" fmla="*/ 1890944 w 2280745"/>
              <a:gd name="connsiteY1856" fmla="*/ 1189092 h 1308087"/>
              <a:gd name="connsiteX1857" fmla="*/ 1893050 w 2280745"/>
              <a:gd name="connsiteY1857" fmla="*/ 1189092 h 1308087"/>
              <a:gd name="connsiteX1858" fmla="*/ 1901696 w 2280745"/>
              <a:gd name="connsiteY1858" fmla="*/ 1181563 h 1308087"/>
              <a:gd name="connsiteX1859" fmla="*/ 1901696 w 2280745"/>
              <a:gd name="connsiteY1859" fmla="*/ 1132734 h 1308087"/>
              <a:gd name="connsiteX1860" fmla="*/ 1909138 w 2280745"/>
              <a:gd name="connsiteY1860" fmla="*/ 1132734 h 1308087"/>
              <a:gd name="connsiteX1861" fmla="*/ 1909138 w 2280745"/>
              <a:gd name="connsiteY1861" fmla="*/ 1181563 h 1308087"/>
              <a:gd name="connsiteX1862" fmla="*/ 1917783 w 2280745"/>
              <a:gd name="connsiteY1862" fmla="*/ 1189092 h 1308087"/>
              <a:gd name="connsiteX1863" fmla="*/ 1919889 w 2280745"/>
              <a:gd name="connsiteY1863" fmla="*/ 1189092 h 1308087"/>
              <a:gd name="connsiteX1864" fmla="*/ 1928535 w 2280745"/>
              <a:gd name="connsiteY1864" fmla="*/ 1181563 h 1308087"/>
              <a:gd name="connsiteX1865" fmla="*/ 1928535 w 2280745"/>
              <a:gd name="connsiteY1865" fmla="*/ 1132734 h 1308087"/>
              <a:gd name="connsiteX1866" fmla="*/ 1928535 w 2280745"/>
              <a:gd name="connsiteY1866" fmla="*/ 1126120 h 1308087"/>
              <a:gd name="connsiteX1867" fmla="*/ 1928535 w 2280745"/>
              <a:gd name="connsiteY1867" fmla="*/ 1108128 h 1308087"/>
              <a:gd name="connsiteX1868" fmla="*/ 1933385 w 2280745"/>
              <a:gd name="connsiteY1868" fmla="*/ 1123891 h 1308087"/>
              <a:gd name="connsiteX1869" fmla="*/ 1943974 w 2280745"/>
              <a:gd name="connsiteY1869" fmla="*/ 1129214 h 1308087"/>
              <a:gd name="connsiteX1870" fmla="*/ 1946009 w 2280745"/>
              <a:gd name="connsiteY1870" fmla="*/ 1128739 h 1308087"/>
              <a:gd name="connsiteX1871" fmla="*/ 1952121 w 2280745"/>
              <a:gd name="connsiteY1871" fmla="*/ 1119520 h 1308087"/>
              <a:gd name="connsiteX1872" fmla="*/ 1935640 w 2280745"/>
              <a:gd name="connsiteY1872" fmla="*/ 1065964 h 1308087"/>
              <a:gd name="connsiteX1873" fmla="*/ 1932962 w 2280745"/>
              <a:gd name="connsiteY1873" fmla="*/ 1062232 h 1308087"/>
              <a:gd name="connsiteX1874" fmla="*/ 1928535 w 2280745"/>
              <a:gd name="connsiteY1874" fmla="*/ 1060477 h 1308087"/>
              <a:gd name="connsiteX1875" fmla="*/ 1928535 w 2280745"/>
              <a:gd name="connsiteY1875" fmla="*/ 1060264 h 1308087"/>
              <a:gd name="connsiteX1876" fmla="*/ 1882298 w 2280745"/>
              <a:gd name="connsiteY1876" fmla="*/ 1060264 h 1308087"/>
              <a:gd name="connsiteX1877" fmla="*/ 2081622 w 2280745"/>
              <a:gd name="connsiteY1877" fmla="*/ 1060264 h 1308087"/>
              <a:gd name="connsiteX1878" fmla="*/ 2081622 w 2280745"/>
              <a:gd name="connsiteY1878" fmla="*/ 1060489 h 1308087"/>
              <a:gd name="connsiteX1879" fmla="*/ 2081004 w 2280745"/>
              <a:gd name="connsiteY1879" fmla="*/ 1060454 h 1308087"/>
              <a:gd name="connsiteX1880" fmla="*/ 2073841 w 2280745"/>
              <a:gd name="connsiteY1880" fmla="*/ 1065964 h 1308087"/>
              <a:gd name="connsiteX1881" fmla="*/ 2057362 w 2280745"/>
              <a:gd name="connsiteY1881" fmla="*/ 1119520 h 1308087"/>
              <a:gd name="connsiteX1882" fmla="*/ 2063474 w 2280745"/>
              <a:gd name="connsiteY1882" fmla="*/ 1128739 h 1308087"/>
              <a:gd name="connsiteX1883" fmla="*/ 2065507 w 2280745"/>
              <a:gd name="connsiteY1883" fmla="*/ 1129214 h 1308087"/>
              <a:gd name="connsiteX1884" fmla="*/ 2076097 w 2280745"/>
              <a:gd name="connsiteY1884" fmla="*/ 1123891 h 1308087"/>
              <a:gd name="connsiteX1885" fmla="*/ 2081622 w 2280745"/>
              <a:gd name="connsiteY1885" fmla="*/ 1105936 h 1308087"/>
              <a:gd name="connsiteX1886" fmla="*/ 2081622 w 2280745"/>
              <a:gd name="connsiteY1886" fmla="*/ 1126120 h 1308087"/>
              <a:gd name="connsiteX1887" fmla="*/ 2081622 w 2280745"/>
              <a:gd name="connsiteY1887" fmla="*/ 1132734 h 1308087"/>
              <a:gd name="connsiteX1888" fmla="*/ 2081622 w 2280745"/>
              <a:gd name="connsiteY1888" fmla="*/ 1181563 h 1308087"/>
              <a:gd name="connsiteX1889" fmla="*/ 2090268 w 2280745"/>
              <a:gd name="connsiteY1889" fmla="*/ 1189092 h 1308087"/>
              <a:gd name="connsiteX1890" fmla="*/ 2092373 w 2280745"/>
              <a:gd name="connsiteY1890" fmla="*/ 1189092 h 1308087"/>
              <a:gd name="connsiteX1891" fmla="*/ 2101019 w 2280745"/>
              <a:gd name="connsiteY1891" fmla="*/ 1181563 h 1308087"/>
              <a:gd name="connsiteX1892" fmla="*/ 2101019 w 2280745"/>
              <a:gd name="connsiteY1892" fmla="*/ 1132734 h 1308087"/>
              <a:gd name="connsiteX1893" fmla="*/ 2108461 w 2280745"/>
              <a:gd name="connsiteY1893" fmla="*/ 1132734 h 1308087"/>
              <a:gd name="connsiteX1894" fmla="*/ 2108461 w 2280745"/>
              <a:gd name="connsiteY1894" fmla="*/ 1181563 h 1308087"/>
              <a:gd name="connsiteX1895" fmla="*/ 2117107 w 2280745"/>
              <a:gd name="connsiteY1895" fmla="*/ 1189092 h 1308087"/>
              <a:gd name="connsiteX1896" fmla="*/ 2119212 w 2280745"/>
              <a:gd name="connsiteY1896" fmla="*/ 1189092 h 1308087"/>
              <a:gd name="connsiteX1897" fmla="*/ 2127858 w 2280745"/>
              <a:gd name="connsiteY1897" fmla="*/ 1181563 h 1308087"/>
              <a:gd name="connsiteX1898" fmla="*/ 2127858 w 2280745"/>
              <a:gd name="connsiteY1898" fmla="*/ 1132734 h 1308087"/>
              <a:gd name="connsiteX1899" fmla="*/ 2127858 w 2280745"/>
              <a:gd name="connsiteY1899" fmla="*/ 1126120 h 1308087"/>
              <a:gd name="connsiteX1900" fmla="*/ 2127858 w 2280745"/>
              <a:gd name="connsiteY1900" fmla="*/ 1108128 h 1308087"/>
              <a:gd name="connsiteX1901" fmla="*/ 2132707 w 2280745"/>
              <a:gd name="connsiteY1901" fmla="*/ 1123891 h 1308087"/>
              <a:gd name="connsiteX1902" fmla="*/ 2143298 w 2280745"/>
              <a:gd name="connsiteY1902" fmla="*/ 1129214 h 1308087"/>
              <a:gd name="connsiteX1903" fmla="*/ 2145331 w 2280745"/>
              <a:gd name="connsiteY1903" fmla="*/ 1128739 h 1308087"/>
              <a:gd name="connsiteX1904" fmla="*/ 2151445 w 2280745"/>
              <a:gd name="connsiteY1904" fmla="*/ 1119520 h 1308087"/>
              <a:gd name="connsiteX1905" fmla="*/ 2134963 w 2280745"/>
              <a:gd name="connsiteY1905" fmla="*/ 1065964 h 1308087"/>
              <a:gd name="connsiteX1906" fmla="*/ 2132286 w 2280745"/>
              <a:gd name="connsiteY1906" fmla="*/ 1062232 h 1308087"/>
              <a:gd name="connsiteX1907" fmla="*/ 2127858 w 2280745"/>
              <a:gd name="connsiteY1907" fmla="*/ 1060477 h 1308087"/>
              <a:gd name="connsiteX1908" fmla="*/ 2127858 w 2280745"/>
              <a:gd name="connsiteY1908" fmla="*/ 1060264 h 1308087"/>
              <a:gd name="connsiteX1909" fmla="*/ 2081622 w 2280745"/>
              <a:gd name="connsiteY1909" fmla="*/ 1060264 h 13080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Lst>
            <a:rect l="l" t="t" r="r" b="b"/>
            <a:pathLst>
              <a:path w="2280745" h="1308087">
                <a:moveTo>
                  <a:pt x="2280492" y="0"/>
                </a:moveTo>
                <a:lnTo>
                  <a:pt x="2280693" y="1209940"/>
                </a:lnTo>
                <a:lnTo>
                  <a:pt x="2280745" y="1209940"/>
                </a:lnTo>
                <a:lnTo>
                  <a:pt x="2280745" y="1308087"/>
                </a:lnTo>
                <a:lnTo>
                  <a:pt x="0" y="1308087"/>
                </a:lnTo>
                <a:lnTo>
                  <a:pt x="0" y="1209940"/>
                </a:lnTo>
                <a:lnTo>
                  <a:pt x="1497" y="1209940"/>
                </a:lnTo>
                <a:lnTo>
                  <a:pt x="2103" y="757034"/>
                </a:lnTo>
                <a:cubicBezTo>
                  <a:pt x="3729" y="506611"/>
                  <a:pt x="5355" y="256190"/>
                  <a:pt x="3107" y="8436"/>
                </a:cubicBezTo>
                <a:lnTo>
                  <a:pt x="2280492" y="0"/>
                </a:lnTo>
                <a:close/>
                <a:moveTo>
                  <a:pt x="303668" y="96739"/>
                </a:moveTo>
                <a:cubicBezTo>
                  <a:pt x="293205" y="96739"/>
                  <a:pt x="284721" y="104125"/>
                  <a:pt x="284721" y="113235"/>
                </a:cubicBezTo>
                <a:cubicBezTo>
                  <a:pt x="284721" y="122346"/>
                  <a:pt x="293205" y="129731"/>
                  <a:pt x="303668" y="129731"/>
                </a:cubicBezTo>
                <a:cubicBezTo>
                  <a:pt x="314131" y="129731"/>
                  <a:pt x="322614" y="122346"/>
                  <a:pt x="322614" y="113235"/>
                </a:cubicBezTo>
                <a:cubicBezTo>
                  <a:pt x="322614" y="104125"/>
                  <a:pt x="314131" y="96739"/>
                  <a:pt x="303668" y="96739"/>
                </a:cubicBezTo>
                <a:close/>
                <a:moveTo>
                  <a:pt x="503662" y="96739"/>
                </a:moveTo>
                <a:cubicBezTo>
                  <a:pt x="493198" y="96739"/>
                  <a:pt x="484717" y="104125"/>
                  <a:pt x="484717" y="113235"/>
                </a:cubicBezTo>
                <a:cubicBezTo>
                  <a:pt x="484717" y="122346"/>
                  <a:pt x="493198" y="129731"/>
                  <a:pt x="503662" y="129731"/>
                </a:cubicBezTo>
                <a:cubicBezTo>
                  <a:pt x="514126" y="129731"/>
                  <a:pt x="522607" y="122346"/>
                  <a:pt x="522607" y="113235"/>
                </a:cubicBezTo>
                <a:cubicBezTo>
                  <a:pt x="522607" y="104125"/>
                  <a:pt x="514126" y="96739"/>
                  <a:pt x="503662" y="96739"/>
                </a:cubicBezTo>
                <a:close/>
                <a:moveTo>
                  <a:pt x="703653" y="96739"/>
                </a:moveTo>
                <a:cubicBezTo>
                  <a:pt x="693190" y="96739"/>
                  <a:pt x="684709" y="104125"/>
                  <a:pt x="684709" y="113235"/>
                </a:cubicBezTo>
                <a:cubicBezTo>
                  <a:pt x="684709" y="122346"/>
                  <a:pt x="693190" y="129731"/>
                  <a:pt x="703653" y="129731"/>
                </a:cubicBezTo>
                <a:cubicBezTo>
                  <a:pt x="714117" y="129731"/>
                  <a:pt x="722600" y="122346"/>
                  <a:pt x="722600" y="113235"/>
                </a:cubicBezTo>
                <a:cubicBezTo>
                  <a:pt x="722600" y="104125"/>
                  <a:pt x="714117" y="96739"/>
                  <a:pt x="703653" y="96739"/>
                </a:cubicBezTo>
                <a:close/>
                <a:moveTo>
                  <a:pt x="903646" y="96739"/>
                </a:moveTo>
                <a:cubicBezTo>
                  <a:pt x="893183" y="96739"/>
                  <a:pt x="884701" y="104125"/>
                  <a:pt x="884701" y="113235"/>
                </a:cubicBezTo>
                <a:cubicBezTo>
                  <a:pt x="884701" y="122346"/>
                  <a:pt x="893183" y="129731"/>
                  <a:pt x="903646" y="129731"/>
                </a:cubicBezTo>
                <a:cubicBezTo>
                  <a:pt x="914110" y="129731"/>
                  <a:pt x="922591" y="122346"/>
                  <a:pt x="922591" y="113235"/>
                </a:cubicBezTo>
                <a:cubicBezTo>
                  <a:pt x="922591" y="104125"/>
                  <a:pt x="914110" y="96739"/>
                  <a:pt x="903646" y="96739"/>
                </a:cubicBezTo>
                <a:close/>
                <a:moveTo>
                  <a:pt x="1103638" y="96739"/>
                </a:moveTo>
                <a:cubicBezTo>
                  <a:pt x="1093175" y="96739"/>
                  <a:pt x="1084694" y="104125"/>
                  <a:pt x="1084694" y="113235"/>
                </a:cubicBezTo>
                <a:cubicBezTo>
                  <a:pt x="1084694" y="122346"/>
                  <a:pt x="1093175" y="129731"/>
                  <a:pt x="1103638" y="129731"/>
                </a:cubicBezTo>
                <a:cubicBezTo>
                  <a:pt x="1114102" y="129731"/>
                  <a:pt x="1122584" y="122346"/>
                  <a:pt x="1122584" y="113235"/>
                </a:cubicBezTo>
                <a:cubicBezTo>
                  <a:pt x="1122584" y="104125"/>
                  <a:pt x="1114102" y="96739"/>
                  <a:pt x="1103638" y="96739"/>
                </a:cubicBezTo>
                <a:close/>
                <a:moveTo>
                  <a:pt x="1303631" y="96739"/>
                </a:moveTo>
                <a:cubicBezTo>
                  <a:pt x="1293167" y="96739"/>
                  <a:pt x="1284685" y="104125"/>
                  <a:pt x="1284685" y="113235"/>
                </a:cubicBezTo>
                <a:cubicBezTo>
                  <a:pt x="1284685" y="122346"/>
                  <a:pt x="1293167" y="129731"/>
                  <a:pt x="1303631" y="129731"/>
                </a:cubicBezTo>
                <a:cubicBezTo>
                  <a:pt x="1314095" y="129731"/>
                  <a:pt x="1322576" y="122346"/>
                  <a:pt x="1322576" y="113235"/>
                </a:cubicBezTo>
                <a:cubicBezTo>
                  <a:pt x="1322576" y="104125"/>
                  <a:pt x="1314095" y="96739"/>
                  <a:pt x="1303631" y="96739"/>
                </a:cubicBezTo>
                <a:close/>
                <a:moveTo>
                  <a:pt x="1505923" y="96739"/>
                </a:moveTo>
                <a:cubicBezTo>
                  <a:pt x="1495460" y="96739"/>
                  <a:pt x="1486979" y="104125"/>
                  <a:pt x="1486979" y="113235"/>
                </a:cubicBezTo>
                <a:cubicBezTo>
                  <a:pt x="1486979" y="122346"/>
                  <a:pt x="1495460" y="129731"/>
                  <a:pt x="1505923" y="129731"/>
                </a:cubicBezTo>
                <a:cubicBezTo>
                  <a:pt x="1516387" y="129731"/>
                  <a:pt x="1524868" y="122346"/>
                  <a:pt x="1524868" y="113235"/>
                </a:cubicBezTo>
                <a:cubicBezTo>
                  <a:pt x="1524868" y="104125"/>
                  <a:pt x="1516387" y="96739"/>
                  <a:pt x="1505923" y="96739"/>
                </a:cubicBezTo>
                <a:close/>
                <a:moveTo>
                  <a:pt x="1703085" y="96739"/>
                </a:moveTo>
                <a:cubicBezTo>
                  <a:pt x="1692623" y="96739"/>
                  <a:pt x="1684140" y="104125"/>
                  <a:pt x="1684140" y="113235"/>
                </a:cubicBezTo>
                <a:cubicBezTo>
                  <a:pt x="1684140" y="122346"/>
                  <a:pt x="1692623" y="129731"/>
                  <a:pt x="1703085" y="129731"/>
                </a:cubicBezTo>
                <a:cubicBezTo>
                  <a:pt x="1713550" y="129731"/>
                  <a:pt x="1722031" y="122346"/>
                  <a:pt x="1722031" y="113235"/>
                </a:cubicBezTo>
                <a:cubicBezTo>
                  <a:pt x="1722031" y="104125"/>
                  <a:pt x="1713550" y="96739"/>
                  <a:pt x="1703085" y="96739"/>
                </a:cubicBezTo>
                <a:close/>
                <a:moveTo>
                  <a:pt x="1905908" y="96739"/>
                </a:moveTo>
                <a:cubicBezTo>
                  <a:pt x="1895444" y="96739"/>
                  <a:pt x="1886962" y="104125"/>
                  <a:pt x="1886962" y="113235"/>
                </a:cubicBezTo>
                <a:cubicBezTo>
                  <a:pt x="1886962" y="122346"/>
                  <a:pt x="1895444" y="129731"/>
                  <a:pt x="1905908" y="129731"/>
                </a:cubicBezTo>
                <a:cubicBezTo>
                  <a:pt x="1916372" y="129731"/>
                  <a:pt x="1924855" y="122346"/>
                  <a:pt x="1924855" y="113235"/>
                </a:cubicBezTo>
                <a:cubicBezTo>
                  <a:pt x="1924855" y="104125"/>
                  <a:pt x="1916372" y="96739"/>
                  <a:pt x="1905908" y="96739"/>
                </a:cubicBezTo>
                <a:close/>
                <a:moveTo>
                  <a:pt x="2105231" y="96739"/>
                </a:moveTo>
                <a:cubicBezTo>
                  <a:pt x="2094769" y="96739"/>
                  <a:pt x="2086286" y="104125"/>
                  <a:pt x="2086286" y="113235"/>
                </a:cubicBezTo>
                <a:cubicBezTo>
                  <a:pt x="2086286" y="122346"/>
                  <a:pt x="2094769" y="129731"/>
                  <a:pt x="2105231" y="129731"/>
                </a:cubicBezTo>
                <a:cubicBezTo>
                  <a:pt x="2115694" y="129731"/>
                  <a:pt x="2124177" y="122346"/>
                  <a:pt x="2124177" y="113235"/>
                </a:cubicBezTo>
                <a:cubicBezTo>
                  <a:pt x="2124177" y="104125"/>
                  <a:pt x="2115694" y="96739"/>
                  <a:pt x="2105231" y="96739"/>
                </a:cubicBezTo>
                <a:close/>
                <a:moveTo>
                  <a:pt x="280058" y="133396"/>
                </a:moveTo>
                <a:lnTo>
                  <a:pt x="280058" y="133621"/>
                </a:lnTo>
                <a:lnTo>
                  <a:pt x="279441" y="133589"/>
                </a:lnTo>
                <a:cubicBezTo>
                  <a:pt x="276104" y="133992"/>
                  <a:pt x="273205" y="136086"/>
                  <a:pt x="272279" y="139098"/>
                </a:cubicBezTo>
                <a:lnTo>
                  <a:pt x="255797" y="192653"/>
                </a:lnTo>
                <a:cubicBezTo>
                  <a:pt x="254561" y="196670"/>
                  <a:pt x="257298" y="200797"/>
                  <a:pt x="261911" y="201873"/>
                </a:cubicBezTo>
                <a:lnTo>
                  <a:pt x="263944" y="202347"/>
                </a:lnTo>
                <a:cubicBezTo>
                  <a:pt x="268557" y="203423"/>
                  <a:pt x="273297" y="201041"/>
                  <a:pt x="274533" y="197025"/>
                </a:cubicBezTo>
                <a:lnTo>
                  <a:pt x="280058" y="179069"/>
                </a:lnTo>
                <a:lnTo>
                  <a:pt x="280058" y="199255"/>
                </a:lnTo>
                <a:lnTo>
                  <a:pt x="280058" y="205866"/>
                </a:lnTo>
                <a:lnTo>
                  <a:pt x="280058" y="254698"/>
                </a:lnTo>
                <a:cubicBezTo>
                  <a:pt x="280058" y="258855"/>
                  <a:pt x="283930" y="262227"/>
                  <a:pt x="288705" y="262227"/>
                </a:cubicBezTo>
                <a:lnTo>
                  <a:pt x="290809" y="262227"/>
                </a:lnTo>
                <a:cubicBezTo>
                  <a:pt x="295584" y="262227"/>
                  <a:pt x="299455" y="258855"/>
                  <a:pt x="299455" y="254698"/>
                </a:cubicBezTo>
                <a:lnTo>
                  <a:pt x="299455" y="205866"/>
                </a:lnTo>
                <a:lnTo>
                  <a:pt x="306898" y="205866"/>
                </a:lnTo>
                <a:lnTo>
                  <a:pt x="306898" y="254698"/>
                </a:lnTo>
                <a:cubicBezTo>
                  <a:pt x="306898" y="258855"/>
                  <a:pt x="310769" y="262227"/>
                  <a:pt x="315544" y="262227"/>
                </a:cubicBezTo>
                <a:lnTo>
                  <a:pt x="317649" y="262227"/>
                </a:lnTo>
                <a:cubicBezTo>
                  <a:pt x="322423" y="262227"/>
                  <a:pt x="326293" y="258855"/>
                  <a:pt x="326293" y="254698"/>
                </a:cubicBezTo>
                <a:lnTo>
                  <a:pt x="326293" y="205866"/>
                </a:lnTo>
                <a:lnTo>
                  <a:pt x="326293" y="199255"/>
                </a:lnTo>
                <a:lnTo>
                  <a:pt x="326293" y="181262"/>
                </a:lnTo>
                <a:lnTo>
                  <a:pt x="331145" y="197025"/>
                </a:lnTo>
                <a:cubicBezTo>
                  <a:pt x="332381" y="201041"/>
                  <a:pt x="337122" y="203423"/>
                  <a:pt x="341734" y="202347"/>
                </a:cubicBezTo>
                <a:lnTo>
                  <a:pt x="343767" y="201873"/>
                </a:lnTo>
                <a:cubicBezTo>
                  <a:pt x="348380" y="200797"/>
                  <a:pt x="351116" y="196670"/>
                  <a:pt x="349881" y="192653"/>
                </a:cubicBezTo>
                <a:lnTo>
                  <a:pt x="333400" y="139098"/>
                </a:lnTo>
                <a:cubicBezTo>
                  <a:pt x="332936" y="137592"/>
                  <a:pt x="331980" y="136315"/>
                  <a:pt x="330722" y="135365"/>
                </a:cubicBezTo>
                <a:lnTo>
                  <a:pt x="326293" y="133610"/>
                </a:lnTo>
                <a:lnTo>
                  <a:pt x="326293" y="133396"/>
                </a:lnTo>
                <a:lnTo>
                  <a:pt x="280058" y="133396"/>
                </a:lnTo>
                <a:close/>
                <a:moveTo>
                  <a:pt x="480053" y="133396"/>
                </a:moveTo>
                <a:lnTo>
                  <a:pt x="480053" y="133621"/>
                </a:lnTo>
                <a:lnTo>
                  <a:pt x="479436" y="133589"/>
                </a:lnTo>
                <a:cubicBezTo>
                  <a:pt x="476099" y="133992"/>
                  <a:pt x="473200" y="136086"/>
                  <a:pt x="472272" y="139098"/>
                </a:cubicBezTo>
                <a:lnTo>
                  <a:pt x="455791" y="192653"/>
                </a:lnTo>
                <a:cubicBezTo>
                  <a:pt x="454555" y="196670"/>
                  <a:pt x="457292" y="200797"/>
                  <a:pt x="461906" y="201873"/>
                </a:cubicBezTo>
                <a:lnTo>
                  <a:pt x="463938" y="202347"/>
                </a:lnTo>
                <a:cubicBezTo>
                  <a:pt x="468550" y="203423"/>
                  <a:pt x="473292" y="201041"/>
                  <a:pt x="474527" y="197025"/>
                </a:cubicBezTo>
                <a:lnTo>
                  <a:pt x="480053" y="179069"/>
                </a:lnTo>
                <a:lnTo>
                  <a:pt x="480053" y="199255"/>
                </a:lnTo>
                <a:lnTo>
                  <a:pt x="480053" y="205866"/>
                </a:lnTo>
                <a:lnTo>
                  <a:pt x="480053" y="254698"/>
                </a:lnTo>
                <a:cubicBezTo>
                  <a:pt x="480053" y="258855"/>
                  <a:pt x="483924" y="262227"/>
                  <a:pt x="488698" y="262227"/>
                </a:cubicBezTo>
                <a:lnTo>
                  <a:pt x="490804" y="262227"/>
                </a:lnTo>
                <a:cubicBezTo>
                  <a:pt x="495578" y="262227"/>
                  <a:pt x="499450" y="258855"/>
                  <a:pt x="499450" y="254698"/>
                </a:cubicBezTo>
                <a:lnTo>
                  <a:pt x="499450" y="205866"/>
                </a:lnTo>
                <a:lnTo>
                  <a:pt x="506892" y="205866"/>
                </a:lnTo>
                <a:lnTo>
                  <a:pt x="506892" y="254698"/>
                </a:lnTo>
                <a:cubicBezTo>
                  <a:pt x="506892" y="258855"/>
                  <a:pt x="510763" y="262227"/>
                  <a:pt x="515538" y="262227"/>
                </a:cubicBezTo>
                <a:lnTo>
                  <a:pt x="517643" y="262227"/>
                </a:lnTo>
                <a:cubicBezTo>
                  <a:pt x="522418" y="262227"/>
                  <a:pt x="526287" y="258855"/>
                  <a:pt x="526287" y="254698"/>
                </a:cubicBezTo>
                <a:lnTo>
                  <a:pt x="526287" y="205866"/>
                </a:lnTo>
                <a:lnTo>
                  <a:pt x="526287" y="199255"/>
                </a:lnTo>
                <a:lnTo>
                  <a:pt x="526287" y="181262"/>
                </a:lnTo>
                <a:lnTo>
                  <a:pt x="531139" y="197025"/>
                </a:lnTo>
                <a:cubicBezTo>
                  <a:pt x="532375" y="201041"/>
                  <a:pt x="537116" y="203423"/>
                  <a:pt x="541727" y="202347"/>
                </a:cubicBezTo>
                <a:lnTo>
                  <a:pt x="543761" y="201873"/>
                </a:lnTo>
                <a:cubicBezTo>
                  <a:pt x="548373" y="200797"/>
                  <a:pt x="551110" y="196670"/>
                  <a:pt x="549875" y="192653"/>
                </a:cubicBezTo>
                <a:lnTo>
                  <a:pt x="533394" y="139098"/>
                </a:lnTo>
                <a:cubicBezTo>
                  <a:pt x="532930" y="137592"/>
                  <a:pt x="531974" y="136315"/>
                  <a:pt x="530716" y="135365"/>
                </a:cubicBezTo>
                <a:lnTo>
                  <a:pt x="526287" y="133610"/>
                </a:lnTo>
                <a:lnTo>
                  <a:pt x="526287" y="133396"/>
                </a:lnTo>
                <a:lnTo>
                  <a:pt x="480053" y="133396"/>
                </a:lnTo>
                <a:close/>
                <a:moveTo>
                  <a:pt x="680045" y="133396"/>
                </a:moveTo>
                <a:lnTo>
                  <a:pt x="680045" y="133621"/>
                </a:lnTo>
                <a:lnTo>
                  <a:pt x="679427" y="133589"/>
                </a:lnTo>
                <a:cubicBezTo>
                  <a:pt x="676090" y="133992"/>
                  <a:pt x="673192" y="136086"/>
                  <a:pt x="672265" y="139098"/>
                </a:cubicBezTo>
                <a:lnTo>
                  <a:pt x="655783" y="192653"/>
                </a:lnTo>
                <a:cubicBezTo>
                  <a:pt x="654547" y="196670"/>
                  <a:pt x="657285" y="200797"/>
                  <a:pt x="661899" y="201873"/>
                </a:cubicBezTo>
                <a:lnTo>
                  <a:pt x="663930" y="202347"/>
                </a:lnTo>
                <a:cubicBezTo>
                  <a:pt x="668542" y="203423"/>
                  <a:pt x="673282" y="201041"/>
                  <a:pt x="674518" y="197025"/>
                </a:cubicBezTo>
                <a:lnTo>
                  <a:pt x="680045" y="179069"/>
                </a:lnTo>
                <a:lnTo>
                  <a:pt x="680045" y="199255"/>
                </a:lnTo>
                <a:lnTo>
                  <a:pt x="680045" y="205866"/>
                </a:lnTo>
                <a:lnTo>
                  <a:pt x="680045" y="254698"/>
                </a:lnTo>
                <a:cubicBezTo>
                  <a:pt x="680045" y="258855"/>
                  <a:pt x="683916" y="262227"/>
                  <a:pt x="688691" y="262227"/>
                </a:cubicBezTo>
                <a:lnTo>
                  <a:pt x="690797" y="262227"/>
                </a:lnTo>
                <a:cubicBezTo>
                  <a:pt x="695570" y="262227"/>
                  <a:pt x="699443" y="258855"/>
                  <a:pt x="699443" y="254698"/>
                </a:cubicBezTo>
                <a:lnTo>
                  <a:pt x="699443" y="205866"/>
                </a:lnTo>
                <a:lnTo>
                  <a:pt x="706884" y="205866"/>
                </a:lnTo>
                <a:lnTo>
                  <a:pt x="706884" y="254698"/>
                </a:lnTo>
                <a:cubicBezTo>
                  <a:pt x="706884" y="258855"/>
                  <a:pt x="710754" y="262227"/>
                  <a:pt x="715530" y="262227"/>
                </a:cubicBezTo>
                <a:lnTo>
                  <a:pt x="717635" y="262227"/>
                </a:lnTo>
                <a:cubicBezTo>
                  <a:pt x="722411" y="262227"/>
                  <a:pt x="726280" y="258855"/>
                  <a:pt x="726280" y="254698"/>
                </a:cubicBezTo>
                <a:lnTo>
                  <a:pt x="726280" y="205866"/>
                </a:lnTo>
                <a:lnTo>
                  <a:pt x="726280" y="199255"/>
                </a:lnTo>
                <a:lnTo>
                  <a:pt x="726280" y="181262"/>
                </a:lnTo>
                <a:lnTo>
                  <a:pt x="731132" y="197025"/>
                </a:lnTo>
                <a:cubicBezTo>
                  <a:pt x="732368" y="201041"/>
                  <a:pt x="737108" y="203423"/>
                  <a:pt x="741720" y="202347"/>
                </a:cubicBezTo>
                <a:lnTo>
                  <a:pt x="743753" y="201873"/>
                </a:lnTo>
                <a:cubicBezTo>
                  <a:pt x="748365" y="200797"/>
                  <a:pt x="751103" y="196670"/>
                  <a:pt x="749868" y="192653"/>
                </a:cubicBezTo>
                <a:lnTo>
                  <a:pt x="733385" y="139098"/>
                </a:lnTo>
                <a:cubicBezTo>
                  <a:pt x="732923" y="137592"/>
                  <a:pt x="731967" y="136315"/>
                  <a:pt x="730709" y="135365"/>
                </a:cubicBezTo>
                <a:lnTo>
                  <a:pt x="726280" y="133610"/>
                </a:lnTo>
                <a:lnTo>
                  <a:pt x="726280" y="133396"/>
                </a:lnTo>
                <a:lnTo>
                  <a:pt x="680045" y="133396"/>
                </a:lnTo>
                <a:close/>
                <a:moveTo>
                  <a:pt x="880037" y="133396"/>
                </a:moveTo>
                <a:lnTo>
                  <a:pt x="880037" y="133621"/>
                </a:lnTo>
                <a:lnTo>
                  <a:pt x="879420" y="133589"/>
                </a:lnTo>
                <a:cubicBezTo>
                  <a:pt x="876083" y="133992"/>
                  <a:pt x="873184" y="136086"/>
                  <a:pt x="872256" y="139098"/>
                </a:cubicBezTo>
                <a:lnTo>
                  <a:pt x="855776" y="192653"/>
                </a:lnTo>
                <a:cubicBezTo>
                  <a:pt x="854540" y="196670"/>
                  <a:pt x="857277" y="200797"/>
                  <a:pt x="861890" y="201873"/>
                </a:cubicBezTo>
                <a:lnTo>
                  <a:pt x="863923" y="202347"/>
                </a:lnTo>
                <a:cubicBezTo>
                  <a:pt x="868534" y="203423"/>
                  <a:pt x="873275" y="201041"/>
                  <a:pt x="874511" y="197025"/>
                </a:cubicBezTo>
                <a:lnTo>
                  <a:pt x="880037" y="179069"/>
                </a:lnTo>
                <a:lnTo>
                  <a:pt x="880037" y="199255"/>
                </a:lnTo>
                <a:lnTo>
                  <a:pt x="880037" y="205866"/>
                </a:lnTo>
                <a:lnTo>
                  <a:pt x="880037" y="254698"/>
                </a:lnTo>
                <a:cubicBezTo>
                  <a:pt x="880037" y="258855"/>
                  <a:pt x="883909" y="262227"/>
                  <a:pt x="888683" y="262227"/>
                </a:cubicBezTo>
                <a:lnTo>
                  <a:pt x="890788" y="262227"/>
                </a:lnTo>
                <a:cubicBezTo>
                  <a:pt x="895563" y="262227"/>
                  <a:pt x="899434" y="258855"/>
                  <a:pt x="899434" y="254698"/>
                </a:cubicBezTo>
                <a:lnTo>
                  <a:pt x="899434" y="205866"/>
                </a:lnTo>
                <a:lnTo>
                  <a:pt x="906877" y="205866"/>
                </a:lnTo>
                <a:lnTo>
                  <a:pt x="906877" y="254698"/>
                </a:lnTo>
                <a:cubicBezTo>
                  <a:pt x="906877" y="258855"/>
                  <a:pt x="910747" y="262227"/>
                  <a:pt x="915521" y="262227"/>
                </a:cubicBezTo>
                <a:lnTo>
                  <a:pt x="917628" y="262227"/>
                </a:lnTo>
                <a:cubicBezTo>
                  <a:pt x="922402" y="262227"/>
                  <a:pt x="926272" y="258855"/>
                  <a:pt x="926272" y="254698"/>
                </a:cubicBezTo>
                <a:lnTo>
                  <a:pt x="926272" y="205866"/>
                </a:lnTo>
                <a:lnTo>
                  <a:pt x="926272" y="199255"/>
                </a:lnTo>
                <a:lnTo>
                  <a:pt x="926272" y="181262"/>
                </a:lnTo>
                <a:lnTo>
                  <a:pt x="931123" y="197025"/>
                </a:lnTo>
                <a:cubicBezTo>
                  <a:pt x="932359" y="201041"/>
                  <a:pt x="937100" y="203423"/>
                  <a:pt x="941712" y="202347"/>
                </a:cubicBezTo>
                <a:lnTo>
                  <a:pt x="943745" y="201873"/>
                </a:lnTo>
                <a:cubicBezTo>
                  <a:pt x="948358" y="200797"/>
                  <a:pt x="951095" y="196670"/>
                  <a:pt x="949860" y="192653"/>
                </a:cubicBezTo>
                <a:lnTo>
                  <a:pt x="933378" y="139098"/>
                </a:lnTo>
                <a:cubicBezTo>
                  <a:pt x="932915" y="137592"/>
                  <a:pt x="931958" y="136315"/>
                  <a:pt x="930701" y="135365"/>
                </a:cubicBezTo>
                <a:lnTo>
                  <a:pt x="926272" y="133610"/>
                </a:lnTo>
                <a:lnTo>
                  <a:pt x="926272" y="133396"/>
                </a:lnTo>
                <a:lnTo>
                  <a:pt x="880037" y="133396"/>
                </a:lnTo>
                <a:close/>
                <a:moveTo>
                  <a:pt x="1080030" y="133396"/>
                </a:moveTo>
                <a:lnTo>
                  <a:pt x="1080030" y="133621"/>
                </a:lnTo>
                <a:lnTo>
                  <a:pt x="1079412" y="133589"/>
                </a:lnTo>
                <a:cubicBezTo>
                  <a:pt x="1076075" y="133992"/>
                  <a:pt x="1073176" y="136086"/>
                  <a:pt x="1072249" y="139098"/>
                </a:cubicBezTo>
                <a:lnTo>
                  <a:pt x="1055767" y="192653"/>
                </a:lnTo>
                <a:cubicBezTo>
                  <a:pt x="1054531" y="196670"/>
                  <a:pt x="1057269" y="200797"/>
                  <a:pt x="1061881" y="201873"/>
                </a:cubicBezTo>
                <a:lnTo>
                  <a:pt x="1063914" y="202347"/>
                </a:lnTo>
                <a:cubicBezTo>
                  <a:pt x="1068527" y="203423"/>
                  <a:pt x="1073267" y="201041"/>
                  <a:pt x="1074503" y="197025"/>
                </a:cubicBezTo>
                <a:lnTo>
                  <a:pt x="1080030" y="179069"/>
                </a:lnTo>
                <a:lnTo>
                  <a:pt x="1080030" y="199255"/>
                </a:lnTo>
                <a:lnTo>
                  <a:pt x="1080030" y="205866"/>
                </a:lnTo>
                <a:lnTo>
                  <a:pt x="1080030" y="254698"/>
                </a:lnTo>
                <a:cubicBezTo>
                  <a:pt x="1080030" y="258855"/>
                  <a:pt x="1083900" y="262227"/>
                  <a:pt x="1088676" y="262227"/>
                </a:cubicBezTo>
                <a:lnTo>
                  <a:pt x="1090781" y="262227"/>
                </a:lnTo>
                <a:cubicBezTo>
                  <a:pt x="1095554" y="262227"/>
                  <a:pt x="1099427" y="258855"/>
                  <a:pt x="1099427" y="254698"/>
                </a:cubicBezTo>
                <a:lnTo>
                  <a:pt x="1099427" y="205866"/>
                </a:lnTo>
                <a:lnTo>
                  <a:pt x="1106868" y="205866"/>
                </a:lnTo>
                <a:lnTo>
                  <a:pt x="1106868" y="254698"/>
                </a:lnTo>
                <a:cubicBezTo>
                  <a:pt x="1106868" y="258855"/>
                  <a:pt x="1110739" y="262227"/>
                  <a:pt x="1115514" y="262227"/>
                </a:cubicBezTo>
                <a:lnTo>
                  <a:pt x="1117619" y="262227"/>
                </a:lnTo>
                <a:cubicBezTo>
                  <a:pt x="1122395" y="262227"/>
                  <a:pt x="1126264" y="258855"/>
                  <a:pt x="1126264" y="254698"/>
                </a:cubicBezTo>
                <a:lnTo>
                  <a:pt x="1126264" y="205866"/>
                </a:lnTo>
                <a:lnTo>
                  <a:pt x="1126264" y="199255"/>
                </a:lnTo>
                <a:lnTo>
                  <a:pt x="1126264" y="181262"/>
                </a:lnTo>
                <a:lnTo>
                  <a:pt x="1131115" y="197025"/>
                </a:lnTo>
                <a:cubicBezTo>
                  <a:pt x="1132352" y="201041"/>
                  <a:pt x="1137092" y="203423"/>
                  <a:pt x="1141704" y="202347"/>
                </a:cubicBezTo>
                <a:lnTo>
                  <a:pt x="1143738" y="201873"/>
                </a:lnTo>
                <a:cubicBezTo>
                  <a:pt x="1148350" y="200797"/>
                  <a:pt x="1151086" y="196670"/>
                  <a:pt x="1149853" y="192653"/>
                </a:cubicBezTo>
                <a:lnTo>
                  <a:pt x="1133370" y="139098"/>
                </a:lnTo>
                <a:cubicBezTo>
                  <a:pt x="1132906" y="137592"/>
                  <a:pt x="1131950" y="136315"/>
                  <a:pt x="1130693" y="135365"/>
                </a:cubicBezTo>
                <a:lnTo>
                  <a:pt x="1126264" y="133610"/>
                </a:lnTo>
                <a:lnTo>
                  <a:pt x="1126264" y="133396"/>
                </a:lnTo>
                <a:lnTo>
                  <a:pt x="1080030" y="133396"/>
                </a:lnTo>
                <a:close/>
                <a:moveTo>
                  <a:pt x="1280022" y="133396"/>
                </a:moveTo>
                <a:lnTo>
                  <a:pt x="1280022" y="133621"/>
                </a:lnTo>
                <a:lnTo>
                  <a:pt x="1279405" y="133589"/>
                </a:lnTo>
                <a:cubicBezTo>
                  <a:pt x="1276068" y="133992"/>
                  <a:pt x="1273169" y="136086"/>
                  <a:pt x="1272241" y="139098"/>
                </a:cubicBezTo>
                <a:lnTo>
                  <a:pt x="1255760" y="192653"/>
                </a:lnTo>
                <a:cubicBezTo>
                  <a:pt x="1254524" y="196670"/>
                  <a:pt x="1257261" y="200797"/>
                  <a:pt x="1261874" y="201873"/>
                </a:cubicBezTo>
                <a:lnTo>
                  <a:pt x="1263907" y="202347"/>
                </a:lnTo>
                <a:cubicBezTo>
                  <a:pt x="1268519" y="203423"/>
                  <a:pt x="1273260" y="201041"/>
                  <a:pt x="1274496" y="197025"/>
                </a:cubicBezTo>
                <a:lnTo>
                  <a:pt x="1280022" y="179069"/>
                </a:lnTo>
                <a:lnTo>
                  <a:pt x="1280022" y="199255"/>
                </a:lnTo>
                <a:lnTo>
                  <a:pt x="1280022" y="205866"/>
                </a:lnTo>
                <a:lnTo>
                  <a:pt x="1280022" y="254698"/>
                </a:lnTo>
                <a:cubicBezTo>
                  <a:pt x="1280022" y="258855"/>
                  <a:pt x="1283892" y="262227"/>
                  <a:pt x="1288667" y="262227"/>
                </a:cubicBezTo>
                <a:lnTo>
                  <a:pt x="1290773" y="262227"/>
                </a:lnTo>
                <a:cubicBezTo>
                  <a:pt x="1295546" y="262227"/>
                  <a:pt x="1299419" y="258855"/>
                  <a:pt x="1299419" y="254698"/>
                </a:cubicBezTo>
                <a:lnTo>
                  <a:pt x="1299419" y="205866"/>
                </a:lnTo>
                <a:lnTo>
                  <a:pt x="1306860" y="205866"/>
                </a:lnTo>
                <a:lnTo>
                  <a:pt x="1306860" y="254698"/>
                </a:lnTo>
                <a:cubicBezTo>
                  <a:pt x="1306860" y="258855"/>
                  <a:pt x="1310732" y="262227"/>
                  <a:pt x="1315506" y="262227"/>
                </a:cubicBezTo>
                <a:lnTo>
                  <a:pt x="1317610" y="262227"/>
                </a:lnTo>
                <a:cubicBezTo>
                  <a:pt x="1322387" y="262227"/>
                  <a:pt x="1326256" y="258855"/>
                  <a:pt x="1326256" y="254698"/>
                </a:cubicBezTo>
                <a:lnTo>
                  <a:pt x="1326256" y="205866"/>
                </a:lnTo>
                <a:lnTo>
                  <a:pt x="1326256" y="199255"/>
                </a:lnTo>
                <a:lnTo>
                  <a:pt x="1326256" y="181262"/>
                </a:lnTo>
                <a:lnTo>
                  <a:pt x="1331108" y="197025"/>
                </a:lnTo>
                <a:cubicBezTo>
                  <a:pt x="1332344" y="201041"/>
                  <a:pt x="1337084" y="203423"/>
                  <a:pt x="1341696" y="202347"/>
                </a:cubicBezTo>
                <a:lnTo>
                  <a:pt x="1343730" y="201873"/>
                </a:lnTo>
                <a:cubicBezTo>
                  <a:pt x="1348342" y="200797"/>
                  <a:pt x="1351079" y="196670"/>
                  <a:pt x="1349844" y="192653"/>
                </a:cubicBezTo>
                <a:lnTo>
                  <a:pt x="1333361" y="139098"/>
                </a:lnTo>
                <a:cubicBezTo>
                  <a:pt x="1332899" y="137592"/>
                  <a:pt x="1331943" y="136315"/>
                  <a:pt x="1330685" y="135365"/>
                </a:cubicBezTo>
                <a:lnTo>
                  <a:pt x="1326256" y="133610"/>
                </a:lnTo>
                <a:lnTo>
                  <a:pt x="1326256" y="133396"/>
                </a:lnTo>
                <a:lnTo>
                  <a:pt x="1280022" y="133396"/>
                </a:lnTo>
                <a:close/>
                <a:moveTo>
                  <a:pt x="1482314" y="133396"/>
                </a:moveTo>
                <a:lnTo>
                  <a:pt x="1482314" y="133621"/>
                </a:lnTo>
                <a:lnTo>
                  <a:pt x="1481697" y="133589"/>
                </a:lnTo>
                <a:cubicBezTo>
                  <a:pt x="1478360" y="133992"/>
                  <a:pt x="1475461" y="136086"/>
                  <a:pt x="1474533" y="139098"/>
                </a:cubicBezTo>
                <a:lnTo>
                  <a:pt x="1458052" y="192653"/>
                </a:lnTo>
                <a:cubicBezTo>
                  <a:pt x="1456817" y="196670"/>
                  <a:pt x="1459553" y="200797"/>
                  <a:pt x="1464166" y="201873"/>
                </a:cubicBezTo>
                <a:lnTo>
                  <a:pt x="1466199" y="202347"/>
                </a:lnTo>
                <a:cubicBezTo>
                  <a:pt x="1470811" y="203423"/>
                  <a:pt x="1475552" y="201041"/>
                  <a:pt x="1476788" y="197025"/>
                </a:cubicBezTo>
                <a:lnTo>
                  <a:pt x="1482314" y="179069"/>
                </a:lnTo>
                <a:lnTo>
                  <a:pt x="1482314" y="199255"/>
                </a:lnTo>
                <a:lnTo>
                  <a:pt x="1482314" y="205866"/>
                </a:lnTo>
                <a:lnTo>
                  <a:pt x="1482314" y="254698"/>
                </a:lnTo>
                <a:cubicBezTo>
                  <a:pt x="1482314" y="258855"/>
                  <a:pt x="1486185" y="262227"/>
                  <a:pt x="1490960" y="262227"/>
                </a:cubicBezTo>
                <a:lnTo>
                  <a:pt x="1493064" y="262227"/>
                </a:lnTo>
                <a:cubicBezTo>
                  <a:pt x="1497840" y="262227"/>
                  <a:pt x="1501710" y="258855"/>
                  <a:pt x="1501710" y="254698"/>
                </a:cubicBezTo>
                <a:lnTo>
                  <a:pt x="1501710" y="205866"/>
                </a:lnTo>
                <a:lnTo>
                  <a:pt x="1509153" y="205866"/>
                </a:lnTo>
                <a:lnTo>
                  <a:pt x="1509153" y="254698"/>
                </a:lnTo>
                <a:cubicBezTo>
                  <a:pt x="1509153" y="258855"/>
                  <a:pt x="1513024" y="262227"/>
                  <a:pt x="1517799" y="262227"/>
                </a:cubicBezTo>
                <a:lnTo>
                  <a:pt x="1519903" y="262227"/>
                </a:lnTo>
                <a:cubicBezTo>
                  <a:pt x="1524678" y="262227"/>
                  <a:pt x="1528549" y="258855"/>
                  <a:pt x="1528549" y="254698"/>
                </a:cubicBezTo>
                <a:lnTo>
                  <a:pt x="1528549" y="205866"/>
                </a:lnTo>
                <a:lnTo>
                  <a:pt x="1528549" y="199255"/>
                </a:lnTo>
                <a:lnTo>
                  <a:pt x="1528549" y="181262"/>
                </a:lnTo>
                <a:lnTo>
                  <a:pt x="1533400" y="197025"/>
                </a:lnTo>
                <a:cubicBezTo>
                  <a:pt x="1534636" y="201041"/>
                  <a:pt x="1539377" y="203423"/>
                  <a:pt x="1543989" y="202347"/>
                </a:cubicBezTo>
                <a:lnTo>
                  <a:pt x="1546022" y="201873"/>
                </a:lnTo>
                <a:cubicBezTo>
                  <a:pt x="1550635" y="200797"/>
                  <a:pt x="1553371" y="196670"/>
                  <a:pt x="1552136" y="192653"/>
                </a:cubicBezTo>
                <a:lnTo>
                  <a:pt x="1535655" y="139098"/>
                </a:lnTo>
                <a:cubicBezTo>
                  <a:pt x="1535191" y="137592"/>
                  <a:pt x="1534235" y="136315"/>
                  <a:pt x="1532977" y="135365"/>
                </a:cubicBezTo>
                <a:lnTo>
                  <a:pt x="1528549" y="133610"/>
                </a:lnTo>
                <a:lnTo>
                  <a:pt x="1528549" y="133396"/>
                </a:lnTo>
                <a:lnTo>
                  <a:pt x="1482314" y="133396"/>
                </a:lnTo>
                <a:close/>
                <a:moveTo>
                  <a:pt x="1679477" y="133396"/>
                </a:moveTo>
                <a:lnTo>
                  <a:pt x="1679477" y="133621"/>
                </a:lnTo>
                <a:lnTo>
                  <a:pt x="1678860" y="133589"/>
                </a:lnTo>
                <a:cubicBezTo>
                  <a:pt x="1675521" y="133992"/>
                  <a:pt x="1672623" y="136086"/>
                  <a:pt x="1671696" y="139098"/>
                </a:cubicBezTo>
                <a:lnTo>
                  <a:pt x="1655215" y="192653"/>
                </a:lnTo>
                <a:cubicBezTo>
                  <a:pt x="1653980" y="196670"/>
                  <a:pt x="1656716" y="200797"/>
                  <a:pt x="1661328" y="201873"/>
                </a:cubicBezTo>
                <a:lnTo>
                  <a:pt x="1663362" y="202347"/>
                </a:lnTo>
                <a:cubicBezTo>
                  <a:pt x="1667974" y="203423"/>
                  <a:pt x="1672715" y="201041"/>
                  <a:pt x="1673951" y="197025"/>
                </a:cubicBezTo>
                <a:lnTo>
                  <a:pt x="1679477" y="179069"/>
                </a:lnTo>
                <a:lnTo>
                  <a:pt x="1679477" y="199255"/>
                </a:lnTo>
                <a:lnTo>
                  <a:pt x="1679477" y="205866"/>
                </a:lnTo>
                <a:lnTo>
                  <a:pt x="1679477" y="254698"/>
                </a:lnTo>
                <a:cubicBezTo>
                  <a:pt x="1679477" y="258855"/>
                  <a:pt x="1683346" y="262227"/>
                  <a:pt x="1688123" y="262227"/>
                </a:cubicBezTo>
                <a:lnTo>
                  <a:pt x="1690227" y="262227"/>
                </a:lnTo>
                <a:cubicBezTo>
                  <a:pt x="1695001" y="262227"/>
                  <a:pt x="1698873" y="258855"/>
                  <a:pt x="1698873" y="254698"/>
                </a:cubicBezTo>
                <a:lnTo>
                  <a:pt x="1698873" y="205866"/>
                </a:lnTo>
                <a:lnTo>
                  <a:pt x="1706314" y="205866"/>
                </a:lnTo>
                <a:lnTo>
                  <a:pt x="1706314" y="254698"/>
                </a:lnTo>
                <a:cubicBezTo>
                  <a:pt x="1706314" y="258855"/>
                  <a:pt x="1710187" y="262227"/>
                  <a:pt x="1714961" y="262227"/>
                </a:cubicBezTo>
                <a:lnTo>
                  <a:pt x="1717066" y="262227"/>
                </a:lnTo>
                <a:cubicBezTo>
                  <a:pt x="1721841" y="262227"/>
                  <a:pt x="1725712" y="258855"/>
                  <a:pt x="1725712" y="254698"/>
                </a:cubicBezTo>
                <a:lnTo>
                  <a:pt x="1725712" y="205866"/>
                </a:lnTo>
                <a:lnTo>
                  <a:pt x="1725712" y="199255"/>
                </a:lnTo>
                <a:lnTo>
                  <a:pt x="1725712" y="181262"/>
                </a:lnTo>
                <a:lnTo>
                  <a:pt x="1730563" y="197025"/>
                </a:lnTo>
                <a:cubicBezTo>
                  <a:pt x="1731799" y="201041"/>
                  <a:pt x="1736539" y="203423"/>
                  <a:pt x="1741152" y="202347"/>
                </a:cubicBezTo>
                <a:lnTo>
                  <a:pt x="1743185" y="201873"/>
                </a:lnTo>
                <a:cubicBezTo>
                  <a:pt x="1747797" y="200797"/>
                  <a:pt x="1750534" y="196670"/>
                  <a:pt x="1749299" y="192653"/>
                </a:cubicBezTo>
                <a:lnTo>
                  <a:pt x="1732817" y="139098"/>
                </a:lnTo>
                <a:cubicBezTo>
                  <a:pt x="1732354" y="137592"/>
                  <a:pt x="1731398" y="136315"/>
                  <a:pt x="1730140" y="135365"/>
                </a:cubicBezTo>
                <a:lnTo>
                  <a:pt x="1725712" y="133610"/>
                </a:lnTo>
                <a:lnTo>
                  <a:pt x="1725712" y="133396"/>
                </a:lnTo>
                <a:lnTo>
                  <a:pt x="1679477" y="133396"/>
                </a:lnTo>
                <a:close/>
                <a:moveTo>
                  <a:pt x="1882298" y="133396"/>
                </a:moveTo>
                <a:lnTo>
                  <a:pt x="1882298" y="133621"/>
                </a:lnTo>
                <a:lnTo>
                  <a:pt x="1881681" y="133589"/>
                </a:lnTo>
                <a:cubicBezTo>
                  <a:pt x="1878344" y="133992"/>
                  <a:pt x="1875446" y="136086"/>
                  <a:pt x="1874518" y="139098"/>
                </a:cubicBezTo>
                <a:lnTo>
                  <a:pt x="1858037" y="192653"/>
                </a:lnTo>
                <a:cubicBezTo>
                  <a:pt x="1856802" y="196670"/>
                  <a:pt x="1859540" y="200797"/>
                  <a:pt x="1864152" y="201873"/>
                </a:cubicBezTo>
                <a:lnTo>
                  <a:pt x="1866184" y="202347"/>
                </a:lnTo>
                <a:cubicBezTo>
                  <a:pt x="1870795" y="203423"/>
                  <a:pt x="1875538" y="201041"/>
                  <a:pt x="1876773" y="197025"/>
                </a:cubicBezTo>
                <a:lnTo>
                  <a:pt x="1882298" y="179069"/>
                </a:lnTo>
                <a:lnTo>
                  <a:pt x="1882298" y="199255"/>
                </a:lnTo>
                <a:lnTo>
                  <a:pt x="1882298" y="205866"/>
                </a:lnTo>
                <a:lnTo>
                  <a:pt x="1882298" y="254698"/>
                </a:lnTo>
                <a:cubicBezTo>
                  <a:pt x="1882298" y="258855"/>
                  <a:pt x="1886170" y="262227"/>
                  <a:pt x="1890944" y="262227"/>
                </a:cubicBezTo>
                <a:lnTo>
                  <a:pt x="1893050" y="262227"/>
                </a:lnTo>
                <a:cubicBezTo>
                  <a:pt x="1897824" y="262227"/>
                  <a:pt x="1901696" y="258855"/>
                  <a:pt x="1901696" y="254698"/>
                </a:cubicBezTo>
                <a:lnTo>
                  <a:pt x="1901696" y="205866"/>
                </a:lnTo>
                <a:lnTo>
                  <a:pt x="1909138" y="205866"/>
                </a:lnTo>
                <a:lnTo>
                  <a:pt x="1909138" y="254698"/>
                </a:lnTo>
                <a:cubicBezTo>
                  <a:pt x="1909138" y="258855"/>
                  <a:pt x="1913008" y="262227"/>
                  <a:pt x="1917783" y="262227"/>
                </a:cubicBezTo>
                <a:lnTo>
                  <a:pt x="1919889" y="262227"/>
                </a:lnTo>
                <a:cubicBezTo>
                  <a:pt x="1924664" y="262227"/>
                  <a:pt x="1928535" y="258855"/>
                  <a:pt x="1928535" y="254698"/>
                </a:cubicBezTo>
                <a:lnTo>
                  <a:pt x="1928535" y="205866"/>
                </a:lnTo>
                <a:lnTo>
                  <a:pt x="1928535" y="199255"/>
                </a:lnTo>
                <a:lnTo>
                  <a:pt x="1928535" y="181262"/>
                </a:lnTo>
                <a:lnTo>
                  <a:pt x="1933385" y="197025"/>
                </a:lnTo>
                <a:cubicBezTo>
                  <a:pt x="1934622" y="201041"/>
                  <a:pt x="1939363" y="203423"/>
                  <a:pt x="1943974" y="202347"/>
                </a:cubicBezTo>
                <a:lnTo>
                  <a:pt x="1946009" y="201873"/>
                </a:lnTo>
                <a:cubicBezTo>
                  <a:pt x="1950620" y="200797"/>
                  <a:pt x="1953357" y="196670"/>
                  <a:pt x="1952121" y="192653"/>
                </a:cubicBezTo>
                <a:lnTo>
                  <a:pt x="1935640" y="139098"/>
                </a:lnTo>
                <a:cubicBezTo>
                  <a:pt x="1935177" y="137592"/>
                  <a:pt x="1934220" y="136315"/>
                  <a:pt x="1932962" y="135365"/>
                </a:cubicBezTo>
                <a:lnTo>
                  <a:pt x="1928535" y="133610"/>
                </a:lnTo>
                <a:lnTo>
                  <a:pt x="1928535" y="133396"/>
                </a:lnTo>
                <a:lnTo>
                  <a:pt x="1882298" y="133396"/>
                </a:lnTo>
                <a:close/>
                <a:moveTo>
                  <a:pt x="2081622" y="133396"/>
                </a:moveTo>
                <a:lnTo>
                  <a:pt x="2081622" y="133621"/>
                </a:lnTo>
                <a:lnTo>
                  <a:pt x="2081004" y="133589"/>
                </a:lnTo>
                <a:cubicBezTo>
                  <a:pt x="2077667" y="133992"/>
                  <a:pt x="2074768" y="136086"/>
                  <a:pt x="2073841" y="139098"/>
                </a:cubicBezTo>
                <a:lnTo>
                  <a:pt x="2057362" y="192653"/>
                </a:lnTo>
                <a:cubicBezTo>
                  <a:pt x="2056126" y="196670"/>
                  <a:pt x="2058863" y="200797"/>
                  <a:pt x="2063474" y="201873"/>
                </a:cubicBezTo>
                <a:lnTo>
                  <a:pt x="2065507" y="202347"/>
                </a:lnTo>
                <a:cubicBezTo>
                  <a:pt x="2070119" y="203423"/>
                  <a:pt x="2074860" y="201041"/>
                  <a:pt x="2076097" y="197025"/>
                </a:cubicBezTo>
                <a:lnTo>
                  <a:pt x="2081622" y="179069"/>
                </a:lnTo>
                <a:lnTo>
                  <a:pt x="2081622" y="199255"/>
                </a:lnTo>
                <a:lnTo>
                  <a:pt x="2081622" y="205866"/>
                </a:lnTo>
                <a:lnTo>
                  <a:pt x="2081622" y="254698"/>
                </a:lnTo>
                <a:cubicBezTo>
                  <a:pt x="2081622" y="258855"/>
                  <a:pt x="2085492" y="262227"/>
                  <a:pt x="2090268" y="262227"/>
                </a:cubicBezTo>
                <a:lnTo>
                  <a:pt x="2092373" y="262227"/>
                </a:lnTo>
                <a:cubicBezTo>
                  <a:pt x="2097148" y="262227"/>
                  <a:pt x="2101019" y="258855"/>
                  <a:pt x="2101019" y="254698"/>
                </a:cubicBezTo>
                <a:lnTo>
                  <a:pt x="2101019" y="205866"/>
                </a:lnTo>
                <a:lnTo>
                  <a:pt x="2108461" y="205866"/>
                </a:lnTo>
                <a:lnTo>
                  <a:pt x="2108461" y="254698"/>
                </a:lnTo>
                <a:cubicBezTo>
                  <a:pt x="2108461" y="258855"/>
                  <a:pt x="2112333" y="262227"/>
                  <a:pt x="2117107" y="262227"/>
                </a:cubicBezTo>
                <a:lnTo>
                  <a:pt x="2119212" y="262227"/>
                </a:lnTo>
                <a:cubicBezTo>
                  <a:pt x="2123987" y="262227"/>
                  <a:pt x="2127858" y="258855"/>
                  <a:pt x="2127858" y="254698"/>
                </a:cubicBezTo>
                <a:lnTo>
                  <a:pt x="2127858" y="205866"/>
                </a:lnTo>
                <a:lnTo>
                  <a:pt x="2127858" y="199255"/>
                </a:lnTo>
                <a:lnTo>
                  <a:pt x="2127858" y="181262"/>
                </a:lnTo>
                <a:lnTo>
                  <a:pt x="2132707" y="197025"/>
                </a:lnTo>
                <a:cubicBezTo>
                  <a:pt x="2133945" y="201041"/>
                  <a:pt x="2138685" y="203423"/>
                  <a:pt x="2143298" y="202347"/>
                </a:cubicBezTo>
                <a:lnTo>
                  <a:pt x="2145331" y="201873"/>
                </a:lnTo>
                <a:cubicBezTo>
                  <a:pt x="2149943" y="200797"/>
                  <a:pt x="2152681" y="196670"/>
                  <a:pt x="2151445" y="192653"/>
                </a:cubicBezTo>
                <a:lnTo>
                  <a:pt x="2134963" y="139098"/>
                </a:lnTo>
                <a:cubicBezTo>
                  <a:pt x="2134501" y="137592"/>
                  <a:pt x="2133542" y="136315"/>
                  <a:pt x="2132286" y="135365"/>
                </a:cubicBezTo>
                <a:lnTo>
                  <a:pt x="2127858" y="133610"/>
                </a:lnTo>
                <a:lnTo>
                  <a:pt x="2127858" y="133396"/>
                </a:lnTo>
                <a:lnTo>
                  <a:pt x="2081622" y="133396"/>
                </a:lnTo>
                <a:close/>
                <a:moveTo>
                  <a:pt x="303668" y="315528"/>
                </a:moveTo>
                <a:cubicBezTo>
                  <a:pt x="293205" y="315528"/>
                  <a:pt x="284721" y="322914"/>
                  <a:pt x="284721" y="332024"/>
                </a:cubicBezTo>
                <a:cubicBezTo>
                  <a:pt x="284721" y="341135"/>
                  <a:pt x="293205" y="348520"/>
                  <a:pt x="303668" y="348520"/>
                </a:cubicBezTo>
                <a:cubicBezTo>
                  <a:pt x="314131" y="348520"/>
                  <a:pt x="322614" y="341135"/>
                  <a:pt x="322614" y="332024"/>
                </a:cubicBezTo>
                <a:cubicBezTo>
                  <a:pt x="322614" y="322914"/>
                  <a:pt x="314131" y="315528"/>
                  <a:pt x="303668" y="315528"/>
                </a:cubicBezTo>
                <a:close/>
                <a:moveTo>
                  <a:pt x="503662" y="315528"/>
                </a:moveTo>
                <a:cubicBezTo>
                  <a:pt x="493198" y="315528"/>
                  <a:pt x="484717" y="322914"/>
                  <a:pt x="484717" y="332024"/>
                </a:cubicBezTo>
                <a:cubicBezTo>
                  <a:pt x="484717" y="341135"/>
                  <a:pt x="493198" y="348520"/>
                  <a:pt x="503662" y="348520"/>
                </a:cubicBezTo>
                <a:cubicBezTo>
                  <a:pt x="514126" y="348520"/>
                  <a:pt x="522607" y="341135"/>
                  <a:pt x="522607" y="332024"/>
                </a:cubicBezTo>
                <a:cubicBezTo>
                  <a:pt x="522607" y="322914"/>
                  <a:pt x="514126" y="315528"/>
                  <a:pt x="503662" y="315528"/>
                </a:cubicBezTo>
                <a:close/>
                <a:moveTo>
                  <a:pt x="703653" y="315528"/>
                </a:moveTo>
                <a:cubicBezTo>
                  <a:pt x="693190" y="315528"/>
                  <a:pt x="684709" y="322914"/>
                  <a:pt x="684709" y="332024"/>
                </a:cubicBezTo>
                <a:cubicBezTo>
                  <a:pt x="684709" y="341135"/>
                  <a:pt x="693190" y="348520"/>
                  <a:pt x="703653" y="348520"/>
                </a:cubicBezTo>
                <a:cubicBezTo>
                  <a:pt x="714117" y="348520"/>
                  <a:pt x="722600" y="341135"/>
                  <a:pt x="722600" y="332024"/>
                </a:cubicBezTo>
                <a:cubicBezTo>
                  <a:pt x="722600" y="322914"/>
                  <a:pt x="714117" y="315528"/>
                  <a:pt x="703653" y="315528"/>
                </a:cubicBezTo>
                <a:close/>
                <a:moveTo>
                  <a:pt x="903646" y="315528"/>
                </a:moveTo>
                <a:cubicBezTo>
                  <a:pt x="893183" y="315528"/>
                  <a:pt x="884701" y="322914"/>
                  <a:pt x="884701" y="332024"/>
                </a:cubicBezTo>
                <a:cubicBezTo>
                  <a:pt x="884701" y="341135"/>
                  <a:pt x="893183" y="348520"/>
                  <a:pt x="903646" y="348520"/>
                </a:cubicBezTo>
                <a:cubicBezTo>
                  <a:pt x="914110" y="348520"/>
                  <a:pt x="922591" y="341135"/>
                  <a:pt x="922591" y="332024"/>
                </a:cubicBezTo>
                <a:cubicBezTo>
                  <a:pt x="922591" y="322914"/>
                  <a:pt x="914110" y="315528"/>
                  <a:pt x="903646" y="315528"/>
                </a:cubicBezTo>
                <a:close/>
                <a:moveTo>
                  <a:pt x="1103638" y="315528"/>
                </a:moveTo>
                <a:cubicBezTo>
                  <a:pt x="1093175" y="315528"/>
                  <a:pt x="1084694" y="322914"/>
                  <a:pt x="1084694" y="332024"/>
                </a:cubicBezTo>
                <a:cubicBezTo>
                  <a:pt x="1084694" y="341135"/>
                  <a:pt x="1093175" y="348520"/>
                  <a:pt x="1103638" y="348520"/>
                </a:cubicBezTo>
                <a:cubicBezTo>
                  <a:pt x="1114102" y="348520"/>
                  <a:pt x="1122584" y="341135"/>
                  <a:pt x="1122584" y="332024"/>
                </a:cubicBezTo>
                <a:cubicBezTo>
                  <a:pt x="1122584" y="322914"/>
                  <a:pt x="1114102" y="315528"/>
                  <a:pt x="1103638" y="315528"/>
                </a:cubicBezTo>
                <a:close/>
                <a:moveTo>
                  <a:pt x="1303631" y="315528"/>
                </a:moveTo>
                <a:cubicBezTo>
                  <a:pt x="1293167" y="315528"/>
                  <a:pt x="1284685" y="322914"/>
                  <a:pt x="1284685" y="332024"/>
                </a:cubicBezTo>
                <a:cubicBezTo>
                  <a:pt x="1284685" y="341135"/>
                  <a:pt x="1293167" y="348520"/>
                  <a:pt x="1303631" y="348520"/>
                </a:cubicBezTo>
                <a:cubicBezTo>
                  <a:pt x="1314095" y="348520"/>
                  <a:pt x="1322576" y="341135"/>
                  <a:pt x="1322576" y="332024"/>
                </a:cubicBezTo>
                <a:cubicBezTo>
                  <a:pt x="1322576" y="322914"/>
                  <a:pt x="1314095" y="315528"/>
                  <a:pt x="1303631" y="315528"/>
                </a:cubicBezTo>
                <a:close/>
                <a:moveTo>
                  <a:pt x="1505923" y="315528"/>
                </a:moveTo>
                <a:cubicBezTo>
                  <a:pt x="1495460" y="315528"/>
                  <a:pt x="1486979" y="322914"/>
                  <a:pt x="1486979" y="332024"/>
                </a:cubicBezTo>
                <a:cubicBezTo>
                  <a:pt x="1486979" y="341135"/>
                  <a:pt x="1495460" y="348520"/>
                  <a:pt x="1505923" y="348520"/>
                </a:cubicBezTo>
                <a:cubicBezTo>
                  <a:pt x="1516387" y="348520"/>
                  <a:pt x="1524868" y="341135"/>
                  <a:pt x="1524868" y="332024"/>
                </a:cubicBezTo>
                <a:cubicBezTo>
                  <a:pt x="1524868" y="322914"/>
                  <a:pt x="1516387" y="315528"/>
                  <a:pt x="1505923" y="315528"/>
                </a:cubicBezTo>
                <a:close/>
                <a:moveTo>
                  <a:pt x="1703085" y="315528"/>
                </a:moveTo>
                <a:cubicBezTo>
                  <a:pt x="1692623" y="315528"/>
                  <a:pt x="1684140" y="322914"/>
                  <a:pt x="1684140" y="332024"/>
                </a:cubicBezTo>
                <a:cubicBezTo>
                  <a:pt x="1684140" y="341135"/>
                  <a:pt x="1692623" y="348520"/>
                  <a:pt x="1703085" y="348520"/>
                </a:cubicBezTo>
                <a:cubicBezTo>
                  <a:pt x="1713550" y="348520"/>
                  <a:pt x="1722031" y="341135"/>
                  <a:pt x="1722031" y="332024"/>
                </a:cubicBezTo>
                <a:cubicBezTo>
                  <a:pt x="1722031" y="322914"/>
                  <a:pt x="1713550" y="315528"/>
                  <a:pt x="1703085" y="315528"/>
                </a:cubicBezTo>
                <a:close/>
                <a:moveTo>
                  <a:pt x="1905908" y="315528"/>
                </a:moveTo>
                <a:cubicBezTo>
                  <a:pt x="1895444" y="315528"/>
                  <a:pt x="1886962" y="322914"/>
                  <a:pt x="1886962" y="332024"/>
                </a:cubicBezTo>
                <a:cubicBezTo>
                  <a:pt x="1886962" y="341135"/>
                  <a:pt x="1895444" y="348520"/>
                  <a:pt x="1905908" y="348520"/>
                </a:cubicBezTo>
                <a:cubicBezTo>
                  <a:pt x="1916372" y="348520"/>
                  <a:pt x="1924855" y="341135"/>
                  <a:pt x="1924855" y="332024"/>
                </a:cubicBezTo>
                <a:cubicBezTo>
                  <a:pt x="1924855" y="322914"/>
                  <a:pt x="1916372" y="315528"/>
                  <a:pt x="1905908" y="315528"/>
                </a:cubicBezTo>
                <a:close/>
                <a:moveTo>
                  <a:pt x="2105231" y="315528"/>
                </a:moveTo>
                <a:cubicBezTo>
                  <a:pt x="2094769" y="315528"/>
                  <a:pt x="2086286" y="322914"/>
                  <a:pt x="2086286" y="332024"/>
                </a:cubicBezTo>
                <a:cubicBezTo>
                  <a:pt x="2086286" y="341135"/>
                  <a:pt x="2094769" y="348520"/>
                  <a:pt x="2105231" y="348520"/>
                </a:cubicBezTo>
                <a:cubicBezTo>
                  <a:pt x="2115694" y="348520"/>
                  <a:pt x="2124177" y="341135"/>
                  <a:pt x="2124177" y="332024"/>
                </a:cubicBezTo>
                <a:cubicBezTo>
                  <a:pt x="2124177" y="322914"/>
                  <a:pt x="2115694" y="315528"/>
                  <a:pt x="2105231" y="315528"/>
                </a:cubicBezTo>
                <a:close/>
                <a:moveTo>
                  <a:pt x="280058" y="352185"/>
                </a:moveTo>
                <a:lnTo>
                  <a:pt x="280058" y="352410"/>
                </a:lnTo>
                <a:lnTo>
                  <a:pt x="279441" y="352375"/>
                </a:lnTo>
                <a:cubicBezTo>
                  <a:pt x="276104" y="352781"/>
                  <a:pt x="273205" y="354874"/>
                  <a:pt x="272279" y="357886"/>
                </a:cubicBezTo>
                <a:lnTo>
                  <a:pt x="255797" y="411442"/>
                </a:lnTo>
                <a:cubicBezTo>
                  <a:pt x="254561" y="415458"/>
                  <a:pt x="257298" y="419586"/>
                  <a:pt x="261911" y="420662"/>
                </a:cubicBezTo>
                <a:lnTo>
                  <a:pt x="263944" y="421136"/>
                </a:lnTo>
                <a:cubicBezTo>
                  <a:pt x="268557" y="422212"/>
                  <a:pt x="273297" y="419828"/>
                  <a:pt x="274533" y="415813"/>
                </a:cubicBezTo>
                <a:lnTo>
                  <a:pt x="280058" y="397857"/>
                </a:lnTo>
                <a:lnTo>
                  <a:pt x="280058" y="418041"/>
                </a:lnTo>
                <a:lnTo>
                  <a:pt x="280058" y="424655"/>
                </a:lnTo>
                <a:lnTo>
                  <a:pt x="280058" y="473487"/>
                </a:lnTo>
                <a:cubicBezTo>
                  <a:pt x="280058" y="477644"/>
                  <a:pt x="283930" y="481014"/>
                  <a:pt x="288705" y="481014"/>
                </a:cubicBezTo>
                <a:lnTo>
                  <a:pt x="290809" y="481014"/>
                </a:lnTo>
                <a:cubicBezTo>
                  <a:pt x="295584" y="481014"/>
                  <a:pt x="299455" y="477644"/>
                  <a:pt x="299455" y="473487"/>
                </a:cubicBezTo>
                <a:lnTo>
                  <a:pt x="299455" y="424655"/>
                </a:lnTo>
                <a:lnTo>
                  <a:pt x="306898" y="424655"/>
                </a:lnTo>
                <a:lnTo>
                  <a:pt x="306898" y="473487"/>
                </a:lnTo>
                <a:cubicBezTo>
                  <a:pt x="306898" y="477644"/>
                  <a:pt x="310769" y="481014"/>
                  <a:pt x="315544" y="481014"/>
                </a:cubicBezTo>
                <a:lnTo>
                  <a:pt x="317649" y="481014"/>
                </a:lnTo>
                <a:cubicBezTo>
                  <a:pt x="322423" y="481014"/>
                  <a:pt x="326293" y="477644"/>
                  <a:pt x="326293" y="473487"/>
                </a:cubicBezTo>
                <a:lnTo>
                  <a:pt x="326293" y="424655"/>
                </a:lnTo>
                <a:lnTo>
                  <a:pt x="326293" y="418041"/>
                </a:lnTo>
                <a:lnTo>
                  <a:pt x="326293" y="400049"/>
                </a:lnTo>
                <a:lnTo>
                  <a:pt x="331145" y="415813"/>
                </a:lnTo>
                <a:cubicBezTo>
                  <a:pt x="332381" y="419828"/>
                  <a:pt x="337122" y="422212"/>
                  <a:pt x="341734" y="421136"/>
                </a:cubicBezTo>
                <a:lnTo>
                  <a:pt x="343767" y="420662"/>
                </a:lnTo>
                <a:cubicBezTo>
                  <a:pt x="348380" y="419586"/>
                  <a:pt x="351116" y="415458"/>
                  <a:pt x="349881" y="411442"/>
                </a:cubicBezTo>
                <a:lnTo>
                  <a:pt x="333400" y="357886"/>
                </a:lnTo>
                <a:cubicBezTo>
                  <a:pt x="332936" y="356380"/>
                  <a:pt x="331980" y="355103"/>
                  <a:pt x="330722" y="354153"/>
                </a:cubicBezTo>
                <a:lnTo>
                  <a:pt x="326293" y="352399"/>
                </a:lnTo>
                <a:lnTo>
                  <a:pt x="326293" y="352185"/>
                </a:lnTo>
                <a:lnTo>
                  <a:pt x="280058" y="352185"/>
                </a:lnTo>
                <a:close/>
                <a:moveTo>
                  <a:pt x="480053" y="352185"/>
                </a:moveTo>
                <a:lnTo>
                  <a:pt x="480053" y="352410"/>
                </a:lnTo>
                <a:lnTo>
                  <a:pt x="479436" y="352375"/>
                </a:lnTo>
                <a:cubicBezTo>
                  <a:pt x="476099" y="352781"/>
                  <a:pt x="473200" y="354874"/>
                  <a:pt x="472272" y="357886"/>
                </a:cubicBezTo>
                <a:lnTo>
                  <a:pt x="455791" y="411442"/>
                </a:lnTo>
                <a:cubicBezTo>
                  <a:pt x="454555" y="415458"/>
                  <a:pt x="457292" y="419586"/>
                  <a:pt x="461906" y="420662"/>
                </a:cubicBezTo>
                <a:lnTo>
                  <a:pt x="463938" y="421136"/>
                </a:lnTo>
                <a:cubicBezTo>
                  <a:pt x="468550" y="422212"/>
                  <a:pt x="473292" y="419828"/>
                  <a:pt x="474527" y="415813"/>
                </a:cubicBezTo>
                <a:lnTo>
                  <a:pt x="480053" y="397857"/>
                </a:lnTo>
                <a:lnTo>
                  <a:pt x="480053" y="418041"/>
                </a:lnTo>
                <a:lnTo>
                  <a:pt x="480053" y="424655"/>
                </a:lnTo>
                <a:lnTo>
                  <a:pt x="480053" y="473487"/>
                </a:lnTo>
                <a:cubicBezTo>
                  <a:pt x="480053" y="477644"/>
                  <a:pt x="483924" y="481014"/>
                  <a:pt x="488698" y="481014"/>
                </a:cubicBezTo>
                <a:lnTo>
                  <a:pt x="490804" y="481014"/>
                </a:lnTo>
                <a:cubicBezTo>
                  <a:pt x="495578" y="481014"/>
                  <a:pt x="499450" y="477644"/>
                  <a:pt x="499450" y="473487"/>
                </a:cubicBezTo>
                <a:lnTo>
                  <a:pt x="499450" y="424655"/>
                </a:lnTo>
                <a:lnTo>
                  <a:pt x="506892" y="424655"/>
                </a:lnTo>
                <a:lnTo>
                  <a:pt x="506892" y="473487"/>
                </a:lnTo>
                <a:cubicBezTo>
                  <a:pt x="506892" y="477644"/>
                  <a:pt x="510763" y="481014"/>
                  <a:pt x="515538" y="481014"/>
                </a:cubicBezTo>
                <a:lnTo>
                  <a:pt x="517643" y="481014"/>
                </a:lnTo>
                <a:cubicBezTo>
                  <a:pt x="522418" y="481014"/>
                  <a:pt x="526287" y="477644"/>
                  <a:pt x="526287" y="473487"/>
                </a:cubicBezTo>
                <a:lnTo>
                  <a:pt x="526287" y="424655"/>
                </a:lnTo>
                <a:lnTo>
                  <a:pt x="526287" y="418041"/>
                </a:lnTo>
                <a:lnTo>
                  <a:pt x="526287" y="400049"/>
                </a:lnTo>
                <a:lnTo>
                  <a:pt x="531139" y="415813"/>
                </a:lnTo>
                <a:cubicBezTo>
                  <a:pt x="532375" y="419828"/>
                  <a:pt x="537116" y="422212"/>
                  <a:pt x="541727" y="421136"/>
                </a:cubicBezTo>
                <a:lnTo>
                  <a:pt x="543761" y="420662"/>
                </a:lnTo>
                <a:cubicBezTo>
                  <a:pt x="548373" y="419586"/>
                  <a:pt x="551110" y="415458"/>
                  <a:pt x="549875" y="411442"/>
                </a:cubicBezTo>
                <a:lnTo>
                  <a:pt x="533394" y="357886"/>
                </a:lnTo>
                <a:cubicBezTo>
                  <a:pt x="532930" y="356380"/>
                  <a:pt x="531974" y="355103"/>
                  <a:pt x="530716" y="354153"/>
                </a:cubicBezTo>
                <a:lnTo>
                  <a:pt x="526287" y="352399"/>
                </a:lnTo>
                <a:lnTo>
                  <a:pt x="526287" y="352185"/>
                </a:lnTo>
                <a:lnTo>
                  <a:pt x="480053" y="352185"/>
                </a:lnTo>
                <a:close/>
                <a:moveTo>
                  <a:pt x="680045" y="352185"/>
                </a:moveTo>
                <a:lnTo>
                  <a:pt x="680045" y="352410"/>
                </a:lnTo>
                <a:lnTo>
                  <a:pt x="679427" y="352375"/>
                </a:lnTo>
                <a:cubicBezTo>
                  <a:pt x="676090" y="352781"/>
                  <a:pt x="673192" y="354874"/>
                  <a:pt x="672265" y="357886"/>
                </a:cubicBezTo>
                <a:lnTo>
                  <a:pt x="655783" y="411442"/>
                </a:lnTo>
                <a:cubicBezTo>
                  <a:pt x="654547" y="415458"/>
                  <a:pt x="657285" y="419586"/>
                  <a:pt x="661899" y="420662"/>
                </a:cubicBezTo>
                <a:lnTo>
                  <a:pt x="663930" y="421136"/>
                </a:lnTo>
                <a:cubicBezTo>
                  <a:pt x="668542" y="422212"/>
                  <a:pt x="673282" y="419828"/>
                  <a:pt x="674518" y="415813"/>
                </a:cubicBezTo>
                <a:lnTo>
                  <a:pt x="680045" y="397857"/>
                </a:lnTo>
                <a:lnTo>
                  <a:pt x="680045" y="418041"/>
                </a:lnTo>
                <a:lnTo>
                  <a:pt x="680045" y="424655"/>
                </a:lnTo>
                <a:lnTo>
                  <a:pt x="680045" y="473487"/>
                </a:lnTo>
                <a:cubicBezTo>
                  <a:pt x="680045" y="477644"/>
                  <a:pt x="683916" y="481014"/>
                  <a:pt x="688691" y="481014"/>
                </a:cubicBezTo>
                <a:lnTo>
                  <a:pt x="690797" y="481014"/>
                </a:lnTo>
                <a:cubicBezTo>
                  <a:pt x="695570" y="481014"/>
                  <a:pt x="699443" y="477644"/>
                  <a:pt x="699443" y="473487"/>
                </a:cubicBezTo>
                <a:lnTo>
                  <a:pt x="699443" y="424655"/>
                </a:lnTo>
                <a:lnTo>
                  <a:pt x="706884" y="424655"/>
                </a:lnTo>
                <a:lnTo>
                  <a:pt x="706884" y="473487"/>
                </a:lnTo>
                <a:cubicBezTo>
                  <a:pt x="706884" y="477644"/>
                  <a:pt x="710754" y="481014"/>
                  <a:pt x="715530" y="481014"/>
                </a:cubicBezTo>
                <a:lnTo>
                  <a:pt x="717635" y="481014"/>
                </a:lnTo>
                <a:cubicBezTo>
                  <a:pt x="722411" y="481014"/>
                  <a:pt x="726280" y="477644"/>
                  <a:pt x="726280" y="473487"/>
                </a:cubicBezTo>
                <a:lnTo>
                  <a:pt x="726280" y="424655"/>
                </a:lnTo>
                <a:lnTo>
                  <a:pt x="726280" y="418041"/>
                </a:lnTo>
                <a:lnTo>
                  <a:pt x="726280" y="400049"/>
                </a:lnTo>
                <a:lnTo>
                  <a:pt x="731132" y="415813"/>
                </a:lnTo>
                <a:cubicBezTo>
                  <a:pt x="732368" y="419828"/>
                  <a:pt x="737108" y="422212"/>
                  <a:pt x="741720" y="421136"/>
                </a:cubicBezTo>
                <a:lnTo>
                  <a:pt x="743753" y="420662"/>
                </a:lnTo>
                <a:cubicBezTo>
                  <a:pt x="748365" y="419586"/>
                  <a:pt x="751103" y="415458"/>
                  <a:pt x="749868" y="411442"/>
                </a:cubicBezTo>
                <a:lnTo>
                  <a:pt x="733385" y="357886"/>
                </a:lnTo>
                <a:cubicBezTo>
                  <a:pt x="732923" y="356380"/>
                  <a:pt x="731967" y="355103"/>
                  <a:pt x="730709" y="354153"/>
                </a:cubicBezTo>
                <a:lnTo>
                  <a:pt x="726280" y="352399"/>
                </a:lnTo>
                <a:lnTo>
                  <a:pt x="726280" y="352185"/>
                </a:lnTo>
                <a:lnTo>
                  <a:pt x="680045" y="352185"/>
                </a:lnTo>
                <a:close/>
                <a:moveTo>
                  <a:pt x="880037" y="352185"/>
                </a:moveTo>
                <a:lnTo>
                  <a:pt x="880037" y="352410"/>
                </a:lnTo>
                <a:lnTo>
                  <a:pt x="879420" y="352375"/>
                </a:lnTo>
                <a:cubicBezTo>
                  <a:pt x="876083" y="352781"/>
                  <a:pt x="873184" y="354874"/>
                  <a:pt x="872256" y="357886"/>
                </a:cubicBezTo>
                <a:lnTo>
                  <a:pt x="855776" y="411442"/>
                </a:lnTo>
                <a:cubicBezTo>
                  <a:pt x="854540" y="415458"/>
                  <a:pt x="857277" y="419586"/>
                  <a:pt x="861890" y="420662"/>
                </a:cubicBezTo>
                <a:lnTo>
                  <a:pt x="863923" y="421136"/>
                </a:lnTo>
                <a:cubicBezTo>
                  <a:pt x="868534" y="422212"/>
                  <a:pt x="873275" y="419828"/>
                  <a:pt x="874511" y="415813"/>
                </a:cubicBezTo>
                <a:lnTo>
                  <a:pt x="880037" y="397857"/>
                </a:lnTo>
                <a:lnTo>
                  <a:pt x="880037" y="418041"/>
                </a:lnTo>
                <a:lnTo>
                  <a:pt x="880037" y="424655"/>
                </a:lnTo>
                <a:lnTo>
                  <a:pt x="880037" y="473487"/>
                </a:lnTo>
                <a:cubicBezTo>
                  <a:pt x="880037" y="477644"/>
                  <a:pt x="883909" y="481014"/>
                  <a:pt x="888683" y="481014"/>
                </a:cubicBezTo>
                <a:lnTo>
                  <a:pt x="890788" y="481014"/>
                </a:lnTo>
                <a:cubicBezTo>
                  <a:pt x="895563" y="481014"/>
                  <a:pt x="899434" y="477644"/>
                  <a:pt x="899434" y="473487"/>
                </a:cubicBezTo>
                <a:lnTo>
                  <a:pt x="899434" y="424655"/>
                </a:lnTo>
                <a:lnTo>
                  <a:pt x="906877" y="424655"/>
                </a:lnTo>
                <a:lnTo>
                  <a:pt x="906877" y="473487"/>
                </a:lnTo>
                <a:cubicBezTo>
                  <a:pt x="906877" y="477644"/>
                  <a:pt x="910747" y="481014"/>
                  <a:pt x="915521" y="481014"/>
                </a:cubicBezTo>
                <a:lnTo>
                  <a:pt x="917628" y="481014"/>
                </a:lnTo>
                <a:cubicBezTo>
                  <a:pt x="922402" y="481014"/>
                  <a:pt x="926272" y="477644"/>
                  <a:pt x="926272" y="473487"/>
                </a:cubicBezTo>
                <a:lnTo>
                  <a:pt x="926272" y="424655"/>
                </a:lnTo>
                <a:lnTo>
                  <a:pt x="926272" y="418041"/>
                </a:lnTo>
                <a:lnTo>
                  <a:pt x="926272" y="400049"/>
                </a:lnTo>
                <a:lnTo>
                  <a:pt x="931123" y="415813"/>
                </a:lnTo>
                <a:cubicBezTo>
                  <a:pt x="932359" y="419828"/>
                  <a:pt x="937100" y="422212"/>
                  <a:pt x="941712" y="421136"/>
                </a:cubicBezTo>
                <a:lnTo>
                  <a:pt x="943745" y="420662"/>
                </a:lnTo>
                <a:cubicBezTo>
                  <a:pt x="948358" y="419586"/>
                  <a:pt x="951095" y="415458"/>
                  <a:pt x="949860" y="411442"/>
                </a:cubicBezTo>
                <a:lnTo>
                  <a:pt x="933378" y="357886"/>
                </a:lnTo>
                <a:cubicBezTo>
                  <a:pt x="932915" y="356380"/>
                  <a:pt x="931958" y="355103"/>
                  <a:pt x="930701" y="354153"/>
                </a:cubicBezTo>
                <a:lnTo>
                  <a:pt x="926272" y="352399"/>
                </a:lnTo>
                <a:lnTo>
                  <a:pt x="926272" y="352185"/>
                </a:lnTo>
                <a:lnTo>
                  <a:pt x="880037" y="352185"/>
                </a:lnTo>
                <a:close/>
                <a:moveTo>
                  <a:pt x="1080030" y="352185"/>
                </a:moveTo>
                <a:lnTo>
                  <a:pt x="1080030" y="352410"/>
                </a:lnTo>
                <a:lnTo>
                  <a:pt x="1079412" y="352375"/>
                </a:lnTo>
                <a:cubicBezTo>
                  <a:pt x="1076075" y="352781"/>
                  <a:pt x="1073176" y="354874"/>
                  <a:pt x="1072249" y="357886"/>
                </a:cubicBezTo>
                <a:lnTo>
                  <a:pt x="1055767" y="411442"/>
                </a:lnTo>
                <a:cubicBezTo>
                  <a:pt x="1054531" y="415458"/>
                  <a:pt x="1057269" y="419586"/>
                  <a:pt x="1061881" y="420662"/>
                </a:cubicBezTo>
                <a:lnTo>
                  <a:pt x="1063914" y="421136"/>
                </a:lnTo>
                <a:cubicBezTo>
                  <a:pt x="1068527" y="422212"/>
                  <a:pt x="1073267" y="419828"/>
                  <a:pt x="1074503" y="415813"/>
                </a:cubicBezTo>
                <a:lnTo>
                  <a:pt x="1080030" y="397857"/>
                </a:lnTo>
                <a:lnTo>
                  <a:pt x="1080030" y="418041"/>
                </a:lnTo>
                <a:lnTo>
                  <a:pt x="1080030" y="424655"/>
                </a:lnTo>
                <a:lnTo>
                  <a:pt x="1080030" y="473487"/>
                </a:lnTo>
                <a:cubicBezTo>
                  <a:pt x="1080030" y="477644"/>
                  <a:pt x="1083900" y="481014"/>
                  <a:pt x="1088676" y="481014"/>
                </a:cubicBezTo>
                <a:lnTo>
                  <a:pt x="1090781" y="481014"/>
                </a:lnTo>
                <a:cubicBezTo>
                  <a:pt x="1095554" y="481014"/>
                  <a:pt x="1099427" y="477644"/>
                  <a:pt x="1099427" y="473487"/>
                </a:cubicBezTo>
                <a:lnTo>
                  <a:pt x="1099427" y="424655"/>
                </a:lnTo>
                <a:lnTo>
                  <a:pt x="1106868" y="424655"/>
                </a:lnTo>
                <a:lnTo>
                  <a:pt x="1106868" y="473487"/>
                </a:lnTo>
                <a:cubicBezTo>
                  <a:pt x="1106868" y="477644"/>
                  <a:pt x="1110739" y="481014"/>
                  <a:pt x="1115514" y="481014"/>
                </a:cubicBezTo>
                <a:lnTo>
                  <a:pt x="1117619" y="481014"/>
                </a:lnTo>
                <a:cubicBezTo>
                  <a:pt x="1122395" y="481014"/>
                  <a:pt x="1126264" y="477644"/>
                  <a:pt x="1126264" y="473487"/>
                </a:cubicBezTo>
                <a:lnTo>
                  <a:pt x="1126264" y="424655"/>
                </a:lnTo>
                <a:lnTo>
                  <a:pt x="1126264" y="418041"/>
                </a:lnTo>
                <a:lnTo>
                  <a:pt x="1126264" y="400049"/>
                </a:lnTo>
                <a:lnTo>
                  <a:pt x="1131115" y="415813"/>
                </a:lnTo>
                <a:cubicBezTo>
                  <a:pt x="1132352" y="419828"/>
                  <a:pt x="1137092" y="422212"/>
                  <a:pt x="1141704" y="421136"/>
                </a:cubicBezTo>
                <a:lnTo>
                  <a:pt x="1143738" y="420662"/>
                </a:lnTo>
                <a:cubicBezTo>
                  <a:pt x="1148350" y="419586"/>
                  <a:pt x="1151086" y="415458"/>
                  <a:pt x="1149853" y="411442"/>
                </a:cubicBezTo>
                <a:lnTo>
                  <a:pt x="1133370" y="357886"/>
                </a:lnTo>
                <a:cubicBezTo>
                  <a:pt x="1132906" y="356380"/>
                  <a:pt x="1131950" y="355103"/>
                  <a:pt x="1130693" y="354153"/>
                </a:cubicBezTo>
                <a:lnTo>
                  <a:pt x="1126264" y="352399"/>
                </a:lnTo>
                <a:lnTo>
                  <a:pt x="1126264" y="352185"/>
                </a:lnTo>
                <a:lnTo>
                  <a:pt x="1080030" y="352185"/>
                </a:lnTo>
                <a:close/>
                <a:moveTo>
                  <a:pt x="1280022" y="352185"/>
                </a:moveTo>
                <a:lnTo>
                  <a:pt x="1280022" y="352410"/>
                </a:lnTo>
                <a:lnTo>
                  <a:pt x="1279405" y="352375"/>
                </a:lnTo>
                <a:cubicBezTo>
                  <a:pt x="1276068" y="352781"/>
                  <a:pt x="1273169" y="354874"/>
                  <a:pt x="1272241" y="357886"/>
                </a:cubicBezTo>
                <a:lnTo>
                  <a:pt x="1255760" y="411442"/>
                </a:lnTo>
                <a:cubicBezTo>
                  <a:pt x="1254524" y="415458"/>
                  <a:pt x="1257261" y="419586"/>
                  <a:pt x="1261874" y="420662"/>
                </a:cubicBezTo>
                <a:lnTo>
                  <a:pt x="1263907" y="421136"/>
                </a:lnTo>
                <a:cubicBezTo>
                  <a:pt x="1268519" y="422212"/>
                  <a:pt x="1273260" y="419828"/>
                  <a:pt x="1274496" y="415813"/>
                </a:cubicBezTo>
                <a:lnTo>
                  <a:pt x="1280022" y="397857"/>
                </a:lnTo>
                <a:lnTo>
                  <a:pt x="1280022" y="418041"/>
                </a:lnTo>
                <a:lnTo>
                  <a:pt x="1280022" y="424655"/>
                </a:lnTo>
                <a:lnTo>
                  <a:pt x="1280022" y="473487"/>
                </a:lnTo>
                <a:cubicBezTo>
                  <a:pt x="1280022" y="477644"/>
                  <a:pt x="1283892" y="481014"/>
                  <a:pt x="1288667" y="481014"/>
                </a:cubicBezTo>
                <a:lnTo>
                  <a:pt x="1290773" y="481014"/>
                </a:lnTo>
                <a:cubicBezTo>
                  <a:pt x="1295546" y="481014"/>
                  <a:pt x="1299419" y="477644"/>
                  <a:pt x="1299419" y="473487"/>
                </a:cubicBezTo>
                <a:lnTo>
                  <a:pt x="1299419" y="424655"/>
                </a:lnTo>
                <a:lnTo>
                  <a:pt x="1306860" y="424655"/>
                </a:lnTo>
                <a:lnTo>
                  <a:pt x="1306860" y="473487"/>
                </a:lnTo>
                <a:cubicBezTo>
                  <a:pt x="1306860" y="477644"/>
                  <a:pt x="1310732" y="481014"/>
                  <a:pt x="1315506" y="481014"/>
                </a:cubicBezTo>
                <a:lnTo>
                  <a:pt x="1317610" y="481014"/>
                </a:lnTo>
                <a:cubicBezTo>
                  <a:pt x="1322387" y="481014"/>
                  <a:pt x="1326256" y="477644"/>
                  <a:pt x="1326256" y="473487"/>
                </a:cubicBezTo>
                <a:lnTo>
                  <a:pt x="1326256" y="424655"/>
                </a:lnTo>
                <a:lnTo>
                  <a:pt x="1326256" y="418041"/>
                </a:lnTo>
                <a:lnTo>
                  <a:pt x="1326256" y="400049"/>
                </a:lnTo>
                <a:lnTo>
                  <a:pt x="1331108" y="415813"/>
                </a:lnTo>
                <a:cubicBezTo>
                  <a:pt x="1332344" y="419828"/>
                  <a:pt x="1337084" y="422212"/>
                  <a:pt x="1341696" y="421136"/>
                </a:cubicBezTo>
                <a:lnTo>
                  <a:pt x="1343730" y="420662"/>
                </a:lnTo>
                <a:cubicBezTo>
                  <a:pt x="1348342" y="419586"/>
                  <a:pt x="1351079" y="415458"/>
                  <a:pt x="1349844" y="411442"/>
                </a:cubicBezTo>
                <a:lnTo>
                  <a:pt x="1333361" y="357886"/>
                </a:lnTo>
                <a:cubicBezTo>
                  <a:pt x="1332899" y="356380"/>
                  <a:pt x="1331943" y="355103"/>
                  <a:pt x="1330685" y="354153"/>
                </a:cubicBezTo>
                <a:lnTo>
                  <a:pt x="1326256" y="352399"/>
                </a:lnTo>
                <a:lnTo>
                  <a:pt x="1326256" y="352185"/>
                </a:lnTo>
                <a:lnTo>
                  <a:pt x="1280022" y="352185"/>
                </a:lnTo>
                <a:close/>
                <a:moveTo>
                  <a:pt x="1482314" y="352185"/>
                </a:moveTo>
                <a:lnTo>
                  <a:pt x="1482314" y="352410"/>
                </a:lnTo>
                <a:lnTo>
                  <a:pt x="1481697" y="352375"/>
                </a:lnTo>
                <a:cubicBezTo>
                  <a:pt x="1478360" y="352781"/>
                  <a:pt x="1475461" y="354874"/>
                  <a:pt x="1474533" y="357886"/>
                </a:cubicBezTo>
                <a:lnTo>
                  <a:pt x="1458052" y="411442"/>
                </a:lnTo>
                <a:cubicBezTo>
                  <a:pt x="1456817" y="415458"/>
                  <a:pt x="1459553" y="419586"/>
                  <a:pt x="1464166" y="420662"/>
                </a:cubicBezTo>
                <a:lnTo>
                  <a:pt x="1466199" y="421136"/>
                </a:lnTo>
                <a:cubicBezTo>
                  <a:pt x="1470811" y="422212"/>
                  <a:pt x="1475552" y="419828"/>
                  <a:pt x="1476788" y="415813"/>
                </a:cubicBezTo>
                <a:lnTo>
                  <a:pt x="1482314" y="397857"/>
                </a:lnTo>
                <a:lnTo>
                  <a:pt x="1482314" y="418041"/>
                </a:lnTo>
                <a:lnTo>
                  <a:pt x="1482314" y="424655"/>
                </a:lnTo>
                <a:lnTo>
                  <a:pt x="1482314" y="473487"/>
                </a:lnTo>
                <a:cubicBezTo>
                  <a:pt x="1482314" y="477644"/>
                  <a:pt x="1486185" y="481014"/>
                  <a:pt x="1490960" y="481014"/>
                </a:cubicBezTo>
                <a:lnTo>
                  <a:pt x="1493064" y="481014"/>
                </a:lnTo>
                <a:cubicBezTo>
                  <a:pt x="1497840" y="481014"/>
                  <a:pt x="1501710" y="477644"/>
                  <a:pt x="1501710" y="473487"/>
                </a:cubicBezTo>
                <a:lnTo>
                  <a:pt x="1501710" y="424655"/>
                </a:lnTo>
                <a:lnTo>
                  <a:pt x="1509153" y="424655"/>
                </a:lnTo>
                <a:lnTo>
                  <a:pt x="1509153" y="473487"/>
                </a:lnTo>
                <a:cubicBezTo>
                  <a:pt x="1509153" y="477644"/>
                  <a:pt x="1513024" y="481014"/>
                  <a:pt x="1517799" y="481014"/>
                </a:cubicBezTo>
                <a:lnTo>
                  <a:pt x="1519903" y="481014"/>
                </a:lnTo>
                <a:cubicBezTo>
                  <a:pt x="1524678" y="481014"/>
                  <a:pt x="1528549" y="477644"/>
                  <a:pt x="1528549" y="473487"/>
                </a:cubicBezTo>
                <a:lnTo>
                  <a:pt x="1528549" y="424655"/>
                </a:lnTo>
                <a:lnTo>
                  <a:pt x="1528549" y="418041"/>
                </a:lnTo>
                <a:lnTo>
                  <a:pt x="1528549" y="400049"/>
                </a:lnTo>
                <a:lnTo>
                  <a:pt x="1533400" y="415813"/>
                </a:lnTo>
                <a:cubicBezTo>
                  <a:pt x="1534636" y="419828"/>
                  <a:pt x="1539377" y="422212"/>
                  <a:pt x="1543989" y="421136"/>
                </a:cubicBezTo>
                <a:lnTo>
                  <a:pt x="1546022" y="420662"/>
                </a:lnTo>
                <a:cubicBezTo>
                  <a:pt x="1550635" y="419586"/>
                  <a:pt x="1553371" y="415458"/>
                  <a:pt x="1552136" y="411442"/>
                </a:cubicBezTo>
                <a:lnTo>
                  <a:pt x="1535655" y="357886"/>
                </a:lnTo>
                <a:cubicBezTo>
                  <a:pt x="1535191" y="356380"/>
                  <a:pt x="1534235" y="355103"/>
                  <a:pt x="1532977" y="354153"/>
                </a:cubicBezTo>
                <a:lnTo>
                  <a:pt x="1528549" y="352399"/>
                </a:lnTo>
                <a:lnTo>
                  <a:pt x="1528549" y="352185"/>
                </a:lnTo>
                <a:lnTo>
                  <a:pt x="1482314" y="352185"/>
                </a:lnTo>
                <a:close/>
                <a:moveTo>
                  <a:pt x="1679477" y="352185"/>
                </a:moveTo>
                <a:lnTo>
                  <a:pt x="1679477" y="352410"/>
                </a:lnTo>
                <a:lnTo>
                  <a:pt x="1678860" y="352375"/>
                </a:lnTo>
                <a:cubicBezTo>
                  <a:pt x="1675521" y="352781"/>
                  <a:pt x="1672623" y="354874"/>
                  <a:pt x="1671696" y="357886"/>
                </a:cubicBezTo>
                <a:lnTo>
                  <a:pt x="1655215" y="411442"/>
                </a:lnTo>
                <a:cubicBezTo>
                  <a:pt x="1653980" y="415458"/>
                  <a:pt x="1656716" y="419586"/>
                  <a:pt x="1661328" y="420662"/>
                </a:cubicBezTo>
                <a:lnTo>
                  <a:pt x="1663362" y="421136"/>
                </a:lnTo>
                <a:cubicBezTo>
                  <a:pt x="1667974" y="422212"/>
                  <a:pt x="1672715" y="419828"/>
                  <a:pt x="1673951" y="415813"/>
                </a:cubicBezTo>
                <a:lnTo>
                  <a:pt x="1679477" y="397857"/>
                </a:lnTo>
                <a:lnTo>
                  <a:pt x="1679477" y="418041"/>
                </a:lnTo>
                <a:lnTo>
                  <a:pt x="1679477" y="424655"/>
                </a:lnTo>
                <a:lnTo>
                  <a:pt x="1679477" y="473487"/>
                </a:lnTo>
                <a:cubicBezTo>
                  <a:pt x="1679477" y="477644"/>
                  <a:pt x="1683346" y="481014"/>
                  <a:pt x="1688123" y="481014"/>
                </a:cubicBezTo>
                <a:lnTo>
                  <a:pt x="1690227" y="481014"/>
                </a:lnTo>
                <a:cubicBezTo>
                  <a:pt x="1695001" y="481014"/>
                  <a:pt x="1698873" y="477644"/>
                  <a:pt x="1698873" y="473487"/>
                </a:cubicBezTo>
                <a:lnTo>
                  <a:pt x="1698873" y="424655"/>
                </a:lnTo>
                <a:lnTo>
                  <a:pt x="1706314" y="424655"/>
                </a:lnTo>
                <a:lnTo>
                  <a:pt x="1706314" y="473487"/>
                </a:lnTo>
                <a:cubicBezTo>
                  <a:pt x="1706314" y="477644"/>
                  <a:pt x="1710187" y="481014"/>
                  <a:pt x="1714961" y="481014"/>
                </a:cubicBezTo>
                <a:lnTo>
                  <a:pt x="1717066" y="481014"/>
                </a:lnTo>
                <a:cubicBezTo>
                  <a:pt x="1721841" y="481014"/>
                  <a:pt x="1725712" y="477644"/>
                  <a:pt x="1725712" y="473487"/>
                </a:cubicBezTo>
                <a:lnTo>
                  <a:pt x="1725712" y="424655"/>
                </a:lnTo>
                <a:lnTo>
                  <a:pt x="1725712" y="418041"/>
                </a:lnTo>
                <a:lnTo>
                  <a:pt x="1725712" y="400049"/>
                </a:lnTo>
                <a:lnTo>
                  <a:pt x="1730563" y="415813"/>
                </a:lnTo>
                <a:cubicBezTo>
                  <a:pt x="1731799" y="419828"/>
                  <a:pt x="1736539" y="422212"/>
                  <a:pt x="1741152" y="421136"/>
                </a:cubicBezTo>
                <a:lnTo>
                  <a:pt x="1743185" y="420662"/>
                </a:lnTo>
                <a:cubicBezTo>
                  <a:pt x="1747797" y="419586"/>
                  <a:pt x="1750534" y="415458"/>
                  <a:pt x="1749299" y="411442"/>
                </a:cubicBezTo>
                <a:lnTo>
                  <a:pt x="1732817" y="357886"/>
                </a:lnTo>
                <a:cubicBezTo>
                  <a:pt x="1732354" y="356380"/>
                  <a:pt x="1731398" y="355103"/>
                  <a:pt x="1730140" y="354153"/>
                </a:cubicBezTo>
                <a:lnTo>
                  <a:pt x="1725712" y="352399"/>
                </a:lnTo>
                <a:lnTo>
                  <a:pt x="1725712" y="352185"/>
                </a:lnTo>
                <a:lnTo>
                  <a:pt x="1679477" y="352185"/>
                </a:lnTo>
                <a:close/>
                <a:moveTo>
                  <a:pt x="1882298" y="352185"/>
                </a:moveTo>
                <a:lnTo>
                  <a:pt x="1882298" y="352410"/>
                </a:lnTo>
                <a:lnTo>
                  <a:pt x="1881681" y="352375"/>
                </a:lnTo>
                <a:cubicBezTo>
                  <a:pt x="1878344" y="352781"/>
                  <a:pt x="1875446" y="354874"/>
                  <a:pt x="1874518" y="357886"/>
                </a:cubicBezTo>
                <a:lnTo>
                  <a:pt x="1858037" y="411442"/>
                </a:lnTo>
                <a:cubicBezTo>
                  <a:pt x="1856802" y="415458"/>
                  <a:pt x="1859540" y="419586"/>
                  <a:pt x="1864152" y="420662"/>
                </a:cubicBezTo>
                <a:lnTo>
                  <a:pt x="1866184" y="421136"/>
                </a:lnTo>
                <a:cubicBezTo>
                  <a:pt x="1870795" y="422212"/>
                  <a:pt x="1875538" y="419828"/>
                  <a:pt x="1876773" y="415813"/>
                </a:cubicBezTo>
                <a:lnTo>
                  <a:pt x="1882298" y="397857"/>
                </a:lnTo>
                <a:lnTo>
                  <a:pt x="1882298" y="418041"/>
                </a:lnTo>
                <a:lnTo>
                  <a:pt x="1882298" y="424655"/>
                </a:lnTo>
                <a:lnTo>
                  <a:pt x="1882298" y="473487"/>
                </a:lnTo>
                <a:cubicBezTo>
                  <a:pt x="1882298" y="477644"/>
                  <a:pt x="1886170" y="481014"/>
                  <a:pt x="1890944" y="481014"/>
                </a:cubicBezTo>
                <a:lnTo>
                  <a:pt x="1893050" y="481014"/>
                </a:lnTo>
                <a:cubicBezTo>
                  <a:pt x="1897824" y="481014"/>
                  <a:pt x="1901696" y="477644"/>
                  <a:pt x="1901696" y="473487"/>
                </a:cubicBezTo>
                <a:lnTo>
                  <a:pt x="1901696" y="424655"/>
                </a:lnTo>
                <a:lnTo>
                  <a:pt x="1909138" y="424655"/>
                </a:lnTo>
                <a:lnTo>
                  <a:pt x="1909138" y="473487"/>
                </a:lnTo>
                <a:cubicBezTo>
                  <a:pt x="1909138" y="477644"/>
                  <a:pt x="1913008" y="481014"/>
                  <a:pt x="1917783" y="481014"/>
                </a:cubicBezTo>
                <a:lnTo>
                  <a:pt x="1919889" y="481014"/>
                </a:lnTo>
                <a:cubicBezTo>
                  <a:pt x="1924664" y="481014"/>
                  <a:pt x="1928535" y="477644"/>
                  <a:pt x="1928535" y="473487"/>
                </a:cubicBezTo>
                <a:lnTo>
                  <a:pt x="1928535" y="424655"/>
                </a:lnTo>
                <a:lnTo>
                  <a:pt x="1928535" y="418041"/>
                </a:lnTo>
                <a:lnTo>
                  <a:pt x="1928535" y="400049"/>
                </a:lnTo>
                <a:lnTo>
                  <a:pt x="1933385" y="415813"/>
                </a:lnTo>
                <a:cubicBezTo>
                  <a:pt x="1934622" y="419828"/>
                  <a:pt x="1939363" y="422212"/>
                  <a:pt x="1943974" y="421136"/>
                </a:cubicBezTo>
                <a:lnTo>
                  <a:pt x="1946009" y="420662"/>
                </a:lnTo>
                <a:cubicBezTo>
                  <a:pt x="1950620" y="419586"/>
                  <a:pt x="1953357" y="415458"/>
                  <a:pt x="1952121" y="411442"/>
                </a:cubicBezTo>
                <a:lnTo>
                  <a:pt x="1935640" y="357886"/>
                </a:lnTo>
                <a:cubicBezTo>
                  <a:pt x="1935177" y="356380"/>
                  <a:pt x="1934220" y="355103"/>
                  <a:pt x="1932962" y="354153"/>
                </a:cubicBezTo>
                <a:lnTo>
                  <a:pt x="1928535" y="352399"/>
                </a:lnTo>
                <a:lnTo>
                  <a:pt x="1928535" y="352185"/>
                </a:lnTo>
                <a:lnTo>
                  <a:pt x="1882298" y="352185"/>
                </a:lnTo>
                <a:close/>
                <a:moveTo>
                  <a:pt x="2081622" y="352185"/>
                </a:moveTo>
                <a:lnTo>
                  <a:pt x="2081622" y="352410"/>
                </a:lnTo>
                <a:lnTo>
                  <a:pt x="2081004" y="352375"/>
                </a:lnTo>
                <a:cubicBezTo>
                  <a:pt x="2077667" y="352781"/>
                  <a:pt x="2074768" y="354874"/>
                  <a:pt x="2073841" y="357886"/>
                </a:cubicBezTo>
                <a:lnTo>
                  <a:pt x="2057362" y="411442"/>
                </a:lnTo>
                <a:cubicBezTo>
                  <a:pt x="2056126" y="415458"/>
                  <a:pt x="2058863" y="419586"/>
                  <a:pt x="2063474" y="420662"/>
                </a:cubicBezTo>
                <a:lnTo>
                  <a:pt x="2065507" y="421136"/>
                </a:lnTo>
                <a:cubicBezTo>
                  <a:pt x="2070119" y="422212"/>
                  <a:pt x="2074860" y="419828"/>
                  <a:pt x="2076097" y="415813"/>
                </a:cubicBezTo>
                <a:lnTo>
                  <a:pt x="2081622" y="397857"/>
                </a:lnTo>
                <a:lnTo>
                  <a:pt x="2081622" y="418041"/>
                </a:lnTo>
                <a:lnTo>
                  <a:pt x="2081622" y="424655"/>
                </a:lnTo>
                <a:lnTo>
                  <a:pt x="2081622" y="473487"/>
                </a:lnTo>
                <a:cubicBezTo>
                  <a:pt x="2081622" y="477644"/>
                  <a:pt x="2085492" y="481014"/>
                  <a:pt x="2090268" y="481014"/>
                </a:cubicBezTo>
                <a:lnTo>
                  <a:pt x="2092373" y="481014"/>
                </a:lnTo>
                <a:cubicBezTo>
                  <a:pt x="2097148" y="481014"/>
                  <a:pt x="2101019" y="477644"/>
                  <a:pt x="2101019" y="473487"/>
                </a:cubicBezTo>
                <a:lnTo>
                  <a:pt x="2101019" y="424655"/>
                </a:lnTo>
                <a:lnTo>
                  <a:pt x="2108461" y="424655"/>
                </a:lnTo>
                <a:lnTo>
                  <a:pt x="2108461" y="473487"/>
                </a:lnTo>
                <a:cubicBezTo>
                  <a:pt x="2108461" y="477644"/>
                  <a:pt x="2112333" y="481014"/>
                  <a:pt x="2117107" y="481014"/>
                </a:cubicBezTo>
                <a:lnTo>
                  <a:pt x="2119212" y="481014"/>
                </a:lnTo>
                <a:cubicBezTo>
                  <a:pt x="2123987" y="481014"/>
                  <a:pt x="2127858" y="477644"/>
                  <a:pt x="2127858" y="473487"/>
                </a:cubicBezTo>
                <a:lnTo>
                  <a:pt x="2127858" y="424655"/>
                </a:lnTo>
                <a:lnTo>
                  <a:pt x="2127858" y="418041"/>
                </a:lnTo>
                <a:lnTo>
                  <a:pt x="2127858" y="400049"/>
                </a:lnTo>
                <a:lnTo>
                  <a:pt x="2132707" y="415813"/>
                </a:lnTo>
                <a:cubicBezTo>
                  <a:pt x="2133945" y="419828"/>
                  <a:pt x="2138685" y="422212"/>
                  <a:pt x="2143298" y="421136"/>
                </a:cubicBezTo>
                <a:lnTo>
                  <a:pt x="2145331" y="420662"/>
                </a:lnTo>
                <a:cubicBezTo>
                  <a:pt x="2149943" y="419586"/>
                  <a:pt x="2152681" y="415458"/>
                  <a:pt x="2151445" y="411442"/>
                </a:cubicBezTo>
                <a:lnTo>
                  <a:pt x="2134963" y="357886"/>
                </a:lnTo>
                <a:cubicBezTo>
                  <a:pt x="2134501" y="356380"/>
                  <a:pt x="2133542" y="355103"/>
                  <a:pt x="2132286" y="354153"/>
                </a:cubicBezTo>
                <a:lnTo>
                  <a:pt x="2127858" y="352399"/>
                </a:lnTo>
                <a:lnTo>
                  <a:pt x="2127858" y="352185"/>
                </a:lnTo>
                <a:lnTo>
                  <a:pt x="2081622" y="352185"/>
                </a:lnTo>
                <a:close/>
                <a:moveTo>
                  <a:pt x="303668" y="560173"/>
                </a:moveTo>
                <a:cubicBezTo>
                  <a:pt x="293205" y="560173"/>
                  <a:pt x="284721" y="567558"/>
                  <a:pt x="284721" y="576669"/>
                </a:cubicBezTo>
                <a:cubicBezTo>
                  <a:pt x="284721" y="585780"/>
                  <a:pt x="293205" y="593165"/>
                  <a:pt x="303668" y="593165"/>
                </a:cubicBezTo>
                <a:cubicBezTo>
                  <a:pt x="314131" y="593165"/>
                  <a:pt x="322614" y="585780"/>
                  <a:pt x="322614" y="576669"/>
                </a:cubicBezTo>
                <a:cubicBezTo>
                  <a:pt x="322614" y="567558"/>
                  <a:pt x="314131" y="560173"/>
                  <a:pt x="303668" y="560173"/>
                </a:cubicBezTo>
                <a:close/>
                <a:moveTo>
                  <a:pt x="503662" y="560173"/>
                </a:moveTo>
                <a:cubicBezTo>
                  <a:pt x="493198" y="560173"/>
                  <a:pt x="484717" y="567558"/>
                  <a:pt x="484717" y="576669"/>
                </a:cubicBezTo>
                <a:cubicBezTo>
                  <a:pt x="484717" y="585780"/>
                  <a:pt x="493198" y="593165"/>
                  <a:pt x="503662" y="593165"/>
                </a:cubicBezTo>
                <a:cubicBezTo>
                  <a:pt x="514126" y="593165"/>
                  <a:pt x="522607" y="585780"/>
                  <a:pt x="522607" y="576669"/>
                </a:cubicBezTo>
                <a:cubicBezTo>
                  <a:pt x="522607" y="567558"/>
                  <a:pt x="514126" y="560173"/>
                  <a:pt x="503662" y="560173"/>
                </a:cubicBezTo>
                <a:close/>
                <a:moveTo>
                  <a:pt x="703653" y="560173"/>
                </a:moveTo>
                <a:cubicBezTo>
                  <a:pt x="693190" y="560173"/>
                  <a:pt x="684709" y="567558"/>
                  <a:pt x="684709" y="576669"/>
                </a:cubicBezTo>
                <a:cubicBezTo>
                  <a:pt x="684709" y="585780"/>
                  <a:pt x="693190" y="593165"/>
                  <a:pt x="703653" y="593165"/>
                </a:cubicBezTo>
                <a:cubicBezTo>
                  <a:pt x="714117" y="593165"/>
                  <a:pt x="722600" y="585780"/>
                  <a:pt x="722600" y="576669"/>
                </a:cubicBezTo>
                <a:cubicBezTo>
                  <a:pt x="722600" y="567558"/>
                  <a:pt x="714117" y="560173"/>
                  <a:pt x="703653" y="560173"/>
                </a:cubicBezTo>
                <a:close/>
                <a:moveTo>
                  <a:pt x="903646" y="560173"/>
                </a:moveTo>
                <a:cubicBezTo>
                  <a:pt x="893183" y="560173"/>
                  <a:pt x="884701" y="567558"/>
                  <a:pt x="884701" y="576669"/>
                </a:cubicBezTo>
                <a:cubicBezTo>
                  <a:pt x="884701" y="585780"/>
                  <a:pt x="893183" y="593165"/>
                  <a:pt x="903646" y="593165"/>
                </a:cubicBezTo>
                <a:cubicBezTo>
                  <a:pt x="914110" y="593165"/>
                  <a:pt x="922591" y="585780"/>
                  <a:pt x="922591" y="576669"/>
                </a:cubicBezTo>
                <a:cubicBezTo>
                  <a:pt x="922591" y="567558"/>
                  <a:pt x="914110" y="560173"/>
                  <a:pt x="903646" y="560173"/>
                </a:cubicBezTo>
                <a:close/>
                <a:moveTo>
                  <a:pt x="1103638" y="560173"/>
                </a:moveTo>
                <a:cubicBezTo>
                  <a:pt x="1093175" y="560173"/>
                  <a:pt x="1084694" y="567558"/>
                  <a:pt x="1084694" y="576669"/>
                </a:cubicBezTo>
                <a:cubicBezTo>
                  <a:pt x="1084694" y="585780"/>
                  <a:pt x="1093175" y="593165"/>
                  <a:pt x="1103638" y="593165"/>
                </a:cubicBezTo>
                <a:cubicBezTo>
                  <a:pt x="1114102" y="593165"/>
                  <a:pt x="1122584" y="585780"/>
                  <a:pt x="1122584" y="576669"/>
                </a:cubicBezTo>
                <a:cubicBezTo>
                  <a:pt x="1122584" y="567558"/>
                  <a:pt x="1114102" y="560173"/>
                  <a:pt x="1103638" y="560173"/>
                </a:cubicBezTo>
                <a:close/>
                <a:moveTo>
                  <a:pt x="1303631" y="560173"/>
                </a:moveTo>
                <a:cubicBezTo>
                  <a:pt x="1293167" y="560173"/>
                  <a:pt x="1284685" y="567558"/>
                  <a:pt x="1284685" y="576669"/>
                </a:cubicBezTo>
                <a:cubicBezTo>
                  <a:pt x="1284685" y="585780"/>
                  <a:pt x="1293167" y="593165"/>
                  <a:pt x="1303631" y="593165"/>
                </a:cubicBezTo>
                <a:cubicBezTo>
                  <a:pt x="1314095" y="593165"/>
                  <a:pt x="1322576" y="585780"/>
                  <a:pt x="1322576" y="576669"/>
                </a:cubicBezTo>
                <a:cubicBezTo>
                  <a:pt x="1322576" y="567558"/>
                  <a:pt x="1314095" y="560173"/>
                  <a:pt x="1303631" y="560173"/>
                </a:cubicBezTo>
                <a:close/>
                <a:moveTo>
                  <a:pt x="1505923" y="560173"/>
                </a:moveTo>
                <a:cubicBezTo>
                  <a:pt x="1495460" y="560173"/>
                  <a:pt x="1486979" y="567558"/>
                  <a:pt x="1486979" y="576669"/>
                </a:cubicBezTo>
                <a:cubicBezTo>
                  <a:pt x="1486979" y="585780"/>
                  <a:pt x="1495460" y="593165"/>
                  <a:pt x="1505923" y="593165"/>
                </a:cubicBezTo>
                <a:cubicBezTo>
                  <a:pt x="1516387" y="593165"/>
                  <a:pt x="1524868" y="585780"/>
                  <a:pt x="1524868" y="576669"/>
                </a:cubicBezTo>
                <a:cubicBezTo>
                  <a:pt x="1524868" y="567558"/>
                  <a:pt x="1516387" y="560173"/>
                  <a:pt x="1505923" y="560173"/>
                </a:cubicBezTo>
                <a:close/>
                <a:moveTo>
                  <a:pt x="1703085" y="560173"/>
                </a:moveTo>
                <a:cubicBezTo>
                  <a:pt x="1692623" y="560173"/>
                  <a:pt x="1684140" y="567558"/>
                  <a:pt x="1684140" y="576669"/>
                </a:cubicBezTo>
                <a:cubicBezTo>
                  <a:pt x="1684140" y="585780"/>
                  <a:pt x="1692623" y="593165"/>
                  <a:pt x="1703085" y="593165"/>
                </a:cubicBezTo>
                <a:cubicBezTo>
                  <a:pt x="1713550" y="593165"/>
                  <a:pt x="1722031" y="585780"/>
                  <a:pt x="1722031" y="576669"/>
                </a:cubicBezTo>
                <a:cubicBezTo>
                  <a:pt x="1722031" y="567558"/>
                  <a:pt x="1713550" y="560173"/>
                  <a:pt x="1703085" y="560173"/>
                </a:cubicBezTo>
                <a:close/>
                <a:moveTo>
                  <a:pt x="1905908" y="560173"/>
                </a:moveTo>
                <a:cubicBezTo>
                  <a:pt x="1895444" y="560173"/>
                  <a:pt x="1886962" y="567558"/>
                  <a:pt x="1886962" y="576669"/>
                </a:cubicBezTo>
                <a:cubicBezTo>
                  <a:pt x="1886962" y="585780"/>
                  <a:pt x="1895444" y="593165"/>
                  <a:pt x="1905908" y="593165"/>
                </a:cubicBezTo>
                <a:cubicBezTo>
                  <a:pt x="1916372" y="593165"/>
                  <a:pt x="1924855" y="585780"/>
                  <a:pt x="1924855" y="576669"/>
                </a:cubicBezTo>
                <a:cubicBezTo>
                  <a:pt x="1924855" y="567558"/>
                  <a:pt x="1916372" y="560173"/>
                  <a:pt x="1905908" y="560173"/>
                </a:cubicBezTo>
                <a:close/>
                <a:moveTo>
                  <a:pt x="2105231" y="560173"/>
                </a:moveTo>
                <a:cubicBezTo>
                  <a:pt x="2094769" y="560173"/>
                  <a:pt x="2086286" y="567558"/>
                  <a:pt x="2086286" y="576669"/>
                </a:cubicBezTo>
                <a:cubicBezTo>
                  <a:pt x="2086286" y="585780"/>
                  <a:pt x="2094769" y="593165"/>
                  <a:pt x="2105231" y="593165"/>
                </a:cubicBezTo>
                <a:cubicBezTo>
                  <a:pt x="2115694" y="593165"/>
                  <a:pt x="2124177" y="585780"/>
                  <a:pt x="2124177" y="576669"/>
                </a:cubicBezTo>
                <a:cubicBezTo>
                  <a:pt x="2124177" y="567558"/>
                  <a:pt x="2115694" y="560173"/>
                  <a:pt x="2105231" y="560173"/>
                </a:cubicBezTo>
                <a:close/>
                <a:moveTo>
                  <a:pt x="280058" y="596830"/>
                </a:moveTo>
                <a:lnTo>
                  <a:pt x="280058" y="597055"/>
                </a:lnTo>
                <a:lnTo>
                  <a:pt x="279441" y="597020"/>
                </a:lnTo>
                <a:cubicBezTo>
                  <a:pt x="276104" y="597426"/>
                  <a:pt x="273205" y="599519"/>
                  <a:pt x="272279" y="602531"/>
                </a:cubicBezTo>
                <a:lnTo>
                  <a:pt x="255797" y="656086"/>
                </a:lnTo>
                <a:cubicBezTo>
                  <a:pt x="254561" y="660102"/>
                  <a:pt x="257298" y="664229"/>
                  <a:pt x="261911" y="665305"/>
                </a:cubicBezTo>
                <a:lnTo>
                  <a:pt x="263944" y="665780"/>
                </a:lnTo>
                <a:cubicBezTo>
                  <a:pt x="268557" y="666857"/>
                  <a:pt x="273297" y="664473"/>
                  <a:pt x="274533" y="660457"/>
                </a:cubicBezTo>
                <a:lnTo>
                  <a:pt x="280058" y="642502"/>
                </a:lnTo>
                <a:lnTo>
                  <a:pt x="280058" y="662686"/>
                </a:lnTo>
                <a:lnTo>
                  <a:pt x="280058" y="669300"/>
                </a:lnTo>
                <a:lnTo>
                  <a:pt x="280058" y="718130"/>
                </a:lnTo>
                <a:cubicBezTo>
                  <a:pt x="280058" y="722288"/>
                  <a:pt x="283930" y="725658"/>
                  <a:pt x="288705" y="725658"/>
                </a:cubicBezTo>
                <a:lnTo>
                  <a:pt x="290809" y="725658"/>
                </a:lnTo>
                <a:cubicBezTo>
                  <a:pt x="295584" y="725658"/>
                  <a:pt x="299455" y="722288"/>
                  <a:pt x="299455" y="718130"/>
                </a:cubicBezTo>
                <a:lnTo>
                  <a:pt x="299455" y="669300"/>
                </a:lnTo>
                <a:lnTo>
                  <a:pt x="306898" y="669300"/>
                </a:lnTo>
                <a:lnTo>
                  <a:pt x="306898" y="718130"/>
                </a:lnTo>
                <a:cubicBezTo>
                  <a:pt x="306898" y="722288"/>
                  <a:pt x="310769" y="725658"/>
                  <a:pt x="315544" y="725658"/>
                </a:cubicBezTo>
                <a:lnTo>
                  <a:pt x="317649" y="725658"/>
                </a:lnTo>
                <a:cubicBezTo>
                  <a:pt x="322423" y="725658"/>
                  <a:pt x="326293" y="722288"/>
                  <a:pt x="326293" y="718130"/>
                </a:cubicBezTo>
                <a:lnTo>
                  <a:pt x="326293" y="669300"/>
                </a:lnTo>
                <a:lnTo>
                  <a:pt x="326293" y="662686"/>
                </a:lnTo>
                <a:lnTo>
                  <a:pt x="326293" y="644694"/>
                </a:lnTo>
                <a:lnTo>
                  <a:pt x="331145" y="660457"/>
                </a:lnTo>
                <a:cubicBezTo>
                  <a:pt x="332381" y="664473"/>
                  <a:pt x="337122" y="666857"/>
                  <a:pt x="341734" y="665780"/>
                </a:cubicBezTo>
                <a:lnTo>
                  <a:pt x="343767" y="665305"/>
                </a:lnTo>
                <a:cubicBezTo>
                  <a:pt x="348380" y="664229"/>
                  <a:pt x="351116" y="660102"/>
                  <a:pt x="349881" y="656086"/>
                </a:cubicBezTo>
                <a:lnTo>
                  <a:pt x="333400" y="602531"/>
                </a:lnTo>
                <a:cubicBezTo>
                  <a:pt x="332936" y="601025"/>
                  <a:pt x="331980" y="599749"/>
                  <a:pt x="330722" y="598798"/>
                </a:cubicBezTo>
                <a:lnTo>
                  <a:pt x="326293" y="597043"/>
                </a:lnTo>
                <a:lnTo>
                  <a:pt x="326293" y="596830"/>
                </a:lnTo>
                <a:lnTo>
                  <a:pt x="280058" y="596830"/>
                </a:lnTo>
                <a:close/>
                <a:moveTo>
                  <a:pt x="480053" y="596830"/>
                </a:moveTo>
                <a:lnTo>
                  <a:pt x="480053" y="597055"/>
                </a:lnTo>
                <a:lnTo>
                  <a:pt x="479436" y="597020"/>
                </a:lnTo>
                <a:cubicBezTo>
                  <a:pt x="476099" y="597426"/>
                  <a:pt x="473200" y="599519"/>
                  <a:pt x="472272" y="602531"/>
                </a:cubicBezTo>
                <a:lnTo>
                  <a:pt x="455791" y="656086"/>
                </a:lnTo>
                <a:cubicBezTo>
                  <a:pt x="454555" y="660102"/>
                  <a:pt x="457292" y="664229"/>
                  <a:pt x="461906" y="665305"/>
                </a:cubicBezTo>
                <a:lnTo>
                  <a:pt x="463938" y="665780"/>
                </a:lnTo>
                <a:cubicBezTo>
                  <a:pt x="468550" y="666857"/>
                  <a:pt x="473292" y="664473"/>
                  <a:pt x="474527" y="660457"/>
                </a:cubicBezTo>
                <a:lnTo>
                  <a:pt x="480053" y="642502"/>
                </a:lnTo>
                <a:lnTo>
                  <a:pt x="480053" y="662686"/>
                </a:lnTo>
                <a:lnTo>
                  <a:pt x="480053" y="669300"/>
                </a:lnTo>
                <a:lnTo>
                  <a:pt x="480053" y="718130"/>
                </a:lnTo>
                <a:cubicBezTo>
                  <a:pt x="480053" y="722288"/>
                  <a:pt x="483924" y="725658"/>
                  <a:pt x="488698" y="725658"/>
                </a:cubicBezTo>
                <a:lnTo>
                  <a:pt x="490804" y="725658"/>
                </a:lnTo>
                <a:cubicBezTo>
                  <a:pt x="495578" y="725658"/>
                  <a:pt x="499450" y="722288"/>
                  <a:pt x="499450" y="718130"/>
                </a:cubicBezTo>
                <a:lnTo>
                  <a:pt x="499450" y="669300"/>
                </a:lnTo>
                <a:lnTo>
                  <a:pt x="506892" y="669300"/>
                </a:lnTo>
                <a:lnTo>
                  <a:pt x="506892" y="718130"/>
                </a:lnTo>
                <a:cubicBezTo>
                  <a:pt x="506892" y="722288"/>
                  <a:pt x="510763" y="725658"/>
                  <a:pt x="515538" y="725658"/>
                </a:cubicBezTo>
                <a:lnTo>
                  <a:pt x="517643" y="725658"/>
                </a:lnTo>
                <a:cubicBezTo>
                  <a:pt x="522418" y="725658"/>
                  <a:pt x="526287" y="722288"/>
                  <a:pt x="526287" y="718130"/>
                </a:cubicBezTo>
                <a:lnTo>
                  <a:pt x="526287" y="669300"/>
                </a:lnTo>
                <a:lnTo>
                  <a:pt x="526287" y="662686"/>
                </a:lnTo>
                <a:lnTo>
                  <a:pt x="526287" y="644694"/>
                </a:lnTo>
                <a:lnTo>
                  <a:pt x="531139" y="660457"/>
                </a:lnTo>
                <a:cubicBezTo>
                  <a:pt x="532375" y="664473"/>
                  <a:pt x="537116" y="666857"/>
                  <a:pt x="541727" y="665780"/>
                </a:cubicBezTo>
                <a:lnTo>
                  <a:pt x="543761" y="665305"/>
                </a:lnTo>
                <a:cubicBezTo>
                  <a:pt x="548373" y="664229"/>
                  <a:pt x="551110" y="660102"/>
                  <a:pt x="549875" y="656086"/>
                </a:cubicBezTo>
                <a:lnTo>
                  <a:pt x="533394" y="602531"/>
                </a:lnTo>
                <a:cubicBezTo>
                  <a:pt x="532930" y="601025"/>
                  <a:pt x="531974" y="599749"/>
                  <a:pt x="530716" y="598798"/>
                </a:cubicBezTo>
                <a:lnTo>
                  <a:pt x="526287" y="597043"/>
                </a:lnTo>
                <a:lnTo>
                  <a:pt x="526287" y="596830"/>
                </a:lnTo>
                <a:lnTo>
                  <a:pt x="480053" y="596830"/>
                </a:lnTo>
                <a:close/>
                <a:moveTo>
                  <a:pt x="680045" y="596830"/>
                </a:moveTo>
                <a:lnTo>
                  <a:pt x="680045" y="597055"/>
                </a:lnTo>
                <a:lnTo>
                  <a:pt x="679427" y="597020"/>
                </a:lnTo>
                <a:cubicBezTo>
                  <a:pt x="676090" y="597426"/>
                  <a:pt x="673192" y="599519"/>
                  <a:pt x="672265" y="602531"/>
                </a:cubicBezTo>
                <a:lnTo>
                  <a:pt x="655783" y="656086"/>
                </a:lnTo>
                <a:cubicBezTo>
                  <a:pt x="654547" y="660102"/>
                  <a:pt x="657285" y="664229"/>
                  <a:pt x="661899" y="665305"/>
                </a:cubicBezTo>
                <a:lnTo>
                  <a:pt x="663930" y="665780"/>
                </a:lnTo>
                <a:cubicBezTo>
                  <a:pt x="668542" y="666857"/>
                  <a:pt x="673282" y="664473"/>
                  <a:pt x="674518" y="660457"/>
                </a:cubicBezTo>
                <a:lnTo>
                  <a:pt x="680045" y="642502"/>
                </a:lnTo>
                <a:lnTo>
                  <a:pt x="680045" y="662686"/>
                </a:lnTo>
                <a:lnTo>
                  <a:pt x="680045" y="669300"/>
                </a:lnTo>
                <a:lnTo>
                  <a:pt x="680045" y="718130"/>
                </a:lnTo>
                <a:cubicBezTo>
                  <a:pt x="680045" y="722288"/>
                  <a:pt x="683916" y="725658"/>
                  <a:pt x="688691" y="725658"/>
                </a:cubicBezTo>
                <a:lnTo>
                  <a:pt x="690797" y="725658"/>
                </a:lnTo>
                <a:cubicBezTo>
                  <a:pt x="695570" y="725658"/>
                  <a:pt x="699443" y="722288"/>
                  <a:pt x="699443" y="718130"/>
                </a:cubicBezTo>
                <a:lnTo>
                  <a:pt x="699443" y="669300"/>
                </a:lnTo>
                <a:lnTo>
                  <a:pt x="706884" y="669300"/>
                </a:lnTo>
                <a:lnTo>
                  <a:pt x="706884" y="718130"/>
                </a:lnTo>
                <a:cubicBezTo>
                  <a:pt x="706884" y="722288"/>
                  <a:pt x="710754" y="725658"/>
                  <a:pt x="715530" y="725658"/>
                </a:cubicBezTo>
                <a:lnTo>
                  <a:pt x="717635" y="725658"/>
                </a:lnTo>
                <a:cubicBezTo>
                  <a:pt x="722411" y="725658"/>
                  <a:pt x="726280" y="722288"/>
                  <a:pt x="726280" y="718130"/>
                </a:cubicBezTo>
                <a:lnTo>
                  <a:pt x="726280" y="669300"/>
                </a:lnTo>
                <a:lnTo>
                  <a:pt x="726280" y="662686"/>
                </a:lnTo>
                <a:lnTo>
                  <a:pt x="726280" y="644694"/>
                </a:lnTo>
                <a:lnTo>
                  <a:pt x="731132" y="660457"/>
                </a:lnTo>
                <a:cubicBezTo>
                  <a:pt x="732368" y="664473"/>
                  <a:pt x="737108" y="666857"/>
                  <a:pt x="741720" y="665780"/>
                </a:cubicBezTo>
                <a:lnTo>
                  <a:pt x="743753" y="665305"/>
                </a:lnTo>
                <a:cubicBezTo>
                  <a:pt x="748365" y="664229"/>
                  <a:pt x="751103" y="660102"/>
                  <a:pt x="749868" y="656086"/>
                </a:cubicBezTo>
                <a:lnTo>
                  <a:pt x="733385" y="602531"/>
                </a:lnTo>
                <a:cubicBezTo>
                  <a:pt x="732923" y="601025"/>
                  <a:pt x="731967" y="599749"/>
                  <a:pt x="730709" y="598798"/>
                </a:cubicBezTo>
                <a:lnTo>
                  <a:pt x="726280" y="597043"/>
                </a:lnTo>
                <a:lnTo>
                  <a:pt x="726280" y="596830"/>
                </a:lnTo>
                <a:lnTo>
                  <a:pt x="680045" y="596830"/>
                </a:lnTo>
                <a:close/>
                <a:moveTo>
                  <a:pt x="880037" y="596830"/>
                </a:moveTo>
                <a:lnTo>
                  <a:pt x="880037" y="597055"/>
                </a:lnTo>
                <a:lnTo>
                  <a:pt x="879420" y="597020"/>
                </a:lnTo>
                <a:cubicBezTo>
                  <a:pt x="876083" y="597426"/>
                  <a:pt x="873184" y="599519"/>
                  <a:pt x="872256" y="602531"/>
                </a:cubicBezTo>
                <a:lnTo>
                  <a:pt x="855776" y="656086"/>
                </a:lnTo>
                <a:cubicBezTo>
                  <a:pt x="854540" y="660102"/>
                  <a:pt x="857277" y="664229"/>
                  <a:pt x="861890" y="665305"/>
                </a:cubicBezTo>
                <a:lnTo>
                  <a:pt x="863923" y="665780"/>
                </a:lnTo>
                <a:cubicBezTo>
                  <a:pt x="868534" y="666857"/>
                  <a:pt x="873275" y="664473"/>
                  <a:pt x="874511" y="660457"/>
                </a:cubicBezTo>
                <a:lnTo>
                  <a:pt x="880037" y="642502"/>
                </a:lnTo>
                <a:lnTo>
                  <a:pt x="880037" y="662686"/>
                </a:lnTo>
                <a:lnTo>
                  <a:pt x="880037" y="669300"/>
                </a:lnTo>
                <a:lnTo>
                  <a:pt x="880037" y="718130"/>
                </a:lnTo>
                <a:cubicBezTo>
                  <a:pt x="880037" y="722288"/>
                  <a:pt x="883909" y="725658"/>
                  <a:pt x="888683" y="725658"/>
                </a:cubicBezTo>
                <a:lnTo>
                  <a:pt x="890788" y="725658"/>
                </a:lnTo>
                <a:cubicBezTo>
                  <a:pt x="895563" y="725658"/>
                  <a:pt x="899434" y="722288"/>
                  <a:pt x="899434" y="718130"/>
                </a:cubicBezTo>
                <a:lnTo>
                  <a:pt x="899434" y="669300"/>
                </a:lnTo>
                <a:lnTo>
                  <a:pt x="906877" y="669300"/>
                </a:lnTo>
                <a:lnTo>
                  <a:pt x="906877" y="718130"/>
                </a:lnTo>
                <a:cubicBezTo>
                  <a:pt x="906877" y="722288"/>
                  <a:pt x="910747" y="725658"/>
                  <a:pt x="915521" y="725658"/>
                </a:cubicBezTo>
                <a:lnTo>
                  <a:pt x="917628" y="725658"/>
                </a:lnTo>
                <a:cubicBezTo>
                  <a:pt x="922402" y="725658"/>
                  <a:pt x="926272" y="722288"/>
                  <a:pt x="926272" y="718130"/>
                </a:cubicBezTo>
                <a:lnTo>
                  <a:pt x="926272" y="669300"/>
                </a:lnTo>
                <a:lnTo>
                  <a:pt x="926272" y="662686"/>
                </a:lnTo>
                <a:lnTo>
                  <a:pt x="926272" y="644694"/>
                </a:lnTo>
                <a:lnTo>
                  <a:pt x="931123" y="660457"/>
                </a:lnTo>
                <a:cubicBezTo>
                  <a:pt x="932359" y="664473"/>
                  <a:pt x="937100" y="666857"/>
                  <a:pt x="941712" y="665780"/>
                </a:cubicBezTo>
                <a:lnTo>
                  <a:pt x="943745" y="665305"/>
                </a:lnTo>
                <a:cubicBezTo>
                  <a:pt x="948358" y="664229"/>
                  <a:pt x="951095" y="660102"/>
                  <a:pt x="949860" y="656086"/>
                </a:cubicBezTo>
                <a:lnTo>
                  <a:pt x="933378" y="602531"/>
                </a:lnTo>
                <a:cubicBezTo>
                  <a:pt x="932915" y="601025"/>
                  <a:pt x="931958" y="599749"/>
                  <a:pt x="930701" y="598798"/>
                </a:cubicBezTo>
                <a:lnTo>
                  <a:pt x="926272" y="597043"/>
                </a:lnTo>
                <a:lnTo>
                  <a:pt x="926272" y="596830"/>
                </a:lnTo>
                <a:lnTo>
                  <a:pt x="880037" y="596830"/>
                </a:lnTo>
                <a:close/>
                <a:moveTo>
                  <a:pt x="1080030" y="596830"/>
                </a:moveTo>
                <a:lnTo>
                  <a:pt x="1080030" y="597055"/>
                </a:lnTo>
                <a:lnTo>
                  <a:pt x="1079412" y="597020"/>
                </a:lnTo>
                <a:cubicBezTo>
                  <a:pt x="1076075" y="597426"/>
                  <a:pt x="1073176" y="599519"/>
                  <a:pt x="1072249" y="602531"/>
                </a:cubicBezTo>
                <a:lnTo>
                  <a:pt x="1055767" y="656086"/>
                </a:lnTo>
                <a:cubicBezTo>
                  <a:pt x="1054531" y="660102"/>
                  <a:pt x="1057269" y="664229"/>
                  <a:pt x="1061881" y="665305"/>
                </a:cubicBezTo>
                <a:lnTo>
                  <a:pt x="1063914" y="665780"/>
                </a:lnTo>
                <a:cubicBezTo>
                  <a:pt x="1068527" y="666857"/>
                  <a:pt x="1073267" y="664473"/>
                  <a:pt x="1074503" y="660457"/>
                </a:cubicBezTo>
                <a:lnTo>
                  <a:pt x="1080030" y="642502"/>
                </a:lnTo>
                <a:lnTo>
                  <a:pt x="1080030" y="662686"/>
                </a:lnTo>
                <a:lnTo>
                  <a:pt x="1080030" y="669300"/>
                </a:lnTo>
                <a:lnTo>
                  <a:pt x="1080030" y="718130"/>
                </a:lnTo>
                <a:cubicBezTo>
                  <a:pt x="1080030" y="722288"/>
                  <a:pt x="1083900" y="725658"/>
                  <a:pt x="1088676" y="725658"/>
                </a:cubicBezTo>
                <a:lnTo>
                  <a:pt x="1090781" y="725658"/>
                </a:lnTo>
                <a:cubicBezTo>
                  <a:pt x="1095554" y="725658"/>
                  <a:pt x="1099427" y="722288"/>
                  <a:pt x="1099427" y="718130"/>
                </a:cubicBezTo>
                <a:lnTo>
                  <a:pt x="1099427" y="669300"/>
                </a:lnTo>
                <a:lnTo>
                  <a:pt x="1106868" y="669300"/>
                </a:lnTo>
                <a:lnTo>
                  <a:pt x="1106868" y="718130"/>
                </a:lnTo>
                <a:cubicBezTo>
                  <a:pt x="1106868" y="722288"/>
                  <a:pt x="1110739" y="725658"/>
                  <a:pt x="1115514" y="725658"/>
                </a:cubicBezTo>
                <a:lnTo>
                  <a:pt x="1117619" y="725658"/>
                </a:lnTo>
                <a:cubicBezTo>
                  <a:pt x="1122395" y="725658"/>
                  <a:pt x="1126264" y="722288"/>
                  <a:pt x="1126264" y="718130"/>
                </a:cubicBezTo>
                <a:lnTo>
                  <a:pt x="1126264" y="669300"/>
                </a:lnTo>
                <a:lnTo>
                  <a:pt x="1126264" y="662686"/>
                </a:lnTo>
                <a:lnTo>
                  <a:pt x="1126264" y="644694"/>
                </a:lnTo>
                <a:lnTo>
                  <a:pt x="1131115" y="660457"/>
                </a:lnTo>
                <a:cubicBezTo>
                  <a:pt x="1132352" y="664473"/>
                  <a:pt x="1137092" y="666857"/>
                  <a:pt x="1141704" y="665780"/>
                </a:cubicBezTo>
                <a:lnTo>
                  <a:pt x="1143738" y="665305"/>
                </a:lnTo>
                <a:cubicBezTo>
                  <a:pt x="1148350" y="664229"/>
                  <a:pt x="1151086" y="660102"/>
                  <a:pt x="1149853" y="656086"/>
                </a:cubicBezTo>
                <a:lnTo>
                  <a:pt x="1133370" y="602531"/>
                </a:lnTo>
                <a:cubicBezTo>
                  <a:pt x="1132906" y="601025"/>
                  <a:pt x="1131950" y="599749"/>
                  <a:pt x="1130693" y="598798"/>
                </a:cubicBezTo>
                <a:lnTo>
                  <a:pt x="1126264" y="597043"/>
                </a:lnTo>
                <a:lnTo>
                  <a:pt x="1126264" y="596830"/>
                </a:lnTo>
                <a:lnTo>
                  <a:pt x="1080030" y="596830"/>
                </a:lnTo>
                <a:close/>
                <a:moveTo>
                  <a:pt x="1280022" y="596830"/>
                </a:moveTo>
                <a:lnTo>
                  <a:pt x="1280022" y="597055"/>
                </a:lnTo>
                <a:lnTo>
                  <a:pt x="1279405" y="597020"/>
                </a:lnTo>
                <a:cubicBezTo>
                  <a:pt x="1276068" y="597426"/>
                  <a:pt x="1273169" y="599519"/>
                  <a:pt x="1272241" y="602531"/>
                </a:cubicBezTo>
                <a:lnTo>
                  <a:pt x="1255760" y="656086"/>
                </a:lnTo>
                <a:cubicBezTo>
                  <a:pt x="1254524" y="660102"/>
                  <a:pt x="1257261" y="664229"/>
                  <a:pt x="1261874" y="665305"/>
                </a:cubicBezTo>
                <a:lnTo>
                  <a:pt x="1263907" y="665780"/>
                </a:lnTo>
                <a:cubicBezTo>
                  <a:pt x="1268519" y="666857"/>
                  <a:pt x="1273260" y="664473"/>
                  <a:pt x="1274496" y="660457"/>
                </a:cubicBezTo>
                <a:lnTo>
                  <a:pt x="1280022" y="642502"/>
                </a:lnTo>
                <a:lnTo>
                  <a:pt x="1280022" y="662686"/>
                </a:lnTo>
                <a:lnTo>
                  <a:pt x="1280022" y="669300"/>
                </a:lnTo>
                <a:lnTo>
                  <a:pt x="1280022" y="718130"/>
                </a:lnTo>
                <a:cubicBezTo>
                  <a:pt x="1280022" y="722288"/>
                  <a:pt x="1283892" y="725658"/>
                  <a:pt x="1288667" y="725658"/>
                </a:cubicBezTo>
                <a:lnTo>
                  <a:pt x="1290773" y="725658"/>
                </a:lnTo>
                <a:cubicBezTo>
                  <a:pt x="1295546" y="725658"/>
                  <a:pt x="1299419" y="722288"/>
                  <a:pt x="1299419" y="718130"/>
                </a:cubicBezTo>
                <a:lnTo>
                  <a:pt x="1299419" y="669300"/>
                </a:lnTo>
                <a:lnTo>
                  <a:pt x="1306860" y="669300"/>
                </a:lnTo>
                <a:lnTo>
                  <a:pt x="1306860" y="718130"/>
                </a:lnTo>
                <a:cubicBezTo>
                  <a:pt x="1306860" y="722288"/>
                  <a:pt x="1310732" y="725658"/>
                  <a:pt x="1315506" y="725658"/>
                </a:cubicBezTo>
                <a:lnTo>
                  <a:pt x="1317610" y="725658"/>
                </a:lnTo>
                <a:cubicBezTo>
                  <a:pt x="1322387" y="725658"/>
                  <a:pt x="1326256" y="722288"/>
                  <a:pt x="1326256" y="718130"/>
                </a:cubicBezTo>
                <a:lnTo>
                  <a:pt x="1326256" y="669300"/>
                </a:lnTo>
                <a:lnTo>
                  <a:pt x="1326256" y="662686"/>
                </a:lnTo>
                <a:lnTo>
                  <a:pt x="1326256" y="644694"/>
                </a:lnTo>
                <a:lnTo>
                  <a:pt x="1331108" y="660457"/>
                </a:lnTo>
                <a:cubicBezTo>
                  <a:pt x="1332344" y="664473"/>
                  <a:pt x="1337084" y="666857"/>
                  <a:pt x="1341696" y="665780"/>
                </a:cubicBezTo>
                <a:lnTo>
                  <a:pt x="1343730" y="665305"/>
                </a:lnTo>
                <a:cubicBezTo>
                  <a:pt x="1348342" y="664229"/>
                  <a:pt x="1351079" y="660102"/>
                  <a:pt x="1349844" y="656086"/>
                </a:cubicBezTo>
                <a:lnTo>
                  <a:pt x="1333361" y="602531"/>
                </a:lnTo>
                <a:cubicBezTo>
                  <a:pt x="1332899" y="601025"/>
                  <a:pt x="1331943" y="599749"/>
                  <a:pt x="1330685" y="598798"/>
                </a:cubicBezTo>
                <a:lnTo>
                  <a:pt x="1326256" y="597043"/>
                </a:lnTo>
                <a:lnTo>
                  <a:pt x="1326256" y="596830"/>
                </a:lnTo>
                <a:lnTo>
                  <a:pt x="1280022" y="596830"/>
                </a:lnTo>
                <a:close/>
                <a:moveTo>
                  <a:pt x="1482314" y="596830"/>
                </a:moveTo>
                <a:lnTo>
                  <a:pt x="1482314" y="597055"/>
                </a:lnTo>
                <a:lnTo>
                  <a:pt x="1481697" y="597020"/>
                </a:lnTo>
                <a:cubicBezTo>
                  <a:pt x="1478360" y="597426"/>
                  <a:pt x="1475461" y="599519"/>
                  <a:pt x="1474533" y="602531"/>
                </a:cubicBezTo>
                <a:lnTo>
                  <a:pt x="1458052" y="656086"/>
                </a:lnTo>
                <a:cubicBezTo>
                  <a:pt x="1456817" y="660102"/>
                  <a:pt x="1459553" y="664229"/>
                  <a:pt x="1464166" y="665305"/>
                </a:cubicBezTo>
                <a:lnTo>
                  <a:pt x="1466199" y="665780"/>
                </a:lnTo>
                <a:cubicBezTo>
                  <a:pt x="1470811" y="666857"/>
                  <a:pt x="1475552" y="664473"/>
                  <a:pt x="1476788" y="660457"/>
                </a:cubicBezTo>
                <a:lnTo>
                  <a:pt x="1482314" y="642502"/>
                </a:lnTo>
                <a:lnTo>
                  <a:pt x="1482314" y="662686"/>
                </a:lnTo>
                <a:lnTo>
                  <a:pt x="1482314" y="669300"/>
                </a:lnTo>
                <a:lnTo>
                  <a:pt x="1482314" y="718130"/>
                </a:lnTo>
                <a:cubicBezTo>
                  <a:pt x="1482314" y="722288"/>
                  <a:pt x="1486185" y="725658"/>
                  <a:pt x="1490960" y="725658"/>
                </a:cubicBezTo>
                <a:lnTo>
                  <a:pt x="1493064" y="725658"/>
                </a:lnTo>
                <a:cubicBezTo>
                  <a:pt x="1497840" y="725658"/>
                  <a:pt x="1501710" y="722288"/>
                  <a:pt x="1501710" y="718130"/>
                </a:cubicBezTo>
                <a:lnTo>
                  <a:pt x="1501710" y="669300"/>
                </a:lnTo>
                <a:lnTo>
                  <a:pt x="1509153" y="669300"/>
                </a:lnTo>
                <a:lnTo>
                  <a:pt x="1509153" y="718130"/>
                </a:lnTo>
                <a:cubicBezTo>
                  <a:pt x="1509153" y="722288"/>
                  <a:pt x="1513024" y="725658"/>
                  <a:pt x="1517799" y="725658"/>
                </a:cubicBezTo>
                <a:lnTo>
                  <a:pt x="1519903" y="725658"/>
                </a:lnTo>
                <a:cubicBezTo>
                  <a:pt x="1524678" y="725658"/>
                  <a:pt x="1528549" y="722288"/>
                  <a:pt x="1528549" y="718130"/>
                </a:cubicBezTo>
                <a:lnTo>
                  <a:pt x="1528549" y="669300"/>
                </a:lnTo>
                <a:lnTo>
                  <a:pt x="1528549" y="662686"/>
                </a:lnTo>
                <a:lnTo>
                  <a:pt x="1528549" y="644694"/>
                </a:lnTo>
                <a:lnTo>
                  <a:pt x="1533400" y="660457"/>
                </a:lnTo>
                <a:cubicBezTo>
                  <a:pt x="1534636" y="664473"/>
                  <a:pt x="1539377" y="666857"/>
                  <a:pt x="1543989" y="665780"/>
                </a:cubicBezTo>
                <a:lnTo>
                  <a:pt x="1546022" y="665305"/>
                </a:lnTo>
                <a:cubicBezTo>
                  <a:pt x="1550635" y="664229"/>
                  <a:pt x="1553371" y="660102"/>
                  <a:pt x="1552136" y="656086"/>
                </a:cubicBezTo>
                <a:lnTo>
                  <a:pt x="1535655" y="602531"/>
                </a:lnTo>
                <a:cubicBezTo>
                  <a:pt x="1535191" y="601025"/>
                  <a:pt x="1534235" y="599749"/>
                  <a:pt x="1532977" y="598798"/>
                </a:cubicBezTo>
                <a:lnTo>
                  <a:pt x="1528549" y="597043"/>
                </a:lnTo>
                <a:lnTo>
                  <a:pt x="1528549" y="596830"/>
                </a:lnTo>
                <a:lnTo>
                  <a:pt x="1482314" y="596830"/>
                </a:lnTo>
                <a:close/>
                <a:moveTo>
                  <a:pt x="1679477" y="596830"/>
                </a:moveTo>
                <a:lnTo>
                  <a:pt x="1679477" y="597055"/>
                </a:lnTo>
                <a:lnTo>
                  <a:pt x="1678860" y="597020"/>
                </a:lnTo>
                <a:cubicBezTo>
                  <a:pt x="1675521" y="597426"/>
                  <a:pt x="1672623" y="599519"/>
                  <a:pt x="1671696" y="602531"/>
                </a:cubicBezTo>
                <a:lnTo>
                  <a:pt x="1655215" y="656086"/>
                </a:lnTo>
                <a:cubicBezTo>
                  <a:pt x="1653980" y="660102"/>
                  <a:pt x="1656716" y="664229"/>
                  <a:pt x="1661328" y="665305"/>
                </a:cubicBezTo>
                <a:lnTo>
                  <a:pt x="1663362" y="665780"/>
                </a:lnTo>
                <a:cubicBezTo>
                  <a:pt x="1667974" y="666857"/>
                  <a:pt x="1672715" y="664473"/>
                  <a:pt x="1673951" y="660457"/>
                </a:cubicBezTo>
                <a:lnTo>
                  <a:pt x="1679477" y="642502"/>
                </a:lnTo>
                <a:lnTo>
                  <a:pt x="1679477" y="662686"/>
                </a:lnTo>
                <a:lnTo>
                  <a:pt x="1679477" y="669300"/>
                </a:lnTo>
                <a:lnTo>
                  <a:pt x="1679477" y="718130"/>
                </a:lnTo>
                <a:cubicBezTo>
                  <a:pt x="1679477" y="722288"/>
                  <a:pt x="1683346" y="725658"/>
                  <a:pt x="1688123" y="725658"/>
                </a:cubicBezTo>
                <a:lnTo>
                  <a:pt x="1690227" y="725658"/>
                </a:lnTo>
                <a:cubicBezTo>
                  <a:pt x="1695001" y="725658"/>
                  <a:pt x="1698873" y="722288"/>
                  <a:pt x="1698873" y="718130"/>
                </a:cubicBezTo>
                <a:lnTo>
                  <a:pt x="1698873" y="669300"/>
                </a:lnTo>
                <a:lnTo>
                  <a:pt x="1706314" y="669300"/>
                </a:lnTo>
                <a:lnTo>
                  <a:pt x="1706314" y="718130"/>
                </a:lnTo>
                <a:cubicBezTo>
                  <a:pt x="1706314" y="722288"/>
                  <a:pt x="1710187" y="725658"/>
                  <a:pt x="1714961" y="725658"/>
                </a:cubicBezTo>
                <a:lnTo>
                  <a:pt x="1717066" y="725658"/>
                </a:lnTo>
                <a:cubicBezTo>
                  <a:pt x="1721841" y="725658"/>
                  <a:pt x="1725712" y="722288"/>
                  <a:pt x="1725712" y="718130"/>
                </a:cubicBezTo>
                <a:lnTo>
                  <a:pt x="1725712" y="669300"/>
                </a:lnTo>
                <a:lnTo>
                  <a:pt x="1725712" y="662686"/>
                </a:lnTo>
                <a:lnTo>
                  <a:pt x="1725712" y="644694"/>
                </a:lnTo>
                <a:lnTo>
                  <a:pt x="1730563" y="660457"/>
                </a:lnTo>
                <a:cubicBezTo>
                  <a:pt x="1731799" y="664473"/>
                  <a:pt x="1736539" y="666857"/>
                  <a:pt x="1741152" y="665780"/>
                </a:cubicBezTo>
                <a:lnTo>
                  <a:pt x="1743185" y="665305"/>
                </a:lnTo>
                <a:cubicBezTo>
                  <a:pt x="1747797" y="664229"/>
                  <a:pt x="1750534" y="660102"/>
                  <a:pt x="1749299" y="656086"/>
                </a:cubicBezTo>
                <a:lnTo>
                  <a:pt x="1732817" y="602531"/>
                </a:lnTo>
                <a:cubicBezTo>
                  <a:pt x="1732354" y="601025"/>
                  <a:pt x="1731398" y="599749"/>
                  <a:pt x="1730140" y="598798"/>
                </a:cubicBezTo>
                <a:lnTo>
                  <a:pt x="1725712" y="597043"/>
                </a:lnTo>
                <a:lnTo>
                  <a:pt x="1725712" y="596830"/>
                </a:lnTo>
                <a:lnTo>
                  <a:pt x="1679477" y="596830"/>
                </a:lnTo>
                <a:close/>
                <a:moveTo>
                  <a:pt x="1882298" y="596830"/>
                </a:moveTo>
                <a:lnTo>
                  <a:pt x="1882298" y="597055"/>
                </a:lnTo>
                <a:lnTo>
                  <a:pt x="1881681" y="597020"/>
                </a:lnTo>
                <a:cubicBezTo>
                  <a:pt x="1878344" y="597426"/>
                  <a:pt x="1875446" y="599519"/>
                  <a:pt x="1874518" y="602531"/>
                </a:cubicBezTo>
                <a:lnTo>
                  <a:pt x="1858037" y="656086"/>
                </a:lnTo>
                <a:cubicBezTo>
                  <a:pt x="1856802" y="660102"/>
                  <a:pt x="1859540" y="664229"/>
                  <a:pt x="1864152" y="665305"/>
                </a:cubicBezTo>
                <a:lnTo>
                  <a:pt x="1866184" y="665780"/>
                </a:lnTo>
                <a:cubicBezTo>
                  <a:pt x="1870795" y="666857"/>
                  <a:pt x="1875538" y="664473"/>
                  <a:pt x="1876773" y="660457"/>
                </a:cubicBezTo>
                <a:lnTo>
                  <a:pt x="1882298" y="642502"/>
                </a:lnTo>
                <a:lnTo>
                  <a:pt x="1882298" y="662686"/>
                </a:lnTo>
                <a:lnTo>
                  <a:pt x="1882298" y="669300"/>
                </a:lnTo>
                <a:lnTo>
                  <a:pt x="1882298" y="718130"/>
                </a:lnTo>
                <a:cubicBezTo>
                  <a:pt x="1882298" y="722288"/>
                  <a:pt x="1886170" y="725658"/>
                  <a:pt x="1890944" y="725658"/>
                </a:cubicBezTo>
                <a:lnTo>
                  <a:pt x="1893050" y="725658"/>
                </a:lnTo>
                <a:cubicBezTo>
                  <a:pt x="1897824" y="725658"/>
                  <a:pt x="1901696" y="722288"/>
                  <a:pt x="1901696" y="718130"/>
                </a:cubicBezTo>
                <a:lnTo>
                  <a:pt x="1901696" y="669300"/>
                </a:lnTo>
                <a:lnTo>
                  <a:pt x="1909138" y="669300"/>
                </a:lnTo>
                <a:lnTo>
                  <a:pt x="1909138" y="718130"/>
                </a:lnTo>
                <a:cubicBezTo>
                  <a:pt x="1909138" y="722288"/>
                  <a:pt x="1913008" y="725658"/>
                  <a:pt x="1917783" y="725658"/>
                </a:cubicBezTo>
                <a:lnTo>
                  <a:pt x="1919889" y="725658"/>
                </a:lnTo>
                <a:cubicBezTo>
                  <a:pt x="1924664" y="725658"/>
                  <a:pt x="1928535" y="722288"/>
                  <a:pt x="1928535" y="718130"/>
                </a:cubicBezTo>
                <a:lnTo>
                  <a:pt x="1928535" y="669300"/>
                </a:lnTo>
                <a:lnTo>
                  <a:pt x="1928535" y="662686"/>
                </a:lnTo>
                <a:lnTo>
                  <a:pt x="1928535" y="644694"/>
                </a:lnTo>
                <a:lnTo>
                  <a:pt x="1933385" y="660457"/>
                </a:lnTo>
                <a:cubicBezTo>
                  <a:pt x="1934622" y="664473"/>
                  <a:pt x="1939363" y="666857"/>
                  <a:pt x="1943974" y="665780"/>
                </a:cubicBezTo>
                <a:lnTo>
                  <a:pt x="1946009" y="665305"/>
                </a:lnTo>
                <a:cubicBezTo>
                  <a:pt x="1950620" y="664229"/>
                  <a:pt x="1953357" y="660102"/>
                  <a:pt x="1952121" y="656086"/>
                </a:cubicBezTo>
                <a:lnTo>
                  <a:pt x="1935640" y="602531"/>
                </a:lnTo>
                <a:cubicBezTo>
                  <a:pt x="1935177" y="601025"/>
                  <a:pt x="1934220" y="599749"/>
                  <a:pt x="1932962" y="598798"/>
                </a:cubicBezTo>
                <a:lnTo>
                  <a:pt x="1928535" y="597043"/>
                </a:lnTo>
                <a:lnTo>
                  <a:pt x="1928535" y="596830"/>
                </a:lnTo>
                <a:lnTo>
                  <a:pt x="1882298" y="596830"/>
                </a:lnTo>
                <a:close/>
                <a:moveTo>
                  <a:pt x="2081622" y="596830"/>
                </a:moveTo>
                <a:lnTo>
                  <a:pt x="2081622" y="597055"/>
                </a:lnTo>
                <a:lnTo>
                  <a:pt x="2081004" y="597020"/>
                </a:lnTo>
                <a:cubicBezTo>
                  <a:pt x="2077667" y="597426"/>
                  <a:pt x="2074768" y="599519"/>
                  <a:pt x="2073841" y="602531"/>
                </a:cubicBezTo>
                <a:lnTo>
                  <a:pt x="2057362" y="656086"/>
                </a:lnTo>
                <a:cubicBezTo>
                  <a:pt x="2056126" y="660102"/>
                  <a:pt x="2058863" y="664229"/>
                  <a:pt x="2063474" y="665305"/>
                </a:cubicBezTo>
                <a:lnTo>
                  <a:pt x="2065507" y="665780"/>
                </a:lnTo>
                <a:cubicBezTo>
                  <a:pt x="2070119" y="666857"/>
                  <a:pt x="2074860" y="664473"/>
                  <a:pt x="2076097" y="660457"/>
                </a:cubicBezTo>
                <a:lnTo>
                  <a:pt x="2081622" y="642502"/>
                </a:lnTo>
                <a:lnTo>
                  <a:pt x="2081622" y="662686"/>
                </a:lnTo>
                <a:lnTo>
                  <a:pt x="2081622" y="669300"/>
                </a:lnTo>
                <a:lnTo>
                  <a:pt x="2081622" y="718130"/>
                </a:lnTo>
                <a:cubicBezTo>
                  <a:pt x="2081622" y="722288"/>
                  <a:pt x="2085492" y="725658"/>
                  <a:pt x="2090268" y="725658"/>
                </a:cubicBezTo>
                <a:lnTo>
                  <a:pt x="2092373" y="725658"/>
                </a:lnTo>
                <a:cubicBezTo>
                  <a:pt x="2097148" y="725658"/>
                  <a:pt x="2101019" y="722288"/>
                  <a:pt x="2101019" y="718130"/>
                </a:cubicBezTo>
                <a:lnTo>
                  <a:pt x="2101019" y="669300"/>
                </a:lnTo>
                <a:lnTo>
                  <a:pt x="2108461" y="669300"/>
                </a:lnTo>
                <a:lnTo>
                  <a:pt x="2108461" y="718130"/>
                </a:lnTo>
                <a:cubicBezTo>
                  <a:pt x="2108461" y="722288"/>
                  <a:pt x="2112333" y="725658"/>
                  <a:pt x="2117107" y="725658"/>
                </a:cubicBezTo>
                <a:lnTo>
                  <a:pt x="2119212" y="725658"/>
                </a:lnTo>
                <a:cubicBezTo>
                  <a:pt x="2123987" y="725658"/>
                  <a:pt x="2127858" y="722288"/>
                  <a:pt x="2127858" y="718130"/>
                </a:cubicBezTo>
                <a:lnTo>
                  <a:pt x="2127858" y="669300"/>
                </a:lnTo>
                <a:lnTo>
                  <a:pt x="2127858" y="662686"/>
                </a:lnTo>
                <a:lnTo>
                  <a:pt x="2127858" y="644694"/>
                </a:lnTo>
                <a:lnTo>
                  <a:pt x="2132707" y="660457"/>
                </a:lnTo>
                <a:cubicBezTo>
                  <a:pt x="2133945" y="664473"/>
                  <a:pt x="2138685" y="666857"/>
                  <a:pt x="2143298" y="665780"/>
                </a:cubicBezTo>
                <a:lnTo>
                  <a:pt x="2145331" y="665305"/>
                </a:lnTo>
                <a:cubicBezTo>
                  <a:pt x="2149943" y="664229"/>
                  <a:pt x="2152681" y="660102"/>
                  <a:pt x="2151445" y="656086"/>
                </a:cubicBezTo>
                <a:lnTo>
                  <a:pt x="2134963" y="602531"/>
                </a:lnTo>
                <a:cubicBezTo>
                  <a:pt x="2134501" y="601025"/>
                  <a:pt x="2133542" y="599749"/>
                  <a:pt x="2132286" y="598798"/>
                </a:cubicBezTo>
                <a:lnTo>
                  <a:pt x="2127858" y="597043"/>
                </a:lnTo>
                <a:lnTo>
                  <a:pt x="2127858" y="596830"/>
                </a:lnTo>
                <a:lnTo>
                  <a:pt x="2081622" y="596830"/>
                </a:lnTo>
                <a:close/>
                <a:moveTo>
                  <a:pt x="303668" y="787580"/>
                </a:moveTo>
                <a:cubicBezTo>
                  <a:pt x="293205" y="787580"/>
                  <a:pt x="284721" y="794965"/>
                  <a:pt x="284721" y="804077"/>
                </a:cubicBezTo>
                <a:cubicBezTo>
                  <a:pt x="284721" y="813186"/>
                  <a:pt x="293205" y="820573"/>
                  <a:pt x="303668" y="820573"/>
                </a:cubicBezTo>
                <a:cubicBezTo>
                  <a:pt x="314131" y="820573"/>
                  <a:pt x="322614" y="813186"/>
                  <a:pt x="322614" y="804077"/>
                </a:cubicBezTo>
                <a:cubicBezTo>
                  <a:pt x="322614" y="794965"/>
                  <a:pt x="314131" y="787580"/>
                  <a:pt x="303668" y="787580"/>
                </a:cubicBezTo>
                <a:close/>
                <a:moveTo>
                  <a:pt x="503662" y="787580"/>
                </a:moveTo>
                <a:cubicBezTo>
                  <a:pt x="493198" y="787580"/>
                  <a:pt x="484717" y="794965"/>
                  <a:pt x="484717" y="804077"/>
                </a:cubicBezTo>
                <a:cubicBezTo>
                  <a:pt x="484717" y="813186"/>
                  <a:pt x="493198" y="820573"/>
                  <a:pt x="503662" y="820573"/>
                </a:cubicBezTo>
                <a:cubicBezTo>
                  <a:pt x="514126" y="820573"/>
                  <a:pt x="522607" y="813186"/>
                  <a:pt x="522607" y="804077"/>
                </a:cubicBezTo>
                <a:cubicBezTo>
                  <a:pt x="522607" y="794965"/>
                  <a:pt x="514126" y="787580"/>
                  <a:pt x="503662" y="787580"/>
                </a:cubicBezTo>
                <a:close/>
                <a:moveTo>
                  <a:pt x="703653" y="787580"/>
                </a:moveTo>
                <a:cubicBezTo>
                  <a:pt x="693190" y="787580"/>
                  <a:pt x="684709" y="794965"/>
                  <a:pt x="684709" y="804077"/>
                </a:cubicBezTo>
                <a:cubicBezTo>
                  <a:pt x="684709" y="813186"/>
                  <a:pt x="693190" y="820573"/>
                  <a:pt x="703653" y="820573"/>
                </a:cubicBezTo>
                <a:cubicBezTo>
                  <a:pt x="714117" y="820573"/>
                  <a:pt x="722600" y="813186"/>
                  <a:pt x="722600" y="804077"/>
                </a:cubicBezTo>
                <a:cubicBezTo>
                  <a:pt x="722600" y="794965"/>
                  <a:pt x="714117" y="787580"/>
                  <a:pt x="703653" y="787580"/>
                </a:cubicBezTo>
                <a:close/>
                <a:moveTo>
                  <a:pt x="903646" y="787580"/>
                </a:moveTo>
                <a:cubicBezTo>
                  <a:pt x="893183" y="787580"/>
                  <a:pt x="884701" y="794965"/>
                  <a:pt x="884701" y="804077"/>
                </a:cubicBezTo>
                <a:cubicBezTo>
                  <a:pt x="884701" y="813186"/>
                  <a:pt x="893183" y="820573"/>
                  <a:pt x="903646" y="820573"/>
                </a:cubicBezTo>
                <a:cubicBezTo>
                  <a:pt x="914110" y="820573"/>
                  <a:pt x="922591" y="813186"/>
                  <a:pt x="922591" y="804077"/>
                </a:cubicBezTo>
                <a:cubicBezTo>
                  <a:pt x="922591" y="794965"/>
                  <a:pt x="914110" y="787580"/>
                  <a:pt x="903646" y="787580"/>
                </a:cubicBezTo>
                <a:close/>
                <a:moveTo>
                  <a:pt x="1103638" y="787580"/>
                </a:moveTo>
                <a:cubicBezTo>
                  <a:pt x="1093175" y="787580"/>
                  <a:pt x="1084694" y="794965"/>
                  <a:pt x="1084694" y="804077"/>
                </a:cubicBezTo>
                <a:cubicBezTo>
                  <a:pt x="1084694" y="813186"/>
                  <a:pt x="1093175" y="820573"/>
                  <a:pt x="1103638" y="820573"/>
                </a:cubicBezTo>
                <a:cubicBezTo>
                  <a:pt x="1114102" y="820573"/>
                  <a:pt x="1122584" y="813186"/>
                  <a:pt x="1122584" y="804077"/>
                </a:cubicBezTo>
                <a:cubicBezTo>
                  <a:pt x="1122584" y="794965"/>
                  <a:pt x="1114102" y="787580"/>
                  <a:pt x="1103638" y="787580"/>
                </a:cubicBezTo>
                <a:close/>
                <a:moveTo>
                  <a:pt x="1303631" y="787580"/>
                </a:moveTo>
                <a:cubicBezTo>
                  <a:pt x="1293167" y="787580"/>
                  <a:pt x="1284685" y="794965"/>
                  <a:pt x="1284685" y="804077"/>
                </a:cubicBezTo>
                <a:cubicBezTo>
                  <a:pt x="1284685" y="813186"/>
                  <a:pt x="1293167" y="820573"/>
                  <a:pt x="1303631" y="820573"/>
                </a:cubicBezTo>
                <a:cubicBezTo>
                  <a:pt x="1314095" y="820573"/>
                  <a:pt x="1322576" y="813186"/>
                  <a:pt x="1322576" y="804077"/>
                </a:cubicBezTo>
                <a:cubicBezTo>
                  <a:pt x="1322576" y="794965"/>
                  <a:pt x="1314095" y="787580"/>
                  <a:pt x="1303631" y="787580"/>
                </a:cubicBezTo>
                <a:close/>
                <a:moveTo>
                  <a:pt x="1505923" y="787580"/>
                </a:moveTo>
                <a:cubicBezTo>
                  <a:pt x="1495460" y="787580"/>
                  <a:pt x="1486979" y="794965"/>
                  <a:pt x="1486979" y="804077"/>
                </a:cubicBezTo>
                <a:cubicBezTo>
                  <a:pt x="1486979" y="813186"/>
                  <a:pt x="1495460" y="820573"/>
                  <a:pt x="1505923" y="820573"/>
                </a:cubicBezTo>
                <a:cubicBezTo>
                  <a:pt x="1516387" y="820573"/>
                  <a:pt x="1524868" y="813186"/>
                  <a:pt x="1524868" y="804077"/>
                </a:cubicBezTo>
                <a:cubicBezTo>
                  <a:pt x="1524868" y="794965"/>
                  <a:pt x="1516387" y="787580"/>
                  <a:pt x="1505923" y="787580"/>
                </a:cubicBezTo>
                <a:close/>
                <a:moveTo>
                  <a:pt x="1703085" y="787580"/>
                </a:moveTo>
                <a:cubicBezTo>
                  <a:pt x="1692623" y="787580"/>
                  <a:pt x="1684140" y="794965"/>
                  <a:pt x="1684140" y="804077"/>
                </a:cubicBezTo>
                <a:cubicBezTo>
                  <a:pt x="1684140" y="813186"/>
                  <a:pt x="1692623" y="820573"/>
                  <a:pt x="1703085" y="820573"/>
                </a:cubicBezTo>
                <a:cubicBezTo>
                  <a:pt x="1713550" y="820573"/>
                  <a:pt x="1722031" y="813186"/>
                  <a:pt x="1722031" y="804077"/>
                </a:cubicBezTo>
                <a:cubicBezTo>
                  <a:pt x="1722031" y="794965"/>
                  <a:pt x="1713550" y="787580"/>
                  <a:pt x="1703085" y="787580"/>
                </a:cubicBezTo>
                <a:close/>
                <a:moveTo>
                  <a:pt x="1905908" y="787580"/>
                </a:moveTo>
                <a:cubicBezTo>
                  <a:pt x="1895444" y="787580"/>
                  <a:pt x="1886962" y="794965"/>
                  <a:pt x="1886962" y="804077"/>
                </a:cubicBezTo>
                <a:cubicBezTo>
                  <a:pt x="1886962" y="813186"/>
                  <a:pt x="1895444" y="820573"/>
                  <a:pt x="1905908" y="820573"/>
                </a:cubicBezTo>
                <a:cubicBezTo>
                  <a:pt x="1916372" y="820573"/>
                  <a:pt x="1924855" y="813186"/>
                  <a:pt x="1924855" y="804077"/>
                </a:cubicBezTo>
                <a:cubicBezTo>
                  <a:pt x="1924855" y="794965"/>
                  <a:pt x="1916372" y="787580"/>
                  <a:pt x="1905908" y="787580"/>
                </a:cubicBezTo>
                <a:close/>
                <a:moveTo>
                  <a:pt x="2105231" y="787580"/>
                </a:moveTo>
                <a:cubicBezTo>
                  <a:pt x="2094769" y="787580"/>
                  <a:pt x="2086286" y="794965"/>
                  <a:pt x="2086286" y="804077"/>
                </a:cubicBezTo>
                <a:cubicBezTo>
                  <a:pt x="2086286" y="813186"/>
                  <a:pt x="2094769" y="820573"/>
                  <a:pt x="2105231" y="820573"/>
                </a:cubicBezTo>
                <a:cubicBezTo>
                  <a:pt x="2115694" y="820573"/>
                  <a:pt x="2124177" y="813186"/>
                  <a:pt x="2124177" y="804077"/>
                </a:cubicBezTo>
                <a:cubicBezTo>
                  <a:pt x="2124177" y="794965"/>
                  <a:pt x="2115694" y="787580"/>
                  <a:pt x="2105231" y="787580"/>
                </a:cubicBezTo>
                <a:close/>
                <a:moveTo>
                  <a:pt x="280058" y="824238"/>
                </a:moveTo>
                <a:lnTo>
                  <a:pt x="280058" y="824463"/>
                </a:lnTo>
                <a:lnTo>
                  <a:pt x="279441" y="824428"/>
                </a:lnTo>
                <a:cubicBezTo>
                  <a:pt x="276104" y="824833"/>
                  <a:pt x="273205" y="826926"/>
                  <a:pt x="272279" y="829938"/>
                </a:cubicBezTo>
                <a:lnTo>
                  <a:pt x="255797" y="883493"/>
                </a:lnTo>
                <a:cubicBezTo>
                  <a:pt x="254561" y="887509"/>
                  <a:pt x="257298" y="891636"/>
                  <a:pt x="261911" y="892712"/>
                </a:cubicBezTo>
                <a:lnTo>
                  <a:pt x="263944" y="893188"/>
                </a:lnTo>
                <a:cubicBezTo>
                  <a:pt x="268557" y="894264"/>
                  <a:pt x="273297" y="891880"/>
                  <a:pt x="274533" y="887865"/>
                </a:cubicBezTo>
                <a:lnTo>
                  <a:pt x="280058" y="869910"/>
                </a:lnTo>
                <a:lnTo>
                  <a:pt x="280058" y="890094"/>
                </a:lnTo>
                <a:lnTo>
                  <a:pt x="280058" y="896707"/>
                </a:lnTo>
                <a:lnTo>
                  <a:pt x="280058" y="945537"/>
                </a:lnTo>
                <a:cubicBezTo>
                  <a:pt x="280058" y="949695"/>
                  <a:pt x="283930" y="953066"/>
                  <a:pt x="288705" y="953066"/>
                </a:cubicBezTo>
                <a:lnTo>
                  <a:pt x="290809" y="953066"/>
                </a:lnTo>
                <a:cubicBezTo>
                  <a:pt x="295584" y="953066"/>
                  <a:pt x="299455" y="949695"/>
                  <a:pt x="299455" y="945537"/>
                </a:cubicBezTo>
                <a:lnTo>
                  <a:pt x="299455" y="896707"/>
                </a:lnTo>
                <a:lnTo>
                  <a:pt x="306898" y="896707"/>
                </a:lnTo>
                <a:lnTo>
                  <a:pt x="306898" y="945537"/>
                </a:lnTo>
                <a:cubicBezTo>
                  <a:pt x="306898" y="949695"/>
                  <a:pt x="310769" y="953066"/>
                  <a:pt x="315544" y="953066"/>
                </a:cubicBezTo>
                <a:lnTo>
                  <a:pt x="317649" y="953066"/>
                </a:lnTo>
                <a:cubicBezTo>
                  <a:pt x="322423" y="953066"/>
                  <a:pt x="326293" y="949695"/>
                  <a:pt x="326293" y="945537"/>
                </a:cubicBezTo>
                <a:lnTo>
                  <a:pt x="326293" y="896707"/>
                </a:lnTo>
                <a:lnTo>
                  <a:pt x="326293" y="890094"/>
                </a:lnTo>
                <a:lnTo>
                  <a:pt x="326293" y="872102"/>
                </a:lnTo>
                <a:lnTo>
                  <a:pt x="331145" y="887865"/>
                </a:lnTo>
                <a:cubicBezTo>
                  <a:pt x="332381" y="891880"/>
                  <a:pt x="337122" y="894264"/>
                  <a:pt x="341734" y="893188"/>
                </a:cubicBezTo>
                <a:lnTo>
                  <a:pt x="343767" y="892712"/>
                </a:lnTo>
                <a:cubicBezTo>
                  <a:pt x="348380" y="891636"/>
                  <a:pt x="351116" y="887509"/>
                  <a:pt x="349881" y="883493"/>
                </a:cubicBezTo>
                <a:lnTo>
                  <a:pt x="333400" y="829938"/>
                </a:lnTo>
                <a:cubicBezTo>
                  <a:pt x="332936" y="828432"/>
                  <a:pt x="331980" y="827156"/>
                  <a:pt x="330722" y="826205"/>
                </a:cubicBezTo>
                <a:lnTo>
                  <a:pt x="326293" y="824451"/>
                </a:lnTo>
                <a:lnTo>
                  <a:pt x="326293" y="824238"/>
                </a:lnTo>
                <a:lnTo>
                  <a:pt x="280058" y="824238"/>
                </a:lnTo>
                <a:close/>
                <a:moveTo>
                  <a:pt x="480053" y="824238"/>
                </a:moveTo>
                <a:lnTo>
                  <a:pt x="480053" y="824463"/>
                </a:lnTo>
                <a:lnTo>
                  <a:pt x="479436" y="824428"/>
                </a:lnTo>
                <a:cubicBezTo>
                  <a:pt x="476099" y="824833"/>
                  <a:pt x="473200" y="826926"/>
                  <a:pt x="472272" y="829938"/>
                </a:cubicBezTo>
                <a:lnTo>
                  <a:pt x="455791" y="883493"/>
                </a:lnTo>
                <a:cubicBezTo>
                  <a:pt x="454555" y="887509"/>
                  <a:pt x="457292" y="891636"/>
                  <a:pt x="461906" y="892712"/>
                </a:cubicBezTo>
                <a:lnTo>
                  <a:pt x="463938" y="893188"/>
                </a:lnTo>
                <a:cubicBezTo>
                  <a:pt x="468550" y="894264"/>
                  <a:pt x="473292" y="891880"/>
                  <a:pt x="474527" y="887865"/>
                </a:cubicBezTo>
                <a:lnTo>
                  <a:pt x="480053" y="869910"/>
                </a:lnTo>
                <a:lnTo>
                  <a:pt x="480053" y="890094"/>
                </a:lnTo>
                <a:lnTo>
                  <a:pt x="480053" y="896707"/>
                </a:lnTo>
                <a:lnTo>
                  <a:pt x="480053" y="945537"/>
                </a:lnTo>
                <a:cubicBezTo>
                  <a:pt x="480053" y="949695"/>
                  <a:pt x="483924" y="953066"/>
                  <a:pt x="488698" y="953066"/>
                </a:cubicBezTo>
                <a:lnTo>
                  <a:pt x="490804" y="953066"/>
                </a:lnTo>
                <a:cubicBezTo>
                  <a:pt x="495578" y="953066"/>
                  <a:pt x="499450" y="949695"/>
                  <a:pt x="499450" y="945537"/>
                </a:cubicBezTo>
                <a:lnTo>
                  <a:pt x="499450" y="896707"/>
                </a:lnTo>
                <a:lnTo>
                  <a:pt x="506892" y="896707"/>
                </a:lnTo>
                <a:lnTo>
                  <a:pt x="506892" y="945537"/>
                </a:lnTo>
                <a:cubicBezTo>
                  <a:pt x="506892" y="949695"/>
                  <a:pt x="510763" y="953066"/>
                  <a:pt x="515538" y="953066"/>
                </a:cubicBezTo>
                <a:lnTo>
                  <a:pt x="517643" y="953066"/>
                </a:lnTo>
                <a:cubicBezTo>
                  <a:pt x="522418" y="953066"/>
                  <a:pt x="526287" y="949695"/>
                  <a:pt x="526287" y="945537"/>
                </a:cubicBezTo>
                <a:lnTo>
                  <a:pt x="526287" y="896707"/>
                </a:lnTo>
                <a:lnTo>
                  <a:pt x="526287" y="890094"/>
                </a:lnTo>
                <a:lnTo>
                  <a:pt x="526287" y="872102"/>
                </a:lnTo>
                <a:lnTo>
                  <a:pt x="531139" y="887865"/>
                </a:lnTo>
                <a:cubicBezTo>
                  <a:pt x="532375" y="891880"/>
                  <a:pt x="537116" y="894264"/>
                  <a:pt x="541727" y="893188"/>
                </a:cubicBezTo>
                <a:lnTo>
                  <a:pt x="543761" y="892712"/>
                </a:lnTo>
                <a:cubicBezTo>
                  <a:pt x="548373" y="891636"/>
                  <a:pt x="551110" y="887509"/>
                  <a:pt x="549875" y="883493"/>
                </a:cubicBezTo>
                <a:lnTo>
                  <a:pt x="533394" y="829938"/>
                </a:lnTo>
                <a:cubicBezTo>
                  <a:pt x="532930" y="828432"/>
                  <a:pt x="531974" y="827156"/>
                  <a:pt x="530716" y="826205"/>
                </a:cubicBezTo>
                <a:lnTo>
                  <a:pt x="526287" y="824451"/>
                </a:lnTo>
                <a:lnTo>
                  <a:pt x="526287" y="824238"/>
                </a:lnTo>
                <a:lnTo>
                  <a:pt x="480053" y="824238"/>
                </a:lnTo>
                <a:close/>
                <a:moveTo>
                  <a:pt x="680045" y="824238"/>
                </a:moveTo>
                <a:lnTo>
                  <a:pt x="680045" y="824463"/>
                </a:lnTo>
                <a:lnTo>
                  <a:pt x="679427" y="824428"/>
                </a:lnTo>
                <a:cubicBezTo>
                  <a:pt x="676090" y="824833"/>
                  <a:pt x="673192" y="826926"/>
                  <a:pt x="672265" y="829938"/>
                </a:cubicBezTo>
                <a:lnTo>
                  <a:pt x="655783" y="883493"/>
                </a:lnTo>
                <a:cubicBezTo>
                  <a:pt x="654547" y="887509"/>
                  <a:pt x="657285" y="891636"/>
                  <a:pt x="661899" y="892712"/>
                </a:cubicBezTo>
                <a:lnTo>
                  <a:pt x="663930" y="893188"/>
                </a:lnTo>
                <a:cubicBezTo>
                  <a:pt x="668542" y="894264"/>
                  <a:pt x="673282" y="891880"/>
                  <a:pt x="674518" y="887865"/>
                </a:cubicBezTo>
                <a:lnTo>
                  <a:pt x="680045" y="869910"/>
                </a:lnTo>
                <a:lnTo>
                  <a:pt x="680045" y="890094"/>
                </a:lnTo>
                <a:lnTo>
                  <a:pt x="680045" y="896707"/>
                </a:lnTo>
                <a:lnTo>
                  <a:pt x="680045" y="945537"/>
                </a:lnTo>
                <a:cubicBezTo>
                  <a:pt x="680045" y="949695"/>
                  <a:pt x="683916" y="953066"/>
                  <a:pt x="688691" y="953066"/>
                </a:cubicBezTo>
                <a:lnTo>
                  <a:pt x="690797" y="953066"/>
                </a:lnTo>
                <a:cubicBezTo>
                  <a:pt x="695570" y="953066"/>
                  <a:pt x="699443" y="949695"/>
                  <a:pt x="699443" y="945537"/>
                </a:cubicBezTo>
                <a:lnTo>
                  <a:pt x="699443" y="896707"/>
                </a:lnTo>
                <a:lnTo>
                  <a:pt x="706884" y="896707"/>
                </a:lnTo>
                <a:lnTo>
                  <a:pt x="706884" y="945537"/>
                </a:lnTo>
                <a:cubicBezTo>
                  <a:pt x="706884" y="949695"/>
                  <a:pt x="710754" y="953066"/>
                  <a:pt x="715530" y="953066"/>
                </a:cubicBezTo>
                <a:lnTo>
                  <a:pt x="717635" y="953066"/>
                </a:lnTo>
                <a:cubicBezTo>
                  <a:pt x="722411" y="953066"/>
                  <a:pt x="726280" y="949695"/>
                  <a:pt x="726280" y="945537"/>
                </a:cubicBezTo>
                <a:lnTo>
                  <a:pt x="726280" y="896707"/>
                </a:lnTo>
                <a:lnTo>
                  <a:pt x="726280" y="890094"/>
                </a:lnTo>
                <a:lnTo>
                  <a:pt x="726280" y="872102"/>
                </a:lnTo>
                <a:lnTo>
                  <a:pt x="731132" y="887865"/>
                </a:lnTo>
                <a:cubicBezTo>
                  <a:pt x="732368" y="891880"/>
                  <a:pt x="737108" y="894264"/>
                  <a:pt x="741720" y="893188"/>
                </a:cubicBezTo>
                <a:lnTo>
                  <a:pt x="743753" y="892712"/>
                </a:lnTo>
                <a:cubicBezTo>
                  <a:pt x="748365" y="891636"/>
                  <a:pt x="751103" y="887509"/>
                  <a:pt x="749868" y="883493"/>
                </a:cubicBezTo>
                <a:lnTo>
                  <a:pt x="733385" y="829938"/>
                </a:lnTo>
                <a:cubicBezTo>
                  <a:pt x="732923" y="828432"/>
                  <a:pt x="731967" y="827156"/>
                  <a:pt x="730709" y="826205"/>
                </a:cubicBezTo>
                <a:lnTo>
                  <a:pt x="726280" y="824451"/>
                </a:lnTo>
                <a:lnTo>
                  <a:pt x="726280" y="824238"/>
                </a:lnTo>
                <a:lnTo>
                  <a:pt x="680045" y="824238"/>
                </a:lnTo>
                <a:close/>
                <a:moveTo>
                  <a:pt x="880037" y="824238"/>
                </a:moveTo>
                <a:lnTo>
                  <a:pt x="880037" y="824463"/>
                </a:lnTo>
                <a:lnTo>
                  <a:pt x="879420" y="824428"/>
                </a:lnTo>
                <a:cubicBezTo>
                  <a:pt x="876083" y="824833"/>
                  <a:pt x="873184" y="826926"/>
                  <a:pt x="872256" y="829938"/>
                </a:cubicBezTo>
                <a:lnTo>
                  <a:pt x="855776" y="883493"/>
                </a:lnTo>
                <a:cubicBezTo>
                  <a:pt x="854540" y="887509"/>
                  <a:pt x="857277" y="891636"/>
                  <a:pt x="861890" y="892712"/>
                </a:cubicBezTo>
                <a:lnTo>
                  <a:pt x="863923" y="893188"/>
                </a:lnTo>
                <a:cubicBezTo>
                  <a:pt x="868534" y="894264"/>
                  <a:pt x="873275" y="891880"/>
                  <a:pt x="874511" y="887865"/>
                </a:cubicBezTo>
                <a:lnTo>
                  <a:pt x="880037" y="869910"/>
                </a:lnTo>
                <a:lnTo>
                  <a:pt x="880037" y="890094"/>
                </a:lnTo>
                <a:lnTo>
                  <a:pt x="880037" y="896707"/>
                </a:lnTo>
                <a:lnTo>
                  <a:pt x="880037" y="945537"/>
                </a:lnTo>
                <a:cubicBezTo>
                  <a:pt x="880037" y="949695"/>
                  <a:pt x="883909" y="953066"/>
                  <a:pt x="888683" y="953066"/>
                </a:cubicBezTo>
                <a:lnTo>
                  <a:pt x="890788" y="953066"/>
                </a:lnTo>
                <a:cubicBezTo>
                  <a:pt x="895563" y="953066"/>
                  <a:pt x="899434" y="949695"/>
                  <a:pt x="899434" y="945537"/>
                </a:cubicBezTo>
                <a:lnTo>
                  <a:pt x="899434" y="896707"/>
                </a:lnTo>
                <a:lnTo>
                  <a:pt x="906877" y="896707"/>
                </a:lnTo>
                <a:lnTo>
                  <a:pt x="906877" y="945537"/>
                </a:lnTo>
                <a:cubicBezTo>
                  <a:pt x="906877" y="949695"/>
                  <a:pt x="910747" y="953066"/>
                  <a:pt x="915521" y="953066"/>
                </a:cubicBezTo>
                <a:lnTo>
                  <a:pt x="917628" y="953066"/>
                </a:lnTo>
                <a:cubicBezTo>
                  <a:pt x="922402" y="953066"/>
                  <a:pt x="926272" y="949695"/>
                  <a:pt x="926272" y="945537"/>
                </a:cubicBezTo>
                <a:lnTo>
                  <a:pt x="926272" y="896707"/>
                </a:lnTo>
                <a:lnTo>
                  <a:pt x="926272" y="890094"/>
                </a:lnTo>
                <a:lnTo>
                  <a:pt x="926272" y="872102"/>
                </a:lnTo>
                <a:lnTo>
                  <a:pt x="931123" y="887865"/>
                </a:lnTo>
                <a:cubicBezTo>
                  <a:pt x="932359" y="891880"/>
                  <a:pt x="937100" y="894264"/>
                  <a:pt x="941712" y="893188"/>
                </a:cubicBezTo>
                <a:lnTo>
                  <a:pt x="943745" y="892712"/>
                </a:lnTo>
                <a:cubicBezTo>
                  <a:pt x="948358" y="891636"/>
                  <a:pt x="951095" y="887509"/>
                  <a:pt x="949860" y="883493"/>
                </a:cubicBezTo>
                <a:lnTo>
                  <a:pt x="933378" y="829938"/>
                </a:lnTo>
                <a:cubicBezTo>
                  <a:pt x="932915" y="828432"/>
                  <a:pt x="931958" y="827156"/>
                  <a:pt x="930701" y="826205"/>
                </a:cubicBezTo>
                <a:lnTo>
                  <a:pt x="926272" y="824451"/>
                </a:lnTo>
                <a:lnTo>
                  <a:pt x="926272" y="824238"/>
                </a:lnTo>
                <a:lnTo>
                  <a:pt x="880037" y="824238"/>
                </a:lnTo>
                <a:close/>
                <a:moveTo>
                  <a:pt x="1080030" y="824238"/>
                </a:moveTo>
                <a:lnTo>
                  <a:pt x="1080030" y="824463"/>
                </a:lnTo>
                <a:lnTo>
                  <a:pt x="1079412" y="824428"/>
                </a:lnTo>
                <a:cubicBezTo>
                  <a:pt x="1076075" y="824833"/>
                  <a:pt x="1073176" y="826926"/>
                  <a:pt x="1072249" y="829938"/>
                </a:cubicBezTo>
                <a:lnTo>
                  <a:pt x="1055767" y="883493"/>
                </a:lnTo>
                <a:cubicBezTo>
                  <a:pt x="1054531" y="887509"/>
                  <a:pt x="1057269" y="891636"/>
                  <a:pt x="1061881" y="892712"/>
                </a:cubicBezTo>
                <a:lnTo>
                  <a:pt x="1063914" y="893188"/>
                </a:lnTo>
                <a:cubicBezTo>
                  <a:pt x="1068527" y="894264"/>
                  <a:pt x="1073267" y="891880"/>
                  <a:pt x="1074503" y="887865"/>
                </a:cubicBezTo>
                <a:lnTo>
                  <a:pt x="1080030" y="869910"/>
                </a:lnTo>
                <a:lnTo>
                  <a:pt x="1080030" y="890094"/>
                </a:lnTo>
                <a:lnTo>
                  <a:pt x="1080030" y="896707"/>
                </a:lnTo>
                <a:lnTo>
                  <a:pt x="1080030" y="945537"/>
                </a:lnTo>
                <a:cubicBezTo>
                  <a:pt x="1080030" y="949695"/>
                  <a:pt x="1083900" y="953066"/>
                  <a:pt x="1088676" y="953066"/>
                </a:cubicBezTo>
                <a:lnTo>
                  <a:pt x="1090781" y="953066"/>
                </a:lnTo>
                <a:cubicBezTo>
                  <a:pt x="1095554" y="953066"/>
                  <a:pt x="1099427" y="949695"/>
                  <a:pt x="1099427" y="945537"/>
                </a:cubicBezTo>
                <a:lnTo>
                  <a:pt x="1099427" y="896707"/>
                </a:lnTo>
                <a:lnTo>
                  <a:pt x="1106868" y="896707"/>
                </a:lnTo>
                <a:lnTo>
                  <a:pt x="1106868" y="945537"/>
                </a:lnTo>
                <a:cubicBezTo>
                  <a:pt x="1106868" y="949695"/>
                  <a:pt x="1110739" y="953066"/>
                  <a:pt x="1115514" y="953066"/>
                </a:cubicBezTo>
                <a:lnTo>
                  <a:pt x="1117619" y="953066"/>
                </a:lnTo>
                <a:cubicBezTo>
                  <a:pt x="1122395" y="953066"/>
                  <a:pt x="1126264" y="949695"/>
                  <a:pt x="1126264" y="945537"/>
                </a:cubicBezTo>
                <a:lnTo>
                  <a:pt x="1126264" y="896707"/>
                </a:lnTo>
                <a:lnTo>
                  <a:pt x="1126264" y="890094"/>
                </a:lnTo>
                <a:lnTo>
                  <a:pt x="1126264" y="872102"/>
                </a:lnTo>
                <a:lnTo>
                  <a:pt x="1131115" y="887865"/>
                </a:lnTo>
                <a:cubicBezTo>
                  <a:pt x="1132352" y="891880"/>
                  <a:pt x="1137092" y="894264"/>
                  <a:pt x="1141704" y="893188"/>
                </a:cubicBezTo>
                <a:lnTo>
                  <a:pt x="1143738" y="892712"/>
                </a:lnTo>
                <a:cubicBezTo>
                  <a:pt x="1148350" y="891636"/>
                  <a:pt x="1151086" y="887509"/>
                  <a:pt x="1149853" y="883493"/>
                </a:cubicBezTo>
                <a:lnTo>
                  <a:pt x="1133370" y="829938"/>
                </a:lnTo>
                <a:cubicBezTo>
                  <a:pt x="1132906" y="828432"/>
                  <a:pt x="1131950" y="827156"/>
                  <a:pt x="1130693" y="826205"/>
                </a:cubicBezTo>
                <a:lnTo>
                  <a:pt x="1126264" y="824451"/>
                </a:lnTo>
                <a:lnTo>
                  <a:pt x="1126264" y="824238"/>
                </a:lnTo>
                <a:lnTo>
                  <a:pt x="1080030" y="824238"/>
                </a:lnTo>
                <a:close/>
                <a:moveTo>
                  <a:pt x="1280022" y="824238"/>
                </a:moveTo>
                <a:lnTo>
                  <a:pt x="1280022" y="824463"/>
                </a:lnTo>
                <a:lnTo>
                  <a:pt x="1279405" y="824428"/>
                </a:lnTo>
                <a:cubicBezTo>
                  <a:pt x="1276068" y="824833"/>
                  <a:pt x="1273169" y="826926"/>
                  <a:pt x="1272241" y="829938"/>
                </a:cubicBezTo>
                <a:lnTo>
                  <a:pt x="1255760" y="883493"/>
                </a:lnTo>
                <a:cubicBezTo>
                  <a:pt x="1254524" y="887509"/>
                  <a:pt x="1257261" y="891636"/>
                  <a:pt x="1261874" y="892712"/>
                </a:cubicBezTo>
                <a:lnTo>
                  <a:pt x="1263907" y="893188"/>
                </a:lnTo>
                <a:cubicBezTo>
                  <a:pt x="1268519" y="894264"/>
                  <a:pt x="1273260" y="891880"/>
                  <a:pt x="1274496" y="887865"/>
                </a:cubicBezTo>
                <a:lnTo>
                  <a:pt x="1280022" y="869910"/>
                </a:lnTo>
                <a:lnTo>
                  <a:pt x="1280022" y="890094"/>
                </a:lnTo>
                <a:lnTo>
                  <a:pt x="1280022" y="896707"/>
                </a:lnTo>
                <a:lnTo>
                  <a:pt x="1280022" y="945537"/>
                </a:lnTo>
                <a:cubicBezTo>
                  <a:pt x="1280022" y="949695"/>
                  <a:pt x="1283892" y="953066"/>
                  <a:pt x="1288667" y="953066"/>
                </a:cubicBezTo>
                <a:lnTo>
                  <a:pt x="1290773" y="953066"/>
                </a:lnTo>
                <a:cubicBezTo>
                  <a:pt x="1295546" y="953066"/>
                  <a:pt x="1299419" y="949695"/>
                  <a:pt x="1299419" y="945537"/>
                </a:cubicBezTo>
                <a:lnTo>
                  <a:pt x="1299419" y="896707"/>
                </a:lnTo>
                <a:lnTo>
                  <a:pt x="1306860" y="896707"/>
                </a:lnTo>
                <a:lnTo>
                  <a:pt x="1306860" y="945537"/>
                </a:lnTo>
                <a:cubicBezTo>
                  <a:pt x="1306860" y="949695"/>
                  <a:pt x="1310732" y="953066"/>
                  <a:pt x="1315506" y="953066"/>
                </a:cubicBezTo>
                <a:lnTo>
                  <a:pt x="1317610" y="953066"/>
                </a:lnTo>
                <a:cubicBezTo>
                  <a:pt x="1322387" y="953066"/>
                  <a:pt x="1326256" y="949695"/>
                  <a:pt x="1326256" y="945537"/>
                </a:cubicBezTo>
                <a:lnTo>
                  <a:pt x="1326256" y="896707"/>
                </a:lnTo>
                <a:lnTo>
                  <a:pt x="1326256" y="890094"/>
                </a:lnTo>
                <a:lnTo>
                  <a:pt x="1326256" y="872102"/>
                </a:lnTo>
                <a:lnTo>
                  <a:pt x="1331108" y="887865"/>
                </a:lnTo>
                <a:cubicBezTo>
                  <a:pt x="1332344" y="891880"/>
                  <a:pt x="1337084" y="894264"/>
                  <a:pt x="1341696" y="893188"/>
                </a:cubicBezTo>
                <a:lnTo>
                  <a:pt x="1343730" y="892712"/>
                </a:lnTo>
                <a:cubicBezTo>
                  <a:pt x="1348342" y="891636"/>
                  <a:pt x="1351079" y="887509"/>
                  <a:pt x="1349844" y="883493"/>
                </a:cubicBezTo>
                <a:lnTo>
                  <a:pt x="1333361" y="829938"/>
                </a:lnTo>
                <a:cubicBezTo>
                  <a:pt x="1332899" y="828432"/>
                  <a:pt x="1331943" y="827156"/>
                  <a:pt x="1330685" y="826205"/>
                </a:cubicBezTo>
                <a:lnTo>
                  <a:pt x="1326256" y="824451"/>
                </a:lnTo>
                <a:lnTo>
                  <a:pt x="1326256" y="824238"/>
                </a:lnTo>
                <a:lnTo>
                  <a:pt x="1280022" y="824238"/>
                </a:lnTo>
                <a:close/>
                <a:moveTo>
                  <a:pt x="1482314" y="824238"/>
                </a:moveTo>
                <a:lnTo>
                  <a:pt x="1482314" y="824463"/>
                </a:lnTo>
                <a:lnTo>
                  <a:pt x="1481697" y="824428"/>
                </a:lnTo>
                <a:cubicBezTo>
                  <a:pt x="1478360" y="824833"/>
                  <a:pt x="1475461" y="826926"/>
                  <a:pt x="1474533" y="829938"/>
                </a:cubicBezTo>
                <a:lnTo>
                  <a:pt x="1458052" y="883493"/>
                </a:lnTo>
                <a:cubicBezTo>
                  <a:pt x="1456817" y="887509"/>
                  <a:pt x="1459553" y="891636"/>
                  <a:pt x="1464166" y="892712"/>
                </a:cubicBezTo>
                <a:lnTo>
                  <a:pt x="1466199" y="893188"/>
                </a:lnTo>
                <a:cubicBezTo>
                  <a:pt x="1470811" y="894264"/>
                  <a:pt x="1475552" y="891880"/>
                  <a:pt x="1476788" y="887865"/>
                </a:cubicBezTo>
                <a:lnTo>
                  <a:pt x="1482314" y="869910"/>
                </a:lnTo>
                <a:lnTo>
                  <a:pt x="1482314" y="890094"/>
                </a:lnTo>
                <a:lnTo>
                  <a:pt x="1482314" y="896707"/>
                </a:lnTo>
                <a:lnTo>
                  <a:pt x="1482314" y="945537"/>
                </a:lnTo>
                <a:cubicBezTo>
                  <a:pt x="1482314" y="949695"/>
                  <a:pt x="1486185" y="953066"/>
                  <a:pt x="1490960" y="953066"/>
                </a:cubicBezTo>
                <a:lnTo>
                  <a:pt x="1493064" y="953066"/>
                </a:lnTo>
                <a:cubicBezTo>
                  <a:pt x="1497840" y="953066"/>
                  <a:pt x="1501710" y="949695"/>
                  <a:pt x="1501710" y="945537"/>
                </a:cubicBezTo>
                <a:lnTo>
                  <a:pt x="1501710" y="896707"/>
                </a:lnTo>
                <a:lnTo>
                  <a:pt x="1509153" y="896707"/>
                </a:lnTo>
                <a:lnTo>
                  <a:pt x="1509153" y="945537"/>
                </a:lnTo>
                <a:cubicBezTo>
                  <a:pt x="1509153" y="949695"/>
                  <a:pt x="1513024" y="953066"/>
                  <a:pt x="1517799" y="953066"/>
                </a:cubicBezTo>
                <a:lnTo>
                  <a:pt x="1519903" y="953066"/>
                </a:lnTo>
                <a:cubicBezTo>
                  <a:pt x="1524678" y="953066"/>
                  <a:pt x="1528549" y="949695"/>
                  <a:pt x="1528549" y="945537"/>
                </a:cubicBezTo>
                <a:lnTo>
                  <a:pt x="1528549" y="896707"/>
                </a:lnTo>
                <a:lnTo>
                  <a:pt x="1528549" y="890094"/>
                </a:lnTo>
                <a:lnTo>
                  <a:pt x="1528549" y="872102"/>
                </a:lnTo>
                <a:lnTo>
                  <a:pt x="1533400" y="887865"/>
                </a:lnTo>
                <a:cubicBezTo>
                  <a:pt x="1534636" y="891880"/>
                  <a:pt x="1539377" y="894264"/>
                  <a:pt x="1543989" y="893188"/>
                </a:cubicBezTo>
                <a:lnTo>
                  <a:pt x="1546022" y="892712"/>
                </a:lnTo>
                <a:cubicBezTo>
                  <a:pt x="1550635" y="891636"/>
                  <a:pt x="1553371" y="887509"/>
                  <a:pt x="1552136" y="883493"/>
                </a:cubicBezTo>
                <a:lnTo>
                  <a:pt x="1535655" y="829938"/>
                </a:lnTo>
                <a:cubicBezTo>
                  <a:pt x="1535191" y="828432"/>
                  <a:pt x="1534235" y="827156"/>
                  <a:pt x="1532977" y="826205"/>
                </a:cubicBezTo>
                <a:lnTo>
                  <a:pt x="1528549" y="824451"/>
                </a:lnTo>
                <a:lnTo>
                  <a:pt x="1528549" y="824238"/>
                </a:lnTo>
                <a:lnTo>
                  <a:pt x="1482314" y="824238"/>
                </a:lnTo>
                <a:close/>
                <a:moveTo>
                  <a:pt x="1679477" y="824238"/>
                </a:moveTo>
                <a:lnTo>
                  <a:pt x="1679477" y="824463"/>
                </a:lnTo>
                <a:lnTo>
                  <a:pt x="1678860" y="824428"/>
                </a:lnTo>
                <a:cubicBezTo>
                  <a:pt x="1675521" y="824833"/>
                  <a:pt x="1672623" y="826926"/>
                  <a:pt x="1671696" y="829938"/>
                </a:cubicBezTo>
                <a:lnTo>
                  <a:pt x="1655215" y="883493"/>
                </a:lnTo>
                <a:cubicBezTo>
                  <a:pt x="1653980" y="887509"/>
                  <a:pt x="1656716" y="891636"/>
                  <a:pt x="1661328" y="892712"/>
                </a:cubicBezTo>
                <a:lnTo>
                  <a:pt x="1663362" y="893188"/>
                </a:lnTo>
                <a:cubicBezTo>
                  <a:pt x="1667974" y="894264"/>
                  <a:pt x="1672715" y="891880"/>
                  <a:pt x="1673951" y="887865"/>
                </a:cubicBezTo>
                <a:lnTo>
                  <a:pt x="1679477" y="869910"/>
                </a:lnTo>
                <a:lnTo>
                  <a:pt x="1679477" y="890094"/>
                </a:lnTo>
                <a:lnTo>
                  <a:pt x="1679477" y="896707"/>
                </a:lnTo>
                <a:lnTo>
                  <a:pt x="1679477" y="945537"/>
                </a:lnTo>
                <a:cubicBezTo>
                  <a:pt x="1679477" y="949695"/>
                  <a:pt x="1683346" y="953066"/>
                  <a:pt x="1688123" y="953066"/>
                </a:cubicBezTo>
                <a:lnTo>
                  <a:pt x="1690227" y="953066"/>
                </a:lnTo>
                <a:cubicBezTo>
                  <a:pt x="1695001" y="953066"/>
                  <a:pt x="1698873" y="949695"/>
                  <a:pt x="1698873" y="945537"/>
                </a:cubicBezTo>
                <a:lnTo>
                  <a:pt x="1698873" y="896707"/>
                </a:lnTo>
                <a:lnTo>
                  <a:pt x="1706314" y="896707"/>
                </a:lnTo>
                <a:lnTo>
                  <a:pt x="1706314" y="945537"/>
                </a:lnTo>
                <a:cubicBezTo>
                  <a:pt x="1706314" y="949695"/>
                  <a:pt x="1710187" y="953066"/>
                  <a:pt x="1714961" y="953066"/>
                </a:cubicBezTo>
                <a:lnTo>
                  <a:pt x="1717066" y="953066"/>
                </a:lnTo>
                <a:cubicBezTo>
                  <a:pt x="1721841" y="953066"/>
                  <a:pt x="1725712" y="949695"/>
                  <a:pt x="1725712" y="945537"/>
                </a:cubicBezTo>
                <a:lnTo>
                  <a:pt x="1725712" y="896707"/>
                </a:lnTo>
                <a:lnTo>
                  <a:pt x="1725712" y="890094"/>
                </a:lnTo>
                <a:lnTo>
                  <a:pt x="1725712" y="872102"/>
                </a:lnTo>
                <a:lnTo>
                  <a:pt x="1730563" y="887865"/>
                </a:lnTo>
                <a:cubicBezTo>
                  <a:pt x="1731799" y="891880"/>
                  <a:pt x="1736539" y="894264"/>
                  <a:pt x="1741152" y="893188"/>
                </a:cubicBezTo>
                <a:lnTo>
                  <a:pt x="1743185" y="892712"/>
                </a:lnTo>
                <a:cubicBezTo>
                  <a:pt x="1747797" y="891636"/>
                  <a:pt x="1750534" y="887509"/>
                  <a:pt x="1749299" y="883493"/>
                </a:cubicBezTo>
                <a:lnTo>
                  <a:pt x="1732817" y="829938"/>
                </a:lnTo>
                <a:cubicBezTo>
                  <a:pt x="1732354" y="828432"/>
                  <a:pt x="1731398" y="827156"/>
                  <a:pt x="1730140" y="826205"/>
                </a:cubicBezTo>
                <a:lnTo>
                  <a:pt x="1725712" y="824451"/>
                </a:lnTo>
                <a:lnTo>
                  <a:pt x="1725712" y="824238"/>
                </a:lnTo>
                <a:lnTo>
                  <a:pt x="1679477" y="824238"/>
                </a:lnTo>
                <a:close/>
                <a:moveTo>
                  <a:pt x="1882298" y="824238"/>
                </a:moveTo>
                <a:lnTo>
                  <a:pt x="1882298" y="824463"/>
                </a:lnTo>
                <a:lnTo>
                  <a:pt x="1881681" y="824428"/>
                </a:lnTo>
                <a:cubicBezTo>
                  <a:pt x="1878344" y="824833"/>
                  <a:pt x="1875446" y="826926"/>
                  <a:pt x="1874518" y="829938"/>
                </a:cubicBezTo>
                <a:lnTo>
                  <a:pt x="1858037" y="883493"/>
                </a:lnTo>
                <a:cubicBezTo>
                  <a:pt x="1856802" y="887509"/>
                  <a:pt x="1859540" y="891636"/>
                  <a:pt x="1864152" y="892712"/>
                </a:cubicBezTo>
                <a:lnTo>
                  <a:pt x="1866184" y="893188"/>
                </a:lnTo>
                <a:cubicBezTo>
                  <a:pt x="1870795" y="894264"/>
                  <a:pt x="1875538" y="891880"/>
                  <a:pt x="1876773" y="887865"/>
                </a:cubicBezTo>
                <a:lnTo>
                  <a:pt x="1882298" y="869910"/>
                </a:lnTo>
                <a:lnTo>
                  <a:pt x="1882298" y="890094"/>
                </a:lnTo>
                <a:lnTo>
                  <a:pt x="1882298" y="896707"/>
                </a:lnTo>
                <a:lnTo>
                  <a:pt x="1882298" y="945537"/>
                </a:lnTo>
                <a:cubicBezTo>
                  <a:pt x="1882298" y="949695"/>
                  <a:pt x="1886170" y="953066"/>
                  <a:pt x="1890944" y="953066"/>
                </a:cubicBezTo>
                <a:lnTo>
                  <a:pt x="1893050" y="953066"/>
                </a:lnTo>
                <a:cubicBezTo>
                  <a:pt x="1897824" y="953066"/>
                  <a:pt x="1901696" y="949695"/>
                  <a:pt x="1901696" y="945537"/>
                </a:cubicBezTo>
                <a:lnTo>
                  <a:pt x="1901696" y="896707"/>
                </a:lnTo>
                <a:lnTo>
                  <a:pt x="1909138" y="896707"/>
                </a:lnTo>
                <a:lnTo>
                  <a:pt x="1909138" y="945537"/>
                </a:lnTo>
                <a:cubicBezTo>
                  <a:pt x="1909138" y="949695"/>
                  <a:pt x="1913008" y="953066"/>
                  <a:pt x="1917783" y="953066"/>
                </a:cubicBezTo>
                <a:lnTo>
                  <a:pt x="1919889" y="953066"/>
                </a:lnTo>
                <a:cubicBezTo>
                  <a:pt x="1924664" y="953066"/>
                  <a:pt x="1928535" y="949695"/>
                  <a:pt x="1928535" y="945537"/>
                </a:cubicBezTo>
                <a:lnTo>
                  <a:pt x="1928535" y="896707"/>
                </a:lnTo>
                <a:lnTo>
                  <a:pt x="1928535" y="890094"/>
                </a:lnTo>
                <a:lnTo>
                  <a:pt x="1928535" y="872102"/>
                </a:lnTo>
                <a:lnTo>
                  <a:pt x="1933385" y="887865"/>
                </a:lnTo>
                <a:cubicBezTo>
                  <a:pt x="1934622" y="891880"/>
                  <a:pt x="1939363" y="894264"/>
                  <a:pt x="1943974" y="893188"/>
                </a:cubicBezTo>
                <a:lnTo>
                  <a:pt x="1946009" y="892712"/>
                </a:lnTo>
                <a:cubicBezTo>
                  <a:pt x="1950620" y="891636"/>
                  <a:pt x="1953357" y="887509"/>
                  <a:pt x="1952121" y="883493"/>
                </a:cubicBezTo>
                <a:lnTo>
                  <a:pt x="1935640" y="829938"/>
                </a:lnTo>
                <a:cubicBezTo>
                  <a:pt x="1935177" y="828432"/>
                  <a:pt x="1934220" y="827156"/>
                  <a:pt x="1932962" y="826205"/>
                </a:cubicBezTo>
                <a:lnTo>
                  <a:pt x="1928535" y="824451"/>
                </a:lnTo>
                <a:lnTo>
                  <a:pt x="1928535" y="824238"/>
                </a:lnTo>
                <a:lnTo>
                  <a:pt x="1882298" y="824238"/>
                </a:lnTo>
                <a:close/>
                <a:moveTo>
                  <a:pt x="2081622" y="824238"/>
                </a:moveTo>
                <a:lnTo>
                  <a:pt x="2081622" y="824463"/>
                </a:lnTo>
                <a:lnTo>
                  <a:pt x="2081004" y="824428"/>
                </a:lnTo>
                <a:cubicBezTo>
                  <a:pt x="2077667" y="824833"/>
                  <a:pt x="2074768" y="826926"/>
                  <a:pt x="2073841" y="829938"/>
                </a:cubicBezTo>
                <a:lnTo>
                  <a:pt x="2057362" y="883493"/>
                </a:lnTo>
                <a:cubicBezTo>
                  <a:pt x="2056126" y="887509"/>
                  <a:pt x="2058863" y="891636"/>
                  <a:pt x="2063474" y="892712"/>
                </a:cubicBezTo>
                <a:lnTo>
                  <a:pt x="2065507" y="893188"/>
                </a:lnTo>
                <a:cubicBezTo>
                  <a:pt x="2070119" y="894264"/>
                  <a:pt x="2074860" y="891880"/>
                  <a:pt x="2076097" y="887865"/>
                </a:cubicBezTo>
                <a:lnTo>
                  <a:pt x="2081622" y="869910"/>
                </a:lnTo>
                <a:lnTo>
                  <a:pt x="2081622" y="890094"/>
                </a:lnTo>
                <a:lnTo>
                  <a:pt x="2081622" y="896707"/>
                </a:lnTo>
                <a:lnTo>
                  <a:pt x="2081622" y="945537"/>
                </a:lnTo>
                <a:cubicBezTo>
                  <a:pt x="2081622" y="949695"/>
                  <a:pt x="2085492" y="953066"/>
                  <a:pt x="2090268" y="953066"/>
                </a:cubicBezTo>
                <a:lnTo>
                  <a:pt x="2092373" y="953066"/>
                </a:lnTo>
                <a:cubicBezTo>
                  <a:pt x="2097148" y="953066"/>
                  <a:pt x="2101019" y="949695"/>
                  <a:pt x="2101019" y="945537"/>
                </a:cubicBezTo>
                <a:lnTo>
                  <a:pt x="2101019" y="896707"/>
                </a:lnTo>
                <a:lnTo>
                  <a:pt x="2108461" y="896707"/>
                </a:lnTo>
                <a:lnTo>
                  <a:pt x="2108461" y="945537"/>
                </a:lnTo>
                <a:cubicBezTo>
                  <a:pt x="2108461" y="949695"/>
                  <a:pt x="2112333" y="953066"/>
                  <a:pt x="2117107" y="953066"/>
                </a:cubicBezTo>
                <a:lnTo>
                  <a:pt x="2119212" y="953066"/>
                </a:lnTo>
                <a:cubicBezTo>
                  <a:pt x="2123987" y="953066"/>
                  <a:pt x="2127858" y="949695"/>
                  <a:pt x="2127858" y="945537"/>
                </a:cubicBezTo>
                <a:lnTo>
                  <a:pt x="2127858" y="896707"/>
                </a:lnTo>
                <a:lnTo>
                  <a:pt x="2127858" y="890094"/>
                </a:lnTo>
                <a:lnTo>
                  <a:pt x="2127858" y="872102"/>
                </a:lnTo>
                <a:lnTo>
                  <a:pt x="2132707" y="887865"/>
                </a:lnTo>
                <a:cubicBezTo>
                  <a:pt x="2133945" y="891880"/>
                  <a:pt x="2138685" y="894264"/>
                  <a:pt x="2143298" y="893188"/>
                </a:cubicBezTo>
                <a:lnTo>
                  <a:pt x="2145331" y="892712"/>
                </a:lnTo>
                <a:cubicBezTo>
                  <a:pt x="2149943" y="891636"/>
                  <a:pt x="2152681" y="887509"/>
                  <a:pt x="2151445" y="883493"/>
                </a:cubicBezTo>
                <a:lnTo>
                  <a:pt x="2134963" y="829938"/>
                </a:lnTo>
                <a:cubicBezTo>
                  <a:pt x="2134501" y="828432"/>
                  <a:pt x="2133542" y="827156"/>
                  <a:pt x="2132286" y="826205"/>
                </a:cubicBezTo>
                <a:lnTo>
                  <a:pt x="2127858" y="824451"/>
                </a:lnTo>
                <a:lnTo>
                  <a:pt x="2127858" y="824238"/>
                </a:lnTo>
                <a:lnTo>
                  <a:pt x="2081622" y="824238"/>
                </a:lnTo>
                <a:close/>
                <a:moveTo>
                  <a:pt x="303668" y="1023606"/>
                </a:moveTo>
                <a:cubicBezTo>
                  <a:pt x="293205" y="1023606"/>
                  <a:pt x="284721" y="1030991"/>
                  <a:pt x="284721" y="1040102"/>
                </a:cubicBezTo>
                <a:cubicBezTo>
                  <a:pt x="284721" y="1049212"/>
                  <a:pt x="293205" y="1056599"/>
                  <a:pt x="303668" y="1056599"/>
                </a:cubicBezTo>
                <a:cubicBezTo>
                  <a:pt x="314131" y="1056599"/>
                  <a:pt x="322614" y="1049212"/>
                  <a:pt x="322614" y="1040102"/>
                </a:cubicBezTo>
                <a:cubicBezTo>
                  <a:pt x="322614" y="1030991"/>
                  <a:pt x="314131" y="1023606"/>
                  <a:pt x="303668" y="1023606"/>
                </a:cubicBezTo>
                <a:close/>
                <a:moveTo>
                  <a:pt x="503662" y="1023606"/>
                </a:moveTo>
                <a:cubicBezTo>
                  <a:pt x="493198" y="1023606"/>
                  <a:pt x="484717" y="1030991"/>
                  <a:pt x="484717" y="1040102"/>
                </a:cubicBezTo>
                <a:cubicBezTo>
                  <a:pt x="484717" y="1049212"/>
                  <a:pt x="493198" y="1056599"/>
                  <a:pt x="503662" y="1056599"/>
                </a:cubicBezTo>
                <a:cubicBezTo>
                  <a:pt x="514126" y="1056599"/>
                  <a:pt x="522607" y="1049212"/>
                  <a:pt x="522607" y="1040102"/>
                </a:cubicBezTo>
                <a:cubicBezTo>
                  <a:pt x="522607" y="1030991"/>
                  <a:pt x="514126" y="1023606"/>
                  <a:pt x="503662" y="1023606"/>
                </a:cubicBezTo>
                <a:close/>
                <a:moveTo>
                  <a:pt x="703653" y="1023606"/>
                </a:moveTo>
                <a:cubicBezTo>
                  <a:pt x="693190" y="1023606"/>
                  <a:pt x="684709" y="1030991"/>
                  <a:pt x="684709" y="1040102"/>
                </a:cubicBezTo>
                <a:cubicBezTo>
                  <a:pt x="684709" y="1049212"/>
                  <a:pt x="693190" y="1056599"/>
                  <a:pt x="703653" y="1056599"/>
                </a:cubicBezTo>
                <a:cubicBezTo>
                  <a:pt x="714117" y="1056599"/>
                  <a:pt x="722600" y="1049212"/>
                  <a:pt x="722600" y="1040102"/>
                </a:cubicBezTo>
                <a:cubicBezTo>
                  <a:pt x="722600" y="1030991"/>
                  <a:pt x="714117" y="1023606"/>
                  <a:pt x="703653" y="1023606"/>
                </a:cubicBezTo>
                <a:close/>
                <a:moveTo>
                  <a:pt x="903646" y="1023606"/>
                </a:moveTo>
                <a:cubicBezTo>
                  <a:pt x="893183" y="1023606"/>
                  <a:pt x="884701" y="1030991"/>
                  <a:pt x="884701" y="1040102"/>
                </a:cubicBezTo>
                <a:cubicBezTo>
                  <a:pt x="884701" y="1049212"/>
                  <a:pt x="893183" y="1056599"/>
                  <a:pt x="903646" y="1056599"/>
                </a:cubicBezTo>
                <a:cubicBezTo>
                  <a:pt x="914110" y="1056599"/>
                  <a:pt x="922591" y="1049212"/>
                  <a:pt x="922591" y="1040102"/>
                </a:cubicBezTo>
                <a:cubicBezTo>
                  <a:pt x="922591" y="1030991"/>
                  <a:pt x="914110" y="1023606"/>
                  <a:pt x="903646" y="1023606"/>
                </a:cubicBezTo>
                <a:close/>
                <a:moveTo>
                  <a:pt x="1103638" y="1023606"/>
                </a:moveTo>
                <a:cubicBezTo>
                  <a:pt x="1093175" y="1023606"/>
                  <a:pt x="1084694" y="1030991"/>
                  <a:pt x="1084694" y="1040102"/>
                </a:cubicBezTo>
                <a:cubicBezTo>
                  <a:pt x="1084694" y="1049212"/>
                  <a:pt x="1093175" y="1056599"/>
                  <a:pt x="1103638" y="1056599"/>
                </a:cubicBezTo>
                <a:cubicBezTo>
                  <a:pt x="1114102" y="1056599"/>
                  <a:pt x="1122584" y="1049212"/>
                  <a:pt x="1122584" y="1040102"/>
                </a:cubicBezTo>
                <a:cubicBezTo>
                  <a:pt x="1122584" y="1030991"/>
                  <a:pt x="1114102" y="1023606"/>
                  <a:pt x="1103638" y="1023606"/>
                </a:cubicBezTo>
                <a:close/>
                <a:moveTo>
                  <a:pt x="1303631" y="1023606"/>
                </a:moveTo>
                <a:cubicBezTo>
                  <a:pt x="1293167" y="1023606"/>
                  <a:pt x="1284685" y="1030991"/>
                  <a:pt x="1284685" y="1040102"/>
                </a:cubicBezTo>
                <a:cubicBezTo>
                  <a:pt x="1284685" y="1049212"/>
                  <a:pt x="1293167" y="1056599"/>
                  <a:pt x="1303631" y="1056599"/>
                </a:cubicBezTo>
                <a:cubicBezTo>
                  <a:pt x="1314095" y="1056599"/>
                  <a:pt x="1322576" y="1049212"/>
                  <a:pt x="1322576" y="1040102"/>
                </a:cubicBezTo>
                <a:cubicBezTo>
                  <a:pt x="1322576" y="1030991"/>
                  <a:pt x="1314095" y="1023606"/>
                  <a:pt x="1303631" y="1023606"/>
                </a:cubicBezTo>
                <a:close/>
                <a:moveTo>
                  <a:pt x="1505923" y="1023606"/>
                </a:moveTo>
                <a:cubicBezTo>
                  <a:pt x="1495460" y="1023606"/>
                  <a:pt x="1486979" y="1030991"/>
                  <a:pt x="1486979" y="1040102"/>
                </a:cubicBezTo>
                <a:cubicBezTo>
                  <a:pt x="1486979" y="1049212"/>
                  <a:pt x="1495460" y="1056599"/>
                  <a:pt x="1505923" y="1056599"/>
                </a:cubicBezTo>
                <a:cubicBezTo>
                  <a:pt x="1516387" y="1056599"/>
                  <a:pt x="1524868" y="1049212"/>
                  <a:pt x="1524868" y="1040102"/>
                </a:cubicBezTo>
                <a:cubicBezTo>
                  <a:pt x="1524868" y="1030991"/>
                  <a:pt x="1516387" y="1023606"/>
                  <a:pt x="1505923" y="1023606"/>
                </a:cubicBezTo>
                <a:close/>
                <a:moveTo>
                  <a:pt x="1703085" y="1023606"/>
                </a:moveTo>
                <a:cubicBezTo>
                  <a:pt x="1692623" y="1023606"/>
                  <a:pt x="1684140" y="1030991"/>
                  <a:pt x="1684140" y="1040102"/>
                </a:cubicBezTo>
                <a:cubicBezTo>
                  <a:pt x="1684140" y="1049212"/>
                  <a:pt x="1692623" y="1056599"/>
                  <a:pt x="1703085" y="1056599"/>
                </a:cubicBezTo>
                <a:cubicBezTo>
                  <a:pt x="1713550" y="1056599"/>
                  <a:pt x="1722031" y="1049212"/>
                  <a:pt x="1722031" y="1040102"/>
                </a:cubicBezTo>
                <a:cubicBezTo>
                  <a:pt x="1722031" y="1030991"/>
                  <a:pt x="1713550" y="1023606"/>
                  <a:pt x="1703085" y="1023606"/>
                </a:cubicBezTo>
                <a:close/>
                <a:moveTo>
                  <a:pt x="1905908" y="1023606"/>
                </a:moveTo>
                <a:cubicBezTo>
                  <a:pt x="1895444" y="1023606"/>
                  <a:pt x="1886962" y="1030991"/>
                  <a:pt x="1886962" y="1040102"/>
                </a:cubicBezTo>
                <a:cubicBezTo>
                  <a:pt x="1886962" y="1049212"/>
                  <a:pt x="1895444" y="1056599"/>
                  <a:pt x="1905908" y="1056599"/>
                </a:cubicBezTo>
                <a:cubicBezTo>
                  <a:pt x="1916372" y="1056599"/>
                  <a:pt x="1924855" y="1049212"/>
                  <a:pt x="1924855" y="1040102"/>
                </a:cubicBezTo>
                <a:cubicBezTo>
                  <a:pt x="1924855" y="1030991"/>
                  <a:pt x="1916372" y="1023606"/>
                  <a:pt x="1905908" y="1023606"/>
                </a:cubicBezTo>
                <a:close/>
                <a:moveTo>
                  <a:pt x="2105231" y="1023606"/>
                </a:moveTo>
                <a:cubicBezTo>
                  <a:pt x="2094769" y="1023606"/>
                  <a:pt x="2086286" y="1030991"/>
                  <a:pt x="2086286" y="1040102"/>
                </a:cubicBezTo>
                <a:cubicBezTo>
                  <a:pt x="2086286" y="1049212"/>
                  <a:pt x="2094769" y="1056599"/>
                  <a:pt x="2105231" y="1056599"/>
                </a:cubicBezTo>
                <a:cubicBezTo>
                  <a:pt x="2115694" y="1056599"/>
                  <a:pt x="2124177" y="1049212"/>
                  <a:pt x="2124177" y="1040102"/>
                </a:cubicBezTo>
                <a:cubicBezTo>
                  <a:pt x="2124177" y="1030991"/>
                  <a:pt x="2115694" y="1023606"/>
                  <a:pt x="2105231" y="1023606"/>
                </a:cubicBezTo>
                <a:close/>
                <a:moveTo>
                  <a:pt x="280058" y="1060264"/>
                </a:moveTo>
                <a:lnTo>
                  <a:pt x="280058" y="1060489"/>
                </a:lnTo>
                <a:lnTo>
                  <a:pt x="279441" y="1060454"/>
                </a:lnTo>
                <a:cubicBezTo>
                  <a:pt x="276104" y="1060859"/>
                  <a:pt x="273205" y="1062952"/>
                  <a:pt x="272279" y="1065964"/>
                </a:cubicBezTo>
                <a:lnTo>
                  <a:pt x="255797" y="1119520"/>
                </a:lnTo>
                <a:cubicBezTo>
                  <a:pt x="254561" y="1123535"/>
                  <a:pt x="257298" y="1127663"/>
                  <a:pt x="261911" y="1128739"/>
                </a:cubicBezTo>
                <a:lnTo>
                  <a:pt x="263944" y="1129214"/>
                </a:lnTo>
                <a:cubicBezTo>
                  <a:pt x="268557" y="1130290"/>
                  <a:pt x="273297" y="1127906"/>
                  <a:pt x="274533" y="1123891"/>
                </a:cubicBezTo>
                <a:lnTo>
                  <a:pt x="280058" y="1105936"/>
                </a:lnTo>
                <a:lnTo>
                  <a:pt x="280058" y="1126120"/>
                </a:lnTo>
                <a:lnTo>
                  <a:pt x="280058" y="1132734"/>
                </a:lnTo>
                <a:lnTo>
                  <a:pt x="280058" y="1181563"/>
                </a:lnTo>
                <a:cubicBezTo>
                  <a:pt x="280058" y="1185721"/>
                  <a:pt x="283930" y="1189092"/>
                  <a:pt x="288705" y="1189092"/>
                </a:cubicBezTo>
                <a:lnTo>
                  <a:pt x="290809" y="1189092"/>
                </a:lnTo>
                <a:cubicBezTo>
                  <a:pt x="295584" y="1189092"/>
                  <a:pt x="299455" y="1185721"/>
                  <a:pt x="299455" y="1181563"/>
                </a:cubicBezTo>
                <a:lnTo>
                  <a:pt x="299455" y="1132734"/>
                </a:lnTo>
                <a:lnTo>
                  <a:pt x="306898" y="1132734"/>
                </a:lnTo>
                <a:lnTo>
                  <a:pt x="306898" y="1181563"/>
                </a:lnTo>
                <a:cubicBezTo>
                  <a:pt x="306898" y="1185721"/>
                  <a:pt x="310769" y="1189092"/>
                  <a:pt x="315544" y="1189092"/>
                </a:cubicBezTo>
                <a:lnTo>
                  <a:pt x="317649" y="1189092"/>
                </a:lnTo>
                <a:cubicBezTo>
                  <a:pt x="322423" y="1189092"/>
                  <a:pt x="326293" y="1185721"/>
                  <a:pt x="326293" y="1181563"/>
                </a:cubicBezTo>
                <a:lnTo>
                  <a:pt x="326293" y="1132734"/>
                </a:lnTo>
                <a:lnTo>
                  <a:pt x="326293" y="1126120"/>
                </a:lnTo>
                <a:lnTo>
                  <a:pt x="326293" y="1108128"/>
                </a:lnTo>
                <a:lnTo>
                  <a:pt x="331145" y="1123891"/>
                </a:lnTo>
                <a:cubicBezTo>
                  <a:pt x="332381" y="1127906"/>
                  <a:pt x="337122" y="1130290"/>
                  <a:pt x="341734" y="1129214"/>
                </a:cubicBezTo>
                <a:lnTo>
                  <a:pt x="343767" y="1128739"/>
                </a:lnTo>
                <a:cubicBezTo>
                  <a:pt x="348380" y="1127663"/>
                  <a:pt x="351116" y="1123535"/>
                  <a:pt x="349881" y="1119520"/>
                </a:cubicBezTo>
                <a:lnTo>
                  <a:pt x="333400" y="1065964"/>
                </a:lnTo>
                <a:cubicBezTo>
                  <a:pt x="332936" y="1064459"/>
                  <a:pt x="331980" y="1063182"/>
                  <a:pt x="330722" y="1062232"/>
                </a:cubicBezTo>
                <a:lnTo>
                  <a:pt x="326293" y="1060477"/>
                </a:lnTo>
                <a:lnTo>
                  <a:pt x="326293" y="1060264"/>
                </a:lnTo>
                <a:lnTo>
                  <a:pt x="280058" y="1060264"/>
                </a:lnTo>
                <a:close/>
                <a:moveTo>
                  <a:pt x="480053" y="1060264"/>
                </a:moveTo>
                <a:lnTo>
                  <a:pt x="480053" y="1060489"/>
                </a:lnTo>
                <a:lnTo>
                  <a:pt x="479436" y="1060454"/>
                </a:lnTo>
                <a:cubicBezTo>
                  <a:pt x="476099" y="1060859"/>
                  <a:pt x="473200" y="1062952"/>
                  <a:pt x="472272" y="1065964"/>
                </a:cubicBezTo>
                <a:lnTo>
                  <a:pt x="455791" y="1119520"/>
                </a:lnTo>
                <a:cubicBezTo>
                  <a:pt x="454555" y="1123535"/>
                  <a:pt x="457292" y="1127663"/>
                  <a:pt x="461906" y="1128739"/>
                </a:cubicBezTo>
                <a:lnTo>
                  <a:pt x="463938" y="1129214"/>
                </a:lnTo>
                <a:cubicBezTo>
                  <a:pt x="468550" y="1130290"/>
                  <a:pt x="473292" y="1127906"/>
                  <a:pt x="474527" y="1123891"/>
                </a:cubicBezTo>
                <a:lnTo>
                  <a:pt x="480053" y="1105936"/>
                </a:lnTo>
                <a:lnTo>
                  <a:pt x="480053" y="1126120"/>
                </a:lnTo>
                <a:lnTo>
                  <a:pt x="480053" y="1132734"/>
                </a:lnTo>
                <a:lnTo>
                  <a:pt x="480053" y="1181563"/>
                </a:lnTo>
                <a:cubicBezTo>
                  <a:pt x="480053" y="1185721"/>
                  <a:pt x="483924" y="1189092"/>
                  <a:pt x="488698" y="1189092"/>
                </a:cubicBezTo>
                <a:lnTo>
                  <a:pt x="490804" y="1189092"/>
                </a:lnTo>
                <a:cubicBezTo>
                  <a:pt x="495578" y="1189092"/>
                  <a:pt x="499450" y="1185721"/>
                  <a:pt x="499450" y="1181563"/>
                </a:cubicBezTo>
                <a:lnTo>
                  <a:pt x="499450" y="1132734"/>
                </a:lnTo>
                <a:lnTo>
                  <a:pt x="506892" y="1132734"/>
                </a:lnTo>
                <a:lnTo>
                  <a:pt x="506892" y="1181563"/>
                </a:lnTo>
                <a:cubicBezTo>
                  <a:pt x="506892" y="1185721"/>
                  <a:pt x="510763" y="1189092"/>
                  <a:pt x="515538" y="1189092"/>
                </a:cubicBezTo>
                <a:lnTo>
                  <a:pt x="517643" y="1189092"/>
                </a:lnTo>
                <a:cubicBezTo>
                  <a:pt x="522418" y="1189092"/>
                  <a:pt x="526287" y="1185721"/>
                  <a:pt x="526287" y="1181563"/>
                </a:cubicBezTo>
                <a:lnTo>
                  <a:pt x="526287" y="1132734"/>
                </a:lnTo>
                <a:lnTo>
                  <a:pt x="526287" y="1126120"/>
                </a:lnTo>
                <a:lnTo>
                  <a:pt x="526287" y="1108128"/>
                </a:lnTo>
                <a:lnTo>
                  <a:pt x="531139" y="1123891"/>
                </a:lnTo>
                <a:cubicBezTo>
                  <a:pt x="532375" y="1127906"/>
                  <a:pt x="537116" y="1130290"/>
                  <a:pt x="541727" y="1129214"/>
                </a:cubicBezTo>
                <a:lnTo>
                  <a:pt x="543761" y="1128739"/>
                </a:lnTo>
                <a:cubicBezTo>
                  <a:pt x="548373" y="1127663"/>
                  <a:pt x="551110" y="1123535"/>
                  <a:pt x="549875" y="1119520"/>
                </a:cubicBezTo>
                <a:lnTo>
                  <a:pt x="533394" y="1065964"/>
                </a:lnTo>
                <a:cubicBezTo>
                  <a:pt x="532930" y="1064459"/>
                  <a:pt x="531974" y="1063182"/>
                  <a:pt x="530716" y="1062232"/>
                </a:cubicBezTo>
                <a:lnTo>
                  <a:pt x="526287" y="1060477"/>
                </a:lnTo>
                <a:lnTo>
                  <a:pt x="526287" y="1060264"/>
                </a:lnTo>
                <a:lnTo>
                  <a:pt x="480053" y="1060264"/>
                </a:lnTo>
                <a:close/>
                <a:moveTo>
                  <a:pt x="680045" y="1060264"/>
                </a:moveTo>
                <a:lnTo>
                  <a:pt x="680045" y="1060489"/>
                </a:lnTo>
                <a:lnTo>
                  <a:pt x="679427" y="1060454"/>
                </a:lnTo>
                <a:cubicBezTo>
                  <a:pt x="676090" y="1060859"/>
                  <a:pt x="673192" y="1062952"/>
                  <a:pt x="672265" y="1065964"/>
                </a:cubicBezTo>
                <a:lnTo>
                  <a:pt x="655783" y="1119520"/>
                </a:lnTo>
                <a:cubicBezTo>
                  <a:pt x="654547" y="1123535"/>
                  <a:pt x="657285" y="1127663"/>
                  <a:pt x="661899" y="1128739"/>
                </a:cubicBezTo>
                <a:lnTo>
                  <a:pt x="663930" y="1129214"/>
                </a:lnTo>
                <a:cubicBezTo>
                  <a:pt x="668542" y="1130290"/>
                  <a:pt x="673282" y="1127906"/>
                  <a:pt x="674518" y="1123891"/>
                </a:cubicBezTo>
                <a:lnTo>
                  <a:pt x="680045" y="1105936"/>
                </a:lnTo>
                <a:lnTo>
                  <a:pt x="680045" y="1126120"/>
                </a:lnTo>
                <a:lnTo>
                  <a:pt x="680045" y="1132734"/>
                </a:lnTo>
                <a:lnTo>
                  <a:pt x="680045" y="1181563"/>
                </a:lnTo>
                <a:cubicBezTo>
                  <a:pt x="680045" y="1185721"/>
                  <a:pt x="683916" y="1189092"/>
                  <a:pt x="688691" y="1189092"/>
                </a:cubicBezTo>
                <a:lnTo>
                  <a:pt x="690797" y="1189092"/>
                </a:lnTo>
                <a:cubicBezTo>
                  <a:pt x="695570" y="1189092"/>
                  <a:pt x="699443" y="1185721"/>
                  <a:pt x="699443" y="1181563"/>
                </a:cubicBezTo>
                <a:lnTo>
                  <a:pt x="699443" y="1132734"/>
                </a:lnTo>
                <a:lnTo>
                  <a:pt x="706884" y="1132734"/>
                </a:lnTo>
                <a:lnTo>
                  <a:pt x="706884" y="1181563"/>
                </a:lnTo>
                <a:cubicBezTo>
                  <a:pt x="706884" y="1185721"/>
                  <a:pt x="710754" y="1189092"/>
                  <a:pt x="715530" y="1189092"/>
                </a:cubicBezTo>
                <a:lnTo>
                  <a:pt x="717635" y="1189092"/>
                </a:lnTo>
                <a:cubicBezTo>
                  <a:pt x="722411" y="1189092"/>
                  <a:pt x="726280" y="1185721"/>
                  <a:pt x="726280" y="1181563"/>
                </a:cubicBezTo>
                <a:lnTo>
                  <a:pt x="726280" y="1132734"/>
                </a:lnTo>
                <a:lnTo>
                  <a:pt x="726280" y="1126120"/>
                </a:lnTo>
                <a:lnTo>
                  <a:pt x="726280" y="1108128"/>
                </a:lnTo>
                <a:lnTo>
                  <a:pt x="731132" y="1123891"/>
                </a:lnTo>
                <a:cubicBezTo>
                  <a:pt x="732368" y="1127906"/>
                  <a:pt x="737108" y="1130290"/>
                  <a:pt x="741720" y="1129214"/>
                </a:cubicBezTo>
                <a:lnTo>
                  <a:pt x="743753" y="1128739"/>
                </a:lnTo>
                <a:cubicBezTo>
                  <a:pt x="748365" y="1127663"/>
                  <a:pt x="751103" y="1123535"/>
                  <a:pt x="749868" y="1119520"/>
                </a:cubicBezTo>
                <a:lnTo>
                  <a:pt x="733385" y="1065964"/>
                </a:lnTo>
                <a:cubicBezTo>
                  <a:pt x="732923" y="1064459"/>
                  <a:pt x="731967" y="1063182"/>
                  <a:pt x="730709" y="1062232"/>
                </a:cubicBezTo>
                <a:lnTo>
                  <a:pt x="726280" y="1060477"/>
                </a:lnTo>
                <a:lnTo>
                  <a:pt x="726280" y="1060264"/>
                </a:lnTo>
                <a:lnTo>
                  <a:pt x="680045" y="1060264"/>
                </a:lnTo>
                <a:close/>
                <a:moveTo>
                  <a:pt x="880037" y="1060264"/>
                </a:moveTo>
                <a:lnTo>
                  <a:pt x="880037" y="1060489"/>
                </a:lnTo>
                <a:lnTo>
                  <a:pt x="879420" y="1060454"/>
                </a:lnTo>
                <a:cubicBezTo>
                  <a:pt x="876083" y="1060859"/>
                  <a:pt x="873184" y="1062952"/>
                  <a:pt x="872256" y="1065964"/>
                </a:cubicBezTo>
                <a:lnTo>
                  <a:pt x="855776" y="1119520"/>
                </a:lnTo>
                <a:cubicBezTo>
                  <a:pt x="854540" y="1123535"/>
                  <a:pt x="857277" y="1127663"/>
                  <a:pt x="861890" y="1128739"/>
                </a:cubicBezTo>
                <a:lnTo>
                  <a:pt x="863923" y="1129214"/>
                </a:lnTo>
                <a:cubicBezTo>
                  <a:pt x="868534" y="1130290"/>
                  <a:pt x="873275" y="1127906"/>
                  <a:pt x="874511" y="1123891"/>
                </a:cubicBezTo>
                <a:lnTo>
                  <a:pt x="880037" y="1105936"/>
                </a:lnTo>
                <a:lnTo>
                  <a:pt x="880037" y="1126120"/>
                </a:lnTo>
                <a:lnTo>
                  <a:pt x="880037" y="1132734"/>
                </a:lnTo>
                <a:lnTo>
                  <a:pt x="880037" y="1181563"/>
                </a:lnTo>
                <a:cubicBezTo>
                  <a:pt x="880037" y="1185721"/>
                  <a:pt x="883909" y="1189092"/>
                  <a:pt x="888683" y="1189092"/>
                </a:cubicBezTo>
                <a:lnTo>
                  <a:pt x="890788" y="1189092"/>
                </a:lnTo>
                <a:cubicBezTo>
                  <a:pt x="895563" y="1189092"/>
                  <a:pt x="899434" y="1185721"/>
                  <a:pt x="899434" y="1181563"/>
                </a:cubicBezTo>
                <a:lnTo>
                  <a:pt x="899434" y="1132734"/>
                </a:lnTo>
                <a:lnTo>
                  <a:pt x="906877" y="1132734"/>
                </a:lnTo>
                <a:lnTo>
                  <a:pt x="906877" y="1181563"/>
                </a:lnTo>
                <a:cubicBezTo>
                  <a:pt x="906877" y="1185721"/>
                  <a:pt x="910747" y="1189092"/>
                  <a:pt x="915521" y="1189092"/>
                </a:cubicBezTo>
                <a:lnTo>
                  <a:pt x="917628" y="1189092"/>
                </a:lnTo>
                <a:cubicBezTo>
                  <a:pt x="922402" y="1189092"/>
                  <a:pt x="926272" y="1185721"/>
                  <a:pt x="926272" y="1181563"/>
                </a:cubicBezTo>
                <a:lnTo>
                  <a:pt x="926272" y="1132734"/>
                </a:lnTo>
                <a:lnTo>
                  <a:pt x="926272" y="1126120"/>
                </a:lnTo>
                <a:lnTo>
                  <a:pt x="926272" y="1108128"/>
                </a:lnTo>
                <a:lnTo>
                  <a:pt x="931123" y="1123891"/>
                </a:lnTo>
                <a:cubicBezTo>
                  <a:pt x="932359" y="1127906"/>
                  <a:pt x="937100" y="1130290"/>
                  <a:pt x="941712" y="1129214"/>
                </a:cubicBezTo>
                <a:lnTo>
                  <a:pt x="943745" y="1128739"/>
                </a:lnTo>
                <a:cubicBezTo>
                  <a:pt x="948358" y="1127663"/>
                  <a:pt x="951095" y="1123535"/>
                  <a:pt x="949860" y="1119520"/>
                </a:cubicBezTo>
                <a:lnTo>
                  <a:pt x="933378" y="1065964"/>
                </a:lnTo>
                <a:cubicBezTo>
                  <a:pt x="932915" y="1064459"/>
                  <a:pt x="931958" y="1063182"/>
                  <a:pt x="930701" y="1062232"/>
                </a:cubicBezTo>
                <a:lnTo>
                  <a:pt x="926272" y="1060477"/>
                </a:lnTo>
                <a:lnTo>
                  <a:pt x="926272" y="1060264"/>
                </a:lnTo>
                <a:lnTo>
                  <a:pt x="880037" y="1060264"/>
                </a:lnTo>
                <a:close/>
                <a:moveTo>
                  <a:pt x="1080030" y="1060264"/>
                </a:moveTo>
                <a:lnTo>
                  <a:pt x="1080030" y="1060489"/>
                </a:lnTo>
                <a:lnTo>
                  <a:pt x="1079412" y="1060454"/>
                </a:lnTo>
                <a:cubicBezTo>
                  <a:pt x="1076075" y="1060859"/>
                  <a:pt x="1073176" y="1062952"/>
                  <a:pt x="1072249" y="1065964"/>
                </a:cubicBezTo>
                <a:lnTo>
                  <a:pt x="1055767" y="1119520"/>
                </a:lnTo>
                <a:cubicBezTo>
                  <a:pt x="1054531" y="1123535"/>
                  <a:pt x="1057269" y="1127663"/>
                  <a:pt x="1061881" y="1128739"/>
                </a:cubicBezTo>
                <a:lnTo>
                  <a:pt x="1063914" y="1129214"/>
                </a:lnTo>
                <a:cubicBezTo>
                  <a:pt x="1068527" y="1130290"/>
                  <a:pt x="1073267" y="1127906"/>
                  <a:pt x="1074503" y="1123891"/>
                </a:cubicBezTo>
                <a:lnTo>
                  <a:pt x="1080030" y="1105936"/>
                </a:lnTo>
                <a:lnTo>
                  <a:pt x="1080030" y="1126120"/>
                </a:lnTo>
                <a:lnTo>
                  <a:pt x="1080030" y="1132734"/>
                </a:lnTo>
                <a:lnTo>
                  <a:pt x="1080030" y="1181563"/>
                </a:lnTo>
                <a:cubicBezTo>
                  <a:pt x="1080030" y="1185721"/>
                  <a:pt x="1083900" y="1189092"/>
                  <a:pt x="1088676" y="1189092"/>
                </a:cubicBezTo>
                <a:lnTo>
                  <a:pt x="1090781" y="1189092"/>
                </a:lnTo>
                <a:cubicBezTo>
                  <a:pt x="1095554" y="1189092"/>
                  <a:pt x="1099427" y="1185721"/>
                  <a:pt x="1099427" y="1181563"/>
                </a:cubicBezTo>
                <a:lnTo>
                  <a:pt x="1099427" y="1132734"/>
                </a:lnTo>
                <a:lnTo>
                  <a:pt x="1106868" y="1132734"/>
                </a:lnTo>
                <a:lnTo>
                  <a:pt x="1106868" y="1181563"/>
                </a:lnTo>
                <a:cubicBezTo>
                  <a:pt x="1106868" y="1185721"/>
                  <a:pt x="1110739" y="1189092"/>
                  <a:pt x="1115514" y="1189092"/>
                </a:cubicBezTo>
                <a:lnTo>
                  <a:pt x="1117619" y="1189092"/>
                </a:lnTo>
                <a:cubicBezTo>
                  <a:pt x="1122395" y="1189092"/>
                  <a:pt x="1126264" y="1185721"/>
                  <a:pt x="1126264" y="1181563"/>
                </a:cubicBezTo>
                <a:lnTo>
                  <a:pt x="1126264" y="1132734"/>
                </a:lnTo>
                <a:lnTo>
                  <a:pt x="1126264" y="1126120"/>
                </a:lnTo>
                <a:lnTo>
                  <a:pt x="1126264" y="1108128"/>
                </a:lnTo>
                <a:lnTo>
                  <a:pt x="1131115" y="1123891"/>
                </a:lnTo>
                <a:cubicBezTo>
                  <a:pt x="1132352" y="1127906"/>
                  <a:pt x="1137092" y="1130290"/>
                  <a:pt x="1141704" y="1129214"/>
                </a:cubicBezTo>
                <a:lnTo>
                  <a:pt x="1143738" y="1128739"/>
                </a:lnTo>
                <a:cubicBezTo>
                  <a:pt x="1148350" y="1127663"/>
                  <a:pt x="1151086" y="1123535"/>
                  <a:pt x="1149853" y="1119520"/>
                </a:cubicBezTo>
                <a:lnTo>
                  <a:pt x="1133370" y="1065964"/>
                </a:lnTo>
                <a:cubicBezTo>
                  <a:pt x="1132906" y="1064459"/>
                  <a:pt x="1131950" y="1063182"/>
                  <a:pt x="1130693" y="1062232"/>
                </a:cubicBezTo>
                <a:lnTo>
                  <a:pt x="1126264" y="1060477"/>
                </a:lnTo>
                <a:lnTo>
                  <a:pt x="1126264" y="1060264"/>
                </a:lnTo>
                <a:lnTo>
                  <a:pt x="1080030" y="1060264"/>
                </a:lnTo>
                <a:close/>
                <a:moveTo>
                  <a:pt x="1280022" y="1060264"/>
                </a:moveTo>
                <a:lnTo>
                  <a:pt x="1280022" y="1060489"/>
                </a:lnTo>
                <a:lnTo>
                  <a:pt x="1279405" y="1060454"/>
                </a:lnTo>
                <a:cubicBezTo>
                  <a:pt x="1276068" y="1060859"/>
                  <a:pt x="1273169" y="1062952"/>
                  <a:pt x="1272241" y="1065964"/>
                </a:cubicBezTo>
                <a:lnTo>
                  <a:pt x="1255760" y="1119520"/>
                </a:lnTo>
                <a:cubicBezTo>
                  <a:pt x="1254524" y="1123535"/>
                  <a:pt x="1257261" y="1127663"/>
                  <a:pt x="1261874" y="1128739"/>
                </a:cubicBezTo>
                <a:lnTo>
                  <a:pt x="1263907" y="1129214"/>
                </a:lnTo>
                <a:cubicBezTo>
                  <a:pt x="1268519" y="1130290"/>
                  <a:pt x="1273260" y="1127906"/>
                  <a:pt x="1274496" y="1123891"/>
                </a:cubicBezTo>
                <a:lnTo>
                  <a:pt x="1280022" y="1105936"/>
                </a:lnTo>
                <a:lnTo>
                  <a:pt x="1280022" y="1126120"/>
                </a:lnTo>
                <a:lnTo>
                  <a:pt x="1280022" y="1132734"/>
                </a:lnTo>
                <a:lnTo>
                  <a:pt x="1280022" y="1181563"/>
                </a:lnTo>
                <a:cubicBezTo>
                  <a:pt x="1280022" y="1185721"/>
                  <a:pt x="1283892" y="1189092"/>
                  <a:pt x="1288667" y="1189092"/>
                </a:cubicBezTo>
                <a:lnTo>
                  <a:pt x="1290773" y="1189092"/>
                </a:lnTo>
                <a:cubicBezTo>
                  <a:pt x="1295546" y="1189092"/>
                  <a:pt x="1299419" y="1185721"/>
                  <a:pt x="1299419" y="1181563"/>
                </a:cubicBezTo>
                <a:lnTo>
                  <a:pt x="1299419" y="1132734"/>
                </a:lnTo>
                <a:lnTo>
                  <a:pt x="1306860" y="1132734"/>
                </a:lnTo>
                <a:lnTo>
                  <a:pt x="1306860" y="1181563"/>
                </a:lnTo>
                <a:cubicBezTo>
                  <a:pt x="1306860" y="1185721"/>
                  <a:pt x="1310732" y="1189092"/>
                  <a:pt x="1315506" y="1189092"/>
                </a:cubicBezTo>
                <a:lnTo>
                  <a:pt x="1317610" y="1189092"/>
                </a:lnTo>
                <a:cubicBezTo>
                  <a:pt x="1322387" y="1189092"/>
                  <a:pt x="1326256" y="1185721"/>
                  <a:pt x="1326256" y="1181563"/>
                </a:cubicBezTo>
                <a:lnTo>
                  <a:pt x="1326256" y="1132734"/>
                </a:lnTo>
                <a:lnTo>
                  <a:pt x="1326256" y="1126120"/>
                </a:lnTo>
                <a:lnTo>
                  <a:pt x="1326256" y="1108128"/>
                </a:lnTo>
                <a:lnTo>
                  <a:pt x="1331108" y="1123891"/>
                </a:lnTo>
                <a:cubicBezTo>
                  <a:pt x="1332344" y="1127906"/>
                  <a:pt x="1337084" y="1130290"/>
                  <a:pt x="1341696" y="1129214"/>
                </a:cubicBezTo>
                <a:lnTo>
                  <a:pt x="1343730" y="1128739"/>
                </a:lnTo>
                <a:cubicBezTo>
                  <a:pt x="1348342" y="1127663"/>
                  <a:pt x="1351079" y="1123535"/>
                  <a:pt x="1349844" y="1119520"/>
                </a:cubicBezTo>
                <a:lnTo>
                  <a:pt x="1333361" y="1065964"/>
                </a:lnTo>
                <a:cubicBezTo>
                  <a:pt x="1332899" y="1064459"/>
                  <a:pt x="1331943" y="1063182"/>
                  <a:pt x="1330685" y="1062232"/>
                </a:cubicBezTo>
                <a:lnTo>
                  <a:pt x="1326256" y="1060477"/>
                </a:lnTo>
                <a:lnTo>
                  <a:pt x="1326256" y="1060264"/>
                </a:lnTo>
                <a:lnTo>
                  <a:pt x="1280022" y="1060264"/>
                </a:lnTo>
                <a:close/>
                <a:moveTo>
                  <a:pt x="1482314" y="1060264"/>
                </a:moveTo>
                <a:lnTo>
                  <a:pt x="1482314" y="1060489"/>
                </a:lnTo>
                <a:lnTo>
                  <a:pt x="1481697" y="1060454"/>
                </a:lnTo>
                <a:cubicBezTo>
                  <a:pt x="1478360" y="1060859"/>
                  <a:pt x="1475461" y="1062952"/>
                  <a:pt x="1474533" y="1065964"/>
                </a:cubicBezTo>
                <a:lnTo>
                  <a:pt x="1458052" y="1119520"/>
                </a:lnTo>
                <a:cubicBezTo>
                  <a:pt x="1456817" y="1123535"/>
                  <a:pt x="1459553" y="1127663"/>
                  <a:pt x="1464166" y="1128739"/>
                </a:cubicBezTo>
                <a:lnTo>
                  <a:pt x="1466199" y="1129214"/>
                </a:lnTo>
                <a:cubicBezTo>
                  <a:pt x="1470811" y="1130290"/>
                  <a:pt x="1475552" y="1127906"/>
                  <a:pt x="1476788" y="1123891"/>
                </a:cubicBezTo>
                <a:lnTo>
                  <a:pt x="1482314" y="1105936"/>
                </a:lnTo>
                <a:lnTo>
                  <a:pt x="1482314" y="1126120"/>
                </a:lnTo>
                <a:lnTo>
                  <a:pt x="1482314" y="1132734"/>
                </a:lnTo>
                <a:lnTo>
                  <a:pt x="1482314" y="1181563"/>
                </a:lnTo>
                <a:cubicBezTo>
                  <a:pt x="1482314" y="1185721"/>
                  <a:pt x="1486185" y="1189092"/>
                  <a:pt x="1490960" y="1189092"/>
                </a:cubicBezTo>
                <a:lnTo>
                  <a:pt x="1493064" y="1189092"/>
                </a:lnTo>
                <a:cubicBezTo>
                  <a:pt x="1497840" y="1189092"/>
                  <a:pt x="1501710" y="1185721"/>
                  <a:pt x="1501710" y="1181563"/>
                </a:cubicBezTo>
                <a:lnTo>
                  <a:pt x="1501710" y="1132734"/>
                </a:lnTo>
                <a:lnTo>
                  <a:pt x="1509153" y="1132734"/>
                </a:lnTo>
                <a:lnTo>
                  <a:pt x="1509153" y="1181563"/>
                </a:lnTo>
                <a:cubicBezTo>
                  <a:pt x="1509153" y="1185721"/>
                  <a:pt x="1513024" y="1189092"/>
                  <a:pt x="1517799" y="1189092"/>
                </a:cubicBezTo>
                <a:lnTo>
                  <a:pt x="1519903" y="1189092"/>
                </a:lnTo>
                <a:cubicBezTo>
                  <a:pt x="1524678" y="1189092"/>
                  <a:pt x="1528549" y="1185721"/>
                  <a:pt x="1528549" y="1181563"/>
                </a:cubicBezTo>
                <a:lnTo>
                  <a:pt x="1528549" y="1132734"/>
                </a:lnTo>
                <a:lnTo>
                  <a:pt x="1528549" y="1126120"/>
                </a:lnTo>
                <a:lnTo>
                  <a:pt x="1528549" y="1108128"/>
                </a:lnTo>
                <a:lnTo>
                  <a:pt x="1533400" y="1123891"/>
                </a:lnTo>
                <a:cubicBezTo>
                  <a:pt x="1534636" y="1127906"/>
                  <a:pt x="1539377" y="1130290"/>
                  <a:pt x="1543989" y="1129214"/>
                </a:cubicBezTo>
                <a:lnTo>
                  <a:pt x="1546022" y="1128739"/>
                </a:lnTo>
                <a:cubicBezTo>
                  <a:pt x="1550635" y="1127663"/>
                  <a:pt x="1553371" y="1123535"/>
                  <a:pt x="1552136" y="1119520"/>
                </a:cubicBezTo>
                <a:lnTo>
                  <a:pt x="1535655" y="1065964"/>
                </a:lnTo>
                <a:cubicBezTo>
                  <a:pt x="1535191" y="1064459"/>
                  <a:pt x="1534235" y="1063182"/>
                  <a:pt x="1532977" y="1062232"/>
                </a:cubicBezTo>
                <a:lnTo>
                  <a:pt x="1528549" y="1060477"/>
                </a:lnTo>
                <a:lnTo>
                  <a:pt x="1528549" y="1060264"/>
                </a:lnTo>
                <a:lnTo>
                  <a:pt x="1482314" y="1060264"/>
                </a:lnTo>
                <a:close/>
                <a:moveTo>
                  <a:pt x="1679477" y="1060264"/>
                </a:moveTo>
                <a:lnTo>
                  <a:pt x="1679477" y="1060489"/>
                </a:lnTo>
                <a:lnTo>
                  <a:pt x="1678860" y="1060454"/>
                </a:lnTo>
                <a:cubicBezTo>
                  <a:pt x="1675521" y="1060859"/>
                  <a:pt x="1672623" y="1062952"/>
                  <a:pt x="1671696" y="1065964"/>
                </a:cubicBezTo>
                <a:lnTo>
                  <a:pt x="1655215" y="1119520"/>
                </a:lnTo>
                <a:cubicBezTo>
                  <a:pt x="1653980" y="1123535"/>
                  <a:pt x="1656716" y="1127663"/>
                  <a:pt x="1661328" y="1128739"/>
                </a:cubicBezTo>
                <a:lnTo>
                  <a:pt x="1663362" y="1129214"/>
                </a:lnTo>
                <a:cubicBezTo>
                  <a:pt x="1667974" y="1130290"/>
                  <a:pt x="1672715" y="1127906"/>
                  <a:pt x="1673951" y="1123891"/>
                </a:cubicBezTo>
                <a:lnTo>
                  <a:pt x="1679477" y="1105936"/>
                </a:lnTo>
                <a:lnTo>
                  <a:pt x="1679477" y="1126120"/>
                </a:lnTo>
                <a:lnTo>
                  <a:pt x="1679477" y="1132734"/>
                </a:lnTo>
                <a:lnTo>
                  <a:pt x="1679477" y="1181563"/>
                </a:lnTo>
                <a:cubicBezTo>
                  <a:pt x="1679477" y="1185721"/>
                  <a:pt x="1683346" y="1189092"/>
                  <a:pt x="1688123" y="1189092"/>
                </a:cubicBezTo>
                <a:lnTo>
                  <a:pt x="1690227" y="1189092"/>
                </a:lnTo>
                <a:cubicBezTo>
                  <a:pt x="1695001" y="1189092"/>
                  <a:pt x="1698873" y="1185721"/>
                  <a:pt x="1698873" y="1181563"/>
                </a:cubicBezTo>
                <a:lnTo>
                  <a:pt x="1698873" y="1132734"/>
                </a:lnTo>
                <a:lnTo>
                  <a:pt x="1706314" y="1132734"/>
                </a:lnTo>
                <a:lnTo>
                  <a:pt x="1706314" y="1181563"/>
                </a:lnTo>
                <a:cubicBezTo>
                  <a:pt x="1706314" y="1185721"/>
                  <a:pt x="1710187" y="1189092"/>
                  <a:pt x="1714961" y="1189092"/>
                </a:cubicBezTo>
                <a:lnTo>
                  <a:pt x="1717066" y="1189092"/>
                </a:lnTo>
                <a:cubicBezTo>
                  <a:pt x="1721841" y="1189092"/>
                  <a:pt x="1725712" y="1185721"/>
                  <a:pt x="1725712" y="1181563"/>
                </a:cubicBezTo>
                <a:lnTo>
                  <a:pt x="1725712" y="1132734"/>
                </a:lnTo>
                <a:lnTo>
                  <a:pt x="1725712" y="1126120"/>
                </a:lnTo>
                <a:lnTo>
                  <a:pt x="1725712" y="1108128"/>
                </a:lnTo>
                <a:lnTo>
                  <a:pt x="1730563" y="1123891"/>
                </a:lnTo>
                <a:cubicBezTo>
                  <a:pt x="1731799" y="1127906"/>
                  <a:pt x="1736539" y="1130290"/>
                  <a:pt x="1741152" y="1129214"/>
                </a:cubicBezTo>
                <a:lnTo>
                  <a:pt x="1743185" y="1128739"/>
                </a:lnTo>
                <a:cubicBezTo>
                  <a:pt x="1747797" y="1127663"/>
                  <a:pt x="1750534" y="1123535"/>
                  <a:pt x="1749299" y="1119520"/>
                </a:cubicBezTo>
                <a:lnTo>
                  <a:pt x="1732817" y="1065964"/>
                </a:lnTo>
                <a:cubicBezTo>
                  <a:pt x="1732354" y="1064459"/>
                  <a:pt x="1731398" y="1063182"/>
                  <a:pt x="1730140" y="1062232"/>
                </a:cubicBezTo>
                <a:lnTo>
                  <a:pt x="1725712" y="1060477"/>
                </a:lnTo>
                <a:lnTo>
                  <a:pt x="1725712" y="1060264"/>
                </a:lnTo>
                <a:lnTo>
                  <a:pt x="1679477" y="1060264"/>
                </a:lnTo>
                <a:close/>
                <a:moveTo>
                  <a:pt x="1882298" y="1060264"/>
                </a:moveTo>
                <a:lnTo>
                  <a:pt x="1882298" y="1060489"/>
                </a:lnTo>
                <a:lnTo>
                  <a:pt x="1881681" y="1060454"/>
                </a:lnTo>
                <a:cubicBezTo>
                  <a:pt x="1878344" y="1060859"/>
                  <a:pt x="1875446" y="1062952"/>
                  <a:pt x="1874518" y="1065964"/>
                </a:cubicBezTo>
                <a:lnTo>
                  <a:pt x="1858037" y="1119520"/>
                </a:lnTo>
                <a:cubicBezTo>
                  <a:pt x="1856802" y="1123535"/>
                  <a:pt x="1859540" y="1127663"/>
                  <a:pt x="1864152" y="1128739"/>
                </a:cubicBezTo>
                <a:lnTo>
                  <a:pt x="1866184" y="1129214"/>
                </a:lnTo>
                <a:cubicBezTo>
                  <a:pt x="1870795" y="1130290"/>
                  <a:pt x="1875538" y="1127906"/>
                  <a:pt x="1876773" y="1123891"/>
                </a:cubicBezTo>
                <a:lnTo>
                  <a:pt x="1882298" y="1105936"/>
                </a:lnTo>
                <a:lnTo>
                  <a:pt x="1882298" y="1126120"/>
                </a:lnTo>
                <a:lnTo>
                  <a:pt x="1882298" y="1132734"/>
                </a:lnTo>
                <a:lnTo>
                  <a:pt x="1882298" y="1181563"/>
                </a:lnTo>
                <a:cubicBezTo>
                  <a:pt x="1882298" y="1185721"/>
                  <a:pt x="1886170" y="1189092"/>
                  <a:pt x="1890944" y="1189092"/>
                </a:cubicBezTo>
                <a:lnTo>
                  <a:pt x="1893050" y="1189092"/>
                </a:lnTo>
                <a:cubicBezTo>
                  <a:pt x="1897824" y="1189092"/>
                  <a:pt x="1901696" y="1185721"/>
                  <a:pt x="1901696" y="1181563"/>
                </a:cubicBezTo>
                <a:lnTo>
                  <a:pt x="1901696" y="1132734"/>
                </a:lnTo>
                <a:lnTo>
                  <a:pt x="1909138" y="1132734"/>
                </a:lnTo>
                <a:lnTo>
                  <a:pt x="1909138" y="1181563"/>
                </a:lnTo>
                <a:cubicBezTo>
                  <a:pt x="1909138" y="1185721"/>
                  <a:pt x="1913008" y="1189092"/>
                  <a:pt x="1917783" y="1189092"/>
                </a:cubicBezTo>
                <a:lnTo>
                  <a:pt x="1919889" y="1189092"/>
                </a:lnTo>
                <a:cubicBezTo>
                  <a:pt x="1924664" y="1189092"/>
                  <a:pt x="1928535" y="1185721"/>
                  <a:pt x="1928535" y="1181563"/>
                </a:cubicBezTo>
                <a:lnTo>
                  <a:pt x="1928535" y="1132734"/>
                </a:lnTo>
                <a:lnTo>
                  <a:pt x="1928535" y="1126120"/>
                </a:lnTo>
                <a:lnTo>
                  <a:pt x="1928535" y="1108128"/>
                </a:lnTo>
                <a:lnTo>
                  <a:pt x="1933385" y="1123891"/>
                </a:lnTo>
                <a:cubicBezTo>
                  <a:pt x="1934622" y="1127906"/>
                  <a:pt x="1939363" y="1130290"/>
                  <a:pt x="1943974" y="1129214"/>
                </a:cubicBezTo>
                <a:lnTo>
                  <a:pt x="1946009" y="1128739"/>
                </a:lnTo>
                <a:cubicBezTo>
                  <a:pt x="1950620" y="1127663"/>
                  <a:pt x="1953357" y="1123535"/>
                  <a:pt x="1952121" y="1119520"/>
                </a:cubicBezTo>
                <a:lnTo>
                  <a:pt x="1935640" y="1065964"/>
                </a:lnTo>
                <a:cubicBezTo>
                  <a:pt x="1935177" y="1064459"/>
                  <a:pt x="1934220" y="1063182"/>
                  <a:pt x="1932962" y="1062232"/>
                </a:cubicBezTo>
                <a:lnTo>
                  <a:pt x="1928535" y="1060477"/>
                </a:lnTo>
                <a:lnTo>
                  <a:pt x="1928535" y="1060264"/>
                </a:lnTo>
                <a:lnTo>
                  <a:pt x="1882298" y="1060264"/>
                </a:lnTo>
                <a:close/>
                <a:moveTo>
                  <a:pt x="2081622" y="1060264"/>
                </a:moveTo>
                <a:lnTo>
                  <a:pt x="2081622" y="1060489"/>
                </a:lnTo>
                <a:lnTo>
                  <a:pt x="2081004" y="1060454"/>
                </a:lnTo>
                <a:cubicBezTo>
                  <a:pt x="2077667" y="1060859"/>
                  <a:pt x="2074768" y="1062952"/>
                  <a:pt x="2073841" y="1065964"/>
                </a:cubicBezTo>
                <a:lnTo>
                  <a:pt x="2057362" y="1119520"/>
                </a:lnTo>
                <a:cubicBezTo>
                  <a:pt x="2056126" y="1123535"/>
                  <a:pt x="2058863" y="1127663"/>
                  <a:pt x="2063474" y="1128739"/>
                </a:cubicBezTo>
                <a:lnTo>
                  <a:pt x="2065507" y="1129214"/>
                </a:lnTo>
                <a:cubicBezTo>
                  <a:pt x="2070119" y="1130290"/>
                  <a:pt x="2074860" y="1127906"/>
                  <a:pt x="2076097" y="1123891"/>
                </a:cubicBezTo>
                <a:lnTo>
                  <a:pt x="2081622" y="1105936"/>
                </a:lnTo>
                <a:lnTo>
                  <a:pt x="2081622" y="1126120"/>
                </a:lnTo>
                <a:lnTo>
                  <a:pt x="2081622" y="1132734"/>
                </a:lnTo>
                <a:lnTo>
                  <a:pt x="2081622" y="1181563"/>
                </a:lnTo>
                <a:cubicBezTo>
                  <a:pt x="2081622" y="1185721"/>
                  <a:pt x="2085492" y="1189092"/>
                  <a:pt x="2090268" y="1189092"/>
                </a:cubicBezTo>
                <a:lnTo>
                  <a:pt x="2092373" y="1189092"/>
                </a:lnTo>
                <a:cubicBezTo>
                  <a:pt x="2097148" y="1189092"/>
                  <a:pt x="2101019" y="1185721"/>
                  <a:pt x="2101019" y="1181563"/>
                </a:cubicBezTo>
                <a:lnTo>
                  <a:pt x="2101019" y="1132734"/>
                </a:lnTo>
                <a:lnTo>
                  <a:pt x="2108461" y="1132734"/>
                </a:lnTo>
                <a:lnTo>
                  <a:pt x="2108461" y="1181563"/>
                </a:lnTo>
                <a:cubicBezTo>
                  <a:pt x="2108461" y="1185721"/>
                  <a:pt x="2112333" y="1189092"/>
                  <a:pt x="2117107" y="1189092"/>
                </a:cubicBezTo>
                <a:lnTo>
                  <a:pt x="2119212" y="1189092"/>
                </a:lnTo>
                <a:cubicBezTo>
                  <a:pt x="2123987" y="1189092"/>
                  <a:pt x="2127858" y="1185721"/>
                  <a:pt x="2127858" y="1181563"/>
                </a:cubicBezTo>
                <a:lnTo>
                  <a:pt x="2127858" y="1132734"/>
                </a:lnTo>
                <a:lnTo>
                  <a:pt x="2127858" y="1126120"/>
                </a:lnTo>
                <a:lnTo>
                  <a:pt x="2127858" y="1108128"/>
                </a:lnTo>
                <a:lnTo>
                  <a:pt x="2132707" y="1123891"/>
                </a:lnTo>
                <a:cubicBezTo>
                  <a:pt x="2133945" y="1127906"/>
                  <a:pt x="2138685" y="1130290"/>
                  <a:pt x="2143298" y="1129214"/>
                </a:cubicBezTo>
                <a:lnTo>
                  <a:pt x="2145331" y="1128739"/>
                </a:lnTo>
                <a:cubicBezTo>
                  <a:pt x="2149943" y="1127663"/>
                  <a:pt x="2152681" y="1123535"/>
                  <a:pt x="2151445" y="1119520"/>
                </a:cubicBezTo>
                <a:lnTo>
                  <a:pt x="2134963" y="1065964"/>
                </a:lnTo>
                <a:cubicBezTo>
                  <a:pt x="2134501" y="1064459"/>
                  <a:pt x="2133542" y="1063182"/>
                  <a:pt x="2132286" y="1062232"/>
                </a:cubicBezTo>
                <a:lnTo>
                  <a:pt x="2127858" y="1060477"/>
                </a:lnTo>
                <a:lnTo>
                  <a:pt x="2127858" y="1060264"/>
                </a:lnTo>
                <a:lnTo>
                  <a:pt x="2081622" y="1060264"/>
                </a:lnTo>
                <a:close/>
              </a:path>
            </a:pathLst>
          </a:cu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I8">
        <xdr:nvSpPr>
          <xdr:cNvPr id="55" name="TextBox 54">
            <a:extLst>
              <a:ext uri="{FF2B5EF4-FFF2-40B4-BE49-F238E27FC236}">
                <a16:creationId xmlns:a16="http://schemas.microsoft.com/office/drawing/2014/main" id="{91E4E2C7-5915-A188-0D85-25E2EF49F7CC}"/>
              </a:ext>
            </a:extLst>
          </xdr:cNvPr>
          <xdr:cNvSpPr txBox="1"/>
        </xdr:nvSpPr>
        <xdr:spPr>
          <a:xfrm>
            <a:off x="5654040" y="49758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27AB29-265C-4EC7-B4D6-24576541C68F}" type="TxLink">
              <a:rPr lang="en-US" sz="1400" b="0" i="0" u="none" strike="noStrike">
                <a:solidFill>
                  <a:schemeClr val="bg1"/>
                </a:solidFill>
                <a:latin typeface="Aptos Narrow"/>
                <a:ea typeface="+mn-ea"/>
                <a:cs typeface="+mn-cs"/>
              </a:rPr>
              <a:pPr marL="0" indent="0" algn="l"/>
              <a:t>HR Team Activity</a:t>
            </a:fld>
            <a:endParaRPr lang="ru-RU" sz="2800" b="0" i="0" u="none" strike="noStrike">
              <a:solidFill>
                <a:schemeClr val="bg1"/>
              </a:solidFill>
              <a:latin typeface="Aptos Narrow"/>
              <a:ea typeface="+mn-ea"/>
              <a:cs typeface="+mn-cs"/>
            </a:endParaRPr>
          </a:p>
        </xdr:txBody>
      </xdr:sp>
      <xdr:sp macro="" textlink="Processing!H14">
        <xdr:nvSpPr>
          <xdr:cNvPr id="56" name="TextBox 55">
            <a:extLst>
              <a:ext uri="{FF2B5EF4-FFF2-40B4-BE49-F238E27FC236}">
                <a16:creationId xmlns:a16="http://schemas.microsoft.com/office/drawing/2014/main" id="{0BF18C54-A3EA-37DB-43C0-C956B82B4C9D}"/>
              </a:ext>
            </a:extLst>
          </xdr:cNvPr>
          <xdr:cNvSpPr txBox="1"/>
        </xdr:nvSpPr>
        <xdr:spPr>
          <a:xfrm>
            <a:off x="7010400" y="4975860"/>
            <a:ext cx="792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ED0A37C-EE94-4930-9E31-06D5E3D2674F}" type="TxLink">
              <a:rPr lang="en-US" sz="1800" b="0" i="0" u="none" strike="noStrike">
                <a:solidFill>
                  <a:schemeClr val="tx2">
                    <a:lumMod val="25000"/>
                    <a:lumOff val="75000"/>
                  </a:schemeClr>
                </a:solidFill>
                <a:latin typeface="Aptos Narrow"/>
                <a:ea typeface="+mn-ea"/>
                <a:cs typeface="+mn-cs"/>
              </a:rPr>
              <a:pPr marL="0" indent="0" algn="r"/>
              <a:t>46%</a:t>
            </a:fld>
            <a:endParaRPr lang="ru-RU" sz="4400" b="0" i="0" u="none" strike="noStrike">
              <a:solidFill>
                <a:schemeClr val="tx2">
                  <a:lumMod val="25000"/>
                  <a:lumOff val="75000"/>
                </a:schemeClr>
              </a:solidFill>
              <a:latin typeface="Aptos Narrow"/>
              <a:ea typeface="+mn-ea"/>
              <a:cs typeface="+mn-cs"/>
            </a:endParaRPr>
          </a:p>
        </xdr:txBody>
      </xdr:sp>
      <xdr:sp macro="" textlink="Processing!I9">
        <xdr:nvSpPr>
          <xdr:cNvPr id="62" name="TextBox 61">
            <a:extLst>
              <a:ext uri="{FF2B5EF4-FFF2-40B4-BE49-F238E27FC236}">
                <a16:creationId xmlns:a16="http://schemas.microsoft.com/office/drawing/2014/main" id="{7F248D85-5E4B-AB1C-E097-1CE8927C99B5}"/>
              </a:ext>
            </a:extLst>
          </xdr:cNvPr>
          <xdr:cNvSpPr txBox="1"/>
        </xdr:nvSpPr>
        <xdr:spPr>
          <a:xfrm>
            <a:off x="5585460" y="546354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DB33AF7-6C89-4014-B942-F254AECBFEBA}" type="TxLink">
              <a:rPr lang="en-US" sz="1200" b="0" i="0" u="none" strike="noStrike">
                <a:solidFill>
                  <a:schemeClr val="tx2">
                    <a:lumMod val="10000"/>
                    <a:lumOff val="90000"/>
                  </a:schemeClr>
                </a:solidFill>
                <a:latin typeface="Aptos Narrow"/>
                <a:ea typeface="+mn-ea"/>
                <a:cs typeface="+mn-cs"/>
              </a:rPr>
              <a:pPr marL="0" indent="0" algn="l"/>
              <a:t>P</a:t>
            </a:fld>
            <a:endParaRPr lang="ru-RU" sz="3200" b="0" i="0" u="none" strike="noStrike">
              <a:solidFill>
                <a:schemeClr val="tx2">
                  <a:lumMod val="10000"/>
                  <a:lumOff val="90000"/>
                </a:schemeClr>
              </a:solidFill>
              <a:latin typeface="Aptos Narrow"/>
              <a:ea typeface="+mn-ea"/>
              <a:cs typeface="+mn-cs"/>
            </a:endParaRPr>
          </a:p>
        </xdr:txBody>
      </xdr:sp>
      <xdr:sp macro="" textlink="Processing!I10">
        <xdr:nvSpPr>
          <xdr:cNvPr id="63" name="TextBox 62">
            <a:extLst>
              <a:ext uri="{FF2B5EF4-FFF2-40B4-BE49-F238E27FC236}">
                <a16:creationId xmlns:a16="http://schemas.microsoft.com/office/drawing/2014/main" id="{ACBD57DF-4493-C99C-DE56-474CB9CD2C28}"/>
              </a:ext>
            </a:extLst>
          </xdr:cNvPr>
          <xdr:cNvSpPr txBox="1"/>
        </xdr:nvSpPr>
        <xdr:spPr>
          <a:xfrm>
            <a:off x="5585460" y="5701665"/>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9D4FB7-25BC-4029-8FF1-6BA4B394329D}" type="TxLink">
              <a:rPr lang="en-US" sz="1100" b="0" i="0" u="none" strike="noStrike">
                <a:solidFill>
                  <a:schemeClr val="tx2">
                    <a:lumMod val="10000"/>
                    <a:lumOff val="90000"/>
                  </a:schemeClr>
                </a:solidFill>
                <a:latin typeface="Aptos Narrow"/>
                <a:ea typeface="+mn-ea"/>
                <a:cs typeface="+mn-cs"/>
              </a:rPr>
              <a:pPr marL="0" indent="0" algn="l"/>
              <a:t>D</a:t>
            </a:fld>
            <a:endParaRPr lang="ru-RU" sz="3200" b="0" i="0" u="none" strike="noStrike">
              <a:solidFill>
                <a:schemeClr val="tx2">
                  <a:lumMod val="10000"/>
                  <a:lumOff val="90000"/>
                </a:schemeClr>
              </a:solidFill>
              <a:latin typeface="Aptos Narrow"/>
              <a:ea typeface="+mn-ea"/>
              <a:cs typeface="+mn-cs"/>
            </a:endParaRPr>
          </a:p>
        </xdr:txBody>
      </xdr:sp>
      <xdr:sp macro="" textlink="Processing!I11">
        <xdr:nvSpPr>
          <xdr:cNvPr id="64" name="TextBox 63">
            <a:extLst>
              <a:ext uri="{FF2B5EF4-FFF2-40B4-BE49-F238E27FC236}">
                <a16:creationId xmlns:a16="http://schemas.microsoft.com/office/drawing/2014/main" id="{79610235-11E4-7AB4-9A4F-ED7A4A6DE593}"/>
              </a:ext>
            </a:extLst>
          </xdr:cNvPr>
          <xdr:cNvSpPr txBox="1"/>
        </xdr:nvSpPr>
        <xdr:spPr>
          <a:xfrm>
            <a:off x="5585460" y="593979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299E48F-B4B6-4773-A85D-20D65311A4E2}" type="TxLink">
              <a:rPr lang="en-US" sz="1100" b="0" i="0" u="none" strike="noStrike">
                <a:solidFill>
                  <a:schemeClr val="tx2">
                    <a:lumMod val="10000"/>
                    <a:lumOff val="90000"/>
                  </a:schemeClr>
                </a:solidFill>
                <a:latin typeface="Aptos Narrow"/>
                <a:ea typeface="+mn-ea"/>
                <a:cs typeface="+mn-cs"/>
              </a:rPr>
              <a:pPr marL="0" indent="0" algn="l"/>
              <a:t>С</a:t>
            </a:fld>
            <a:endParaRPr lang="ru-RU" sz="3200" b="0" i="0" u="none" strike="noStrike">
              <a:solidFill>
                <a:schemeClr val="tx2">
                  <a:lumMod val="10000"/>
                  <a:lumOff val="90000"/>
                </a:schemeClr>
              </a:solidFill>
              <a:latin typeface="Aptos Narrow"/>
              <a:ea typeface="+mn-ea"/>
              <a:cs typeface="+mn-cs"/>
            </a:endParaRPr>
          </a:p>
        </xdr:txBody>
      </xdr:sp>
      <xdr:sp macro="" textlink="Processing!I12">
        <xdr:nvSpPr>
          <xdr:cNvPr id="65" name="TextBox 64">
            <a:extLst>
              <a:ext uri="{FF2B5EF4-FFF2-40B4-BE49-F238E27FC236}">
                <a16:creationId xmlns:a16="http://schemas.microsoft.com/office/drawing/2014/main" id="{34C8C40E-24CC-92B7-2869-FDFD5F0085B3}"/>
              </a:ext>
            </a:extLst>
          </xdr:cNvPr>
          <xdr:cNvSpPr txBox="1"/>
        </xdr:nvSpPr>
        <xdr:spPr>
          <a:xfrm>
            <a:off x="5585460" y="6177915"/>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FE326BD-2F8E-420D-9EE2-C2F572317075}" type="TxLink">
              <a:rPr lang="en-US" sz="1100" b="0" i="0" u="none" strike="noStrike">
                <a:solidFill>
                  <a:schemeClr val="tx2">
                    <a:lumMod val="10000"/>
                    <a:lumOff val="90000"/>
                  </a:schemeClr>
                </a:solidFill>
                <a:latin typeface="Aptos Narrow"/>
                <a:ea typeface="+mn-ea"/>
                <a:cs typeface="+mn-cs"/>
              </a:rPr>
              <a:pPr marL="0" indent="0" algn="l"/>
              <a:t>P</a:t>
            </a:fld>
            <a:endParaRPr lang="ru-RU" sz="3200" b="0" i="0" u="none" strike="noStrike">
              <a:solidFill>
                <a:schemeClr val="tx2">
                  <a:lumMod val="10000"/>
                  <a:lumOff val="90000"/>
                </a:schemeClr>
              </a:solidFill>
              <a:latin typeface="Aptos Narrow"/>
              <a:ea typeface="+mn-ea"/>
              <a:cs typeface="+mn-cs"/>
            </a:endParaRPr>
          </a:p>
        </xdr:txBody>
      </xdr:sp>
      <xdr:sp macro="" textlink="Processing!I13">
        <xdr:nvSpPr>
          <xdr:cNvPr id="66" name="TextBox 65">
            <a:extLst>
              <a:ext uri="{FF2B5EF4-FFF2-40B4-BE49-F238E27FC236}">
                <a16:creationId xmlns:a16="http://schemas.microsoft.com/office/drawing/2014/main" id="{091D5FA9-0DBB-BFA4-824B-73AFF34F37C8}"/>
              </a:ext>
            </a:extLst>
          </xdr:cNvPr>
          <xdr:cNvSpPr txBox="1"/>
        </xdr:nvSpPr>
        <xdr:spPr>
          <a:xfrm>
            <a:off x="5585460" y="641604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BF2717A-1A6A-4193-9B1D-DD7C5DC20699}" type="TxLink">
              <a:rPr lang="en-US" sz="1100" b="0" i="0" u="none" strike="noStrike">
                <a:solidFill>
                  <a:schemeClr val="tx2">
                    <a:lumMod val="10000"/>
                    <a:lumOff val="90000"/>
                  </a:schemeClr>
                </a:solidFill>
                <a:latin typeface="Aptos Narrow"/>
                <a:ea typeface="+mn-ea"/>
                <a:cs typeface="+mn-cs"/>
              </a:rPr>
              <a:pPr marL="0" indent="0" algn="l"/>
              <a:t>R</a:t>
            </a:fld>
            <a:endParaRPr lang="ru-RU" sz="3200" b="0" i="0" u="none" strike="noStrike">
              <a:solidFill>
                <a:schemeClr val="tx2">
                  <a:lumMod val="10000"/>
                  <a:lumOff val="90000"/>
                </a:schemeClr>
              </a:solidFill>
              <a:latin typeface="Aptos Narrow"/>
              <a:ea typeface="+mn-ea"/>
              <a:cs typeface="+mn-cs"/>
            </a:endParaRPr>
          </a:p>
        </xdr:txBody>
      </xdr:sp>
    </xdr:grpSp>
    <xdr:clientData/>
  </xdr:twoCellAnchor>
  <xdr:twoCellAnchor editAs="oneCell">
    <xdr:from>
      <xdr:col>1</xdr:col>
      <xdr:colOff>0</xdr:colOff>
      <xdr:row>1</xdr:row>
      <xdr:rowOff>0</xdr:rowOff>
    </xdr:from>
    <xdr:to>
      <xdr:col>1</xdr:col>
      <xdr:colOff>274320</xdr:colOff>
      <xdr:row>2</xdr:row>
      <xdr:rowOff>91440</xdr:rowOff>
    </xdr:to>
    <xdr:pic>
      <xdr:nvPicPr>
        <xdr:cNvPr id="70" name="Graphic 69" descr="Home with solid fill">
          <a:hlinkClick xmlns:r="http://schemas.openxmlformats.org/officeDocument/2006/relationships" r:id="rId12"/>
          <a:extLst>
            <a:ext uri="{FF2B5EF4-FFF2-40B4-BE49-F238E27FC236}">
              <a16:creationId xmlns:a16="http://schemas.microsoft.com/office/drawing/2014/main" id="{2FC904A3-0B2D-42D1-B416-7E496A9FA5FF}"/>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609600" y="182880"/>
          <a:ext cx="274320" cy="274320"/>
        </a:xfrm>
        <a:prstGeom prst="rect">
          <a:avLst/>
        </a:prstGeom>
        <a:effectLst/>
      </xdr:spPr>
    </xdr:pic>
    <xdr:clientData/>
  </xdr:twoCellAnchor>
  <xdr:twoCellAnchor>
    <xdr:from>
      <xdr:col>0</xdr:col>
      <xdr:colOff>0</xdr:colOff>
      <xdr:row>0</xdr:row>
      <xdr:rowOff>0</xdr:rowOff>
    </xdr:from>
    <xdr:to>
      <xdr:col>1</xdr:col>
      <xdr:colOff>30480</xdr:colOff>
      <xdr:row>1</xdr:row>
      <xdr:rowOff>152400</xdr:rowOff>
    </xdr:to>
    <xdr:sp macro="" textlink="">
      <xdr:nvSpPr>
        <xdr:cNvPr id="71" name="Rectangle 70">
          <a:extLst>
            <a:ext uri="{FF2B5EF4-FFF2-40B4-BE49-F238E27FC236}">
              <a16:creationId xmlns:a16="http://schemas.microsoft.com/office/drawing/2014/main" id="{7FDAFF88-8E13-B223-BCE1-AADA704F5273}"/>
            </a:ext>
          </a:extLst>
        </xdr:cNvPr>
        <xdr:cNvSpPr/>
      </xdr:nvSpPr>
      <xdr:spPr>
        <a:xfrm>
          <a:off x="0" y="0"/>
          <a:ext cx="640080" cy="335280"/>
        </a:xfrm>
        <a:prstGeom prst="rect">
          <a:avLst/>
        </a:pr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220980</xdr:colOff>
      <xdr:row>6</xdr:row>
      <xdr:rowOff>76200</xdr:rowOff>
    </xdr:from>
    <xdr:to>
      <xdr:col>7</xdr:col>
      <xdr:colOff>129540</xdr:colOff>
      <xdr:row>13</xdr:row>
      <xdr:rowOff>144780</xdr:rowOff>
    </xdr:to>
    <xdr:sp macro="" textlink="">
      <xdr:nvSpPr>
        <xdr:cNvPr id="72" name="Rectangle: Rounded Corners 71">
          <a:hlinkClick xmlns:r="http://schemas.openxmlformats.org/officeDocument/2006/relationships" r:id="rId15"/>
          <a:extLst>
            <a:ext uri="{FF2B5EF4-FFF2-40B4-BE49-F238E27FC236}">
              <a16:creationId xmlns:a16="http://schemas.microsoft.com/office/drawing/2014/main" id="{8A76FAE6-6078-4496-ADEC-E0992BC37BD3}"/>
            </a:ext>
          </a:extLst>
        </xdr:cNvPr>
        <xdr:cNvSpPr/>
      </xdr:nvSpPr>
      <xdr:spPr>
        <a:xfrm>
          <a:off x="2049780" y="117348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342900</xdr:colOff>
      <xdr:row>6</xdr:row>
      <xdr:rowOff>76200</xdr:rowOff>
    </xdr:from>
    <xdr:to>
      <xdr:col>11</xdr:col>
      <xdr:colOff>251460</xdr:colOff>
      <xdr:row>13</xdr:row>
      <xdr:rowOff>144780</xdr:rowOff>
    </xdr:to>
    <xdr:sp macro="" textlink="">
      <xdr:nvSpPr>
        <xdr:cNvPr id="73" name="Rectangle: Rounded Corners 72">
          <a:hlinkClick xmlns:r="http://schemas.openxmlformats.org/officeDocument/2006/relationships" r:id="rId16"/>
          <a:extLst>
            <a:ext uri="{FF2B5EF4-FFF2-40B4-BE49-F238E27FC236}">
              <a16:creationId xmlns:a16="http://schemas.microsoft.com/office/drawing/2014/main" id="{2535CC2F-7799-49B3-86FA-F6456C9DD40C}"/>
            </a:ext>
          </a:extLst>
        </xdr:cNvPr>
        <xdr:cNvSpPr/>
      </xdr:nvSpPr>
      <xdr:spPr>
        <a:xfrm>
          <a:off x="4610100" y="117348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472440</xdr:colOff>
      <xdr:row>6</xdr:row>
      <xdr:rowOff>76200</xdr:rowOff>
    </xdr:from>
    <xdr:to>
      <xdr:col>15</xdr:col>
      <xdr:colOff>381000</xdr:colOff>
      <xdr:row>13</xdr:row>
      <xdr:rowOff>144780</xdr:rowOff>
    </xdr:to>
    <xdr:sp macro="" textlink="">
      <xdr:nvSpPr>
        <xdr:cNvPr id="74" name="Rectangle: Rounded Corners 73">
          <a:hlinkClick xmlns:r="http://schemas.openxmlformats.org/officeDocument/2006/relationships" r:id="rId17"/>
          <a:extLst>
            <a:ext uri="{FF2B5EF4-FFF2-40B4-BE49-F238E27FC236}">
              <a16:creationId xmlns:a16="http://schemas.microsoft.com/office/drawing/2014/main" id="{0BE24A30-5778-4179-B150-1060ECE61ECE}"/>
            </a:ext>
          </a:extLst>
        </xdr:cNvPr>
        <xdr:cNvSpPr/>
      </xdr:nvSpPr>
      <xdr:spPr>
        <a:xfrm>
          <a:off x="7178040" y="117348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320040</xdr:colOff>
      <xdr:row>3</xdr:row>
      <xdr:rowOff>37670</xdr:rowOff>
    </xdr:from>
    <xdr:to>
      <xdr:col>11</xdr:col>
      <xdr:colOff>274320</xdr:colOff>
      <xdr:row>6</xdr:row>
      <xdr:rowOff>114299</xdr:rowOff>
    </xdr:to>
    <xdr:graphicFrame macro="">
      <xdr:nvGraphicFramePr>
        <xdr:cNvPr id="75" name="Chart 74">
          <a:extLst>
            <a:ext uri="{FF2B5EF4-FFF2-40B4-BE49-F238E27FC236}">
              <a16:creationId xmlns:a16="http://schemas.microsoft.com/office/drawing/2014/main" id="{82C67A31-07D5-45E0-A4AA-9B6BDC75F1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7</xdr:col>
      <xdr:colOff>398596</xdr:colOff>
      <xdr:row>2</xdr:row>
      <xdr:rowOff>140750</xdr:rowOff>
    </xdr:from>
    <xdr:to>
      <xdr:col>9</xdr:col>
      <xdr:colOff>35744</xdr:colOff>
      <xdr:row>4</xdr:row>
      <xdr:rowOff>26891</xdr:rowOff>
    </xdr:to>
    <xdr:sp macro="" textlink="Processing!L25">
      <xdr:nvSpPr>
        <xdr:cNvPr id="76" name="TextBox 75">
          <a:extLst>
            <a:ext uri="{FF2B5EF4-FFF2-40B4-BE49-F238E27FC236}">
              <a16:creationId xmlns:a16="http://schemas.microsoft.com/office/drawing/2014/main" id="{5ED92325-1E3B-8478-B835-7EC1ED1A56D9}"/>
            </a:ext>
          </a:extLst>
        </xdr:cNvPr>
        <xdr:cNvSpPr txBox="1"/>
      </xdr:nvSpPr>
      <xdr:spPr>
        <a:xfrm>
          <a:off x="4665796" y="50651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E048EC1-626B-4535-9795-15527FBB8A18}" type="TxLink">
            <a:rPr lang="en-US" sz="1000" b="0" i="0" u="none" strike="noStrike">
              <a:solidFill>
                <a:schemeClr val="tx2">
                  <a:lumMod val="10000"/>
                  <a:lumOff val="90000"/>
                </a:schemeClr>
              </a:solidFill>
              <a:latin typeface="Aptos Narrow"/>
              <a:ea typeface="+mn-ea"/>
              <a:cs typeface="+mn-cs"/>
            </a:rPr>
            <a:pPr marL="0" indent="0" algn="ctr"/>
            <a:t>Prototype 1</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8</xdr:col>
      <xdr:colOff>490036</xdr:colOff>
      <xdr:row>2</xdr:row>
      <xdr:rowOff>140750</xdr:rowOff>
    </xdr:from>
    <xdr:to>
      <xdr:col>10</xdr:col>
      <xdr:colOff>127184</xdr:colOff>
      <xdr:row>4</xdr:row>
      <xdr:rowOff>26891</xdr:rowOff>
    </xdr:to>
    <xdr:sp macro="" textlink="Processing!L26">
      <xdr:nvSpPr>
        <xdr:cNvPr id="77" name="TextBox 76">
          <a:extLst>
            <a:ext uri="{FF2B5EF4-FFF2-40B4-BE49-F238E27FC236}">
              <a16:creationId xmlns:a16="http://schemas.microsoft.com/office/drawing/2014/main" id="{11129739-A93A-112D-E11F-19289F1630B7}"/>
            </a:ext>
          </a:extLst>
        </xdr:cNvPr>
        <xdr:cNvSpPr txBox="1"/>
      </xdr:nvSpPr>
      <xdr:spPr>
        <a:xfrm>
          <a:off x="5366836" y="50651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BA16A-346B-48D7-B984-8F33C8C861EB}"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9</xdr:col>
      <xdr:colOff>581476</xdr:colOff>
      <xdr:row>2</xdr:row>
      <xdr:rowOff>140750</xdr:rowOff>
    </xdr:from>
    <xdr:to>
      <xdr:col>11</xdr:col>
      <xdr:colOff>218624</xdr:colOff>
      <xdr:row>4</xdr:row>
      <xdr:rowOff>26891</xdr:rowOff>
    </xdr:to>
    <xdr:sp macro="" textlink="Processing!L27">
      <xdr:nvSpPr>
        <xdr:cNvPr id="78" name="TextBox 77">
          <a:extLst>
            <a:ext uri="{FF2B5EF4-FFF2-40B4-BE49-F238E27FC236}">
              <a16:creationId xmlns:a16="http://schemas.microsoft.com/office/drawing/2014/main" id="{EF3AAB07-FF52-78E7-D33C-BFE13F616087}"/>
            </a:ext>
          </a:extLst>
        </xdr:cNvPr>
        <xdr:cNvSpPr txBox="1"/>
      </xdr:nvSpPr>
      <xdr:spPr>
        <a:xfrm>
          <a:off x="6067876" y="50651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F1CCF5-A163-49E2-878C-369D12AA2B85}"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566998</xdr:colOff>
      <xdr:row>3</xdr:row>
      <xdr:rowOff>14548</xdr:rowOff>
    </xdr:from>
    <xdr:to>
      <xdr:col>8</xdr:col>
      <xdr:colOff>476943</xdr:colOff>
      <xdr:row>5</xdr:row>
      <xdr:rowOff>92133</xdr:rowOff>
    </xdr:to>
    <xdr:sp macro="" textlink="">
      <xdr:nvSpPr>
        <xdr:cNvPr id="79" name="Rectangle: Rounded Corners 78">
          <a:hlinkClick xmlns:r="http://schemas.openxmlformats.org/officeDocument/2006/relationships" r:id="rId19"/>
          <a:extLst>
            <a:ext uri="{FF2B5EF4-FFF2-40B4-BE49-F238E27FC236}">
              <a16:creationId xmlns:a16="http://schemas.microsoft.com/office/drawing/2014/main" id="{A5C0FBE0-1D6F-B2F5-FE53-55064AD246EB}"/>
            </a:ext>
          </a:extLst>
        </xdr:cNvPr>
        <xdr:cNvSpPr/>
      </xdr:nvSpPr>
      <xdr:spPr>
        <a:xfrm>
          <a:off x="4834198" y="56318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41218</xdr:colOff>
      <xdr:row>3</xdr:row>
      <xdr:rowOff>14548</xdr:rowOff>
    </xdr:from>
    <xdr:to>
      <xdr:col>9</xdr:col>
      <xdr:colOff>560763</xdr:colOff>
      <xdr:row>5</xdr:row>
      <xdr:rowOff>92133</xdr:rowOff>
    </xdr:to>
    <xdr:sp macro="" textlink="">
      <xdr:nvSpPr>
        <xdr:cNvPr id="80" name="Rectangle: Rounded Corners 79">
          <a:hlinkClick xmlns:r="http://schemas.openxmlformats.org/officeDocument/2006/relationships" r:id="rId20"/>
          <a:extLst>
            <a:ext uri="{FF2B5EF4-FFF2-40B4-BE49-F238E27FC236}">
              <a16:creationId xmlns:a16="http://schemas.microsoft.com/office/drawing/2014/main" id="{AF483F33-F853-3138-EBFA-7AD676AE467E}"/>
            </a:ext>
          </a:extLst>
        </xdr:cNvPr>
        <xdr:cNvSpPr/>
      </xdr:nvSpPr>
      <xdr:spPr>
        <a:xfrm>
          <a:off x="5527618" y="56318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125038</xdr:colOff>
      <xdr:row>3</xdr:row>
      <xdr:rowOff>14548</xdr:rowOff>
    </xdr:from>
    <xdr:to>
      <xdr:col>11</xdr:col>
      <xdr:colOff>34983</xdr:colOff>
      <xdr:row>5</xdr:row>
      <xdr:rowOff>92133</xdr:rowOff>
    </xdr:to>
    <xdr:sp macro="" textlink="">
      <xdr:nvSpPr>
        <xdr:cNvPr id="81" name="Rectangle: Rounded Corners 80">
          <a:hlinkClick xmlns:r="http://schemas.openxmlformats.org/officeDocument/2006/relationships" r:id="rId21"/>
          <a:extLst>
            <a:ext uri="{FF2B5EF4-FFF2-40B4-BE49-F238E27FC236}">
              <a16:creationId xmlns:a16="http://schemas.microsoft.com/office/drawing/2014/main" id="{52293D34-5E64-5E12-F2A0-85A1F448C538}"/>
            </a:ext>
          </a:extLst>
        </xdr:cNvPr>
        <xdr:cNvSpPr/>
      </xdr:nvSpPr>
      <xdr:spPr>
        <a:xfrm>
          <a:off x="6221038" y="56318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17</xdr:col>
      <xdr:colOff>441960</xdr:colOff>
      <xdr:row>16</xdr:row>
      <xdr:rowOff>106680</xdr:rowOff>
    </xdr:from>
    <xdr:to>
      <xdr:col>18</xdr:col>
      <xdr:colOff>99060</xdr:colOff>
      <xdr:row>17</xdr:row>
      <xdr:rowOff>167640</xdr:rowOff>
    </xdr:to>
    <xdr:sp macro="" textlink="">
      <xdr:nvSpPr>
        <xdr:cNvPr id="68" name="TextBox 67">
          <a:extLst>
            <a:ext uri="{FF2B5EF4-FFF2-40B4-BE49-F238E27FC236}">
              <a16:creationId xmlns:a16="http://schemas.microsoft.com/office/drawing/2014/main" id="{08C95A48-D789-C251-CDB1-9B51406FA229}"/>
            </a:ext>
          </a:extLst>
        </xdr:cNvPr>
        <xdr:cNvSpPr txBox="1"/>
      </xdr:nvSpPr>
      <xdr:spPr>
        <a:xfrm>
          <a:off x="10805160" y="3032760"/>
          <a:ext cx="266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000">
              <a:solidFill>
                <a:srgbClr val="A6CAEC"/>
              </a:solidFill>
            </a:rPr>
            <a:t>P</a:t>
          </a:r>
          <a:endParaRPr lang="ru-RU" sz="1000">
            <a:solidFill>
              <a:srgbClr val="A6CAEC"/>
            </a:solidFill>
          </a:endParaRPr>
        </a:p>
      </xdr:txBody>
    </xdr:sp>
    <xdr:clientData/>
  </xdr:twoCellAnchor>
  <xdr:twoCellAnchor>
    <xdr:from>
      <xdr:col>19</xdr:col>
      <xdr:colOff>22860</xdr:colOff>
      <xdr:row>19</xdr:row>
      <xdr:rowOff>83820</xdr:rowOff>
    </xdr:from>
    <xdr:to>
      <xdr:col>19</xdr:col>
      <xdr:colOff>289560</xdr:colOff>
      <xdr:row>20</xdr:row>
      <xdr:rowOff>144780</xdr:rowOff>
    </xdr:to>
    <xdr:sp macro="" textlink="">
      <xdr:nvSpPr>
        <xdr:cNvPr id="69" name="TextBox 68">
          <a:extLst>
            <a:ext uri="{FF2B5EF4-FFF2-40B4-BE49-F238E27FC236}">
              <a16:creationId xmlns:a16="http://schemas.microsoft.com/office/drawing/2014/main" id="{19E04BE7-21EA-DCE2-E76C-9D5C84E9101E}"/>
            </a:ext>
          </a:extLst>
        </xdr:cNvPr>
        <xdr:cNvSpPr txBox="1"/>
      </xdr:nvSpPr>
      <xdr:spPr>
        <a:xfrm>
          <a:off x="11605260" y="3558540"/>
          <a:ext cx="266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000">
              <a:solidFill>
                <a:srgbClr val="A6CAEC"/>
              </a:solidFill>
            </a:rPr>
            <a:t>D</a:t>
          </a:r>
          <a:endParaRPr lang="ru-RU" sz="1000">
            <a:solidFill>
              <a:srgbClr val="A6CAEC"/>
            </a:solidFill>
          </a:endParaRPr>
        </a:p>
      </xdr:txBody>
    </xdr:sp>
    <xdr:clientData/>
  </xdr:twoCellAnchor>
  <xdr:twoCellAnchor>
    <xdr:from>
      <xdr:col>18</xdr:col>
      <xdr:colOff>381000</xdr:colOff>
      <xdr:row>24</xdr:row>
      <xdr:rowOff>45720</xdr:rowOff>
    </xdr:from>
    <xdr:to>
      <xdr:col>19</xdr:col>
      <xdr:colOff>38100</xdr:colOff>
      <xdr:row>25</xdr:row>
      <xdr:rowOff>106680</xdr:rowOff>
    </xdr:to>
    <xdr:sp macro="" textlink="">
      <xdr:nvSpPr>
        <xdr:cNvPr id="82" name="TextBox 81">
          <a:extLst>
            <a:ext uri="{FF2B5EF4-FFF2-40B4-BE49-F238E27FC236}">
              <a16:creationId xmlns:a16="http://schemas.microsoft.com/office/drawing/2014/main" id="{111D69C9-6A90-F2D0-248C-F2E24B759C80}"/>
            </a:ext>
          </a:extLst>
        </xdr:cNvPr>
        <xdr:cNvSpPr txBox="1"/>
      </xdr:nvSpPr>
      <xdr:spPr>
        <a:xfrm>
          <a:off x="11353800" y="4434840"/>
          <a:ext cx="266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000">
              <a:solidFill>
                <a:srgbClr val="A6CAEC"/>
              </a:solidFill>
            </a:rPr>
            <a:t>C</a:t>
          </a:r>
          <a:endParaRPr lang="ru-RU" sz="1000">
            <a:solidFill>
              <a:srgbClr val="A6CAEC"/>
            </a:solidFill>
          </a:endParaRPr>
        </a:p>
      </xdr:txBody>
    </xdr:sp>
    <xdr:clientData/>
  </xdr:twoCellAnchor>
  <xdr:twoCellAnchor>
    <xdr:from>
      <xdr:col>16</xdr:col>
      <xdr:colOff>480060</xdr:colOff>
      <xdr:row>24</xdr:row>
      <xdr:rowOff>45720</xdr:rowOff>
    </xdr:from>
    <xdr:to>
      <xdr:col>17</xdr:col>
      <xdr:colOff>137160</xdr:colOff>
      <xdr:row>25</xdr:row>
      <xdr:rowOff>106680</xdr:rowOff>
    </xdr:to>
    <xdr:sp macro="" textlink="">
      <xdr:nvSpPr>
        <xdr:cNvPr id="83" name="TextBox 82">
          <a:extLst>
            <a:ext uri="{FF2B5EF4-FFF2-40B4-BE49-F238E27FC236}">
              <a16:creationId xmlns:a16="http://schemas.microsoft.com/office/drawing/2014/main" id="{31FC2744-4D45-3360-3856-73B048530E4C}"/>
            </a:ext>
          </a:extLst>
        </xdr:cNvPr>
        <xdr:cNvSpPr txBox="1"/>
      </xdr:nvSpPr>
      <xdr:spPr>
        <a:xfrm>
          <a:off x="10233660" y="4434840"/>
          <a:ext cx="266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000">
              <a:solidFill>
                <a:srgbClr val="A6CAEC"/>
              </a:solidFill>
            </a:rPr>
            <a:t>T</a:t>
          </a:r>
          <a:endParaRPr lang="ru-RU" sz="1000">
            <a:solidFill>
              <a:srgbClr val="A6CAEC"/>
            </a:solidFill>
          </a:endParaRPr>
        </a:p>
      </xdr:txBody>
    </xdr:sp>
    <xdr:clientData/>
  </xdr:twoCellAnchor>
  <xdr:twoCellAnchor>
    <xdr:from>
      <xdr:col>16</xdr:col>
      <xdr:colOff>205740</xdr:colOff>
      <xdr:row>19</xdr:row>
      <xdr:rowOff>83820</xdr:rowOff>
    </xdr:from>
    <xdr:to>
      <xdr:col>16</xdr:col>
      <xdr:colOff>472440</xdr:colOff>
      <xdr:row>20</xdr:row>
      <xdr:rowOff>144780</xdr:rowOff>
    </xdr:to>
    <xdr:sp macro="" textlink="">
      <xdr:nvSpPr>
        <xdr:cNvPr id="84" name="TextBox 83">
          <a:extLst>
            <a:ext uri="{FF2B5EF4-FFF2-40B4-BE49-F238E27FC236}">
              <a16:creationId xmlns:a16="http://schemas.microsoft.com/office/drawing/2014/main" id="{42C5335D-5657-CF17-4AB5-C8C8D29FD007}"/>
            </a:ext>
          </a:extLst>
        </xdr:cNvPr>
        <xdr:cNvSpPr txBox="1"/>
      </xdr:nvSpPr>
      <xdr:spPr>
        <a:xfrm>
          <a:off x="9959340" y="3558540"/>
          <a:ext cx="266700" cy="2438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pl-PL" sz="1000">
              <a:solidFill>
                <a:srgbClr val="A6CAEC"/>
              </a:solidFill>
            </a:rPr>
            <a:t>R</a:t>
          </a:r>
          <a:endParaRPr lang="ru-RU" sz="1000">
            <a:solidFill>
              <a:srgbClr val="A6CAEC"/>
            </a:solidFill>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2</xdr:col>
      <xdr:colOff>397459</xdr:colOff>
      <xdr:row>2</xdr:row>
      <xdr:rowOff>45720</xdr:rowOff>
    </xdr:from>
    <xdr:to>
      <xdr:col>20</xdr:col>
      <xdr:colOff>306019</xdr:colOff>
      <xdr:row>39</xdr:row>
      <xdr:rowOff>137160</xdr:rowOff>
    </xdr:to>
    <xdr:sp macro="" textlink="">
      <xdr:nvSpPr>
        <xdr:cNvPr id="2" name="Rectangle: Rounded Corners 1">
          <a:extLst>
            <a:ext uri="{FF2B5EF4-FFF2-40B4-BE49-F238E27FC236}">
              <a16:creationId xmlns:a16="http://schemas.microsoft.com/office/drawing/2014/main" id="{EE1C206B-DCFE-4518-A5DF-FABD975AC734}"/>
            </a:ext>
          </a:extLst>
        </xdr:cNvPr>
        <xdr:cNvSpPr/>
      </xdr:nvSpPr>
      <xdr:spPr>
        <a:xfrm>
          <a:off x="1616659" y="411480"/>
          <a:ext cx="10881360" cy="6858000"/>
        </a:xfrm>
        <a:prstGeom prst="roundRect">
          <a:avLst>
            <a:gd name="adj" fmla="val 3653"/>
          </a:avLst>
        </a:prstGeom>
        <a:gradFill flip="none" rotWithShape="1">
          <a:gsLst>
            <a:gs pos="2000">
              <a:srgbClr val="1B2A87"/>
            </a:gs>
            <a:gs pos="31000">
              <a:srgbClr val="0A002F"/>
            </a:gs>
            <a:gs pos="100000">
              <a:srgbClr val="18013D"/>
            </a:gs>
          </a:gsLst>
          <a:lin ang="81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460248</xdr:colOff>
      <xdr:row>6</xdr:row>
      <xdr:rowOff>83820</xdr:rowOff>
    </xdr:from>
    <xdr:to>
      <xdr:col>15</xdr:col>
      <xdr:colOff>399288</xdr:colOff>
      <xdr:row>13</xdr:row>
      <xdr:rowOff>175260</xdr:rowOff>
    </xdr:to>
    <xdr:grpSp>
      <xdr:nvGrpSpPr>
        <xdr:cNvPr id="3" name="Group 2">
          <a:extLst>
            <a:ext uri="{FF2B5EF4-FFF2-40B4-BE49-F238E27FC236}">
              <a16:creationId xmlns:a16="http://schemas.microsoft.com/office/drawing/2014/main" id="{34507B23-EF8D-4F8E-8AD4-71C7002A4AEF}"/>
            </a:ext>
          </a:extLst>
        </xdr:cNvPr>
        <xdr:cNvGrpSpPr/>
      </xdr:nvGrpSpPr>
      <xdr:grpSpPr>
        <a:xfrm>
          <a:off x="6979581" y="1226820"/>
          <a:ext cx="2309707" cy="1424940"/>
          <a:chOff x="7162800" y="3121152"/>
          <a:chExt cx="1908048" cy="1347216"/>
        </a:xfrm>
        <a:effectLst>
          <a:outerShdw blurRad="254000" dist="127000" dir="8100000" algn="tr" rotWithShape="0">
            <a:prstClr val="black">
              <a:alpha val="90000"/>
            </a:prstClr>
          </a:outerShdw>
        </a:effectLst>
      </xdr:grpSpPr>
      <xdr:sp macro="" textlink="">
        <xdr:nvSpPr>
          <xdr:cNvPr id="4" name="Rectangle: Rounded Corners 3">
            <a:extLst>
              <a:ext uri="{FF2B5EF4-FFF2-40B4-BE49-F238E27FC236}">
                <a16:creationId xmlns:a16="http://schemas.microsoft.com/office/drawing/2014/main" id="{C5845931-E655-A1E7-9AD6-7A1994DCCEA1}"/>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 name="Rectangle: Rounded Corners 4">
            <a:extLst>
              <a:ext uri="{FF2B5EF4-FFF2-40B4-BE49-F238E27FC236}">
                <a16:creationId xmlns:a16="http://schemas.microsoft.com/office/drawing/2014/main" id="{A08F452B-AA4F-FDF1-6903-74343F90C947}"/>
              </a:ext>
            </a:extLst>
          </xdr:cNvPr>
          <xdr:cNvSpPr/>
        </xdr:nvSpPr>
        <xdr:spPr>
          <a:xfrm>
            <a:off x="7162800" y="3121152"/>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327660</xdr:colOff>
      <xdr:row>6</xdr:row>
      <xdr:rowOff>83820</xdr:rowOff>
    </xdr:from>
    <xdr:to>
      <xdr:col>11</xdr:col>
      <xdr:colOff>266700</xdr:colOff>
      <xdr:row>13</xdr:row>
      <xdr:rowOff>175260</xdr:rowOff>
    </xdr:to>
    <xdr:grpSp>
      <xdr:nvGrpSpPr>
        <xdr:cNvPr id="6" name="Group 5">
          <a:extLst>
            <a:ext uri="{FF2B5EF4-FFF2-40B4-BE49-F238E27FC236}">
              <a16:creationId xmlns:a16="http://schemas.microsoft.com/office/drawing/2014/main" id="{9B0CB288-7251-40C4-8C4B-D0558C9FEF2D}"/>
            </a:ext>
          </a:extLst>
        </xdr:cNvPr>
        <xdr:cNvGrpSpPr/>
      </xdr:nvGrpSpPr>
      <xdr:grpSpPr>
        <a:xfrm>
          <a:off x="4476327" y="1226820"/>
          <a:ext cx="2309706" cy="1424940"/>
          <a:chOff x="5141976" y="3121152"/>
          <a:chExt cx="1908048" cy="1347216"/>
        </a:xfrm>
        <a:effectLst>
          <a:outerShdw blurRad="254000" dist="127000" dir="8100000" algn="tr" rotWithShape="0">
            <a:prstClr val="black">
              <a:alpha val="90000"/>
            </a:prstClr>
          </a:outerShdw>
        </a:effectLst>
      </xdr:grpSpPr>
      <xdr:sp macro="" textlink="">
        <xdr:nvSpPr>
          <xdr:cNvPr id="7" name="Rectangle: Rounded Corners 6">
            <a:extLst>
              <a:ext uri="{FF2B5EF4-FFF2-40B4-BE49-F238E27FC236}">
                <a16:creationId xmlns:a16="http://schemas.microsoft.com/office/drawing/2014/main" id="{C5BEBC70-9AC7-213B-D244-E7E2BC5823A6}"/>
              </a:ext>
            </a:extLst>
          </xdr:cNvPr>
          <xdr:cNvSpPr/>
        </xdr:nvSpPr>
        <xdr:spPr>
          <a:xfrm>
            <a:off x="5141976"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Rectangle: Rounded Corners 7">
            <a:extLst>
              <a:ext uri="{FF2B5EF4-FFF2-40B4-BE49-F238E27FC236}">
                <a16:creationId xmlns:a16="http://schemas.microsoft.com/office/drawing/2014/main" id="{3EAA8DF7-93DB-6538-473B-3C65EC602594}"/>
              </a:ext>
            </a:extLst>
          </xdr:cNvPr>
          <xdr:cNvSpPr/>
        </xdr:nvSpPr>
        <xdr:spPr>
          <a:xfrm>
            <a:off x="5141976" y="3121152"/>
            <a:ext cx="1908048" cy="1347216"/>
          </a:xfrm>
          <a:prstGeom prst="roundRect">
            <a:avLst>
              <a:gd name="adj" fmla="val 9880"/>
            </a:avLst>
          </a:prstGeom>
          <a:gradFill flip="none" rotWithShape="1">
            <a:gsLst>
              <a:gs pos="52000">
                <a:srgbClr val="1F1F98">
                  <a:alpha val="0"/>
                </a:srgbClr>
              </a:gs>
              <a:gs pos="4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205740</xdr:colOff>
      <xdr:row>6</xdr:row>
      <xdr:rowOff>83820</xdr:rowOff>
    </xdr:from>
    <xdr:to>
      <xdr:col>7</xdr:col>
      <xdr:colOff>144780</xdr:colOff>
      <xdr:row>13</xdr:row>
      <xdr:rowOff>175260</xdr:rowOff>
    </xdr:to>
    <xdr:grpSp>
      <xdr:nvGrpSpPr>
        <xdr:cNvPr id="9" name="Group 8">
          <a:extLst>
            <a:ext uri="{FF2B5EF4-FFF2-40B4-BE49-F238E27FC236}">
              <a16:creationId xmlns:a16="http://schemas.microsoft.com/office/drawing/2014/main" id="{D7E589DE-41B2-48AB-B22C-C00A84EBC977}"/>
            </a:ext>
          </a:extLst>
        </xdr:cNvPr>
        <xdr:cNvGrpSpPr/>
      </xdr:nvGrpSpPr>
      <xdr:grpSpPr>
        <a:xfrm>
          <a:off x="1983740" y="1226820"/>
          <a:ext cx="2309707" cy="1424940"/>
          <a:chOff x="3121152" y="3121152"/>
          <a:chExt cx="1908048" cy="1347216"/>
        </a:xfrm>
        <a:effectLst>
          <a:outerShdw blurRad="254000" dist="127000" dir="8100000" algn="tr" rotWithShape="0">
            <a:prstClr val="black">
              <a:alpha val="90000"/>
            </a:prstClr>
          </a:outerShdw>
        </a:effectLst>
      </xdr:grpSpPr>
      <xdr:sp macro="" textlink="">
        <xdr:nvSpPr>
          <xdr:cNvPr id="10" name="Rectangle: Rounded Corners 9">
            <a:extLst>
              <a:ext uri="{FF2B5EF4-FFF2-40B4-BE49-F238E27FC236}">
                <a16:creationId xmlns:a16="http://schemas.microsoft.com/office/drawing/2014/main" id="{DC011408-0202-222B-EF8F-36E7859C7017}"/>
              </a:ext>
            </a:extLst>
          </xdr:cNvPr>
          <xdr:cNvSpPr/>
        </xdr:nvSpPr>
        <xdr:spPr>
          <a:xfrm>
            <a:off x="3121152"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Rectangle: Rounded Corners 10">
            <a:extLst>
              <a:ext uri="{FF2B5EF4-FFF2-40B4-BE49-F238E27FC236}">
                <a16:creationId xmlns:a16="http://schemas.microsoft.com/office/drawing/2014/main" id="{698357AE-3C41-D16C-A0EF-230BDF620DA8}"/>
              </a:ext>
            </a:extLst>
          </xdr:cNvPr>
          <xdr:cNvSpPr/>
        </xdr:nvSpPr>
        <xdr:spPr>
          <a:xfrm>
            <a:off x="3121152" y="3121152"/>
            <a:ext cx="1908048" cy="1347216"/>
          </a:xfrm>
          <a:prstGeom prst="roundRect">
            <a:avLst>
              <a:gd name="adj" fmla="val 9880"/>
            </a:avLst>
          </a:prstGeom>
          <a:gradFill flip="none" rotWithShape="1">
            <a:gsLst>
              <a:gs pos="52000">
                <a:srgbClr val="1F1F98">
                  <a:alpha val="0"/>
                </a:srgbClr>
              </a:gs>
              <a:gs pos="4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a:effectLst>
            <a:glow rad="63500">
              <a:srgbClr val="476BEE">
                <a:alpha val="30000"/>
              </a:srgbClr>
            </a:glow>
            <a:outerShdw blurRad="127000" sx="105000" sy="105000" algn="ctr"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205740</xdr:colOff>
      <xdr:row>15</xdr:row>
      <xdr:rowOff>38100</xdr:rowOff>
    </xdr:from>
    <xdr:to>
      <xdr:col>11</xdr:col>
      <xdr:colOff>266700</xdr:colOff>
      <xdr:row>37</xdr:row>
      <xdr:rowOff>60960</xdr:rowOff>
    </xdr:to>
    <xdr:sp macro="" textlink="">
      <xdr:nvSpPr>
        <xdr:cNvPr id="12" name="Rectangle: Rounded Corners 11">
          <a:extLst>
            <a:ext uri="{FF2B5EF4-FFF2-40B4-BE49-F238E27FC236}">
              <a16:creationId xmlns:a16="http://schemas.microsoft.com/office/drawing/2014/main" id="{78DD8CE7-D99B-4A44-B6B0-12B144BCD714}"/>
            </a:ext>
          </a:extLst>
        </xdr:cNvPr>
        <xdr:cNvSpPr/>
      </xdr:nvSpPr>
      <xdr:spPr>
        <a:xfrm>
          <a:off x="2034540" y="2781300"/>
          <a:ext cx="4937760" cy="4046220"/>
        </a:xfrm>
        <a:prstGeom prst="roundRect">
          <a:avLst>
            <a:gd name="adj" fmla="val 3224"/>
          </a:avLst>
        </a:prstGeom>
        <a:gradFill flip="none" rotWithShape="1">
          <a:gsLst>
            <a:gs pos="4000">
              <a:srgbClr val="0F0048"/>
            </a:gs>
            <a:gs pos="67000">
              <a:srgbClr val="0A002F"/>
            </a:gs>
          </a:gsLst>
          <a:lin ang="8100000" scaled="1"/>
          <a:tileRect/>
        </a:gradFill>
        <a:ln w="9525">
          <a:gradFill flip="none" rotWithShape="1">
            <a:gsLst>
              <a:gs pos="0">
                <a:srgbClr val="2C48D4"/>
              </a:gs>
              <a:gs pos="39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453043</xdr:colOff>
      <xdr:row>3</xdr:row>
      <xdr:rowOff>138694</xdr:rowOff>
    </xdr:from>
    <xdr:to>
      <xdr:col>20</xdr:col>
      <xdr:colOff>80356</xdr:colOff>
      <xdr:row>14</xdr:row>
      <xdr:rowOff>73224</xdr:rowOff>
    </xdr:to>
    <xdr:graphicFrame macro="">
      <xdr:nvGraphicFramePr>
        <xdr:cNvPr id="13" name="Chart 12">
          <a:extLst>
            <a:ext uri="{FF2B5EF4-FFF2-40B4-BE49-F238E27FC236}">
              <a16:creationId xmlns:a16="http://schemas.microsoft.com/office/drawing/2014/main" id="{A196E6E2-101E-4E13-917B-F724C81A3A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460248</xdr:colOff>
      <xdr:row>26</xdr:row>
      <xdr:rowOff>152400</xdr:rowOff>
    </xdr:from>
    <xdr:to>
      <xdr:col>19</xdr:col>
      <xdr:colOff>521208</xdr:colOff>
      <xdr:row>37</xdr:row>
      <xdr:rowOff>60960</xdr:rowOff>
    </xdr:to>
    <xdr:sp macro="" textlink="">
      <xdr:nvSpPr>
        <xdr:cNvPr id="14" name="Rectangle: Rounded Corners 13">
          <a:extLst>
            <a:ext uri="{FF2B5EF4-FFF2-40B4-BE49-F238E27FC236}">
              <a16:creationId xmlns:a16="http://schemas.microsoft.com/office/drawing/2014/main" id="{99FAD657-889D-45D4-91B1-1173237E1BCC}"/>
            </a:ext>
          </a:extLst>
        </xdr:cNvPr>
        <xdr:cNvSpPr/>
      </xdr:nvSpPr>
      <xdr:spPr>
        <a:xfrm>
          <a:off x="7165848" y="4907280"/>
          <a:ext cx="4937760" cy="1920240"/>
        </a:xfrm>
        <a:prstGeom prst="roundRect">
          <a:avLst>
            <a:gd name="adj" fmla="val 8874"/>
          </a:avLst>
        </a:prstGeom>
        <a:gradFill flip="none" rotWithShape="1">
          <a:gsLst>
            <a:gs pos="4000">
              <a:srgbClr val="0F0048"/>
            </a:gs>
            <a:gs pos="40000">
              <a:srgbClr val="0A002F"/>
            </a:gs>
          </a:gsLst>
          <a:lin ang="5400000" scaled="0"/>
          <a:tileRect/>
        </a:gradFill>
        <a:ln w="9525">
          <a:gradFill flip="none" rotWithShape="1">
            <a:gsLst>
              <a:gs pos="0">
                <a:srgbClr val="2C48D4"/>
              </a:gs>
              <a:gs pos="39000">
                <a:srgbClr val="171B61"/>
              </a:gs>
            </a:gsLst>
            <a:lin ang="60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460248</xdr:colOff>
      <xdr:row>15</xdr:row>
      <xdr:rowOff>38100</xdr:rowOff>
    </xdr:from>
    <xdr:to>
      <xdr:col>15</xdr:col>
      <xdr:colOff>399288</xdr:colOff>
      <xdr:row>25</xdr:row>
      <xdr:rowOff>129540</xdr:rowOff>
    </xdr:to>
    <xdr:sp macro="" textlink="">
      <xdr:nvSpPr>
        <xdr:cNvPr id="15" name="Rectangle: Rounded Corners 14">
          <a:extLst>
            <a:ext uri="{FF2B5EF4-FFF2-40B4-BE49-F238E27FC236}">
              <a16:creationId xmlns:a16="http://schemas.microsoft.com/office/drawing/2014/main" id="{2C125A2E-74A3-4359-8CC9-43F862A3581A}"/>
            </a:ext>
          </a:extLst>
        </xdr:cNvPr>
        <xdr:cNvSpPr/>
      </xdr:nvSpPr>
      <xdr:spPr>
        <a:xfrm>
          <a:off x="7165848" y="2781300"/>
          <a:ext cx="2377440" cy="1920240"/>
        </a:xfrm>
        <a:prstGeom prst="roundRect">
          <a:avLst>
            <a:gd name="adj" fmla="val 8874"/>
          </a:avLst>
        </a:prstGeom>
        <a:gradFill flip="none" rotWithShape="1">
          <a:gsLst>
            <a:gs pos="4000">
              <a:srgbClr val="150064"/>
            </a:gs>
            <a:gs pos="67000">
              <a:srgbClr val="0A002F"/>
            </a:gs>
          </a:gsLst>
          <a:lin ang="8100000" scaled="1"/>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582168</xdr:colOff>
      <xdr:row>15</xdr:row>
      <xdr:rowOff>38100</xdr:rowOff>
    </xdr:from>
    <xdr:to>
      <xdr:col>19</xdr:col>
      <xdr:colOff>521208</xdr:colOff>
      <xdr:row>25</xdr:row>
      <xdr:rowOff>129540</xdr:rowOff>
    </xdr:to>
    <xdr:sp macro="" textlink="">
      <xdr:nvSpPr>
        <xdr:cNvPr id="16" name="Rectangle: Rounded Corners 15">
          <a:extLst>
            <a:ext uri="{FF2B5EF4-FFF2-40B4-BE49-F238E27FC236}">
              <a16:creationId xmlns:a16="http://schemas.microsoft.com/office/drawing/2014/main" id="{2A7D44AE-EB15-452F-981D-275F3700DB8F}"/>
            </a:ext>
          </a:extLst>
        </xdr:cNvPr>
        <xdr:cNvSpPr/>
      </xdr:nvSpPr>
      <xdr:spPr>
        <a:xfrm>
          <a:off x="9726168" y="2781300"/>
          <a:ext cx="2377440" cy="1920240"/>
        </a:xfrm>
        <a:prstGeom prst="roundRect">
          <a:avLst>
            <a:gd name="adj" fmla="val 8874"/>
          </a:avLst>
        </a:prstGeom>
        <a:gradFill flip="none" rotWithShape="1">
          <a:gsLst>
            <a:gs pos="4000">
              <a:srgbClr val="150064"/>
            </a:gs>
            <a:gs pos="67000">
              <a:srgbClr val="0A002F"/>
            </a:gs>
          </a:gsLst>
          <a:lin ang="8100000" scaled="1"/>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304800</xdr:colOff>
      <xdr:row>18</xdr:row>
      <xdr:rowOff>15240</xdr:rowOff>
    </xdr:from>
    <xdr:to>
      <xdr:col>11</xdr:col>
      <xdr:colOff>182880</xdr:colOff>
      <xdr:row>34</xdr:row>
      <xdr:rowOff>15240</xdr:rowOff>
    </xdr:to>
    <xdr:graphicFrame macro="">
      <xdr:nvGraphicFramePr>
        <xdr:cNvPr id="19" name="Chart 18">
          <a:extLst>
            <a:ext uri="{FF2B5EF4-FFF2-40B4-BE49-F238E27FC236}">
              <a16:creationId xmlns:a16="http://schemas.microsoft.com/office/drawing/2014/main" id="{F9C70932-CD4D-4C77-B898-C1F167E56C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11</xdr:col>
      <xdr:colOff>518160</xdr:colOff>
      <xdr:row>17</xdr:row>
      <xdr:rowOff>30480</xdr:rowOff>
    </xdr:from>
    <xdr:to>
      <xdr:col>15</xdr:col>
      <xdr:colOff>358140</xdr:colOff>
      <xdr:row>25</xdr:row>
      <xdr:rowOff>45720</xdr:rowOff>
    </xdr:to>
    <xdr:graphicFrame macro="">
      <xdr:nvGraphicFramePr>
        <xdr:cNvPr id="20" name="Chart 19">
          <a:extLst>
            <a:ext uri="{FF2B5EF4-FFF2-40B4-BE49-F238E27FC236}">
              <a16:creationId xmlns:a16="http://schemas.microsoft.com/office/drawing/2014/main" id="{8D9E38D7-8A15-401A-8CBC-1EE63596F5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16</xdr:col>
      <xdr:colOff>454283</xdr:colOff>
      <xdr:row>17</xdr:row>
      <xdr:rowOff>114300</xdr:rowOff>
    </xdr:from>
    <xdr:to>
      <xdr:col>19</xdr:col>
      <xdr:colOff>48800</xdr:colOff>
      <xdr:row>25</xdr:row>
      <xdr:rowOff>44747</xdr:rowOff>
    </xdr:to>
    <xdr:grpSp>
      <xdr:nvGrpSpPr>
        <xdr:cNvPr id="21" name="Group 20">
          <a:extLst>
            <a:ext uri="{FF2B5EF4-FFF2-40B4-BE49-F238E27FC236}">
              <a16:creationId xmlns:a16="http://schemas.microsoft.com/office/drawing/2014/main" id="{B522969A-A98D-484E-9D22-4EFFF73550AB}"/>
            </a:ext>
          </a:extLst>
        </xdr:cNvPr>
        <xdr:cNvGrpSpPr/>
      </xdr:nvGrpSpPr>
      <xdr:grpSpPr>
        <a:xfrm>
          <a:off x="9936950" y="3352800"/>
          <a:ext cx="1372517" cy="1454447"/>
          <a:chOff x="10207883" y="3116580"/>
          <a:chExt cx="1423317" cy="1393487"/>
        </a:xfrm>
      </xdr:grpSpPr>
      <xdr:cxnSp macro="">
        <xdr:nvCxnSpPr>
          <xdr:cNvPr id="22" name="Straight Connector 21">
            <a:extLst>
              <a:ext uri="{FF2B5EF4-FFF2-40B4-BE49-F238E27FC236}">
                <a16:creationId xmlns:a16="http://schemas.microsoft.com/office/drawing/2014/main" id="{3DBE7524-6DB5-34A9-DC30-598AF711B70C}"/>
              </a:ext>
            </a:extLst>
          </xdr:cNvPr>
          <xdr:cNvCxnSpPr/>
        </xdr:nvCxnSpPr>
        <xdr:spPr>
          <a:xfrm>
            <a:off x="10911840" y="31165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D3B87F80-8B6D-FC41-24EA-E01A15743310}"/>
              </a:ext>
            </a:extLst>
          </xdr:cNvPr>
          <xdr:cNvCxnSpPr/>
        </xdr:nvCxnSpPr>
        <xdr:spPr>
          <a:xfrm rot="17280000">
            <a:off x="10573643" y="3369175"/>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5FD436E3-0AAC-5E4C-0E3C-521537A970C0}"/>
              </a:ext>
            </a:extLst>
          </xdr:cNvPr>
          <xdr:cNvCxnSpPr/>
        </xdr:nvCxnSpPr>
        <xdr:spPr>
          <a:xfrm rot="4320000">
            <a:off x="11265440" y="3365932"/>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B6A849BB-FC8B-7788-F7CE-B3C595734BA2}"/>
              </a:ext>
            </a:extLst>
          </xdr:cNvPr>
          <xdr:cNvCxnSpPr/>
        </xdr:nvCxnSpPr>
        <xdr:spPr>
          <a:xfrm rot="8640000">
            <a:off x="11128548" y="3778547"/>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FB9EE9D4-9E09-0197-E3AC-575530D1352D}"/>
              </a:ext>
            </a:extLst>
          </xdr:cNvPr>
          <xdr:cNvCxnSpPr/>
        </xdr:nvCxnSpPr>
        <xdr:spPr>
          <a:xfrm rot="12960000">
            <a:off x="10698376" y="37642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292319</xdr:colOff>
      <xdr:row>16</xdr:row>
      <xdr:rowOff>143480</xdr:rowOff>
    </xdr:from>
    <xdr:to>
      <xdr:col>19</xdr:col>
      <xdr:colOff>200879</xdr:colOff>
      <xdr:row>26</xdr:row>
      <xdr:rowOff>63714</xdr:rowOff>
    </xdr:to>
    <xdr:graphicFrame macro="">
      <xdr:nvGraphicFramePr>
        <xdr:cNvPr id="27" name="Chart 26">
          <a:extLst>
            <a:ext uri="{FF2B5EF4-FFF2-40B4-BE49-F238E27FC236}">
              <a16:creationId xmlns:a16="http://schemas.microsoft.com/office/drawing/2014/main" id="{1AC23049-0B3A-44CC-AA3B-1B7B9D3C364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oneCellAnchor>
    <xdr:from>
      <xdr:col>11</xdr:col>
      <xdr:colOff>53340</xdr:colOff>
      <xdr:row>15</xdr:row>
      <xdr:rowOff>175260</xdr:rowOff>
    </xdr:from>
    <xdr:ext cx="65" cy="172227"/>
    <xdr:sp macro="" textlink="">
      <xdr:nvSpPr>
        <xdr:cNvPr id="28" name="TextBox 27">
          <a:extLst>
            <a:ext uri="{FF2B5EF4-FFF2-40B4-BE49-F238E27FC236}">
              <a16:creationId xmlns:a16="http://schemas.microsoft.com/office/drawing/2014/main" id="{69A332F7-444B-410B-B7C5-EE38D97DB06D}"/>
            </a:ext>
          </a:extLst>
        </xdr:cNvPr>
        <xdr:cNvSpPr txBox="1"/>
      </xdr:nvSpPr>
      <xdr:spPr>
        <a:xfrm>
          <a:off x="6758940" y="29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ru-RU" sz="1100"/>
        </a:p>
      </xdr:txBody>
    </xdr:sp>
    <xdr:clientData/>
  </xdr:oneCellAnchor>
  <xdr:twoCellAnchor>
    <xdr:from>
      <xdr:col>11</xdr:col>
      <xdr:colOff>601980</xdr:colOff>
      <xdr:row>28</xdr:row>
      <xdr:rowOff>38100</xdr:rowOff>
    </xdr:from>
    <xdr:to>
      <xdr:col>19</xdr:col>
      <xdr:colOff>441960</xdr:colOff>
      <xdr:row>36</xdr:row>
      <xdr:rowOff>160020</xdr:rowOff>
    </xdr:to>
    <xdr:graphicFrame macro="">
      <xdr:nvGraphicFramePr>
        <xdr:cNvPr id="29" name="Chart 28">
          <a:extLst>
            <a:ext uri="{FF2B5EF4-FFF2-40B4-BE49-F238E27FC236}">
              <a16:creationId xmlns:a16="http://schemas.microsoft.com/office/drawing/2014/main" id="{BAA24338-DDFE-4971-8CD8-0FE099C41F2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243840</xdr:colOff>
      <xdr:row>7</xdr:row>
      <xdr:rowOff>91440</xdr:rowOff>
    </xdr:from>
    <xdr:to>
      <xdr:col>6</xdr:col>
      <xdr:colOff>243840</xdr:colOff>
      <xdr:row>11</xdr:row>
      <xdr:rowOff>0</xdr:rowOff>
    </xdr:to>
    <xdr:sp macro="" textlink="Processing!O9">
      <xdr:nvSpPr>
        <xdr:cNvPr id="35" name="TextBox 34">
          <a:extLst>
            <a:ext uri="{FF2B5EF4-FFF2-40B4-BE49-F238E27FC236}">
              <a16:creationId xmlns:a16="http://schemas.microsoft.com/office/drawing/2014/main" id="{C6CB5419-6778-45BD-A932-7899D2F87A9A}"/>
            </a:ext>
          </a:extLst>
        </xdr:cNvPr>
        <xdr:cNvSpPr txBox="1"/>
      </xdr:nvSpPr>
      <xdr:spPr>
        <a:xfrm>
          <a:off x="2072640" y="1371600"/>
          <a:ext cx="18288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67A2AF-8475-4C35-85E3-B52DD60A765F}" type="TxLink">
            <a:rPr lang="en-US" sz="3200" b="0" i="0" u="none" strike="noStrike">
              <a:solidFill>
                <a:schemeClr val="bg1"/>
              </a:solidFill>
              <a:latin typeface="Aptos Narrow"/>
            </a:rPr>
            <a:pPr/>
            <a:t>80/220</a:t>
          </a:fld>
          <a:endParaRPr lang="ru-RU" sz="3200">
            <a:solidFill>
              <a:schemeClr val="bg1"/>
            </a:solidFill>
          </a:endParaRPr>
        </a:p>
      </xdr:txBody>
    </xdr:sp>
    <xdr:clientData/>
  </xdr:twoCellAnchor>
  <xdr:twoCellAnchor>
    <xdr:from>
      <xdr:col>5</xdr:col>
      <xdr:colOff>405870</xdr:colOff>
      <xdr:row>7</xdr:row>
      <xdr:rowOff>152400</xdr:rowOff>
    </xdr:from>
    <xdr:to>
      <xdr:col>7</xdr:col>
      <xdr:colOff>101070</xdr:colOff>
      <xdr:row>12</xdr:row>
      <xdr:rowOff>152400</xdr:rowOff>
    </xdr:to>
    <xdr:graphicFrame macro="">
      <xdr:nvGraphicFramePr>
        <xdr:cNvPr id="36" name="Chart 35">
          <a:extLst>
            <a:ext uri="{FF2B5EF4-FFF2-40B4-BE49-F238E27FC236}">
              <a16:creationId xmlns:a16="http://schemas.microsoft.com/office/drawing/2014/main" id="{78E9FE6A-ED4C-415A-B63D-DFC66FF74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444316</xdr:colOff>
      <xdr:row>9</xdr:row>
      <xdr:rowOff>54293</xdr:rowOff>
    </xdr:from>
    <xdr:to>
      <xdr:col>7</xdr:col>
      <xdr:colOff>81464</xdr:colOff>
      <xdr:row>11</xdr:row>
      <xdr:rowOff>60008</xdr:rowOff>
    </xdr:to>
    <xdr:sp macro="" textlink="Processing!N11">
      <xdr:nvSpPr>
        <xdr:cNvPr id="37" name="TextBox 36">
          <a:extLst>
            <a:ext uri="{FF2B5EF4-FFF2-40B4-BE49-F238E27FC236}">
              <a16:creationId xmlns:a16="http://schemas.microsoft.com/office/drawing/2014/main" id="{58C6F6BA-564E-492D-AA41-0BC4828F0E0A}"/>
            </a:ext>
          </a:extLst>
        </xdr:cNvPr>
        <xdr:cNvSpPr txBox="1"/>
      </xdr:nvSpPr>
      <xdr:spPr>
        <a:xfrm>
          <a:off x="349231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F6B2F8D-848D-426C-BBB8-EF7186FDFE74}" type="TxLink">
            <a:rPr lang="en-US" sz="1200" b="0" i="0" u="none" strike="noStrike">
              <a:solidFill>
                <a:schemeClr val="bg1"/>
              </a:solidFill>
              <a:latin typeface="Aptos Narrow"/>
            </a:rPr>
            <a:pPr algn="ctr"/>
            <a:t>36%</a:t>
          </a:fld>
          <a:endParaRPr lang="ru-RU" sz="4400">
            <a:solidFill>
              <a:schemeClr val="bg1"/>
            </a:solidFill>
          </a:endParaRPr>
        </a:p>
      </xdr:txBody>
    </xdr:sp>
    <xdr:clientData/>
  </xdr:twoCellAnchor>
  <xdr:twoCellAnchor>
    <xdr:from>
      <xdr:col>3</xdr:col>
      <xdr:colOff>320040</xdr:colOff>
      <xdr:row>11</xdr:row>
      <xdr:rowOff>38100</xdr:rowOff>
    </xdr:from>
    <xdr:to>
      <xdr:col>6</xdr:col>
      <xdr:colOff>160020</xdr:colOff>
      <xdr:row>14</xdr:row>
      <xdr:rowOff>76200</xdr:rowOff>
    </xdr:to>
    <xdr:sp macro="" textlink="Processing!M8">
      <xdr:nvSpPr>
        <xdr:cNvPr id="38" name="TextBox 37">
          <a:extLst>
            <a:ext uri="{FF2B5EF4-FFF2-40B4-BE49-F238E27FC236}">
              <a16:creationId xmlns:a16="http://schemas.microsoft.com/office/drawing/2014/main" id="{05ECA1B3-1385-425C-94EF-B0B4078EB205}"/>
            </a:ext>
          </a:extLst>
        </xdr:cNvPr>
        <xdr:cNvSpPr txBox="1"/>
      </xdr:nvSpPr>
      <xdr:spPr>
        <a:xfrm>
          <a:off x="214884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ECB5B-08AB-4119-8CB9-6CC6396EF104}" type="TxLink">
            <a:rPr lang="en-US" sz="1600" b="0" i="0" u="none" strike="noStrike">
              <a:solidFill>
                <a:schemeClr val="bg1"/>
              </a:solidFill>
              <a:latin typeface="Aptos Narrow"/>
            </a:rPr>
            <a:pPr/>
            <a:t>Scope of Work</a:t>
          </a:fld>
          <a:endParaRPr lang="ru-RU" sz="4400">
            <a:solidFill>
              <a:schemeClr val="bg1"/>
            </a:solidFill>
          </a:endParaRPr>
        </a:p>
      </xdr:txBody>
    </xdr:sp>
    <xdr:clientData/>
  </xdr:twoCellAnchor>
  <xdr:twoCellAnchor>
    <xdr:from>
      <xdr:col>9</xdr:col>
      <xdr:colOff>533400</xdr:colOff>
      <xdr:row>7</xdr:row>
      <xdr:rowOff>152400</xdr:rowOff>
    </xdr:from>
    <xdr:to>
      <xdr:col>11</xdr:col>
      <xdr:colOff>228600</xdr:colOff>
      <xdr:row>12</xdr:row>
      <xdr:rowOff>152400</xdr:rowOff>
    </xdr:to>
    <xdr:graphicFrame macro="">
      <xdr:nvGraphicFramePr>
        <xdr:cNvPr id="39" name="Chart 38">
          <a:extLst>
            <a:ext uri="{FF2B5EF4-FFF2-40B4-BE49-F238E27FC236}">
              <a16:creationId xmlns:a16="http://schemas.microsoft.com/office/drawing/2014/main" id="{0537318F-732D-43CB-A031-39B2BFEF6E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411480</xdr:colOff>
      <xdr:row>11</xdr:row>
      <xdr:rowOff>38100</xdr:rowOff>
    </xdr:from>
    <xdr:to>
      <xdr:col>10</xdr:col>
      <xdr:colOff>251460</xdr:colOff>
      <xdr:row>14</xdr:row>
      <xdr:rowOff>76200</xdr:rowOff>
    </xdr:to>
    <xdr:sp macro="" textlink="Processing!O5">
      <xdr:nvSpPr>
        <xdr:cNvPr id="40" name="TextBox 39">
          <a:extLst>
            <a:ext uri="{FF2B5EF4-FFF2-40B4-BE49-F238E27FC236}">
              <a16:creationId xmlns:a16="http://schemas.microsoft.com/office/drawing/2014/main" id="{1F17B162-2BA6-424F-8472-61BC5CE45BD8}"/>
            </a:ext>
          </a:extLst>
        </xdr:cNvPr>
        <xdr:cNvSpPr txBox="1"/>
      </xdr:nvSpPr>
      <xdr:spPr>
        <a:xfrm>
          <a:off x="467868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7FFC1-29C6-40F9-9BB1-2D31ED36B262}" type="TxLink">
            <a:rPr lang="en-US" sz="1600" b="0" i="0" u="none" strike="noStrike">
              <a:solidFill>
                <a:schemeClr val="bg1"/>
              </a:solidFill>
              <a:latin typeface="Aptos Narrow"/>
              <a:ea typeface="+mn-ea"/>
              <a:cs typeface="+mn-cs"/>
            </a:rPr>
            <a:pPr marL="0" indent="0"/>
            <a:t>Time Remaining</a:t>
          </a:fld>
          <a:endParaRPr lang="ru-RU" sz="1600" b="0" i="0" u="none" strike="noStrike">
            <a:solidFill>
              <a:schemeClr val="bg1"/>
            </a:solidFill>
            <a:latin typeface="Aptos Narrow"/>
            <a:ea typeface="+mn-ea"/>
            <a:cs typeface="+mn-cs"/>
          </a:endParaRPr>
        </a:p>
      </xdr:txBody>
    </xdr:sp>
    <xdr:clientData/>
  </xdr:twoCellAnchor>
  <xdr:twoCellAnchor>
    <xdr:from>
      <xdr:col>7</xdr:col>
      <xdr:colOff>373380</xdr:colOff>
      <xdr:row>7</xdr:row>
      <xdr:rowOff>91440</xdr:rowOff>
    </xdr:from>
    <xdr:to>
      <xdr:col>9</xdr:col>
      <xdr:colOff>152400</xdr:colOff>
      <xdr:row>11</xdr:row>
      <xdr:rowOff>0</xdr:rowOff>
    </xdr:to>
    <xdr:sp macro="" textlink="Processing!M6">
      <xdr:nvSpPr>
        <xdr:cNvPr id="41" name="TextBox 40">
          <a:extLst>
            <a:ext uri="{FF2B5EF4-FFF2-40B4-BE49-F238E27FC236}">
              <a16:creationId xmlns:a16="http://schemas.microsoft.com/office/drawing/2014/main" id="{A1B8E3B3-6BBF-47AF-A4E6-2B213AD8AE70}"/>
            </a:ext>
          </a:extLst>
        </xdr:cNvPr>
        <xdr:cNvSpPr txBox="1"/>
      </xdr:nvSpPr>
      <xdr:spPr>
        <a:xfrm>
          <a:off x="4640580" y="137160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BB09261-95EC-4CE7-8235-CA5F20BA4102}" type="TxLink">
            <a:rPr lang="en-US" sz="3200" b="0" i="0" u="none" strike="noStrike">
              <a:solidFill>
                <a:schemeClr val="bg1"/>
              </a:solidFill>
              <a:latin typeface="Aptos Narrow"/>
              <a:ea typeface="+mn-ea"/>
              <a:cs typeface="+mn-cs"/>
            </a:rPr>
            <a:pPr marL="0" indent="0" algn="r"/>
            <a:t>92</a:t>
          </a:fld>
          <a:endParaRPr lang="ru-RU" sz="3200" b="0" i="0" u="none" strike="noStrike">
            <a:solidFill>
              <a:schemeClr val="bg1"/>
            </a:solidFill>
            <a:latin typeface="Aptos Narrow"/>
            <a:ea typeface="+mn-ea"/>
            <a:cs typeface="+mn-cs"/>
          </a:endParaRPr>
        </a:p>
      </xdr:txBody>
    </xdr:sp>
    <xdr:clientData/>
  </xdr:twoCellAnchor>
  <xdr:twoCellAnchor>
    <xdr:from>
      <xdr:col>9</xdr:col>
      <xdr:colOff>30480</xdr:colOff>
      <xdr:row>8</xdr:row>
      <xdr:rowOff>114300</xdr:rowOff>
    </xdr:from>
    <xdr:to>
      <xdr:col>10</xdr:col>
      <xdr:colOff>419100</xdr:colOff>
      <xdr:row>12</xdr:row>
      <xdr:rowOff>22860</xdr:rowOff>
    </xdr:to>
    <xdr:sp macro="" textlink="Processing!M5">
      <xdr:nvSpPr>
        <xdr:cNvPr id="42" name="TextBox 41">
          <a:extLst>
            <a:ext uri="{FF2B5EF4-FFF2-40B4-BE49-F238E27FC236}">
              <a16:creationId xmlns:a16="http://schemas.microsoft.com/office/drawing/2014/main" id="{5FFAADED-255A-4445-8A35-668409E79BA0}"/>
            </a:ext>
          </a:extLst>
        </xdr:cNvPr>
        <xdr:cNvSpPr txBox="1"/>
      </xdr:nvSpPr>
      <xdr:spPr>
        <a:xfrm>
          <a:off x="5516880" y="157734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7B169B-EF91-4A9A-9455-004958A84F01}" type="TxLink">
            <a:rPr lang="en-US" sz="1400" b="0" i="0" u="none" strike="noStrike">
              <a:solidFill>
                <a:schemeClr val="bg1"/>
              </a:solidFill>
              <a:latin typeface="Aptos Narrow"/>
              <a:ea typeface="+mn-ea"/>
              <a:cs typeface="+mn-cs"/>
            </a:rPr>
            <a:pPr marL="0" indent="0" algn="l"/>
            <a:t>Days</a:t>
          </a:fld>
          <a:endParaRPr lang="ru-RU" sz="4000" b="0" i="0" u="none" strike="noStrike">
            <a:solidFill>
              <a:schemeClr val="bg1"/>
            </a:solidFill>
            <a:latin typeface="Aptos Narrow"/>
            <a:ea typeface="+mn-ea"/>
            <a:cs typeface="+mn-cs"/>
          </a:endParaRPr>
        </a:p>
      </xdr:txBody>
    </xdr:sp>
    <xdr:clientData/>
  </xdr:twoCellAnchor>
  <xdr:twoCellAnchor>
    <xdr:from>
      <xdr:col>9</xdr:col>
      <xdr:colOff>566236</xdr:colOff>
      <xdr:row>9</xdr:row>
      <xdr:rowOff>54293</xdr:rowOff>
    </xdr:from>
    <xdr:to>
      <xdr:col>11</xdr:col>
      <xdr:colOff>203384</xdr:colOff>
      <xdr:row>11</xdr:row>
      <xdr:rowOff>60008</xdr:rowOff>
    </xdr:to>
    <xdr:sp macro="" textlink="Processing!O6">
      <xdr:nvSpPr>
        <xdr:cNvPr id="43" name="TextBox 42">
          <a:extLst>
            <a:ext uri="{FF2B5EF4-FFF2-40B4-BE49-F238E27FC236}">
              <a16:creationId xmlns:a16="http://schemas.microsoft.com/office/drawing/2014/main" id="{EDAEDCC4-AD3D-4304-9BB6-68E269BBD604}"/>
            </a:ext>
          </a:extLst>
        </xdr:cNvPr>
        <xdr:cNvSpPr txBox="1"/>
      </xdr:nvSpPr>
      <xdr:spPr>
        <a:xfrm>
          <a:off x="60526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46B628-5347-4F08-A289-BC44383EFD03}" type="TxLink">
            <a:rPr lang="en-US" sz="1400" b="0" i="0" u="none" strike="noStrike">
              <a:solidFill>
                <a:schemeClr val="bg1"/>
              </a:solidFill>
              <a:latin typeface="Aptos Narrow"/>
              <a:ea typeface="+mn-ea"/>
              <a:cs typeface="+mn-cs"/>
            </a:rPr>
            <a:pPr marL="0" indent="0" algn="ctr"/>
            <a:t>25%</a:t>
          </a:fld>
          <a:endParaRPr lang="ru-RU" sz="1400" b="0" i="0" u="none" strike="noStrike">
            <a:solidFill>
              <a:schemeClr val="bg1"/>
            </a:solidFill>
            <a:latin typeface="Aptos Narrow"/>
            <a:ea typeface="+mn-ea"/>
            <a:cs typeface="+mn-cs"/>
          </a:endParaRPr>
        </a:p>
      </xdr:txBody>
    </xdr:sp>
    <xdr:clientData/>
  </xdr:twoCellAnchor>
  <xdr:twoCellAnchor>
    <xdr:from>
      <xdr:col>11</xdr:col>
      <xdr:colOff>579120</xdr:colOff>
      <xdr:row>11</xdr:row>
      <xdr:rowOff>38100</xdr:rowOff>
    </xdr:from>
    <xdr:to>
      <xdr:col>14</xdr:col>
      <xdr:colOff>419100</xdr:colOff>
      <xdr:row>14</xdr:row>
      <xdr:rowOff>76200</xdr:rowOff>
    </xdr:to>
    <xdr:sp macro="" textlink="Processing!M1">
      <xdr:nvSpPr>
        <xdr:cNvPr id="44" name="TextBox 43">
          <a:extLst>
            <a:ext uri="{FF2B5EF4-FFF2-40B4-BE49-F238E27FC236}">
              <a16:creationId xmlns:a16="http://schemas.microsoft.com/office/drawing/2014/main" id="{6A295F03-882F-441D-807E-F00AD3570970}"/>
            </a:ext>
          </a:extLst>
        </xdr:cNvPr>
        <xdr:cNvSpPr txBox="1"/>
      </xdr:nvSpPr>
      <xdr:spPr>
        <a:xfrm>
          <a:off x="728472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5D8EE7-0B37-4CFC-9F7A-8CC3EFE00C68}" type="TxLink">
            <a:rPr lang="en-US" sz="1600" b="0" i="0" u="none" strike="noStrike">
              <a:solidFill>
                <a:schemeClr val="bg1"/>
              </a:solidFill>
              <a:latin typeface="Aptos Narrow"/>
              <a:ea typeface="+mn-ea"/>
              <a:cs typeface="+mn-cs"/>
            </a:rPr>
            <a:pPr marL="0" indent="0"/>
            <a:t>Budget &amp; Cost</a:t>
          </a:fld>
          <a:endParaRPr lang="ru-RU" sz="1600" b="0" i="0" u="none" strike="noStrike">
            <a:solidFill>
              <a:schemeClr val="bg1"/>
            </a:solidFill>
            <a:latin typeface="Aptos Narrow"/>
            <a:ea typeface="+mn-ea"/>
            <a:cs typeface="+mn-cs"/>
          </a:endParaRPr>
        </a:p>
      </xdr:txBody>
    </xdr:sp>
    <xdr:clientData/>
  </xdr:twoCellAnchor>
  <xdr:twoCellAnchor>
    <xdr:from>
      <xdr:col>12</xdr:col>
      <xdr:colOff>137160</xdr:colOff>
      <xdr:row>6</xdr:row>
      <xdr:rowOff>83820</xdr:rowOff>
    </xdr:from>
    <xdr:to>
      <xdr:col>15</xdr:col>
      <xdr:colOff>342900</xdr:colOff>
      <xdr:row>9</xdr:row>
      <xdr:rowOff>175260</xdr:rowOff>
    </xdr:to>
    <xdr:sp macro="" textlink="Processing!M3">
      <xdr:nvSpPr>
        <xdr:cNvPr id="45" name="TextBox 44">
          <a:extLst>
            <a:ext uri="{FF2B5EF4-FFF2-40B4-BE49-F238E27FC236}">
              <a16:creationId xmlns:a16="http://schemas.microsoft.com/office/drawing/2014/main" id="{A712A4EF-7665-4D0F-BDCC-8667E5717C86}"/>
            </a:ext>
          </a:extLst>
        </xdr:cNvPr>
        <xdr:cNvSpPr txBox="1"/>
      </xdr:nvSpPr>
      <xdr:spPr>
        <a:xfrm>
          <a:off x="7452360" y="118110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E018FED-53A2-4BF0-83EC-17170C685B2C}" type="TxLink">
            <a:rPr lang="en-US" sz="3200" b="0" i="0" u="none" strike="noStrike">
              <a:solidFill>
                <a:schemeClr val="bg1"/>
              </a:solidFill>
              <a:latin typeface="Aptos Narrow"/>
              <a:ea typeface="+mn-ea"/>
              <a:cs typeface="+mn-cs"/>
            </a:rPr>
            <a:pPr marL="0" indent="0" algn="r"/>
            <a:t>$400 000</a:t>
          </a:fld>
          <a:endParaRPr lang="ru-RU" sz="7200" b="0" i="0" u="none" strike="noStrike">
            <a:solidFill>
              <a:schemeClr val="bg1"/>
            </a:solidFill>
            <a:latin typeface="Aptos Narrow"/>
            <a:ea typeface="+mn-ea"/>
            <a:cs typeface="+mn-cs"/>
          </a:endParaRPr>
        </a:p>
      </xdr:txBody>
    </xdr:sp>
    <xdr:clientData/>
  </xdr:twoCellAnchor>
  <xdr:twoCellAnchor>
    <xdr:from>
      <xdr:col>12</xdr:col>
      <xdr:colOff>137160</xdr:colOff>
      <xdr:row>8</xdr:row>
      <xdr:rowOff>160020</xdr:rowOff>
    </xdr:from>
    <xdr:to>
      <xdr:col>15</xdr:col>
      <xdr:colOff>342900</xdr:colOff>
      <xdr:row>12</xdr:row>
      <xdr:rowOff>68580</xdr:rowOff>
    </xdr:to>
    <xdr:sp macro="" textlink="Processing!N3">
      <xdr:nvSpPr>
        <xdr:cNvPr id="46" name="TextBox 45">
          <a:extLst>
            <a:ext uri="{FF2B5EF4-FFF2-40B4-BE49-F238E27FC236}">
              <a16:creationId xmlns:a16="http://schemas.microsoft.com/office/drawing/2014/main" id="{DEF93E7E-82CB-4E60-93DD-0BDF019DAE08}"/>
            </a:ext>
          </a:extLst>
        </xdr:cNvPr>
        <xdr:cNvSpPr txBox="1"/>
      </xdr:nvSpPr>
      <xdr:spPr>
        <a:xfrm>
          <a:off x="7452360" y="162306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CF0C5FA-332D-4C23-AD60-50F782A2FC7A}" type="TxLink">
            <a:rPr lang="en-US" sz="2400" b="0" i="0" u="none" strike="noStrike">
              <a:solidFill>
                <a:schemeClr val="accent5">
                  <a:lumMod val="40000"/>
                  <a:lumOff val="60000"/>
                </a:schemeClr>
              </a:solidFill>
              <a:latin typeface="Aptos Narrow"/>
              <a:ea typeface="+mn-ea"/>
              <a:cs typeface="+mn-cs"/>
            </a:rPr>
            <a:pPr marL="0" indent="0" algn="r"/>
            <a:t>-$251 709</a:t>
          </a:fld>
          <a:endParaRPr lang="ru-RU" sz="16600" b="0" i="0" u="none" strike="noStrike">
            <a:solidFill>
              <a:schemeClr val="accent5">
                <a:lumMod val="40000"/>
                <a:lumOff val="60000"/>
              </a:schemeClr>
            </a:solidFill>
            <a:latin typeface="Aptos Narrow"/>
            <a:ea typeface="+mn-ea"/>
            <a:cs typeface="+mn-cs"/>
          </a:endParaRPr>
        </a:p>
      </xdr:txBody>
    </xdr:sp>
    <xdr:clientData/>
  </xdr:twoCellAnchor>
  <xdr:twoCellAnchor>
    <xdr:from>
      <xdr:col>11</xdr:col>
      <xdr:colOff>518160</xdr:colOff>
      <xdr:row>7</xdr:row>
      <xdr:rowOff>144780</xdr:rowOff>
    </xdr:from>
    <xdr:to>
      <xdr:col>13</xdr:col>
      <xdr:colOff>15240</xdr:colOff>
      <xdr:row>9</xdr:row>
      <xdr:rowOff>121920</xdr:rowOff>
    </xdr:to>
    <xdr:sp macro="" textlink="Processing!M2">
      <xdr:nvSpPr>
        <xdr:cNvPr id="47" name="TextBox 46">
          <a:extLst>
            <a:ext uri="{FF2B5EF4-FFF2-40B4-BE49-F238E27FC236}">
              <a16:creationId xmlns:a16="http://schemas.microsoft.com/office/drawing/2014/main" id="{149480AA-3AAE-47D9-9D48-482C7969F527}"/>
            </a:ext>
          </a:extLst>
        </xdr:cNvPr>
        <xdr:cNvSpPr txBox="1"/>
      </xdr:nvSpPr>
      <xdr:spPr>
        <a:xfrm>
          <a:off x="7223760" y="142494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66F0F2-DD26-427E-8D67-676EBE9B0026}" type="TxLink">
            <a:rPr lang="en-US" sz="1100" b="0" i="0" u="none" strike="noStrike">
              <a:solidFill>
                <a:schemeClr val="bg1"/>
              </a:solidFill>
              <a:latin typeface="Aptos Narrow"/>
              <a:ea typeface="+mn-ea"/>
              <a:cs typeface="+mn-cs"/>
            </a:rPr>
            <a:pPr marL="0" indent="0" algn="l"/>
            <a:t>Budget</a:t>
          </a:fld>
          <a:endParaRPr lang="ru-RU" sz="4000" b="0" i="0" u="none" strike="noStrike">
            <a:solidFill>
              <a:schemeClr val="bg1"/>
            </a:solidFill>
            <a:latin typeface="Aptos Narrow"/>
            <a:ea typeface="+mn-ea"/>
            <a:cs typeface="+mn-cs"/>
          </a:endParaRPr>
        </a:p>
      </xdr:txBody>
    </xdr:sp>
    <xdr:clientData/>
  </xdr:twoCellAnchor>
  <xdr:twoCellAnchor>
    <xdr:from>
      <xdr:col>11</xdr:col>
      <xdr:colOff>533400</xdr:colOff>
      <xdr:row>9</xdr:row>
      <xdr:rowOff>129540</xdr:rowOff>
    </xdr:from>
    <xdr:to>
      <xdr:col>13</xdr:col>
      <xdr:colOff>30480</xdr:colOff>
      <xdr:row>11</xdr:row>
      <xdr:rowOff>106680</xdr:rowOff>
    </xdr:to>
    <xdr:sp macro="" textlink="Processing!N2">
      <xdr:nvSpPr>
        <xdr:cNvPr id="48" name="TextBox 47">
          <a:extLst>
            <a:ext uri="{FF2B5EF4-FFF2-40B4-BE49-F238E27FC236}">
              <a16:creationId xmlns:a16="http://schemas.microsoft.com/office/drawing/2014/main" id="{6435A724-1007-4406-9846-899C0335A9CE}"/>
            </a:ext>
          </a:extLst>
        </xdr:cNvPr>
        <xdr:cNvSpPr txBox="1"/>
      </xdr:nvSpPr>
      <xdr:spPr>
        <a:xfrm>
          <a:off x="7239000" y="177546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EC89C0B-96B6-449C-AC24-8E9F7D68E581}" type="TxLink">
            <a:rPr lang="en-US" sz="1100" b="0" i="0" u="none" strike="noStrike">
              <a:solidFill>
                <a:schemeClr val="bg1"/>
              </a:solidFill>
              <a:latin typeface="Aptos Narrow"/>
              <a:ea typeface="+mn-ea"/>
              <a:cs typeface="+mn-cs"/>
            </a:rPr>
            <a:pPr marL="0" indent="0" algn="l"/>
            <a:t>Cost</a:t>
          </a:fld>
          <a:endParaRPr lang="ru-RU" sz="4800" b="0" i="0" u="none" strike="noStrike">
            <a:solidFill>
              <a:schemeClr val="bg1"/>
            </a:solidFill>
            <a:latin typeface="Aptos Narrow"/>
            <a:ea typeface="+mn-ea"/>
            <a:cs typeface="+mn-cs"/>
          </a:endParaRPr>
        </a:p>
      </xdr:txBody>
    </xdr:sp>
    <xdr:clientData/>
  </xdr:twoCellAnchor>
  <xdr:twoCellAnchor editAs="oneCell">
    <xdr:from>
      <xdr:col>3</xdr:col>
      <xdr:colOff>434340</xdr:colOff>
      <xdr:row>3</xdr:row>
      <xdr:rowOff>45720</xdr:rowOff>
    </xdr:from>
    <xdr:to>
      <xdr:col>6</xdr:col>
      <xdr:colOff>434340</xdr:colOff>
      <xdr:row>5</xdr:row>
      <xdr:rowOff>109728</xdr:rowOff>
    </xdr:to>
    <mc:AlternateContent xmlns:mc="http://schemas.openxmlformats.org/markup-compatibility/2006" xmlns:a14="http://schemas.microsoft.com/office/drawing/2010/main">
      <mc:Choice Requires="a14">
        <xdr:graphicFrame macro="">
          <xdr:nvGraphicFramePr>
            <xdr:cNvPr id="49" name="Year 1">
              <a:extLst>
                <a:ext uri="{FF2B5EF4-FFF2-40B4-BE49-F238E27FC236}">
                  <a16:creationId xmlns:a16="http://schemas.microsoft.com/office/drawing/2014/main" id="{60454FAC-ACF8-48F8-93A7-275682ABF61C}"/>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2263140" y="594360"/>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320040</xdr:colOff>
      <xdr:row>34</xdr:row>
      <xdr:rowOff>91440</xdr:rowOff>
    </xdr:from>
    <xdr:to>
      <xdr:col>11</xdr:col>
      <xdr:colOff>198120</xdr:colOff>
      <xdr:row>36</xdr:row>
      <xdr:rowOff>155448</xdr:rowOff>
    </xdr:to>
    <mc:AlternateContent xmlns:mc="http://schemas.openxmlformats.org/markup-compatibility/2006" xmlns:a14="http://schemas.microsoft.com/office/drawing/2010/main">
      <mc:Choice Requires="a14">
        <xdr:graphicFrame macro="">
          <xdr:nvGraphicFramePr>
            <xdr:cNvPr id="50" name="Month 1">
              <a:extLst>
                <a:ext uri="{FF2B5EF4-FFF2-40B4-BE49-F238E27FC236}">
                  <a16:creationId xmlns:a16="http://schemas.microsoft.com/office/drawing/2014/main" id="{0EE564CE-8503-4B77-85CE-F01C5C56991E}"/>
                </a:ext>
              </a:extLst>
            </xdr:cNvPr>
            <xdr:cNvGraphicFramePr/>
          </xdr:nvGraphicFramePr>
          <xdr:xfrm>
            <a:off x="0" y="0"/>
            <a:ext cx="0" cy="0"/>
          </xdr:xfrm>
          <a:graphic>
            <a:graphicData uri="http://schemas.microsoft.com/office/drawing/2010/slicer">
              <sle:slicer xmlns:sle="http://schemas.microsoft.com/office/drawing/2010/slicer" name="Month 1"/>
            </a:graphicData>
          </a:graphic>
        </xdr:graphicFrame>
      </mc:Choice>
      <mc:Fallback xmlns="">
        <xdr:sp macro="" textlink="">
          <xdr:nvSpPr>
            <xdr:cNvPr id="0" name=""/>
            <xdr:cNvSpPr>
              <a:spLocks noTextEdit="1"/>
            </xdr:cNvSpPr>
          </xdr:nvSpPr>
          <xdr:spPr>
            <a:xfrm>
              <a:off x="2148840" y="630936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518160</xdr:colOff>
      <xdr:row>15</xdr:row>
      <xdr:rowOff>137160</xdr:rowOff>
    </xdr:from>
    <xdr:to>
      <xdr:col>11</xdr:col>
      <xdr:colOff>152400</xdr:colOff>
      <xdr:row>17</xdr:row>
      <xdr:rowOff>106680</xdr:rowOff>
    </xdr:to>
    <xdr:sp macro="" textlink="Processing!A14">
      <xdr:nvSpPr>
        <xdr:cNvPr id="51" name="TextBox 50">
          <a:extLst>
            <a:ext uri="{FF2B5EF4-FFF2-40B4-BE49-F238E27FC236}">
              <a16:creationId xmlns:a16="http://schemas.microsoft.com/office/drawing/2014/main" id="{8717AD9C-2341-40FA-944C-157AD5ED9328}"/>
            </a:ext>
          </a:extLst>
        </xdr:cNvPr>
        <xdr:cNvSpPr txBox="1"/>
      </xdr:nvSpPr>
      <xdr:spPr>
        <a:xfrm>
          <a:off x="4785360" y="2880360"/>
          <a:ext cx="20726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49DC943-B6BD-4E23-BB23-AE4FFB93C5AB}" type="TxLink">
            <a:rPr lang="en-US" sz="1800" b="0" i="0" u="none" strike="noStrike">
              <a:solidFill>
                <a:schemeClr val="bg1"/>
              </a:solidFill>
              <a:latin typeface="Aptos Narrow"/>
              <a:ea typeface="+mn-ea"/>
              <a:cs typeface="+mn-cs"/>
            </a:rPr>
            <a:pPr marL="0" indent="0" algn="r"/>
            <a:t>Burndown Chart</a:t>
          </a:fld>
          <a:endParaRPr lang="ru-RU" sz="2800" b="0" i="0" u="none" strike="noStrike">
            <a:solidFill>
              <a:schemeClr val="bg1"/>
            </a:solidFill>
            <a:latin typeface="Aptos Narrow"/>
            <a:ea typeface="+mn-ea"/>
            <a:cs typeface="+mn-cs"/>
          </a:endParaRPr>
        </a:p>
      </xdr:txBody>
    </xdr:sp>
    <xdr:clientData/>
  </xdr:twoCellAnchor>
  <xdr:twoCellAnchor>
    <xdr:from>
      <xdr:col>12</xdr:col>
      <xdr:colOff>220980</xdr:colOff>
      <xdr:row>15</xdr:row>
      <xdr:rowOff>99060</xdr:rowOff>
    </xdr:from>
    <xdr:to>
      <xdr:col>15</xdr:col>
      <xdr:colOff>60960</xdr:colOff>
      <xdr:row>17</xdr:row>
      <xdr:rowOff>68580</xdr:rowOff>
    </xdr:to>
    <xdr:sp macro="" textlink="Processing!G7">
      <xdr:nvSpPr>
        <xdr:cNvPr id="52" name="TextBox 51">
          <a:extLst>
            <a:ext uri="{FF2B5EF4-FFF2-40B4-BE49-F238E27FC236}">
              <a16:creationId xmlns:a16="http://schemas.microsoft.com/office/drawing/2014/main" id="{12853A1F-8FA8-4219-BB18-28E884D6B376}"/>
            </a:ext>
          </a:extLst>
        </xdr:cNvPr>
        <xdr:cNvSpPr txBox="1"/>
      </xdr:nvSpPr>
      <xdr:spPr>
        <a:xfrm>
          <a:off x="7536180"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882DA-B714-4953-B768-C0F4C0048482}" type="TxLink">
            <a:rPr lang="en-US" sz="1400" b="0" i="0" u="none" strike="noStrike">
              <a:solidFill>
                <a:schemeClr val="bg1"/>
              </a:solidFill>
              <a:latin typeface="Aptos Narrow"/>
              <a:ea typeface="+mn-ea"/>
              <a:cs typeface="+mn-cs"/>
            </a:rPr>
            <a:pPr marL="0" indent="0" algn="ctr"/>
            <a:t>Probability of Risk</a:t>
          </a:fld>
          <a:endParaRPr lang="ru-RU" sz="2800" b="0" i="0" u="none" strike="noStrike">
            <a:solidFill>
              <a:schemeClr val="bg1"/>
            </a:solidFill>
            <a:latin typeface="Aptos Narrow"/>
            <a:ea typeface="+mn-ea"/>
            <a:cs typeface="+mn-cs"/>
          </a:endParaRPr>
        </a:p>
      </xdr:txBody>
    </xdr:sp>
    <xdr:clientData/>
  </xdr:twoCellAnchor>
  <xdr:twoCellAnchor>
    <xdr:from>
      <xdr:col>16</xdr:col>
      <xdr:colOff>326898</xdr:colOff>
      <xdr:row>15</xdr:row>
      <xdr:rowOff>99060</xdr:rowOff>
    </xdr:from>
    <xdr:to>
      <xdr:col>19</xdr:col>
      <xdr:colOff>166878</xdr:colOff>
      <xdr:row>17</xdr:row>
      <xdr:rowOff>68580</xdr:rowOff>
    </xdr:to>
    <xdr:sp macro="" textlink="Processing!G7">
      <xdr:nvSpPr>
        <xdr:cNvPr id="53" name="TextBox 52">
          <a:extLst>
            <a:ext uri="{FF2B5EF4-FFF2-40B4-BE49-F238E27FC236}">
              <a16:creationId xmlns:a16="http://schemas.microsoft.com/office/drawing/2014/main" id="{16F1B361-15DC-4E4F-84B3-B1F6522E5A82}"/>
            </a:ext>
          </a:extLst>
        </xdr:cNvPr>
        <xdr:cNvSpPr txBox="1"/>
      </xdr:nvSpPr>
      <xdr:spPr>
        <a:xfrm>
          <a:off x="10080498"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882DA-B714-4953-B768-C0F4C0048482}" type="TxLink">
            <a:rPr lang="en-US" sz="1400" b="0" i="0" u="none" strike="noStrike">
              <a:solidFill>
                <a:schemeClr val="bg1"/>
              </a:solidFill>
              <a:latin typeface="Aptos Narrow"/>
              <a:ea typeface="+mn-ea"/>
              <a:cs typeface="+mn-cs"/>
            </a:rPr>
            <a:pPr marL="0" indent="0" algn="ctr"/>
            <a:t>Probability of Risk</a:t>
          </a:fld>
          <a:endParaRPr lang="ru-RU" sz="2800" b="0" i="0" u="none" strike="noStrike">
            <a:solidFill>
              <a:schemeClr val="bg1"/>
            </a:solidFill>
            <a:latin typeface="Aptos Narrow"/>
            <a:ea typeface="+mn-ea"/>
            <a:cs typeface="+mn-cs"/>
          </a:endParaRPr>
        </a:p>
      </xdr:txBody>
    </xdr:sp>
    <xdr:clientData/>
  </xdr:twoCellAnchor>
  <xdr:twoCellAnchor>
    <xdr:from>
      <xdr:col>11</xdr:col>
      <xdr:colOff>586740</xdr:colOff>
      <xdr:row>27</xdr:row>
      <xdr:rowOff>38100</xdr:rowOff>
    </xdr:from>
    <xdr:to>
      <xdr:col>14</xdr:col>
      <xdr:colOff>220980</xdr:colOff>
      <xdr:row>29</xdr:row>
      <xdr:rowOff>7620</xdr:rowOff>
    </xdr:to>
    <xdr:sp macro="" textlink="Processing!A30">
      <xdr:nvSpPr>
        <xdr:cNvPr id="57" name="TextBox 56">
          <a:extLst>
            <a:ext uri="{FF2B5EF4-FFF2-40B4-BE49-F238E27FC236}">
              <a16:creationId xmlns:a16="http://schemas.microsoft.com/office/drawing/2014/main" id="{2631A7FD-4FAA-4CC7-91FF-05F905DE68C5}"/>
            </a:ext>
          </a:extLst>
        </xdr:cNvPr>
        <xdr:cNvSpPr txBox="1"/>
      </xdr:nvSpPr>
      <xdr:spPr>
        <a:xfrm>
          <a:off x="7292340" y="49758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0A6B1CF-986B-4FD1-B447-14AE1CCBDC6B}" type="TxLink">
            <a:rPr lang="en-US" sz="1400" b="0" i="0" u="none" strike="noStrike">
              <a:solidFill>
                <a:schemeClr val="bg1"/>
              </a:solidFill>
              <a:latin typeface="Aptos Narrow"/>
              <a:ea typeface="+mn-ea"/>
              <a:cs typeface="+mn-cs"/>
            </a:rPr>
            <a:pPr marL="0" indent="0" algn="l"/>
            <a:t>Monthly Expenses</a:t>
          </a:fld>
          <a:endParaRPr lang="ru-RU" sz="1400" b="0" i="0" u="none" strike="noStrike">
            <a:solidFill>
              <a:schemeClr val="bg1"/>
            </a:solidFill>
            <a:latin typeface="Aptos Narrow"/>
            <a:ea typeface="+mn-ea"/>
            <a:cs typeface="+mn-cs"/>
          </a:endParaRPr>
        </a:p>
      </xdr:txBody>
    </xdr:sp>
    <xdr:clientData/>
  </xdr:twoCellAnchor>
  <xdr:twoCellAnchor>
    <xdr:from>
      <xdr:col>17</xdr:col>
      <xdr:colOff>147136</xdr:colOff>
      <xdr:row>8</xdr:row>
      <xdr:rowOff>953</xdr:rowOff>
    </xdr:from>
    <xdr:to>
      <xdr:col>18</xdr:col>
      <xdr:colOff>393884</xdr:colOff>
      <xdr:row>10</xdr:row>
      <xdr:rowOff>6668</xdr:rowOff>
    </xdr:to>
    <xdr:sp macro="" textlink="Processing!N1">
      <xdr:nvSpPr>
        <xdr:cNvPr id="60" name="TextBox 59">
          <a:extLst>
            <a:ext uri="{FF2B5EF4-FFF2-40B4-BE49-F238E27FC236}">
              <a16:creationId xmlns:a16="http://schemas.microsoft.com/office/drawing/2014/main" id="{68370BCD-B865-4F18-AF9D-9053D51423CF}"/>
            </a:ext>
          </a:extLst>
        </xdr:cNvPr>
        <xdr:cNvSpPr txBox="1"/>
      </xdr:nvSpPr>
      <xdr:spPr>
        <a:xfrm>
          <a:off x="10510336" y="146399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9BF496-A9D2-4E15-BCAB-39BC5804DCD2}" type="TxLink">
            <a:rPr lang="en-US" sz="2400" b="0" i="0" u="none" strike="noStrike">
              <a:solidFill>
                <a:schemeClr val="tx2">
                  <a:lumMod val="10000"/>
                  <a:lumOff val="90000"/>
                </a:schemeClr>
              </a:solidFill>
              <a:latin typeface="Aptos Narrow"/>
              <a:ea typeface="+mn-ea"/>
              <a:cs typeface="+mn-cs"/>
            </a:rPr>
            <a:pPr marL="0" indent="0" algn="ctr"/>
            <a:t>37%</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xdr:from>
      <xdr:col>17</xdr:col>
      <xdr:colOff>147136</xdr:colOff>
      <xdr:row>9</xdr:row>
      <xdr:rowOff>54293</xdr:rowOff>
    </xdr:from>
    <xdr:to>
      <xdr:col>18</xdr:col>
      <xdr:colOff>393884</xdr:colOff>
      <xdr:row>11</xdr:row>
      <xdr:rowOff>60008</xdr:rowOff>
    </xdr:to>
    <xdr:sp macro="" textlink="Processing!M2">
      <xdr:nvSpPr>
        <xdr:cNvPr id="61" name="TextBox 60">
          <a:extLst>
            <a:ext uri="{FF2B5EF4-FFF2-40B4-BE49-F238E27FC236}">
              <a16:creationId xmlns:a16="http://schemas.microsoft.com/office/drawing/2014/main" id="{A4DCDBA2-EB22-403D-8319-57E06497D1F4}"/>
            </a:ext>
          </a:extLst>
        </xdr:cNvPr>
        <xdr:cNvSpPr txBox="1"/>
      </xdr:nvSpPr>
      <xdr:spPr>
        <a:xfrm>
          <a:off x="105103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75CF99-E146-4C69-9413-E960205988BC}" type="TxLink">
            <a:rPr lang="en-US" sz="1100" b="0" i="0" u="none" strike="noStrike">
              <a:solidFill>
                <a:schemeClr val="tx2">
                  <a:lumMod val="10000"/>
                  <a:lumOff val="90000"/>
                </a:schemeClr>
              </a:solidFill>
              <a:latin typeface="Aptos Narrow"/>
              <a:ea typeface="+mn-ea"/>
              <a:cs typeface="+mn-cs"/>
            </a:rPr>
            <a:pPr marL="0" indent="0" algn="ctr"/>
            <a:t>Budget</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18" name="Graphic 17" descr="Home with solid fill">
          <a:hlinkClick xmlns:r="http://schemas.openxmlformats.org/officeDocument/2006/relationships" r:id="rId8"/>
          <a:extLst>
            <a:ext uri="{FF2B5EF4-FFF2-40B4-BE49-F238E27FC236}">
              <a16:creationId xmlns:a16="http://schemas.microsoft.com/office/drawing/2014/main" id="{E45269CF-04B7-4C5E-9E40-BF6EBDE762A6}"/>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600" y="182880"/>
          <a:ext cx="274320" cy="274320"/>
        </a:xfrm>
        <a:prstGeom prst="rect">
          <a:avLst/>
        </a:prstGeom>
        <a:effectLst/>
      </xdr:spPr>
    </xdr:pic>
    <xdr:clientData/>
  </xdr:twoCellAnchor>
  <xdr:twoCellAnchor>
    <xdr:from>
      <xdr:col>0</xdr:col>
      <xdr:colOff>0</xdr:colOff>
      <xdr:row>0</xdr:row>
      <xdr:rowOff>0</xdr:rowOff>
    </xdr:from>
    <xdr:to>
      <xdr:col>1</xdr:col>
      <xdr:colOff>30480</xdr:colOff>
      <xdr:row>1</xdr:row>
      <xdr:rowOff>152400</xdr:rowOff>
    </xdr:to>
    <xdr:sp macro="" textlink="">
      <xdr:nvSpPr>
        <xdr:cNvPr id="30" name="Rectangle 29">
          <a:extLst>
            <a:ext uri="{FF2B5EF4-FFF2-40B4-BE49-F238E27FC236}">
              <a16:creationId xmlns:a16="http://schemas.microsoft.com/office/drawing/2014/main" id="{38BC147F-0629-47FA-AC32-6521F1A72A9E}"/>
            </a:ext>
          </a:extLst>
        </xdr:cNvPr>
        <xdr:cNvSpPr/>
      </xdr:nvSpPr>
      <xdr:spPr>
        <a:xfrm>
          <a:off x="0" y="0"/>
          <a:ext cx="640080" cy="335280"/>
        </a:xfrm>
        <a:prstGeom prst="rect">
          <a:avLst/>
        </a:pr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220980</xdr:colOff>
      <xdr:row>6</xdr:row>
      <xdr:rowOff>91440</xdr:rowOff>
    </xdr:from>
    <xdr:to>
      <xdr:col>7</xdr:col>
      <xdr:colOff>129540</xdr:colOff>
      <xdr:row>13</xdr:row>
      <xdr:rowOff>160020</xdr:rowOff>
    </xdr:to>
    <xdr:sp macro="" textlink="">
      <xdr:nvSpPr>
        <xdr:cNvPr id="31" name="Rectangle: Rounded Corners 30">
          <a:hlinkClick xmlns:r="http://schemas.openxmlformats.org/officeDocument/2006/relationships" r:id="rId11"/>
          <a:extLst>
            <a:ext uri="{FF2B5EF4-FFF2-40B4-BE49-F238E27FC236}">
              <a16:creationId xmlns:a16="http://schemas.microsoft.com/office/drawing/2014/main" id="{25DEC14D-E8C5-F903-8EF6-0442FF1BF291}"/>
            </a:ext>
          </a:extLst>
        </xdr:cNvPr>
        <xdr:cNvSpPr/>
      </xdr:nvSpPr>
      <xdr:spPr>
        <a:xfrm>
          <a:off x="2049780" y="118872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342900</xdr:colOff>
      <xdr:row>6</xdr:row>
      <xdr:rowOff>91440</xdr:rowOff>
    </xdr:from>
    <xdr:to>
      <xdr:col>11</xdr:col>
      <xdr:colOff>251460</xdr:colOff>
      <xdr:row>13</xdr:row>
      <xdr:rowOff>160020</xdr:rowOff>
    </xdr:to>
    <xdr:sp macro="" textlink="">
      <xdr:nvSpPr>
        <xdr:cNvPr id="32" name="Rectangle: Rounded Corners 31">
          <a:hlinkClick xmlns:r="http://schemas.openxmlformats.org/officeDocument/2006/relationships" r:id="rId12"/>
          <a:extLst>
            <a:ext uri="{FF2B5EF4-FFF2-40B4-BE49-F238E27FC236}">
              <a16:creationId xmlns:a16="http://schemas.microsoft.com/office/drawing/2014/main" id="{EC12BBC9-87B8-FDD2-766C-7DF77CC0BA78}"/>
            </a:ext>
          </a:extLst>
        </xdr:cNvPr>
        <xdr:cNvSpPr/>
      </xdr:nvSpPr>
      <xdr:spPr>
        <a:xfrm>
          <a:off x="4610100" y="118872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472440</xdr:colOff>
      <xdr:row>6</xdr:row>
      <xdr:rowOff>91440</xdr:rowOff>
    </xdr:from>
    <xdr:to>
      <xdr:col>15</xdr:col>
      <xdr:colOff>381000</xdr:colOff>
      <xdr:row>13</xdr:row>
      <xdr:rowOff>160020</xdr:rowOff>
    </xdr:to>
    <xdr:sp macro="" textlink="">
      <xdr:nvSpPr>
        <xdr:cNvPr id="33" name="Rectangle: Rounded Corners 32">
          <a:hlinkClick xmlns:r="http://schemas.openxmlformats.org/officeDocument/2006/relationships" r:id="rId13"/>
          <a:extLst>
            <a:ext uri="{FF2B5EF4-FFF2-40B4-BE49-F238E27FC236}">
              <a16:creationId xmlns:a16="http://schemas.microsoft.com/office/drawing/2014/main" id="{BD3132BA-4922-A468-0137-A68717FEC11E}"/>
            </a:ext>
          </a:extLst>
        </xdr:cNvPr>
        <xdr:cNvSpPr/>
      </xdr:nvSpPr>
      <xdr:spPr>
        <a:xfrm>
          <a:off x="7178040" y="118872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320040</xdr:colOff>
      <xdr:row>3</xdr:row>
      <xdr:rowOff>34080</xdr:rowOff>
    </xdr:from>
    <xdr:to>
      <xdr:col>11</xdr:col>
      <xdr:colOff>274320</xdr:colOff>
      <xdr:row>6</xdr:row>
      <xdr:rowOff>110709</xdr:rowOff>
    </xdr:to>
    <xdr:graphicFrame macro="">
      <xdr:nvGraphicFramePr>
        <xdr:cNvPr id="34" name="Chart 33">
          <a:extLst>
            <a:ext uri="{FF2B5EF4-FFF2-40B4-BE49-F238E27FC236}">
              <a16:creationId xmlns:a16="http://schemas.microsoft.com/office/drawing/2014/main" id="{109AC9E0-E1FA-4E6B-9A69-D03F56D141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398596</xdr:colOff>
      <xdr:row>2</xdr:row>
      <xdr:rowOff>137160</xdr:rowOff>
    </xdr:from>
    <xdr:to>
      <xdr:col>9</xdr:col>
      <xdr:colOff>35744</xdr:colOff>
      <xdr:row>4</xdr:row>
      <xdr:rowOff>23301</xdr:rowOff>
    </xdr:to>
    <xdr:sp macro="" textlink="Processing!L25">
      <xdr:nvSpPr>
        <xdr:cNvPr id="54" name="TextBox 53">
          <a:extLst>
            <a:ext uri="{FF2B5EF4-FFF2-40B4-BE49-F238E27FC236}">
              <a16:creationId xmlns:a16="http://schemas.microsoft.com/office/drawing/2014/main" id="{0693DD94-8E06-4057-9B97-93BDF341A893}"/>
            </a:ext>
          </a:extLst>
        </xdr:cNvPr>
        <xdr:cNvSpPr txBox="1"/>
      </xdr:nvSpPr>
      <xdr:spPr>
        <a:xfrm>
          <a:off x="466579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E048EC1-626B-4535-9795-15527FBB8A18}" type="TxLink">
            <a:rPr lang="en-US" sz="1000" b="0" i="0" u="none" strike="noStrike">
              <a:solidFill>
                <a:schemeClr val="tx2">
                  <a:lumMod val="10000"/>
                  <a:lumOff val="90000"/>
                </a:schemeClr>
              </a:solidFill>
              <a:latin typeface="Aptos Narrow"/>
              <a:ea typeface="+mn-ea"/>
              <a:cs typeface="+mn-cs"/>
            </a:rPr>
            <a:pPr marL="0" indent="0" algn="ctr"/>
            <a:t>Prototype 1</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8</xdr:col>
      <xdr:colOff>490036</xdr:colOff>
      <xdr:row>2</xdr:row>
      <xdr:rowOff>137160</xdr:rowOff>
    </xdr:from>
    <xdr:to>
      <xdr:col>10</xdr:col>
      <xdr:colOff>127184</xdr:colOff>
      <xdr:row>4</xdr:row>
      <xdr:rowOff>23301</xdr:rowOff>
    </xdr:to>
    <xdr:sp macro="" textlink="Processing!L26">
      <xdr:nvSpPr>
        <xdr:cNvPr id="55" name="TextBox 54">
          <a:extLst>
            <a:ext uri="{FF2B5EF4-FFF2-40B4-BE49-F238E27FC236}">
              <a16:creationId xmlns:a16="http://schemas.microsoft.com/office/drawing/2014/main" id="{3D429CBD-99A5-483E-B82F-3B9BA7FA98D5}"/>
            </a:ext>
          </a:extLst>
        </xdr:cNvPr>
        <xdr:cNvSpPr txBox="1"/>
      </xdr:nvSpPr>
      <xdr:spPr>
        <a:xfrm>
          <a:off x="536683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BA16A-346B-48D7-B984-8F33C8C861EB}"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9</xdr:col>
      <xdr:colOff>581476</xdr:colOff>
      <xdr:row>2</xdr:row>
      <xdr:rowOff>137160</xdr:rowOff>
    </xdr:from>
    <xdr:to>
      <xdr:col>11</xdr:col>
      <xdr:colOff>218624</xdr:colOff>
      <xdr:row>4</xdr:row>
      <xdr:rowOff>23301</xdr:rowOff>
    </xdr:to>
    <xdr:sp macro="" textlink="Processing!L27">
      <xdr:nvSpPr>
        <xdr:cNvPr id="56" name="TextBox 55">
          <a:extLst>
            <a:ext uri="{FF2B5EF4-FFF2-40B4-BE49-F238E27FC236}">
              <a16:creationId xmlns:a16="http://schemas.microsoft.com/office/drawing/2014/main" id="{A63774B2-3B10-48C5-986B-DFA8C2689E29}"/>
            </a:ext>
          </a:extLst>
        </xdr:cNvPr>
        <xdr:cNvSpPr txBox="1"/>
      </xdr:nvSpPr>
      <xdr:spPr>
        <a:xfrm>
          <a:off x="606787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F1CCF5-A163-49E2-878C-369D12AA2B85}"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566998</xdr:colOff>
      <xdr:row>3</xdr:row>
      <xdr:rowOff>10958</xdr:rowOff>
    </xdr:from>
    <xdr:to>
      <xdr:col>8</xdr:col>
      <xdr:colOff>476943</xdr:colOff>
      <xdr:row>5</xdr:row>
      <xdr:rowOff>88543</xdr:rowOff>
    </xdr:to>
    <xdr:sp macro="" textlink="">
      <xdr:nvSpPr>
        <xdr:cNvPr id="58" name="Rectangle: Rounded Corners 57">
          <a:hlinkClick xmlns:r="http://schemas.openxmlformats.org/officeDocument/2006/relationships" r:id="rId15"/>
          <a:extLst>
            <a:ext uri="{FF2B5EF4-FFF2-40B4-BE49-F238E27FC236}">
              <a16:creationId xmlns:a16="http://schemas.microsoft.com/office/drawing/2014/main" id="{893659DA-171A-4D8F-B0BB-91F66E989DC7}"/>
            </a:ext>
          </a:extLst>
        </xdr:cNvPr>
        <xdr:cNvSpPr/>
      </xdr:nvSpPr>
      <xdr:spPr>
        <a:xfrm>
          <a:off x="483419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41218</xdr:colOff>
      <xdr:row>3</xdr:row>
      <xdr:rowOff>10958</xdr:rowOff>
    </xdr:from>
    <xdr:to>
      <xdr:col>9</xdr:col>
      <xdr:colOff>560763</xdr:colOff>
      <xdr:row>5</xdr:row>
      <xdr:rowOff>88543</xdr:rowOff>
    </xdr:to>
    <xdr:sp macro="" textlink="">
      <xdr:nvSpPr>
        <xdr:cNvPr id="59" name="Rectangle: Rounded Corners 58">
          <a:hlinkClick xmlns:r="http://schemas.openxmlformats.org/officeDocument/2006/relationships" r:id="rId16"/>
          <a:extLst>
            <a:ext uri="{FF2B5EF4-FFF2-40B4-BE49-F238E27FC236}">
              <a16:creationId xmlns:a16="http://schemas.microsoft.com/office/drawing/2014/main" id="{71B318AD-891B-48BB-A1B5-78C0017EE19C}"/>
            </a:ext>
          </a:extLst>
        </xdr:cNvPr>
        <xdr:cNvSpPr/>
      </xdr:nvSpPr>
      <xdr:spPr>
        <a:xfrm>
          <a:off x="552761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125038</xdr:colOff>
      <xdr:row>3</xdr:row>
      <xdr:rowOff>10958</xdr:rowOff>
    </xdr:from>
    <xdr:to>
      <xdr:col>11</xdr:col>
      <xdr:colOff>34983</xdr:colOff>
      <xdr:row>5</xdr:row>
      <xdr:rowOff>88543</xdr:rowOff>
    </xdr:to>
    <xdr:sp macro="" textlink="">
      <xdr:nvSpPr>
        <xdr:cNvPr id="62" name="Rectangle: Rounded Corners 61">
          <a:hlinkClick xmlns:r="http://schemas.openxmlformats.org/officeDocument/2006/relationships" r:id="rId17"/>
          <a:extLst>
            <a:ext uri="{FF2B5EF4-FFF2-40B4-BE49-F238E27FC236}">
              <a16:creationId xmlns:a16="http://schemas.microsoft.com/office/drawing/2014/main" id="{0BB1FBBB-8BC3-4CD7-96FA-46CDE8976743}"/>
            </a:ext>
          </a:extLst>
        </xdr:cNvPr>
        <xdr:cNvSpPr/>
      </xdr:nvSpPr>
      <xdr:spPr>
        <a:xfrm>
          <a:off x="622103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99060</xdr:colOff>
      <xdr:row>17</xdr:row>
      <xdr:rowOff>129540</xdr:rowOff>
    </xdr:from>
    <xdr:to>
      <xdr:col>9</xdr:col>
      <xdr:colOff>0</xdr:colOff>
      <xdr:row>19</xdr:row>
      <xdr:rowOff>99060</xdr:rowOff>
    </xdr:to>
    <xdr:sp macro="" textlink="Processing!M10">
      <xdr:nvSpPr>
        <xdr:cNvPr id="17" name="TextBox 16">
          <a:extLst>
            <a:ext uri="{FF2B5EF4-FFF2-40B4-BE49-F238E27FC236}">
              <a16:creationId xmlns:a16="http://schemas.microsoft.com/office/drawing/2014/main" id="{2650114B-BF66-93CA-ADA0-5EE644872C12}"/>
            </a:ext>
          </a:extLst>
        </xdr:cNvPr>
        <xdr:cNvSpPr txBox="1"/>
      </xdr:nvSpPr>
      <xdr:spPr>
        <a:xfrm>
          <a:off x="4366260" y="3238500"/>
          <a:ext cx="11201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EDA5446-1F54-4673-B817-105859AC3724}" type="TxLink">
            <a:rPr lang="en-US" sz="1800" b="0" i="0" u="none" strike="noStrike">
              <a:solidFill>
                <a:schemeClr val="bg1"/>
              </a:solidFill>
              <a:latin typeface="Aptos Narrow"/>
              <a:ea typeface="+mn-ea"/>
              <a:cs typeface="+mn-cs"/>
            </a:rPr>
            <a:pPr marL="0" indent="0" algn="r"/>
            <a:t>80</a:t>
          </a:fld>
          <a:endParaRPr lang="ru-RU" sz="3600" b="0" i="0" u="none" strike="noStrike">
            <a:solidFill>
              <a:schemeClr val="bg1"/>
            </a:solidFill>
            <a:latin typeface="Aptos Narrow"/>
            <a:ea typeface="+mn-ea"/>
            <a:cs typeface="+mn-cs"/>
          </a:endParaRPr>
        </a:p>
      </xdr:txBody>
    </xdr:sp>
    <xdr:clientData/>
  </xdr:twoCellAnchor>
  <xdr:twoCellAnchor>
    <xdr:from>
      <xdr:col>8</xdr:col>
      <xdr:colOff>548640</xdr:colOff>
      <xdr:row>17</xdr:row>
      <xdr:rowOff>129540</xdr:rowOff>
    </xdr:from>
    <xdr:to>
      <xdr:col>11</xdr:col>
      <xdr:colOff>152400</xdr:colOff>
      <xdr:row>19</xdr:row>
      <xdr:rowOff>99060</xdr:rowOff>
    </xdr:to>
    <xdr:sp macro="" textlink="Processing!M9">
      <xdr:nvSpPr>
        <xdr:cNvPr id="63" name="TextBox 62">
          <a:extLst>
            <a:ext uri="{FF2B5EF4-FFF2-40B4-BE49-F238E27FC236}">
              <a16:creationId xmlns:a16="http://schemas.microsoft.com/office/drawing/2014/main" id="{4A363122-6E37-B673-074E-9FC5AA47B958}"/>
            </a:ext>
          </a:extLst>
        </xdr:cNvPr>
        <xdr:cNvSpPr txBox="1"/>
      </xdr:nvSpPr>
      <xdr:spPr>
        <a:xfrm>
          <a:off x="5425440" y="3238500"/>
          <a:ext cx="143256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E20820B-7E93-4BFC-BE10-3793E0B82549}" type="TxLink">
            <a:rPr lang="en-US" sz="1400" b="0" i="0" u="none" strike="noStrike">
              <a:solidFill>
                <a:schemeClr val="bg1"/>
              </a:solidFill>
              <a:latin typeface="Aptos Narrow"/>
              <a:ea typeface="+mn-ea"/>
              <a:cs typeface="+mn-cs"/>
            </a:rPr>
            <a:pPr marL="0" indent="0" algn="r"/>
            <a:t>Tasks Completed</a:t>
          </a:fld>
          <a:endParaRPr lang="ru-RU" sz="4400" b="0" i="0" u="none" strike="noStrike">
            <a:solidFill>
              <a:schemeClr val="bg1"/>
            </a:solidFill>
            <a:latin typeface="Aptos Narrow"/>
            <a:ea typeface="+mn-ea"/>
            <a:cs typeface="+mn-cs"/>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2</xdr:col>
      <xdr:colOff>397459</xdr:colOff>
      <xdr:row>2</xdr:row>
      <xdr:rowOff>45720</xdr:rowOff>
    </xdr:from>
    <xdr:to>
      <xdr:col>20</xdr:col>
      <xdr:colOff>306019</xdr:colOff>
      <xdr:row>39</xdr:row>
      <xdr:rowOff>137160</xdr:rowOff>
    </xdr:to>
    <xdr:sp macro="" textlink="">
      <xdr:nvSpPr>
        <xdr:cNvPr id="2" name="Rectangle: Rounded Corners 1">
          <a:extLst>
            <a:ext uri="{FF2B5EF4-FFF2-40B4-BE49-F238E27FC236}">
              <a16:creationId xmlns:a16="http://schemas.microsoft.com/office/drawing/2014/main" id="{ECE72EAC-C5D0-4E78-AC32-A9211F3DCF1A}"/>
            </a:ext>
          </a:extLst>
        </xdr:cNvPr>
        <xdr:cNvSpPr/>
      </xdr:nvSpPr>
      <xdr:spPr>
        <a:xfrm>
          <a:off x="1616659" y="411480"/>
          <a:ext cx="10881360" cy="6858000"/>
        </a:xfrm>
        <a:prstGeom prst="roundRect">
          <a:avLst>
            <a:gd name="adj" fmla="val 3653"/>
          </a:avLst>
        </a:prstGeom>
        <a:gradFill flip="none" rotWithShape="1">
          <a:gsLst>
            <a:gs pos="2000">
              <a:srgbClr val="1B2A87"/>
            </a:gs>
            <a:gs pos="31000">
              <a:srgbClr val="0A002F"/>
            </a:gs>
            <a:gs pos="100000">
              <a:srgbClr val="18013D"/>
            </a:gs>
          </a:gsLst>
          <a:lin ang="81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460248</xdr:colOff>
      <xdr:row>6</xdr:row>
      <xdr:rowOff>83820</xdr:rowOff>
    </xdr:from>
    <xdr:to>
      <xdr:col>15</xdr:col>
      <xdr:colOff>399288</xdr:colOff>
      <xdr:row>13</xdr:row>
      <xdr:rowOff>175260</xdr:rowOff>
    </xdr:to>
    <xdr:grpSp>
      <xdr:nvGrpSpPr>
        <xdr:cNvPr id="3" name="Group 2">
          <a:extLst>
            <a:ext uri="{FF2B5EF4-FFF2-40B4-BE49-F238E27FC236}">
              <a16:creationId xmlns:a16="http://schemas.microsoft.com/office/drawing/2014/main" id="{DFCA215D-0121-4635-B8D1-A0B5D3D64CE4}"/>
            </a:ext>
          </a:extLst>
        </xdr:cNvPr>
        <xdr:cNvGrpSpPr/>
      </xdr:nvGrpSpPr>
      <xdr:grpSpPr>
        <a:xfrm>
          <a:off x="6979581" y="1226820"/>
          <a:ext cx="2309707" cy="1424940"/>
          <a:chOff x="7162800" y="3121152"/>
          <a:chExt cx="1908048" cy="1347216"/>
        </a:xfrm>
        <a:effectLst>
          <a:outerShdw blurRad="254000" dist="127000" dir="8100000" algn="tr" rotWithShape="0">
            <a:prstClr val="black">
              <a:alpha val="90000"/>
            </a:prstClr>
          </a:outerShdw>
        </a:effectLst>
      </xdr:grpSpPr>
      <xdr:sp macro="" textlink="">
        <xdr:nvSpPr>
          <xdr:cNvPr id="4" name="Rectangle: Rounded Corners 3">
            <a:extLst>
              <a:ext uri="{FF2B5EF4-FFF2-40B4-BE49-F238E27FC236}">
                <a16:creationId xmlns:a16="http://schemas.microsoft.com/office/drawing/2014/main" id="{4371735F-EB81-1B67-CA48-11EE0CE6EA19}"/>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 name="Rectangle: Rounded Corners 4">
            <a:extLst>
              <a:ext uri="{FF2B5EF4-FFF2-40B4-BE49-F238E27FC236}">
                <a16:creationId xmlns:a16="http://schemas.microsoft.com/office/drawing/2014/main" id="{2F285C7C-F0EB-C487-C5A5-21242AB4C3E0}"/>
              </a:ext>
            </a:extLst>
          </xdr:cNvPr>
          <xdr:cNvSpPr/>
        </xdr:nvSpPr>
        <xdr:spPr>
          <a:xfrm>
            <a:off x="7162800" y="3121152"/>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327660</xdr:colOff>
      <xdr:row>6</xdr:row>
      <xdr:rowOff>83820</xdr:rowOff>
    </xdr:from>
    <xdr:to>
      <xdr:col>11</xdr:col>
      <xdr:colOff>266700</xdr:colOff>
      <xdr:row>13</xdr:row>
      <xdr:rowOff>175260</xdr:rowOff>
    </xdr:to>
    <xdr:grpSp>
      <xdr:nvGrpSpPr>
        <xdr:cNvPr id="6" name="Group 5">
          <a:extLst>
            <a:ext uri="{FF2B5EF4-FFF2-40B4-BE49-F238E27FC236}">
              <a16:creationId xmlns:a16="http://schemas.microsoft.com/office/drawing/2014/main" id="{5B293FBB-1F38-4488-855F-376F89E9E9D8}"/>
            </a:ext>
          </a:extLst>
        </xdr:cNvPr>
        <xdr:cNvGrpSpPr/>
      </xdr:nvGrpSpPr>
      <xdr:grpSpPr>
        <a:xfrm>
          <a:off x="4476327" y="1226820"/>
          <a:ext cx="2309706" cy="1424940"/>
          <a:chOff x="5141976" y="3121152"/>
          <a:chExt cx="1908048" cy="1347216"/>
        </a:xfrm>
        <a:effectLst>
          <a:outerShdw blurRad="254000" dist="127000" dir="8100000" algn="tr" rotWithShape="0">
            <a:prstClr val="black">
              <a:alpha val="90000"/>
            </a:prstClr>
          </a:outerShdw>
        </a:effectLst>
      </xdr:grpSpPr>
      <xdr:sp macro="" textlink="">
        <xdr:nvSpPr>
          <xdr:cNvPr id="7" name="Rectangle: Rounded Corners 6">
            <a:extLst>
              <a:ext uri="{FF2B5EF4-FFF2-40B4-BE49-F238E27FC236}">
                <a16:creationId xmlns:a16="http://schemas.microsoft.com/office/drawing/2014/main" id="{531683D6-94EF-E698-FE23-62779A0C2BFC}"/>
              </a:ext>
            </a:extLst>
          </xdr:cNvPr>
          <xdr:cNvSpPr/>
        </xdr:nvSpPr>
        <xdr:spPr>
          <a:xfrm>
            <a:off x="5141976"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Rectangle: Rounded Corners 7">
            <a:extLst>
              <a:ext uri="{FF2B5EF4-FFF2-40B4-BE49-F238E27FC236}">
                <a16:creationId xmlns:a16="http://schemas.microsoft.com/office/drawing/2014/main" id="{A9BEE665-E615-ECE7-65EE-CBF3B4585540}"/>
              </a:ext>
            </a:extLst>
          </xdr:cNvPr>
          <xdr:cNvSpPr/>
        </xdr:nvSpPr>
        <xdr:spPr>
          <a:xfrm>
            <a:off x="5141976" y="3121152"/>
            <a:ext cx="1908048" cy="1347216"/>
          </a:xfrm>
          <a:prstGeom prst="roundRect">
            <a:avLst>
              <a:gd name="adj" fmla="val 9880"/>
            </a:avLst>
          </a:prstGeom>
          <a:gradFill flip="none" rotWithShape="1">
            <a:gsLst>
              <a:gs pos="52000">
                <a:srgbClr val="1F1F98">
                  <a:alpha val="0"/>
                </a:srgbClr>
              </a:gs>
              <a:gs pos="4000">
                <a:srgbClr val="1EC0E2"/>
              </a:gs>
            </a:gsLst>
            <a:lin ang="2700000" scaled="1"/>
            <a:tileRect/>
          </a:gradFill>
          <a:ln w="9525">
            <a:gradFill flip="none" rotWithShape="1">
              <a:gsLst>
                <a:gs pos="21000">
                  <a:srgbClr val="9DFFFF"/>
                </a:gs>
                <a:gs pos="81000">
                  <a:srgbClr val="CC00FF"/>
                </a:gs>
              </a:gsLst>
              <a:lin ang="2700000" scaled="0"/>
              <a:tileRect/>
            </a:gradFill>
          </a:ln>
          <a:effectLst>
            <a:glow rad="63500">
              <a:srgbClr val="476BEE">
                <a:alpha val="30000"/>
              </a:srgbClr>
            </a:glow>
            <a:outerShdw blurRad="127000" sx="105000" sy="105000" algn="ctr"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205740</xdr:colOff>
      <xdr:row>6</xdr:row>
      <xdr:rowOff>83820</xdr:rowOff>
    </xdr:from>
    <xdr:to>
      <xdr:col>7</xdr:col>
      <xdr:colOff>144780</xdr:colOff>
      <xdr:row>13</xdr:row>
      <xdr:rowOff>175260</xdr:rowOff>
    </xdr:to>
    <xdr:grpSp>
      <xdr:nvGrpSpPr>
        <xdr:cNvPr id="9" name="Group 8">
          <a:extLst>
            <a:ext uri="{FF2B5EF4-FFF2-40B4-BE49-F238E27FC236}">
              <a16:creationId xmlns:a16="http://schemas.microsoft.com/office/drawing/2014/main" id="{0C163DDB-2B2C-41E2-87FD-1CEA4550BC84}"/>
            </a:ext>
          </a:extLst>
        </xdr:cNvPr>
        <xdr:cNvGrpSpPr/>
      </xdr:nvGrpSpPr>
      <xdr:grpSpPr>
        <a:xfrm>
          <a:off x="1983740" y="1226820"/>
          <a:ext cx="2309707" cy="1424940"/>
          <a:chOff x="3121152" y="3121152"/>
          <a:chExt cx="1908048" cy="1347216"/>
        </a:xfrm>
        <a:effectLst>
          <a:outerShdw blurRad="254000" dist="127000" dir="8100000" algn="tr" rotWithShape="0">
            <a:prstClr val="black">
              <a:alpha val="90000"/>
            </a:prstClr>
          </a:outerShdw>
        </a:effectLst>
      </xdr:grpSpPr>
      <xdr:sp macro="" textlink="">
        <xdr:nvSpPr>
          <xdr:cNvPr id="10" name="Rectangle: Rounded Corners 9">
            <a:extLst>
              <a:ext uri="{FF2B5EF4-FFF2-40B4-BE49-F238E27FC236}">
                <a16:creationId xmlns:a16="http://schemas.microsoft.com/office/drawing/2014/main" id="{FB78C73E-945C-EB13-B04B-62D9D7CE9E5C}"/>
              </a:ext>
            </a:extLst>
          </xdr:cNvPr>
          <xdr:cNvSpPr/>
        </xdr:nvSpPr>
        <xdr:spPr>
          <a:xfrm>
            <a:off x="3121152"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Rectangle: Rounded Corners 10">
            <a:extLst>
              <a:ext uri="{FF2B5EF4-FFF2-40B4-BE49-F238E27FC236}">
                <a16:creationId xmlns:a16="http://schemas.microsoft.com/office/drawing/2014/main" id="{713F7A9D-351B-6386-247C-2B098614C2B5}"/>
              </a:ext>
            </a:extLst>
          </xdr:cNvPr>
          <xdr:cNvSpPr/>
        </xdr:nvSpPr>
        <xdr:spPr>
          <a:xfrm>
            <a:off x="3121152" y="3121152"/>
            <a:ext cx="1908048" cy="1347216"/>
          </a:xfrm>
          <a:prstGeom prst="roundRect">
            <a:avLst>
              <a:gd name="adj" fmla="val 9880"/>
            </a:avLst>
          </a:prstGeom>
          <a:gradFill flip="none" rotWithShape="1">
            <a:gsLst>
              <a:gs pos="52000">
                <a:srgbClr val="1F1F98">
                  <a:alpha val="0"/>
                </a:srgbClr>
              </a:gs>
              <a:gs pos="4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11</xdr:col>
      <xdr:colOff>464820</xdr:colOff>
      <xdr:row>27</xdr:row>
      <xdr:rowOff>7620</xdr:rowOff>
    </xdr:from>
    <xdr:to>
      <xdr:col>19</xdr:col>
      <xdr:colOff>525780</xdr:colOff>
      <xdr:row>37</xdr:row>
      <xdr:rowOff>99060</xdr:rowOff>
    </xdr:to>
    <xdr:sp macro="" textlink="">
      <xdr:nvSpPr>
        <xdr:cNvPr id="12" name="Rectangle: Rounded Corners 11">
          <a:extLst>
            <a:ext uri="{FF2B5EF4-FFF2-40B4-BE49-F238E27FC236}">
              <a16:creationId xmlns:a16="http://schemas.microsoft.com/office/drawing/2014/main" id="{CEC23D2F-2D4A-49E6-B082-45758D8F77EF}"/>
            </a:ext>
          </a:extLst>
        </xdr:cNvPr>
        <xdr:cNvSpPr/>
      </xdr:nvSpPr>
      <xdr:spPr>
        <a:xfrm>
          <a:off x="7170420" y="4945380"/>
          <a:ext cx="4937760" cy="1920240"/>
        </a:xfrm>
        <a:prstGeom prst="roundRect">
          <a:avLst>
            <a:gd name="adj" fmla="val 8874"/>
          </a:avLst>
        </a:prstGeom>
        <a:gradFill flip="none" rotWithShape="1">
          <a:gsLst>
            <a:gs pos="4000">
              <a:srgbClr val="0F0048"/>
            </a:gs>
            <a:gs pos="67000">
              <a:srgbClr val="0A002F"/>
            </a:gs>
          </a:gsLst>
          <a:lin ang="8100000" scaled="1"/>
          <a:tileRect/>
        </a:gradFill>
        <a:ln w="9525">
          <a:gradFill flip="none" rotWithShape="1">
            <a:gsLst>
              <a:gs pos="0">
                <a:srgbClr val="2C48D4"/>
              </a:gs>
              <a:gs pos="39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453043</xdr:colOff>
      <xdr:row>3</xdr:row>
      <xdr:rowOff>138694</xdr:rowOff>
    </xdr:from>
    <xdr:to>
      <xdr:col>20</xdr:col>
      <xdr:colOff>80356</xdr:colOff>
      <xdr:row>14</xdr:row>
      <xdr:rowOff>73224</xdr:rowOff>
    </xdr:to>
    <xdr:graphicFrame macro="">
      <xdr:nvGraphicFramePr>
        <xdr:cNvPr id="13" name="Chart 12">
          <a:extLst>
            <a:ext uri="{FF2B5EF4-FFF2-40B4-BE49-F238E27FC236}">
              <a16:creationId xmlns:a16="http://schemas.microsoft.com/office/drawing/2014/main" id="{FFC34D51-A6D2-428E-88CD-CE4F4EF523E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15</xdr:col>
      <xdr:colOff>582168</xdr:colOff>
      <xdr:row>15</xdr:row>
      <xdr:rowOff>38100</xdr:rowOff>
    </xdr:from>
    <xdr:to>
      <xdr:col>19</xdr:col>
      <xdr:colOff>521208</xdr:colOff>
      <xdr:row>25</xdr:row>
      <xdr:rowOff>129540</xdr:rowOff>
    </xdr:to>
    <xdr:sp macro="" textlink="">
      <xdr:nvSpPr>
        <xdr:cNvPr id="16" name="Rectangle: Rounded Corners 15">
          <a:extLst>
            <a:ext uri="{FF2B5EF4-FFF2-40B4-BE49-F238E27FC236}">
              <a16:creationId xmlns:a16="http://schemas.microsoft.com/office/drawing/2014/main" id="{9E99F5DE-0FDC-4F33-B8CD-0563134011C0}"/>
            </a:ext>
          </a:extLst>
        </xdr:cNvPr>
        <xdr:cNvSpPr/>
      </xdr:nvSpPr>
      <xdr:spPr>
        <a:xfrm>
          <a:off x="9726168" y="2781300"/>
          <a:ext cx="2377440" cy="1920240"/>
        </a:xfrm>
        <a:prstGeom prst="roundRect">
          <a:avLst>
            <a:gd name="adj" fmla="val 8874"/>
          </a:avLst>
        </a:prstGeom>
        <a:gradFill flip="none" rotWithShape="1">
          <a:gsLst>
            <a:gs pos="4000">
              <a:srgbClr val="150064"/>
            </a:gs>
            <a:gs pos="67000">
              <a:srgbClr val="0A002F"/>
            </a:gs>
          </a:gsLst>
          <a:lin ang="8100000" scaled="1"/>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3</xdr:col>
      <xdr:colOff>205740</xdr:colOff>
      <xdr:row>15</xdr:row>
      <xdr:rowOff>38100</xdr:rowOff>
    </xdr:from>
    <xdr:to>
      <xdr:col>11</xdr:col>
      <xdr:colOff>266700</xdr:colOff>
      <xdr:row>37</xdr:row>
      <xdr:rowOff>129540</xdr:rowOff>
    </xdr:to>
    <xdr:sp macro="" textlink="">
      <xdr:nvSpPr>
        <xdr:cNvPr id="17" name="Rectangle: Rounded Corners 16">
          <a:extLst>
            <a:ext uri="{FF2B5EF4-FFF2-40B4-BE49-F238E27FC236}">
              <a16:creationId xmlns:a16="http://schemas.microsoft.com/office/drawing/2014/main" id="{885D7E24-EF23-454C-A98B-62AEB4A0B9A9}"/>
            </a:ext>
          </a:extLst>
        </xdr:cNvPr>
        <xdr:cNvSpPr/>
      </xdr:nvSpPr>
      <xdr:spPr>
        <a:xfrm>
          <a:off x="2034540" y="2781300"/>
          <a:ext cx="4937760" cy="4114800"/>
        </a:xfrm>
        <a:prstGeom prst="roundRect">
          <a:avLst>
            <a:gd name="adj" fmla="val 3874"/>
          </a:avLst>
        </a:prstGeom>
        <a:gradFill flip="none" rotWithShape="1">
          <a:gsLst>
            <a:gs pos="4000">
              <a:srgbClr val="0F0048"/>
            </a:gs>
            <a:gs pos="40000">
              <a:srgbClr val="0A002F"/>
            </a:gs>
          </a:gsLst>
          <a:lin ang="5400000" scaled="0"/>
          <a:tileRect/>
        </a:gradFill>
        <a:ln w="9525">
          <a:gradFill flip="none" rotWithShape="1">
            <a:gsLst>
              <a:gs pos="0">
                <a:srgbClr val="2C48D4"/>
              </a:gs>
              <a:gs pos="39000">
                <a:srgbClr val="171B61"/>
              </a:gs>
            </a:gsLst>
            <a:lin ang="72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563880</xdr:colOff>
      <xdr:row>27</xdr:row>
      <xdr:rowOff>68580</xdr:rowOff>
    </xdr:from>
    <xdr:to>
      <xdr:col>19</xdr:col>
      <xdr:colOff>441960</xdr:colOff>
      <xdr:row>35</xdr:row>
      <xdr:rowOff>68580</xdr:rowOff>
    </xdr:to>
    <xdr:graphicFrame macro="">
      <xdr:nvGraphicFramePr>
        <xdr:cNvPr id="19" name="Chart 18">
          <a:extLst>
            <a:ext uri="{FF2B5EF4-FFF2-40B4-BE49-F238E27FC236}">
              <a16:creationId xmlns:a16="http://schemas.microsoft.com/office/drawing/2014/main" id="{281AE0C9-05CE-4FFA-A6E6-099553FF55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454283</xdr:colOff>
      <xdr:row>17</xdr:row>
      <xdr:rowOff>114300</xdr:rowOff>
    </xdr:from>
    <xdr:to>
      <xdr:col>19</xdr:col>
      <xdr:colOff>48800</xdr:colOff>
      <xdr:row>25</xdr:row>
      <xdr:rowOff>44747</xdr:rowOff>
    </xdr:to>
    <xdr:grpSp>
      <xdr:nvGrpSpPr>
        <xdr:cNvPr id="21" name="Group 20">
          <a:extLst>
            <a:ext uri="{FF2B5EF4-FFF2-40B4-BE49-F238E27FC236}">
              <a16:creationId xmlns:a16="http://schemas.microsoft.com/office/drawing/2014/main" id="{087EE96E-295E-45F5-87FE-454A23505E88}"/>
            </a:ext>
          </a:extLst>
        </xdr:cNvPr>
        <xdr:cNvGrpSpPr/>
      </xdr:nvGrpSpPr>
      <xdr:grpSpPr>
        <a:xfrm>
          <a:off x="9936950" y="3352800"/>
          <a:ext cx="1372517" cy="1454447"/>
          <a:chOff x="10207883" y="3116580"/>
          <a:chExt cx="1423317" cy="1393487"/>
        </a:xfrm>
      </xdr:grpSpPr>
      <xdr:cxnSp macro="">
        <xdr:nvCxnSpPr>
          <xdr:cNvPr id="22" name="Straight Connector 21">
            <a:extLst>
              <a:ext uri="{FF2B5EF4-FFF2-40B4-BE49-F238E27FC236}">
                <a16:creationId xmlns:a16="http://schemas.microsoft.com/office/drawing/2014/main" id="{F51D72E1-DBA0-015C-F63A-184E9D235F01}"/>
              </a:ext>
            </a:extLst>
          </xdr:cNvPr>
          <xdr:cNvCxnSpPr/>
        </xdr:nvCxnSpPr>
        <xdr:spPr>
          <a:xfrm>
            <a:off x="10911840" y="31165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63469CC0-2A39-A578-F4A0-F1B5B34B0C9C}"/>
              </a:ext>
            </a:extLst>
          </xdr:cNvPr>
          <xdr:cNvCxnSpPr/>
        </xdr:nvCxnSpPr>
        <xdr:spPr>
          <a:xfrm rot="17280000">
            <a:off x="10573643" y="3369175"/>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C844574-A561-1AFF-1B6D-4B63F6868AD7}"/>
              </a:ext>
            </a:extLst>
          </xdr:cNvPr>
          <xdr:cNvCxnSpPr/>
        </xdr:nvCxnSpPr>
        <xdr:spPr>
          <a:xfrm rot="4320000">
            <a:off x="11265440" y="3365932"/>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B59DF91F-9AD6-AB8B-6399-DB081C9ACA34}"/>
              </a:ext>
            </a:extLst>
          </xdr:cNvPr>
          <xdr:cNvCxnSpPr/>
        </xdr:nvCxnSpPr>
        <xdr:spPr>
          <a:xfrm rot="8640000">
            <a:off x="11128548" y="3778547"/>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C5214CD4-4CC2-1C23-17CA-2A800810D433}"/>
              </a:ext>
            </a:extLst>
          </xdr:cNvPr>
          <xdr:cNvCxnSpPr/>
        </xdr:nvCxnSpPr>
        <xdr:spPr>
          <a:xfrm rot="12960000">
            <a:off x="10698376" y="37642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16</xdr:col>
      <xdr:colOff>292319</xdr:colOff>
      <xdr:row>16</xdr:row>
      <xdr:rowOff>143480</xdr:rowOff>
    </xdr:from>
    <xdr:to>
      <xdr:col>19</xdr:col>
      <xdr:colOff>200879</xdr:colOff>
      <xdr:row>26</xdr:row>
      <xdr:rowOff>63714</xdr:rowOff>
    </xdr:to>
    <xdr:graphicFrame macro="">
      <xdr:nvGraphicFramePr>
        <xdr:cNvPr id="27" name="Chart 26">
          <a:extLst>
            <a:ext uri="{FF2B5EF4-FFF2-40B4-BE49-F238E27FC236}">
              <a16:creationId xmlns:a16="http://schemas.microsoft.com/office/drawing/2014/main" id="{8FCA6208-CBE7-4DC9-BDD6-A1E2C4F3152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oneCellAnchor>
    <xdr:from>
      <xdr:col>11</xdr:col>
      <xdr:colOff>53340</xdr:colOff>
      <xdr:row>15</xdr:row>
      <xdr:rowOff>175260</xdr:rowOff>
    </xdr:from>
    <xdr:ext cx="65" cy="172227"/>
    <xdr:sp macro="" textlink="">
      <xdr:nvSpPr>
        <xdr:cNvPr id="28" name="TextBox 27">
          <a:extLst>
            <a:ext uri="{FF2B5EF4-FFF2-40B4-BE49-F238E27FC236}">
              <a16:creationId xmlns:a16="http://schemas.microsoft.com/office/drawing/2014/main" id="{A0B82AF2-F519-4BFB-ACDF-5FDC7AFBD2A2}"/>
            </a:ext>
          </a:extLst>
        </xdr:cNvPr>
        <xdr:cNvSpPr txBox="1"/>
      </xdr:nvSpPr>
      <xdr:spPr>
        <a:xfrm>
          <a:off x="6758940" y="29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ru-RU" sz="1100"/>
        </a:p>
      </xdr:txBody>
    </xdr:sp>
    <xdr:clientData/>
  </xdr:oneCellAnchor>
  <xdr:twoCellAnchor>
    <xdr:from>
      <xdr:col>4</xdr:col>
      <xdr:colOff>241775</xdr:colOff>
      <xdr:row>33</xdr:row>
      <xdr:rowOff>68580</xdr:rowOff>
    </xdr:from>
    <xdr:to>
      <xdr:col>10</xdr:col>
      <xdr:colOff>241775</xdr:colOff>
      <xdr:row>36</xdr:row>
      <xdr:rowOff>114300</xdr:rowOff>
    </xdr:to>
    <xdr:graphicFrame macro="">
      <xdr:nvGraphicFramePr>
        <xdr:cNvPr id="30" name="Chart 29">
          <a:extLst>
            <a:ext uri="{FF2B5EF4-FFF2-40B4-BE49-F238E27FC236}">
              <a16:creationId xmlns:a16="http://schemas.microsoft.com/office/drawing/2014/main" id="{4C7D9CDA-6916-4C04-8C6C-F624001428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4</xdr:col>
      <xdr:colOff>464820</xdr:colOff>
      <xdr:row>20</xdr:row>
      <xdr:rowOff>38099</xdr:rowOff>
    </xdr:from>
    <xdr:to>
      <xdr:col>10</xdr:col>
      <xdr:colOff>7620</xdr:colOff>
      <xdr:row>37</xdr:row>
      <xdr:rowOff>129539</xdr:rowOff>
    </xdr:to>
    <xdr:graphicFrame macro="">
      <xdr:nvGraphicFramePr>
        <xdr:cNvPr id="31" name="Chart 30">
          <a:extLst>
            <a:ext uri="{FF2B5EF4-FFF2-40B4-BE49-F238E27FC236}">
              <a16:creationId xmlns:a16="http://schemas.microsoft.com/office/drawing/2014/main" id="{7999A7C1-68A9-4A5E-9BE5-81F2F27161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4</xdr:col>
      <xdr:colOff>241775</xdr:colOff>
      <xdr:row>33</xdr:row>
      <xdr:rowOff>68580</xdr:rowOff>
    </xdr:from>
    <xdr:to>
      <xdr:col>10</xdr:col>
      <xdr:colOff>241775</xdr:colOff>
      <xdr:row>36</xdr:row>
      <xdr:rowOff>114300</xdr:rowOff>
    </xdr:to>
    <xdr:graphicFrame macro="">
      <xdr:nvGraphicFramePr>
        <xdr:cNvPr id="32" name="Chart 31">
          <a:extLst>
            <a:ext uri="{FF2B5EF4-FFF2-40B4-BE49-F238E27FC236}">
              <a16:creationId xmlns:a16="http://schemas.microsoft.com/office/drawing/2014/main" id="{3FF69B52-11F3-4F7D-907F-CFB3B0E9AEF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3</xdr:col>
      <xdr:colOff>243840</xdr:colOff>
      <xdr:row>7</xdr:row>
      <xdr:rowOff>91440</xdr:rowOff>
    </xdr:from>
    <xdr:to>
      <xdr:col>6</xdr:col>
      <xdr:colOff>243840</xdr:colOff>
      <xdr:row>11</xdr:row>
      <xdr:rowOff>0</xdr:rowOff>
    </xdr:to>
    <xdr:sp macro="" textlink="Processing!O9">
      <xdr:nvSpPr>
        <xdr:cNvPr id="35" name="TextBox 34">
          <a:extLst>
            <a:ext uri="{FF2B5EF4-FFF2-40B4-BE49-F238E27FC236}">
              <a16:creationId xmlns:a16="http://schemas.microsoft.com/office/drawing/2014/main" id="{0E6015ED-26B4-4798-970E-95762FE52C77}"/>
            </a:ext>
          </a:extLst>
        </xdr:cNvPr>
        <xdr:cNvSpPr txBox="1"/>
      </xdr:nvSpPr>
      <xdr:spPr>
        <a:xfrm>
          <a:off x="2072640" y="1371600"/>
          <a:ext cx="18288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67A2AF-8475-4C35-85E3-B52DD60A765F}" type="TxLink">
            <a:rPr lang="en-US" sz="3200" b="0" i="0" u="none" strike="noStrike">
              <a:solidFill>
                <a:schemeClr val="bg1"/>
              </a:solidFill>
              <a:latin typeface="Aptos Narrow"/>
            </a:rPr>
            <a:pPr/>
            <a:t>80/220</a:t>
          </a:fld>
          <a:endParaRPr lang="ru-RU" sz="3200">
            <a:solidFill>
              <a:schemeClr val="bg1"/>
            </a:solidFill>
          </a:endParaRPr>
        </a:p>
      </xdr:txBody>
    </xdr:sp>
    <xdr:clientData/>
  </xdr:twoCellAnchor>
  <xdr:twoCellAnchor>
    <xdr:from>
      <xdr:col>5</xdr:col>
      <xdr:colOff>405870</xdr:colOff>
      <xdr:row>7</xdr:row>
      <xdr:rowOff>152400</xdr:rowOff>
    </xdr:from>
    <xdr:to>
      <xdr:col>7</xdr:col>
      <xdr:colOff>101070</xdr:colOff>
      <xdr:row>12</xdr:row>
      <xdr:rowOff>152400</xdr:rowOff>
    </xdr:to>
    <xdr:graphicFrame macro="">
      <xdr:nvGraphicFramePr>
        <xdr:cNvPr id="36" name="Chart 35">
          <a:extLst>
            <a:ext uri="{FF2B5EF4-FFF2-40B4-BE49-F238E27FC236}">
              <a16:creationId xmlns:a16="http://schemas.microsoft.com/office/drawing/2014/main" id="{4AEFB548-EA1C-4EDD-8269-051FE595FCA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5</xdr:col>
      <xdr:colOff>444316</xdr:colOff>
      <xdr:row>9</xdr:row>
      <xdr:rowOff>54293</xdr:rowOff>
    </xdr:from>
    <xdr:to>
      <xdr:col>7</xdr:col>
      <xdr:colOff>81464</xdr:colOff>
      <xdr:row>11</xdr:row>
      <xdr:rowOff>60008</xdr:rowOff>
    </xdr:to>
    <xdr:sp macro="" textlink="Processing!N11">
      <xdr:nvSpPr>
        <xdr:cNvPr id="37" name="TextBox 36">
          <a:extLst>
            <a:ext uri="{FF2B5EF4-FFF2-40B4-BE49-F238E27FC236}">
              <a16:creationId xmlns:a16="http://schemas.microsoft.com/office/drawing/2014/main" id="{10C12DBD-4E4D-4088-9661-69344A9D5CAD}"/>
            </a:ext>
          </a:extLst>
        </xdr:cNvPr>
        <xdr:cNvSpPr txBox="1"/>
      </xdr:nvSpPr>
      <xdr:spPr>
        <a:xfrm>
          <a:off x="349231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392DD4C-0F9B-4C08-9AFE-1C9806A5A062}" type="TxLink">
            <a:rPr lang="en-US" sz="1400" b="0" i="0" u="none" strike="noStrike">
              <a:solidFill>
                <a:schemeClr val="bg1"/>
              </a:solidFill>
              <a:latin typeface="Aptos Narrow"/>
            </a:rPr>
            <a:pPr algn="ctr"/>
            <a:t>36%</a:t>
          </a:fld>
          <a:endParaRPr lang="ru-RU" sz="4800">
            <a:solidFill>
              <a:schemeClr val="bg1"/>
            </a:solidFill>
          </a:endParaRPr>
        </a:p>
      </xdr:txBody>
    </xdr:sp>
    <xdr:clientData/>
  </xdr:twoCellAnchor>
  <xdr:twoCellAnchor>
    <xdr:from>
      <xdr:col>3</xdr:col>
      <xdr:colOff>320040</xdr:colOff>
      <xdr:row>11</xdr:row>
      <xdr:rowOff>38100</xdr:rowOff>
    </xdr:from>
    <xdr:to>
      <xdr:col>6</xdr:col>
      <xdr:colOff>160020</xdr:colOff>
      <xdr:row>14</xdr:row>
      <xdr:rowOff>76200</xdr:rowOff>
    </xdr:to>
    <xdr:sp macro="" textlink="Processing!M8">
      <xdr:nvSpPr>
        <xdr:cNvPr id="38" name="TextBox 37">
          <a:extLst>
            <a:ext uri="{FF2B5EF4-FFF2-40B4-BE49-F238E27FC236}">
              <a16:creationId xmlns:a16="http://schemas.microsoft.com/office/drawing/2014/main" id="{C56A886B-B65E-4F2B-8D90-F972DC2DB3D6}"/>
            </a:ext>
          </a:extLst>
        </xdr:cNvPr>
        <xdr:cNvSpPr txBox="1"/>
      </xdr:nvSpPr>
      <xdr:spPr>
        <a:xfrm>
          <a:off x="214884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ECB5B-08AB-4119-8CB9-6CC6396EF104}" type="TxLink">
            <a:rPr lang="en-US" sz="1600" b="0" i="0" u="none" strike="noStrike">
              <a:solidFill>
                <a:schemeClr val="bg1"/>
              </a:solidFill>
              <a:latin typeface="Aptos Narrow"/>
            </a:rPr>
            <a:pPr/>
            <a:t>Scope of Work</a:t>
          </a:fld>
          <a:endParaRPr lang="ru-RU" sz="4400">
            <a:solidFill>
              <a:schemeClr val="bg1"/>
            </a:solidFill>
          </a:endParaRPr>
        </a:p>
      </xdr:txBody>
    </xdr:sp>
    <xdr:clientData/>
  </xdr:twoCellAnchor>
  <xdr:twoCellAnchor>
    <xdr:from>
      <xdr:col>9</xdr:col>
      <xdr:colOff>533400</xdr:colOff>
      <xdr:row>7</xdr:row>
      <xdr:rowOff>152400</xdr:rowOff>
    </xdr:from>
    <xdr:to>
      <xdr:col>11</xdr:col>
      <xdr:colOff>228600</xdr:colOff>
      <xdr:row>12</xdr:row>
      <xdr:rowOff>152400</xdr:rowOff>
    </xdr:to>
    <xdr:graphicFrame macro="">
      <xdr:nvGraphicFramePr>
        <xdr:cNvPr id="39" name="Chart 38">
          <a:extLst>
            <a:ext uri="{FF2B5EF4-FFF2-40B4-BE49-F238E27FC236}">
              <a16:creationId xmlns:a16="http://schemas.microsoft.com/office/drawing/2014/main" id="{DB723C74-468E-4559-AE4C-7449A26D5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411480</xdr:colOff>
      <xdr:row>11</xdr:row>
      <xdr:rowOff>38100</xdr:rowOff>
    </xdr:from>
    <xdr:to>
      <xdr:col>10</xdr:col>
      <xdr:colOff>251460</xdr:colOff>
      <xdr:row>14</xdr:row>
      <xdr:rowOff>76200</xdr:rowOff>
    </xdr:to>
    <xdr:sp macro="" textlink="Processing!O5">
      <xdr:nvSpPr>
        <xdr:cNvPr id="40" name="TextBox 39">
          <a:extLst>
            <a:ext uri="{FF2B5EF4-FFF2-40B4-BE49-F238E27FC236}">
              <a16:creationId xmlns:a16="http://schemas.microsoft.com/office/drawing/2014/main" id="{3D38B29D-F2FF-43CD-934C-988A8B14E81F}"/>
            </a:ext>
          </a:extLst>
        </xdr:cNvPr>
        <xdr:cNvSpPr txBox="1"/>
      </xdr:nvSpPr>
      <xdr:spPr>
        <a:xfrm>
          <a:off x="467868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7FFC1-29C6-40F9-9BB1-2D31ED36B262}" type="TxLink">
            <a:rPr lang="en-US" sz="1600" b="0" i="0" u="none" strike="noStrike">
              <a:solidFill>
                <a:schemeClr val="bg1"/>
              </a:solidFill>
              <a:latin typeface="Aptos Narrow"/>
              <a:ea typeface="+mn-ea"/>
              <a:cs typeface="+mn-cs"/>
            </a:rPr>
            <a:pPr marL="0" indent="0"/>
            <a:t>Time Remaining</a:t>
          </a:fld>
          <a:endParaRPr lang="ru-RU" sz="1600" b="0" i="0" u="none" strike="noStrike">
            <a:solidFill>
              <a:schemeClr val="bg1"/>
            </a:solidFill>
            <a:latin typeface="Aptos Narrow"/>
            <a:ea typeface="+mn-ea"/>
            <a:cs typeface="+mn-cs"/>
          </a:endParaRPr>
        </a:p>
      </xdr:txBody>
    </xdr:sp>
    <xdr:clientData/>
  </xdr:twoCellAnchor>
  <xdr:twoCellAnchor>
    <xdr:from>
      <xdr:col>7</xdr:col>
      <xdr:colOff>373380</xdr:colOff>
      <xdr:row>7</xdr:row>
      <xdr:rowOff>91440</xdr:rowOff>
    </xdr:from>
    <xdr:to>
      <xdr:col>9</xdr:col>
      <xdr:colOff>152400</xdr:colOff>
      <xdr:row>11</xdr:row>
      <xdr:rowOff>0</xdr:rowOff>
    </xdr:to>
    <xdr:sp macro="" textlink="Processing!M6">
      <xdr:nvSpPr>
        <xdr:cNvPr id="41" name="TextBox 40">
          <a:extLst>
            <a:ext uri="{FF2B5EF4-FFF2-40B4-BE49-F238E27FC236}">
              <a16:creationId xmlns:a16="http://schemas.microsoft.com/office/drawing/2014/main" id="{82F61160-3B6A-4CF4-BAB0-C8BAFDED72FC}"/>
            </a:ext>
          </a:extLst>
        </xdr:cNvPr>
        <xdr:cNvSpPr txBox="1"/>
      </xdr:nvSpPr>
      <xdr:spPr>
        <a:xfrm>
          <a:off x="4640580" y="137160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BB09261-95EC-4CE7-8235-CA5F20BA4102}" type="TxLink">
            <a:rPr lang="en-US" sz="3200" b="0" i="0" u="none" strike="noStrike">
              <a:solidFill>
                <a:schemeClr val="bg1"/>
              </a:solidFill>
              <a:latin typeface="Aptos Narrow"/>
              <a:ea typeface="+mn-ea"/>
              <a:cs typeface="+mn-cs"/>
            </a:rPr>
            <a:pPr marL="0" indent="0" algn="r"/>
            <a:t>92</a:t>
          </a:fld>
          <a:endParaRPr lang="ru-RU" sz="3200" b="0" i="0" u="none" strike="noStrike">
            <a:solidFill>
              <a:schemeClr val="bg1"/>
            </a:solidFill>
            <a:latin typeface="Aptos Narrow"/>
            <a:ea typeface="+mn-ea"/>
            <a:cs typeface="+mn-cs"/>
          </a:endParaRPr>
        </a:p>
      </xdr:txBody>
    </xdr:sp>
    <xdr:clientData/>
  </xdr:twoCellAnchor>
  <xdr:twoCellAnchor>
    <xdr:from>
      <xdr:col>9</xdr:col>
      <xdr:colOff>30480</xdr:colOff>
      <xdr:row>8</xdr:row>
      <xdr:rowOff>114300</xdr:rowOff>
    </xdr:from>
    <xdr:to>
      <xdr:col>10</xdr:col>
      <xdr:colOff>419100</xdr:colOff>
      <xdr:row>12</xdr:row>
      <xdr:rowOff>22860</xdr:rowOff>
    </xdr:to>
    <xdr:sp macro="" textlink="Processing!M5">
      <xdr:nvSpPr>
        <xdr:cNvPr id="42" name="TextBox 41">
          <a:extLst>
            <a:ext uri="{FF2B5EF4-FFF2-40B4-BE49-F238E27FC236}">
              <a16:creationId xmlns:a16="http://schemas.microsoft.com/office/drawing/2014/main" id="{732BC4C7-4901-456D-86A0-3EF6FA23882E}"/>
            </a:ext>
          </a:extLst>
        </xdr:cNvPr>
        <xdr:cNvSpPr txBox="1"/>
      </xdr:nvSpPr>
      <xdr:spPr>
        <a:xfrm>
          <a:off x="5516880" y="157734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7B169B-EF91-4A9A-9455-004958A84F01}" type="TxLink">
            <a:rPr lang="en-US" sz="1400" b="0" i="0" u="none" strike="noStrike">
              <a:solidFill>
                <a:schemeClr val="bg1"/>
              </a:solidFill>
              <a:latin typeface="Aptos Narrow"/>
              <a:ea typeface="+mn-ea"/>
              <a:cs typeface="+mn-cs"/>
            </a:rPr>
            <a:pPr marL="0" indent="0" algn="l"/>
            <a:t>Days</a:t>
          </a:fld>
          <a:endParaRPr lang="ru-RU" sz="4000" b="0" i="0" u="none" strike="noStrike">
            <a:solidFill>
              <a:schemeClr val="bg1"/>
            </a:solidFill>
            <a:latin typeface="Aptos Narrow"/>
            <a:ea typeface="+mn-ea"/>
            <a:cs typeface="+mn-cs"/>
          </a:endParaRPr>
        </a:p>
      </xdr:txBody>
    </xdr:sp>
    <xdr:clientData/>
  </xdr:twoCellAnchor>
  <xdr:twoCellAnchor>
    <xdr:from>
      <xdr:col>9</xdr:col>
      <xdr:colOff>566236</xdr:colOff>
      <xdr:row>9</xdr:row>
      <xdr:rowOff>54293</xdr:rowOff>
    </xdr:from>
    <xdr:to>
      <xdr:col>11</xdr:col>
      <xdr:colOff>203384</xdr:colOff>
      <xdr:row>11</xdr:row>
      <xdr:rowOff>60008</xdr:rowOff>
    </xdr:to>
    <xdr:sp macro="" textlink="Processing!O6">
      <xdr:nvSpPr>
        <xdr:cNvPr id="43" name="TextBox 42">
          <a:extLst>
            <a:ext uri="{FF2B5EF4-FFF2-40B4-BE49-F238E27FC236}">
              <a16:creationId xmlns:a16="http://schemas.microsoft.com/office/drawing/2014/main" id="{5337DB8F-22B1-4097-B710-D0C24D8604AD}"/>
            </a:ext>
          </a:extLst>
        </xdr:cNvPr>
        <xdr:cNvSpPr txBox="1"/>
      </xdr:nvSpPr>
      <xdr:spPr>
        <a:xfrm>
          <a:off x="60526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46B628-5347-4F08-A289-BC44383EFD03}" type="TxLink">
            <a:rPr lang="en-US" sz="1400" b="0" i="0" u="none" strike="noStrike">
              <a:solidFill>
                <a:schemeClr val="bg1"/>
              </a:solidFill>
              <a:latin typeface="Aptos Narrow"/>
              <a:ea typeface="+mn-ea"/>
              <a:cs typeface="+mn-cs"/>
            </a:rPr>
            <a:pPr marL="0" indent="0" algn="ctr"/>
            <a:t>25%</a:t>
          </a:fld>
          <a:endParaRPr lang="ru-RU" sz="1400" b="0" i="0" u="none" strike="noStrike">
            <a:solidFill>
              <a:schemeClr val="bg1"/>
            </a:solidFill>
            <a:latin typeface="Aptos Narrow"/>
            <a:ea typeface="+mn-ea"/>
            <a:cs typeface="+mn-cs"/>
          </a:endParaRPr>
        </a:p>
      </xdr:txBody>
    </xdr:sp>
    <xdr:clientData/>
  </xdr:twoCellAnchor>
  <xdr:twoCellAnchor>
    <xdr:from>
      <xdr:col>11</xdr:col>
      <xdr:colOff>579120</xdr:colOff>
      <xdr:row>11</xdr:row>
      <xdr:rowOff>38100</xdr:rowOff>
    </xdr:from>
    <xdr:to>
      <xdr:col>14</xdr:col>
      <xdr:colOff>419100</xdr:colOff>
      <xdr:row>14</xdr:row>
      <xdr:rowOff>76200</xdr:rowOff>
    </xdr:to>
    <xdr:sp macro="" textlink="Processing!M1">
      <xdr:nvSpPr>
        <xdr:cNvPr id="44" name="TextBox 43">
          <a:extLst>
            <a:ext uri="{FF2B5EF4-FFF2-40B4-BE49-F238E27FC236}">
              <a16:creationId xmlns:a16="http://schemas.microsoft.com/office/drawing/2014/main" id="{D6EB1630-F370-4935-9140-75DC725F61CA}"/>
            </a:ext>
          </a:extLst>
        </xdr:cNvPr>
        <xdr:cNvSpPr txBox="1"/>
      </xdr:nvSpPr>
      <xdr:spPr>
        <a:xfrm>
          <a:off x="728472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5D8EE7-0B37-4CFC-9F7A-8CC3EFE00C68}" type="TxLink">
            <a:rPr lang="en-US" sz="1600" b="0" i="0" u="none" strike="noStrike">
              <a:solidFill>
                <a:schemeClr val="bg1"/>
              </a:solidFill>
              <a:latin typeface="Aptos Narrow"/>
              <a:ea typeface="+mn-ea"/>
              <a:cs typeface="+mn-cs"/>
            </a:rPr>
            <a:pPr marL="0" indent="0"/>
            <a:t>Budget &amp; Cost</a:t>
          </a:fld>
          <a:endParaRPr lang="ru-RU" sz="1600" b="0" i="0" u="none" strike="noStrike">
            <a:solidFill>
              <a:schemeClr val="bg1"/>
            </a:solidFill>
            <a:latin typeface="Aptos Narrow"/>
            <a:ea typeface="+mn-ea"/>
            <a:cs typeface="+mn-cs"/>
          </a:endParaRPr>
        </a:p>
      </xdr:txBody>
    </xdr:sp>
    <xdr:clientData/>
  </xdr:twoCellAnchor>
  <xdr:twoCellAnchor>
    <xdr:from>
      <xdr:col>12</xdr:col>
      <xdr:colOff>137160</xdr:colOff>
      <xdr:row>6</xdr:row>
      <xdr:rowOff>83820</xdr:rowOff>
    </xdr:from>
    <xdr:to>
      <xdr:col>15</xdr:col>
      <xdr:colOff>342900</xdr:colOff>
      <xdr:row>9</xdr:row>
      <xdr:rowOff>175260</xdr:rowOff>
    </xdr:to>
    <xdr:sp macro="" textlink="Processing!M3">
      <xdr:nvSpPr>
        <xdr:cNvPr id="45" name="TextBox 44">
          <a:extLst>
            <a:ext uri="{FF2B5EF4-FFF2-40B4-BE49-F238E27FC236}">
              <a16:creationId xmlns:a16="http://schemas.microsoft.com/office/drawing/2014/main" id="{20552D44-1312-4560-B1E0-985C1678ED28}"/>
            </a:ext>
          </a:extLst>
        </xdr:cNvPr>
        <xdr:cNvSpPr txBox="1"/>
      </xdr:nvSpPr>
      <xdr:spPr>
        <a:xfrm>
          <a:off x="7452360" y="118110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E018FED-53A2-4BF0-83EC-17170C685B2C}" type="TxLink">
            <a:rPr lang="en-US" sz="3200" b="0" i="0" u="none" strike="noStrike">
              <a:solidFill>
                <a:schemeClr val="bg1"/>
              </a:solidFill>
              <a:latin typeface="Aptos Narrow"/>
              <a:ea typeface="+mn-ea"/>
              <a:cs typeface="+mn-cs"/>
            </a:rPr>
            <a:pPr marL="0" indent="0" algn="r"/>
            <a:t>$400 000</a:t>
          </a:fld>
          <a:endParaRPr lang="ru-RU" sz="7200" b="0" i="0" u="none" strike="noStrike">
            <a:solidFill>
              <a:schemeClr val="bg1"/>
            </a:solidFill>
            <a:latin typeface="Aptos Narrow"/>
            <a:ea typeface="+mn-ea"/>
            <a:cs typeface="+mn-cs"/>
          </a:endParaRPr>
        </a:p>
      </xdr:txBody>
    </xdr:sp>
    <xdr:clientData/>
  </xdr:twoCellAnchor>
  <xdr:twoCellAnchor>
    <xdr:from>
      <xdr:col>12</xdr:col>
      <xdr:colOff>137160</xdr:colOff>
      <xdr:row>8</xdr:row>
      <xdr:rowOff>160020</xdr:rowOff>
    </xdr:from>
    <xdr:to>
      <xdr:col>15</xdr:col>
      <xdr:colOff>342900</xdr:colOff>
      <xdr:row>12</xdr:row>
      <xdr:rowOff>68580</xdr:rowOff>
    </xdr:to>
    <xdr:sp macro="" textlink="Processing!N3">
      <xdr:nvSpPr>
        <xdr:cNvPr id="46" name="TextBox 45">
          <a:extLst>
            <a:ext uri="{FF2B5EF4-FFF2-40B4-BE49-F238E27FC236}">
              <a16:creationId xmlns:a16="http://schemas.microsoft.com/office/drawing/2014/main" id="{43E795AC-2D73-494C-A975-071472D28D92}"/>
            </a:ext>
          </a:extLst>
        </xdr:cNvPr>
        <xdr:cNvSpPr txBox="1"/>
      </xdr:nvSpPr>
      <xdr:spPr>
        <a:xfrm>
          <a:off x="7452360" y="162306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CF0C5FA-332D-4C23-AD60-50F782A2FC7A}" type="TxLink">
            <a:rPr lang="en-US" sz="2400" b="0" i="0" u="none" strike="noStrike">
              <a:solidFill>
                <a:schemeClr val="accent5">
                  <a:lumMod val="40000"/>
                  <a:lumOff val="60000"/>
                </a:schemeClr>
              </a:solidFill>
              <a:latin typeface="Aptos Narrow"/>
              <a:ea typeface="+mn-ea"/>
              <a:cs typeface="+mn-cs"/>
            </a:rPr>
            <a:pPr marL="0" indent="0" algn="r"/>
            <a:t>-$251 709</a:t>
          </a:fld>
          <a:endParaRPr lang="ru-RU" sz="16600" b="0" i="0" u="none" strike="noStrike">
            <a:solidFill>
              <a:schemeClr val="accent5">
                <a:lumMod val="40000"/>
                <a:lumOff val="60000"/>
              </a:schemeClr>
            </a:solidFill>
            <a:latin typeface="Aptos Narrow"/>
            <a:ea typeface="+mn-ea"/>
            <a:cs typeface="+mn-cs"/>
          </a:endParaRPr>
        </a:p>
      </xdr:txBody>
    </xdr:sp>
    <xdr:clientData/>
  </xdr:twoCellAnchor>
  <xdr:twoCellAnchor>
    <xdr:from>
      <xdr:col>11</xdr:col>
      <xdr:colOff>518160</xdr:colOff>
      <xdr:row>7</xdr:row>
      <xdr:rowOff>144780</xdr:rowOff>
    </xdr:from>
    <xdr:to>
      <xdr:col>13</xdr:col>
      <xdr:colOff>15240</xdr:colOff>
      <xdr:row>9</xdr:row>
      <xdr:rowOff>121920</xdr:rowOff>
    </xdr:to>
    <xdr:sp macro="" textlink="Processing!M2">
      <xdr:nvSpPr>
        <xdr:cNvPr id="47" name="TextBox 46">
          <a:extLst>
            <a:ext uri="{FF2B5EF4-FFF2-40B4-BE49-F238E27FC236}">
              <a16:creationId xmlns:a16="http://schemas.microsoft.com/office/drawing/2014/main" id="{580851CD-537D-413A-95BD-0DC68FB72B80}"/>
            </a:ext>
          </a:extLst>
        </xdr:cNvPr>
        <xdr:cNvSpPr txBox="1"/>
      </xdr:nvSpPr>
      <xdr:spPr>
        <a:xfrm>
          <a:off x="7223760" y="142494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66F0F2-DD26-427E-8D67-676EBE9B0026}" type="TxLink">
            <a:rPr lang="en-US" sz="1100" b="0" i="0" u="none" strike="noStrike">
              <a:solidFill>
                <a:schemeClr val="bg1"/>
              </a:solidFill>
              <a:latin typeface="Aptos Narrow"/>
              <a:ea typeface="+mn-ea"/>
              <a:cs typeface="+mn-cs"/>
            </a:rPr>
            <a:pPr marL="0" indent="0" algn="l"/>
            <a:t>Budget</a:t>
          </a:fld>
          <a:endParaRPr lang="ru-RU" sz="4000" b="0" i="0" u="none" strike="noStrike">
            <a:solidFill>
              <a:schemeClr val="bg1"/>
            </a:solidFill>
            <a:latin typeface="Aptos Narrow"/>
            <a:ea typeface="+mn-ea"/>
            <a:cs typeface="+mn-cs"/>
          </a:endParaRPr>
        </a:p>
      </xdr:txBody>
    </xdr:sp>
    <xdr:clientData/>
  </xdr:twoCellAnchor>
  <xdr:twoCellAnchor>
    <xdr:from>
      <xdr:col>11</xdr:col>
      <xdr:colOff>533400</xdr:colOff>
      <xdr:row>9</xdr:row>
      <xdr:rowOff>129540</xdr:rowOff>
    </xdr:from>
    <xdr:to>
      <xdr:col>13</xdr:col>
      <xdr:colOff>30480</xdr:colOff>
      <xdr:row>11</xdr:row>
      <xdr:rowOff>106680</xdr:rowOff>
    </xdr:to>
    <xdr:sp macro="" textlink="Processing!N2">
      <xdr:nvSpPr>
        <xdr:cNvPr id="48" name="TextBox 47">
          <a:extLst>
            <a:ext uri="{FF2B5EF4-FFF2-40B4-BE49-F238E27FC236}">
              <a16:creationId xmlns:a16="http://schemas.microsoft.com/office/drawing/2014/main" id="{87DADEDC-6755-402E-A76E-5DE579B2DC9D}"/>
            </a:ext>
          </a:extLst>
        </xdr:cNvPr>
        <xdr:cNvSpPr txBox="1"/>
      </xdr:nvSpPr>
      <xdr:spPr>
        <a:xfrm>
          <a:off x="7239000" y="177546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EC89C0B-96B6-449C-AC24-8E9F7D68E581}" type="TxLink">
            <a:rPr lang="en-US" sz="1100" b="0" i="0" u="none" strike="noStrike">
              <a:solidFill>
                <a:schemeClr val="bg1"/>
              </a:solidFill>
              <a:latin typeface="Aptos Narrow"/>
              <a:ea typeface="+mn-ea"/>
              <a:cs typeface="+mn-cs"/>
            </a:rPr>
            <a:pPr marL="0" indent="0" algn="l"/>
            <a:t>Cost</a:t>
          </a:fld>
          <a:endParaRPr lang="ru-RU" sz="4800" b="0" i="0" u="none" strike="noStrike">
            <a:solidFill>
              <a:schemeClr val="bg1"/>
            </a:solidFill>
            <a:latin typeface="Aptos Narrow"/>
            <a:ea typeface="+mn-ea"/>
            <a:cs typeface="+mn-cs"/>
          </a:endParaRPr>
        </a:p>
      </xdr:txBody>
    </xdr:sp>
    <xdr:clientData/>
  </xdr:twoCellAnchor>
  <xdr:twoCellAnchor editAs="oneCell">
    <xdr:from>
      <xdr:col>3</xdr:col>
      <xdr:colOff>434340</xdr:colOff>
      <xdr:row>3</xdr:row>
      <xdr:rowOff>45720</xdr:rowOff>
    </xdr:from>
    <xdr:to>
      <xdr:col>6</xdr:col>
      <xdr:colOff>434340</xdr:colOff>
      <xdr:row>5</xdr:row>
      <xdr:rowOff>109728</xdr:rowOff>
    </xdr:to>
    <mc:AlternateContent xmlns:mc="http://schemas.openxmlformats.org/markup-compatibility/2006" xmlns:a14="http://schemas.microsoft.com/office/drawing/2010/main">
      <mc:Choice Requires="a14">
        <xdr:graphicFrame macro="">
          <xdr:nvGraphicFramePr>
            <xdr:cNvPr id="49" name="Year 2">
              <a:extLst>
                <a:ext uri="{FF2B5EF4-FFF2-40B4-BE49-F238E27FC236}">
                  <a16:creationId xmlns:a16="http://schemas.microsoft.com/office/drawing/2014/main" id="{60B48B64-87C8-4326-8E24-FAEC18E9FBAD}"/>
                </a:ext>
              </a:extLst>
            </xdr:cNvPr>
            <xdr:cNvGraphicFramePr/>
          </xdr:nvGraphicFramePr>
          <xdr:xfrm>
            <a:off x="0" y="0"/>
            <a:ext cx="0" cy="0"/>
          </xdr:xfrm>
          <a:graphic>
            <a:graphicData uri="http://schemas.microsoft.com/office/drawing/2010/slicer">
              <sle:slicer xmlns:sle="http://schemas.microsoft.com/office/drawing/2010/slicer" name="Year 2"/>
            </a:graphicData>
          </a:graphic>
        </xdr:graphicFrame>
      </mc:Choice>
      <mc:Fallback xmlns="">
        <xdr:sp macro="" textlink="">
          <xdr:nvSpPr>
            <xdr:cNvPr id="0" name=""/>
            <xdr:cNvSpPr>
              <a:spLocks noTextEdit="1"/>
            </xdr:cNvSpPr>
          </xdr:nvSpPr>
          <xdr:spPr>
            <a:xfrm>
              <a:off x="2263140" y="594360"/>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556260</xdr:colOff>
      <xdr:row>34</xdr:row>
      <xdr:rowOff>160020</xdr:rowOff>
    </xdr:from>
    <xdr:to>
      <xdr:col>19</xdr:col>
      <xdr:colOff>434340</xdr:colOff>
      <xdr:row>37</xdr:row>
      <xdr:rowOff>41148</xdr:rowOff>
    </xdr:to>
    <mc:AlternateContent xmlns:mc="http://schemas.openxmlformats.org/markup-compatibility/2006" xmlns:a14="http://schemas.microsoft.com/office/drawing/2010/main">
      <mc:Choice Requires="a14">
        <xdr:graphicFrame macro="">
          <xdr:nvGraphicFramePr>
            <xdr:cNvPr id="50" name="Month 2">
              <a:extLst>
                <a:ext uri="{FF2B5EF4-FFF2-40B4-BE49-F238E27FC236}">
                  <a16:creationId xmlns:a16="http://schemas.microsoft.com/office/drawing/2014/main" id="{99FE5BB9-6488-414D-96C8-6D4C4BE9BC35}"/>
                </a:ext>
              </a:extLst>
            </xdr:cNvPr>
            <xdr:cNvGraphicFramePr/>
          </xdr:nvGraphicFramePr>
          <xdr:xfrm>
            <a:off x="0" y="0"/>
            <a:ext cx="0" cy="0"/>
          </xdr:xfrm>
          <a:graphic>
            <a:graphicData uri="http://schemas.microsoft.com/office/drawing/2010/slicer">
              <sle:slicer xmlns:sle="http://schemas.microsoft.com/office/drawing/2010/slicer" name="Month 2"/>
            </a:graphicData>
          </a:graphic>
        </xdr:graphicFrame>
      </mc:Choice>
      <mc:Fallback xmlns="">
        <xdr:sp macro="" textlink="">
          <xdr:nvSpPr>
            <xdr:cNvPr id="0" name=""/>
            <xdr:cNvSpPr>
              <a:spLocks noTextEdit="1"/>
            </xdr:cNvSpPr>
          </xdr:nvSpPr>
          <xdr:spPr>
            <a:xfrm>
              <a:off x="7261860" y="637794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571500</xdr:colOff>
      <xdr:row>27</xdr:row>
      <xdr:rowOff>68580</xdr:rowOff>
    </xdr:from>
    <xdr:to>
      <xdr:col>19</xdr:col>
      <xdr:colOff>411480</xdr:colOff>
      <xdr:row>29</xdr:row>
      <xdr:rowOff>38100</xdr:rowOff>
    </xdr:to>
    <xdr:sp macro="" textlink="Processing!A14">
      <xdr:nvSpPr>
        <xdr:cNvPr id="51" name="TextBox 50">
          <a:extLst>
            <a:ext uri="{FF2B5EF4-FFF2-40B4-BE49-F238E27FC236}">
              <a16:creationId xmlns:a16="http://schemas.microsoft.com/office/drawing/2014/main" id="{E6FCCB58-1BD2-47DE-BD30-E8A802170DA4}"/>
            </a:ext>
          </a:extLst>
        </xdr:cNvPr>
        <xdr:cNvSpPr txBox="1"/>
      </xdr:nvSpPr>
      <xdr:spPr>
        <a:xfrm>
          <a:off x="10325100" y="500634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49DC943-B6BD-4E23-BB23-AE4FFB93C5AB}" type="TxLink">
            <a:rPr lang="en-US" sz="1400" b="0" i="0" u="none" strike="noStrike">
              <a:solidFill>
                <a:schemeClr val="bg1"/>
              </a:solidFill>
              <a:latin typeface="Aptos Narrow"/>
              <a:ea typeface="+mn-ea"/>
              <a:cs typeface="+mn-cs"/>
            </a:rPr>
            <a:pPr marL="0" indent="0" algn="r"/>
            <a:t>Burndown Chart</a:t>
          </a:fld>
          <a:endParaRPr lang="ru-RU" sz="2000" b="0" i="0" u="none" strike="noStrike">
            <a:solidFill>
              <a:schemeClr val="bg1"/>
            </a:solidFill>
            <a:latin typeface="Aptos Narrow"/>
            <a:ea typeface="+mn-ea"/>
            <a:cs typeface="+mn-cs"/>
          </a:endParaRPr>
        </a:p>
      </xdr:txBody>
    </xdr:sp>
    <xdr:clientData/>
  </xdr:twoCellAnchor>
  <xdr:twoCellAnchor>
    <xdr:from>
      <xdr:col>16</xdr:col>
      <xdr:colOff>326898</xdr:colOff>
      <xdr:row>15</xdr:row>
      <xdr:rowOff>99060</xdr:rowOff>
    </xdr:from>
    <xdr:to>
      <xdr:col>19</xdr:col>
      <xdr:colOff>166878</xdr:colOff>
      <xdr:row>17</xdr:row>
      <xdr:rowOff>68580</xdr:rowOff>
    </xdr:to>
    <xdr:sp macro="" textlink="Processing!G7">
      <xdr:nvSpPr>
        <xdr:cNvPr id="53" name="TextBox 52">
          <a:extLst>
            <a:ext uri="{FF2B5EF4-FFF2-40B4-BE49-F238E27FC236}">
              <a16:creationId xmlns:a16="http://schemas.microsoft.com/office/drawing/2014/main" id="{7EDA56F6-D59D-45CA-8ED1-A3C1D1325E04}"/>
            </a:ext>
          </a:extLst>
        </xdr:cNvPr>
        <xdr:cNvSpPr txBox="1"/>
      </xdr:nvSpPr>
      <xdr:spPr>
        <a:xfrm>
          <a:off x="10080498"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882DA-B714-4953-B768-C0F4C0048482}" type="TxLink">
            <a:rPr lang="en-US" sz="1400" b="0" i="0" u="none" strike="noStrike">
              <a:solidFill>
                <a:schemeClr val="bg1"/>
              </a:solidFill>
              <a:latin typeface="Aptos Narrow"/>
              <a:ea typeface="+mn-ea"/>
              <a:cs typeface="+mn-cs"/>
            </a:rPr>
            <a:pPr marL="0" indent="0" algn="ctr"/>
            <a:t>Probability of Risk</a:t>
          </a:fld>
          <a:endParaRPr lang="ru-RU" sz="2800" b="0" i="0" u="none" strike="noStrike">
            <a:solidFill>
              <a:schemeClr val="bg1"/>
            </a:solidFill>
            <a:latin typeface="Aptos Narrow"/>
            <a:ea typeface="+mn-ea"/>
            <a:cs typeface="+mn-cs"/>
          </a:endParaRPr>
        </a:p>
      </xdr:txBody>
    </xdr:sp>
    <xdr:clientData/>
  </xdr:twoCellAnchor>
  <xdr:twoCellAnchor>
    <xdr:from>
      <xdr:col>3</xdr:col>
      <xdr:colOff>365760</xdr:colOff>
      <xdr:row>15</xdr:row>
      <xdr:rowOff>121920</xdr:rowOff>
    </xdr:from>
    <xdr:to>
      <xdr:col>5</xdr:col>
      <xdr:colOff>327660</xdr:colOff>
      <xdr:row>17</xdr:row>
      <xdr:rowOff>60960</xdr:rowOff>
    </xdr:to>
    <xdr:sp macro="" textlink="Processing!J15">
      <xdr:nvSpPr>
        <xdr:cNvPr id="54" name="TextBox 53">
          <a:extLst>
            <a:ext uri="{FF2B5EF4-FFF2-40B4-BE49-F238E27FC236}">
              <a16:creationId xmlns:a16="http://schemas.microsoft.com/office/drawing/2014/main" id="{6B4B619C-088C-4BD2-A5FE-F9A5F9608CAF}"/>
            </a:ext>
          </a:extLst>
        </xdr:cNvPr>
        <xdr:cNvSpPr txBox="1"/>
      </xdr:nvSpPr>
      <xdr:spPr>
        <a:xfrm>
          <a:off x="2194560" y="2865120"/>
          <a:ext cx="1181100" cy="304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9D522B-8322-4599-B73E-D5DB61C3F97F}" type="TxLink">
            <a:rPr lang="en-US" sz="1400" b="0" i="0" u="none" strike="noStrike">
              <a:solidFill>
                <a:schemeClr val="bg1"/>
              </a:solidFill>
              <a:latin typeface="Aptos Narrow"/>
              <a:ea typeface="+mn-ea"/>
              <a:cs typeface="+mn-cs"/>
            </a:rPr>
            <a:pPr marL="0" indent="0" algn="l"/>
            <a:t>Sprint Cycle</a:t>
          </a:fld>
          <a:endParaRPr lang="ru-RU" sz="2800" b="0" i="0" u="none" strike="noStrike">
            <a:solidFill>
              <a:schemeClr val="bg1"/>
            </a:solidFill>
            <a:latin typeface="Aptos Narrow"/>
            <a:ea typeface="+mn-ea"/>
            <a:cs typeface="+mn-cs"/>
          </a:endParaRPr>
        </a:p>
      </xdr:txBody>
    </xdr:sp>
    <xdr:clientData/>
  </xdr:twoCellAnchor>
  <xdr:twoCellAnchor>
    <xdr:from>
      <xdr:col>5</xdr:col>
      <xdr:colOff>549021</xdr:colOff>
      <xdr:row>28</xdr:row>
      <xdr:rowOff>7620</xdr:rowOff>
    </xdr:from>
    <xdr:to>
      <xdr:col>8</xdr:col>
      <xdr:colOff>555879</xdr:colOff>
      <xdr:row>29</xdr:row>
      <xdr:rowOff>160020</xdr:rowOff>
    </xdr:to>
    <xdr:sp macro="" textlink="Processing!J21">
      <xdr:nvSpPr>
        <xdr:cNvPr id="58" name="TextBox 57">
          <a:extLst>
            <a:ext uri="{FF2B5EF4-FFF2-40B4-BE49-F238E27FC236}">
              <a16:creationId xmlns:a16="http://schemas.microsoft.com/office/drawing/2014/main" id="{CC74C381-B1FF-4459-9562-90B228D05E1B}"/>
            </a:ext>
          </a:extLst>
        </xdr:cNvPr>
        <xdr:cNvSpPr txBox="1"/>
      </xdr:nvSpPr>
      <xdr:spPr>
        <a:xfrm>
          <a:off x="3597021" y="5128260"/>
          <a:ext cx="1835658"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D6B519C-04CB-4366-984C-E49743465B14}" type="TxLink">
            <a:rPr lang="en-US" sz="1800" b="0" i="0" u="none" strike="noStrike">
              <a:solidFill>
                <a:schemeClr val="tx2">
                  <a:lumMod val="10000"/>
                  <a:lumOff val="90000"/>
                </a:schemeClr>
              </a:solidFill>
              <a:latin typeface="Aptos Narrow"/>
              <a:ea typeface="+mn-ea"/>
              <a:cs typeface="+mn-cs"/>
            </a:rPr>
            <a:pPr marL="0" indent="0" algn="ctr"/>
            <a:t>Coding</a:t>
          </a:fld>
          <a:endParaRPr lang="ru-RU" sz="3600" b="0" i="0" u="none" strike="noStrike">
            <a:solidFill>
              <a:schemeClr val="tx2">
                <a:lumMod val="10000"/>
                <a:lumOff val="90000"/>
              </a:schemeClr>
            </a:solidFill>
            <a:latin typeface="Aptos Narrow"/>
            <a:ea typeface="+mn-ea"/>
            <a:cs typeface="+mn-cs"/>
          </a:endParaRPr>
        </a:p>
      </xdr:txBody>
    </xdr:sp>
    <xdr:clientData/>
  </xdr:twoCellAnchor>
  <xdr:twoCellAnchor>
    <xdr:from>
      <xdr:col>9</xdr:col>
      <xdr:colOff>533400</xdr:colOff>
      <xdr:row>15</xdr:row>
      <xdr:rowOff>160020</xdr:rowOff>
    </xdr:from>
    <xdr:to>
      <xdr:col>11</xdr:col>
      <xdr:colOff>106680</xdr:colOff>
      <xdr:row>17</xdr:row>
      <xdr:rowOff>129540</xdr:rowOff>
    </xdr:to>
    <xdr:sp macro="" textlink="Processing!J22">
      <xdr:nvSpPr>
        <xdr:cNvPr id="59" name="TextBox 58">
          <a:extLst>
            <a:ext uri="{FF2B5EF4-FFF2-40B4-BE49-F238E27FC236}">
              <a16:creationId xmlns:a16="http://schemas.microsoft.com/office/drawing/2014/main" id="{7850BC7C-B84B-4F38-83BB-A087FDF62DE3}"/>
            </a:ext>
          </a:extLst>
        </xdr:cNvPr>
        <xdr:cNvSpPr txBox="1"/>
      </xdr:nvSpPr>
      <xdr:spPr>
        <a:xfrm>
          <a:off x="6019800" y="2903220"/>
          <a:ext cx="792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D4197CC1-7D1D-4F64-BCB1-78D8A8D67E7B}" type="TxLink">
            <a:rPr lang="en-US" sz="1800" b="0" i="0" u="none" strike="noStrike">
              <a:solidFill>
                <a:schemeClr val="tx2">
                  <a:lumMod val="25000"/>
                  <a:lumOff val="75000"/>
                </a:schemeClr>
              </a:solidFill>
              <a:latin typeface="Aptos Narrow"/>
              <a:ea typeface="+mn-ea"/>
              <a:cs typeface="+mn-cs"/>
            </a:rPr>
            <a:pPr marL="0" indent="0" algn="r"/>
            <a:t>75%</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17</xdr:col>
      <xdr:colOff>147136</xdr:colOff>
      <xdr:row>8</xdr:row>
      <xdr:rowOff>953</xdr:rowOff>
    </xdr:from>
    <xdr:to>
      <xdr:col>18</xdr:col>
      <xdr:colOff>393884</xdr:colOff>
      <xdr:row>10</xdr:row>
      <xdr:rowOff>6668</xdr:rowOff>
    </xdr:to>
    <xdr:sp macro="" textlink="Processing!N1">
      <xdr:nvSpPr>
        <xdr:cNvPr id="60" name="TextBox 59">
          <a:extLst>
            <a:ext uri="{FF2B5EF4-FFF2-40B4-BE49-F238E27FC236}">
              <a16:creationId xmlns:a16="http://schemas.microsoft.com/office/drawing/2014/main" id="{BABC70F2-BA67-44DA-8ACB-5D7489D5C1FD}"/>
            </a:ext>
          </a:extLst>
        </xdr:cNvPr>
        <xdr:cNvSpPr txBox="1"/>
      </xdr:nvSpPr>
      <xdr:spPr>
        <a:xfrm>
          <a:off x="10510336" y="146399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9BF496-A9D2-4E15-BCAB-39BC5804DCD2}" type="TxLink">
            <a:rPr lang="en-US" sz="2400" b="0" i="0" u="none" strike="noStrike">
              <a:solidFill>
                <a:schemeClr val="tx2">
                  <a:lumMod val="10000"/>
                  <a:lumOff val="90000"/>
                </a:schemeClr>
              </a:solidFill>
              <a:latin typeface="Aptos Narrow"/>
              <a:ea typeface="+mn-ea"/>
              <a:cs typeface="+mn-cs"/>
            </a:rPr>
            <a:pPr marL="0" indent="0" algn="ctr"/>
            <a:t>37%</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xdr:from>
      <xdr:col>17</xdr:col>
      <xdr:colOff>147136</xdr:colOff>
      <xdr:row>9</xdr:row>
      <xdr:rowOff>54293</xdr:rowOff>
    </xdr:from>
    <xdr:to>
      <xdr:col>18</xdr:col>
      <xdr:colOff>393884</xdr:colOff>
      <xdr:row>11</xdr:row>
      <xdr:rowOff>60008</xdr:rowOff>
    </xdr:to>
    <xdr:sp macro="" textlink="Processing!M2">
      <xdr:nvSpPr>
        <xdr:cNvPr id="61" name="TextBox 60">
          <a:extLst>
            <a:ext uri="{FF2B5EF4-FFF2-40B4-BE49-F238E27FC236}">
              <a16:creationId xmlns:a16="http://schemas.microsoft.com/office/drawing/2014/main" id="{4077A968-19A2-4F6E-BC8B-023E51D6F9D7}"/>
            </a:ext>
          </a:extLst>
        </xdr:cNvPr>
        <xdr:cNvSpPr txBox="1"/>
      </xdr:nvSpPr>
      <xdr:spPr>
        <a:xfrm>
          <a:off x="105103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75CF99-E146-4C69-9413-E960205988BC}" type="TxLink">
            <a:rPr lang="en-US" sz="1100" b="0" i="0" u="none" strike="noStrike">
              <a:solidFill>
                <a:schemeClr val="tx2">
                  <a:lumMod val="10000"/>
                  <a:lumOff val="90000"/>
                </a:schemeClr>
              </a:solidFill>
              <a:latin typeface="Aptos Narrow"/>
              <a:ea typeface="+mn-ea"/>
              <a:cs typeface="+mn-cs"/>
            </a:rPr>
            <a:pPr marL="0" indent="0" algn="ctr"/>
            <a:t>Budget</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18" name="Graphic 17" descr="Home with solid fill">
          <a:hlinkClick xmlns:r="http://schemas.openxmlformats.org/officeDocument/2006/relationships" r:id="rId9"/>
          <a:extLst>
            <a:ext uri="{FF2B5EF4-FFF2-40B4-BE49-F238E27FC236}">
              <a16:creationId xmlns:a16="http://schemas.microsoft.com/office/drawing/2014/main" id="{11D698CC-EF71-4E26-8C3D-F5CE4C4AAA9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609600" y="182880"/>
          <a:ext cx="274320" cy="274320"/>
        </a:xfrm>
        <a:prstGeom prst="rect">
          <a:avLst/>
        </a:prstGeom>
        <a:effectLst/>
      </xdr:spPr>
    </xdr:pic>
    <xdr:clientData/>
  </xdr:twoCellAnchor>
  <xdr:twoCellAnchor>
    <xdr:from>
      <xdr:col>0</xdr:col>
      <xdr:colOff>0</xdr:colOff>
      <xdr:row>0</xdr:row>
      <xdr:rowOff>0</xdr:rowOff>
    </xdr:from>
    <xdr:to>
      <xdr:col>1</xdr:col>
      <xdr:colOff>30480</xdr:colOff>
      <xdr:row>1</xdr:row>
      <xdr:rowOff>152400</xdr:rowOff>
    </xdr:to>
    <xdr:sp macro="" textlink="">
      <xdr:nvSpPr>
        <xdr:cNvPr id="29" name="Rectangle 28">
          <a:extLst>
            <a:ext uri="{FF2B5EF4-FFF2-40B4-BE49-F238E27FC236}">
              <a16:creationId xmlns:a16="http://schemas.microsoft.com/office/drawing/2014/main" id="{6E6CB864-B620-4304-9E8C-04A6B293BE0B}"/>
            </a:ext>
          </a:extLst>
        </xdr:cNvPr>
        <xdr:cNvSpPr/>
      </xdr:nvSpPr>
      <xdr:spPr>
        <a:xfrm>
          <a:off x="0" y="0"/>
          <a:ext cx="640080" cy="335280"/>
        </a:xfrm>
        <a:prstGeom prst="rect">
          <a:avLst/>
        </a:pr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213360</xdr:colOff>
      <xdr:row>6</xdr:row>
      <xdr:rowOff>99060</xdr:rowOff>
    </xdr:from>
    <xdr:to>
      <xdr:col>7</xdr:col>
      <xdr:colOff>121920</xdr:colOff>
      <xdr:row>13</xdr:row>
      <xdr:rowOff>167640</xdr:rowOff>
    </xdr:to>
    <xdr:sp macro="" textlink="">
      <xdr:nvSpPr>
        <xdr:cNvPr id="33" name="Rectangle: Rounded Corners 32">
          <a:hlinkClick xmlns:r="http://schemas.openxmlformats.org/officeDocument/2006/relationships" r:id="rId12"/>
          <a:extLst>
            <a:ext uri="{FF2B5EF4-FFF2-40B4-BE49-F238E27FC236}">
              <a16:creationId xmlns:a16="http://schemas.microsoft.com/office/drawing/2014/main" id="{5555208D-4CD6-4A0E-B958-74C927A68BDF}"/>
            </a:ext>
          </a:extLst>
        </xdr:cNvPr>
        <xdr:cNvSpPr/>
      </xdr:nvSpPr>
      <xdr:spPr>
        <a:xfrm>
          <a:off x="2042160" y="119634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335280</xdr:colOff>
      <xdr:row>6</xdr:row>
      <xdr:rowOff>99060</xdr:rowOff>
    </xdr:from>
    <xdr:to>
      <xdr:col>11</xdr:col>
      <xdr:colOff>243840</xdr:colOff>
      <xdr:row>13</xdr:row>
      <xdr:rowOff>167640</xdr:rowOff>
    </xdr:to>
    <xdr:sp macro="" textlink="">
      <xdr:nvSpPr>
        <xdr:cNvPr id="34" name="Rectangle: Rounded Corners 33">
          <a:hlinkClick xmlns:r="http://schemas.openxmlformats.org/officeDocument/2006/relationships" r:id="rId13"/>
          <a:extLst>
            <a:ext uri="{FF2B5EF4-FFF2-40B4-BE49-F238E27FC236}">
              <a16:creationId xmlns:a16="http://schemas.microsoft.com/office/drawing/2014/main" id="{A3C9D5AB-4417-4FF7-A617-D3EE068E55A9}"/>
            </a:ext>
          </a:extLst>
        </xdr:cNvPr>
        <xdr:cNvSpPr/>
      </xdr:nvSpPr>
      <xdr:spPr>
        <a:xfrm>
          <a:off x="4602480" y="119634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464820</xdr:colOff>
      <xdr:row>6</xdr:row>
      <xdr:rowOff>99060</xdr:rowOff>
    </xdr:from>
    <xdr:to>
      <xdr:col>15</xdr:col>
      <xdr:colOff>373380</xdr:colOff>
      <xdr:row>13</xdr:row>
      <xdr:rowOff>167640</xdr:rowOff>
    </xdr:to>
    <xdr:sp macro="" textlink="">
      <xdr:nvSpPr>
        <xdr:cNvPr id="55" name="Rectangle: Rounded Corners 54">
          <a:hlinkClick xmlns:r="http://schemas.openxmlformats.org/officeDocument/2006/relationships" r:id="rId14"/>
          <a:extLst>
            <a:ext uri="{FF2B5EF4-FFF2-40B4-BE49-F238E27FC236}">
              <a16:creationId xmlns:a16="http://schemas.microsoft.com/office/drawing/2014/main" id="{8D2830B1-E8B2-487F-B7E1-44D71206ECEB}"/>
            </a:ext>
          </a:extLst>
        </xdr:cNvPr>
        <xdr:cNvSpPr/>
      </xdr:nvSpPr>
      <xdr:spPr>
        <a:xfrm>
          <a:off x="7170420" y="119634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320040</xdr:colOff>
      <xdr:row>3</xdr:row>
      <xdr:rowOff>34080</xdr:rowOff>
    </xdr:from>
    <xdr:to>
      <xdr:col>11</xdr:col>
      <xdr:colOff>274320</xdr:colOff>
      <xdr:row>6</xdr:row>
      <xdr:rowOff>110709</xdr:rowOff>
    </xdr:to>
    <xdr:graphicFrame macro="">
      <xdr:nvGraphicFramePr>
        <xdr:cNvPr id="56" name="Chart 55">
          <a:extLst>
            <a:ext uri="{FF2B5EF4-FFF2-40B4-BE49-F238E27FC236}">
              <a16:creationId xmlns:a16="http://schemas.microsoft.com/office/drawing/2014/main" id="{5273A7BB-E840-45AD-89D2-7777A3AD6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7</xdr:col>
      <xdr:colOff>398596</xdr:colOff>
      <xdr:row>2</xdr:row>
      <xdr:rowOff>137160</xdr:rowOff>
    </xdr:from>
    <xdr:to>
      <xdr:col>9</xdr:col>
      <xdr:colOff>35744</xdr:colOff>
      <xdr:row>4</xdr:row>
      <xdr:rowOff>23301</xdr:rowOff>
    </xdr:to>
    <xdr:sp macro="" textlink="Processing!L25">
      <xdr:nvSpPr>
        <xdr:cNvPr id="57" name="TextBox 56">
          <a:extLst>
            <a:ext uri="{FF2B5EF4-FFF2-40B4-BE49-F238E27FC236}">
              <a16:creationId xmlns:a16="http://schemas.microsoft.com/office/drawing/2014/main" id="{8B9FA917-0679-49E7-8DC8-6B381474C256}"/>
            </a:ext>
          </a:extLst>
        </xdr:cNvPr>
        <xdr:cNvSpPr txBox="1"/>
      </xdr:nvSpPr>
      <xdr:spPr>
        <a:xfrm>
          <a:off x="466579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E048EC1-626B-4535-9795-15527FBB8A18}" type="TxLink">
            <a:rPr lang="en-US" sz="1000" b="0" i="0" u="none" strike="noStrike">
              <a:solidFill>
                <a:schemeClr val="tx2">
                  <a:lumMod val="10000"/>
                  <a:lumOff val="90000"/>
                </a:schemeClr>
              </a:solidFill>
              <a:latin typeface="Aptos Narrow"/>
              <a:ea typeface="+mn-ea"/>
              <a:cs typeface="+mn-cs"/>
            </a:rPr>
            <a:pPr marL="0" indent="0" algn="ctr"/>
            <a:t>Prototype 1</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8</xdr:col>
      <xdr:colOff>490036</xdr:colOff>
      <xdr:row>2</xdr:row>
      <xdr:rowOff>137160</xdr:rowOff>
    </xdr:from>
    <xdr:to>
      <xdr:col>10</xdr:col>
      <xdr:colOff>127184</xdr:colOff>
      <xdr:row>4</xdr:row>
      <xdr:rowOff>23301</xdr:rowOff>
    </xdr:to>
    <xdr:sp macro="" textlink="Processing!L26">
      <xdr:nvSpPr>
        <xdr:cNvPr id="62" name="TextBox 61">
          <a:extLst>
            <a:ext uri="{FF2B5EF4-FFF2-40B4-BE49-F238E27FC236}">
              <a16:creationId xmlns:a16="http://schemas.microsoft.com/office/drawing/2014/main" id="{7B169229-F697-4D2C-85FB-285EA398C0E9}"/>
            </a:ext>
          </a:extLst>
        </xdr:cNvPr>
        <xdr:cNvSpPr txBox="1"/>
      </xdr:nvSpPr>
      <xdr:spPr>
        <a:xfrm>
          <a:off x="536683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BA16A-346B-48D7-B984-8F33C8C861EB}"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9</xdr:col>
      <xdr:colOff>581476</xdr:colOff>
      <xdr:row>2</xdr:row>
      <xdr:rowOff>137160</xdr:rowOff>
    </xdr:from>
    <xdr:to>
      <xdr:col>11</xdr:col>
      <xdr:colOff>218624</xdr:colOff>
      <xdr:row>4</xdr:row>
      <xdr:rowOff>23301</xdr:rowOff>
    </xdr:to>
    <xdr:sp macro="" textlink="Processing!L27">
      <xdr:nvSpPr>
        <xdr:cNvPr id="63" name="TextBox 62">
          <a:extLst>
            <a:ext uri="{FF2B5EF4-FFF2-40B4-BE49-F238E27FC236}">
              <a16:creationId xmlns:a16="http://schemas.microsoft.com/office/drawing/2014/main" id="{690618A8-4E21-49E5-807B-9BAF1EAF5FBE}"/>
            </a:ext>
          </a:extLst>
        </xdr:cNvPr>
        <xdr:cNvSpPr txBox="1"/>
      </xdr:nvSpPr>
      <xdr:spPr>
        <a:xfrm>
          <a:off x="606787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F1CCF5-A163-49E2-878C-369D12AA2B85}"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566998</xdr:colOff>
      <xdr:row>3</xdr:row>
      <xdr:rowOff>10958</xdr:rowOff>
    </xdr:from>
    <xdr:to>
      <xdr:col>8</xdr:col>
      <xdr:colOff>476943</xdr:colOff>
      <xdr:row>5</xdr:row>
      <xdr:rowOff>88543</xdr:rowOff>
    </xdr:to>
    <xdr:sp macro="" textlink="">
      <xdr:nvSpPr>
        <xdr:cNvPr id="64" name="Rectangle: Rounded Corners 63">
          <a:hlinkClick xmlns:r="http://schemas.openxmlformats.org/officeDocument/2006/relationships" r:id="rId16"/>
          <a:extLst>
            <a:ext uri="{FF2B5EF4-FFF2-40B4-BE49-F238E27FC236}">
              <a16:creationId xmlns:a16="http://schemas.microsoft.com/office/drawing/2014/main" id="{2FC59802-4FB1-4ABC-B663-CD89033E095A}"/>
            </a:ext>
          </a:extLst>
        </xdr:cNvPr>
        <xdr:cNvSpPr/>
      </xdr:nvSpPr>
      <xdr:spPr>
        <a:xfrm>
          <a:off x="483419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41218</xdr:colOff>
      <xdr:row>3</xdr:row>
      <xdr:rowOff>10958</xdr:rowOff>
    </xdr:from>
    <xdr:to>
      <xdr:col>9</xdr:col>
      <xdr:colOff>560763</xdr:colOff>
      <xdr:row>5</xdr:row>
      <xdr:rowOff>88543</xdr:rowOff>
    </xdr:to>
    <xdr:sp macro="" textlink="">
      <xdr:nvSpPr>
        <xdr:cNvPr id="65" name="Rectangle: Rounded Corners 64">
          <a:hlinkClick xmlns:r="http://schemas.openxmlformats.org/officeDocument/2006/relationships" r:id="rId17"/>
          <a:extLst>
            <a:ext uri="{FF2B5EF4-FFF2-40B4-BE49-F238E27FC236}">
              <a16:creationId xmlns:a16="http://schemas.microsoft.com/office/drawing/2014/main" id="{BB261F19-D2EF-42C4-B57D-91FE9500D4C9}"/>
            </a:ext>
          </a:extLst>
        </xdr:cNvPr>
        <xdr:cNvSpPr/>
      </xdr:nvSpPr>
      <xdr:spPr>
        <a:xfrm>
          <a:off x="552761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125038</xdr:colOff>
      <xdr:row>3</xdr:row>
      <xdr:rowOff>10958</xdr:rowOff>
    </xdr:from>
    <xdr:to>
      <xdr:col>11</xdr:col>
      <xdr:colOff>34983</xdr:colOff>
      <xdr:row>5</xdr:row>
      <xdr:rowOff>88543</xdr:rowOff>
    </xdr:to>
    <xdr:sp macro="" textlink="">
      <xdr:nvSpPr>
        <xdr:cNvPr id="66" name="Rectangle: Rounded Corners 65">
          <a:hlinkClick xmlns:r="http://schemas.openxmlformats.org/officeDocument/2006/relationships" r:id="rId18"/>
          <a:extLst>
            <a:ext uri="{FF2B5EF4-FFF2-40B4-BE49-F238E27FC236}">
              <a16:creationId xmlns:a16="http://schemas.microsoft.com/office/drawing/2014/main" id="{79809DE1-5573-44B0-B472-89B3105BACCD}"/>
            </a:ext>
          </a:extLst>
        </xdr:cNvPr>
        <xdr:cNvSpPr/>
      </xdr:nvSpPr>
      <xdr:spPr>
        <a:xfrm>
          <a:off x="622103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365760</xdr:colOff>
      <xdr:row>17</xdr:row>
      <xdr:rowOff>15240</xdr:rowOff>
    </xdr:from>
    <xdr:to>
      <xdr:col>5</xdr:col>
      <xdr:colOff>327660</xdr:colOff>
      <xdr:row>24</xdr:row>
      <xdr:rowOff>144780</xdr:rowOff>
    </xdr:to>
    <xdr:sp macro="" textlink="Processing!S22">
      <xdr:nvSpPr>
        <xdr:cNvPr id="14" name="TextBox 13">
          <a:extLst>
            <a:ext uri="{FF2B5EF4-FFF2-40B4-BE49-F238E27FC236}">
              <a16:creationId xmlns:a16="http://schemas.microsoft.com/office/drawing/2014/main" id="{DFD83BD5-A6D4-0032-90E5-C98530236BEC}"/>
            </a:ext>
          </a:extLst>
        </xdr:cNvPr>
        <xdr:cNvSpPr txBox="1"/>
      </xdr:nvSpPr>
      <xdr:spPr>
        <a:xfrm>
          <a:off x="2194560" y="3124200"/>
          <a:ext cx="1181100" cy="14097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2A1C00D-8A06-48B7-B651-B08A10F14063}" type="TxLink">
            <a:rPr lang="en-US" sz="1300" b="0" i="0" u="none" strike="noStrike">
              <a:solidFill>
                <a:schemeClr val="bg1"/>
              </a:solidFill>
              <a:latin typeface="Aptos Narrow"/>
              <a:ea typeface="+mn-ea"/>
              <a:cs typeface="+mn-cs"/>
            </a:rPr>
            <a:pPr marL="0" indent="0" algn="l"/>
            <a:t>Planning
Design
Coding
Testing
Release</a:t>
          </a:fld>
          <a:endParaRPr lang="ru-RU" sz="1300" b="0" i="0" u="none" strike="noStrike">
            <a:solidFill>
              <a:schemeClr val="bg1"/>
            </a:solidFill>
            <a:latin typeface="Aptos Narrow"/>
            <a:ea typeface="+mn-ea"/>
            <a:cs typeface="+mn-cs"/>
          </a:endParaRPr>
        </a:p>
      </xdr:txBody>
    </xdr:sp>
    <xdr:clientData/>
  </xdr:twoCellAnchor>
  <xdr:twoCellAnchor>
    <xdr:from>
      <xdr:col>8</xdr:col>
      <xdr:colOff>15240</xdr:colOff>
      <xdr:row>16</xdr:row>
      <xdr:rowOff>0</xdr:rowOff>
    </xdr:from>
    <xdr:to>
      <xdr:col>10</xdr:col>
      <xdr:colOff>182880</xdr:colOff>
      <xdr:row>17</xdr:row>
      <xdr:rowOff>152400</xdr:rowOff>
    </xdr:to>
    <xdr:sp macro="" textlink="Processing!J23">
      <xdr:nvSpPr>
        <xdr:cNvPr id="67" name="TextBox 66">
          <a:extLst>
            <a:ext uri="{FF2B5EF4-FFF2-40B4-BE49-F238E27FC236}">
              <a16:creationId xmlns:a16="http://schemas.microsoft.com/office/drawing/2014/main" id="{F837E707-36D5-6FCD-3D2D-311792956E0B}"/>
            </a:ext>
          </a:extLst>
        </xdr:cNvPr>
        <xdr:cNvSpPr txBox="1"/>
      </xdr:nvSpPr>
      <xdr:spPr>
        <a:xfrm>
          <a:off x="4892040" y="292608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BE62E418-F353-4A2A-97C9-42463253D99D}" type="TxLink">
            <a:rPr lang="en-US" sz="1400" b="0" i="0" u="none" strike="noStrike">
              <a:solidFill>
                <a:schemeClr val="bg1"/>
              </a:solidFill>
              <a:latin typeface="Aptos Narrow"/>
              <a:ea typeface="+mn-ea"/>
              <a:cs typeface="+mn-cs"/>
            </a:rPr>
            <a:pPr marL="0" indent="0" algn="r"/>
            <a:t>Progress Made:</a:t>
          </a:fld>
          <a:endParaRPr lang="ru-RU" sz="2400" b="0" i="0" u="none" strike="noStrike">
            <a:solidFill>
              <a:schemeClr val="bg1"/>
            </a:solidFill>
            <a:latin typeface="Aptos Narrow"/>
            <a:ea typeface="+mn-ea"/>
            <a:cs typeface="+mn-cs"/>
          </a:endParaRPr>
        </a:p>
      </xdr:txBody>
    </xdr:sp>
    <xdr:clientData/>
  </xdr:twoCellAnchor>
  <xdr:twoCellAnchor>
    <xdr:from>
      <xdr:col>3</xdr:col>
      <xdr:colOff>365760</xdr:colOff>
      <xdr:row>17</xdr:row>
      <xdr:rowOff>15240</xdr:rowOff>
    </xdr:from>
    <xdr:to>
      <xdr:col>5</xdr:col>
      <xdr:colOff>533400</xdr:colOff>
      <xdr:row>18</xdr:row>
      <xdr:rowOff>167640</xdr:rowOff>
    </xdr:to>
    <xdr:sp macro="" textlink="Processing!S16">
      <xdr:nvSpPr>
        <xdr:cNvPr id="68" name="TextBox 67">
          <a:extLst>
            <a:ext uri="{FF2B5EF4-FFF2-40B4-BE49-F238E27FC236}">
              <a16:creationId xmlns:a16="http://schemas.microsoft.com/office/drawing/2014/main" id="{F7417AD2-0076-75E6-8061-CB8168A5866E}"/>
            </a:ext>
          </a:extLst>
        </xdr:cNvPr>
        <xdr:cNvSpPr txBox="1"/>
      </xdr:nvSpPr>
      <xdr:spPr>
        <a:xfrm>
          <a:off x="2194560" y="312420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7856DCC-4D85-4EDB-A0D7-EA79CDB11ED3}" type="TxLink">
            <a:rPr lang="en-US" sz="1300" b="0" i="0" u="none" strike="noStrike">
              <a:solidFill>
                <a:srgbClr val="30EDFD"/>
              </a:solidFill>
              <a:latin typeface="Aptos Narrow"/>
              <a:ea typeface="+mn-ea"/>
              <a:cs typeface="+mn-cs"/>
            </a:rPr>
            <a:pPr marL="0" indent="0" algn="l"/>
            <a:t>Planning</a:t>
          </a:fld>
          <a:endParaRPr lang="ru-RU" sz="1300" b="0" i="0" u="none" strike="noStrike">
            <a:solidFill>
              <a:srgbClr val="30EDFD"/>
            </a:solidFill>
            <a:latin typeface="Aptos Narrow"/>
            <a:ea typeface="+mn-ea"/>
            <a:cs typeface="+mn-cs"/>
          </a:endParaRPr>
        </a:p>
      </xdr:txBody>
    </xdr:sp>
    <xdr:clientData/>
  </xdr:twoCellAnchor>
  <xdr:twoCellAnchor>
    <xdr:from>
      <xdr:col>3</xdr:col>
      <xdr:colOff>365760</xdr:colOff>
      <xdr:row>18</xdr:row>
      <xdr:rowOff>38100</xdr:rowOff>
    </xdr:from>
    <xdr:to>
      <xdr:col>5</xdr:col>
      <xdr:colOff>533400</xdr:colOff>
      <xdr:row>20</xdr:row>
      <xdr:rowOff>7620</xdr:rowOff>
    </xdr:to>
    <xdr:sp macro="" textlink="Processing!T17">
      <xdr:nvSpPr>
        <xdr:cNvPr id="69" name="TextBox 68">
          <a:extLst>
            <a:ext uri="{FF2B5EF4-FFF2-40B4-BE49-F238E27FC236}">
              <a16:creationId xmlns:a16="http://schemas.microsoft.com/office/drawing/2014/main" id="{50CB8AE4-FC4A-1A81-150F-6620383481F2}"/>
            </a:ext>
          </a:extLst>
        </xdr:cNvPr>
        <xdr:cNvSpPr txBox="1"/>
      </xdr:nvSpPr>
      <xdr:spPr>
        <a:xfrm>
          <a:off x="2194560" y="332994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4653B15-7436-458C-8FF8-28DF8161ED43}" type="TxLink">
            <a:rPr lang="en-US" sz="1300" b="0" i="0" u="none" strike="noStrike">
              <a:solidFill>
                <a:srgbClr val="CC00CC"/>
              </a:solidFill>
              <a:latin typeface="Aptos Narrow"/>
              <a:ea typeface="+mn-ea"/>
              <a:cs typeface="+mn-cs"/>
            </a:rPr>
            <a:pPr marL="0" indent="0" algn="l"/>
            <a:t>Design</a:t>
          </a:fld>
          <a:endParaRPr lang="ru-RU" sz="1300" b="0" i="0" u="none" strike="noStrike">
            <a:solidFill>
              <a:srgbClr val="CC00CC"/>
            </a:solidFill>
            <a:latin typeface="Aptos Narrow"/>
            <a:ea typeface="+mn-ea"/>
            <a:cs typeface="+mn-cs"/>
          </a:endParaRPr>
        </a:p>
      </xdr:txBody>
    </xdr:sp>
    <xdr:clientData/>
  </xdr:twoCellAnchor>
  <xdr:twoCellAnchor>
    <xdr:from>
      <xdr:col>3</xdr:col>
      <xdr:colOff>365760</xdr:colOff>
      <xdr:row>19</xdr:row>
      <xdr:rowOff>53340</xdr:rowOff>
    </xdr:from>
    <xdr:to>
      <xdr:col>5</xdr:col>
      <xdr:colOff>533400</xdr:colOff>
      <xdr:row>21</xdr:row>
      <xdr:rowOff>22860</xdr:rowOff>
    </xdr:to>
    <xdr:sp macro="" textlink="Processing!T18">
      <xdr:nvSpPr>
        <xdr:cNvPr id="70" name="TextBox 69">
          <a:extLst>
            <a:ext uri="{FF2B5EF4-FFF2-40B4-BE49-F238E27FC236}">
              <a16:creationId xmlns:a16="http://schemas.microsoft.com/office/drawing/2014/main" id="{6F5C135A-7671-CD2E-60E0-F20407D1EA1C}"/>
            </a:ext>
          </a:extLst>
        </xdr:cNvPr>
        <xdr:cNvSpPr txBox="1"/>
      </xdr:nvSpPr>
      <xdr:spPr>
        <a:xfrm>
          <a:off x="2194560" y="352806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7593D3DA-D31E-46F7-B0D3-8B31E21282D2}" type="TxLink">
            <a:rPr lang="en-US" sz="1300" b="0" i="0" u="none" strike="noStrike">
              <a:solidFill>
                <a:srgbClr val="2069F0"/>
              </a:solidFill>
              <a:latin typeface="Aptos Narrow"/>
              <a:ea typeface="+mn-ea"/>
              <a:cs typeface="+mn-cs"/>
            </a:rPr>
            <a:pPr marL="0" indent="0" algn="l"/>
            <a:t>Coding</a:t>
          </a:fld>
          <a:endParaRPr lang="ru-RU" sz="1300" b="0" i="0" u="none" strike="noStrike">
            <a:solidFill>
              <a:srgbClr val="2069F0"/>
            </a:solidFill>
            <a:latin typeface="Aptos Narrow"/>
            <a:ea typeface="+mn-ea"/>
            <a:cs typeface="+mn-cs"/>
          </a:endParaRPr>
        </a:p>
      </xdr:txBody>
    </xdr:sp>
    <xdr:clientData/>
  </xdr:twoCellAnchor>
  <xdr:twoCellAnchor>
    <xdr:from>
      <xdr:col>3</xdr:col>
      <xdr:colOff>365760</xdr:colOff>
      <xdr:row>20</xdr:row>
      <xdr:rowOff>76200</xdr:rowOff>
    </xdr:from>
    <xdr:to>
      <xdr:col>5</xdr:col>
      <xdr:colOff>533400</xdr:colOff>
      <xdr:row>22</xdr:row>
      <xdr:rowOff>45720</xdr:rowOff>
    </xdr:to>
    <xdr:sp macro="" textlink="Processing!T19">
      <xdr:nvSpPr>
        <xdr:cNvPr id="71" name="TextBox 70">
          <a:extLst>
            <a:ext uri="{FF2B5EF4-FFF2-40B4-BE49-F238E27FC236}">
              <a16:creationId xmlns:a16="http://schemas.microsoft.com/office/drawing/2014/main" id="{535F4FF7-3F27-4653-9C6B-192691E5CE2A}"/>
            </a:ext>
          </a:extLst>
        </xdr:cNvPr>
        <xdr:cNvSpPr txBox="1"/>
      </xdr:nvSpPr>
      <xdr:spPr>
        <a:xfrm>
          <a:off x="2194560" y="373380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E0F3C4A9-7816-4963-901D-D89D6A982A0D}" type="TxLink">
            <a:rPr lang="en-US" sz="1300" b="0" i="0" u="none" strike="noStrike">
              <a:solidFill>
                <a:srgbClr val="9933FF"/>
              </a:solidFill>
              <a:latin typeface="Aptos Narrow"/>
              <a:ea typeface="+mn-ea"/>
              <a:cs typeface="+mn-cs"/>
            </a:rPr>
            <a:pPr marL="0" indent="0" algn="l"/>
            <a:t> </a:t>
          </a:fld>
          <a:endParaRPr lang="ru-RU" sz="1300" b="0" i="0" u="none" strike="noStrike">
            <a:solidFill>
              <a:srgbClr val="9933FF"/>
            </a:solidFill>
            <a:latin typeface="Aptos Narrow"/>
            <a:ea typeface="+mn-ea"/>
            <a:cs typeface="+mn-cs"/>
          </a:endParaRPr>
        </a:p>
      </xdr:txBody>
    </xdr:sp>
    <xdr:clientData/>
  </xdr:twoCellAnchor>
  <xdr:twoCellAnchor>
    <xdr:from>
      <xdr:col>3</xdr:col>
      <xdr:colOff>365760</xdr:colOff>
      <xdr:row>21</xdr:row>
      <xdr:rowOff>91440</xdr:rowOff>
    </xdr:from>
    <xdr:to>
      <xdr:col>5</xdr:col>
      <xdr:colOff>533400</xdr:colOff>
      <xdr:row>23</xdr:row>
      <xdr:rowOff>60960</xdr:rowOff>
    </xdr:to>
    <xdr:sp macro="" textlink="Processing!T20">
      <xdr:nvSpPr>
        <xdr:cNvPr id="72" name="TextBox 71">
          <a:extLst>
            <a:ext uri="{FF2B5EF4-FFF2-40B4-BE49-F238E27FC236}">
              <a16:creationId xmlns:a16="http://schemas.microsoft.com/office/drawing/2014/main" id="{5278DAE7-B4F7-98B3-43E8-153115E6E586}"/>
            </a:ext>
          </a:extLst>
        </xdr:cNvPr>
        <xdr:cNvSpPr txBox="1"/>
      </xdr:nvSpPr>
      <xdr:spPr>
        <a:xfrm>
          <a:off x="2194560" y="3931920"/>
          <a:ext cx="13868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9918E49-9B52-4694-B0CE-8CA3F578887B}" type="TxLink">
            <a:rPr lang="en-US" sz="1300" b="0" i="0" u="none" strike="noStrike">
              <a:solidFill>
                <a:srgbClr val="FD447B"/>
              </a:solidFill>
              <a:latin typeface="Aptos Narrow"/>
              <a:ea typeface="+mn-ea"/>
              <a:cs typeface="+mn-cs"/>
            </a:rPr>
            <a:pPr marL="0" indent="0" algn="l"/>
            <a:t> </a:t>
          </a:fld>
          <a:endParaRPr lang="ru-RU" sz="1300" b="0" i="0" u="none" strike="noStrike">
            <a:solidFill>
              <a:srgbClr val="FD447B"/>
            </a:solidFill>
            <a:latin typeface="Aptos Narrow"/>
            <a:ea typeface="+mn-ea"/>
            <a:cs typeface="+mn-cs"/>
          </a:endParaRPr>
        </a:p>
      </xdr:txBody>
    </xdr:sp>
    <xdr:clientData/>
  </xdr:twoCellAnchor>
  <xdr:twoCellAnchor>
    <xdr:from>
      <xdr:col>4</xdr:col>
      <xdr:colOff>464820</xdr:colOff>
      <xdr:row>17</xdr:row>
      <xdr:rowOff>15240</xdr:rowOff>
    </xdr:from>
    <xdr:to>
      <xdr:col>6</xdr:col>
      <xdr:colOff>7620</xdr:colOff>
      <xdr:row>23</xdr:row>
      <xdr:rowOff>144780</xdr:rowOff>
    </xdr:to>
    <xdr:sp macro="" textlink="Processing!S23">
      <xdr:nvSpPr>
        <xdr:cNvPr id="73" name="TextBox 72">
          <a:extLst>
            <a:ext uri="{FF2B5EF4-FFF2-40B4-BE49-F238E27FC236}">
              <a16:creationId xmlns:a16="http://schemas.microsoft.com/office/drawing/2014/main" id="{7E78F68E-4822-FE2C-0873-6C29BD08E921}"/>
            </a:ext>
          </a:extLst>
        </xdr:cNvPr>
        <xdr:cNvSpPr txBox="1"/>
      </xdr:nvSpPr>
      <xdr:spPr>
        <a:xfrm>
          <a:off x="2903220" y="3124200"/>
          <a:ext cx="762000" cy="12268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1083E16-3FC3-4E74-A989-BDAE3B2D6391}" type="TxLink">
            <a:rPr lang="en-US" sz="1300" b="0" i="0" u="none" strike="noStrike">
              <a:solidFill>
                <a:srgbClr val="A6CAEC"/>
              </a:solidFill>
              <a:latin typeface="Aptos Narrow"/>
              <a:ea typeface="+mn-ea"/>
              <a:cs typeface="+mn-cs"/>
            </a:rPr>
            <a:pPr marL="0" indent="0" algn="l"/>
            <a:t>100%
100%
100%
0%
0%</a:t>
          </a:fld>
          <a:endParaRPr lang="ru-RU" sz="1300" b="0" i="0" u="none" strike="noStrike">
            <a:solidFill>
              <a:srgbClr val="A6CAEC"/>
            </a:solidFill>
            <a:latin typeface="Aptos Narrow"/>
            <a:ea typeface="+mn-ea"/>
            <a:cs typeface="+mn-cs"/>
          </a:endParaRPr>
        </a:p>
      </xdr:txBody>
    </xdr:sp>
    <xdr:clientData/>
  </xdr:twoCellAnchor>
  <xdr:twoCellAnchor>
    <xdr:from>
      <xdr:col>11</xdr:col>
      <xdr:colOff>457200</xdr:colOff>
      <xdr:row>15</xdr:row>
      <xdr:rowOff>38100</xdr:rowOff>
    </xdr:from>
    <xdr:to>
      <xdr:col>15</xdr:col>
      <xdr:colOff>396240</xdr:colOff>
      <xdr:row>25</xdr:row>
      <xdr:rowOff>129540</xdr:rowOff>
    </xdr:to>
    <xdr:grpSp>
      <xdr:nvGrpSpPr>
        <xdr:cNvPr id="78" name="Group 77">
          <a:extLst>
            <a:ext uri="{FF2B5EF4-FFF2-40B4-BE49-F238E27FC236}">
              <a16:creationId xmlns:a16="http://schemas.microsoft.com/office/drawing/2014/main" id="{EA0BAFE8-7671-47A3-AF86-D3D9720E15F9}"/>
            </a:ext>
          </a:extLst>
        </xdr:cNvPr>
        <xdr:cNvGrpSpPr/>
      </xdr:nvGrpSpPr>
      <xdr:grpSpPr>
        <a:xfrm>
          <a:off x="6976533" y="2895600"/>
          <a:ext cx="2309707" cy="1996440"/>
          <a:chOff x="5514594" y="4907280"/>
          <a:chExt cx="2377440" cy="1920240"/>
        </a:xfrm>
      </xdr:grpSpPr>
      <xdr:sp macro="" textlink="">
        <xdr:nvSpPr>
          <xdr:cNvPr id="79" name="Rectangle: Rounded Corners 78">
            <a:extLst>
              <a:ext uri="{FF2B5EF4-FFF2-40B4-BE49-F238E27FC236}">
                <a16:creationId xmlns:a16="http://schemas.microsoft.com/office/drawing/2014/main" id="{2B659130-C74D-43B7-F834-69A8CF2B3775}"/>
              </a:ext>
            </a:extLst>
          </xdr:cNvPr>
          <xdr:cNvSpPr/>
        </xdr:nvSpPr>
        <xdr:spPr>
          <a:xfrm>
            <a:off x="5514594" y="4907280"/>
            <a:ext cx="2377440" cy="1920240"/>
          </a:xfrm>
          <a:prstGeom prst="roundRect">
            <a:avLst>
              <a:gd name="adj" fmla="val 8874"/>
            </a:avLst>
          </a:prstGeom>
          <a:gradFill flip="none" rotWithShape="1">
            <a:gsLst>
              <a:gs pos="4000">
                <a:srgbClr val="0F0048"/>
              </a:gs>
              <a:gs pos="28000">
                <a:srgbClr val="0A002F"/>
              </a:gs>
            </a:gsLst>
            <a:lin ang="5400000" scaled="0"/>
            <a:tileRect/>
          </a:gradFill>
          <a:ln w="9525">
            <a:gradFill flip="none" rotWithShape="1">
              <a:gsLst>
                <a:gs pos="0">
                  <a:srgbClr val="2C48D4"/>
                </a:gs>
                <a:gs pos="39000">
                  <a:srgbClr val="171B61"/>
                </a:gs>
              </a:gsLst>
              <a:lin ang="72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80" name="Chart 79">
            <a:extLst>
              <a:ext uri="{FF2B5EF4-FFF2-40B4-BE49-F238E27FC236}">
                <a16:creationId xmlns:a16="http://schemas.microsoft.com/office/drawing/2014/main" id="{FA95E1AD-A327-AC1E-5F02-3D2382FAC188}"/>
              </a:ext>
            </a:extLst>
          </xdr:cNvPr>
          <xdr:cNvGraphicFramePr>
            <a:graphicFrameLocks/>
          </xdr:cNvGraphicFramePr>
        </xdr:nvGraphicFramePr>
        <xdr:xfrm>
          <a:off x="5607268" y="5377094"/>
          <a:ext cx="2259724" cy="1415742"/>
        </xdr:xfrm>
        <a:graphic>
          <a:graphicData uri="http://schemas.openxmlformats.org/drawingml/2006/chart">
            <c:chart xmlns:c="http://schemas.openxmlformats.org/drawingml/2006/chart" xmlns:r="http://schemas.openxmlformats.org/officeDocument/2006/relationships" r:id="rId19"/>
          </a:graphicData>
        </a:graphic>
      </xdr:graphicFrame>
      <xdr:sp macro="" textlink="">
        <xdr:nvSpPr>
          <xdr:cNvPr id="81" name="Freeform: Shape 80">
            <a:extLst>
              <a:ext uri="{FF2B5EF4-FFF2-40B4-BE49-F238E27FC236}">
                <a16:creationId xmlns:a16="http://schemas.microsoft.com/office/drawing/2014/main" id="{3B299470-ED29-1CB1-EE3C-C887CC6C8610}"/>
              </a:ext>
            </a:extLst>
          </xdr:cNvPr>
          <xdr:cNvSpPr/>
        </xdr:nvSpPr>
        <xdr:spPr>
          <a:xfrm>
            <a:off x="5586862" y="5445411"/>
            <a:ext cx="2280743" cy="1300729"/>
          </a:xfrm>
          <a:custGeom>
            <a:avLst/>
            <a:gdLst>
              <a:gd name="connsiteX0" fmla="*/ 2280492 w 2280745"/>
              <a:gd name="connsiteY0" fmla="*/ 0 h 1308087"/>
              <a:gd name="connsiteX1" fmla="*/ 2280693 w 2280745"/>
              <a:gd name="connsiteY1" fmla="*/ 1209940 h 1308087"/>
              <a:gd name="connsiteX2" fmla="*/ 2280745 w 2280745"/>
              <a:gd name="connsiteY2" fmla="*/ 1209940 h 1308087"/>
              <a:gd name="connsiteX3" fmla="*/ 2280745 w 2280745"/>
              <a:gd name="connsiteY3" fmla="*/ 1308087 h 1308087"/>
              <a:gd name="connsiteX4" fmla="*/ 0 w 2280745"/>
              <a:gd name="connsiteY4" fmla="*/ 1308087 h 1308087"/>
              <a:gd name="connsiteX5" fmla="*/ 0 w 2280745"/>
              <a:gd name="connsiteY5" fmla="*/ 1209940 h 1308087"/>
              <a:gd name="connsiteX6" fmla="*/ 1497 w 2280745"/>
              <a:gd name="connsiteY6" fmla="*/ 1209940 h 1308087"/>
              <a:gd name="connsiteX7" fmla="*/ 2103 w 2280745"/>
              <a:gd name="connsiteY7" fmla="*/ 757034 h 1308087"/>
              <a:gd name="connsiteX8" fmla="*/ 3107 w 2280745"/>
              <a:gd name="connsiteY8" fmla="*/ 8436 h 1308087"/>
              <a:gd name="connsiteX9" fmla="*/ 2280492 w 2280745"/>
              <a:gd name="connsiteY9" fmla="*/ 0 h 1308087"/>
              <a:gd name="connsiteX10" fmla="*/ 303668 w 2280745"/>
              <a:gd name="connsiteY10" fmla="*/ 96739 h 1308087"/>
              <a:gd name="connsiteX11" fmla="*/ 284721 w 2280745"/>
              <a:gd name="connsiteY11" fmla="*/ 113235 h 1308087"/>
              <a:gd name="connsiteX12" fmla="*/ 303668 w 2280745"/>
              <a:gd name="connsiteY12" fmla="*/ 129731 h 1308087"/>
              <a:gd name="connsiteX13" fmla="*/ 322614 w 2280745"/>
              <a:gd name="connsiteY13" fmla="*/ 113235 h 1308087"/>
              <a:gd name="connsiteX14" fmla="*/ 303668 w 2280745"/>
              <a:gd name="connsiteY14" fmla="*/ 96739 h 1308087"/>
              <a:gd name="connsiteX15" fmla="*/ 503662 w 2280745"/>
              <a:gd name="connsiteY15" fmla="*/ 96739 h 1308087"/>
              <a:gd name="connsiteX16" fmla="*/ 484717 w 2280745"/>
              <a:gd name="connsiteY16" fmla="*/ 113235 h 1308087"/>
              <a:gd name="connsiteX17" fmla="*/ 503662 w 2280745"/>
              <a:gd name="connsiteY17" fmla="*/ 129731 h 1308087"/>
              <a:gd name="connsiteX18" fmla="*/ 522607 w 2280745"/>
              <a:gd name="connsiteY18" fmla="*/ 113235 h 1308087"/>
              <a:gd name="connsiteX19" fmla="*/ 503662 w 2280745"/>
              <a:gd name="connsiteY19" fmla="*/ 96739 h 1308087"/>
              <a:gd name="connsiteX20" fmla="*/ 703653 w 2280745"/>
              <a:gd name="connsiteY20" fmla="*/ 96739 h 1308087"/>
              <a:gd name="connsiteX21" fmla="*/ 684709 w 2280745"/>
              <a:gd name="connsiteY21" fmla="*/ 113235 h 1308087"/>
              <a:gd name="connsiteX22" fmla="*/ 703653 w 2280745"/>
              <a:gd name="connsiteY22" fmla="*/ 129731 h 1308087"/>
              <a:gd name="connsiteX23" fmla="*/ 722600 w 2280745"/>
              <a:gd name="connsiteY23" fmla="*/ 113235 h 1308087"/>
              <a:gd name="connsiteX24" fmla="*/ 703653 w 2280745"/>
              <a:gd name="connsiteY24" fmla="*/ 96739 h 1308087"/>
              <a:gd name="connsiteX25" fmla="*/ 903646 w 2280745"/>
              <a:gd name="connsiteY25" fmla="*/ 96739 h 1308087"/>
              <a:gd name="connsiteX26" fmla="*/ 884701 w 2280745"/>
              <a:gd name="connsiteY26" fmla="*/ 113235 h 1308087"/>
              <a:gd name="connsiteX27" fmla="*/ 903646 w 2280745"/>
              <a:gd name="connsiteY27" fmla="*/ 129731 h 1308087"/>
              <a:gd name="connsiteX28" fmla="*/ 922591 w 2280745"/>
              <a:gd name="connsiteY28" fmla="*/ 113235 h 1308087"/>
              <a:gd name="connsiteX29" fmla="*/ 903646 w 2280745"/>
              <a:gd name="connsiteY29" fmla="*/ 96739 h 1308087"/>
              <a:gd name="connsiteX30" fmla="*/ 1103638 w 2280745"/>
              <a:gd name="connsiteY30" fmla="*/ 96739 h 1308087"/>
              <a:gd name="connsiteX31" fmla="*/ 1084694 w 2280745"/>
              <a:gd name="connsiteY31" fmla="*/ 113235 h 1308087"/>
              <a:gd name="connsiteX32" fmla="*/ 1103638 w 2280745"/>
              <a:gd name="connsiteY32" fmla="*/ 129731 h 1308087"/>
              <a:gd name="connsiteX33" fmla="*/ 1122584 w 2280745"/>
              <a:gd name="connsiteY33" fmla="*/ 113235 h 1308087"/>
              <a:gd name="connsiteX34" fmla="*/ 1103638 w 2280745"/>
              <a:gd name="connsiteY34" fmla="*/ 96739 h 1308087"/>
              <a:gd name="connsiteX35" fmla="*/ 1303631 w 2280745"/>
              <a:gd name="connsiteY35" fmla="*/ 96739 h 1308087"/>
              <a:gd name="connsiteX36" fmla="*/ 1284685 w 2280745"/>
              <a:gd name="connsiteY36" fmla="*/ 113235 h 1308087"/>
              <a:gd name="connsiteX37" fmla="*/ 1303631 w 2280745"/>
              <a:gd name="connsiteY37" fmla="*/ 129731 h 1308087"/>
              <a:gd name="connsiteX38" fmla="*/ 1322576 w 2280745"/>
              <a:gd name="connsiteY38" fmla="*/ 113235 h 1308087"/>
              <a:gd name="connsiteX39" fmla="*/ 1303631 w 2280745"/>
              <a:gd name="connsiteY39" fmla="*/ 96739 h 1308087"/>
              <a:gd name="connsiteX40" fmla="*/ 1505923 w 2280745"/>
              <a:gd name="connsiteY40" fmla="*/ 96739 h 1308087"/>
              <a:gd name="connsiteX41" fmla="*/ 1486979 w 2280745"/>
              <a:gd name="connsiteY41" fmla="*/ 113235 h 1308087"/>
              <a:gd name="connsiteX42" fmla="*/ 1505923 w 2280745"/>
              <a:gd name="connsiteY42" fmla="*/ 129731 h 1308087"/>
              <a:gd name="connsiteX43" fmla="*/ 1524868 w 2280745"/>
              <a:gd name="connsiteY43" fmla="*/ 113235 h 1308087"/>
              <a:gd name="connsiteX44" fmla="*/ 1505923 w 2280745"/>
              <a:gd name="connsiteY44" fmla="*/ 96739 h 1308087"/>
              <a:gd name="connsiteX45" fmla="*/ 1703085 w 2280745"/>
              <a:gd name="connsiteY45" fmla="*/ 96739 h 1308087"/>
              <a:gd name="connsiteX46" fmla="*/ 1684140 w 2280745"/>
              <a:gd name="connsiteY46" fmla="*/ 113235 h 1308087"/>
              <a:gd name="connsiteX47" fmla="*/ 1703085 w 2280745"/>
              <a:gd name="connsiteY47" fmla="*/ 129731 h 1308087"/>
              <a:gd name="connsiteX48" fmla="*/ 1722031 w 2280745"/>
              <a:gd name="connsiteY48" fmla="*/ 113235 h 1308087"/>
              <a:gd name="connsiteX49" fmla="*/ 1703085 w 2280745"/>
              <a:gd name="connsiteY49" fmla="*/ 96739 h 1308087"/>
              <a:gd name="connsiteX50" fmla="*/ 1905908 w 2280745"/>
              <a:gd name="connsiteY50" fmla="*/ 96739 h 1308087"/>
              <a:gd name="connsiteX51" fmla="*/ 1886962 w 2280745"/>
              <a:gd name="connsiteY51" fmla="*/ 113235 h 1308087"/>
              <a:gd name="connsiteX52" fmla="*/ 1905908 w 2280745"/>
              <a:gd name="connsiteY52" fmla="*/ 129731 h 1308087"/>
              <a:gd name="connsiteX53" fmla="*/ 1924855 w 2280745"/>
              <a:gd name="connsiteY53" fmla="*/ 113235 h 1308087"/>
              <a:gd name="connsiteX54" fmla="*/ 1905908 w 2280745"/>
              <a:gd name="connsiteY54" fmla="*/ 96739 h 1308087"/>
              <a:gd name="connsiteX55" fmla="*/ 2105231 w 2280745"/>
              <a:gd name="connsiteY55" fmla="*/ 96739 h 1308087"/>
              <a:gd name="connsiteX56" fmla="*/ 2086286 w 2280745"/>
              <a:gd name="connsiteY56" fmla="*/ 113235 h 1308087"/>
              <a:gd name="connsiteX57" fmla="*/ 2105231 w 2280745"/>
              <a:gd name="connsiteY57" fmla="*/ 129731 h 1308087"/>
              <a:gd name="connsiteX58" fmla="*/ 2124177 w 2280745"/>
              <a:gd name="connsiteY58" fmla="*/ 113235 h 1308087"/>
              <a:gd name="connsiteX59" fmla="*/ 2105231 w 2280745"/>
              <a:gd name="connsiteY59" fmla="*/ 96739 h 1308087"/>
              <a:gd name="connsiteX60" fmla="*/ 280058 w 2280745"/>
              <a:gd name="connsiteY60" fmla="*/ 133396 h 1308087"/>
              <a:gd name="connsiteX61" fmla="*/ 280058 w 2280745"/>
              <a:gd name="connsiteY61" fmla="*/ 133621 h 1308087"/>
              <a:gd name="connsiteX62" fmla="*/ 279441 w 2280745"/>
              <a:gd name="connsiteY62" fmla="*/ 133589 h 1308087"/>
              <a:gd name="connsiteX63" fmla="*/ 272279 w 2280745"/>
              <a:gd name="connsiteY63" fmla="*/ 139098 h 1308087"/>
              <a:gd name="connsiteX64" fmla="*/ 255797 w 2280745"/>
              <a:gd name="connsiteY64" fmla="*/ 192653 h 1308087"/>
              <a:gd name="connsiteX65" fmla="*/ 261911 w 2280745"/>
              <a:gd name="connsiteY65" fmla="*/ 201873 h 1308087"/>
              <a:gd name="connsiteX66" fmla="*/ 263944 w 2280745"/>
              <a:gd name="connsiteY66" fmla="*/ 202347 h 1308087"/>
              <a:gd name="connsiteX67" fmla="*/ 274533 w 2280745"/>
              <a:gd name="connsiteY67" fmla="*/ 197025 h 1308087"/>
              <a:gd name="connsiteX68" fmla="*/ 280058 w 2280745"/>
              <a:gd name="connsiteY68" fmla="*/ 179069 h 1308087"/>
              <a:gd name="connsiteX69" fmla="*/ 280058 w 2280745"/>
              <a:gd name="connsiteY69" fmla="*/ 199255 h 1308087"/>
              <a:gd name="connsiteX70" fmla="*/ 280058 w 2280745"/>
              <a:gd name="connsiteY70" fmla="*/ 205866 h 1308087"/>
              <a:gd name="connsiteX71" fmla="*/ 280058 w 2280745"/>
              <a:gd name="connsiteY71" fmla="*/ 254698 h 1308087"/>
              <a:gd name="connsiteX72" fmla="*/ 288705 w 2280745"/>
              <a:gd name="connsiteY72" fmla="*/ 262227 h 1308087"/>
              <a:gd name="connsiteX73" fmla="*/ 290809 w 2280745"/>
              <a:gd name="connsiteY73" fmla="*/ 262227 h 1308087"/>
              <a:gd name="connsiteX74" fmla="*/ 299455 w 2280745"/>
              <a:gd name="connsiteY74" fmla="*/ 254698 h 1308087"/>
              <a:gd name="connsiteX75" fmla="*/ 299455 w 2280745"/>
              <a:gd name="connsiteY75" fmla="*/ 205866 h 1308087"/>
              <a:gd name="connsiteX76" fmla="*/ 306898 w 2280745"/>
              <a:gd name="connsiteY76" fmla="*/ 205866 h 1308087"/>
              <a:gd name="connsiteX77" fmla="*/ 306898 w 2280745"/>
              <a:gd name="connsiteY77" fmla="*/ 254698 h 1308087"/>
              <a:gd name="connsiteX78" fmla="*/ 315544 w 2280745"/>
              <a:gd name="connsiteY78" fmla="*/ 262227 h 1308087"/>
              <a:gd name="connsiteX79" fmla="*/ 317649 w 2280745"/>
              <a:gd name="connsiteY79" fmla="*/ 262227 h 1308087"/>
              <a:gd name="connsiteX80" fmla="*/ 326293 w 2280745"/>
              <a:gd name="connsiteY80" fmla="*/ 254698 h 1308087"/>
              <a:gd name="connsiteX81" fmla="*/ 326293 w 2280745"/>
              <a:gd name="connsiteY81" fmla="*/ 205866 h 1308087"/>
              <a:gd name="connsiteX82" fmla="*/ 326293 w 2280745"/>
              <a:gd name="connsiteY82" fmla="*/ 199255 h 1308087"/>
              <a:gd name="connsiteX83" fmla="*/ 326293 w 2280745"/>
              <a:gd name="connsiteY83" fmla="*/ 181262 h 1308087"/>
              <a:gd name="connsiteX84" fmla="*/ 331145 w 2280745"/>
              <a:gd name="connsiteY84" fmla="*/ 197025 h 1308087"/>
              <a:gd name="connsiteX85" fmla="*/ 341734 w 2280745"/>
              <a:gd name="connsiteY85" fmla="*/ 202347 h 1308087"/>
              <a:gd name="connsiteX86" fmla="*/ 343767 w 2280745"/>
              <a:gd name="connsiteY86" fmla="*/ 201873 h 1308087"/>
              <a:gd name="connsiteX87" fmla="*/ 349881 w 2280745"/>
              <a:gd name="connsiteY87" fmla="*/ 192653 h 1308087"/>
              <a:gd name="connsiteX88" fmla="*/ 333400 w 2280745"/>
              <a:gd name="connsiteY88" fmla="*/ 139098 h 1308087"/>
              <a:gd name="connsiteX89" fmla="*/ 330722 w 2280745"/>
              <a:gd name="connsiteY89" fmla="*/ 135365 h 1308087"/>
              <a:gd name="connsiteX90" fmla="*/ 326293 w 2280745"/>
              <a:gd name="connsiteY90" fmla="*/ 133610 h 1308087"/>
              <a:gd name="connsiteX91" fmla="*/ 326293 w 2280745"/>
              <a:gd name="connsiteY91" fmla="*/ 133396 h 1308087"/>
              <a:gd name="connsiteX92" fmla="*/ 280058 w 2280745"/>
              <a:gd name="connsiteY92" fmla="*/ 133396 h 1308087"/>
              <a:gd name="connsiteX93" fmla="*/ 480053 w 2280745"/>
              <a:gd name="connsiteY93" fmla="*/ 133396 h 1308087"/>
              <a:gd name="connsiteX94" fmla="*/ 480053 w 2280745"/>
              <a:gd name="connsiteY94" fmla="*/ 133621 h 1308087"/>
              <a:gd name="connsiteX95" fmla="*/ 479436 w 2280745"/>
              <a:gd name="connsiteY95" fmla="*/ 133589 h 1308087"/>
              <a:gd name="connsiteX96" fmla="*/ 472272 w 2280745"/>
              <a:gd name="connsiteY96" fmla="*/ 139098 h 1308087"/>
              <a:gd name="connsiteX97" fmla="*/ 455791 w 2280745"/>
              <a:gd name="connsiteY97" fmla="*/ 192653 h 1308087"/>
              <a:gd name="connsiteX98" fmla="*/ 461906 w 2280745"/>
              <a:gd name="connsiteY98" fmla="*/ 201873 h 1308087"/>
              <a:gd name="connsiteX99" fmla="*/ 463938 w 2280745"/>
              <a:gd name="connsiteY99" fmla="*/ 202347 h 1308087"/>
              <a:gd name="connsiteX100" fmla="*/ 474527 w 2280745"/>
              <a:gd name="connsiteY100" fmla="*/ 197025 h 1308087"/>
              <a:gd name="connsiteX101" fmla="*/ 480053 w 2280745"/>
              <a:gd name="connsiteY101" fmla="*/ 179069 h 1308087"/>
              <a:gd name="connsiteX102" fmla="*/ 480053 w 2280745"/>
              <a:gd name="connsiteY102" fmla="*/ 199255 h 1308087"/>
              <a:gd name="connsiteX103" fmla="*/ 480053 w 2280745"/>
              <a:gd name="connsiteY103" fmla="*/ 205866 h 1308087"/>
              <a:gd name="connsiteX104" fmla="*/ 480053 w 2280745"/>
              <a:gd name="connsiteY104" fmla="*/ 254698 h 1308087"/>
              <a:gd name="connsiteX105" fmla="*/ 488698 w 2280745"/>
              <a:gd name="connsiteY105" fmla="*/ 262227 h 1308087"/>
              <a:gd name="connsiteX106" fmla="*/ 490804 w 2280745"/>
              <a:gd name="connsiteY106" fmla="*/ 262227 h 1308087"/>
              <a:gd name="connsiteX107" fmla="*/ 499450 w 2280745"/>
              <a:gd name="connsiteY107" fmla="*/ 254698 h 1308087"/>
              <a:gd name="connsiteX108" fmla="*/ 499450 w 2280745"/>
              <a:gd name="connsiteY108" fmla="*/ 205866 h 1308087"/>
              <a:gd name="connsiteX109" fmla="*/ 506892 w 2280745"/>
              <a:gd name="connsiteY109" fmla="*/ 205866 h 1308087"/>
              <a:gd name="connsiteX110" fmla="*/ 506892 w 2280745"/>
              <a:gd name="connsiteY110" fmla="*/ 254698 h 1308087"/>
              <a:gd name="connsiteX111" fmla="*/ 515538 w 2280745"/>
              <a:gd name="connsiteY111" fmla="*/ 262227 h 1308087"/>
              <a:gd name="connsiteX112" fmla="*/ 517643 w 2280745"/>
              <a:gd name="connsiteY112" fmla="*/ 262227 h 1308087"/>
              <a:gd name="connsiteX113" fmla="*/ 526287 w 2280745"/>
              <a:gd name="connsiteY113" fmla="*/ 254698 h 1308087"/>
              <a:gd name="connsiteX114" fmla="*/ 526287 w 2280745"/>
              <a:gd name="connsiteY114" fmla="*/ 205866 h 1308087"/>
              <a:gd name="connsiteX115" fmla="*/ 526287 w 2280745"/>
              <a:gd name="connsiteY115" fmla="*/ 199255 h 1308087"/>
              <a:gd name="connsiteX116" fmla="*/ 526287 w 2280745"/>
              <a:gd name="connsiteY116" fmla="*/ 181262 h 1308087"/>
              <a:gd name="connsiteX117" fmla="*/ 531139 w 2280745"/>
              <a:gd name="connsiteY117" fmla="*/ 197025 h 1308087"/>
              <a:gd name="connsiteX118" fmla="*/ 541727 w 2280745"/>
              <a:gd name="connsiteY118" fmla="*/ 202347 h 1308087"/>
              <a:gd name="connsiteX119" fmla="*/ 543761 w 2280745"/>
              <a:gd name="connsiteY119" fmla="*/ 201873 h 1308087"/>
              <a:gd name="connsiteX120" fmla="*/ 549875 w 2280745"/>
              <a:gd name="connsiteY120" fmla="*/ 192653 h 1308087"/>
              <a:gd name="connsiteX121" fmla="*/ 533394 w 2280745"/>
              <a:gd name="connsiteY121" fmla="*/ 139098 h 1308087"/>
              <a:gd name="connsiteX122" fmla="*/ 530716 w 2280745"/>
              <a:gd name="connsiteY122" fmla="*/ 135365 h 1308087"/>
              <a:gd name="connsiteX123" fmla="*/ 526287 w 2280745"/>
              <a:gd name="connsiteY123" fmla="*/ 133610 h 1308087"/>
              <a:gd name="connsiteX124" fmla="*/ 526287 w 2280745"/>
              <a:gd name="connsiteY124" fmla="*/ 133396 h 1308087"/>
              <a:gd name="connsiteX125" fmla="*/ 480053 w 2280745"/>
              <a:gd name="connsiteY125" fmla="*/ 133396 h 1308087"/>
              <a:gd name="connsiteX126" fmla="*/ 680045 w 2280745"/>
              <a:gd name="connsiteY126" fmla="*/ 133396 h 1308087"/>
              <a:gd name="connsiteX127" fmla="*/ 680045 w 2280745"/>
              <a:gd name="connsiteY127" fmla="*/ 133621 h 1308087"/>
              <a:gd name="connsiteX128" fmla="*/ 679427 w 2280745"/>
              <a:gd name="connsiteY128" fmla="*/ 133589 h 1308087"/>
              <a:gd name="connsiteX129" fmla="*/ 672265 w 2280745"/>
              <a:gd name="connsiteY129" fmla="*/ 139098 h 1308087"/>
              <a:gd name="connsiteX130" fmla="*/ 655783 w 2280745"/>
              <a:gd name="connsiteY130" fmla="*/ 192653 h 1308087"/>
              <a:gd name="connsiteX131" fmla="*/ 661899 w 2280745"/>
              <a:gd name="connsiteY131" fmla="*/ 201873 h 1308087"/>
              <a:gd name="connsiteX132" fmla="*/ 663930 w 2280745"/>
              <a:gd name="connsiteY132" fmla="*/ 202347 h 1308087"/>
              <a:gd name="connsiteX133" fmla="*/ 674518 w 2280745"/>
              <a:gd name="connsiteY133" fmla="*/ 197025 h 1308087"/>
              <a:gd name="connsiteX134" fmla="*/ 680045 w 2280745"/>
              <a:gd name="connsiteY134" fmla="*/ 179069 h 1308087"/>
              <a:gd name="connsiteX135" fmla="*/ 680045 w 2280745"/>
              <a:gd name="connsiteY135" fmla="*/ 199255 h 1308087"/>
              <a:gd name="connsiteX136" fmla="*/ 680045 w 2280745"/>
              <a:gd name="connsiteY136" fmla="*/ 205866 h 1308087"/>
              <a:gd name="connsiteX137" fmla="*/ 680045 w 2280745"/>
              <a:gd name="connsiteY137" fmla="*/ 254698 h 1308087"/>
              <a:gd name="connsiteX138" fmla="*/ 688691 w 2280745"/>
              <a:gd name="connsiteY138" fmla="*/ 262227 h 1308087"/>
              <a:gd name="connsiteX139" fmla="*/ 690797 w 2280745"/>
              <a:gd name="connsiteY139" fmla="*/ 262227 h 1308087"/>
              <a:gd name="connsiteX140" fmla="*/ 699443 w 2280745"/>
              <a:gd name="connsiteY140" fmla="*/ 254698 h 1308087"/>
              <a:gd name="connsiteX141" fmla="*/ 699443 w 2280745"/>
              <a:gd name="connsiteY141" fmla="*/ 205866 h 1308087"/>
              <a:gd name="connsiteX142" fmla="*/ 706884 w 2280745"/>
              <a:gd name="connsiteY142" fmla="*/ 205866 h 1308087"/>
              <a:gd name="connsiteX143" fmla="*/ 706884 w 2280745"/>
              <a:gd name="connsiteY143" fmla="*/ 254698 h 1308087"/>
              <a:gd name="connsiteX144" fmla="*/ 715530 w 2280745"/>
              <a:gd name="connsiteY144" fmla="*/ 262227 h 1308087"/>
              <a:gd name="connsiteX145" fmla="*/ 717635 w 2280745"/>
              <a:gd name="connsiteY145" fmla="*/ 262227 h 1308087"/>
              <a:gd name="connsiteX146" fmla="*/ 726280 w 2280745"/>
              <a:gd name="connsiteY146" fmla="*/ 254698 h 1308087"/>
              <a:gd name="connsiteX147" fmla="*/ 726280 w 2280745"/>
              <a:gd name="connsiteY147" fmla="*/ 205866 h 1308087"/>
              <a:gd name="connsiteX148" fmla="*/ 726280 w 2280745"/>
              <a:gd name="connsiteY148" fmla="*/ 199255 h 1308087"/>
              <a:gd name="connsiteX149" fmla="*/ 726280 w 2280745"/>
              <a:gd name="connsiteY149" fmla="*/ 181262 h 1308087"/>
              <a:gd name="connsiteX150" fmla="*/ 731132 w 2280745"/>
              <a:gd name="connsiteY150" fmla="*/ 197025 h 1308087"/>
              <a:gd name="connsiteX151" fmla="*/ 741720 w 2280745"/>
              <a:gd name="connsiteY151" fmla="*/ 202347 h 1308087"/>
              <a:gd name="connsiteX152" fmla="*/ 743753 w 2280745"/>
              <a:gd name="connsiteY152" fmla="*/ 201873 h 1308087"/>
              <a:gd name="connsiteX153" fmla="*/ 749868 w 2280745"/>
              <a:gd name="connsiteY153" fmla="*/ 192653 h 1308087"/>
              <a:gd name="connsiteX154" fmla="*/ 733385 w 2280745"/>
              <a:gd name="connsiteY154" fmla="*/ 139098 h 1308087"/>
              <a:gd name="connsiteX155" fmla="*/ 730709 w 2280745"/>
              <a:gd name="connsiteY155" fmla="*/ 135365 h 1308087"/>
              <a:gd name="connsiteX156" fmla="*/ 726280 w 2280745"/>
              <a:gd name="connsiteY156" fmla="*/ 133610 h 1308087"/>
              <a:gd name="connsiteX157" fmla="*/ 726280 w 2280745"/>
              <a:gd name="connsiteY157" fmla="*/ 133396 h 1308087"/>
              <a:gd name="connsiteX158" fmla="*/ 680045 w 2280745"/>
              <a:gd name="connsiteY158" fmla="*/ 133396 h 1308087"/>
              <a:gd name="connsiteX159" fmla="*/ 880037 w 2280745"/>
              <a:gd name="connsiteY159" fmla="*/ 133396 h 1308087"/>
              <a:gd name="connsiteX160" fmla="*/ 880037 w 2280745"/>
              <a:gd name="connsiteY160" fmla="*/ 133621 h 1308087"/>
              <a:gd name="connsiteX161" fmla="*/ 879420 w 2280745"/>
              <a:gd name="connsiteY161" fmla="*/ 133589 h 1308087"/>
              <a:gd name="connsiteX162" fmla="*/ 872256 w 2280745"/>
              <a:gd name="connsiteY162" fmla="*/ 139098 h 1308087"/>
              <a:gd name="connsiteX163" fmla="*/ 855776 w 2280745"/>
              <a:gd name="connsiteY163" fmla="*/ 192653 h 1308087"/>
              <a:gd name="connsiteX164" fmla="*/ 861890 w 2280745"/>
              <a:gd name="connsiteY164" fmla="*/ 201873 h 1308087"/>
              <a:gd name="connsiteX165" fmla="*/ 863923 w 2280745"/>
              <a:gd name="connsiteY165" fmla="*/ 202347 h 1308087"/>
              <a:gd name="connsiteX166" fmla="*/ 874511 w 2280745"/>
              <a:gd name="connsiteY166" fmla="*/ 197025 h 1308087"/>
              <a:gd name="connsiteX167" fmla="*/ 880037 w 2280745"/>
              <a:gd name="connsiteY167" fmla="*/ 179069 h 1308087"/>
              <a:gd name="connsiteX168" fmla="*/ 880037 w 2280745"/>
              <a:gd name="connsiteY168" fmla="*/ 199255 h 1308087"/>
              <a:gd name="connsiteX169" fmla="*/ 880037 w 2280745"/>
              <a:gd name="connsiteY169" fmla="*/ 205866 h 1308087"/>
              <a:gd name="connsiteX170" fmla="*/ 880037 w 2280745"/>
              <a:gd name="connsiteY170" fmla="*/ 254698 h 1308087"/>
              <a:gd name="connsiteX171" fmla="*/ 888683 w 2280745"/>
              <a:gd name="connsiteY171" fmla="*/ 262227 h 1308087"/>
              <a:gd name="connsiteX172" fmla="*/ 890788 w 2280745"/>
              <a:gd name="connsiteY172" fmla="*/ 262227 h 1308087"/>
              <a:gd name="connsiteX173" fmla="*/ 899434 w 2280745"/>
              <a:gd name="connsiteY173" fmla="*/ 254698 h 1308087"/>
              <a:gd name="connsiteX174" fmla="*/ 899434 w 2280745"/>
              <a:gd name="connsiteY174" fmla="*/ 205866 h 1308087"/>
              <a:gd name="connsiteX175" fmla="*/ 906877 w 2280745"/>
              <a:gd name="connsiteY175" fmla="*/ 205866 h 1308087"/>
              <a:gd name="connsiteX176" fmla="*/ 906877 w 2280745"/>
              <a:gd name="connsiteY176" fmla="*/ 254698 h 1308087"/>
              <a:gd name="connsiteX177" fmla="*/ 915521 w 2280745"/>
              <a:gd name="connsiteY177" fmla="*/ 262227 h 1308087"/>
              <a:gd name="connsiteX178" fmla="*/ 917628 w 2280745"/>
              <a:gd name="connsiteY178" fmla="*/ 262227 h 1308087"/>
              <a:gd name="connsiteX179" fmla="*/ 926272 w 2280745"/>
              <a:gd name="connsiteY179" fmla="*/ 254698 h 1308087"/>
              <a:gd name="connsiteX180" fmla="*/ 926272 w 2280745"/>
              <a:gd name="connsiteY180" fmla="*/ 205866 h 1308087"/>
              <a:gd name="connsiteX181" fmla="*/ 926272 w 2280745"/>
              <a:gd name="connsiteY181" fmla="*/ 199255 h 1308087"/>
              <a:gd name="connsiteX182" fmla="*/ 926272 w 2280745"/>
              <a:gd name="connsiteY182" fmla="*/ 181262 h 1308087"/>
              <a:gd name="connsiteX183" fmla="*/ 931123 w 2280745"/>
              <a:gd name="connsiteY183" fmla="*/ 197025 h 1308087"/>
              <a:gd name="connsiteX184" fmla="*/ 941712 w 2280745"/>
              <a:gd name="connsiteY184" fmla="*/ 202347 h 1308087"/>
              <a:gd name="connsiteX185" fmla="*/ 943745 w 2280745"/>
              <a:gd name="connsiteY185" fmla="*/ 201873 h 1308087"/>
              <a:gd name="connsiteX186" fmla="*/ 949860 w 2280745"/>
              <a:gd name="connsiteY186" fmla="*/ 192653 h 1308087"/>
              <a:gd name="connsiteX187" fmla="*/ 933378 w 2280745"/>
              <a:gd name="connsiteY187" fmla="*/ 139098 h 1308087"/>
              <a:gd name="connsiteX188" fmla="*/ 930701 w 2280745"/>
              <a:gd name="connsiteY188" fmla="*/ 135365 h 1308087"/>
              <a:gd name="connsiteX189" fmla="*/ 926272 w 2280745"/>
              <a:gd name="connsiteY189" fmla="*/ 133610 h 1308087"/>
              <a:gd name="connsiteX190" fmla="*/ 926272 w 2280745"/>
              <a:gd name="connsiteY190" fmla="*/ 133396 h 1308087"/>
              <a:gd name="connsiteX191" fmla="*/ 880037 w 2280745"/>
              <a:gd name="connsiteY191" fmla="*/ 133396 h 1308087"/>
              <a:gd name="connsiteX192" fmla="*/ 1080030 w 2280745"/>
              <a:gd name="connsiteY192" fmla="*/ 133396 h 1308087"/>
              <a:gd name="connsiteX193" fmla="*/ 1080030 w 2280745"/>
              <a:gd name="connsiteY193" fmla="*/ 133621 h 1308087"/>
              <a:gd name="connsiteX194" fmla="*/ 1079412 w 2280745"/>
              <a:gd name="connsiteY194" fmla="*/ 133589 h 1308087"/>
              <a:gd name="connsiteX195" fmla="*/ 1072249 w 2280745"/>
              <a:gd name="connsiteY195" fmla="*/ 139098 h 1308087"/>
              <a:gd name="connsiteX196" fmla="*/ 1055767 w 2280745"/>
              <a:gd name="connsiteY196" fmla="*/ 192653 h 1308087"/>
              <a:gd name="connsiteX197" fmla="*/ 1061881 w 2280745"/>
              <a:gd name="connsiteY197" fmla="*/ 201873 h 1308087"/>
              <a:gd name="connsiteX198" fmla="*/ 1063914 w 2280745"/>
              <a:gd name="connsiteY198" fmla="*/ 202347 h 1308087"/>
              <a:gd name="connsiteX199" fmla="*/ 1074503 w 2280745"/>
              <a:gd name="connsiteY199" fmla="*/ 197025 h 1308087"/>
              <a:gd name="connsiteX200" fmla="*/ 1080030 w 2280745"/>
              <a:gd name="connsiteY200" fmla="*/ 179069 h 1308087"/>
              <a:gd name="connsiteX201" fmla="*/ 1080030 w 2280745"/>
              <a:gd name="connsiteY201" fmla="*/ 199255 h 1308087"/>
              <a:gd name="connsiteX202" fmla="*/ 1080030 w 2280745"/>
              <a:gd name="connsiteY202" fmla="*/ 205866 h 1308087"/>
              <a:gd name="connsiteX203" fmla="*/ 1080030 w 2280745"/>
              <a:gd name="connsiteY203" fmla="*/ 254698 h 1308087"/>
              <a:gd name="connsiteX204" fmla="*/ 1088676 w 2280745"/>
              <a:gd name="connsiteY204" fmla="*/ 262227 h 1308087"/>
              <a:gd name="connsiteX205" fmla="*/ 1090781 w 2280745"/>
              <a:gd name="connsiteY205" fmla="*/ 262227 h 1308087"/>
              <a:gd name="connsiteX206" fmla="*/ 1099427 w 2280745"/>
              <a:gd name="connsiteY206" fmla="*/ 254698 h 1308087"/>
              <a:gd name="connsiteX207" fmla="*/ 1099427 w 2280745"/>
              <a:gd name="connsiteY207" fmla="*/ 205866 h 1308087"/>
              <a:gd name="connsiteX208" fmla="*/ 1106868 w 2280745"/>
              <a:gd name="connsiteY208" fmla="*/ 205866 h 1308087"/>
              <a:gd name="connsiteX209" fmla="*/ 1106868 w 2280745"/>
              <a:gd name="connsiteY209" fmla="*/ 254698 h 1308087"/>
              <a:gd name="connsiteX210" fmla="*/ 1115514 w 2280745"/>
              <a:gd name="connsiteY210" fmla="*/ 262227 h 1308087"/>
              <a:gd name="connsiteX211" fmla="*/ 1117619 w 2280745"/>
              <a:gd name="connsiteY211" fmla="*/ 262227 h 1308087"/>
              <a:gd name="connsiteX212" fmla="*/ 1126264 w 2280745"/>
              <a:gd name="connsiteY212" fmla="*/ 254698 h 1308087"/>
              <a:gd name="connsiteX213" fmla="*/ 1126264 w 2280745"/>
              <a:gd name="connsiteY213" fmla="*/ 205866 h 1308087"/>
              <a:gd name="connsiteX214" fmla="*/ 1126264 w 2280745"/>
              <a:gd name="connsiteY214" fmla="*/ 199255 h 1308087"/>
              <a:gd name="connsiteX215" fmla="*/ 1126264 w 2280745"/>
              <a:gd name="connsiteY215" fmla="*/ 181262 h 1308087"/>
              <a:gd name="connsiteX216" fmla="*/ 1131115 w 2280745"/>
              <a:gd name="connsiteY216" fmla="*/ 197025 h 1308087"/>
              <a:gd name="connsiteX217" fmla="*/ 1141704 w 2280745"/>
              <a:gd name="connsiteY217" fmla="*/ 202347 h 1308087"/>
              <a:gd name="connsiteX218" fmla="*/ 1143738 w 2280745"/>
              <a:gd name="connsiteY218" fmla="*/ 201873 h 1308087"/>
              <a:gd name="connsiteX219" fmla="*/ 1149853 w 2280745"/>
              <a:gd name="connsiteY219" fmla="*/ 192653 h 1308087"/>
              <a:gd name="connsiteX220" fmla="*/ 1133370 w 2280745"/>
              <a:gd name="connsiteY220" fmla="*/ 139098 h 1308087"/>
              <a:gd name="connsiteX221" fmla="*/ 1130693 w 2280745"/>
              <a:gd name="connsiteY221" fmla="*/ 135365 h 1308087"/>
              <a:gd name="connsiteX222" fmla="*/ 1126264 w 2280745"/>
              <a:gd name="connsiteY222" fmla="*/ 133610 h 1308087"/>
              <a:gd name="connsiteX223" fmla="*/ 1126264 w 2280745"/>
              <a:gd name="connsiteY223" fmla="*/ 133396 h 1308087"/>
              <a:gd name="connsiteX224" fmla="*/ 1080030 w 2280745"/>
              <a:gd name="connsiteY224" fmla="*/ 133396 h 1308087"/>
              <a:gd name="connsiteX225" fmla="*/ 1280022 w 2280745"/>
              <a:gd name="connsiteY225" fmla="*/ 133396 h 1308087"/>
              <a:gd name="connsiteX226" fmla="*/ 1280022 w 2280745"/>
              <a:gd name="connsiteY226" fmla="*/ 133621 h 1308087"/>
              <a:gd name="connsiteX227" fmla="*/ 1279405 w 2280745"/>
              <a:gd name="connsiteY227" fmla="*/ 133589 h 1308087"/>
              <a:gd name="connsiteX228" fmla="*/ 1272241 w 2280745"/>
              <a:gd name="connsiteY228" fmla="*/ 139098 h 1308087"/>
              <a:gd name="connsiteX229" fmla="*/ 1255760 w 2280745"/>
              <a:gd name="connsiteY229" fmla="*/ 192653 h 1308087"/>
              <a:gd name="connsiteX230" fmla="*/ 1261874 w 2280745"/>
              <a:gd name="connsiteY230" fmla="*/ 201873 h 1308087"/>
              <a:gd name="connsiteX231" fmla="*/ 1263907 w 2280745"/>
              <a:gd name="connsiteY231" fmla="*/ 202347 h 1308087"/>
              <a:gd name="connsiteX232" fmla="*/ 1274496 w 2280745"/>
              <a:gd name="connsiteY232" fmla="*/ 197025 h 1308087"/>
              <a:gd name="connsiteX233" fmla="*/ 1280022 w 2280745"/>
              <a:gd name="connsiteY233" fmla="*/ 179069 h 1308087"/>
              <a:gd name="connsiteX234" fmla="*/ 1280022 w 2280745"/>
              <a:gd name="connsiteY234" fmla="*/ 199255 h 1308087"/>
              <a:gd name="connsiteX235" fmla="*/ 1280022 w 2280745"/>
              <a:gd name="connsiteY235" fmla="*/ 205866 h 1308087"/>
              <a:gd name="connsiteX236" fmla="*/ 1280022 w 2280745"/>
              <a:gd name="connsiteY236" fmla="*/ 254698 h 1308087"/>
              <a:gd name="connsiteX237" fmla="*/ 1288667 w 2280745"/>
              <a:gd name="connsiteY237" fmla="*/ 262227 h 1308087"/>
              <a:gd name="connsiteX238" fmla="*/ 1290773 w 2280745"/>
              <a:gd name="connsiteY238" fmla="*/ 262227 h 1308087"/>
              <a:gd name="connsiteX239" fmla="*/ 1299419 w 2280745"/>
              <a:gd name="connsiteY239" fmla="*/ 254698 h 1308087"/>
              <a:gd name="connsiteX240" fmla="*/ 1299419 w 2280745"/>
              <a:gd name="connsiteY240" fmla="*/ 205866 h 1308087"/>
              <a:gd name="connsiteX241" fmla="*/ 1306860 w 2280745"/>
              <a:gd name="connsiteY241" fmla="*/ 205866 h 1308087"/>
              <a:gd name="connsiteX242" fmla="*/ 1306860 w 2280745"/>
              <a:gd name="connsiteY242" fmla="*/ 254698 h 1308087"/>
              <a:gd name="connsiteX243" fmla="*/ 1315506 w 2280745"/>
              <a:gd name="connsiteY243" fmla="*/ 262227 h 1308087"/>
              <a:gd name="connsiteX244" fmla="*/ 1317610 w 2280745"/>
              <a:gd name="connsiteY244" fmla="*/ 262227 h 1308087"/>
              <a:gd name="connsiteX245" fmla="*/ 1326256 w 2280745"/>
              <a:gd name="connsiteY245" fmla="*/ 254698 h 1308087"/>
              <a:gd name="connsiteX246" fmla="*/ 1326256 w 2280745"/>
              <a:gd name="connsiteY246" fmla="*/ 205866 h 1308087"/>
              <a:gd name="connsiteX247" fmla="*/ 1326256 w 2280745"/>
              <a:gd name="connsiteY247" fmla="*/ 199255 h 1308087"/>
              <a:gd name="connsiteX248" fmla="*/ 1326256 w 2280745"/>
              <a:gd name="connsiteY248" fmla="*/ 181262 h 1308087"/>
              <a:gd name="connsiteX249" fmla="*/ 1331108 w 2280745"/>
              <a:gd name="connsiteY249" fmla="*/ 197025 h 1308087"/>
              <a:gd name="connsiteX250" fmla="*/ 1341696 w 2280745"/>
              <a:gd name="connsiteY250" fmla="*/ 202347 h 1308087"/>
              <a:gd name="connsiteX251" fmla="*/ 1343730 w 2280745"/>
              <a:gd name="connsiteY251" fmla="*/ 201873 h 1308087"/>
              <a:gd name="connsiteX252" fmla="*/ 1349844 w 2280745"/>
              <a:gd name="connsiteY252" fmla="*/ 192653 h 1308087"/>
              <a:gd name="connsiteX253" fmla="*/ 1333361 w 2280745"/>
              <a:gd name="connsiteY253" fmla="*/ 139098 h 1308087"/>
              <a:gd name="connsiteX254" fmla="*/ 1330685 w 2280745"/>
              <a:gd name="connsiteY254" fmla="*/ 135365 h 1308087"/>
              <a:gd name="connsiteX255" fmla="*/ 1326256 w 2280745"/>
              <a:gd name="connsiteY255" fmla="*/ 133610 h 1308087"/>
              <a:gd name="connsiteX256" fmla="*/ 1326256 w 2280745"/>
              <a:gd name="connsiteY256" fmla="*/ 133396 h 1308087"/>
              <a:gd name="connsiteX257" fmla="*/ 1280022 w 2280745"/>
              <a:gd name="connsiteY257" fmla="*/ 133396 h 1308087"/>
              <a:gd name="connsiteX258" fmla="*/ 1482314 w 2280745"/>
              <a:gd name="connsiteY258" fmla="*/ 133396 h 1308087"/>
              <a:gd name="connsiteX259" fmla="*/ 1482314 w 2280745"/>
              <a:gd name="connsiteY259" fmla="*/ 133621 h 1308087"/>
              <a:gd name="connsiteX260" fmla="*/ 1481697 w 2280745"/>
              <a:gd name="connsiteY260" fmla="*/ 133589 h 1308087"/>
              <a:gd name="connsiteX261" fmla="*/ 1474533 w 2280745"/>
              <a:gd name="connsiteY261" fmla="*/ 139098 h 1308087"/>
              <a:gd name="connsiteX262" fmla="*/ 1458052 w 2280745"/>
              <a:gd name="connsiteY262" fmla="*/ 192653 h 1308087"/>
              <a:gd name="connsiteX263" fmla="*/ 1464166 w 2280745"/>
              <a:gd name="connsiteY263" fmla="*/ 201873 h 1308087"/>
              <a:gd name="connsiteX264" fmla="*/ 1466199 w 2280745"/>
              <a:gd name="connsiteY264" fmla="*/ 202347 h 1308087"/>
              <a:gd name="connsiteX265" fmla="*/ 1476788 w 2280745"/>
              <a:gd name="connsiteY265" fmla="*/ 197025 h 1308087"/>
              <a:gd name="connsiteX266" fmla="*/ 1482314 w 2280745"/>
              <a:gd name="connsiteY266" fmla="*/ 179069 h 1308087"/>
              <a:gd name="connsiteX267" fmla="*/ 1482314 w 2280745"/>
              <a:gd name="connsiteY267" fmla="*/ 199255 h 1308087"/>
              <a:gd name="connsiteX268" fmla="*/ 1482314 w 2280745"/>
              <a:gd name="connsiteY268" fmla="*/ 205866 h 1308087"/>
              <a:gd name="connsiteX269" fmla="*/ 1482314 w 2280745"/>
              <a:gd name="connsiteY269" fmla="*/ 254698 h 1308087"/>
              <a:gd name="connsiteX270" fmla="*/ 1490960 w 2280745"/>
              <a:gd name="connsiteY270" fmla="*/ 262227 h 1308087"/>
              <a:gd name="connsiteX271" fmla="*/ 1493064 w 2280745"/>
              <a:gd name="connsiteY271" fmla="*/ 262227 h 1308087"/>
              <a:gd name="connsiteX272" fmla="*/ 1501710 w 2280745"/>
              <a:gd name="connsiteY272" fmla="*/ 254698 h 1308087"/>
              <a:gd name="connsiteX273" fmla="*/ 1501710 w 2280745"/>
              <a:gd name="connsiteY273" fmla="*/ 205866 h 1308087"/>
              <a:gd name="connsiteX274" fmla="*/ 1509153 w 2280745"/>
              <a:gd name="connsiteY274" fmla="*/ 205866 h 1308087"/>
              <a:gd name="connsiteX275" fmla="*/ 1509153 w 2280745"/>
              <a:gd name="connsiteY275" fmla="*/ 254698 h 1308087"/>
              <a:gd name="connsiteX276" fmla="*/ 1517799 w 2280745"/>
              <a:gd name="connsiteY276" fmla="*/ 262227 h 1308087"/>
              <a:gd name="connsiteX277" fmla="*/ 1519903 w 2280745"/>
              <a:gd name="connsiteY277" fmla="*/ 262227 h 1308087"/>
              <a:gd name="connsiteX278" fmla="*/ 1528549 w 2280745"/>
              <a:gd name="connsiteY278" fmla="*/ 254698 h 1308087"/>
              <a:gd name="connsiteX279" fmla="*/ 1528549 w 2280745"/>
              <a:gd name="connsiteY279" fmla="*/ 205866 h 1308087"/>
              <a:gd name="connsiteX280" fmla="*/ 1528549 w 2280745"/>
              <a:gd name="connsiteY280" fmla="*/ 199255 h 1308087"/>
              <a:gd name="connsiteX281" fmla="*/ 1528549 w 2280745"/>
              <a:gd name="connsiteY281" fmla="*/ 181262 h 1308087"/>
              <a:gd name="connsiteX282" fmla="*/ 1533400 w 2280745"/>
              <a:gd name="connsiteY282" fmla="*/ 197025 h 1308087"/>
              <a:gd name="connsiteX283" fmla="*/ 1543989 w 2280745"/>
              <a:gd name="connsiteY283" fmla="*/ 202347 h 1308087"/>
              <a:gd name="connsiteX284" fmla="*/ 1546022 w 2280745"/>
              <a:gd name="connsiteY284" fmla="*/ 201873 h 1308087"/>
              <a:gd name="connsiteX285" fmla="*/ 1552136 w 2280745"/>
              <a:gd name="connsiteY285" fmla="*/ 192653 h 1308087"/>
              <a:gd name="connsiteX286" fmla="*/ 1535655 w 2280745"/>
              <a:gd name="connsiteY286" fmla="*/ 139098 h 1308087"/>
              <a:gd name="connsiteX287" fmla="*/ 1532977 w 2280745"/>
              <a:gd name="connsiteY287" fmla="*/ 135365 h 1308087"/>
              <a:gd name="connsiteX288" fmla="*/ 1528549 w 2280745"/>
              <a:gd name="connsiteY288" fmla="*/ 133610 h 1308087"/>
              <a:gd name="connsiteX289" fmla="*/ 1528549 w 2280745"/>
              <a:gd name="connsiteY289" fmla="*/ 133396 h 1308087"/>
              <a:gd name="connsiteX290" fmla="*/ 1482314 w 2280745"/>
              <a:gd name="connsiteY290" fmla="*/ 133396 h 1308087"/>
              <a:gd name="connsiteX291" fmla="*/ 1679477 w 2280745"/>
              <a:gd name="connsiteY291" fmla="*/ 133396 h 1308087"/>
              <a:gd name="connsiteX292" fmla="*/ 1679477 w 2280745"/>
              <a:gd name="connsiteY292" fmla="*/ 133621 h 1308087"/>
              <a:gd name="connsiteX293" fmla="*/ 1678860 w 2280745"/>
              <a:gd name="connsiteY293" fmla="*/ 133589 h 1308087"/>
              <a:gd name="connsiteX294" fmla="*/ 1671696 w 2280745"/>
              <a:gd name="connsiteY294" fmla="*/ 139098 h 1308087"/>
              <a:gd name="connsiteX295" fmla="*/ 1655215 w 2280745"/>
              <a:gd name="connsiteY295" fmla="*/ 192653 h 1308087"/>
              <a:gd name="connsiteX296" fmla="*/ 1661328 w 2280745"/>
              <a:gd name="connsiteY296" fmla="*/ 201873 h 1308087"/>
              <a:gd name="connsiteX297" fmla="*/ 1663362 w 2280745"/>
              <a:gd name="connsiteY297" fmla="*/ 202347 h 1308087"/>
              <a:gd name="connsiteX298" fmla="*/ 1673951 w 2280745"/>
              <a:gd name="connsiteY298" fmla="*/ 197025 h 1308087"/>
              <a:gd name="connsiteX299" fmla="*/ 1679477 w 2280745"/>
              <a:gd name="connsiteY299" fmla="*/ 179069 h 1308087"/>
              <a:gd name="connsiteX300" fmla="*/ 1679477 w 2280745"/>
              <a:gd name="connsiteY300" fmla="*/ 199255 h 1308087"/>
              <a:gd name="connsiteX301" fmla="*/ 1679477 w 2280745"/>
              <a:gd name="connsiteY301" fmla="*/ 205866 h 1308087"/>
              <a:gd name="connsiteX302" fmla="*/ 1679477 w 2280745"/>
              <a:gd name="connsiteY302" fmla="*/ 254698 h 1308087"/>
              <a:gd name="connsiteX303" fmla="*/ 1688123 w 2280745"/>
              <a:gd name="connsiteY303" fmla="*/ 262227 h 1308087"/>
              <a:gd name="connsiteX304" fmla="*/ 1690227 w 2280745"/>
              <a:gd name="connsiteY304" fmla="*/ 262227 h 1308087"/>
              <a:gd name="connsiteX305" fmla="*/ 1698873 w 2280745"/>
              <a:gd name="connsiteY305" fmla="*/ 254698 h 1308087"/>
              <a:gd name="connsiteX306" fmla="*/ 1698873 w 2280745"/>
              <a:gd name="connsiteY306" fmla="*/ 205866 h 1308087"/>
              <a:gd name="connsiteX307" fmla="*/ 1706314 w 2280745"/>
              <a:gd name="connsiteY307" fmla="*/ 205866 h 1308087"/>
              <a:gd name="connsiteX308" fmla="*/ 1706314 w 2280745"/>
              <a:gd name="connsiteY308" fmla="*/ 254698 h 1308087"/>
              <a:gd name="connsiteX309" fmla="*/ 1714961 w 2280745"/>
              <a:gd name="connsiteY309" fmla="*/ 262227 h 1308087"/>
              <a:gd name="connsiteX310" fmla="*/ 1717066 w 2280745"/>
              <a:gd name="connsiteY310" fmla="*/ 262227 h 1308087"/>
              <a:gd name="connsiteX311" fmla="*/ 1725712 w 2280745"/>
              <a:gd name="connsiteY311" fmla="*/ 254698 h 1308087"/>
              <a:gd name="connsiteX312" fmla="*/ 1725712 w 2280745"/>
              <a:gd name="connsiteY312" fmla="*/ 205866 h 1308087"/>
              <a:gd name="connsiteX313" fmla="*/ 1725712 w 2280745"/>
              <a:gd name="connsiteY313" fmla="*/ 199255 h 1308087"/>
              <a:gd name="connsiteX314" fmla="*/ 1725712 w 2280745"/>
              <a:gd name="connsiteY314" fmla="*/ 181262 h 1308087"/>
              <a:gd name="connsiteX315" fmla="*/ 1730563 w 2280745"/>
              <a:gd name="connsiteY315" fmla="*/ 197025 h 1308087"/>
              <a:gd name="connsiteX316" fmla="*/ 1741152 w 2280745"/>
              <a:gd name="connsiteY316" fmla="*/ 202347 h 1308087"/>
              <a:gd name="connsiteX317" fmla="*/ 1743185 w 2280745"/>
              <a:gd name="connsiteY317" fmla="*/ 201873 h 1308087"/>
              <a:gd name="connsiteX318" fmla="*/ 1749299 w 2280745"/>
              <a:gd name="connsiteY318" fmla="*/ 192653 h 1308087"/>
              <a:gd name="connsiteX319" fmla="*/ 1732817 w 2280745"/>
              <a:gd name="connsiteY319" fmla="*/ 139098 h 1308087"/>
              <a:gd name="connsiteX320" fmla="*/ 1730140 w 2280745"/>
              <a:gd name="connsiteY320" fmla="*/ 135365 h 1308087"/>
              <a:gd name="connsiteX321" fmla="*/ 1725712 w 2280745"/>
              <a:gd name="connsiteY321" fmla="*/ 133610 h 1308087"/>
              <a:gd name="connsiteX322" fmla="*/ 1725712 w 2280745"/>
              <a:gd name="connsiteY322" fmla="*/ 133396 h 1308087"/>
              <a:gd name="connsiteX323" fmla="*/ 1679477 w 2280745"/>
              <a:gd name="connsiteY323" fmla="*/ 133396 h 1308087"/>
              <a:gd name="connsiteX324" fmla="*/ 1882298 w 2280745"/>
              <a:gd name="connsiteY324" fmla="*/ 133396 h 1308087"/>
              <a:gd name="connsiteX325" fmla="*/ 1882298 w 2280745"/>
              <a:gd name="connsiteY325" fmla="*/ 133621 h 1308087"/>
              <a:gd name="connsiteX326" fmla="*/ 1881681 w 2280745"/>
              <a:gd name="connsiteY326" fmla="*/ 133589 h 1308087"/>
              <a:gd name="connsiteX327" fmla="*/ 1874518 w 2280745"/>
              <a:gd name="connsiteY327" fmla="*/ 139098 h 1308087"/>
              <a:gd name="connsiteX328" fmla="*/ 1858037 w 2280745"/>
              <a:gd name="connsiteY328" fmla="*/ 192653 h 1308087"/>
              <a:gd name="connsiteX329" fmla="*/ 1864152 w 2280745"/>
              <a:gd name="connsiteY329" fmla="*/ 201873 h 1308087"/>
              <a:gd name="connsiteX330" fmla="*/ 1866184 w 2280745"/>
              <a:gd name="connsiteY330" fmla="*/ 202347 h 1308087"/>
              <a:gd name="connsiteX331" fmla="*/ 1876773 w 2280745"/>
              <a:gd name="connsiteY331" fmla="*/ 197025 h 1308087"/>
              <a:gd name="connsiteX332" fmla="*/ 1882298 w 2280745"/>
              <a:gd name="connsiteY332" fmla="*/ 179069 h 1308087"/>
              <a:gd name="connsiteX333" fmla="*/ 1882298 w 2280745"/>
              <a:gd name="connsiteY333" fmla="*/ 199255 h 1308087"/>
              <a:gd name="connsiteX334" fmla="*/ 1882298 w 2280745"/>
              <a:gd name="connsiteY334" fmla="*/ 205866 h 1308087"/>
              <a:gd name="connsiteX335" fmla="*/ 1882298 w 2280745"/>
              <a:gd name="connsiteY335" fmla="*/ 254698 h 1308087"/>
              <a:gd name="connsiteX336" fmla="*/ 1890944 w 2280745"/>
              <a:gd name="connsiteY336" fmla="*/ 262227 h 1308087"/>
              <a:gd name="connsiteX337" fmla="*/ 1893050 w 2280745"/>
              <a:gd name="connsiteY337" fmla="*/ 262227 h 1308087"/>
              <a:gd name="connsiteX338" fmla="*/ 1901696 w 2280745"/>
              <a:gd name="connsiteY338" fmla="*/ 254698 h 1308087"/>
              <a:gd name="connsiteX339" fmla="*/ 1901696 w 2280745"/>
              <a:gd name="connsiteY339" fmla="*/ 205866 h 1308087"/>
              <a:gd name="connsiteX340" fmla="*/ 1909138 w 2280745"/>
              <a:gd name="connsiteY340" fmla="*/ 205866 h 1308087"/>
              <a:gd name="connsiteX341" fmla="*/ 1909138 w 2280745"/>
              <a:gd name="connsiteY341" fmla="*/ 254698 h 1308087"/>
              <a:gd name="connsiteX342" fmla="*/ 1917783 w 2280745"/>
              <a:gd name="connsiteY342" fmla="*/ 262227 h 1308087"/>
              <a:gd name="connsiteX343" fmla="*/ 1919889 w 2280745"/>
              <a:gd name="connsiteY343" fmla="*/ 262227 h 1308087"/>
              <a:gd name="connsiteX344" fmla="*/ 1928535 w 2280745"/>
              <a:gd name="connsiteY344" fmla="*/ 254698 h 1308087"/>
              <a:gd name="connsiteX345" fmla="*/ 1928535 w 2280745"/>
              <a:gd name="connsiteY345" fmla="*/ 205866 h 1308087"/>
              <a:gd name="connsiteX346" fmla="*/ 1928535 w 2280745"/>
              <a:gd name="connsiteY346" fmla="*/ 199255 h 1308087"/>
              <a:gd name="connsiteX347" fmla="*/ 1928535 w 2280745"/>
              <a:gd name="connsiteY347" fmla="*/ 181262 h 1308087"/>
              <a:gd name="connsiteX348" fmla="*/ 1933385 w 2280745"/>
              <a:gd name="connsiteY348" fmla="*/ 197025 h 1308087"/>
              <a:gd name="connsiteX349" fmla="*/ 1943974 w 2280745"/>
              <a:gd name="connsiteY349" fmla="*/ 202347 h 1308087"/>
              <a:gd name="connsiteX350" fmla="*/ 1946009 w 2280745"/>
              <a:gd name="connsiteY350" fmla="*/ 201873 h 1308087"/>
              <a:gd name="connsiteX351" fmla="*/ 1952121 w 2280745"/>
              <a:gd name="connsiteY351" fmla="*/ 192653 h 1308087"/>
              <a:gd name="connsiteX352" fmla="*/ 1935640 w 2280745"/>
              <a:gd name="connsiteY352" fmla="*/ 139098 h 1308087"/>
              <a:gd name="connsiteX353" fmla="*/ 1932962 w 2280745"/>
              <a:gd name="connsiteY353" fmla="*/ 135365 h 1308087"/>
              <a:gd name="connsiteX354" fmla="*/ 1928535 w 2280745"/>
              <a:gd name="connsiteY354" fmla="*/ 133610 h 1308087"/>
              <a:gd name="connsiteX355" fmla="*/ 1928535 w 2280745"/>
              <a:gd name="connsiteY355" fmla="*/ 133396 h 1308087"/>
              <a:gd name="connsiteX356" fmla="*/ 1882298 w 2280745"/>
              <a:gd name="connsiteY356" fmla="*/ 133396 h 1308087"/>
              <a:gd name="connsiteX357" fmla="*/ 2081622 w 2280745"/>
              <a:gd name="connsiteY357" fmla="*/ 133396 h 1308087"/>
              <a:gd name="connsiteX358" fmla="*/ 2081622 w 2280745"/>
              <a:gd name="connsiteY358" fmla="*/ 133621 h 1308087"/>
              <a:gd name="connsiteX359" fmla="*/ 2081004 w 2280745"/>
              <a:gd name="connsiteY359" fmla="*/ 133589 h 1308087"/>
              <a:gd name="connsiteX360" fmla="*/ 2073841 w 2280745"/>
              <a:gd name="connsiteY360" fmla="*/ 139098 h 1308087"/>
              <a:gd name="connsiteX361" fmla="*/ 2057362 w 2280745"/>
              <a:gd name="connsiteY361" fmla="*/ 192653 h 1308087"/>
              <a:gd name="connsiteX362" fmla="*/ 2063474 w 2280745"/>
              <a:gd name="connsiteY362" fmla="*/ 201873 h 1308087"/>
              <a:gd name="connsiteX363" fmla="*/ 2065507 w 2280745"/>
              <a:gd name="connsiteY363" fmla="*/ 202347 h 1308087"/>
              <a:gd name="connsiteX364" fmla="*/ 2076097 w 2280745"/>
              <a:gd name="connsiteY364" fmla="*/ 197025 h 1308087"/>
              <a:gd name="connsiteX365" fmla="*/ 2081622 w 2280745"/>
              <a:gd name="connsiteY365" fmla="*/ 179069 h 1308087"/>
              <a:gd name="connsiteX366" fmla="*/ 2081622 w 2280745"/>
              <a:gd name="connsiteY366" fmla="*/ 199255 h 1308087"/>
              <a:gd name="connsiteX367" fmla="*/ 2081622 w 2280745"/>
              <a:gd name="connsiteY367" fmla="*/ 205866 h 1308087"/>
              <a:gd name="connsiteX368" fmla="*/ 2081622 w 2280745"/>
              <a:gd name="connsiteY368" fmla="*/ 254698 h 1308087"/>
              <a:gd name="connsiteX369" fmla="*/ 2090268 w 2280745"/>
              <a:gd name="connsiteY369" fmla="*/ 262227 h 1308087"/>
              <a:gd name="connsiteX370" fmla="*/ 2092373 w 2280745"/>
              <a:gd name="connsiteY370" fmla="*/ 262227 h 1308087"/>
              <a:gd name="connsiteX371" fmla="*/ 2101019 w 2280745"/>
              <a:gd name="connsiteY371" fmla="*/ 254698 h 1308087"/>
              <a:gd name="connsiteX372" fmla="*/ 2101019 w 2280745"/>
              <a:gd name="connsiteY372" fmla="*/ 205866 h 1308087"/>
              <a:gd name="connsiteX373" fmla="*/ 2108461 w 2280745"/>
              <a:gd name="connsiteY373" fmla="*/ 205866 h 1308087"/>
              <a:gd name="connsiteX374" fmla="*/ 2108461 w 2280745"/>
              <a:gd name="connsiteY374" fmla="*/ 254698 h 1308087"/>
              <a:gd name="connsiteX375" fmla="*/ 2117107 w 2280745"/>
              <a:gd name="connsiteY375" fmla="*/ 262227 h 1308087"/>
              <a:gd name="connsiteX376" fmla="*/ 2119212 w 2280745"/>
              <a:gd name="connsiteY376" fmla="*/ 262227 h 1308087"/>
              <a:gd name="connsiteX377" fmla="*/ 2127858 w 2280745"/>
              <a:gd name="connsiteY377" fmla="*/ 254698 h 1308087"/>
              <a:gd name="connsiteX378" fmla="*/ 2127858 w 2280745"/>
              <a:gd name="connsiteY378" fmla="*/ 205866 h 1308087"/>
              <a:gd name="connsiteX379" fmla="*/ 2127858 w 2280745"/>
              <a:gd name="connsiteY379" fmla="*/ 199255 h 1308087"/>
              <a:gd name="connsiteX380" fmla="*/ 2127858 w 2280745"/>
              <a:gd name="connsiteY380" fmla="*/ 181262 h 1308087"/>
              <a:gd name="connsiteX381" fmla="*/ 2132707 w 2280745"/>
              <a:gd name="connsiteY381" fmla="*/ 197025 h 1308087"/>
              <a:gd name="connsiteX382" fmla="*/ 2143298 w 2280745"/>
              <a:gd name="connsiteY382" fmla="*/ 202347 h 1308087"/>
              <a:gd name="connsiteX383" fmla="*/ 2145331 w 2280745"/>
              <a:gd name="connsiteY383" fmla="*/ 201873 h 1308087"/>
              <a:gd name="connsiteX384" fmla="*/ 2151445 w 2280745"/>
              <a:gd name="connsiteY384" fmla="*/ 192653 h 1308087"/>
              <a:gd name="connsiteX385" fmla="*/ 2134963 w 2280745"/>
              <a:gd name="connsiteY385" fmla="*/ 139098 h 1308087"/>
              <a:gd name="connsiteX386" fmla="*/ 2132286 w 2280745"/>
              <a:gd name="connsiteY386" fmla="*/ 135365 h 1308087"/>
              <a:gd name="connsiteX387" fmla="*/ 2127858 w 2280745"/>
              <a:gd name="connsiteY387" fmla="*/ 133610 h 1308087"/>
              <a:gd name="connsiteX388" fmla="*/ 2127858 w 2280745"/>
              <a:gd name="connsiteY388" fmla="*/ 133396 h 1308087"/>
              <a:gd name="connsiteX389" fmla="*/ 2081622 w 2280745"/>
              <a:gd name="connsiteY389" fmla="*/ 133396 h 1308087"/>
              <a:gd name="connsiteX390" fmla="*/ 303668 w 2280745"/>
              <a:gd name="connsiteY390" fmla="*/ 315528 h 1308087"/>
              <a:gd name="connsiteX391" fmla="*/ 284721 w 2280745"/>
              <a:gd name="connsiteY391" fmla="*/ 332024 h 1308087"/>
              <a:gd name="connsiteX392" fmla="*/ 303668 w 2280745"/>
              <a:gd name="connsiteY392" fmla="*/ 348520 h 1308087"/>
              <a:gd name="connsiteX393" fmla="*/ 322614 w 2280745"/>
              <a:gd name="connsiteY393" fmla="*/ 332024 h 1308087"/>
              <a:gd name="connsiteX394" fmla="*/ 303668 w 2280745"/>
              <a:gd name="connsiteY394" fmla="*/ 315528 h 1308087"/>
              <a:gd name="connsiteX395" fmla="*/ 503662 w 2280745"/>
              <a:gd name="connsiteY395" fmla="*/ 315528 h 1308087"/>
              <a:gd name="connsiteX396" fmla="*/ 484717 w 2280745"/>
              <a:gd name="connsiteY396" fmla="*/ 332024 h 1308087"/>
              <a:gd name="connsiteX397" fmla="*/ 503662 w 2280745"/>
              <a:gd name="connsiteY397" fmla="*/ 348520 h 1308087"/>
              <a:gd name="connsiteX398" fmla="*/ 522607 w 2280745"/>
              <a:gd name="connsiteY398" fmla="*/ 332024 h 1308087"/>
              <a:gd name="connsiteX399" fmla="*/ 503662 w 2280745"/>
              <a:gd name="connsiteY399" fmla="*/ 315528 h 1308087"/>
              <a:gd name="connsiteX400" fmla="*/ 703653 w 2280745"/>
              <a:gd name="connsiteY400" fmla="*/ 315528 h 1308087"/>
              <a:gd name="connsiteX401" fmla="*/ 684709 w 2280745"/>
              <a:gd name="connsiteY401" fmla="*/ 332024 h 1308087"/>
              <a:gd name="connsiteX402" fmla="*/ 703653 w 2280745"/>
              <a:gd name="connsiteY402" fmla="*/ 348520 h 1308087"/>
              <a:gd name="connsiteX403" fmla="*/ 722600 w 2280745"/>
              <a:gd name="connsiteY403" fmla="*/ 332024 h 1308087"/>
              <a:gd name="connsiteX404" fmla="*/ 703653 w 2280745"/>
              <a:gd name="connsiteY404" fmla="*/ 315528 h 1308087"/>
              <a:gd name="connsiteX405" fmla="*/ 903646 w 2280745"/>
              <a:gd name="connsiteY405" fmla="*/ 315528 h 1308087"/>
              <a:gd name="connsiteX406" fmla="*/ 884701 w 2280745"/>
              <a:gd name="connsiteY406" fmla="*/ 332024 h 1308087"/>
              <a:gd name="connsiteX407" fmla="*/ 903646 w 2280745"/>
              <a:gd name="connsiteY407" fmla="*/ 348520 h 1308087"/>
              <a:gd name="connsiteX408" fmla="*/ 922591 w 2280745"/>
              <a:gd name="connsiteY408" fmla="*/ 332024 h 1308087"/>
              <a:gd name="connsiteX409" fmla="*/ 903646 w 2280745"/>
              <a:gd name="connsiteY409" fmla="*/ 315528 h 1308087"/>
              <a:gd name="connsiteX410" fmla="*/ 1103638 w 2280745"/>
              <a:gd name="connsiteY410" fmla="*/ 315528 h 1308087"/>
              <a:gd name="connsiteX411" fmla="*/ 1084694 w 2280745"/>
              <a:gd name="connsiteY411" fmla="*/ 332024 h 1308087"/>
              <a:gd name="connsiteX412" fmla="*/ 1103638 w 2280745"/>
              <a:gd name="connsiteY412" fmla="*/ 348520 h 1308087"/>
              <a:gd name="connsiteX413" fmla="*/ 1122584 w 2280745"/>
              <a:gd name="connsiteY413" fmla="*/ 332024 h 1308087"/>
              <a:gd name="connsiteX414" fmla="*/ 1103638 w 2280745"/>
              <a:gd name="connsiteY414" fmla="*/ 315528 h 1308087"/>
              <a:gd name="connsiteX415" fmla="*/ 1303631 w 2280745"/>
              <a:gd name="connsiteY415" fmla="*/ 315528 h 1308087"/>
              <a:gd name="connsiteX416" fmla="*/ 1284685 w 2280745"/>
              <a:gd name="connsiteY416" fmla="*/ 332024 h 1308087"/>
              <a:gd name="connsiteX417" fmla="*/ 1303631 w 2280745"/>
              <a:gd name="connsiteY417" fmla="*/ 348520 h 1308087"/>
              <a:gd name="connsiteX418" fmla="*/ 1322576 w 2280745"/>
              <a:gd name="connsiteY418" fmla="*/ 332024 h 1308087"/>
              <a:gd name="connsiteX419" fmla="*/ 1303631 w 2280745"/>
              <a:gd name="connsiteY419" fmla="*/ 315528 h 1308087"/>
              <a:gd name="connsiteX420" fmla="*/ 1505923 w 2280745"/>
              <a:gd name="connsiteY420" fmla="*/ 315528 h 1308087"/>
              <a:gd name="connsiteX421" fmla="*/ 1486979 w 2280745"/>
              <a:gd name="connsiteY421" fmla="*/ 332024 h 1308087"/>
              <a:gd name="connsiteX422" fmla="*/ 1505923 w 2280745"/>
              <a:gd name="connsiteY422" fmla="*/ 348520 h 1308087"/>
              <a:gd name="connsiteX423" fmla="*/ 1524868 w 2280745"/>
              <a:gd name="connsiteY423" fmla="*/ 332024 h 1308087"/>
              <a:gd name="connsiteX424" fmla="*/ 1505923 w 2280745"/>
              <a:gd name="connsiteY424" fmla="*/ 315528 h 1308087"/>
              <a:gd name="connsiteX425" fmla="*/ 1703085 w 2280745"/>
              <a:gd name="connsiteY425" fmla="*/ 315528 h 1308087"/>
              <a:gd name="connsiteX426" fmla="*/ 1684140 w 2280745"/>
              <a:gd name="connsiteY426" fmla="*/ 332024 h 1308087"/>
              <a:gd name="connsiteX427" fmla="*/ 1703085 w 2280745"/>
              <a:gd name="connsiteY427" fmla="*/ 348520 h 1308087"/>
              <a:gd name="connsiteX428" fmla="*/ 1722031 w 2280745"/>
              <a:gd name="connsiteY428" fmla="*/ 332024 h 1308087"/>
              <a:gd name="connsiteX429" fmla="*/ 1703085 w 2280745"/>
              <a:gd name="connsiteY429" fmla="*/ 315528 h 1308087"/>
              <a:gd name="connsiteX430" fmla="*/ 1905908 w 2280745"/>
              <a:gd name="connsiteY430" fmla="*/ 315528 h 1308087"/>
              <a:gd name="connsiteX431" fmla="*/ 1886962 w 2280745"/>
              <a:gd name="connsiteY431" fmla="*/ 332024 h 1308087"/>
              <a:gd name="connsiteX432" fmla="*/ 1905908 w 2280745"/>
              <a:gd name="connsiteY432" fmla="*/ 348520 h 1308087"/>
              <a:gd name="connsiteX433" fmla="*/ 1924855 w 2280745"/>
              <a:gd name="connsiteY433" fmla="*/ 332024 h 1308087"/>
              <a:gd name="connsiteX434" fmla="*/ 1905908 w 2280745"/>
              <a:gd name="connsiteY434" fmla="*/ 315528 h 1308087"/>
              <a:gd name="connsiteX435" fmla="*/ 2105231 w 2280745"/>
              <a:gd name="connsiteY435" fmla="*/ 315528 h 1308087"/>
              <a:gd name="connsiteX436" fmla="*/ 2086286 w 2280745"/>
              <a:gd name="connsiteY436" fmla="*/ 332024 h 1308087"/>
              <a:gd name="connsiteX437" fmla="*/ 2105231 w 2280745"/>
              <a:gd name="connsiteY437" fmla="*/ 348520 h 1308087"/>
              <a:gd name="connsiteX438" fmla="*/ 2124177 w 2280745"/>
              <a:gd name="connsiteY438" fmla="*/ 332024 h 1308087"/>
              <a:gd name="connsiteX439" fmla="*/ 2105231 w 2280745"/>
              <a:gd name="connsiteY439" fmla="*/ 315528 h 1308087"/>
              <a:gd name="connsiteX440" fmla="*/ 280058 w 2280745"/>
              <a:gd name="connsiteY440" fmla="*/ 352185 h 1308087"/>
              <a:gd name="connsiteX441" fmla="*/ 280058 w 2280745"/>
              <a:gd name="connsiteY441" fmla="*/ 352410 h 1308087"/>
              <a:gd name="connsiteX442" fmla="*/ 279441 w 2280745"/>
              <a:gd name="connsiteY442" fmla="*/ 352375 h 1308087"/>
              <a:gd name="connsiteX443" fmla="*/ 272279 w 2280745"/>
              <a:gd name="connsiteY443" fmla="*/ 357886 h 1308087"/>
              <a:gd name="connsiteX444" fmla="*/ 255797 w 2280745"/>
              <a:gd name="connsiteY444" fmla="*/ 411442 h 1308087"/>
              <a:gd name="connsiteX445" fmla="*/ 261911 w 2280745"/>
              <a:gd name="connsiteY445" fmla="*/ 420662 h 1308087"/>
              <a:gd name="connsiteX446" fmla="*/ 263944 w 2280745"/>
              <a:gd name="connsiteY446" fmla="*/ 421136 h 1308087"/>
              <a:gd name="connsiteX447" fmla="*/ 274533 w 2280745"/>
              <a:gd name="connsiteY447" fmla="*/ 415813 h 1308087"/>
              <a:gd name="connsiteX448" fmla="*/ 280058 w 2280745"/>
              <a:gd name="connsiteY448" fmla="*/ 397857 h 1308087"/>
              <a:gd name="connsiteX449" fmla="*/ 280058 w 2280745"/>
              <a:gd name="connsiteY449" fmla="*/ 418041 h 1308087"/>
              <a:gd name="connsiteX450" fmla="*/ 280058 w 2280745"/>
              <a:gd name="connsiteY450" fmla="*/ 424655 h 1308087"/>
              <a:gd name="connsiteX451" fmla="*/ 280058 w 2280745"/>
              <a:gd name="connsiteY451" fmla="*/ 473487 h 1308087"/>
              <a:gd name="connsiteX452" fmla="*/ 288705 w 2280745"/>
              <a:gd name="connsiteY452" fmla="*/ 481014 h 1308087"/>
              <a:gd name="connsiteX453" fmla="*/ 290809 w 2280745"/>
              <a:gd name="connsiteY453" fmla="*/ 481014 h 1308087"/>
              <a:gd name="connsiteX454" fmla="*/ 299455 w 2280745"/>
              <a:gd name="connsiteY454" fmla="*/ 473487 h 1308087"/>
              <a:gd name="connsiteX455" fmla="*/ 299455 w 2280745"/>
              <a:gd name="connsiteY455" fmla="*/ 424655 h 1308087"/>
              <a:gd name="connsiteX456" fmla="*/ 306898 w 2280745"/>
              <a:gd name="connsiteY456" fmla="*/ 424655 h 1308087"/>
              <a:gd name="connsiteX457" fmla="*/ 306898 w 2280745"/>
              <a:gd name="connsiteY457" fmla="*/ 473487 h 1308087"/>
              <a:gd name="connsiteX458" fmla="*/ 315544 w 2280745"/>
              <a:gd name="connsiteY458" fmla="*/ 481014 h 1308087"/>
              <a:gd name="connsiteX459" fmla="*/ 317649 w 2280745"/>
              <a:gd name="connsiteY459" fmla="*/ 481014 h 1308087"/>
              <a:gd name="connsiteX460" fmla="*/ 326293 w 2280745"/>
              <a:gd name="connsiteY460" fmla="*/ 473487 h 1308087"/>
              <a:gd name="connsiteX461" fmla="*/ 326293 w 2280745"/>
              <a:gd name="connsiteY461" fmla="*/ 424655 h 1308087"/>
              <a:gd name="connsiteX462" fmla="*/ 326293 w 2280745"/>
              <a:gd name="connsiteY462" fmla="*/ 418041 h 1308087"/>
              <a:gd name="connsiteX463" fmla="*/ 326293 w 2280745"/>
              <a:gd name="connsiteY463" fmla="*/ 400049 h 1308087"/>
              <a:gd name="connsiteX464" fmla="*/ 331145 w 2280745"/>
              <a:gd name="connsiteY464" fmla="*/ 415813 h 1308087"/>
              <a:gd name="connsiteX465" fmla="*/ 341734 w 2280745"/>
              <a:gd name="connsiteY465" fmla="*/ 421136 h 1308087"/>
              <a:gd name="connsiteX466" fmla="*/ 343767 w 2280745"/>
              <a:gd name="connsiteY466" fmla="*/ 420662 h 1308087"/>
              <a:gd name="connsiteX467" fmla="*/ 349881 w 2280745"/>
              <a:gd name="connsiteY467" fmla="*/ 411442 h 1308087"/>
              <a:gd name="connsiteX468" fmla="*/ 333400 w 2280745"/>
              <a:gd name="connsiteY468" fmla="*/ 357886 h 1308087"/>
              <a:gd name="connsiteX469" fmla="*/ 330722 w 2280745"/>
              <a:gd name="connsiteY469" fmla="*/ 354153 h 1308087"/>
              <a:gd name="connsiteX470" fmla="*/ 326293 w 2280745"/>
              <a:gd name="connsiteY470" fmla="*/ 352399 h 1308087"/>
              <a:gd name="connsiteX471" fmla="*/ 326293 w 2280745"/>
              <a:gd name="connsiteY471" fmla="*/ 352185 h 1308087"/>
              <a:gd name="connsiteX472" fmla="*/ 280058 w 2280745"/>
              <a:gd name="connsiteY472" fmla="*/ 352185 h 1308087"/>
              <a:gd name="connsiteX473" fmla="*/ 480053 w 2280745"/>
              <a:gd name="connsiteY473" fmla="*/ 352185 h 1308087"/>
              <a:gd name="connsiteX474" fmla="*/ 480053 w 2280745"/>
              <a:gd name="connsiteY474" fmla="*/ 352410 h 1308087"/>
              <a:gd name="connsiteX475" fmla="*/ 479436 w 2280745"/>
              <a:gd name="connsiteY475" fmla="*/ 352375 h 1308087"/>
              <a:gd name="connsiteX476" fmla="*/ 472272 w 2280745"/>
              <a:gd name="connsiteY476" fmla="*/ 357886 h 1308087"/>
              <a:gd name="connsiteX477" fmla="*/ 455791 w 2280745"/>
              <a:gd name="connsiteY477" fmla="*/ 411442 h 1308087"/>
              <a:gd name="connsiteX478" fmla="*/ 461906 w 2280745"/>
              <a:gd name="connsiteY478" fmla="*/ 420662 h 1308087"/>
              <a:gd name="connsiteX479" fmla="*/ 463938 w 2280745"/>
              <a:gd name="connsiteY479" fmla="*/ 421136 h 1308087"/>
              <a:gd name="connsiteX480" fmla="*/ 474527 w 2280745"/>
              <a:gd name="connsiteY480" fmla="*/ 415813 h 1308087"/>
              <a:gd name="connsiteX481" fmla="*/ 480053 w 2280745"/>
              <a:gd name="connsiteY481" fmla="*/ 397857 h 1308087"/>
              <a:gd name="connsiteX482" fmla="*/ 480053 w 2280745"/>
              <a:gd name="connsiteY482" fmla="*/ 418041 h 1308087"/>
              <a:gd name="connsiteX483" fmla="*/ 480053 w 2280745"/>
              <a:gd name="connsiteY483" fmla="*/ 424655 h 1308087"/>
              <a:gd name="connsiteX484" fmla="*/ 480053 w 2280745"/>
              <a:gd name="connsiteY484" fmla="*/ 473487 h 1308087"/>
              <a:gd name="connsiteX485" fmla="*/ 488698 w 2280745"/>
              <a:gd name="connsiteY485" fmla="*/ 481014 h 1308087"/>
              <a:gd name="connsiteX486" fmla="*/ 490804 w 2280745"/>
              <a:gd name="connsiteY486" fmla="*/ 481014 h 1308087"/>
              <a:gd name="connsiteX487" fmla="*/ 499450 w 2280745"/>
              <a:gd name="connsiteY487" fmla="*/ 473487 h 1308087"/>
              <a:gd name="connsiteX488" fmla="*/ 499450 w 2280745"/>
              <a:gd name="connsiteY488" fmla="*/ 424655 h 1308087"/>
              <a:gd name="connsiteX489" fmla="*/ 506892 w 2280745"/>
              <a:gd name="connsiteY489" fmla="*/ 424655 h 1308087"/>
              <a:gd name="connsiteX490" fmla="*/ 506892 w 2280745"/>
              <a:gd name="connsiteY490" fmla="*/ 473487 h 1308087"/>
              <a:gd name="connsiteX491" fmla="*/ 515538 w 2280745"/>
              <a:gd name="connsiteY491" fmla="*/ 481014 h 1308087"/>
              <a:gd name="connsiteX492" fmla="*/ 517643 w 2280745"/>
              <a:gd name="connsiteY492" fmla="*/ 481014 h 1308087"/>
              <a:gd name="connsiteX493" fmla="*/ 526287 w 2280745"/>
              <a:gd name="connsiteY493" fmla="*/ 473487 h 1308087"/>
              <a:gd name="connsiteX494" fmla="*/ 526287 w 2280745"/>
              <a:gd name="connsiteY494" fmla="*/ 424655 h 1308087"/>
              <a:gd name="connsiteX495" fmla="*/ 526287 w 2280745"/>
              <a:gd name="connsiteY495" fmla="*/ 418041 h 1308087"/>
              <a:gd name="connsiteX496" fmla="*/ 526287 w 2280745"/>
              <a:gd name="connsiteY496" fmla="*/ 400049 h 1308087"/>
              <a:gd name="connsiteX497" fmla="*/ 531139 w 2280745"/>
              <a:gd name="connsiteY497" fmla="*/ 415813 h 1308087"/>
              <a:gd name="connsiteX498" fmla="*/ 541727 w 2280745"/>
              <a:gd name="connsiteY498" fmla="*/ 421136 h 1308087"/>
              <a:gd name="connsiteX499" fmla="*/ 543761 w 2280745"/>
              <a:gd name="connsiteY499" fmla="*/ 420662 h 1308087"/>
              <a:gd name="connsiteX500" fmla="*/ 549875 w 2280745"/>
              <a:gd name="connsiteY500" fmla="*/ 411442 h 1308087"/>
              <a:gd name="connsiteX501" fmla="*/ 533394 w 2280745"/>
              <a:gd name="connsiteY501" fmla="*/ 357886 h 1308087"/>
              <a:gd name="connsiteX502" fmla="*/ 530716 w 2280745"/>
              <a:gd name="connsiteY502" fmla="*/ 354153 h 1308087"/>
              <a:gd name="connsiteX503" fmla="*/ 526287 w 2280745"/>
              <a:gd name="connsiteY503" fmla="*/ 352399 h 1308087"/>
              <a:gd name="connsiteX504" fmla="*/ 526287 w 2280745"/>
              <a:gd name="connsiteY504" fmla="*/ 352185 h 1308087"/>
              <a:gd name="connsiteX505" fmla="*/ 480053 w 2280745"/>
              <a:gd name="connsiteY505" fmla="*/ 352185 h 1308087"/>
              <a:gd name="connsiteX506" fmla="*/ 680045 w 2280745"/>
              <a:gd name="connsiteY506" fmla="*/ 352185 h 1308087"/>
              <a:gd name="connsiteX507" fmla="*/ 680045 w 2280745"/>
              <a:gd name="connsiteY507" fmla="*/ 352410 h 1308087"/>
              <a:gd name="connsiteX508" fmla="*/ 679427 w 2280745"/>
              <a:gd name="connsiteY508" fmla="*/ 352375 h 1308087"/>
              <a:gd name="connsiteX509" fmla="*/ 672265 w 2280745"/>
              <a:gd name="connsiteY509" fmla="*/ 357886 h 1308087"/>
              <a:gd name="connsiteX510" fmla="*/ 655783 w 2280745"/>
              <a:gd name="connsiteY510" fmla="*/ 411442 h 1308087"/>
              <a:gd name="connsiteX511" fmla="*/ 661899 w 2280745"/>
              <a:gd name="connsiteY511" fmla="*/ 420662 h 1308087"/>
              <a:gd name="connsiteX512" fmla="*/ 663930 w 2280745"/>
              <a:gd name="connsiteY512" fmla="*/ 421136 h 1308087"/>
              <a:gd name="connsiteX513" fmla="*/ 674518 w 2280745"/>
              <a:gd name="connsiteY513" fmla="*/ 415813 h 1308087"/>
              <a:gd name="connsiteX514" fmla="*/ 680045 w 2280745"/>
              <a:gd name="connsiteY514" fmla="*/ 397857 h 1308087"/>
              <a:gd name="connsiteX515" fmla="*/ 680045 w 2280745"/>
              <a:gd name="connsiteY515" fmla="*/ 418041 h 1308087"/>
              <a:gd name="connsiteX516" fmla="*/ 680045 w 2280745"/>
              <a:gd name="connsiteY516" fmla="*/ 424655 h 1308087"/>
              <a:gd name="connsiteX517" fmla="*/ 680045 w 2280745"/>
              <a:gd name="connsiteY517" fmla="*/ 473487 h 1308087"/>
              <a:gd name="connsiteX518" fmla="*/ 688691 w 2280745"/>
              <a:gd name="connsiteY518" fmla="*/ 481014 h 1308087"/>
              <a:gd name="connsiteX519" fmla="*/ 690797 w 2280745"/>
              <a:gd name="connsiteY519" fmla="*/ 481014 h 1308087"/>
              <a:gd name="connsiteX520" fmla="*/ 699443 w 2280745"/>
              <a:gd name="connsiteY520" fmla="*/ 473487 h 1308087"/>
              <a:gd name="connsiteX521" fmla="*/ 699443 w 2280745"/>
              <a:gd name="connsiteY521" fmla="*/ 424655 h 1308087"/>
              <a:gd name="connsiteX522" fmla="*/ 706884 w 2280745"/>
              <a:gd name="connsiteY522" fmla="*/ 424655 h 1308087"/>
              <a:gd name="connsiteX523" fmla="*/ 706884 w 2280745"/>
              <a:gd name="connsiteY523" fmla="*/ 473487 h 1308087"/>
              <a:gd name="connsiteX524" fmla="*/ 715530 w 2280745"/>
              <a:gd name="connsiteY524" fmla="*/ 481014 h 1308087"/>
              <a:gd name="connsiteX525" fmla="*/ 717635 w 2280745"/>
              <a:gd name="connsiteY525" fmla="*/ 481014 h 1308087"/>
              <a:gd name="connsiteX526" fmla="*/ 726280 w 2280745"/>
              <a:gd name="connsiteY526" fmla="*/ 473487 h 1308087"/>
              <a:gd name="connsiteX527" fmla="*/ 726280 w 2280745"/>
              <a:gd name="connsiteY527" fmla="*/ 424655 h 1308087"/>
              <a:gd name="connsiteX528" fmla="*/ 726280 w 2280745"/>
              <a:gd name="connsiteY528" fmla="*/ 418041 h 1308087"/>
              <a:gd name="connsiteX529" fmla="*/ 726280 w 2280745"/>
              <a:gd name="connsiteY529" fmla="*/ 400049 h 1308087"/>
              <a:gd name="connsiteX530" fmla="*/ 731132 w 2280745"/>
              <a:gd name="connsiteY530" fmla="*/ 415813 h 1308087"/>
              <a:gd name="connsiteX531" fmla="*/ 741720 w 2280745"/>
              <a:gd name="connsiteY531" fmla="*/ 421136 h 1308087"/>
              <a:gd name="connsiteX532" fmla="*/ 743753 w 2280745"/>
              <a:gd name="connsiteY532" fmla="*/ 420662 h 1308087"/>
              <a:gd name="connsiteX533" fmla="*/ 749868 w 2280745"/>
              <a:gd name="connsiteY533" fmla="*/ 411442 h 1308087"/>
              <a:gd name="connsiteX534" fmla="*/ 733385 w 2280745"/>
              <a:gd name="connsiteY534" fmla="*/ 357886 h 1308087"/>
              <a:gd name="connsiteX535" fmla="*/ 730709 w 2280745"/>
              <a:gd name="connsiteY535" fmla="*/ 354153 h 1308087"/>
              <a:gd name="connsiteX536" fmla="*/ 726280 w 2280745"/>
              <a:gd name="connsiteY536" fmla="*/ 352399 h 1308087"/>
              <a:gd name="connsiteX537" fmla="*/ 726280 w 2280745"/>
              <a:gd name="connsiteY537" fmla="*/ 352185 h 1308087"/>
              <a:gd name="connsiteX538" fmla="*/ 680045 w 2280745"/>
              <a:gd name="connsiteY538" fmla="*/ 352185 h 1308087"/>
              <a:gd name="connsiteX539" fmla="*/ 880037 w 2280745"/>
              <a:gd name="connsiteY539" fmla="*/ 352185 h 1308087"/>
              <a:gd name="connsiteX540" fmla="*/ 880037 w 2280745"/>
              <a:gd name="connsiteY540" fmla="*/ 352410 h 1308087"/>
              <a:gd name="connsiteX541" fmla="*/ 879420 w 2280745"/>
              <a:gd name="connsiteY541" fmla="*/ 352375 h 1308087"/>
              <a:gd name="connsiteX542" fmla="*/ 872256 w 2280745"/>
              <a:gd name="connsiteY542" fmla="*/ 357886 h 1308087"/>
              <a:gd name="connsiteX543" fmla="*/ 855776 w 2280745"/>
              <a:gd name="connsiteY543" fmla="*/ 411442 h 1308087"/>
              <a:gd name="connsiteX544" fmla="*/ 861890 w 2280745"/>
              <a:gd name="connsiteY544" fmla="*/ 420662 h 1308087"/>
              <a:gd name="connsiteX545" fmla="*/ 863923 w 2280745"/>
              <a:gd name="connsiteY545" fmla="*/ 421136 h 1308087"/>
              <a:gd name="connsiteX546" fmla="*/ 874511 w 2280745"/>
              <a:gd name="connsiteY546" fmla="*/ 415813 h 1308087"/>
              <a:gd name="connsiteX547" fmla="*/ 880037 w 2280745"/>
              <a:gd name="connsiteY547" fmla="*/ 397857 h 1308087"/>
              <a:gd name="connsiteX548" fmla="*/ 880037 w 2280745"/>
              <a:gd name="connsiteY548" fmla="*/ 418041 h 1308087"/>
              <a:gd name="connsiteX549" fmla="*/ 880037 w 2280745"/>
              <a:gd name="connsiteY549" fmla="*/ 424655 h 1308087"/>
              <a:gd name="connsiteX550" fmla="*/ 880037 w 2280745"/>
              <a:gd name="connsiteY550" fmla="*/ 473487 h 1308087"/>
              <a:gd name="connsiteX551" fmla="*/ 888683 w 2280745"/>
              <a:gd name="connsiteY551" fmla="*/ 481014 h 1308087"/>
              <a:gd name="connsiteX552" fmla="*/ 890788 w 2280745"/>
              <a:gd name="connsiteY552" fmla="*/ 481014 h 1308087"/>
              <a:gd name="connsiteX553" fmla="*/ 899434 w 2280745"/>
              <a:gd name="connsiteY553" fmla="*/ 473487 h 1308087"/>
              <a:gd name="connsiteX554" fmla="*/ 899434 w 2280745"/>
              <a:gd name="connsiteY554" fmla="*/ 424655 h 1308087"/>
              <a:gd name="connsiteX555" fmla="*/ 906877 w 2280745"/>
              <a:gd name="connsiteY555" fmla="*/ 424655 h 1308087"/>
              <a:gd name="connsiteX556" fmla="*/ 906877 w 2280745"/>
              <a:gd name="connsiteY556" fmla="*/ 473487 h 1308087"/>
              <a:gd name="connsiteX557" fmla="*/ 915521 w 2280745"/>
              <a:gd name="connsiteY557" fmla="*/ 481014 h 1308087"/>
              <a:gd name="connsiteX558" fmla="*/ 917628 w 2280745"/>
              <a:gd name="connsiteY558" fmla="*/ 481014 h 1308087"/>
              <a:gd name="connsiteX559" fmla="*/ 926272 w 2280745"/>
              <a:gd name="connsiteY559" fmla="*/ 473487 h 1308087"/>
              <a:gd name="connsiteX560" fmla="*/ 926272 w 2280745"/>
              <a:gd name="connsiteY560" fmla="*/ 424655 h 1308087"/>
              <a:gd name="connsiteX561" fmla="*/ 926272 w 2280745"/>
              <a:gd name="connsiteY561" fmla="*/ 418041 h 1308087"/>
              <a:gd name="connsiteX562" fmla="*/ 926272 w 2280745"/>
              <a:gd name="connsiteY562" fmla="*/ 400049 h 1308087"/>
              <a:gd name="connsiteX563" fmla="*/ 931123 w 2280745"/>
              <a:gd name="connsiteY563" fmla="*/ 415813 h 1308087"/>
              <a:gd name="connsiteX564" fmla="*/ 941712 w 2280745"/>
              <a:gd name="connsiteY564" fmla="*/ 421136 h 1308087"/>
              <a:gd name="connsiteX565" fmla="*/ 943745 w 2280745"/>
              <a:gd name="connsiteY565" fmla="*/ 420662 h 1308087"/>
              <a:gd name="connsiteX566" fmla="*/ 949860 w 2280745"/>
              <a:gd name="connsiteY566" fmla="*/ 411442 h 1308087"/>
              <a:gd name="connsiteX567" fmla="*/ 933378 w 2280745"/>
              <a:gd name="connsiteY567" fmla="*/ 357886 h 1308087"/>
              <a:gd name="connsiteX568" fmla="*/ 930701 w 2280745"/>
              <a:gd name="connsiteY568" fmla="*/ 354153 h 1308087"/>
              <a:gd name="connsiteX569" fmla="*/ 926272 w 2280745"/>
              <a:gd name="connsiteY569" fmla="*/ 352399 h 1308087"/>
              <a:gd name="connsiteX570" fmla="*/ 926272 w 2280745"/>
              <a:gd name="connsiteY570" fmla="*/ 352185 h 1308087"/>
              <a:gd name="connsiteX571" fmla="*/ 880037 w 2280745"/>
              <a:gd name="connsiteY571" fmla="*/ 352185 h 1308087"/>
              <a:gd name="connsiteX572" fmla="*/ 1080030 w 2280745"/>
              <a:gd name="connsiteY572" fmla="*/ 352185 h 1308087"/>
              <a:gd name="connsiteX573" fmla="*/ 1080030 w 2280745"/>
              <a:gd name="connsiteY573" fmla="*/ 352410 h 1308087"/>
              <a:gd name="connsiteX574" fmla="*/ 1079412 w 2280745"/>
              <a:gd name="connsiteY574" fmla="*/ 352375 h 1308087"/>
              <a:gd name="connsiteX575" fmla="*/ 1072249 w 2280745"/>
              <a:gd name="connsiteY575" fmla="*/ 357886 h 1308087"/>
              <a:gd name="connsiteX576" fmla="*/ 1055767 w 2280745"/>
              <a:gd name="connsiteY576" fmla="*/ 411442 h 1308087"/>
              <a:gd name="connsiteX577" fmla="*/ 1061881 w 2280745"/>
              <a:gd name="connsiteY577" fmla="*/ 420662 h 1308087"/>
              <a:gd name="connsiteX578" fmla="*/ 1063914 w 2280745"/>
              <a:gd name="connsiteY578" fmla="*/ 421136 h 1308087"/>
              <a:gd name="connsiteX579" fmla="*/ 1074503 w 2280745"/>
              <a:gd name="connsiteY579" fmla="*/ 415813 h 1308087"/>
              <a:gd name="connsiteX580" fmla="*/ 1080030 w 2280745"/>
              <a:gd name="connsiteY580" fmla="*/ 397857 h 1308087"/>
              <a:gd name="connsiteX581" fmla="*/ 1080030 w 2280745"/>
              <a:gd name="connsiteY581" fmla="*/ 418041 h 1308087"/>
              <a:gd name="connsiteX582" fmla="*/ 1080030 w 2280745"/>
              <a:gd name="connsiteY582" fmla="*/ 424655 h 1308087"/>
              <a:gd name="connsiteX583" fmla="*/ 1080030 w 2280745"/>
              <a:gd name="connsiteY583" fmla="*/ 473487 h 1308087"/>
              <a:gd name="connsiteX584" fmla="*/ 1088676 w 2280745"/>
              <a:gd name="connsiteY584" fmla="*/ 481014 h 1308087"/>
              <a:gd name="connsiteX585" fmla="*/ 1090781 w 2280745"/>
              <a:gd name="connsiteY585" fmla="*/ 481014 h 1308087"/>
              <a:gd name="connsiteX586" fmla="*/ 1099427 w 2280745"/>
              <a:gd name="connsiteY586" fmla="*/ 473487 h 1308087"/>
              <a:gd name="connsiteX587" fmla="*/ 1099427 w 2280745"/>
              <a:gd name="connsiteY587" fmla="*/ 424655 h 1308087"/>
              <a:gd name="connsiteX588" fmla="*/ 1106868 w 2280745"/>
              <a:gd name="connsiteY588" fmla="*/ 424655 h 1308087"/>
              <a:gd name="connsiteX589" fmla="*/ 1106868 w 2280745"/>
              <a:gd name="connsiteY589" fmla="*/ 473487 h 1308087"/>
              <a:gd name="connsiteX590" fmla="*/ 1115514 w 2280745"/>
              <a:gd name="connsiteY590" fmla="*/ 481014 h 1308087"/>
              <a:gd name="connsiteX591" fmla="*/ 1117619 w 2280745"/>
              <a:gd name="connsiteY591" fmla="*/ 481014 h 1308087"/>
              <a:gd name="connsiteX592" fmla="*/ 1126264 w 2280745"/>
              <a:gd name="connsiteY592" fmla="*/ 473487 h 1308087"/>
              <a:gd name="connsiteX593" fmla="*/ 1126264 w 2280745"/>
              <a:gd name="connsiteY593" fmla="*/ 424655 h 1308087"/>
              <a:gd name="connsiteX594" fmla="*/ 1126264 w 2280745"/>
              <a:gd name="connsiteY594" fmla="*/ 418041 h 1308087"/>
              <a:gd name="connsiteX595" fmla="*/ 1126264 w 2280745"/>
              <a:gd name="connsiteY595" fmla="*/ 400049 h 1308087"/>
              <a:gd name="connsiteX596" fmla="*/ 1131115 w 2280745"/>
              <a:gd name="connsiteY596" fmla="*/ 415813 h 1308087"/>
              <a:gd name="connsiteX597" fmla="*/ 1141704 w 2280745"/>
              <a:gd name="connsiteY597" fmla="*/ 421136 h 1308087"/>
              <a:gd name="connsiteX598" fmla="*/ 1143738 w 2280745"/>
              <a:gd name="connsiteY598" fmla="*/ 420662 h 1308087"/>
              <a:gd name="connsiteX599" fmla="*/ 1149853 w 2280745"/>
              <a:gd name="connsiteY599" fmla="*/ 411442 h 1308087"/>
              <a:gd name="connsiteX600" fmla="*/ 1133370 w 2280745"/>
              <a:gd name="connsiteY600" fmla="*/ 357886 h 1308087"/>
              <a:gd name="connsiteX601" fmla="*/ 1130693 w 2280745"/>
              <a:gd name="connsiteY601" fmla="*/ 354153 h 1308087"/>
              <a:gd name="connsiteX602" fmla="*/ 1126264 w 2280745"/>
              <a:gd name="connsiteY602" fmla="*/ 352399 h 1308087"/>
              <a:gd name="connsiteX603" fmla="*/ 1126264 w 2280745"/>
              <a:gd name="connsiteY603" fmla="*/ 352185 h 1308087"/>
              <a:gd name="connsiteX604" fmla="*/ 1080030 w 2280745"/>
              <a:gd name="connsiteY604" fmla="*/ 352185 h 1308087"/>
              <a:gd name="connsiteX605" fmla="*/ 1280022 w 2280745"/>
              <a:gd name="connsiteY605" fmla="*/ 352185 h 1308087"/>
              <a:gd name="connsiteX606" fmla="*/ 1280022 w 2280745"/>
              <a:gd name="connsiteY606" fmla="*/ 352410 h 1308087"/>
              <a:gd name="connsiteX607" fmla="*/ 1279405 w 2280745"/>
              <a:gd name="connsiteY607" fmla="*/ 352375 h 1308087"/>
              <a:gd name="connsiteX608" fmla="*/ 1272241 w 2280745"/>
              <a:gd name="connsiteY608" fmla="*/ 357886 h 1308087"/>
              <a:gd name="connsiteX609" fmla="*/ 1255760 w 2280745"/>
              <a:gd name="connsiteY609" fmla="*/ 411442 h 1308087"/>
              <a:gd name="connsiteX610" fmla="*/ 1261874 w 2280745"/>
              <a:gd name="connsiteY610" fmla="*/ 420662 h 1308087"/>
              <a:gd name="connsiteX611" fmla="*/ 1263907 w 2280745"/>
              <a:gd name="connsiteY611" fmla="*/ 421136 h 1308087"/>
              <a:gd name="connsiteX612" fmla="*/ 1274496 w 2280745"/>
              <a:gd name="connsiteY612" fmla="*/ 415813 h 1308087"/>
              <a:gd name="connsiteX613" fmla="*/ 1280022 w 2280745"/>
              <a:gd name="connsiteY613" fmla="*/ 397857 h 1308087"/>
              <a:gd name="connsiteX614" fmla="*/ 1280022 w 2280745"/>
              <a:gd name="connsiteY614" fmla="*/ 418041 h 1308087"/>
              <a:gd name="connsiteX615" fmla="*/ 1280022 w 2280745"/>
              <a:gd name="connsiteY615" fmla="*/ 424655 h 1308087"/>
              <a:gd name="connsiteX616" fmla="*/ 1280022 w 2280745"/>
              <a:gd name="connsiteY616" fmla="*/ 473487 h 1308087"/>
              <a:gd name="connsiteX617" fmla="*/ 1288667 w 2280745"/>
              <a:gd name="connsiteY617" fmla="*/ 481014 h 1308087"/>
              <a:gd name="connsiteX618" fmla="*/ 1290773 w 2280745"/>
              <a:gd name="connsiteY618" fmla="*/ 481014 h 1308087"/>
              <a:gd name="connsiteX619" fmla="*/ 1299419 w 2280745"/>
              <a:gd name="connsiteY619" fmla="*/ 473487 h 1308087"/>
              <a:gd name="connsiteX620" fmla="*/ 1299419 w 2280745"/>
              <a:gd name="connsiteY620" fmla="*/ 424655 h 1308087"/>
              <a:gd name="connsiteX621" fmla="*/ 1306860 w 2280745"/>
              <a:gd name="connsiteY621" fmla="*/ 424655 h 1308087"/>
              <a:gd name="connsiteX622" fmla="*/ 1306860 w 2280745"/>
              <a:gd name="connsiteY622" fmla="*/ 473487 h 1308087"/>
              <a:gd name="connsiteX623" fmla="*/ 1315506 w 2280745"/>
              <a:gd name="connsiteY623" fmla="*/ 481014 h 1308087"/>
              <a:gd name="connsiteX624" fmla="*/ 1317610 w 2280745"/>
              <a:gd name="connsiteY624" fmla="*/ 481014 h 1308087"/>
              <a:gd name="connsiteX625" fmla="*/ 1326256 w 2280745"/>
              <a:gd name="connsiteY625" fmla="*/ 473487 h 1308087"/>
              <a:gd name="connsiteX626" fmla="*/ 1326256 w 2280745"/>
              <a:gd name="connsiteY626" fmla="*/ 424655 h 1308087"/>
              <a:gd name="connsiteX627" fmla="*/ 1326256 w 2280745"/>
              <a:gd name="connsiteY627" fmla="*/ 418041 h 1308087"/>
              <a:gd name="connsiteX628" fmla="*/ 1326256 w 2280745"/>
              <a:gd name="connsiteY628" fmla="*/ 400049 h 1308087"/>
              <a:gd name="connsiteX629" fmla="*/ 1331108 w 2280745"/>
              <a:gd name="connsiteY629" fmla="*/ 415813 h 1308087"/>
              <a:gd name="connsiteX630" fmla="*/ 1341696 w 2280745"/>
              <a:gd name="connsiteY630" fmla="*/ 421136 h 1308087"/>
              <a:gd name="connsiteX631" fmla="*/ 1343730 w 2280745"/>
              <a:gd name="connsiteY631" fmla="*/ 420662 h 1308087"/>
              <a:gd name="connsiteX632" fmla="*/ 1349844 w 2280745"/>
              <a:gd name="connsiteY632" fmla="*/ 411442 h 1308087"/>
              <a:gd name="connsiteX633" fmla="*/ 1333361 w 2280745"/>
              <a:gd name="connsiteY633" fmla="*/ 357886 h 1308087"/>
              <a:gd name="connsiteX634" fmla="*/ 1330685 w 2280745"/>
              <a:gd name="connsiteY634" fmla="*/ 354153 h 1308087"/>
              <a:gd name="connsiteX635" fmla="*/ 1326256 w 2280745"/>
              <a:gd name="connsiteY635" fmla="*/ 352399 h 1308087"/>
              <a:gd name="connsiteX636" fmla="*/ 1326256 w 2280745"/>
              <a:gd name="connsiteY636" fmla="*/ 352185 h 1308087"/>
              <a:gd name="connsiteX637" fmla="*/ 1280022 w 2280745"/>
              <a:gd name="connsiteY637" fmla="*/ 352185 h 1308087"/>
              <a:gd name="connsiteX638" fmla="*/ 1482314 w 2280745"/>
              <a:gd name="connsiteY638" fmla="*/ 352185 h 1308087"/>
              <a:gd name="connsiteX639" fmla="*/ 1482314 w 2280745"/>
              <a:gd name="connsiteY639" fmla="*/ 352410 h 1308087"/>
              <a:gd name="connsiteX640" fmla="*/ 1481697 w 2280745"/>
              <a:gd name="connsiteY640" fmla="*/ 352375 h 1308087"/>
              <a:gd name="connsiteX641" fmla="*/ 1474533 w 2280745"/>
              <a:gd name="connsiteY641" fmla="*/ 357886 h 1308087"/>
              <a:gd name="connsiteX642" fmla="*/ 1458052 w 2280745"/>
              <a:gd name="connsiteY642" fmla="*/ 411442 h 1308087"/>
              <a:gd name="connsiteX643" fmla="*/ 1464166 w 2280745"/>
              <a:gd name="connsiteY643" fmla="*/ 420662 h 1308087"/>
              <a:gd name="connsiteX644" fmla="*/ 1466199 w 2280745"/>
              <a:gd name="connsiteY644" fmla="*/ 421136 h 1308087"/>
              <a:gd name="connsiteX645" fmla="*/ 1476788 w 2280745"/>
              <a:gd name="connsiteY645" fmla="*/ 415813 h 1308087"/>
              <a:gd name="connsiteX646" fmla="*/ 1482314 w 2280745"/>
              <a:gd name="connsiteY646" fmla="*/ 397857 h 1308087"/>
              <a:gd name="connsiteX647" fmla="*/ 1482314 w 2280745"/>
              <a:gd name="connsiteY647" fmla="*/ 418041 h 1308087"/>
              <a:gd name="connsiteX648" fmla="*/ 1482314 w 2280745"/>
              <a:gd name="connsiteY648" fmla="*/ 424655 h 1308087"/>
              <a:gd name="connsiteX649" fmla="*/ 1482314 w 2280745"/>
              <a:gd name="connsiteY649" fmla="*/ 473487 h 1308087"/>
              <a:gd name="connsiteX650" fmla="*/ 1490960 w 2280745"/>
              <a:gd name="connsiteY650" fmla="*/ 481014 h 1308087"/>
              <a:gd name="connsiteX651" fmla="*/ 1493064 w 2280745"/>
              <a:gd name="connsiteY651" fmla="*/ 481014 h 1308087"/>
              <a:gd name="connsiteX652" fmla="*/ 1501710 w 2280745"/>
              <a:gd name="connsiteY652" fmla="*/ 473487 h 1308087"/>
              <a:gd name="connsiteX653" fmla="*/ 1501710 w 2280745"/>
              <a:gd name="connsiteY653" fmla="*/ 424655 h 1308087"/>
              <a:gd name="connsiteX654" fmla="*/ 1509153 w 2280745"/>
              <a:gd name="connsiteY654" fmla="*/ 424655 h 1308087"/>
              <a:gd name="connsiteX655" fmla="*/ 1509153 w 2280745"/>
              <a:gd name="connsiteY655" fmla="*/ 473487 h 1308087"/>
              <a:gd name="connsiteX656" fmla="*/ 1517799 w 2280745"/>
              <a:gd name="connsiteY656" fmla="*/ 481014 h 1308087"/>
              <a:gd name="connsiteX657" fmla="*/ 1519903 w 2280745"/>
              <a:gd name="connsiteY657" fmla="*/ 481014 h 1308087"/>
              <a:gd name="connsiteX658" fmla="*/ 1528549 w 2280745"/>
              <a:gd name="connsiteY658" fmla="*/ 473487 h 1308087"/>
              <a:gd name="connsiteX659" fmla="*/ 1528549 w 2280745"/>
              <a:gd name="connsiteY659" fmla="*/ 424655 h 1308087"/>
              <a:gd name="connsiteX660" fmla="*/ 1528549 w 2280745"/>
              <a:gd name="connsiteY660" fmla="*/ 418041 h 1308087"/>
              <a:gd name="connsiteX661" fmla="*/ 1528549 w 2280745"/>
              <a:gd name="connsiteY661" fmla="*/ 400049 h 1308087"/>
              <a:gd name="connsiteX662" fmla="*/ 1533400 w 2280745"/>
              <a:gd name="connsiteY662" fmla="*/ 415813 h 1308087"/>
              <a:gd name="connsiteX663" fmla="*/ 1543989 w 2280745"/>
              <a:gd name="connsiteY663" fmla="*/ 421136 h 1308087"/>
              <a:gd name="connsiteX664" fmla="*/ 1546022 w 2280745"/>
              <a:gd name="connsiteY664" fmla="*/ 420662 h 1308087"/>
              <a:gd name="connsiteX665" fmla="*/ 1552136 w 2280745"/>
              <a:gd name="connsiteY665" fmla="*/ 411442 h 1308087"/>
              <a:gd name="connsiteX666" fmla="*/ 1535655 w 2280745"/>
              <a:gd name="connsiteY666" fmla="*/ 357886 h 1308087"/>
              <a:gd name="connsiteX667" fmla="*/ 1532977 w 2280745"/>
              <a:gd name="connsiteY667" fmla="*/ 354153 h 1308087"/>
              <a:gd name="connsiteX668" fmla="*/ 1528549 w 2280745"/>
              <a:gd name="connsiteY668" fmla="*/ 352399 h 1308087"/>
              <a:gd name="connsiteX669" fmla="*/ 1528549 w 2280745"/>
              <a:gd name="connsiteY669" fmla="*/ 352185 h 1308087"/>
              <a:gd name="connsiteX670" fmla="*/ 1482314 w 2280745"/>
              <a:gd name="connsiteY670" fmla="*/ 352185 h 1308087"/>
              <a:gd name="connsiteX671" fmla="*/ 1679477 w 2280745"/>
              <a:gd name="connsiteY671" fmla="*/ 352185 h 1308087"/>
              <a:gd name="connsiteX672" fmla="*/ 1679477 w 2280745"/>
              <a:gd name="connsiteY672" fmla="*/ 352410 h 1308087"/>
              <a:gd name="connsiteX673" fmla="*/ 1678860 w 2280745"/>
              <a:gd name="connsiteY673" fmla="*/ 352375 h 1308087"/>
              <a:gd name="connsiteX674" fmla="*/ 1671696 w 2280745"/>
              <a:gd name="connsiteY674" fmla="*/ 357886 h 1308087"/>
              <a:gd name="connsiteX675" fmla="*/ 1655215 w 2280745"/>
              <a:gd name="connsiteY675" fmla="*/ 411442 h 1308087"/>
              <a:gd name="connsiteX676" fmla="*/ 1661328 w 2280745"/>
              <a:gd name="connsiteY676" fmla="*/ 420662 h 1308087"/>
              <a:gd name="connsiteX677" fmla="*/ 1663362 w 2280745"/>
              <a:gd name="connsiteY677" fmla="*/ 421136 h 1308087"/>
              <a:gd name="connsiteX678" fmla="*/ 1673951 w 2280745"/>
              <a:gd name="connsiteY678" fmla="*/ 415813 h 1308087"/>
              <a:gd name="connsiteX679" fmla="*/ 1679477 w 2280745"/>
              <a:gd name="connsiteY679" fmla="*/ 397857 h 1308087"/>
              <a:gd name="connsiteX680" fmla="*/ 1679477 w 2280745"/>
              <a:gd name="connsiteY680" fmla="*/ 418041 h 1308087"/>
              <a:gd name="connsiteX681" fmla="*/ 1679477 w 2280745"/>
              <a:gd name="connsiteY681" fmla="*/ 424655 h 1308087"/>
              <a:gd name="connsiteX682" fmla="*/ 1679477 w 2280745"/>
              <a:gd name="connsiteY682" fmla="*/ 473487 h 1308087"/>
              <a:gd name="connsiteX683" fmla="*/ 1688123 w 2280745"/>
              <a:gd name="connsiteY683" fmla="*/ 481014 h 1308087"/>
              <a:gd name="connsiteX684" fmla="*/ 1690227 w 2280745"/>
              <a:gd name="connsiteY684" fmla="*/ 481014 h 1308087"/>
              <a:gd name="connsiteX685" fmla="*/ 1698873 w 2280745"/>
              <a:gd name="connsiteY685" fmla="*/ 473487 h 1308087"/>
              <a:gd name="connsiteX686" fmla="*/ 1698873 w 2280745"/>
              <a:gd name="connsiteY686" fmla="*/ 424655 h 1308087"/>
              <a:gd name="connsiteX687" fmla="*/ 1706314 w 2280745"/>
              <a:gd name="connsiteY687" fmla="*/ 424655 h 1308087"/>
              <a:gd name="connsiteX688" fmla="*/ 1706314 w 2280745"/>
              <a:gd name="connsiteY688" fmla="*/ 473487 h 1308087"/>
              <a:gd name="connsiteX689" fmla="*/ 1714961 w 2280745"/>
              <a:gd name="connsiteY689" fmla="*/ 481014 h 1308087"/>
              <a:gd name="connsiteX690" fmla="*/ 1717066 w 2280745"/>
              <a:gd name="connsiteY690" fmla="*/ 481014 h 1308087"/>
              <a:gd name="connsiteX691" fmla="*/ 1725712 w 2280745"/>
              <a:gd name="connsiteY691" fmla="*/ 473487 h 1308087"/>
              <a:gd name="connsiteX692" fmla="*/ 1725712 w 2280745"/>
              <a:gd name="connsiteY692" fmla="*/ 424655 h 1308087"/>
              <a:gd name="connsiteX693" fmla="*/ 1725712 w 2280745"/>
              <a:gd name="connsiteY693" fmla="*/ 418041 h 1308087"/>
              <a:gd name="connsiteX694" fmla="*/ 1725712 w 2280745"/>
              <a:gd name="connsiteY694" fmla="*/ 400049 h 1308087"/>
              <a:gd name="connsiteX695" fmla="*/ 1730563 w 2280745"/>
              <a:gd name="connsiteY695" fmla="*/ 415813 h 1308087"/>
              <a:gd name="connsiteX696" fmla="*/ 1741152 w 2280745"/>
              <a:gd name="connsiteY696" fmla="*/ 421136 h 1308087"/>
              <a:gd name="connsiteX697" fmla="*/ 1743185 w 2280745"/>
              <a:gd name="connsiteY697" fmla="*/ 420662 h 1308087"/>
              <a:gd name="connsiteX698" fmla="*/ 1749299 w 2280745"/>
              <a:gd name="connsiteY698" fmla="*/ 411442 h 1308087"/>
              <a:gd name="connsiteX699" fmla="*/ 1732817 w 2280745"/>
              <a:gd name="connsiteY699" fmla="*/ 357886 h 1308087"/>
              <a:gd name="connsiteX700" fmla="*/ 1730140 w 2280745"/>
              <a:gd name="connsiteY700" fmla="*/ 354153 h 1308087"/>
              <a:gd name="connsiteX701" fmla="*/ 1725712 w 2280745"/>
              <a:gd name="connsiteY701" fmla="*/ 352399 h 1308087"/>
              <a:gd name="connsiteX702" fmla="*/ 1725712 w 2280745"/>
              <a:gd name="connsiteY702" fmla="*/ 352185 h 1308087"/>
              <a:gd name="connsiteX703" fmla="*/ 1679477 w 2280745"/>
              <a:gd name="connsiteY703" fmla="*/ 352185 h 1308087"/>
              <a:gd name="connsiteX704" fmla="*/ 1882298 w 2280745"/>
              <a:gd name="connsiteY704" fmla="*/ 352185 h 1308087"/>
              <a:gd name="connsiteX705" fmla="*/ 1882298 w 2280745"/>
              <a:gd name="connsiteY705" fmla="*/ 352410 h 1308087"/>
              <a:gd name="connsiteX706" fmla="*/ 1881681 w 2280745"/>
              <a:gd name="connsiteY706" fmla="*/ 352375 h 1308087"/>
              <a:gd name="connsiteX707" fmla="*/ 1874518 w 2280745"/>
              <a:gd name="connsiteY707" fmla="*/ 357886 h 1308087"/>
              <a:gd name="connsiteX708" fmla="*/ 1858037 w 2280745"/>
              <a:gd name="connsiteY708" fmla="*/ 411442 h 1308087"/>
              <a:gd name="connsiteX709" fmla="*/ 1864152 w 2280745"/>
              <a:gd name="connsiteY709" fmla="*/ 420662 h 1308087"/>
              <a:gd name="connsiteX710" fmla="*/ 1866184 w 2280745"/>
              <a:gd name="connsiteY710" fmla="*/ 421136 h 1308087"/>
              <a:gd name="connsiteX711" fmla="*/ 1876773 w 2280745"/>
              <a:gd name="connsiteY711" fmla="*/ 415813 h 1308087"/>
              <a:gd name="connsiteX712" fmla="*/ 1882298 w 2280745"/>
              <a:gd name="connsiteY712" fmla="*/ 397857 h 1308087"/>
              <a:gd name="connsiteX713" fmla="*/ 1882298 w 2280745"/>
              <a:gd name="connsiteY713" fmla="*/ 418041 h 1308087"/>
              <a:gd name="connsiteX714" fmla="*/ 1882298 w 2280745"/>
              <a:gd name="connsiteY714" fmla="*/ 424655 h 1308087"/>
              <a:gd name="connsiteX715" fmla="*/ 1882298 w 2280745"/>
              <a:gd name="connsiteY715" fmla="*/ 473487 h 1308087"/>
              <a:gd name="connsiteX716" fmla="*/ 1890944 w 2280745"/>
              <a:gd name="connsiteY716" fmla="*/ 481014 h 1308087"/>
              <a:gd name="connsiteX717" fmla="*/ 1893050 w 2280745"/>
              <a:gd name="connsiteY717" fmla="*/ 481014 h 1308087"/>
              <a:gd name="connsiteX718" fmla="*/ 1901696 w 2280745"/>
              <a:gd name="connsiteY718" fmla="*/ 473487 h 1308087"/>
              <a:gd name="connsiteX719" fmla="*/ 1901696 w 2280745"/>
              <a:gd name="connsiteY719" fmla="*/ 424655 h 1308087"/>
              <a:gd name="connsiteX720" fmla="*/ 1909138 w 2280745"/>
              <a:gd name="connsiteY720" fmla="*/ 424655 h 1308087"/>
              <a:gd name="connsiteX721" fmla="*/ 1909138 w 2280745"/>
              <a:gd name="connsiteY721" fmla="*/ 473487 h 1308087"/>
              <a:gd name="connsiteX722" fmla="*/ 1917783 w 2280745"/>
              <a:gd name="connsiteY722" fmla="*/ 481014 h 1308087"/>
              <a:gd name="connsiteX723" fmla="*/ 1919889 w 2280745"/>
              <a:gd name="connsiteY723" fmla="*/ 481014 h 1308087"/>
              <a:gd name="connsiteX724" fmla="*/ 1928535 w 2280745"/>
              <a:gd name="connsiteY724" fmla="*/ 473487 h 1308087"/>
              <a:gd name="connsiteX725" fmla="*/ 1928535 w 2280745"/>
              <a:gd name="connsiteY725" fmla="*/ 424655 h 1308087"/>
              <a:gd name="connsiteX726" fmla="*/ 1928535 w 2280745"/>
              <a:gd name="connsiteY726" fmla="*/ 418041 h 1308087"/>
              <a:gd name="connsiteX727" fmla="*/ 1928535 w 2280745"/>
              <a:gd name="connsiteY727" fmla="*/ 400049 h 1308087"/>
              <a:gd name="connsiteX728" fmla="*/ 1933385 w 2280745"/>
              <a:gd name="connsiteY728" fmla="*/ 415813 h 1308087"/>
              <a:gd name="connsiteX729" fmla="*/ 1943974 w 2280745"/>
              <a:gd name="connsiteY729" fmla="*/ 421136 h 1308087"/>
              <a:gd name="connsiteX730" fmla="*/ 1946009 w 2280745"/>
              <a:gd name="connsiteY730" fmla="*/ 420662 h 1308087"/>
              <a:gd name="connsiteX731" fmla="*/ 1952121 w 2280745"/>
              <a:gd name="connsiteY731" fmla="*/ 411442 h 1308087"/>
              <a:gd name="connsiteX732" fmla="*/ 1935640 w 2280745"/>
              <a:gd name="connsiteY732" fmla="*/ 357886 h 1308087"/>
              <a:gd name="connsiteX733" fmla="*/ 1932962 w 2280745"/>
              <a:gd name="connsiteY733" fmla="*/ 354153 h 1308087"/>
              <a:gd name="connsiteX734" fmla="*/ 1928535 w 2280745"/>
              <a:gd name="connsiteY734" fmla="*/ 352399 h 1308087"/>
              <a:gd name="connsiteX735" fmla="*/ 1928535 w 2280745"/>
              <a:gd name="connsiteY735" fmla="*/ 352185 h 1308087"/>
              <a:gd name="connsiteX736" fmla="*/ 1882298 w 2280745"/>
              <a:gd name="connsiteY736" fmla="*/ 352185 h 1308087"/>
              <a:gd name="connsiteX737" fmla="*/ 2081622 w 2280745"/>
              <a:gd name="connsiteY737" fmla="*/ 352185 h 1308087"/>
              <a:gd name="connsiteX738" fmla="*/ 2081622 w 2280745"/>
              <a:gd name="connsiteY738" fmla="*/ 352410 h 1308087"/>
              <a:gd name="connsiteX739" fmla="*/ 2081004 w 2280745"/>
              <a:gd name="connsiteY739" fmla="*/ 352375 h 1308087"/>
              <a:gd name="connsiteX740" fmla="*/ 2073841 w 2280745"/>
              <a:gd name="connsiteY740" fmla="*/ 357886 h 1308087"/>
              <a:gd name="connsiteX741" fmla="*/ 2057362 w 2280745"/>
              <a:gd name="connsiteY741" fmla="*/ 411442 h 1308087"/>
              <a:gd name="connsiteX742" fmla="*/ 2063474 w 2280745"/>
              <a:gd name="connsiteY742" fmla="*/ 420662 h 1308087"/>
              <a:gd name="connsiteX743" fmla="*/ 2065507 w 2280745"/>
              <a:gd name="connsiteY743" fmla="*/ 421136 h 1308087"/>
              <a:gd name="connsiteX744" fmla="*/ 2076097 w 2280745"/>
              <a:gd name="connsiteY744" fmla="*/ 415813 h 1308087"/>
              <a:gd name="connsiteX745" fmla="*/ 2081622 w 2280745"/>
              <a:gd name="connsiteY745" fmla="*/ 397857 h 1308087"/>
              <a:gd name="connsiteX746" fmla="*/ 2081622 w 2280745"/>
              <a:gd name="connsiteY746" fmla="*/ 418041 h 1308087"/>
              <a:gd name="connsiteX747" fmla="*/ 2081622 w 2280745"/>
              <a:gd name="connsiteY747" fmla="*/ 424655 h 1308087"/>
              <a:gd name="connsiteX748" fmla="*/ 2081622 w 2280745"/>
              <a:gd name="connsiteY748" fmla="*/ 473487 h 1308087"/>
              <a:gd name="connsiteX749" fmla="*/ 2090268 w 2280745"/>
              <a:gd name="connsiteY749" fmla="*/ 481014 h 1308087"/>
              <a:gd name="connsiteX750" fmla="*/ 2092373 w 2280745"/>
              <a:gd name="connsiteY750" fmla="*/ 481014 h 1308087"/>
              <a:gd name="connsiteX751" fmla="*/ 2101019 w 2280745"/>
              <a:gd name="connsiteY751" fmla="*/ 473487 h 1308087"/>
              <a:gd name="connsiteX752" fmla="*/ 2101019 w 2280745"/>
              <a:gd name="connsiteY752" fmla="*/ 424655 h 1308087"/>
              <a:gd name="connsiteX753" fmla="*/ 2108461 w 2280745"/>
              <a:gd name="connsiteY753" fmla="*/ 424655 h 1308087"/>
              <a:gd name="connsiteX754" fmla="*/ 2108461 w 2280745"/>
              <a:gd name="connsiteY754" fmla="*/ 473487 h 1308087"/>
              <a:gd name="connsiteX755" fmla="*/ 2117107 w 2280745"/>
              <a:gd name="connsiteY755" fmla="*/ 481014 h 1308087"/>
              <a:gd name="connsiteX756" fmla="*/ 2119212 w 2280745"/>
              <a:gd name="connsiteY756" fmla="*/ 481014 h 1308087"/>
              <a:gd name="connsiteX757" fmla="*/ 2127858 w 2280745"/>
              <a:gd name="connsiteY757" fmla="*/ 473487 h 1308087"/>
              <a:gd name="connsiteX758" fmla="*/ 2127858 w 2280745"/>
              <a:gd name="connsiteY758" fmla="*/ 424655 h 1308087"/>
              <a:gd name="connsiteX759" fmla="*/ 2127858 w 2280745"/>
              <a:gd name="connsiteY759" fmla="*/ 418041 h 1308087"/>
              <a:gd name="connsiteX760" fmla="*/ 2127858 w 2280745"/>
              <a:gd name="connsiteY760" fmla="*/ 400049 h 1308087"/>
              <a:gd name="connsiteX761" fmla="*/ 2132707 w 2280745"/>
              <a:gd name="connsiteY761" fmla="*/ 415813 h 1308087"/>
              <a:gd name="connsiteX762" fmla="*/ 2143298 w 2280745"/>
              <a:gd name="connsiteY762" fmla="*/ 421136 h 1308087"/>
              <a:gd name="connsiteX763" fmla="*/ 2145331 w 2280745"/>
              <a:gd name="connsiteY763" fmla="*/ 420662 h 1308087"/>
              <a:gd name="connsiteX764" fmla="*/ 2151445 w 2280745"/>
              <a:gd name="connsiteY764" fmla="*/ 411442 h 1308087"/>
              <a:gd name="connsiteX765" fmla="*/ 2134963 w 2280745"/>
              <a:gd name="connsiteY765" fmla="*/ 357886 h 1308087"/>
              <a:gd name="connsiteX766" fmla="*/ 2132286 w 2280745"/>
              <a:gd name="connsiteY766" fmla="*/ 354153 h 1308087"/>
              <a:gd name="connsiteX767" fmla="*/ 2127858 w 2280745"/>
              <a:gd name="connsiteY767" fmla="*/ 352399 h 1308087"/>
              <a:gd name="connsiteX768" fmla="*/ 2127858 w 2280745"/>
              <a:gd name="connsiteY768" fmla="*/ 352185 h 1308087"/>
              <a:gd name="connsiteX769" fmla="*/ 2081622 w 2280745"/>
              <a:gd name="connsiteY769" fmla="*/ 352185 h 1308087"/>
              <a:gd name="connsiteX770" fmla="*/ 303668 w 2280745"/>
              <a:gd name="connsiteY770" fmla="*/ 560173 h 1308087"/>
              <a:gd name="connsiteX771" fmla="*/ 284721 w 2280745"/>
              <a:gd name="connsiteY771" fmla="*/ 576669 h 1308087"/>
              <a:gd name="connsiteX772" fmla="*/ 303668 w 2280745"/>
              <a:gd name="connsiteY772" fmla="*/ 593165 h 1308087"/>
              <a:gd name="connsiteX773" fmla="*/ 322614 w 2280745"/>
              <a:gd name="connsiteY773" fmla="*/ 576669 h 1308087"/>
              <a:gd name="connsiteX774" fmla="*/ 303668 w 2280745"/>
              <a:gd name="connsiteY774" fmla="*/ 560173 h 1308087"/>
              <a:gd name="connsiteX775" fmla="*/ 503662 w 2280745"/>
              <a:gd name="connsiteY775" fmla="*/ 560173 h 1308087"/>
              <a:gd name="connsiteX776" fmla="*/ 484717 w 2280745"/>
              <a:gd name="connsiteY776" fmla="*/ 576669 h 1308087"/>
              <a:gd name="connsiteX777" fmla="*/ 503662 w 2280745"/>
              <a:gd name="connsiteY777" fmla="*/ 593165 h 1308087"/>
              <a:gd name="connsiteX778" fmla="*/ 522607 w 2280745"/>
              <a:gd name="connsiteY778" fmla="*/ 576669 h 1308087"/>
              <a:gd name="connsiteX779" fmla="*/ 503662 w 2280745"/>
              <a:gd name="connsiteY779" fmla="*/ 560173 h 1308087"/>
              <a:gd name="connsiteX780" fmla="*/ 703653 w 2280745"/>
              <a:gd name="connsiteY780" fmla="*/ 560173 h 1308087"/>
              <a:gd name="connsiteX781" fmla="*/ 684709 w 2280745"/>
              <a:gd name="connsiteY781" fmla="*/ 576669 h 1308087"/>
              <a:gd name="connsiteX782" fmla="*/ 703653 w 2280745"/>
              <a:gd name="connsiteY782" fmla="*/ 593165 h 1308087"/>
              <a:gd name="connsiteX783" fmla="*/ 722600 w 2280745"/>
              <a:gd name="connsiteY783" fmla="*/ 576669 h 1308087"/>
              <a:gd name="connsiteX784" fmla="*/ 703653 w 2280745"/>
              <a:gd name="connsiteY784" fmla="*/ 560173 h 1308087"/>
              <a:gd name="connsiteX785" fmla="*/ 903646 w 2280745"/>
              <a:gd name="connsiteY785" fmla="*/ 560173 h 1308087"/>
              <a:gd name="connsiteX786" fmla="*/ 884701 w 2280745"/>
              <a:gd name="connsiteY786" fmla="*/ 576669 h 1308087"/>
              <a:gd name="connsiteX787" fmla="*/ 903646 w 2280745"/>
              <a:gd name="connsiteY787" fmla="*/ 593165 h 1308087"/>
              <a:gd name="connsiteX788" fmla="*/ 922591 w 2280745"/>
              <a:gd name="connsiteY788" fmla="*/ 576669 h 1308087"/>
              <a:gd name="connsiteX789" fmla="*/ 903646 w 2280745"/>
              <a:gd name="connsiteY789" fmla="*/ 560173 h 1308087"/>
              <a:gd name="connsiteX790" fmla="*/ 1103638 w 2280745"/>
              <a:gd name="connsiteY790" fmla="*/ 560173 h 1308087"/>
              <a:gd name="connsiteX791" fmla="*/ 1084694 w 2280745"/>
              <a:gd name="connsiteY791" fmla="*/ 576669 h 1308087"/>
              <a:gd name="connsiteX792" fmla="*/ 1103638 w 2280745"/>
              <a:gd name="connsiteY792" fmla="*/ 593165 h 1308087"/>
              <a:gd name="connsiteX793" fmla="*/ 1122584 w 2280745"/>
              <a:gd name="connsiteY793" fmla="*/ 576669 h 1308087"/>
              <a:gd name="connsiteX794" fmla="*/ 1103638 w 2280745"/>
              <a:gd name="connsiteY794" fmla="*/ 560173 h 1308087"/>
              <a:gd name="connsiteX795" fmla="*/ 1303631 w 2280745"/>
              <a:gd name="connsiteY795" fmla="*/ 560173 h 1308087"/>
              <a:gd name="connsiteX796" fmla="*/ 1284685 w 2280745"/>
              <a:gd name="connsiteY796" fmla="*/ 576669 h 1308087"/>
              <a:gd name="connsiteX797" fmla="*/ 1303631 w 2280745"/>
              <a:gd name="connsiteY797" fmla="*/ 593165 h 1308087"/>
              <a:gd name="connsiteX798" fmla="*/ 1322576 w 2280745"/>
              <a:gd name="connsiteY798" fmla="*/ 576669 h 1308087"/>
              <a:gd name="connsiteX799" fmla="*/ 1303631 w 2280745"/>
              <a:gd name="connsiteY799" fmla="*/ 560173 h 1308087"/>
              <a:gd name="connsiteX800" fmla="*/ 1505923 w 2280745"/>
              <a:gd name="connsiteY800" fmla="*/ 560173 h 1308087"/>
              <a:gd name="connsiteX801" fmla="*/ 1486979 w 2280745"/>
              <a:gd name="connsiteY801" fmla="*/ 576669 h 1308087"/>
              <a:gd name="connsiteX802" fmla="*/ 1505923 w 2280745"/>
              <a:gd name="connsiteY802" fmla="*/ 593165 h 1308087"/>
              <a:gd name="connsiteX803" fmla="*/ 1524868 w 2280745"/>
              <a:gd name="connsiteY803" fmla="*/ 576669 h 1308087"/>
              <a:gd name="connsiteX804" fmla="*/ 1505923 w 2280745"/>
              <a:gd name="connsiteY804" fmla="*/ 560173 h 1308087"/>
              <a:gd name="connsiteX805" fmla="*/ 1703085 w 2280745"/>
              <a:gd name="connsiteY805" fmla="*/ 560173 h 1308087"/>
              <a:gd name="connsiteX806" fmla="*/ 1684140 w 2280745"/>
              <a:gd name="connsiteY806" fmla="*/ 576669 h 1308087"/>
              <a:gd name="connsiteX807" fmla="*/ 1703085 w 2280745"/>
              <a:gd name="connsiteY807" fmla="*/ 593165 h 1308087"/>
              <a:gd name="connsiteX808" fmla="*/ 1722031 w 2280745"/>
              <a:gd name="connsiteY808" fmla="*/ 576669 h 1308087"/>
              <a:gd name="connsiteX809" fmla="*/ 1703085 w 2280745"/>
              <a:gd name="connsiteY809" fmla="*/ 560173 h 1308087"/>
              <a:gd name="connsiteX810" fmla="*/ 1905908 w 2280745"/>
              <a:gd name="connsiteY810" fmla="*/ 560173 h 1308087"/>
              <a:gd name="connsiteX811" fmla="*/ 1886962 w 2280745"/>
              <a:gd name="connsiteY811" fmla="*/ 576669 h 1308087"/>
              <a:gd name="connsiteX812" fmla="*/ 1905908 w 2280745"/>
              <a:gd name="connsiteY812" fmla="*/ 593165 h 1308087"/>
              <a:gd name="connsiteX813" fmla="*/ 1924855 w 2280745"/>
              <a:gd name="connsiteY813" fmla="*/ 576669 h 1308087"/>
              <a:gd name="connsiteX814" fmla="*/ 1905908 w 2280745"/>
              <a:gd name="connsiteY814" fmla="*/ 560173 h 1308087"/>
              <a:gd name="connsiteX815" fmla="*/ 2105231 w 2280745"/>
              <a:gd name="connsiteY815" fmla="*/ 560173 h 1308087"/>
              <a:gd name="connsiteX816" fmla="*/ 2086286 w 2280745"/>
              <a:gd name="connsiteY816" fmla="*/ 576669 h 1308087"/>
              <a:gd name="connsiteX817" fmla="*/ 2105231 w 2280745"/>
              <a:gd name="connsiteY817" fmla="*/ 593165 h 1308087"/>
              <a:gd name="connsiteX818" fmla="*/ 2124177 w 2280745"/>
              <a:gd name="connsiteY818" fmla="*/ 576669 h 1308087"/>
              <a:gd name="connsiteX819" fmla="*/ 2105231 w 2280745"/>
              <a:gd name="connsiteY819" fmla="*/ 560173 h 1308087"/>
              <a:gd name="connsiteX820" fmla="*/ 280058 w 2280745"/>
              <a:gd name="connsiteY820" fmla="*/ 596830 h 1308087"/>
              <a:gd name="connsiteX821" fmla="*/ 280058 w 2280745"/>
              <a:gd name="connsiteY821" fmla="*/ 597055 h 1308087"/>
              <a:gd name="connsiteX822" fmla="*/ 279441 w 2280745"/>
              <a:gd name="connsiteY822" fmla="*/ 597020 h 1308087"/>
              <a:gd name="connsiteX823" fmla="*/ 272279 w 2280745"/>
              <a:gd name="connsiteY823" fmla="*/ 602531 h 1308087"/>
              <a:gd name="connsiteX824" fmla="*/ 255797 w 2280745"/>
              <a:gd name="connsiteY824" fmla="*/ 656086 h 1308087"/>
              <a:gd name="connsiteX825" fmla="*/ 261911 w 2280745"/>
              <a:gd name="connsiteY825" fmla="*/ 665305 h 1308087"/>
              <a:gd name="connsiteX826" fmla="*/ 263944 w 2280745"/>
              <a:gd name="connsiteY826" fmla="*/ 665780 h 1308087"/>
              <a:gd name="connsiteX827" fmla="*/ 274533 w 2280745"/>
              <a:gd name="connsiteY827" fmla="*/ 660457 h 1308087"/>
              <a:gd name="connsiteX828" fmla="*/ 280058 w 2280745"/>
              <a:gd name="connsiteY828" fmla="*/ 642502 h 1308087"/>
              <a:gd name="connsiteX829" fmla="*/ 280058 w 2280745"/>
              <a:gd name="connsiteY829" fmla="*/ 662686 h 1308087"/>
              <a:gd name="connsiteX830" fmla="*/ 280058 w 2280745"/>
              <a:gd name="connsiteY830" fmla="*/ 669300 h 1308087"/>
              <a:gd name="connsiteX831" fmla="*/ 280058 w 2280745"/>
              <a:gd name="connsiteY831" fmla="*/ 718130 h 1308087"/>
              <a:gd name="connsiteX832" fmla="*/ 288705 w 2280745"/>
              <a:gd name="connsiteY832" fmla="*/ 725658 h 1308087"/>
              <a:gd name="connsiteX833" fmla="*/ 290809 w 2280745"/>
              <a:gd name="connsiteY833" fmla="*/ 725658 h 1308087"/>
              <a:gd name="connsiteX834" fmla="*/ 299455 w 2280745"/>
              <a:gd name="connsiteY834" fmla="*/ 718130 h 1308087"/>
              <a:gd name="connsiteX835" fmla="*/ 299455 w 2280745"/>
              <a:gd name="connsiteY835" fmla="*/ 669300 h 1308087"/>
              <a:gd name="connsiteX836" fmla="*/ 306898 w 2280745"/>
              <a:gd name="connsiteY836" fmla="*/ 669300 h 1308087"/>
              <a:gd name="connsiteX837" fmla="*/ 306898 w 2280745"/>
              <a:gd name="connsiteY837" fmla="*/ 718130 h 1308087"/>
              <a:gd name="connsiteX838" fmla="*/ 315544 w 2280745"/>
              <a:gd name="connsiteY838" fmla="*/ 725658 h 1308087"/>
              <a:gd name="connsiteX839" fmla="*/ 317649 w 2280745"/>
              <a:gd name="connsiteY839" fmla="*/ 725658 h 1308087"/>
              <a:gd name="connsiteX840" fmla="*/ 326293 w 2280745"/>
              <a:gd name="connsiteY840" fmla="*/ 718130 h 1308087"/>
              <a:gd name="connsiteX841" fmla="*/ 326293 w 2280745"/>
              <a:gd name="connsiteY841" fmla="*/ 669300 h 1308087"/>
              <a:gd name="connsiteX842" fmla="*/ 326293 w 2280745"/>
              <a:gd name="connsiteY842" fmla="*/ 662686 h 1308087"/>
              <a:gd name="connsiteX843" fmla="*/ 326293 w 2280745"/>
              <a:gd name="connsiteY843" fmla="*/ 644694 h 1308087"/>
              <a:gd name="connsiteX844" fmla="*/ 331145 w 2280745"/>
              <a:gd name="connsiteY844" fmla="*/ 660457 h 1308087"/>
              <a:gd name="connsiteX845" fmla="*/ 341734 w 2280745"/>
              <a:gd name="connsiteY845" fmla="*/ 665780 h 1308087"/>
              <a:gd name="connsiteX846" fmla="*/ 343767 w 2280745"/>
              <a:gd name="connsiteY846" fmla="*/ 665305 h 1308087"/>
              <a:gd name="connsiteX847" fmla="*/ 349881 w 2280745"/>
              <a:gd name="connsiteY847" fmla="*/ 656086 h 1308087"/>
              <a:gd name="connsiteX848" fmla="*/ 333400 w 2280745"/>
              <a:gd name="connsiteY848" fmla="*/ 602531 h 1308087"/>
              <a:gd name="connsiteX849" fmla="*/ 330722 w 2280745"/>
              <a:gd name="connsiteY849" fmla="*/ 598798 h 1308087"/>
              <a:gd name="connsiteX850" fmla="*/ 326293 w 2280745"/>
              <a:gd name="connsiteY850" fmla="*/ 597043 h 1308087"/>
              <a:gd name="connsiteX851" fmla="*/ 326293 w 2280745"/>
              <a:gd name="connsiteY851" fmla="*/ 596830 h 1308087"/>
              <a:gd name="connsiteX852" fmla="*/ 280058 w 2280745"/>
              <a:gd name="connsiteY852" fmla="*/ 596830 h 1308087"/>
              <a:gd name="connsiteX853" fmla="*/ 480053 w 2280745"/>
              <a:gd name="connsiteY853" fmla="*/ 596830 h 1308087"/>
              <a:gd name="connsiteX854" fmla="*/ 480053 w 2280745"/>
              <a:gd name="connsiteY854" fmla="*/ 597055 h 1308087"/>
              <a:gd name="connsiteX855" fmla="*/ 479436 w 2280745"/>
              <a:gd name="connsiteY855" fmla="*/ 597020 h 1308087"/>
              <a:gd name="connsiteX856" fmla="*/ 472272 w 2280745"/>
              <a:gd name="connsiteY856" fmla="*/ 602531 h 1308087"/>
              <a:gd name="connsiteX857" fmla="*/ 455791 w 2280745"/>
              <a:gd name="connsiteY857" fmla="*/ 656086 h 1308087"/>
              <a:gd name="connsiteX858" fmla="*/ 461906 w 2280745"/>
              <a:gd name="connsiteY858" fmla="*/ 665305 h 1308087"/>
              <a:gd name="connsiteX859" fmla="*/ 463938 w 2280745"/>
              <a:gd name="connsiteY859" fmla="*/ 665780 h 1308087"/>
              <a:gd name="connsiteX860" fmla="*/ 474527 w 2280745"/>
              <a:gd name="connsiteY860" fmla="*/ 660457 h 1308087"/>
              <a:gd name="connsiteX861" fmla="*/ 480053 w 2280745"/>
              <a:gd name="connsiteY861" fmla="*/ 642502 h 1308087"/>
              <a:gd name="connsiteX862" fmla="*/ 480053 w 2280745"/>
              <a:gd name="connsiteY862" fmla="*/ 662686 h 1308087"/>
              <a:gd name="connsiteX863" fmla="*/ 480053 w 2280745"/>
              <a:gd name="connsiteY863" fmla="*/ 669300 h 1308087"/>
              <a:gd name="connsiteX864" fmla="*/ 480053 w 2280745"/>
              <a:gd name="connsiteY864" fmla="*/ 718130 h 1308087"/>
              <a:gd name="connsiteX865" fmla="*/ 488698 w 2280745"/>
              <a:gd name="connsiteY865" fmla="*/ 725658 h 1308087"/>
              <a:gd name="connsiteX866" fmla="*/ 490804 w 2280745"/>
              <a:gd name="connsiteY866" fmla="*/ 725658 h 1308087"/>
              <a:gd name="connsiteX867" fmla="*/ 499450 w 2280745"/>
              <a:gd name="connsiteY867" fmla="*/ 718130 h 1308087"/>
              <a:gd name="connsiteX868" fmla="*/ 499450 w 2280745"/>
              <a:gd name="connsiteY868" fmla="*/ 669300 h 1308087"/>
              <a:gd name="connsiteX869" fmla="*/ 506892 w 2280745"/>
              <a:gd name="connsiteY869" fmla="*/ 669300 h 1308087"/>
              <a:gd name="connsiteX870" fmla="*/ 506892 w 2280745"/>
              <a:gd name="connsiteY870" fmla="*/ 718130 h 1308087"/>
              <a:gd name="connsiteX871" fmla="*/ 515538 w 2280745"/>
              <a:gd name="connsiteY871" fmla="*/ 725658 h 1308087"/>
              <a:gd name="connsiteX872" fmla="*/ 517643 w 2280745"/>
              <a:gd name="connsiteY872" fmla="*/ 725658 h 1308087"/>
              <a:gd name="connsiteX873" fmla="*/ 526287 w 2280745"/>
              <a:gd name="connsiteY873" fmla="*/ 718130 h 1308087"/>
              <a:gd name="connsiteX874" fmla="*/ 526287 w 2280745"/>
              <a:gd name="connsiteY874" fmla="*/ 669300 h 1308087"/>
              <a:gd name="connsiteX875" fmla="*/ 526287 w 2280745"/>
              <a:gd name="connsiteY875" fmla="*/ 662686 h 1308087"/>
              <a:gd name="connsiteX876" fmla="*/ 526287 w 2280745"/>
              <a:gd name="connsiteY876" fmla="*/ 644694 h 1308087"/>
              <a:gd name="connsiteX877" fmla="*/ 531139 w 2280745"/>
              <a:gd name="connsiteY877" fmla="*/ 660457 h 1308087"/>
              <a:gd name="connsiteX878" fmla="*/ 541727 w 2280745"/>
              <a:gd name="connsiteY878" fmla="*/ 665780 h 1308087"/>
              <a:gd name="connsiteX879" fmla="*/ 543761 w 2280745"/>
              <a:gd name="connsiteY879" fmla="*/ 665305 h 1308087"/>
              <a:gd name="connsiteX880" fmla="*/ 549875 w 2280745"/>
              <a:gd name="connsiteY880" fmla="*/ 656086 h 1308087"/>
              <a:gd name="connsiteX881" fmla="*/ 533394 w 2280745"/>
              <a:gd name="connsiteY881" fmla="*/ 602531 h 1308087"/>
              <a:gd name="connsiteX882" fmla="*/ 530716 w 2280745"/>
              <a:gd name="connsiteY882" fmla="*/ 598798 h 1308087"/>
              <a:gd name="connsiteX883" fmla="*/ 526287 w 2280745"/>
              <a:gd name="connsiteY883" fmla="*/ 597043 h 1308087"/>
              <a:gd name="connsiteX884" fmla="*/ 526287 w 2280745"/>
              <a:gd name="connsiteY884" fmla="*/ 596830 h 1308087"/>
              <a:gd name="connsiteX885" fmla="*/ 480053 w 2280745"/>
              <a:gd name="connsiteY885" fmla="*/ 596830 h 1308087"/>
              <a:gd name="connsiteX886" fmla="*/ 680045 w 2280745"/>
              <a:gd name="connsiteY886" fmla="*/ 596830 h 1308087"/>
              <a:gd name="connsiteX887" fmla="*/ 680045 w 2280745"/>
              <a:gd name="connsiteY887" fmla="*/ 597055 h 1308087"/>
              <a:gd name="connsiteX888" fmla="*/ 679427 w 2280745"/>
              <a:gd name="connsiteY888" fmla="*/ 597020 h 1308087"/>
              <a:gd name="connsiteX889" fmla="*/ 672265 w 2280745"/>
              <a:gd name="connsiteY889" fmla="*/ 602531 h 1308087"/>
              <a:gd name="connsiteX890" fmla="*/ 655783 w 2280745"/>
              <a:gd name="connsiteY890" fmla="*/ 656086 h 1308087"/>
              <a:gd name="connsiteX891" fmla="*/ 661899 w 2280745"/>
              <a:gd name="connsiteY891" fmla="*/ 665305 h 1308087"/>
              <a:gd name="connsiteX892" fmla="*/ 663930 w 2280745"/>
              <a:gd name="connsiteY892" fmla="*/ 665780 h 1308087"/>
              <a:gd name="connsiteX893" fmla="*/ 674518 w 2280745"/>
              <a:gd name="connsiteY893" fmla="*/ 660457 h 1308087"/>
              <a:gd name="connsiteX894" fmla="*/ 680045 w 2280745"/>
              <a:gd name="connsiteY894" fmla="*/ 642502 h 1308087"/>
              <a:gd name="connsiteX895" fmla="*/ 680045 w 2280745"/>
              <a:gd name="connsiteY895" fmla="*/ 662686 h 1308087"/>
              <a:gd name="connsiteX896" fmla="*/ 680045 w 2280745"/>
              <a:gd name="connsiteY896" fmla="*/ 669300 h 1308087"/>
              <a:gd name="connsiteX897" fmla="*/ 680045 w 2280745"/>
              <a:gd name="connsiteY897" fmla="*/ 718130 h 1308087"/>
              <a:gd name="connsiteX898" fmla="*/ 688691 w 2280745"/>
              <a:gd name="connsiteY898" fmla="*/ 725658 h 1308087"/>
              <a:gd name="connsiteX899" fmla="*/ 690797 w 2280745"/>
              <a:gd name="connsiteY899" fmla="*/ 725658 h 1308087"/>
              <a:gd name="connsiteX900" fmla="*/ 699443 w 2280745"/>
              <a:gd name="connsiteY900" fmla="*/ 718130 h 1308087"/>
              <a:gd name="connsiteX901" fmla="*/ 699443 w 2280745"/>
              <a:gd name="connsiteY901" fmla="*/ 669300 h 1308087"/>
              <a:gd name="connsiteX902" fmla="*/ 706884 w 2280745"/>
              <a:gd name="connsiteY902" fmla="*/ 669300 h 1308087"/>
              <a:gd name="connsiteX903" fmla="*/ 706884 w 2280745"/>
              <a:gd name="connsiteY903" fmla="*/ 718130 h 1308087"/>
              <a:gd name="connsiteX904" fmla="*/ 715530 w 2280745"/>
              <a:gd name="connsiteY904" fmla="*/ 725658 h 1308087"/>
              <a:gd name="connsiteX905" fmla="*/ 717635 w 2280745"/>
              <a:gd name="connsiteY905" fmla="*/ 725658 h 1308087"/>
              <a:gd name="connsiteX906" fmla="*/ 726280 w 2280745"/>
              <a:gd name="connsiteY906" fmla="*/ 718130 h 1308087"/>
              <a:gd name="connsiteX907" fmla="*/ 726280 w 2280745"/>
              <a:gd name="connsiteY907" fmla="*/ 669300 h 1308087"/>
              <a:gd name="connsiteX908" fmla="*/ 726280 w 2280745"/>
              <a:gd name="connsiteY908" fmla="*/ 662686 h 1308087"/>
              <a:gd name="connsiteX909" fmla="*/ 726280 w 2280745"/>
              <a:gd name="connsiteY909" fmla="*/ 644694 h 1308087"/>
              <a:gd name="connsiteX910" fmla="*/ 731132 w 2280745"/>
              <a:gd name="connsiteY910" fmla="*/ 660457 h 1308087"/>
              <a:gd name="connsiteX911" fmla="*/ 741720 w 2280745"/>
              <a:gd name="connsiteY911" fmla="*/ 665780 h 1308087"/>
              <a:gd name="connsiteX912" fmla="*/ 743753 w 2280745"/>
              <a:gd name="connsiteY912" fmla="*/ 665305 h 1308087"/>
              <a:gd name="connsiteX913" fmla="*/ 749868 w 2280745"/>
              <a:gd name="connsiteY913" fmla="*/ 656086 h 1308087"/>
              <a:gd name="connsiteX914" fmla="*/ 733385 w 2280745"/>
              <a:gd name="connsiteY914" fmla="*/ 602531 h 1308087"/>
              <a:gd name="connsiteX915" fmla="*/ 730709 w 2280745"/>
              <a:gd name="connsiteY915" fmla="*/ 598798 h 1308087"/>
              <a:gd name="connsiteX916" fmla="*/ 726280 w 2280745"/>
              <a:gd name="connsiteY916" fmla="*/ 597043 h 1308087"/>
              <a:gd name="connsiteX917" fmla="*/ 726280 w 2280745"/>
              <a:gd name="connsiteY917" fmla="*/ 596830 h 1308087"/>
              <a:gd name="connsiteX918" fmla="*/ 680045 w 2280745"/>
              <a:gd name="connsiteY918" fmla="*/ 596830 h 1308087"/>
              <a:gd name="connsiteX919" fmla="*/ 880037 w 2280745"/>
              <a:gd name="connsiteY919" fmla="*/ 596830 h 1308087"/>
              <a:gd name="connsiteX920" fmla="*/ 880037 w 2280745"/>
              <a:gd name="connsiteY920" fmla="*/ 597055 h 1308087"/>
              <a:gd name="connsiteX921" fmla="*/ 879420 w 2280745"/>
              <a:gd name="connsiteY921" fmla="*/ 597020 h 1308087"/>
              <a:gd name="connsiteX922" fmla="*/ 872256 w 2280745"/>
              <a:gd name="connsiteY922" fmla="*/ 602531 h 1308087"/>
              <a:gd name="connsiteX923" fmla="*/ 855776 w 2280745"/>
              <a:gd name="connsiteY923" fmla="*/ 656086 h 1308087"/>
              <a:gd name="connsiteX924" fmla="*/ 861890 w 2280745"/>
              <a:gd name="connsiteY924" fmla="*/ 665305 h 1308087"/>
              <a:gd name="connsiteX925" fmla="*/ 863923 w 2280745"/>
              <a:gd name="connsiteY925" fmla="*/ 665780 h 1308087"/>
              <a:gd name="connsiteX926" fmla="*/ 874511 w 2280745"/>
              <a:gd name="connsiteY926" fmla="*/ 660457 h 1308087"/>
              <a:gd name="connsiteX927" fmla="*/ 880037 w 2280745"/>
              <a:gd name="connsiteY927" fmla="*/ 642502 h 1308087"/>
              <a:gd name="connsiteX928" fmla="*/ 880037 w 2280745"/>
              <a:gd name="connsiteY928" fmla="*/ 662686 h 1308087"/>
              <a:gd name="connsiteX929" fmla="*/ 880037 w 2280745"/>
              <a:gd name="connsiteY929" fmla="*/ 669300 h 1308087"/>
              <a:gd name="connsiteX930" fmla="*/ 880037 w 2280745"/>
              <a:gd name="connsiteY930" fmla="*/ 718130 h 1308087"/>
              <a:gd name="connsiteX931" fmla="*/ 888683 w 2280745"/>
              <a:gd name="connsiteY931" fmla="*/ 725658 h 1308087"/>
              <a:gd name="connsiteX932" fmla="*/ 890788 w 2280745"/>
              <a:gd name="connsiteY932" fmla="*/ 725658 h 1308087"/>
              <a:gd name="connsiteX933" fmla="*/ 899434 w 2280745"/>
              <a:gd name="connsiteY933" fmla="*/ 718130 h 1308087"/>
              <a:gd name="connsiteX934" fmla="*/ 899434 w 2280745"/>
              <a:gd name="connsiteY934" fmla="*/ 669300 h 1308087"/>
              <a:gd name="connsiteX935" fmla="*/ 906877 w 2280745"/>
              <a:gd name="connsiteY935" fmla="*/ 669300 h 1308087"/>
              <a:gd name="connsiteX936" fmla="*/ 906877 w 2280745"/>
              <a:gd name="connsiteY936" fmla="*/ 718130 h 1308087"/>
              <a:gd name="connsiteX937" fmla="*/ 915521 w 2280745"/>
              <a:gd name="connsiteY937" fmla="*/ 725658 h 1308087"/>
              <a:gd name="connsiteX938" fmla="*/ 917628 w 2280745"/>
              <a:gd name="connsiteY938" fmla="*/ 725658 h 1308087"/>
              <a:gd name="connsiteX939" fmla="*/ 926272 w 2280745"/>
              <a:gd name="connsiteY939" fmla="*/ 718130 h 1308087"/>
              <a:gd name="connsiteX940" fmla="*/ 926272 w 2280745"/>
              <a:gd name="connsiteY940" fmla="*/ 669300 h 1308087"/>
              <a:gd name="connsiteX941" fmla="*/ 926272 w 2280745"/>
              <a:gd name="connsiteY941" fmla="*/ 662686 h 1308087"/>
              <a:gd name="connsiteX942" fmla="*/ 926272 w 2280745"/>
              <a:gd name="connsiteY942" fmla="*/ 644694 h 1308087"/>
              <a:gd name="connsiteX943" fmla="*/ 931123 w 2280745"/>
              <a:gd name="connsiteY943" fmla="*/ 660457 h 1308087"/>
              <a:gd name="connsiteX944" fmla="*/ 941712 w 2280745"/>
              <a:gd name="connsiteY944" fmla="*/ 665780 h 1308087"/>
              <a:gd name="connsiteX945" fmla="*/ 943745 w 2280745"/>
              <a:gd name="connsiteY945" fmla="*/ 665305 h 1308087"/>
              <a:gd name="connsiteX946" fmla="*/ 949860 w 2280745"/>
              <a:gd name="connsiteY946" fmla="*/ 656086 h 1308087"/>
              <a:gd name="connsiteX947" fmla="*/ 933378 w 2280745"/>
              <a:gd name="connsiteY947" fmla="*/ 602531 h 1308087"/>
              <a:gd name="connsiteX948" fmla="*/ 930701 w 2280745"/>
              <a:gd name="connsiteY948" fmla="*/ 598798 h 1308087"/>
              <a:gd name="connsiteX949" fmla="*/ 926272 w 2280745"/>
              <a:gd name="connsiteY949" fmla="*/ 597043 h 1308087"/>
              <a:gd name="connsiteX950" fmla="*/ 926272 w 2280745"/>
              <a:gd name="connsiteY950" fmla="*/ 596830 h 1308087"/>
              <a:gd name="connsiteX951" fmla="*/ 880037 w 2280745"/>
              <a:gd name="connsiteY951" fmla="*/ 596830 h 1308087"/>
              <a:gd name="connsiteX952" fmla="*/ 1080030 w 2280745"/>
              <a:gd name="connsiteY952" fmla="*/ 596830 h 1308087"/>
              <a:gd name="connsiteX953" fmla="*/ 1080030 w 2280745"/>
              <a:gd name="connsiteY953" fmla="*/ 597055 h 1308087"/>
              <a:gd name="connsiteX954" fmla="*/ 1079412 w 2280745"/>
              <a:gd name="connsiteY954" fmla="*/ 597020 h 1308087"/>
              <a:gd name="connsiteX955" fmla="*/ 1072249 w 2280745"/>
              <a:gd name="connsiteY955" fmla="*/ 602531 h 1308087"/>
              <a:gd name="connsiteX956" fmla="*/ 1055767 w 2280745"/>
              <a:gd name="connsiteY956" fmla="*/ 656086 h 1308087"/>
              <a:gd name="connsiteX957" fmla="*/ 1061881 w 2280745"/>
              <a:gd name="connsiteY957" fmla="*/ 665305 h 1308087"/>
              <a:gd name="connsiteX958" fmla="*/ 1063914 w 2280745"/>
              <a:gd name="connsiteY958" fmla="*/ 665780 h 1308087"/>
              <a:gd name="connsiteX959" fmla="*/ 1074503 w 2280745"/>
              <a:gd name="connsiteY959" fmla="*/ 660457 h 1308087"/>
              <a:gd name="connsiteX960" fmla="*/ 1080030 w 2280745"/>
              <a:gd name="connsiteY960" fmla="*/ 642502 h 1308087"/>
              <a:gd name="connsiteX961" fmla="*/ 1080030 w 2280745"/>
              <a:gd name="connsiteY961" fmla="*/ 662686 h 1308087"/>
              <a:gd name="connsiteX962" fmla="*/ 1080030 w 2280745"/>
              <a:gd name="connsiteY962" fmla="*/ 669300 h 1308087"/>
              <a:gd name="connsiteX963" fmla="*/ 1080030 w 2280745"/>
              <a:gd name="connsiteY963" fmla="*/ 718130 h 1308087"/>
              <a:gd name="connsiteX964" fmla="*/ 1088676 w 2280745"/>
              <a:gd name="connsiteY964" fmla="*/ 725658 h 1308087"/>
              <a:gd name="connsiteX965" fmla="*/ 1090781 w 2280745"/>
              <a:gd name="connsiteY965" fmla="*/ 725658 h 1308087"/>
              <a:gd name="connsiteX966" fmla="*/ 1099427 w 2280745"/>
              <a:gd name="connsiteY966" fmla="*/ 718130 h 1308087"/>
              <a:gd name="connsiteX967" fmla="*/ 1099427 w 2280745"/>
              <a:gd name="connsiteY967" fmla="*/ 669300 h 1308087"/>
              <a:gd name="connsiteX968" fmla="*/ 1106868 w 2280745"/>
              <a:gd name="connsiteY968" fmla="*/ 669300 h 1308087"/>
              <a:gd name="connsiteX969" fmla="*/ 1106868 w 2280745"/>
              <a:gd name="connsiteY969" fmla="*/ 718130 h 1308087"/>
              <a:gd name="connsiteX970" fmla="*/ 1115514 w 2280745"/>
              <a:gd name="connsiteY970" fmla="*/ 725658 h 1308087"/>
              <a:gd name="connsiteX971" fmla="*/ 1117619 w 2280745"/>
              <a:gd name="connsiteY971" fmla="*/ 725658 h 1308087"/>
              <a:gd name="connsiteX972" fmla="*/ 1126264 w 2280745"/>
              <a:gd name="connsiteY972" fmla="*/ 718130 h 1308087"/>
              <a:gd name="connsiteX973" fmla="*/ 1126264 w 2280745"/>
              <a:gd name="connsiteY973" fmla="*/ 669300 h 1308087"/>
              <a:gd name="connsiteX974" fmla="*/ 1126264 w 2280745"/>
              <a:gd name="connsiteY974" fmla="*/ 662686 h 1308087"/>
              <a:gd name="connsiteX975" fmla="*/ 1126264 w 2280745"/>
              <a:gd name="connsiteY975" fmla="*/ 644694 h 1308087"/>
              <a:gd name="connsiteX976" fmla="*/ 1131115 w 2280745"/>
              <a:gd name="connsiteY976" fmla="*/ 660457 h 1308087"/>
              <a:gd name="connsiteX977" fmla="*/ 1141704 w 2280745"/>
              <a:gd name="connsiteY977" fmla="*/ 665780 h 1308087"/>
              <a:gd name="connsiteX978" fmla="*/ 1143738 w 2280745"/>
              <a:gd name="connsiteY978" fmla="*/ 665305 h 1308087"/>
              <a:gd name="connsiteX979" fmla="*/ 1149853 w 2280745"/>
              <a:gd name="connsiteY979" fmla="*/ 656086 h 1308087"/>
              <a:gd name="connsiteX980" fmla="*/ 1133370 w 2280745"/>
              <a:gd name="connsiteY980" fmla="*/ 602531 h 1308087"/>
              <a:gd name="connsiteX981" fmla="*/ 1130693 w 2280745"/>
              <a:gd name="connsiteY981" fmla="*/ 598798 h 1308087"/>
              <a:gd name="connsiteX982" fmla="*/ 1126264 w 2280745"/>
              <a:gd name="connsiteY982" fmla="*/ 597043 h 1308087"/>
              <a:gd name="connsiteX983" fmla="*/ 1126264 w 2280745"/>
              <a:gd name="connsiteY983" fmla="*/ 596830 h 1308087"/>
              <a:gd name="connsiteX984" fmla="*/ 1080030 w 2280745"/>
              <a:gd name="connsiteY984" fmla="*/ 596830 h 1308087"/>
              <a:gd name="connsiteX985" fmla="*/ 1280022 w 2280745"/>
              <a:gd name="connsiteY985" fmla="*/ 596830 h 1308087"/>
              <a:gd name="connsiteX986" fmla="*/ 1280022 w 2280745"/>
              <a:gd name="connsiteY986" fmla="*/ 597055 h 1308087"/>
              <a:gd name="connsiteX987" fmla="*/ 1279405 w 2280745"/>
              <a:gd name="connsiteY987" fmla="*/ 597020 h 1308087"/>
              <a:gd name="connsiteX988" fmla="*/ 1272241 w 2280745"/>
              <a:gd name="connsiteY988" fmla="*/ 602531 h 1308087"/>
              <a:gd name="connsiteX989" fmla="*/ 1255760 w 2280745"/>
              <a:gd name="connsiteY989" fmla="*/ 656086 h 1308087"/>
              <a:gd name="connsiteX990" fmla="*/ 1261874 w 2280745"/>
              <a:gd name="connsiteY990" fmla="*/ 665305 h 1308087"/>
              <a:gd name="connsiteX991" fmla="*/ 1263907 w 2280745"/>
              <a:gd name="connsiteY991" fmla="*/ 665780 h 1308087"/>
              <a:gd name="connsiteX992" fmla="*/ 1274496 w 2280745"/>
              <a:gd name="connsiteY992" fmla="*/ 660457 h 1308087"/>
              <a:gd name="connsiteX993" fmla="*/ 1280022 w 2280745"/>
              <a:gd name="connsiteY993" fmla="*/ 642502 h 1308087"/>
              <a:gd name="connsiteX994" fmla="*/ 1280022 w 2280745"/>
              <a:gd name="connsiteY994" fmla="*/ 662686 h 1308087"/>
              <a:gd name="connsiteX995" fmla="*/ 1280022 w 2280745"/>
              <a:gd name="connsiteY995" fmla="*/ 669300 h 1308087"/>
              <a:gd name="connsiteX996" fmla="*/ 1280022 w 2280745"/>
              <a:gd name="connsiteY996" fmla="*/ 718130 h 1308087"/>
              <a:gd name="connsiteX997" fmla="*/ 1288667 w 2280745"/>
              <a:gd name="connsiteY997" fmla="*/ 725658 h 1308087"/>
              <a:gd name="connsiteX998" fmla="*/ 1290773 w 2280745"/>
              <a:gd name="connsiteY998" fmla="*/ 725658 h 1308087"/>
              <a:gd name="connsiteX999" fmla="*/ 1299419 w 2280745"/>
              <a:gd name="connsiteY999" fmla="*/ 718130 h 1308087"/>
              <a:gd name="connsiteX1000" fmla="*/ 1299419 w 2280745"/>
              <a:gd name="connsiteY1000" fmla="*/ 669300 h 1308087"/>
              <a:gd name="connsiteX1001" fmla="*/ 1306860 w 2280745"/>
              <a:gd name="connsiteY1001" fmla="*/ 669300 h 1308087"/>
              <a:gd name="connsiteX1002" fmla="*/ 1306860 w 2280745"/>
              <a:gd name="connsiteY1002" fmla="*/ 718130 h 1308087"/>
              <a:gd name="connsiteX1003" fmla="*/ 1315506 w 2280745"/>
              <a:gd name="connsiteY1003" fmla="*/ 725658 h 1308087"/>
              <a:gd name="connsiteX1004" fmla="*/ 1317610 w 2280745"/>
              <a:gd name="connsiteY1004" fmla="*/ 725658 h 1308087"/>
              <a:gd name="connsiteX1005" fmla="*/ 1326256 w 2280745"/>
              <a:gd name="connsiteY1005" fmla="*/ 718130 h 1308087"/>
              <a:gd name="connsiteX1006" fmla="*/ 1326256 w 2280745"/>
              <a:gd name="connsiteY1006" fmla="*/ 669300 h 1308087"/>
              <a:gd name="connsiteX1007" fmla="*/ 1326256 w 2280745"/>
              <a:gd name="connsiteY1007" fmla="*/ 662686 h 1308087"/>
              <a:gd name="connsiteX1008" fmla="*/ 1326256 w 2280745"/>
              <a:gd name="connsiteY1008" fmla="*/ 644694 h 1308087"/>
              <a:gd name="connsiteX1009" fmla="*/ 1331108 w 2280745"/>
              <a:gd name="connsiteY1009" fmla="*/ 660457 h 1308087"/>
              <a:gd name="connsiteX1010" fmla="*/ 1341696 w 2280745"/>
              <a:gd name="connsiteY1010" fmla="*/ 665780 h 1308087"/>
              <a:gd name="connsiteX1011" fmla="*/ 1343730 w 2280745"/>
              <a:gd name="connsiteY1011" fmla="*/ 665305 h 1308087"/>
              <a:gd name="connsiteX1012" fmla="*/ 1349844 w 2280745"/>
              <a:gd name="connsiteY1012" fmla="*/ 656086 h 1308087"/>
              <a:gd name="connsiteX1013" fmla="*/ 1333361 w 2280745"/>
              <a:gd name="connsiteY1013" fmla="*/ 602531 h 1308087"/>
              <a:gd name="connsiteX1014" fmla="*/ 1330685 w 2280745"/>
              <a:gd name="connsiteY1014" fmla="*/ 598798 h 1308087"/>
              <a:gd name="connsiteX1015" fmla="*/ 1326256 w 2280745"/>
              <a:gd name="connsiteY1015" fmla="*/ 597043 h 1308087"/>
              <a:gd name="connsiteX1016" fmla="*/ 1326256 w 2280745"/>
              <a:gd name="connsiteY1016" fmla="*/ 596830 h 1308087"/>
              <a:gd name="connsiteX1017" fmla="*/ 1280022 w 2280745"/>
              <a:gd name="connsiteY1017" fmla="*/ 596830 h 1308087"/>
              <a:gd name="connsiteX1018" fmla="*/ 1482314 w 2280745"/>
              <a:gd name="connsiteY1018" fmla="*/ 596830 h 1308087"/>
              <a:gd name="connsiteX1019" fmla="*/ 1482314 w 2280745"/>
              <a:gd name="connsiteY1019" fmla="*/ 597055 h 1308087"/>
              <a:gd name="connsiteX1020" fmla="*/ 1481697 w 2280745"/>
              <a:gd name="connsiteY1020" fmla="*/ 597020 h 1308087"/>
              <a:gd name="connsiteX1021" fmla="*/ 1474533 w 2280745"/>
              <a:gd name="connsiteY1021" fmla="*/ 602531 h 1308087"/>
              <a:gd name="connsiteX1022" fmla="*/ 1458052 w 2280745"/>
              <a:gd name="connsiteY1022" fmla="*/ 656086 h 1308087"/>
              <a:gd name="connsiteX1023" fmla="*/ 1464166 w 2280745"/>
              <a:gd name="connsiteY1023" fmla="*/ 665305 h 1308087"/>
              <a:gd name="connsiteX1024" fmla="*/ 1466199 w 2280745"/>
              <a:gd name="connsiteY1024" fmla="*/ 665780 h 1308087"/>
              <a:gd name="connsiteX1025" fmla="*/ 1476788 w 2280745"/>
              <a:gd name="connsiteY1025" fmla="*/ 660457 h 1308087"/>
              <a:gd name="connsiteX1026" fmla="*/ 1482314 w 2280745"/>
              <a:gd name="connsiteY1026" fmla="*/ 642502 h 1308087"/>
              <a:gd name="connsiteX1027" fmla="*/ 1482314 w 2280745"/>
              <a:gd name="connsiteY1027" fmla="*/ 662686 h 1308087"/>
              <a:gd name="connsiteX1028" fmla="*/ 1482314 w 2280745"/>
              <a:gd name="connsiteY1028" fmla="*/ 669300 h 1308087"/>
              <a:gd name="connsiteX1029" fmla="*/ 1482314 w 2280745"/>
              <a:gd name="connsiteY1029" fmla="*/ 718130 h 1308087"/>
              <a:gd name="connsiteX1030" fmla="*/ 1490960 w 2280745"/>
              <a:gd name="connsiteY1030" fmla="*/ 725658 h 1308087"/>
              <a:gd name="connsiteX1031" fmla="*/ 1493064 w 2280745"/>
              <a:gd name="connsiteY1031" fmla="*/ 725658 h 1308087"/>
              <a:gd name="connsiteX1032" fmla="*/ 1501710 w 2280745"/>
              <a:gd name="connsiteY1032" fmla="*/ 718130 h 1308087"/>
              <a:gd name="connsiteX1033" fmla="*/ 1501710 w 2280745"/>
              <a:gd name="connsiteY1033" fmla="*/ 669300 h 1308087"/>
              <a:gd name="connsiteX1034" fmla="*/ 1509153 w 2280745"/>
              <a:gd name="connsiteY1034" fmla="*/ 669300 h 1308087"/>
              <a:gd name="connsiteX1035" fmla="*/ 1509153 w 2280745"/>
              <a:gd name="connsiteY1035" fmla="*/ 718130 h 1308087"/>
              <a:gd name="connsiteX1036" fmla="*/ 1517799 w 2280745"/>
              <a:gd name="connsiteY1036" fmla="*/ 725658 h 1308087"/>
              <a:gd name="connsiteX1037" fmla="*/ 1519903 w 2280745"/>
              <a:gd name="connsiteY1037" fmla="*/ 725658 h 1308087"/>
              <a:gd name="connsiteX1038" fmla="*/ 1528549 w 2280745"/>
              <a:gd name="connsiteY1038" fmla="*/ 718130 h 1308087"/>
              <a:gd name="connsiteX1039" fmla="*/ 1528549 w 2280745"/>
              <a:gd name="connsiteY1039" fmla="*/ 669300 h 1308087"/>
              <a:gd name="connsiteX1040" fmla="*/ 1528549 w 2280745"/>
              <a:gd name="connsiteY1040" fmla="*/ 662686 h 1308087"/>
              <a:gd name="connsiteX1041" fmla="*/ 1528549 w 2280745"/>
              <a:gd name="connsiteY1041" fmla="*/ 644694 h 1308087"/>
              <a:gd name="connsiteX1042" fmla="*/ 1533400 w 2280745"/>
              <a:gd name="connsiteY1042" fmla="*/ 660457 h 1308087"/>
              <a:gd name="connsiteX1043" fmla="*/ 1543989 w 2280745"/>
              <a:gd name="connsiteY1043" fmla="*/ 665780 h 1308087"/>
              <a:gd name="connsiteX1044" fmla="*/ 1546022 w 2280745"/>
              <a:gd name="connsiteY1044" fmla="*/ 665305 h 1308087"/>
              <a:gd name="connsiteX1045" fmla="*/ 1552136 w 2280745"/>
              <a:gd name="connsiteY1045" fmla="*/ 656086 h 1308087"/>
              <a:gd name="connsiteX1046" fmla="*/ 1535655 w 2280745"/>
              <a:gd name="connsiteY1046" fmla="*/ 602531 h 1308087"/>
              <a:gd name="connsiteX1047" fmla="*/ 1532977 w 2280745"/>
              <a:gd name="connsiteY1047" fmla="*/ 598798 h 1308087"/>
              <a:gd name="connsiteX1048" fmla="*/ 1528549 w 2280745"/>
              <a:gd name="connsiteY1048" fmla="*/ 597043 h 1308087"/>
              <a:gd name="connsiteX1049" fmla="*/ 1528549 w 2280745"/>
              <a:gd name="connsiteY1049" fmla="*/ 596830 h 1308087"/>
              <a:gd name="connsiteX1050" fmla="*/ 1482314 w 2280745"/>
              <a:gd name="connsiteY1050" fmla="*/ 596830 h 1308087"/>
              <a:gd name="connsiteX1051" fmla="*/ 1679477 w 2280745"/>
              <a:gd name="connsiteY1051" fmla="*/ 596830 h 1308087"/>
              <a:gd name="connsiteX1052" fmla="*/ 1679477 w 2280745"/>
              <a:gd name="connsiteY1052" fmla="*/ 597055 h 1308087"/>
              <a:gd name="connsiteX1053" fmla="*/ 1678860 w 2280745"/>
              <a:gd name="connsiteY1053" fmla="*/ 597020 h 1308087"/>
              <a:gd name="connsiteX1054" fmla="*/ 1671696 w 2280745"/>
              <a:gd name="connsiteY1054" fmla="*/ 602531 h 1308087"/>
              <a:gd name="connsiteX1055" fmla="*/ 1655215 w 2280745"/>
              <a:gd name="connsiteY1055" fmla="*/ 656086 h 1308087"/>
              <a:gd name="connsiteX1056" fmla="*/ 1661328 w 2280745"/>
              <a:gd name="connsiteY1056" fmla="*/ 665305 h 1308087"/>
              <a:gd name="connsiteX1057" fmla="*/ 1663362 w 2280745"/>
              <a:gd name="connsiteY1057" fmla="*/ 665780 h 1308087"/>
              <a:gd name="connsiteX1058" fmla="*/ 1673951 w 2280745"/>
              <a:gd name="connsiteY1058" fmla="*/ 660457 h 1308087"/>
              <a:gd name="connsiteX1059" fmla="*/ 1679477 w 2280745"/>
              <a:gd name="connsiteY1059" fmla="*/ 642502 h 1308087"/>
              <a:gd name="connsiteX1060" fmla="*/ 1679477 w 2280745"/>
              <a:gd name="connsiteY1060" fmla="*/ 662686 h 1308087"/>
              <a:gd name="connsiteX1061" fmla="*/ 1679477 w 2280745"/>
              <a:gd name="connsiteY1061" fmla="*/ 669300 h 1308087"/>
              <a:gd name="connsiteX1062" fmla="*/ 1679477 w 2280745"/>
              <a:gd name="connsiteY1062" fmla="*/ 718130 h 1308087"/>
              <a:gd name="connsiteX1063" fmla="*/ 1688123 w 2280745"/>
              <a:gd name="connsiteY1063" fmla="*/ 725658 h 1308087"/>
              <a:gd name="connsiteX1064" fmla="*/ 1690227 w 2280745"/>
              <a:gd name="connsiteY1064" fmla="*/ 725658 h 1308087"/>
              <a:gd name="connsiteX1065" fmla="*/ 1698873 w 2280745"/>
              <a:gd name="connsiteY1065" fmla="*/ 718130 h 1308087"/>
              <a:gd name="connsiteX1066" fmla="*/ 1698873 w 2280745"/>
              <a:gd name="connsiteY1066" fmla="*/ 669300 h 1308087"/>
              <a:gd name="connsiteX1067" fmla="*/ 1706314 w 2280745"/>
              <a:gd name="connsiteY1067" fmla="*/ 669300 h 1308087"/>
              <a:gd name="connsiteX1068" fmla="*/ 1706314 w 2280745"/>
              <a:gd name="connsiteY1068" fmla="*/ 718130 h 1308087"/>
              <a:gd name="connsiteX1069" fmla="*/ 1714961 w 2280745"/>
              <a:gd name="connsiteY1069" fmla="*/ 725658 h 1308087"/>
              <a:gd name="connsiteX1070" fmla="*/ 1717066 w 2280745"/>
              <a:gd name="connsiteY1070" fmla="*/ 725658 h 1308087"/>
              <a:gd name="connsiteX1071" fmla="*/ 1725712 w 2280745"/>
              <a:gd name="connsiteY1071" fmla="*/ 718130 h 1308087"/>
              <a:gd name="connsiteX1072" fmla="*/ 1725712 w 2280745"/>
              <a:gd name="connsiteY1072" fmla="*/ 669300 h 1308087"/>
              <a:gd name="connsiteX1073" fmla="*/ 1725712 w 2280745"/>
              <a:gd name="connsiteY1073" fmla="*/ 662686 h 1308087"/>
              <a:gd name="connsiteX1074" fmla="*/ 1725712 w 2280745"/>
              <a:gd name="connsiteY1074" fmla="*/ 644694 h 1308087"/>
              <a:gd name="connsiteX1075" fmla="*/ 1730563 w 2280745"/>
              <a:gd name="connsiteY1075" fmla="*/ 660457 h 1308087"/>
              <a:gd name="connsiteX1076" fmla="*/ 1741152 w 2280745"/>
              <a:gd name="connsiteY1076" fmla="*/ 665780 h 1308087"/>
              <a:gd name="connsiteX1077" fmla="*/ 1743185 w 2280745"/>
              <a:gd name="connsiteY1077" fmla="*/ 665305 h 1308087"/>
              <a:gd name="connsiteX1078" fmla="*/ 1749299 w 2280745"/>
              <a:gd name="connsiteY1078" fmla="*/ 656086 h 1308087"/>
              <a:gd name="connsiteX1079" fmla="*/ 1732817 w 2280745"/>
              <a:gd name="connsiteY1079" fmla="*/ 602531 h 1308087"/>
              <a:gd name="connsiteX1080" fmla="*/ 1730140 w 2280745"/>
              <a:gd name="connsiteY1080" fmla="*/ 598798 h 1308087"/>
              <a:gd name="connsiteX1081" fmla="*/ 1725712 w 2280745"/>
              <a:gd name="connsiteY1081" fmla="*/ 597043 h 1308087"/>
              <a:gd name="connsiteX1082" fmla="*/ 1725712 w 2280745"/>
              <a:gd name="connsiteY1082" fmla="*/ 596830 h 1308087"/>
              <a:gd name="connsiteX1083" fmla="*/ 1679477 w 2280745"/>
              <a:gd name="connsiteY1083" fmla="*/ 596830 h 1308087"/>
              <a:gd name="connsiteX1084" fmla="*/ 1882298 w 2280745"/>
              <a:gd name="connsiteY1084" fmla="*/ 596830 h 1308087"/>
              <a:gd name="connsiteX1085" fmla="*/ 1882298 w 2280745"/>
              <a:gd name="connsiteY1085" fmla="*/ 597055 h 1308087"/>
              <a:gd name="connsiteX1086" fmla="*/ 1881681 w 2280745"/>
              <a:gd name="connsiteY1086" fmla="*/ 597020 h 1308087"/>
              <a:gd name="connsiteX1087" fmla="*/ 1874518 w 2280745"/>
              <a:gd name="connsiteY1087" fmla="*/ 602531 h 1308087"/>
              <a:gd name="connsiteX1088" fmla="*/ 1858037 w 2280745"/>
              <a:gd name="connsiteY1088" fmla="*/ 656086 h 1308087"/>
              <a:gd name="connsiteX1089" fmla="*/ 1864152 w 2280745"/>
              <a:gd name="connsiteY1089" fmla="*/ 665305 h 1308087"/>
              <a:gd name="connsiteX1090" fmla="*/ 1866184 w 2280745"/>
              <a:gd name="connsiteY1090" fmla="*/ 665780 h 1308087"/>
              <a:gd name="connsiteX1091" fmla="*/ 1876773 w 2280745"/>
              <a:gd name="connsiteY1091" fmla="*/ 660457 h 1308087"/>
              <a:gd name="connsiteX1092" fmla="*/ 1882298 w 2280745"/>
              <a:gd name="connsiteY1092" fmla="*/ 642502 h 1308087"/>
              <a:gd name="connsiteX1093" fmla="*/ 1882298 w 2280745"/>
              <a:gd name="connsiteY1093" fmla="*/ 662686 h 1308087"/>
              <a:gd name="connsiteX1094" fmla="*/ 1882298 w 2280745"/>
              <a:gd name="connsiteY1094" fmla="*/ 669300 h 1308087"/>
              <a:gd name="connsiteX1095" fmla="*/ 1882298 w 2280745"/>
              <a:gd name="connsiteY1095" fmla="*/ 718130 h 1308087"/>
              <a:gd name="connsiteX1096" fmla="*/ 1890944 w 2280745"/>
              <a:gd name="connsiteY1096" fmla="*/ 725658 h 1308087"/>
              <a:gd name="connsiteX1097" fmla="*/ 1893050 w 2280745"/>
              <a:gd name="connsiteY1097" fmla="*/ 725658 h 1308087"/>
              <a:gd name="connsiteX1098" fmla="*/ 1901696 w 2280745"/>
              <a:gd name="connsiteY1098" fmla="*/ 718130 h 1308087"/>
              <a:gd name="connsiteX1099" fmla="*/ 1901696 w 2280745"/>
              <a:gd name="connsiteY1099" fmla="*/ 669300 h 1308087"/>
              <a:gd name="connsiteX1100" fmla="*/ 1909138 w 2280745"/>
              <a:gd name="connsiteY1100" fmla="*/ 669300 h 1308087"/>
              <a:gd name="connsiteX1101" fmla="*/ 1909138 w 2280745"/>
              <a:gd name="connsiteY1101" fmla="*/ 718130 h 1308087"/>
              <a:gd name="connsiteX1102" fmla="*/ 1917783 w 2280745"/>
              <a:gd name="connsiteY1102" fmla="*/ 725658 h 1308087"/>
              <a:gd name="connsiteX1103" fmla="*/ 1919889 w 2280745"/>
              <a:gd name="connsiteY1103" fmla="*/ 725658 h 1308087"/>
              <a:gd name="connsiteX1104" fmla="*/ 1928535 w 2280745"/>
              <a:gd name="connsiteY1104" fmla="*/ 718130 h 1308087"/>
              <a:gd name="connsiteX1105" fmla="*/ 1928535 w 2280745"/>
              <a:gd name="connsiteY1105" fmla="*/ 669300 h 1308087"/>
              <a:gd name="connsiteX1106" fmla="*/ 1928535 w 2280745"/>
              <a:gd name="connsiteY1106" fmla="*/ 662686 h 1308087"/>
              <a:gd name="connsiteX1107" fmla="*/ 1928535 w 2280745"/>
              <a:gd name="connsiteY1107" fmla="*/ 644694 h 1308087"/>
              <a:gd name="connsiteX1108" fmla="*/ 1933385 w 2280745"/>
              <a:gd name="connsiteY1108" fmla="*/ 660457 h 1308087"/>
              <a:gd name="connsiteX1109" fmla="*/ 1943974 w 2280745"/>
              <a:gd name="connsiteY1109" fmla="*/ 665780 h 1308087"/>
              <a:gd name="connsiteX1110" fmla="*/ 1946009 w 2280745"/>
              <a:gd name="connsiteY1110" fmla="*/ 665305 h 1308087"/>
              <a:gd name="connsiteX1111" fmla="*/ 1952121 w 2280745"/>
              <a:gd name="connsiteY1111" fmla="*/ 656086 h 1308087"/>
              <a:gd name="connsiteX1112" fmla="*/ 1935640 w 2280745"/>
              <a:gd name="connsiteY1112" fmla="*/ 602531 h 1308087"/>
              <a:gd name="connsiteX1113" fmla="*/ 1932962 w 2280745"/>
              <a:gd name="connsiteY1113" fmla="*/ 598798 h 1308087"/>
              <a:gd name="connsiteX1114" fmla="*/ 1928535 w 2280745"/>
              <a:gd name="connsiteY1114" fmla="*/ 597043 h 1308087"/>
              <a:gd name="connsiteX1115" fmla="*/ 1928535 w 2280745"/>
              <a:gd name="connsiteY1115" fmla="*/ 596830 h 1308087"/>
              <a:gd name="connsiteX1116" fmla="*/ 1882298 w 2280745"/>
              <a:gd name="connsiteY1116" fmla="*/ 596830 h 1308087"/>
              <a:gd name="connsiteX1117" fmla="*/ 2081622 w 2280745"/>
              <a:gd name="connsiteY1117" fmla="*/ 596830 h 1308087"/>
              <a:gd name="connsiteX1118" fmla="*/ 2081622 w 2280745"/>
              <a:gd name="connsiteY1118" fmla="*/ 597055 h 1308087"/>
              <a:gd name="connsiteX1119" fmla="*/ 2081004 w 2280745"/>
              <a:gd name="connsiteY1119" fmla="*/ 597020 h 1308087"/>
              <a:gd name="connsiteX1120" fmla="*/ 2073841 w 2280745"/>
              <a:gd name="connsiteY1120" fmla="*/ 602531 h 1308087"/>
              <a:gd name="connsiteX1121" fmla="*/ 2057362 w 2280745"/>
              <a:gd name="connsiteY1121" fmla="*/ 656086 h 1308087"/>
              <a:gd name="connsiteX1122" fmla="*/ 2063474 w 2280745"/>
              <a:gd name="connsiteY1122" fmla="*/ 665305 h 1308087"/>
              <a:gd name="connsiteX1123" fmla="*/ 2065507 w 2280745"/>
              <a:gd name="connsiteY1123" fmla="*/ 665780 h 1308087"/>
              <a:gd name="connsiteX1124" fmla="*/ 2076097 w 2280745"/>
              <a:gd name="connsiteY1124" fmla="*/ 660457 h 1308087"/>
              <a:gd name="connsiteX1125" fmla="*/ 2081622 w 2280745"/>
              <a:gd name="connsiteY1125" fmla="*/ 642502 h 1308087"/>
              <a:gd name="connsiteX1126" fmla="*/ 2081622 w 2280745"/>
              <a:gd name="connsiteY1126" fmla="*/ 662686 h 1308087"/>
              <a:gd name="connsiteX1127" fmla="*/ 2081622 w 2280745"/>
              <a:gd name="connsiteY1127" fmla="*/ 669300 h 1308087"/>
              <a:gd name="connsiteX1128" fmla="*/ 2081622 w 2280745"/>
              <a:gd name="connsiteY1128" fmla="*/ 718130 h 1308087"/>
              <a:gd name="connsiteX1129" fmla="*/ 2090268 w 2280745"/>
              <a:gd name="connsiteY1129" fmla="*/ 725658 h 1308087"/>
              <a:gd name="connsiteX1130" fmla="*/ 2092373 w 2280745"/>
              <a:gd name="connsiteY1130" fmla="*/ 725658 h 1308087"/>
              <a:gd name="connsiteX1131" fmla="*/ 2101019 w 2280745"/>
              <a:gd name="connsiteY1131" fmla="*/ 718130 h 1308087"/>
              <a:gd name="connsiteX1132" fmla="*/ 2101019 w 2280745"/>
              <a:gd name="connsiteY1132" fmla="*/ 669300 h 1308087"/>
              <a:gd name="connsiteX1133" fmla="*/ 2108461 w 2280745"/>
              <a:gd name="connsiteY1133" fmla="*/ 669300 h 1308087"/>
              <a:gd name="connsiteX1134" fmla="*/ 2108461 w 2280745"/>
              <a:gd name="connsiteY1134" fmla="*/ 718130 h 1308087"/>
              <a:gd name="connsiteX1135" fmla="*/ 2117107 w 2280745"/>
              <a:gd name="connsiteY1135" fmla="*/ 725658 h 1308087"/>
              <a:gd name="connsiteX1136" fmla="*/ 2119212 w 2280745"/>
              <a:gd name="connsiteY1136" fmla="*/ 725658 h 1308087"/>
              <a:gd name="connsiteX1137" fmla="*/ 2127858 w 2280745"/>
              <a:gd name="connsiteY1137" fmla="*/ 718130 h 1308087"/>
              <a:gd name="connsiteX1138" fmla="*/ 2127858 w 2280745"/>
              <a:gd name="connsiteY1138" fmla="*/ 669300 h 1308087"/>
              <a:gd name="connsiteX1139" fmla="*/ 2127858 w 2280745"/>
              <a:gd name="connsiteY1139" fmla="*/ 662686 h 1308087"/>
              <a:gd name="connsiteX1140" fmla="*/ 2127858 w 2280745"/>
              <a:gd name="connsiteY1140" fmla="*/ 644694 h 1308087"/>
              <a:gd name="connsiteX1141" fmla="*/ 2132707 w 2280745"/>
              <a:gd name="connsiteY1141" fmla="*/ 660457 h 1308087"/>
              <a:gd name="connsiteX1142" fmla="*/ 2143298 w 2280745"/>
              <a:gd name="connsiteY1142" fmla="*/ 665780 h 1308087"/>
              <a:gd name="connsiteX1143" fmla="*/ 2145331 w 2280745"/>
              <a:gd name="connsiteY1143" fmla="*/ 665305 h 1308087"/>
              <a:gd name="connsiteX1144" fmla="*/ 2151445 w 2280745"/>
              <a:gd name="connsiteY1144" fmla="*/ 656086 h 1308087"/>
              <a:gd name="connsiteX1145" fmla="*/ 2134963 w 2280745"/>
              <a:gd name="connsiteY1145" fmla="*/ 602531 h 1308087"/>
              <a:gd name="connsiteX1146" fmla="*/ 2132286 w 2280745"/>
              <a:gd name="connsiteY1146" fmla="*/ 598798 h 1308087"/>
              <a:gd name="connsiteX1147" fmla="*/ 2127858 w 2280745"/>
              <a:gd name="connsiteY1147" fmla="*/ 597043 h 1308087"/>
              <a:gd name="connsiteX1148" fmla="*/ 2127858 w 2280745"/>
              <a:gd name="connsiteY1148" fmla="*/ 596830 h 1308087"/>
              <a:gd name="connsiteX1149" fmla="*/ 2081622 w 2280745"/>
              <a:gd name="connsiteY1149" fmla="*/ 596830 h 1308087"/>
              <a:gd name="connsiteX1150" fmla="*/ 303668 w 2280745"/>
              <a:gd name="connsiteY1150" fmla="*/ 787580 h 1308087"/>
              <a:gd name="connsiteX1151" fmla="*/ 284721 w 2280745"/>
              <a:gd name="connsiteY1151" fmla="*/ 804077 h 1308087"/>
              <a:gd name="connsiteX1152" fmla="*/ 303668 w 2280745"/>
              <a:gd name="connsiteY1152" fmla="*/ 820573 h 1308087"/>
              <a:gd name="connsiteX1153" fmla="*/ 322614 w 2280745"/>
              <a:gd name="connsiteY1153" fmla="*/ 804077 h 1308087"/>
              <a:gd name="connsiteX1154" fmla="*/ 303668 w 2280745"/>
              <a:gd name="connsiteY1154" fmla="*/ 787580 h 1308087"/>
              <a:gd name="connsiteX1155" fmla="*/ 503662 w 2280745"/>
              <a:gd name="connsiteY1155" fmla="*/ 787580 h 1308087"/>
              <a:gd name="connsiteX1156" fmla="*/ 484717 w 2280745"/>
              <a:gd name="connsiteY1156" fmla="*/ 804077 h 1308087"/>
              <a:gd name="connsiteX1157" fmla="*/ 503662 w 2280745"/>
              <a:gd name="connsiteY1157" fmla="*/ 820573 h 1308087"/>
              <a:gd name="connsiteX1158" fmla="*/ 522607 w 2280745"/>
              <a:gd name="connsiteY1158" fmla="*/ 804077 h 1308087"/>
              <a:gd name="connsiteX1159" fmla="*/ 503662 w 2280745"/>
              <a:gd name="connsiteY1159" fmla="*/ 787580 h 1308087"/>
              <a:gd name="connsiteX1160" fmla="*/ 703653 w 2280745"/>
              <a:gd name="connsiteY1160" fmla="*/ 787580 h 1308087"/>
              <a:gd name="connsiteX1161" fmla="*/ 684709 w 2280745"/>
              <a:gd name="connsiteY1161" fmla="*/ 804077 h 1308087"/>
              <a:gd name="connsiteX1162" fmla="*/ 703653 w 2280745"/>
              <a:gd name="connsiteY1162" fmla="*/ 820573 h 1308087"/>
              <a:gd name="connsiteX1163" fmla="*/ 722600 w 2280745"/>
              <a:gd name="connsiteY1163" fmla="*/ 804077 h 1308087"/>
              <a:gd name="connsiteX1164" fmla="*/ 703653 w 2280745"/>
              <a:gd name="connsiteY1164" fmla="*/ 787580 h 1308087"/>
              <a:gd name="connsiteX1165" fmla="*/ 903646 w 2280745"/>
              <a:gd name="connsiteY1165" fmla="*/ 787580 h 1308087"/>
              <a:gd name="connsiteX1166" fmla="*/ 884701 w 2280745"/>
              <a:gd name="connsiteY1166" fmla="*/ 804077 h 1308087"/>
              <a:gd name="connsiteX1167" fmla="*/ 903646 w 2280745"/>
              <a:gd name="connsiteY1167" fmla="*/ 820573 h 1308087"/>
              <a:gd name="connsiteX1168" fmla="*/ 922591 w 2280745"/>
              <a:gd name="connsiteY1168" fmla="*/ 804077 h 1308087"/>
              <a:gd name="connsiteX1169" fmla="*/ 903646 w 2280745"/>
              <a:gd name="connsiteY1169" fmla="*/ 787580 h 1308087"/>
              <a:gd name="connsiteX1170" fmla="*/ 1103638 w 2280745"/>
              <a:gd name="connsiteY1170" fmla="*/ 787580 h 1308087"/>
              <a:gd name="connsiteX1171" fmla="*/ 1084694 w 2280745"/>
              <a:gd name="connsiteY1171" fmla="*/ 804077 h 1308087"/>
              <a:gd name="connsiteX1172" fmla="*/ 1103638 w 2280745"/>
              <a:gd name="connsiteY1172" fmla="*/ 820573 h 1308087"/>
              <a:gd name="connsiteX1173" fmla="*/ 1122584 w 2280745"/>
              <a:gd name="connsiteY1173" fmla="*/ 804077 h 1308087"/>
              <a:gd name="connsiteX1174" fmla="*/ 1103638 w 2280745"/>
              <a:gd name="connsiteY1174" fmla="*/ 787580 h 1308087"/>
              <a:gd name="connsiteX1175" fmla="*/ 1303631 w 2280745"/>
              <a:gd name="connsiteY1175" fmla="*/ 787580 h 1308087"/>
              <a:gd name="connsiteX1176" fmla="*/ 1284685 w 2280745"/>
              <a:gd name="connsiteY1176" fmla="*/ 804077 h 1308087"/>
              <a:gd name="connsiteX1177" fmla="*/ 1303631 w 2280745"/>
              <a:gd name="connsiteY1177" fmla="*/ 820573 h 1308087"/>
              <a:gd name="connsiteX1178" fmla="*/ 1322576 w 2280745"/>
              <a:gd name="connsiteY1178" fmla="*/ 804077 h 1308087"/>
              <a:gd name="connsiteX1179" fmla="*/ 1303631 w 2280745"/>
              <a:gd name="connsiteY1179" fmla="*/ 787580 h 1308087"/>
              <a:gd name="connsiteX1180" fmla="*/ 1505923 w 2280745"/>
              <a:gd name="connsiteY1180" fmla="*/ 787580 h 1308087"/>
              <a:gd name="connsiteX1181" fmla="*/ 1486979 w 2280745"/>
              <a:gd name="connsiteY1181" fmla="*/ 804077 h 1308087"/>
              <a:gd name="connsiteX1182" fmla="*/ 1505923 w 2280745"/>
              <a:gd name="connsiteY1182" fmla="*/ 820573 h 1308087"/>
              <a:gd name="connsiteX1183" fmla="*/ 1524868 w 2280745"/>
              <a:gd name="connsiteY1183" fmla="*/ 804077 h 1308087"/>
              <a:gd name="connsiteX1184" fmla="*/ 1505923 w 2280745"/>
              <a:gd name="connsiteY1184" fmla="*/ 787580 h 1308087"/>
              <a:gd name="connsiteX1185" fmla="*/ 1703085 w 2280745"/>
              <a:gd name="connsiteY1185" fmla="*/ 787580 h 1308087"/>
              <a:gd name="connsiteX1186" fmla="*/ 1684140 w 2280745"/>
              <a:gd name="connsiteY1186" fmla="*/ 804077 h 1308087"/>
              <a:gd name="connsiteX1187" fmla="*/ 1703085 w 2280745"/>
              <a:gd name="connsiteY1187" fmla="*/ 820573 h 1308087"/>
              <a:gd name="connsiteX1188" fmla="*/ 1722031 w 2280745"/>
              <a:gd name="connsiteY1188" fmla="*/ 804077 h 1308087"/>
              <a:gd name="connsiteX1189" fmla="*/ 1703085 w 2280745"/>
              <a:gd name="connsiteY1189" fmla="*/ 787580 h 1308087"/>
              <a:gd name="connsiteX1190" fmla="*/ 1905908 w 2280745"/>
              <a:gd name="connsiteY1190" fmla="*/ 787580 h 1308087"/>
              <a:gd name="connsiteX1191" fmla="*/ 1886962 w 2280745"/>
              <a:gd name="connsiteY1191" fmla="*/ 804077 h 1308087"/>
              <a:gd name="connsiteX1192" fmla="*/ 1905908 w 2280745"/>
              <a:gd name="connsiteY1192" fmla="*/ 820573 h 1308087"/>
              <a:gd name="connsiteX1193" fmla="*/ 1924855 w 2280745"/>
              <a:gd name="connsiteY1193" fmla="*/ 804077 h 1308087"/>
              <a:gd name="connsiteX1194" fmla="*/ 1905908 w 2280745"/>
              <a:gd name="connsiteY1194" fmla="*/ 787580 h 1308087"/>
              <a:gd name="connsiteX1195" fmla="*/ 2105231 w 2280745"/>
              <a:gd name="connsiteY1195" fmla="*/ 787580 h 1308087"/>
              <a:gd name="connsiteX1196" fmla="*/ 2086286 w 2280745"/>
              <a:gd name="connsiteY1196" fmla="*/ 804077 h 1308087"/>
              <a:gd name="connsiteX1197" fmla="*/ 2105231 w 2280745"/>
              <a:gd name="connsiteY1197" fmla="*/ 820573 h 1308087"/>
              <a:gd name="connsiteX1198" fmla="*/ 2124177 w 2280745"/>
              <a:gd name="connsiteY1198" fmla="*/ 804077 h 1308087"/>
              <a:gd name="connsiteX1199" fmla="*/ 2105231 w 2280745"/>
              <a:gd name="connsiteY1199" fmla="*/ 787580 h 1308087"/>
              <a:gd name="connsiteX1200" fmla="*/ 280058 w 2280745"/>
              <a:gd name="connsiteY1200" fmla="*/ 824238 h 1308087"/>
              <a:gd name="connsiteX1201" fmla="*/ 280058 w 2280745"/>
              <a:gd name="connsiteY1201" fmla="*/ 824463 h 1308087"/>
              <a:gd name="connsiteX1202" fmla="*/ 279441 w 2280745"/>
              <a:gd name="connsiteY1202" fmla="*/ 824428 h 1308087"/>
              <a:gd name="connsiteX1203" fmla="*/ 272279 w 2280745"/>
              <a:gd name="connsiteY1203" fmla="*/ 829938 h 1308087"/>
              <a:gd name="connsiteX1204" fmla="*/ 255797 w 2280745"/>
              <a:gd name="connsiteY1204" fmla="*/ 883493 h 1308087"/>
              <a:gd name="connsiteX1205" fmla="*/ 261911 w 2280745"/>
              <a:gd name="connsiteY1205" fmla="*/ 892712 h 1308087"/>
              <a:gd name="connsiteX1206" fmla="*/ 263944 w 2280745"/>
              <a:gd name="connsiteY1206" fmla="*/ 893188 h 1308087"/>
              <a:gd name="connsiteX1207" fmla="*/ 274533 w 2280745"/>
              <a:gd name="connsiteY1207" fmla="*/ 887865 h 1308087"/>
              <a:gd name="connsiteX1208" fmla="*/ 280058 w 2280745"/>
              <a:gd name="connsiteY1208" fmla="*/ 869910 h 1308087"/>
              <a:gd name="connsiteX1209" fmla="*/ 280058 w 2280745"/>
              <a:gd name="connsiteY1209" fmla="*/ 890094 h 1308087"/>
              <a:gd name="connsiteX1210" fmla="*/ 280058 w 2280745"/>
              <a:gd name="connsiteY1210" fmla="*/ 896707 h 1308087"/>
              <a:gd name="connsiteX1211" fmla="*/ 280058 w 2280745"/>
              <a:gd name="connsiteY1211" fmla="*/ 945537 h 1308087"/>
              <a:gd name="connsiteX1212" fmla="*/ 288705 w 2280745"/>
              <a:gd name="connsiteY1212" fmla="*/ 953066 h 1308087"/>
              <a:gd name="connsiteX1213" fmla="*/ 290809 w 2280745"/>
              <a:gd name="connsiteY1213" fmla="*/ 953066 h 1308087"/>
              <a:gd name="connsiteX1214" fmla="*/ 299455 w 2280745"/>
              <a:gd name="connsiteY1214" fmla="*/ 945537 h 1308087"/>
              <a:gd name="connsiteX1215" fmla="*/ 299455 w 2280745"/>
              <a:gd name="connsiteY1215" fmla="*/ 896707 h 1308087"/>
              <a:gd name="connsiteX1216" fmla="*/ 306898 w 2280745"/>
              <a:gd name="connsiteY1216" fmla="*/ 896707 h 1308087"/>
              <a:gd name="connsiteX1217" fmla="*/ 306898 w 2280745"/>
              <a:gd name="connsiteY1217" fmla="*/ 945537 h 1308087"/>
              <a:gd name="connsiteX1218" fmla="*/ 315544 w 2280745"/>
              <a:gd name="connsiteY1218" fmla="*/ 953066 h 1308087"/>
              <a:gd name="connsiteX1219" fmla="*/ 317649 w 2280745"/>
              <a:gd name="connsiteY1219" fmla="*/ 953066 h 1308087"/>
              <a:gd name="connsiteX1220" fmla="*/ 326293 w 2280745"/>
              <a:gd name="connsiteY1220" fmla="*/ 945537 h 1308087"/>
              <a:gd name="connsiteX1221" fmla="*/ 326293 w 2280745"/>
              <a:gd name="connsiteY1221" fmla="*/ 896707 h 1308087"/>
              <a:gd name="connsiteX1222" fmla="*/ 326293 w 2280745"/>
              <a:gd name="connsiteY1222" fmla="*/ 890094 h 1308087"/>
              <a:gd name="connsiteX1223" fmla="*/ 326293 w 2280745"/>
              <a:gd name="connsiteY1223" fmla="*/ 872102 h 1308087"/>
              <a:gd name="connsiteX1224" fmla="*/ 331145 w 2280745"/>
              <a:gd name="connsiteY1224" fmla="*/ 887865 h 1308087"/>
              <a:gd name="connsiteX1225" fmla="*/ 341734 w 2280745"/>
              <a:gd name="connsiteY1225" fmla="*/ 893188 h 1308087"/>
              <a:gd name="connsiteX1226" fmla="*/ 343767 w 2280745"/>
              <a:gd name="connsiteY1226" fmla="*/ 892712 h 1308087"/>
              <a:gd name="connsiteX1227" fmla="*/ 349881 w 2280745"/>
              <a:gd name="connsiteY1227" fmla="*/ 883493 h 1308087"/>
              <a:gd name="connsiteX1228" fmla="*/ 333400 w 2280745"/>
              <a:gd name="connsiteY1228" fmla="*/ 829938 h 1308087"/>
              <a:gd name="connsiteX1229" fmla="*/ 330722 w 2280745"/>
              <a:gd name="connsiteY1229" fmla="*/ 826205 h 1308087"/>
              <a:gd name="connsiteX1230" fmla="*/ 326293 w 2280745"/>
              <a:gd name="connsiteY1230" fmla="*/ 824451 h 1308087"/>
              <a:gd name="connsiteX1231" fmla="*/ 326293 w 2280745"/>
              <a:gd name="connsiteY1231" fmla="*/ 824238 h 1308087"/>
              <a:gd name="connsiteX1232" fmla="*/ 280058 w 2280745"/>
              <a:gd name="connsiteY1232" fmla="*/ 824238 h 1308087"/>
              <a:gd name="connsiteX1233" fmla="*/ 480053 w 2280745"/>
              <a:gd name="connsiteY1233" fmla="*/ 824238 h 1308087"/>
              <a:gd name="connsiteX1234" fmla="*/ 480053 w 2280745"/>
              <a:gd name="connsiteY1234" fmla="*/ 824463 h 1308087"/>
              <a:gd name="connsiteX1235" fmla="*/ 479436 w 2280745"/>
              <a:gd name="connsiteY1235" fmla="*/ 824428 h 1308087"/>
              <a:gd name="connsiteX1236" fmla="*/ 472272 w 2280745"/>
              <a:gd name="connsiteY1236" fmla="*/ 829938 h 1308087"/>
              <a:gd name="connsiteX1237" fmla="*/ 455791 w 2280745"/>
              <a:gd name="connsiteY1237" fmla="*/ 883493 h 1308087"/>
              <a:gd name="connsiteX1238" fmla="*/ 461906 w 2280745"/>
              <a:gd name="connsiteY1238" fmla="*/ 892712 h 1308087"/>
              <a:gd name="connsiteX1239" fmla="*/ 463938 w 2280745"/>
              <a:gd name="connsiteY1239" fmla="*/ 893188 h 1308087"/>
              <a:gd name="connsiteX1240" fmla="*/ 474527 w 2280745"/>
              <a:gd name="connsiteY1240" fmla="*/ 887865 h 1308087"/>
              <a:gd name="connsiteX1241" fmla="*/ 480053 w 2280745"/>
              <a:gd name="connsiteY1241" fmla="*/ 869910 h 1308087"/>
              <a:gd name="connsiteX1242" fmla="*/ 480053 w 2280745"/>
              <a:gd name="connsiteY1242" fmla="*/ 890094 h 1308087"/>
              <a:gd name="connsiteX1243" fmla="*/ 480053 w 2280745"/>
              <a:gd name="connsiteY1243" fmla="*/ 896707 h 1308087"/>
              <a:gd name="connsiteX1244" fmla="*/ 480053 w 2280745"/>
              <a:gd name="connsiteY1244" fmla="*/ 945537 h 1308087"/>
              <a:gd name="connsiteX1245" fmla="*/ 488698 w 2280745"/>
              <a:gd name="connsiteY1245" fmla="*/ 953066 h 1308087"/>
              <a:gd name="connsiteX1246" fmla="*/ 490804 w 2280745"/>
              <a:gd name="connsiteY1246" fmla="*/ 953066 h 1308087"/>
              <a:gd name="connsiteX1247" fmla="*/ 499450 w 2280745"/>
              <a:gd name="connsiteY1247" fmla="*/ 945537 h 1308087"/>
              <a:gd name="connsiteX1248" fmla="*/ 499450 w 2280745"/>
              <a:gd name="connsiteY1248" fmla="*/ 896707 h 1308087"/>
              <a:gd name="connsiteX1249" fmla="*/ 506892 w 2280745"/>
              <a:gd name="connsiteY1249" fmla="*/ 896707 h 1308087"/>
              <a:gd name="connsiteX1250" fmla="*/ 506892 w 2280745"/>
              <a:gd name="connsiteY1250" fmla="*/ 945537 h 1308087"/>
              <a:gd name="connsiteX1251" fmla="*/ 515538 w 2280745"/>
              <a:gd name="connsiteY1251" fmla="*/ 953066 h 1308087"/>
              <a:gd name="connsiteX1252" fmla="*/ 517643 w 2280745"/>
              <a:gd name="connsiteY1252" fmla="*/ 953066 h 1308087"/>
              <a:gd name="connsiteX1253" fmla="*/ 526287 w 2280745"/>
              <a:gd name="connsiteY1253" fmla="*/ 945537 h 1308087"/>
              <a:gd name="connsiteX1254" fmla="*/ 526287 w 2280745"/>
              <a:gd name="connsiteY1254" fmla="*/ 896707 h 1308087"/>
              <a:gd name="connsiteX1255" fmla="*/ 526287 w 2280745"/>
              <a:gd name="connsiteY1255" fmla="*/ 890094 h 1308087"/>
              <a:gd name="connsiteX1256" fmla="*/ 526287 w 2280745"/>
              <a:gd name="connsiteY1256" fmla="*/ 872102 h 1308087"/>
              <a:gd name="connsiteX1257" fmla="*/ 531139 w 2280745"/>
              <a:gd name="connsiteY1257" fmla="*/ 887865 h 1308087"/>
              <a:gd name="connsiteX1258" fmla="*/ 541727 w 2280745"/>
              <a:gd name="connsiteY1258" fmla="*/ 893188 h 1308087"/>
              <a:gd name="connsiteX1259" fmla="*/ 543761 w 2280745"/>
              <a:gd name="connsiteY1259" fmla="*/ 892712 h 1308087"/>
              <a:gd name="connsiteX1260" fmla="*/ 549875 w 2280745"/>
              <a:gd name="connsiteY1260" fmla="*/ 883493 h 1308087"/>
              <a:gd name="connsiteX1261" fmla="*/ 533394 w 2280745"/>
              <a:gd name="connsiteY1261" fmla="*/ 829938 h 1308087"/>
              <a:gd name="connsiteX1262" fmla="*/ 530716 w 2280745"/>
              <a:gd name="connsiteY1262" fmla="*/ 826205 h 1308087"/>
              <a:gd name="connsiteX1263" fmla="*/ 526287 w 2280745"/>
              <a:gd name="connsiteY1263" fmla="*/ 824451 h 1308087"/>
              <a:gd name="connsiteX1264" fmla="*/ 526287 w 2280745"/>
              <a:gd name="connsiteY1264" fmla="*/ 824238 h 1308087"/>
              <a:gd name="connsiteX1265" fmla="*/ 480053 w 2280745"/>
              <a:gd name="connsiteY1265" fmla="*/ 824238 h 1308087"/>
              <a:gd name="connsiteX1266" fmla="*/ 680045 w 2280745"/>
              <a:gd name="connsiteY1266" fmla="*/ 824238 h 1308087"/>
              <a:gd name="connsiteX1267" fmla="*/ 680045 w 2280745"/>
              <a:gd name="connsiteY1267" fmla="*/ 824463 h 1308087"/>
              <a:gd name="connsiteX1268" fmla="*/ 679427 w 2280745"/>
              <a:gd name="connsiteY1268" fmla="*/ 824428 h 1308087"/>
              <a:gd name="connsiteX1269" fmla="*/ 672265 w 2280745"/>
              <a:gd name="connsiteY1269" fmla="*/ 829938 h 1308087"/>
              <a:gd name="connsiteX1270" fmla="*/ 655783 w 2280745"/>
              <a:gd name="connsiteY1270" fmla="*/ 883493 h 1308087"/>
              <a:gd name="connsiteX1271" fmla="*/ 661899 w 2280745"/>
              <a:gd name="connsiteY1271" fmla="*/ 892712 h 1308087"/>
              <a:gd name="connsiteX1272" fmla="*/ 663930 w 2280745"/>
              <a:gd name="connsiteY1272" fmla="*/ 893188 h 1308087"/>
              <a:gd name="connsiteX1273" fmla="*/ 674518 w 2280745"/>
              <a:gd name="connsiteY1273" fmla="*/ 887865 h 1308087"/>
              <a:gd name="connsiteX1274" fmla="*/ 680045 w 2280745"/>
              <a:gd name="connsiteY1274" fmla="*/ 869910 h 1308087"/>
              <a:gd name="connsiteX1275" fmla="*/ 680045 w 2280745"/>
              <a:gd name="connsiteY1275" fmla="*/ 890094 h 1308087"/>
              <a:gd name="connsiteX1276" fmla="*/ 680045 w 2280745"/>
              <a:gd name="connsiteY1276" fmla="*/ 896707 h 1308087"/>
              <a:gd name="connsiteX1277" fmla="*/ 680045 w 2280745"/>
              <a:gd name="connsiteY1277" fmla="*/ 945537 h 1308087"/>
              <a:gd name="connsiteX1278" fmla="*/ 688691 w 2280745"/>
              <a:gd name="connsiteY1278" fmla="*/ 953066 h 1308087"/>
              <a:gd name="connsiteX1279" fmla="*/ 690797 w 2280745"/>
              <a:gd name="connsiteY1279" fmla="*/ 953066 h 1308087"/>
              <a:gd name="connsiteX1280" fmla="*/ 699443 w 2280745"/>
              <a:gd name="connsiteY1280" fmla="*/ 945537 h 1308087"/>
              <a:gd name="connsiteX1281" fmla="*/ 699443 w 2280745"/>
              <a:gd name="connsiteY1281" fmla="*/ 896707 h 1308087"/>
              <a:gd name="connsiteX1282" fmla="*/ 706884 w 2280745"/>
              <a:gd name="connsiteY1282" fmla="*/ 896707 h 1308087"/>
              <a:gd name="connsiteX1283" fmla="*/ 706884 w 2280745"/>
              <a:gd name="connsiteY1283" fmla="*/ 945537 h 1308087"/>
              <a:gd name="connsiteX1284" fmla="*/ 715530 w 2280745"/>
              <a:gd name="connsiteY1284" fmla="*/ 953066 h 1308087"/>
              <a:gd name="connsiteX1285" fmla="*/ 717635 w 2280745"/>
              <a:gd name="connsiteY1285" fmla="*/ 953066 h 1308087"/>
              <a:gd name="connsiteX1286" fmla="*/ 726280 w 2280745"/>
              <a:gd name="connsiteY1286" fmla="*/ 945537 h 1308087"/>
              <a:gd name="connsiteX1287" fmla="*/ 726280 w 2280745"/>
              <a:gd name="connsiteY1287" fmla="*/ 896707 h 1308087"/>
              <a:gd name="connsiteX1288" fmla="*/ 726280 w 2280745"/>
              <a:gd name="connsiteY1288" fmla="*/ 890094 h 1308087"/>
              <a:gd name="connsiteX1289" fmla="*/ 726280 w 2280745"/>
              <a:gd name="connsiteY1289" fmla="*/ 872102 h 1308087"/>
              <a:gd name="connsiteX1290" fmla="*/ 731132 w 2280745"/>
              <a:gd name="connsiteY1290" fmla="*/ 887865 h 1308087"/>
              <a:gd name="connsiteX1291" fmla="*/ 741720 w 2280745"/>
              <a:gd name="connsiteY1291" fmla="*/ 893188 h 1308087"/>
              <a:gd name="connsiteX1292" fmla="*/ 743753 w 2280745"/>
              <a:gd name="connsiteY1292" fmla="*/ 892712 h 1308087"/>
              <a:gd name="connsiteX1293" fmla="*/ 749868 w 2280745"/>
              <a:gd name="connsiteY1293" fmla="*/ 883493 h 1308087"/>
              <a:gd name="connsiteX1294" fmla="*/ 733385 w 2280745"/>
              <a:gd name="connsiteY1294" fmla="*/ 829938 h 1308087"/>
              <a:gd name="connsiteX1295" fmla="*/ 730709 w 2280745"/>
              <a:gd name="connsiteY1295" fmla="*/ 826205 h 1308087"/>
              <a:gd name="connsiteX1296" fmla="*/ 726280 w 2280745"/>
              <a:gd name="connsiteY1296" fmla="*/ 824451 h 1308087"/>
              <a:gd name="connsiteX1297" fmla="*/ 726280 w 2280745"/>
              <a:gd name="connsiteY1297" fmla="*/ 824238 h 1308087"/>
              <a:gd name="connsiteX1298" fmla="*/ 680045 w 2280745"/>
              <a:gd name="connsiteY1298" fmla="*/ 824238 h 1308087"/>
              <a:gd name="connsiteX1299" fmla="*/ 880037 w 2280745"/>
              <a:gd name="connsiteY1299" fmla="*/ 824238 h 1308087"/>
              <a:gd name="connsiteX1300" fmla="*/ 880037 w 2280745"/>
              <a:gd name="connsiteY1300" fmla="*/ 824463 h 1308087"/>
              <a:gd name="connsiteX1301" fmla="*/ 879420 w 2280745"/>
              <a:gd name="connsiteY1301" fmla="*/ 824428 h 1308087"/>
              <a:gd name="connsiteX1302" fmla="*/ 872256 w 2280745"/>
              <a:gd name="connsiteY1302" fmla="*/ 829938 h 1308087"/>
              <a:gd name="connsiteX1303" fmla="*/ 855776 w 2280745"/>
              <a:gd name="connsiteY1303" fmla="*/ 883493 h 1308087"/>
              <a:gd name="connsiteX1304" fmla="*/ 861890 w 2280745"/>
              <a:gd name="connsiteY1304" fmla="*/ 892712 h 1308087"/>
              <a:gd name="connsiteX1305" fmla="*/ 863923 w 2280745"/>
              <a:gd name="connsiteY1305" fmla="*/ 893188 h 1308087"/>
              <a:gd name="connsiteX1306" fmla="*/ 874511 w 2280745"/>
              <a:gd name="connsiteY1306" fmla="*/ 887865 h 1308087"/>
              <a:gd name="connsiteX1307" fmla="*/ 880037 w 2280745"/>
              <a:gd name="connsiteY1307" fmla="*/ 869910 h 1308087"/>
              <a:gd name="connsiteX1308" fmla="*/ 880037 w 2280745"/>
              <a:gd name="connsiteY1308" fmla="*/ 890094 h 1308087"/>
              <a:gd name="connsiteX1309" fmla="*/ 880037 w 2280745"/>
              <a:gd name="connsiteY1309" fmla="*/ 896707 h 1308087"/>
              <a:gd name="connsiteX1310" fmla="*/ 880037 w 2280745"/>
              <a:gd name="connsiteY1310" fmla="*/ 945537 h 1308087"/>
              <a:gd name="connsiteX1311" fmla="*/ 888683 w 2280745"/>
              <a:gd name="connsiteY1311" fmla="*/ 953066 h 1308087"/>
              <a:gd name="connsiteX1312" fmla="*/ 890788 w 2280745"/>
              <a:gd name="connsiteY1312" fmla="*/ 953066 h 1308087"/>
              <a:gd name="connsiteX1313" fmla="*/ 899434 w 2280745"/>
              <a:gd name="connsiteY1313" fmla="*/ 945537 h 1308087"/>
              <a:gd name="connsiteX1314" fmla="*/ 899434 w 2280745"/>
              <a:gd name="connsiteY1314" fmla="*/ 896707 h 1308087"/>
              <a:gd name="connsiteX1315" fmla="*/ 906877 w 2280745"/>
              <a:gd name="connsiteY1315" fmla="*/ 896707 h 1308087"/>
              <a:gd name="connsiteX1316" fmla="*/ 906877 w 2280745"/>
              <a:gd name="connsiteY1316" fmla="*/ 945537 h 1308087"/>
              <a:gd name="connsiteX1317" fmla="*/ 915521 w 2280745"/>
              <a:gd name="connsiteY1317" fmla="*/ 953066 h 1308087"/>
              <a:gd name="connsiteX1318" fmla="*/ 917628 w 2280745"/>
              <a:gd name="connsiteY1318" fmla="*/ 953066 h 1308087"/>
              <a:gd name="connsiteX1319" fmla="*/ 926272 w 2280745"/>
              <a:gd name="connsiteY1319" fmla="*/ 945537 h 1308087"/>
              <a:gd name="connsiteX1320" fmla="*/ 926272 w 2280745"/>
              <a:gd name="connsiteY1320" fmla="*/ 896707 h 1308087"/>
              <a:gd name="connsiteX1321" fmla="*/ 926272 w 2280745"/>
              <a:gd name="connsiteY1321" fmla="*/ 890094 h 1308087"/>
              <a:gd name="connsiteX1322" fmla="*/ 926272 w 2280745"/>
              <a:gd name="connsiteY1322" fmla="*/ 872102 h 1308087"/>
              <a:gd name="connsiteX1323" fmla="*/ 931123 w 2280745"/>
              <a:gd name="connsiteY1323" fmla="*/ 887865 h 1308087"/>
              <a:gd name="connsiteX1324" fmla="*/ 941712 w 2280745"/>
              <a:gd name="connsiteY1324" fmla="*/ 893188 h 1308087"/>
              <a:gd name="connsiteX1325" fmla="*/ 943745 w 2280745"/>
              <a:gd name="connsiteY1325" fmla="*/ 892712 h 1308087"/>
              <a:gd name="connsiteX1326" fmla="*/ 949860 w 2280745"/>
              <a:gd name="connsiteY1326" fmla="*/ 883493 h 1308087"/>
              <a:gd name="connsiteX1327" fmla="*/ 933378 w 2280745"/>
              <a:gd name="connsiteY1327" fmla="*/ 829938 h 1308087"/>
              <a:gd name="connsiteX1328" fmla="*/ 930701 w 2280745"/>
              <a:gd name="connsiteY1328" fmla="*/ 826205 h 1308087"/>
              <a:gd name="connsiteX1329" fmla="*/ 926272 w 2280745"/>
              <a:gd name="connsiteY1329" fmla="*/ 824451 h 1308087"/>
              <a:gd name="connsiteX1330" fmla="*/ 926272 w 2280745"/>
              <a:gd name="connsiteY1330" fmla="*/ 824238 h 1308087"/>
              <a:gd name="connsiteX1331" fmla="*/ 880037 w 2280745"/>
              <a:gd name="connsiteY1331" fmla="*/ 824238 h 1308087"/>
              <a:gd name="connsiteX1332" fmla="*/ 1080030 w 2280745"/>
              <a:gd name="connsiteY1332" fmla="*/ 824238 h 1308087"/>
              <a:gd name="connsiteX1333" fmla="*/ 1080030 w 2280745"/>
              <a:gd name="connsiteY1333" fmla="*/ 824463 h 1308087"/>
              <a:gd name="connsiteX1334" fmla="*/ 1079412 w 2280745"/>
              <a:gd name="connsiteY1334" fmla="*/ 824428 h 1308087"/>
              <a:gd name="connsiteX1335" fmla="*/ 1072249 w 2280745"/>
              <a:gd name="connsiteY1335" fmla="*/ 829938 h 1308087"/>
              <a:gd name="connsiteX1336" fmla="*/ 1055767 w 2280745"/>
              <a:gd name="connsiteY1336" fmla="*/ 883493 h 1308087"/>
              <a:gd name="connsiteX1337" fmla="*/ 1061881 w 2280745"/>
              <a:gd name="connsiteY1337" fmla="*/ 892712 h 1308087"/>
              <a:gd name="connsiteX1338" fmla="*/ 1063914 w 2280745"/>
              <a:gd name="connsiteY1338" fmla="*/ 893188 h 1308087"/>
              <a:gd name="connsiteX1339" fmla="*/ 1074503 w 2280745"/>
              <a:gd name="connsiteY1339" fmla="*/ 887865 h 1308087"/>
              <a:gd name="connsiteX1340" fmla="*/ 1080030 w 2280745"/>
              <a:gd name="connsiteY1340" fmla="*/ 869910 h 1308087"/>
              <a:gd name="connsiteX1341" fmla="*/ 1080030 w 2280745"/>
              <a:gd name="connsiteY1341" fmla="*/ 890094 h 1308087"/>
              <a:gd name="connsiteX1342" fmla="*/ 1080030 w 2280745"/>
              <a:gd name="connsiteY1342" fmla="*/ 896707 h 1308087"/>
              <a:gd name="connsiteX1343" fmla="*/ 1080030 w 2280745"/>
              <a:gd name="connsiteY1343" fmla="*/ 945537 h 1308087"/>
              <a:gd name="connsiteX1344" fmla="*/ 1088676 w 2280745"/>
              <a:gd name="connsiteY1344" fmla="*/ 953066 h 1308087"/>
              <a:gd name="connsiteX1345" fmla="*/ 1090781 w 2280745"/>
              <a:gd name="connsiteY1345" fmla="*/ 953066 h 1308087"/>
              <a:gd name="connsiteX1346" fmla="*/ 1099427 w 2280745"/>
              <a:gd name="connsiteY1346" fmla="*/ 945537 h 1308087"/>
              <a:gd name="connsiteX1347" fmla="*/ 1099427 w 2280745"/>
              <a:gd name="connsiteY1347" fmla="*/ 896707 h 1308087"/>
              <a:gd name="connsiteX1348" fmla="*/ 1106868 w 2280745"/>
              <a:gd name="connsiteY1348" fmla="*/ 896707 h 1308087"/>
              <a:gd name="connsiteX1349" fmla="*/ 1106868 w 2280745"/>
              <a:gd name="connsiteY1349" fmla="*/ 945537 h 1308087"/>
              <a:gd name="connsiteX1350" fmla="*/ 1115514 w 2280745"/>
              <a:gd name="connsiteY1350" fmla="*/ 953066 h 1308087"/>
              <a:gd name="connsiteX1351" fmla="*/ 1117619 w 2280745"/>
              <a:gd name="connsiteY1351" fmla="*/ 953066 h 1308087"/>
              <a:gd name="connsiteX1352" fmla="*/ 1126264 w 2280745"/>
              <a:gd name="connsiteY1352" fmla="*/ 945537 h 1308087"/>
              <a:gd name="connsiteX1353" fmla="*/ 1126264 w 2280745"/>
              <a:gd name="connsiteY1353" fmla="*/ 896707 h 1308087"/>
              <a:gd name="connsiteX1354" fmla="*/ 1126264 w 2280745"/>
              <a:gd name="connsiteY1354" fmla="*/ 890094 h 1308087"/>
              <a:gd name="connsiteX1355" fmla="*/ 1126264 w 2280745"/>
              <a:gd name="connsiteY1355" fmla="*/ 872102 h 1308087"/>
              <a:gd name="connsiteX1356" fmla="*/ 1131115 w 2280745"/>
              <a:gd name="connsiteY1356" fmla="*/ 887865 h 1308087"/>
              <a:gd name="connsiteX1357" fmla="*/ 1141704 w 2280745"/>
              <a:gd name="connsiteY1357" fmla="*/ 893188 h 1308087"/>
              <a:gd name="connsiteX1358" fmla="*/ 1143738 w 2280745"/>
              <a:gd name="connsiteY1358" fmla="*/ 892712 h 1308087"/>
              <a:gd name="connsiteX1359" fmla="*/ 1149853 w 2280745"/>
              <a:gd name="connsiteY1359" fmla="*/ 883493 h 1308087"/>
              <a:gd name="connsiteX1360" fmla="*/ 1133370 w 2280745"/>
              <a:gd name="connsiteY1360" fmla="*/ 829938 h 1308087"/>
              <a:gd name="connsiteX1361" fmla="*/ 1130693 w 2280745"/>
              <a:gd name="connsiteY1361" fmla="*/ 826205 h 1308087"/>
              <a:gd name="connsiteX1362" fmla="*/ 1126264 w 2280745"/>
              <a:gd name="connsiteY1362" fmla="*/ 824451 h 1308087"/>
              <a:gd name="connsiteX1363" fmla="*/ 1126264 w 2280745"/>
              <a:gd name="connsiteY1363" fmla="*/ 824238 h 1308087"/>
              <a:gd name="connsiteX1364" fmla="*/ 1080030 w 2280745"/>
              <a:gd name="connsiteY1364" fmla="*/ 824238 h 1308087"/>
              <a:gd name="connsiteX1365" fmla="*/ 1280022 w 2280745"/>
              <a:gd name="connsiteY1365" fmla="*/ 824238 h 1308087"/>
              <a:gd name="connsiteX1366" fmla="*/ 1280022 w 2280745"/>
              <a:gd name="connsiteY1366" fmla="*/ 824463 h 1308087"/>
              <a:gd name="connsiteX1367" fmla="*/ 1279405 w 2280745"/>
              <a:gd name="connsiteY1367" fmla="*/ 824428 h 1308087"/>
              <a:gd name="connsiteX1368" fmla="*/ 1272241 w 2280745"/>
              <a:gd name="connsiteY1368" fmla="*/ 829938 h 1308087"/>
              <a:gd name="connsiteX1369" fmla="*/ 1255760 w 2280745"/>
              <a:gd name="connsiteY1369" fmla="*/ 883493 h 1308087"/>
              <a:gd name="connsiteX1370" fmla="*/ 1261874 w 2280745"/>
              <a:gd name="connsiteY1370" fmla="*/ 892712 h 1308087"/>
              <a:gd name="connsiteX1371" fmla="*/ 1263907 w 2280745"/>
              <a:gd name="connsiteY1371" fmla="*/ 893188 h 1308087"/>
              <a:gd name="connsiteX1372" fmla="*/ 1274496 w 2280745"/>
              <a:gd name="connsiteY1372" fmla="*/ 887865 h 1308087"/>
              <a:gd name="connsiteX1373" fmla="*/ 1280022 w 2280745"/>
              <a:gd name="connsiteY1373" fmla="*/ 869910 h 1308087"/>
              <a:gd name="connsiteX1374" fmla="*/ 1280022 w 2280745"/>
              <a:gd name="connsiteY1374" fmla="*/ 890094 h 1308087"/>
              <a:gd name="connsiteX1375" fmla="*/ 1280022 w 2280745"/>
              <a:gd name="connsiteY1375" fmla="*/ 896707 h 1308087"/>
              <a:gd name="connsiteX1376" fmla="*/ 1280022 w 2280745"/>
              <a:gd name="connsiteY1376" fmla="*/ 945537 h 1308087"/>
              <a:gd name="connsiteX1377" fmla="*/ 1288667 w 2280745"/>
              <a:gd name="connsiteY1377" fmla="*/ 953066 h 1308087"/>
              <a:gd name="connsiteX1378" fmla="*/ 1290773 w 2280745"/>
              <a:gd name="connsiteY1378" fmla="*/ 953066 h 1308087"/>
              <a:gd name="connsiteX1379" fmla="*/ 1299419 w 2280745"/>
              <a:gd name="connsiteY1379" fmla="*/ 945537 h 1308087"/>
              <a:gd name="connsiteX1380" fmla="*/ 1299419 w 2280745"/>
              <a:gd name="connsiteY1380" fmla="*/ 896707 h 1308087"/>
              <a:gd name="connsiteX1381" fmla="*/ 1306860 w 2280745"/>
              <a:gd name="connsiteY1381" fmla="*/ 896707 h 1308087"/>
              <a:gd name="connsiteX1382" fmla="*/ 1306860 w 2280745"/>
              <a:gd name="connsiteY1382" fmla="*/ 945537 h 1308087"/>
              <a:gd name="connsiteX1383" fmla="*/ 1315506 w 2280745"/>
              <a:gd name="connsiteY1383" fmla="*/ 953066 h 1308087"/>
              <a:gd name="connsiteX1384" fmla="*/ 1317610 w 2280745"/>
              <a:gd name="connsiteY1384" fmla="*/ 953066 h 1308087"/>
              <a:gd name="connsiteX1385" fmla="*/ 1326256 w 2280745"/>
              <a:gd name="connsiteY1385" fmla="*/ 945537 h 1308087"/>
              <a:gd name="connsiteX1386" fmla="*/ 1326256 w 2280745"/>
              <a:gd name="connsiteY1386" fmla="*/ 896707 h 1308087"/>
              <a:gd name="connsiteX1387" fmla="*/ 1326256 w 2280745"/>
              <a:gd name="connsiteY1387" fmla="*/ 890094 h 1308087"/>
              <a:gd name="connsiteX1388" fmla="*/ 1326256 w 2280745"/>
              <a:gd name="connsiteY1388" fmla="*/ 872102 h 1308087"/>
              <a:gd name="connsiteX1389" fmla="*/ 1331108 w 2280745"/>
              <a:gd name="connsiteY1389" fmla="*/ 887865 h 1308087"/>
              <a:gd name="connsiteX1390" fmla="*/ 1341696 w 2280745"/>
              <a:gd name="connsiteY1390" fmla="*/ 893188 h 1308087"/>
              <a:gd name="connsiteX1391" fmla="*/ 1343730 w 2280745"/>
              <a:gd name="connsiteY1391" fmla="*/ 892712 h 1308087"/>
              <a:gd name="connsiteX1392" fmla="*/ 1349844 w 2280745"/>
              <a:gd name="connsiteY1392" fmla="*/ 883493 h 1308087"/>
              <a:gd name="connsiteX1393" fmla="*/ 1333361 w 2280745"/>
              <a:gd name="connsiteY1393" fmla="*/ 829938 h 1308087"/>
              <a:gd name="connsiteX1394" fmla="*/ 1330685 w 2280745"/>
              <a:gd name="connsiteY1394" fmla="*/ 826205 h 1308087"/>
              <a:gd name="connsiteX1395" fmla="*/ 1326256 w 2280745"/>
              <a:gd name="connsiteY1395" fmla="*/ 824451 h 1308087"/>
              <a:gd name="connsiteX1396" fmla="*/ 1326256 w 2280745"/>
              <a:gd name="connsiteY1396" fmla="*/ 824238 h 1308087"/>
              <a:gd name="connsiteX1397" fmla="*/ 1280022 w 2280745"/>
              <a:gd name="connsiteY1397" fmla="*/ 824238 h 1308087"/>
              <a:gd name="connsiteX1398" fmla="*/ 1482314 w 2280745"/>
              <a:gd name="connsiteY1398" fmla="*/ 824238 h 1308087"/>
              <a:gd name="connsiteX1399" fmla="*/ 1482314 w 2280745"/>
              <a:gd name="connsiteY1399" fmla="*/ 824463 h 1308087"/>
              <a:gd name="connsiteX1400" fmla="*/ 1481697 w 2280745"/>
              <a:gd name="connsiteY1400" fmla="*/ 824428 h 1308087"/>
              <a:gd name="connsiteX1401" fmla="*/ 1474533 w 2280745"/>
              <a:gd name="connsiteY1401" fmla="*/ 829938 h 1308087"/>
              <a:gd name="connsiteX1402" fmla="*/ 1458052 w 2280745"/>
              <a:gd name="connsiteY1402" fmla="*/ 883493 h 1308087"/>
              <a:gd name="connsiteX1403" fmla="*/ 1464166 w 2280745"/>
              <a:gd name="connsiteY1403" fmla="*/ 892712 h 1308087"/>
              <a:gd name="connsiteX1404" fmla="*/ 1466199 w 2280745"/>
              <a:gd name="connsiteY1404" fmla="*/ 893188 h 1308087"/>
              <a:gd name="connsiteX1405" fmla="*/ 1476788 w 2280745"/>
              <a:gd name="connsiteY1405" fmla="*/ 887865 h 1308087"/>
              <a:gd name="connsiteX1406" fmla="*/ 1482314 w 2280745"/>
              <a:gd name="connsiteY1406" fmla="*/ 869910 h 1308087"/>
              <a:gd name="connsiteX1407" fmla="*/ 1482314 w 2280745"/>
              <a:gd name="connsiteY1407" fmla="*/ 890094 h 1308087"/>
              <a:gd name="connsiteX1408" fmla="*/ 1482314 w 2280745"/>
              <a:gd name="connsiteY1408" fmla="*/ 896707 h 1308087"/>
              <a:gd name="connsiteX1409" fmla="*/ 1482314 w 2280745"/>
              <a:gd name="connsiteY1409" fmla="*/ 945537 h 1308087"/>
              <a:gd name="connsiteX1410" fmla="*/ 1490960 w 2280745"/>
              <a:gd name="connsiteY1410" fmla="*/ 953066 h 1308087"/>
              <a:gd name="connsiteX1411" fmla="*/ 1493064 w 2280745"/>
              <a:gd name="connsiteY1411" fmla="*/ 953066 h 1308087"/>
              <a:gd name="connsiteX1412" fmla="*/ 1501710 w 2280745"/>
              <a:gd name="connsiteY1412" fmla="*/ 945537 h 1308087"/>
              <a:gd name="connsiteX1413" fmla="*/ 1501710 w 2280745"/>
              <a:gd name="connsiteY1413" fmla="*/ 896707 h 1308087"/>
              <a:gd name="connsiteX1414" fmla="*/ 1509153 w 2280745"/>
              <a:gd name="connsiteY1414" fmla="*/ 896707 h 1308087"/>
              <a:gd name="connsiteX1415" fmla="*/ 1509153 w 2280745"/>
              <a:gd name="connsiteY1415" fmla="*/ 945537 h 1308087"/>
              <a:gd name="connsiteX1416" fmla="*/ 1517799 w 2280745"/>
              <a:gd name="connsiteY1416" fmla="*/ 953066 h 1308087"/>
              <a:gd name="connsiteX1417" fmla="*/ 1519903 w 2280745"/>
              <a:gd name="connsiteY1417" fmla="*/ 953066 h 1308087"/>
              <a:gd name="connsiteX1418" fmla="*/ 1528549 w 2280745"/>
              <a:gd name="connsiteY1418" fmla="*/ 945537 h 1308087"/>
              <a:gd name="connsiteX1419" fmla="*/ 1528549 w 2280745"/>
              <a:gd name="connsiteY1419" fmla="*/ 896707 h 1308087"/>
              <a:gd name="connsiteX1420" fmla="*/ 1528549 w 2280745"/>
              <a:gd name="connsiteY1420" fmla="*/ 890094 h 1308087"/>
              <a:gd name="connsiteX1421" fmla="*/ 1528549 w 2280745"/>
              <a:gd name="connsiteY1421" fmla="*/ 872102 h 1308087"/>
              <a:gd name="connsiteX1422" fmla="*/ 1533400 w 2280745"/>
              <a:gd name="connsiteY1422" fmla="*/ 887865 h 1308087"/>
              <a:gd name="connsiteX1423" fmla="*/ 1543989 w 2280745"/>
              <a:gd name="connsiteY1423" fmla="*/ 893188 h 1308087"/>
              <a:gd name="connsiteX1424" fmla="*/ 1546022 w 2280745"/>
              <a:gd name="connsiteY1424" fmla="*/ 892712 h 1308087"/>
              <a:gd name="connsiteX1425" fmla="*/ 1552136 w 2280745"/>
              <a:gd name="connsiteY1425" fmla="*/ 883493 h 1308087"/>
              <a:gd name="connsiteX1426" fmla="*/ 1535655 w 2280745"/>
              <a:gd name="connsiteY1426" fmla="*/ 829938 h 1308087"/>
              <a:gd name="connsiteX1427" fmla="*/ 1532977 w 2280745"/>
              <a:gd name="connsiteY1427" fmla="*/ 826205 h 1308087"/>
              <a:gd name="connsiteX1428" fmla="*/ 1528549 w 2280745"/>
              <a:gd name="connsiteY1428" fmla="*/ 824451 h 1308087"/>
              <a:gd name="connsiteX1429" fmla="*/ 1528549 w 2280745"/>
              <a:gd name="connsiteY1429" fmla="*/ 824238 h 1308087"/>
              <a:gd name="connsiteX1430" fmla="*/ 1482314 w 2280745"/>
              <a:gd name="connsiteY1430" fmla="*/ 824238 h 1308087"/>
              <a:gd name="connsiteX1431" fmla="*/ 1679477 w 2280745"/>
              <a:gd name="connsiteY1431" fmla="*/ 824238 h 1308087"/>
              <a:gd name="connsiteX1432" fmla="*/ 1679477 w 2280745"/>
              <a:gd name="connsiteY1432" fmla="*/ 824463 h 1308087"/>
              <a:gd name="connsiteX1433" fmla="*/ 1678860 w 2280745"/>
              <a:gd name="connsiteY1433" fmla="*/ 824428 h 1308087"/>
              <a:gd name="connsiteX1434" fmla="*/ 1671696 w 2280745"/>
              <a:gd name="connsiteY1434" fmla="*/ 829938 h 1308087"/>
              <a:gd name="connsiteX1435" fmla="*/ 1655215 w 2280745"/>
              <a:gd name="connsiteY1435" fmla="*/ 883493 h 1308087"/>
              <a:gd name="connsiteX1436" fmla="*/ 1661328 w 2280745"/>
              <a:gd name="connsiteY1436" fmla="*/ 892712 h 1308087"/>
              <a:gd name="connsiteX1437" fmla="*/ 1663362 w 2280745"/>
              <a:gd name="connsiteY1437" fmla="*/ 893188 h 1308087"/>
              <a:gd name="connsiteX1438" fmla="*/ 1673951 w 2280745"/>
              <a:gd name="connsiteY1438" fmla="*/ 887865 h 1308087"/>
              <a:gd name="connsiteX1439" fmla="*/ 1679477 w 2280745"/>
              <a:gd name="connsiteY1439" fmla="*/ 869910 h 1308087"/>
              <a:gd name="connsiteX1440" fmla="*/ 1679477 w 2280745"/>
              <a:gd name="connsiteY1440" fmla="*/ 890094 h 1308087"/>
              <a:gd name="connsiteX1441" fmla="*/ 1679477 w 2280745"/>
              <a:gd name="connsiteY1441" fmla="*/ 896707 h 1308087"/>
              <a:gd name="connsiteX1442" fmla="*/ 1679477 w 2280745"/>
              <a:gd name="connsiteY1442" fmla="*/ 945537 h 1308087"/>
              <a:gd name="connsiteX1443" fmla="*/ 1688123 w 2280745"/>
              <a:gd name="connsiteY1443" fmla="*/ 953066 h 1308087"/>
              <a:gd name="connsiteX1444" fmla="*/ 1690227 w 2280745"/>
              <a:gd name="connsiteY1444" fmla="*/ 953066 h 1308087"/>
              <a:gd name="connsiteX1445" fmla="*/ 1698873 w 2280745"/>
              <a:gd name="connsiteY1445" fmla="*/ 945537 h 1308087"/>
              <a:gd name="connsiteX1446" fmla="*/ 1698873 w 2280745"/>
              <a:gd name="connsiteY1446" fmla="*/ 896707 h 1308087"/>
              <a:gd name="connsiteX1447" fmla="*/ 1706314 w 2280745"/>
              <a:gd name="connsiteY1447" fmla="*/ 896707 h 1308087"/>
              <a:gd name="connsiteX1448" fmla="*/ 1706314 w 2280745"/>
              <a:gd name="connsiteY1448" fmla="*/ 945537 h 1308087"/>
              <a:gd name="connsiteX1449" fmla="*/ 1714961 w 2280745"/>
              <a:gd name="connsiteY1449" fmla="*/ 953066 h 1308087"/>
              <a:gd name="connsiteX1450" fmla="*/ 1717066 w 2280745"/>
              <a:gd name="connsiteY1450" fmla="*/ 953066 h 1308087"/>
              <a:gd name="connsiteX1451" fmla="*/ 1725712 w 2280745"/>
              <a:gd name="connsiteY1451" fmla="*/ 945537 h 1308087"/>
              <a:gd name="connsiteX1452" fmla="*/ 1725712 w 2280745"/>
              <a:gd name="connsiteY1452" fmla="*/ 896707 h 1308087"/>
              <a:gd name="connsiteX1453" fmla="*/ 1725712 w 2280745"/>
              <a:gd name="connsiteY1453" fmla="*/ 890094 h 1308087"/>
              <a:gd name="connsiteX1454" fmla="*/ 1725712 w 2280745"/>
              <a:gd name="connsiteY1454" fmla="*/ 872102 h 1308087"/>
              <a:gd name="connsiteX1455" fmla="*/ 1730563 w 2280745"/>
              <a:gd name="connsiteY1455" fmla="*/ 887865 h 1308087"/>
              <a:gd name="connsiteX1456" fmla="*/ 1741152 w 2280745"/>
              <a:gd name="connsiteY1456" fmla="*/ 893188 h 1308087"/>
              <a:gd name="connsiteX1457" fmla="*/ 1743185 w 2280745"/>
              <a:gd name="connsiteY1457" fmla="*/ 892712 h 1308087"/>
              <a:gd name="connsiteX1458" fmla="*/ 1749299 w 2280745"/>
              <a:gd name="connsiteY1458" fmla="*/ 883493 h 1308087"/>
              <a:gd name="connsiteX1459" fmla="*/ 1732817 w 2280745"/>
              <a:gd name="connsiteY1459" fmla="*/ 829938 h 1308087"/>
              <a:gd name="connsiteX1460" fmla="*/ 1730140 w 2280745"/>
              <a:gd name="connsiteY1460" fmla="*/ 826205 h 1308087"/>
              <a:gd name="connsiteX1461" fmla="*/ 1725712 w 2280745"/>
              <a:gd name="connsiteY1461" fmla="*/ 824451 h 1308087"/>
              <a:gd name="connsiteX1462" fmla="*/ 1725712 w 2280745"/>
              <a:gd name="connsiteY1462" fmla="*/ 824238 h 1308087"/>
              <a:gd name="connsiteX1463" fmla="*/ 1679477 w 2280745"/>
              <a:gd name="connsiteY1463" fmla="*/ 824238 h 1308087"/>
              <a:gd name="connsiteX1464" fmla="*/ 1882298 w 2280745"/>
              <a:gd name="connsiteY1464" fmla="*/ 824238 h 1308087"/>
              <a:gd name="connsiteX1465" fmla="*/ 1882298 w 2280745"/>
              <a:gd name="connsiteY1465" fmla="*/ 824463 h 1308087"/>
              <a:gd name="connsiteX1466" fmla="*/ 1881681 w 2280745"/>
              <a:gd name="connsiteY1466" fmla="*/ 824428 h 1308087"/>
              <a:gd name="connsiteX1467" fmla="*/ 1874518 w 2280745"/>
              <a:gd name="connsiteY1467" fmla="*/ 829938 h 1308087"/>
              <a:gd name="connsiteX1468" fmla="*/ 1858037 w 2280745"/>
              <a:gd name="connsiteY1468" fmla="*/ 883493 h 1308087"/>
              <a:gd name="connsiteX1469" fmla="*/ 1864152 w 2280745"/>
              <a:gd name="connsiteY1469" fmla="*/ 892712 h 1308087"/>
              <a:gd name="connsiteX1470" fmla="*/ 1866184 w 2280745"/>
              <a:gd name="connsiteY1470" fmla="*/ 893188 h 1308087"/>
              <a:gd name="connsiteX1471" fmla="*/ 1876773 w 2280745"/>
              <a:gd name="connsiteY1471" fmla="*/ 887865 h 1308087"/>
              <a:gd name="connsiteX1472" fmla="*/ 1882298 w 2280745"/>
              <a:gd name="connsiteY1472" fmla="*/ 869910 h 1308087"/>
              <a:gd name="connsiteX1473" fmla="*/ 1882298 w 2280745"/>
              <a:gd name="connsiteY1473" fmla="*/ 890094 h 1308087"/>
              <a:gd name="connsiteX1474" fmla="*/ 1882298 w 2280745"/>
              <a:gd name="connsiteY1474" fmla="*/ 896707 h 1308087"/>
              <a:gd name="connsiteX1475" fmla="*/ 1882298 w 2280745"/>
              <a:gd name="connsiteY1475" fmla="*/ 945537 h 1308087"/>
              <a:gd name="connsiteX1476" fmla="*/ 1890944 w 2280745"/>
              <a:gd name="connsiteY1476" fmla="*/ 953066 h 1308087"/>
              <a:gd name="connsiteX1477" fmla="*/ 1893050 w 2280745"/>
              <a:gd name="connsiteY1477" fmla="*/ 953066 h 1308087"/>
              <a:gd name="connsiteX1478" fmla="*/ 1901696 w 2280745"/>
              <a:gd name="connsiteY1478" fmla="*/ 945537 h 1308087"/>
              <a:gd name="connsiteX1479" fmla="*/ 1901696 w 2280745"/>
              <a:gd name="connsiteY1479" fmla="*/ 896707 h 1308087"/>
              <a:gd name="connsiteX1480" fmla="*/ 1909138 w 2280745"/>
              <a:gd name="connsiteY1480" fmla="*/ 896707 h 1308087"/>
              <a:gd name="connsiteX1481" fmla="*/ 1909138 w 2280745"/>
              <a:gd name="connsiteY1481" fmla="*/ 945537 h 1308087"/>
              <a:gd name="connsiteX1482" fmla="*/ 1917783 w 2280745"/>
              <a:gd name="connsiteY1482" fmla="*/ 953066 h 1308087"/>
              <a:gd name="connsiteX1483" fmla="*/ 1919889 w 2280745"/>
              <a:gd name="connsiteY1483" fmla="*/ 953066 h 1308087"/>
              <a:gd name="connsiteX1484" fmla="*/ 1928535 w 2280745"/>
              <a:gd name="connsiteY1484" fmla="*/ 945537 h 1308087"/>
              <a:gd name="connsiteX1485" fmla="*/ 1928535 w 2280745"/>
              <a:gd name="connsiteY1485" fmla="*/ 896707 h 1308087"/>
              <a:gd name="connsiteX1486" fmla="*/ 1928535 w 2280745"/>
              <a:gd name="connsiteY1486" fmla="*/ 890094 h 1308087"/>
              <a:gd name="connsiteX1487" fmla="*/ 1928535 w 2280745"/>
              <a:gd name="connsiteY1487" fmla="*/ 872102 h 1308087"/>
              <a:gd name="connsiteX1488" fmla="*/ 1933385 w 2280745"/>
              <a:gd name="connsiteY1488" fmla="*/ 887865 h 1308087"/>
              <a:gd name="connsiteX1489" fmla="*/ 1943974 w 2280745"/>
              <a:gd name="connsiteY1489" fmla="*/ 893188 h 1308087"/>
              <a:gd name="connsiteX1490" fmla="*/ 1946009 w 2280745"/>
              <a:gd name="connsiteY1490" fmla="*/ 892712 h 1308087"/>
              <a:gd name="connsiteX1491" fmla="*/ 1952121 w 2280745"/>
              <a:gd name="connsiteY1491" fmla="*/ 883493 h 1308087"/>
              <a:gd name="connsiteX1492" fmla="*/ 1935640 w 2280745"/>
              <a:gd name="connsiteY1492" fmla="*/ 829938 h 1308087"/>
              <a:gd name="connsiteX1493" fmla="*/ 1932962 w 2280745"/>
              <a:gd name="connsiteY1493" fmla="*/ 826205 h 1308087"/>
              <a:gd name="connsiteX1494" fmla="*/ 1928535 w 2280745"/>
              <a:gd name="connsiteY1494" fmla="*/ 824451 h 1308087"/>
              <a:gd name="connsiteX1495" fmla="*/ 1928535 w 2280745"/>
              <a:gd name="connsiteY1495" fmla="*/ 824238 h 1308087"/>
              <a:gd name="connsiteX1496" fmla="*/ 1882298 w 2280745"/>
              <a:gd name="connsiteY1496" fmla="*/ 824238 h 1308087"/>
              <a:gd name="connsiteX1497" fmla="*/ 2081622 w 2280745"/>
              <a:gd name="connsiteY1497" fmla="*/ 824238 h 1308087"/>
              <a:gd name="connsiteX1498" fmla="*/ 2081622 w 2280745"/>
              <a:gd name="connsiteY1498" fmla="*/ 824463 h 1308087"/>
              <a:gd name="connsiteX1499" fmla="*/ 2081004 w 2280745"/>
              <a:gd name="connsiteY1499" fmla="*/ 824428 h 1308087"/>
              <a:gd name="connsiteX1500" fmla="*/ 2073841 w 2280745"/>
              <a:gd name="connsiteY1500" fmla="*/ 829938 h 1308087"/>
              <a:gd name="connsiteX1501" fmla="*/ 2057362 w 2280745"/>
              <a:gd name="connsiteY1501" fmla="*/ 883493 h 1308087"/>
              <a:gd name="connsiteX1502" fmla="*/ 2063474 w 2280745"/>
              <a:gd name="connsiteY1502" fmla="*/ 892712 h 1308087"/>
              <a:gd name="connsiteX1503" fmla="*/ 2065507 w 2280745"/>
              <a:gd name="connsiteY1503" fmla="*/ 893188 h 1308087"/>
              <a:gd name="connsiteX1504" fmla="*/ 2076097 w 2280745"/>
              <a:gd name="connsiteY1504" fmla="*/ 887865 h 1308087"/>
              <a:gd name="connsiteX1505" fmla="*/ 2081622 w 2280745"/>
              <a:gd name="connsiteY1505" fmla="*/ 869910 h 1308087"/>
              <a:gd name="connsiteX1506" fmla="*/ 2081622 w 2280745"/>
              <a:gd name="connsiteY1506" fmla="*/ 890094 h 1308087"/>
              <a:gd name="connsiteX1507" fmla="*/ 2081622 w 2280745"/>
              <a:gd name="connsiteY1507" fmla="*/ 896707 h 1308087"/>
              <a:gd name="connsiteX1508" fmla="*/ 2081622 w 2280745"/>
              <a:gd name="connsiteY1508" fmla="*/ 945537 h 1308087"/>
              <a:gd name="connsiteX1509" fmla="*/ 2090268 w 2280745"/>
              <a:gd name="connsiteY1509" fmla="*/ 953066 h 1308087"/>
              <a:gd name="connsiteX1510" fmla="*/ 2092373 w 2280745"/>
              <a:gd name="connsiteY1510" fmla="*/ 953066 h 1308087"/>
              <a:gd name="connsiteX1511" fmla="*/ 2101019 w 2280745"/>
              <a:gd name="connsiteY1511" fmla="*/ 945537 h 1308087"/>
              <a:gd name="connsiteX1512" fmla="*/ 2101019 w 2280745"/>
              <a:gd name="connsiteY1512" fmla="*/ 896707 h 1308087"/>
              <a:gd name="connsiteX1513" fmla="*/ 2108461 w 2280745"/>
              <a:gd name="connsiteY1513" fmla="*/ 896707 h 1308087"/>
              <a:gd name="connsiteX1514" fmla="*/ 2108461 w 2280745"/>
              <a:gd name="connsiteY1514" fmla="*/ 945537 h 1308087"/>
              <a:gd name="connsiteX1515" fmla="*/ 2117107 w 2280745"/>
              <a:gd name="connsiteY1515" fmla="*/ 953066 h 1308087"/>
              <a:gd name="connsiteX1516" fmla="*/ 2119212 w 2280745"/>
              <a:gd name="connsiteY1516" fmla="*/ 953066 h 1308087"/>
              <a:gd name="connsiteX1517" fmla="*/ 2127858 w 2280745"/>
              <a:gd name="connsiteY1517" fmla="*/ 945537 h 1308087"/>
              <a:gd name="connsiteX1518" fmla="*/ 2127858 w 2280745"/>
              <a:gd name="connsiteY1518" fmla="*/ 896707 h 1308087"/>
              <a:gd name="connsiteX1519" fmla="*/ 2127858 w 2280745"/>
              <a:gd name="connsiteY1519" fmla="*/ 890094 h 1308087"/>
              <a:gd name="connsiteX1520" fmla="*/ 2127858 w 2280745"/>
              <a:gd name="connsiteY1520" fmla="*/ 872102 h 1308087"/>
              <a:gd name="connsiteX1521" fmla="*/ 2132707 w 2280745"/>
              <a:gd name="connsiteY1521" fmla="*/ 887865 h 1308087"/>
              <a:gd name="connsiteX1522" fmla="*/ 2143298 w 2280745"/>
              <a:gd name="connsiteY1522" fmla="*/ 893188 h 1308087"/>
              <a:gd name="connsiteX1523" fmla="*/ 2145331 w 2280745"/>
              <a:gd name="connsiteY1523" fmla="*/ 892712 h 1308087"/>
              <a:gd name="connsiteX1524" fmla="*/ 2151445 w 2280745"/>
              <a:gd name="connsiteY1524" fmla="*/ 883493 h 1308087"/>
              <a:gd name="connsiteX1525" fmla="*/ 2134963 w 2280745"/>
              <a:gd name="connsiteY1525" fmla="*/ 829938 h 1308087"/>
              <a:gd name="connsiteX1526" fmla="*/ 2132286 w 2280745"/>
              <a:gd name="connsiteY1526" fmla="*/ 826205 h 1308087"/>
              <a:gd name="connsiteX1527" fmla="*/ 2127858 w 2280745"/>
              <a:gd name="connsiteY1527" fmla="*/ 824451 h 1308087"/>
              <a:gd name="connsiteX1528" fmla="*/ 2127858 w 2280745"/>
              <a:gd name="connsiteY1528" fmla="*/ 824238 h 1308087"/>
              <a:gd name="connsiteX1529" fmla="*/ 2081622 w 2280745"/>
              <a:gd name="connsiteY1529" fmla="*/ 824238 h 1308087"/>
              <a:gd name="connsiteX1530" fmla="*/ 303668 w 2280745"/>
              <a:gd name="connsiteY1530" fmla="*/ 1023606 h 1308087"/>
              <a:gd name="connsiteX1531" fmla="*/ 284721 w 2280745"/>
              <a:gd name="connsiteY1531" fmla="*/ 1040102 h 1308087"/>
              <a:gd name="connsiteX1532" fmla="*/ 303668 w 2280745"/>
              <a:gd name="connsiteY1532" fmla="*/ 1056599 h 1308087"/>
              <a:gd name="connsiteX1533" fmla="*/ 322614 w 2280745"/>
              <a:gd name="connsiteY1533" fmla="*/ 1040102 h 1308087"/>
              <a:gd name="connsiteX1534" fmla="*/ 303668 w 2280745"/>
              <a:gd name="connsiteY1534" fmla="*/ 1023606 h 1308087"/>
              <a:gd name="connsiteX1535" fmla="*/ 503662 w 2280745"/>
              <a:gd name="connsiteY1535" fmla="*/ 1023606 h 1308087"/>
              <a:gd name="connsiteX1536" fmla="*/ 484717 w 2280745"/>
              <a:gd name="connsiteY1536" fmla="*/ 1040102 h 1308087"/>
              <a:gd name="connsiteX1537" fmla="*/ 503662 w 2280745"/>
              <a:gd name="connsiteY1537" fmla="*/ 1056599 h 1308087"/>
              <a:gd name="connsiteX1538" fmla="*/ 522607 w 2280745"/>
              <a:gd name="connsiteY1538" fmla="*/ 1040102 h 1308087"/>
              <a:gd name="connsiteX1539" fmla="*/ 503662 w 2280745"/>
              <a:gd name="connsiteY1539" fmla="*/ 1023606 h 1308087"/>
              <a:gd name="connsiteX1540" fmla="*/ 703653 w 2280745"/>
              <a:gd name="connsiteY1540" fmla="*/ 1023606 h 1308087"/>
              <a:gd name="connsiteX1541" fmla="*/ 684709 w 2280745"/>
              <a:gd name="connsiteY1541" fmla="*/ 1040102 h 1308087"/>
              <a:gd name="connsiteX1542" fmla="*/ 703653 w 2280745"/>
              <a:gd name="connsiteY1542" fmla="*/ 1056599 h 1308087"/>
              <a:gd name="connsiteX1543" fmla="*/ 722600 w 2280745"/>
              <a:gd name="connsiteY1543" fmla="*/ 1040102 h 1308087"/>
              <a:gd name="connsiteX1544" fmla="*/ 703653 w 2280745"/>
              <a:gd name="connsiteY1544" fmla="*/ 1023606 h 1308087"/>
              <a:gd name="connsiteX1545" fmla="*/ 903646 w 2280745"/>
              <a:gd name="connsiteY1545" fmla="*/ 1023606 h 1308087"/>
              <a:gd name="connsiteX1546" fmla="*/ 884701 w 2280745"/>
              <a:gd name="connsiteY1546" fmla="*/ 1040102 h 1308087"/>
              <a:gd name="connsiteX1547" fmla="*/ 903646 w 2280745"/>
              <a:gd name="connsiteY1547" fmla="*/ 1056599 h 1308087"/>
              <a:gd name="connsiteX1548" fmla="*/ 922591 w 2280745"/>
              <a:gd name="connsiteY1548" fmla="*/ 1040102 h 1308087"/>
              <a:gd name="connsiteX1549" fmla="*/ 903646 w 2280745"/>
              <a:gd name="connsiteY1549" fmla="*/ 1023606 h 1308087"/>
              <a:gd name="connsiteX1550" fmla="*/ 1103638 w 2280745"/>
              <a:gd name="connsiteY1550" fmla="*/ 1023606 h 1308087"/>
              <a:gd name="connsiteX1551" fmla="*/ 1084694 w 2280745"/>
              <a:gd name="connsiteY1551" fmla="*/ 1040102 h 1308087"/>
              <a:gd name="connsiteX1552" fmla="*/ 1103638 w 2280745"/>
              <a:gd name="connsiteY1552" fmla="*/ 1056599 h 1308087"/>
              <a:gd name="connsiteX1553" fmla="*/ 1122584 w 2280745"/>
              <a:gd name="connsiteY1553" fmla="*/ 1040102 h 1308087"/>
              <a:gd name="connsiteX1554" fmla="*/ 1103638 w 2280745"/>
              <a:gd name="connsiteY1554" fmla="*/ 1023606 h 1308087"/>
              <a:gd name="connsiteX1555" fmla="*/ 1303631 w 2280745"/>
              <a:gd name="connsiteY1555" fmla="*/ 1023606 h 1308087"/>
              <a:gd name="connsiteX1556" fmla="*/ 1284685 w 2280745"/>
              <a:gd name="connsiteY1556" fmla="*/ 1040102 h 1308087"/>
              <a:gd name="connsiteX1557" fmla="*/ 1303631 w 2280745"/>
              <a:gd name="connsiteY1557" fmla="*/ 1056599 h 1308087"/>
              <a:gd name="connsiteX1558" fmla="*/ 1322576 w 2280745"/>
              <a:gd name="connsiteY1558" fmla="*/ 1040102 h 1308087"/>
              <a:gd name="connsiteX1559" fmla="*/ 1303631 w 2280745"/>
              <a:gd name="connsiteY1559" fmla="*/ 1023606 h 1308087"/>
              <a:gd name="connsiteX1560" fmla="*/ 1505923 w 2280745"/>
              <a:gd name="connsiteY1560" fmla="*/ 1023606 h 1308087"/>
              <a:gd name="connsiteX1561" fmla="*/ 1486979 w 2280745"/>
              <a:gd name="connsiteY1561" fmla="*/ 1040102 h 1308087"/>
              <a:gd name="connsiteX1562" fmla="*/ 1505923 w 2280745"/>
              <a:gd name="connsiteY1562" fmla="*/ 1056599 h 1308087"/>
              <a:gd name="connsiteX1563" fmla="*/ 1524868 w 2280745"/>
              <a:gd name="connsiteY1563" fmla="*/ 1040102 h 1308087"/>
              <a:gd name="connsiteX1564" fmla="*/ 1505923 w 2280745"/>
              <a:gd name="connsiteY1564" fmla="*/ 1023606 h 1308087"/>
              <a:gd name="connsiteX1565" fmla="*/ 1703085 w 2280745"/>
              <a:gd name="connsiteY1565" fmla="*/ 1023606 h 1308087"/>
              <a:gd name="connsiteX1566" fmla="*/ 1684140 w 2280745"/>
              <a:gd name="connsiteY1566" fmla="*/ 1040102 h 1308087"/>
              <a:gd name="connsiteX1567" fmla="*/ 1703085 w 2280745"/>
              <a:gd name="connsiteY1567" fmla="*/ 1056599 h 1308087"/>
              <a:gd name="connsiteX1568" fmla="*/ 1722031 w 2280745"/>
              <a:gd name="connsiteY1568" fmla="*/ 1040102 h 1308087"/>
              <a:gd name="connsiteX1569" fmla="*/ 1703085 w 2280745"/>
              <a:gd name="connsiteY1569" fmla="*/ 1023606 h 1308087"/>
              <a:gd name="connsiteX1570" fmla="*/ 1905908 w 2280745"/>
              <a:gd name="connsiteY1570" fmla="*/ 1023606 h 1308087"/>
              <a:gd name="connsiteX1571" fmla="*/ 1886962 w 2280745"/>
              <a:gd name="connsiteY1571" fmla="*/ 1040102 h 1308087"/>
              <a:gd name="connsiteX1572" fmla="*/ 1905908 w 2280745"/>
              <a:gd name="connsiteY1572" fmla="*/ 1056599 h 1308087"/>
              <a:gd name="connsiteX1573" fmla="*/ 1924855 w 2280745"/>
              <a:gd name="connsiteY1573" fmla="*/ 1040102 h 1308087"/>
              <a:gd name="connsiteX1574" fmla="*/ 1905908 w 2280745"/>
              <a:gd name="connsiteY1574" fmla="*/ 1023606 h 1308087"/>
              <a:gd name="connsiteX1575" fmla="*/ 2105231 w 2280745"/>
              <a:gd name="connsiteY1575" fmla="*/ 1023606 h 1308087"/>
              <a:gd name="connsiteX1576" fmla="*/ 2086286 w 2280745"/>
              <a:gd name="connsiteY1576" fmla="*/ 1040102 h 1308087"/>
              <a:gd name="connsiteX1577" fmla="*/ 2105231 w 2280745"/>
              <a:gd name="connsiteY1577" fmla="*/ 1056599 h 1308087"/>
              <a:gd name="connsiteX1578" fmla="*/ 2124177 w 2280745"/>
              <a:gd name="connsiteY1578" fmla="*/ 1040102 h 1308087"/>
              <a:gd name="connsiteX1579" fmla="*/ 2105231 w 2280745"/>
              <a:gd name="connsiteY1579" fmla="*/ 1023606 h 1308087"/>
              <a:gd name="connsiteX1580" fmla="*/ 280058 w 2280745"/>
              <a:gd name="connsiteY1580" fmla="*/ 1060264 h 1308087"/>
              <a:gd name="connsiteX1581" fmla="*/ 280058 w 2280745"/>
              <a:gd name="connsiteY1581" fmla="*/ 1060489 h 1308087"/>
              <a:gd name="connsiteX1582" fmla="*/ 279441 w 2280745"/>
              <a:gd name="connsiteY1582" fmla="*/ 1060454 h 1308087"/>
              <a:gd name="connsiteX1583" fmla="*/ 272279 w 2280745"/>
              <a:gd name="connsiteY1583" fmla="*/ 1065964 h 1308087"/>
              <a:gd name="connsiteX1584" fmla="*/ 255797 w 2280745"/>
              <a:gd name="connsiteY1584" fmla="*/ 1119520 h 1308087"/>
              <a:gd name="connsiteX1585" fmla="*/ 261911 w 2280745"/>
              <a:gd name="connsiteY1585" fmla="*/ 1128739 h 1308087"/>
              <a:gd name="connsiteX1586" fmla="*/ 263944 w 2280745"/>
              <a:gd name="connsiteY1586" fmla="*/ 1129214 h 1308087"/>
              <a:gd name="connsiteX1587" fmla="*/ 274533 w 2280745"/>
              <a:gd name="connsiteY1587" fmla="*/ 1123891 h 1308087"/>
              <a:gd name="connsiteX1588" fmla="*/ 280058 w 2280745"/>
              <a:gd name="connsiteY1588" fmla="*/ 1105936 h 1308087"/>
              <a:gd name="connsiteX1589" fmla="*/ 280058 w 2280745"/>
              <a:gd name="connsiteY1589" fmla="*/ 1126120 h 1308087"/>
              <a:gd name="connsiteX1590" fmla="*/ 280058 w 2280745"/>
              <a:gd name="connsiteY1590" fmla="*/ 1132734 h 1308087"/>
              <a:gd name="connsiteX1591" fmla="*/ 280058 w 2280745"/>
              <a:gd name="connsiteY1591" fmla="*/ 1181563 h 1308087"/>
              <a:gd name="connsiteX1592" fmla="*/ 288705 w 2280745"/>
              <a:gd name="connsiteY1592" fmla="*/ 1189092 h 1308087"/>
              <a:gd name="connsiteX1593" fmla="*/ 290809 w 2280745"/>
              <a:gd name="connsiteY1593" fmla="*/ 1189092 h 1308087"/>
              <a:gd name="connsiteX1594" fmla="*/ 299455 w 2280745"/>
              <a:gd name="connsiteY1594" fmla="*/ 1181563 h 1308087"/>
              <a:gd name="connsiteX1595" fmla="*/ 299455 w 2280745"/>
              <a:gd name="connsiteY1595" fmla="*/ 1132734 h 1308087"/>
              <a:gd name="connsiteX1596" fmla="*/ 306898 w 2280745"/>
              <a:gd name="connsiteY1596" fmla="*/ 1132734 h 1308087"/>
              <a:gd name="connsiteX1597" fmla="*/ 306898 w 2280745"/>
              <a:gd name="connsiteY1597" fmla="*/ 1181563 h 1308087"/>
              <a:gd name="connsiteX1598" fmla="*/ 315544 w 2280745"/>
              <a:gd name="connsiteY1598" fmla="*/ 1189092 h 1308087"/>
              <a:gd name="connsiteX1599" fmla="*/ 317649 w 2280745"/>
              <a:gd name="connsiteY1599" fmla="*/ 1189092 h 1308087"/>
              <a:gd name="connsiteX1600" fmla="*/ 326293 w 2280745"/>
              <a:gd name="connsiteY1600" fmla="*/ 1181563 h 1308087"/>
              <a:gd name="connsiteX1601" fmla="*/ 326293 w 2280745"/>
              <a:gd name="connsiteY1601" fmla="*/ 1132734 h 1308087"/>
              <a:gd name="connsiteX1602" fmla="*/ 326293 w 2280745"/>
              <a:gd name="connsiteY1602" fmla="*/ 1126120 h 1308087"/>
              <a:gd name="connsiteX1603" fmla="*/ 326293 w 2280745"/>
              <a:gd name="connsiteY1603" fmla="*/ 1108128 h 1308087"/>
              <a:gd name="connsiteX1604" fmla="*/ 331145 w 2280745"/>
              <a:gd name="connsiteY1604" fmla="*/ 1123891 h 1308087"/>
              <a:gd name="connsiteX1605" fmla="*/ 341734 w 2280745"/>
              <a:gd name="connsiteY1605" fmla="*/ 1129214 h 1308087"/>
              <a:gd name="connsiteX1606" fmla="*/ 343767 w 2280745"/>
              <a:gd name="connsiteY1606" fmla="*/ 1128739 h 1308087"/>
              <a:gd name="connsiteX1607" fmla="*/ 349881 w 2280745"/>
              <a:gd name="connsiteY1607" fmla="*/ 1119520 h 1308087"/>
              <a:gd name="connsiteX1608" fmla="*/ 333400 w 2280745"/>
              <a:gd name="connsiteY1608" fmla="*/ 1065964 h 1308087"/>
              <a:gd name="connsiteX1609" fmla="*/ 330722 w 2280745"/>
              <a:gd name="connsiteY1609" fmla="*/ 1062232 h 1308087"/>
              <a:gd name="connsiteX1610" fmla="*/ 326293 w 2280745"/>
              <a:gd name="connsiteY1610" fmla="*/ 1060477 h 1308087"/>
              <a:gd name="connsiteX1611" fmla="*/ 326293 w 2280745"/>
              <a:gd name="connsiteY1611" fmla="*/ 1060264 h 1308087"/>
              <a:gd name="connsiteX1612" fmla="*/ 280058 w 2280745"/>
              <a:gd name="connsiteY1612" fmla="*/ 1060264 h 1308087"/>
              <a:gd name="connsiteX1613" fmla="*/ 480053 w 2280745"/>
              <a:gd name="connsiteY1613" fmla="*/ 1060264 h 1308087"/>
              <a:gd name="connsiteX1614" fmla="*/ 480053 w 2280745"/>
              <a:gd name="connsiteY1614" fmla="*/ 1060489 h 1308087"/>
              <a:gd name="connsiteX1615" fmla="*/ 479436 w 2280745"/>
              <a:gd name="connsiteY1615" fmla="*/ 1060454 h 1308087"/>
              <a:gd name="connsiteX1616" fmla="*/ 472272 w 2280745"/>
              <a:gd name="connsiteY1616" fmla="*/ 1065964 h 1308087"/>
              <a:gd name="connsiteX1617" fmla="*/ 455791 w 2280745"/>
              <a:gd name="connsiteY1617" fmla="*/ 1119520 h 1308087"/>
              <a:gd name="connsiteX1618" fmla="*/ 461906 w 2280745"/>
              <a:gd name="connsiteY1618" fmla="*/ 1128739 h 1308087"/>
              <a:gd name="connsiteX1619" fmla="*/ 463938 w 2280745"/>
              <a:gd name="connsiteY1619" fmla="*/ 1129214 h 1308087"/>
              <a:gd name="connsiteX1620" fmla="*/ 474527 w 2280745"/>
              <a:gd name="connsiteY1620" fmla="*/ 1123891 h 1308087"/>
              <a:gd name="connsiteX1621" fmla="*/ 480053 w 2280745"/>
              <a:gd name="connsiteY1621" fmla="*/ 1105936 h 1308087"/>
              <a:gd name="connsiteX1622" fmla="*/ 480053 w 2280745"/>
              <a:gd name="connsiteY1622" fmla="*/ 1126120 h 1308087"/>
              <a:gd name="connsiteX1623" fmla="*/ 480053 w 2280745"/>
              <a:gd name="connsiteY1623" fmla="*/ 1132734 h 1308087"/>
              <a:gd name="connsiteX1624" fmla="*/ 480053 w 2280745"/>
              <a:gd name="connsiteY1624" fmla="*/ 1181563 h 1308087"/>
              <a:gd name="connsiteX1625" fmla="*/ 488698 w 2280745"/>
              <a:gd name="connsiteY1625" fmla="*/ 1189092 h 1308087"/>
              <a:gd name="connsiteX1626" fmla="*/ 490804 w 2280745"/>
              <a:gd name="connsiteY1626" fmla="*/ 1189092 h 1308087"/>
              <a:gd name="connsiteX1627" fmla="*/ 499450 w 2280745"/>
              <a:gd name="connsiteY1627" fmla="*/ 1181563 h 1308087"/>
              <a:gd name="connsiteX1628" fmla="*/ 499450 w 2280745"/>
              <a:gd name="connsiteY1628" fmla="*/ 1132734 h 1308087"/>
              <a:gd name="connsiteX1629" fmla="*/ 506892 w 2280745"/>
              <a:gd name="connsiteY1629" fmla="*/ 1132734 h 1308087"/>
              <a:gd name="connsiteX1630" fmla="*/ 506892 w 2280745"/>
              <a:gd name="connsiteY1630" fmla="*/ 1181563 h 1308087"/>
              <a:gd name="connsiteX1631" fmla="*/ 515538 w 2280745"/>
              <a:gd name="connsiteY1631" fmla="*/ 1189092 h 1308087"/>
              <a:gd name="connsiteX1632" fmla="*/ 517643 w 2280745"/>
              <a:gd name="connsiteY1632" fmla="*/ 1189092 h 1308087"/>
              <a:gd name="connsiteX1633" fmla="*/ 526287 w 2280745"/>
              <a:gd name="connsiteY1633" fmla="*/ 1181563 h 1308087"/>
              <a:gd name="connsiteX1634" fmla="*/ 526287 w 2280745"/>
              <a:gd name="connsiteY1634" fmla="*/ 1132734 h 1308087"/>
              <a:gd name="connsiteX1635" fmla="*/ 526287 w 2280745"/>
              <a:gd name="connsiteY1635" fmla="*/ 1126120 h 1308087"/>
              <a:gd name="connsiteX1636" fmla="*/ 526287 w 2280745"/>
              <a:gd name="connsiteY1636" fmla="*/ 1108128 h 1308087"/>
              <a:gd name="connsiteX1637" fmla="*/ 531139 w 2280745"/>
              <a:gd name="connsiteY1637" fmla="*/ 1123891 h 1308087"/>
              <a:gd name="connsiteX1638" fmla="*/ 541727 w 2280745"/>
              <a:gd name="connsiteY1638" fmla="*/ 1129214 h 1308087"/>
              <a:gd name="connsiteX1639" fmla="*/ 543761 w 2280745"/>
              <a:gd name="connsiteY1639" fmla="*/ 1128739 h 1308087"/>
              <a:gd name="connsiteX1640" fmla="*/ 549875 w 2280745"/>
              <a:gd name="connsiteY1640" fmla="*/ 1119520 h 1308087"/>
              <a:gd name="connsiteX1641" fmla="*/ 533394 w 2280745"/>
              <a:gd name="connsiteY1641" fmla="*/ 1065964 h 1308087"/>
              <a:gd name="connsiteX1642" fmla="*/ 530716 w 2280745"/>
              <a:gd name="connsiteY1642" fmla="*/ 1062232 h 1308087"/>
              <a:gd name="connsiteX1643" fmla="*/ 526287 w 2280745"/>
              <a:gd name="connsiteY1643" fmla="*/ 1060477 h 1308087"/>
              <a:gd name="connsiteX1644" fmla="*/ 526287 w 2280745"/>
              <a:gd name="connsiteY1644" fmla="*/ 1060264 h 1308087"/>
              <a:gd name="connsiteX1645" fmla="*/ 480053 w 2280745"/>
              <a:gd name="connsiteY1645" fmla="*/ 1060264 h 1308087"/>
              <a:gd name="connsiteX1646" fmla="*/ 680045 w 2280745"/>
              <a:gd name="connsiteY1646" fmla="*/ 1060264 h 1308087"/>
              <a:gd name="connsiteX1647" fmla="*/ 680045 w 2280745"/>
              <a:gd name="connsiteY1647" fmla="*/ 1060489 h 1308087"/>
              <a:gd name="connsiteX1648" fmla="*/ 679427 w 2280745"/>
              <a:gd name="connsiteY1648" fmla="*/ 1060454 h 1308087"/>
              <a:gd name="connsiteX1649" fmla="*/ 672265 w 2280745"/>
              <a:gd name="connsiteY1649" fmla="*/ 1065964 h 1308087"/>
              <a:gd name="connsiteX1650" fmla="*/ 655783 w 2280745"/>
              <a:gd name="connsiteY1650" fmla="*/ 1119520 h 1308087"/>
              <a:gd name="connsiteX1651" fmla="*/ 661899 w 2280745"/>
              <a:gd name="connsiteY1651" fmla="*/ 1128739 h 1308087"/>
              <a:gd name="connsiteX1652" fmla="*/ 663930 w 2280745"/>
              <a:gd name="connsiteY1652" fmla="*/ 1129214 h 1308087"/>
              <a:gd name="connsiteX1653" fmla="*/ 674518 w 2280745"/>
              <a:gd name="connsiteY1653" fmla="*/ 1123891 h 1308087"/>
              <a:gd name="connsiteX1654" fmla="*/ 680045 w 2280745"/>
              <a:gd name="connsiteY1654" fmla="*/ 1105936 h 1308087"/>
              <a:gd name="connsiteX1655" fmla="*/ 680045 w 2280745"/>
              <a:gd name="connsiteY1655" fmla="*/ 1126120 h 1308087"/>
              <a:gd name="connsiteX1656" fmla="*/ 680045 w 2280745"/>
              <a:gd name="connsiteY1656" fmla="*/ 1132734 h 1308087"/>
              <a:gd name="connsiteX1657" fmla="*/ 680045 w 2280745"/>
              <a:gd name="connsiteY1657" fmla="*/ 1181563 h 1308087"/>
              <a:gd name="connsiteX1658" fmla="*/ 688691 w 2280745"/>
              <a:gd name="connsiteY1658" fmla="*/ 1189092 h 1308087"/>
              <a:gd name="connsiteX1659" fmla="*/ 690797 w 2280745"/>
              <a:gd name="connsiteY1659" fmla="*/ 1189092 h 1308087"/>
              <a:gd name="connsiteX1660" fmla="*/ 699443 w 2280745"/>
              <a:gd name="connsiteY1660" fmla="*/ 1181563 h 1308087"/>
              <a:gd name="connsiteX1661" fmla="*/ 699443 w 2280745"/>
              <a:gd name="connsiteY1661" fmla="*/ 1132734 h 1308087"/>
              <a:gd name="connsiteX1662" fmla="*/ 706884 w 2280745"/>
              <a:gd name="connsiteY1662" fmla="*/ 1132734 h 1308087"/>
              <a:gd name="connsiteX1663" fmla="*/ 706884 w 2280745"/>
              <a:gd name="connsiteY1663" fmla="*/ 1181563 h 1308087"/>
              <a:gd name="connsiteX1664" fmla="*/ 715530 w 2280745"/>
              <a:gd name="connsiteY1664" fmla="*/ 1189092 h 1308087"/>
              <a:gd name="connsiteX1665" fmla="*/ 717635 w 2280745"/>
              <a:gd name="connsiteY1665" fmla="*/ 1189092 h 1308087"/>
              <a:gd name="connsiteX1666" fmla="*/ 726280 w 2280745"/>
              <a:gd name="connsiteY1666" fmla="*/ 1181563 h 1308087"/>
              <a:gd name="connsiteX1667" fmla="*/ 726280 w 2280745"/>
              <a:gd name="connsiteY1667" fmla="*/ 1132734 h 1308087"/>
              <a:gd name="connsiteX1668" fmla="*/ 726280 w 2280745"/>
              <a:gd name="connsiteY1668" fmla="*/ 1126120 h 1308087"/>
              <a:gd name="connsiteX1669" fmla="*/ 726280 w 2280745"/>
              <a:gd name="connsiteY1669" fmla="*/ 1108128 h 1308087"/>
              <a:gd name="connsiteX1670" fmla="*/ 731132 w 2280745"/>
              <a:gd name="connsiteY1670" fmla="*/ 1123891 h 1308087"/>
              <a:gd name="connsiteX1671" fmla="*/ 741720 w 2280745"/>
              <a:gd name="connsiteY1671" fmla="*/ 1129214 h 1308087"/>
              <a:gd name="connsiteX1672" fmla="*/ 743753 w 2280745"/>
              <a:gd name="connsiteY1672" fmla="*/ 1128739 h 1308087"/>
              <a:gd name="connsiteX1673" fmla="*/ 749868 w 2280745"/>
              <a:gd name="connsiteY1673" fmla="*/ 1119520 h 1308087"/>
              <a:gd name="connsiteX1674" fmla="*/ 733385 w 2280745"/>
              <a:gd name="connsiteY1674" fmla="*/ 1065964 h 1308087"/>
              <a:gd name="connsiteX1675" fmla="*/ 730709 w 2280745"/>
              <a:gd name="connsiteY1675" fmla="*/ 1062232 h 1308087"/>
              <a:gd name="connsiteX1676" fmla="*/ 726280 w 2280745"/>
              <a:gd name="connsiteY1676" fmla="*/ 1060477 h 1308087"/>
              <a:gd name="connsiteX1677" fmla="*/ 726280 w 2280745"/>
              <a:gd name="connsiteY1677" fmla="*/ 1060264 h 1308087"/>
              <a:gd name="connsiteX1678" fmla="*/ 680045 w 2280745"/>
              <a:gd name="connsiteY1678" fmla="*/ 1060264 h 1308087"/>
              <a:gd name="connsiteX1679" fmla="*/ 880037 w 2280745"/>
              <a:gd name="connsiteY1679" fmla="*/ 1060264 h 1308087"/>
              <a:gd name="connsiteX1680" fmla="*/ 880037 w 2280745"/>
              <a:gd name="connsiteY1680" fmla="*/ 1060489 h 1308087"/>
              <a:gd name="connsiteX1681" fmla="*/ 879420 w 2280745"/>
              <a:gd name="connsiteY1681" fmla="*/ 1060454 h 1308087"/>
              <a:gd name="connsiteX1682" fmla="*/ 872256 w 2280745"/>
              <a:gd name="connsiteY1682" fmla="*/ 1065964 h 1308087"/>
              <a:gd name="connsiteX1683" fmla="*/ 855776 w 2280745"/>
              <a:gd name="connsiteY1683" fmla="*/ 1119520 h 1308087"/>
              <a:gd name="connsiteX1684" fmla="*/ 861890 w 2280745"/>
              <a:gd name="connsiteY1684" fmla="*/ 1128739 h 1308087"/>
              <a:gd name="connsiteX1685" fmla="*/ 863923 w 2280745"/>
              <a:gd name="connsiteY1685" fmla="*/ 1129214 h 1308087"/>
              <a:gd name="connsiteX1686" fmla="*/ 874511 w 2280745"/>
              <a:gd name="connsiteY1686" fmla="*/ 1123891 h 1308087"/>
              <a:gd name="connsiteX1687" fmla="*/ 880037 w 2280745"/>
              <a:gd name="connsiteY1687" fmla="*/ 1105936 h 1308087"/>
              <a:gd name="connsiteX1688" fmla="*/ 880037 w 2280745"/>
              <a:gd name="connsiteY1688" fmla="*/ 1126120 h 1308087"/>
              <a:gd name="connsiteX1689" fmla="*/ 880037 w 2280745"/>
              <a:gd name="connsiteY1689" fmla="*/ 1132734 h 1308087"/>
              <a:gd name="connsiteX1690" fmla="*/ 880037 w 2280745"/>
              <a:gd name="connsiteY1690" fmla="*/ 1181563 h 1308087"/>
              <a:gd name="connsiteX1691" fmla="*/ 888683 w 2280745"/>
              <a:gd name="connsiteY1691" fmla="*/ 1189092 h 1308087"/>
              <a:gd name="connsiteX1692" fmla="*/ 890788 w 2280745"/>
              <a:gd name="connsiteY1692" fmla="*/ 1189092 h 1308087"/>
              <a:gd name="connsiteX1693" fmla="*/ 899434 w 2280745"/>
              <a:gd name="connsiteY1693" fmla="*/ 1181563 h 1308087"/>
              <a:gd name="connsiteX1694" fmla="*/ 899434 w 2280745"/>
              <a:gd name="connsiteY1694" fmla="*/ 1132734 h 1308087"/>
              <a:gd name="connsiteX1695" fmla="*/ 906877 w 2280745"/>
              <a:gd name="connsiteY1695" fmla="*/ 1132734 h 1308087"/>
              <a:gd name="connsiteX1696" fmla="*/ 906877 w 2280745"/>
              <a:gd name="connsiteY1696" fmla="*/ 1181563 h 1308087"/>
              <a:gd name="connsiteX1697" fmla="*/ 915521 w 2280745"/>
              <a:gd name="connsiteY1697" fmla="*/ 1189092 h 1308087"/>
              <a:gd name="connsiteX1698" fmla="*/ 917628 w 2280745"/>
              <a:gd name="connsiteY1698" fmla="*/ 1189092 h 1308087"/>
              <a:gd name="connsiteX1699" fmla="*/ 926272 w 2280745"/>
              <a:gd name="connsiteY1699" fmla="*/ 1181563 h 1308087"/>
              <a:gd name="connsiteX1700" fmla="*/ 926272 w 2280745"/>
              <a:gd name="connsiteY1700" fmla="*/ 1132734 h 1308087"/>
              <a:gd name="connsiteX1701" fmla="*/ 926272 w 2280745"/>
              <a:gd name="connsiteY1701" fmla="*/ 1126120 h 1308087"/>
              <a:gd name="connsiteX1702" fmla="*/ 926272 w 2280745"/>
              <a:gd name="connsiteY1702" fmla="*/ 1108128 h 1308087"/>
              <a:gd name="connsiteX1703" fmla="*/ 931123 w 2280745"/>
              <a:gd name="connsiteY1703" fmla="*/ 1123891 h 1308087"/>
              <a:gd name="connsiteX1704" fmla="*/ 941712 w 2280745"/>
              <a:gd name="connsiteY1704" fmla="*/ 1129214 h 1308087"/>
              <a:gd name="connsiteX1705" fmla="*/ 943745 w 2280745"/>
              <a:gd name="connsiteY1705" fmla="*/ 1128739 h 1308087"/>
              <a:gd name="connsiteX1706" fmla="*/ 949860 w 2280745"/>
              <a:gd name="connsiteY1706" fmla="*/ 1119520 h 1308087"/>
              <a:gd name="connsiteX1707" fmla="*/ 933378 w 2280745"/>
              <a:gd name="connsiteY1707" fmla="*/ 1065964 h 1308087"/>
              <a:gd name="connsiteX1708" fmla="*/ 930701 w 2280745"/>
              <a:gd name="connsiteY1708" fmla="*/ 1062232 h 1308087"/>
              <a:gd name="connsiteX1709" fmla="*/ 926272 w 2280745"/>
              <a:gd name="connsiteY1709" fmla="*/ 1060477 h 1308087"/>
              <a:gd name="connsiteX1710" fmla="*/ 926272 w 2280745"/>
              <a:gd name="connsiteY1710" fmla="*/ 1060264 h 1308087"/>
              <a:gd name="connsiteX1711" fmla="*/ 880037 w 2280745"/>
              <a:gd name="connsiteY1711" fmla="*/ 1060264 h 1308087"/>
              <a:gd name="connsiteX1712" fmla="*/ 1080030 w 2280745"/>
              <a:gd name="connsiteY1712" fmla="*/ 1060264 h 1308087"/>
              <a:gd name="connsiteX1713" fmla="*/ 1080030 w 2280745"/>
              <a:gd name="connsiteY1713" fmla="*/ 1060489 h 1308087"/>
              <a:gd name="connsiteX1714" fmla="*/ 1079412 w 2280745"/>
              <a:gd name="connsiteY1714" fmla="*/ 1060454 h 1308087"/>
              <a:gd name="connsiteX1715" fmla="*/ 1072249 w 2280745"/>
              <a:gd name="connsiteY1715" fmla="*/ 1065964 h 1308087"/>
              <a:gd name="connsiteX1716" fmla="*/ 1055767 w 2280745"/>
              <a:gd name="connsiteY1716" fmla="*/ 1119520 h 1308087"/>
              <a:gd name="connsiteX1717" fmla="*/ 1061881 w 2280745"/>
              <a:gd name="connsiteY1717" fmla="*/ 1128739 h 1308087"/>
              <a:gd name="connsiteX1718" fmla="*/ 1063914 w 2280745"/>
              <a:gd name="connsiteY1718" fmla="*/ 1129214 h 1308087"/>
              <a:gd name="connsiteX1719" fmla="*/ 1074503 w 2280745"/>
              <a:gd name="connsiteY1719" fmla="*/ 1123891 h 1308087"/>
              <a:gd name="connsiteX1720" fmla="*/ 1080030 w 2280745"/>
              <a:gd name="connsiteY1720" fmla="*/ 1105936 h 1308087"/>
              <a:gd name="connsiteX1721" fmla="*/ 1080030 w 2280745"/>
              <a:gd name="connsiteY1721" fmla="*/ 1126120 h 1308087"/>
              <a:gd name="connsiteX1722" fmla="*/ 1080030 w 2280745"/>
              <a:gd name="connsiteY1722" fmla="*/ 1132734 h 1308087"/>
              <a:gd name="connsiteX1723" fmla="*/ 1080030 w 2280745"/>
              <a:gd name="connsiteY1723" fmla="*/ 1181563 h 1308087"/>
              <a:gd name="connsiteX1724" fmla="*/ 1088676 w 2280745"/>
              <a:gd name="connsiteY1724" fmla="*/ 1189092 h 1308087"/>
              <a:gd name="connsiteX1725" fmla="*/ 1090781 w 2280745"/>
              <a:gd name="connsiteY1725" fmla="*/ 1189092 h 1308087"/>
              <a:gd name="connsiteX1726" fmla="*/ 1099427 w 2280745"/>
              <a:gd name="connsiteY1726" fmla="*/ 1181563 h 1308087"/>
              <a:gd name="connsiteX1727" fmla="*/ 1099427 w 2280745"/>
              <a:gd name="connsiteY1727" fmla="*/ 1132734 h 1308087"/>
              <a:gd name="connsiteX1728" fmla="*/ 1106868 w 2280745"/>
              <a:gd name="connsiteY1728" fmla="*/ 1132734 h 1308087"/>
              <a:gd name="connsiteX1729" fmla="*/ 1106868 w 2280745"/>
              <a:gd name="connsiteY1729" fmla="*/ 1181563 h 1308087"/>
              <a:gd name="connsiteX1730" fmla="*/ 1115514 w 2280745"/>
              <a:gd name="connsiteY1730" fmla="*/ 1189092 h 1308087"/>
              <a:gd name="connsiteX1731" fmla="*/ 1117619 w 2280745"/>
              <a:gd name="connsiteY1731" fmla="*/ 1189092 h 1308087"/>
              <a:gd name="connsiteX1732" fmla="*/ 1126264 w 2280745"/>
              <a:gd name="connsiteY1732" fmla="*/ 1181563 h 1308087"/>
              <a:gd name="connsiteX1733" fmla="*/ 1126264 w 2280745"/>
              <a:gd name="connsiteY1733" fmla="*/ 1132734 h 1308087"/>
              <a:gd name="connsiteX1734" fmla="*/ 1126264 w 2280745"/>
              <a:gd name="connsiteY1734" fmla="*/ 1126120 h 1308087"/>
              <a:gd name="connsiteX1735" fmla="*/ 1126264 w 2280745"/>
              <a:gd name="connsiteY1735" fmla="*/ 1108128 h 1308087"/>
              <a:gd name="connsiteX1736" fmla="*/ 1131115 w 2280745"/>
              <a:gd name="connsiteY1736" fmla="*/ 1123891 h 1308087"/>
              <a:gd name="connsiteX1737" fmla="*/ 1141704 w 2280745"/>
              <a:gd name="connsiteY1737" fmla="*/ 1129214 h 1308087"/>
              <a:gd name="connsiteX1738" fmla="*/ 1143738 w 2280745"/>
              <a:gd name="connsiteY1738" fmla="*/ 1128739 h 1308087"/>
              <a:gd name="connsiteX1739" fmla="*/ 1149853 w 2280745"/>
              <a:gd name="connsiteY1739" fmla="*/ 1119520 h 1308087"/>
              <a:gd name="connsiteX1740" fmla="*/ 1133370 w 2280745"/>
              <a:gd name="connsiteY1740" fmla="*/ 1065964 h 1308087"/>
              <a:gd name="connsiteX1741" fmla="*/ 1130693 w 2280745"/>
              <a:gd name="connsiteY1741" fmla="*/ 1062232 h 1308087"/>
              <a:gd name="connsiteX1742" fmla="*/ 1126264 w 2280745"/>
              <a:gd name="connsiteY1742" fmla="*/ 1060477 h 1308087"/>
              <a:gd name="connsiteX1743" fmla="*/ 1126264 w 2280745"/>
              <a:gd name="connsiteY1743" fmla="*/ 1060264 h 1308087"/>
              <a:gd name="connsiteX1744" fmla="*/ 1080030 w 2280745"/>
              <a:gd name="connsiteY1744" fmla="*/ 1060264 h 1308087"/>
              <a:gd name="connsiteX1745" fmla="*/ 1280022 w 2280745"/>
              <a:gd name="connsiteY1745" fmla="*/ 1060264 h 1308087"/>
              <a:gd name="connsiteX1746" fmla="*/ 1280022 w 2280745"/>
              <a:gd name="connsiteY1746" fmla="*/ 1060489 h 1308087"/>
              <a:gd name="connsiteX1747" fmla="*/ 1279405 w 2280745"/>
              <a:gd name="connsiteY1747" fmla="*/ 1060454 h 1308087"/>
              <a:gd name="connsiteX1748" fmla="*/ 1272241 w 2280745"/>
              <a:gd name="connsiteY1748" fmla="*/ 1065964 h 1308087"/>
              <a:gd name="connsiteX1749" fmla="*/ 1255760 w 2280745"/>
              <a:gd name="connsiteY1749" fmla="*/ 1119520 h 1308087"/>
              <a:gd name="connsiteX1750" fmla="*/ 1261874 w 2280745"/>
              <a:gd name="connsiteY1750" fmla="*/ 1128739 h 1308087"/>
              <a:gd name="connsiteX1751" fmla="*/ 1263907 w 2280745"/>
              <a:gd name="connsiteY1751" fmla="*/ 1129214 h 1308087"/>
              <a:gd name="connsiteX1752" fmla="*/ 1274496 w 2280745"/>
              <a:gd name="connsiteY1752" fmla="*/ 1123891 h 1308087"/>
              <a:gd name="connsiteX1753" fmla="*/ 1280022 w 2280745"/>
              <a:gd name="connsiteY1753" fmla="*/ 1105936 h 1308087"/>
              <a:gd name="connsiteX1754" fmla="*/ 1280022 w 2280745"/>
              <a:gd name="connsiteY1754" fmla="*/ 1126120 h 1308087"/>
              <a:gd name="connsiteX1755" fmla="*/ 1280022 w 2280745"/>
              <a:gd name="connsiteY1755" fmla="*/ 1132734 h 1308087"/>
              <a:gd name="connsiteX1756" fmla="*/ 1280022 w 2280745"/>
              <a:gd name="connsiteY1756" fmla="*/ 1181563 h 1308087"/>
              <a:gd name="connsiteX1757" fmla="*/ 1288667 w 2280745"/>
              <a:gd name="connsiteY1757" fmla="*/ 1189092 h 1308087"/>
              <a:gd name="connsiteX1758" fmla="*/ 1290773 w 2280745"/>
              <a:gd name="connsiteY1758" fmla="*/ 1189092 h 1308087"/>
              <a:gd name="connsiteX1759" fmla="*/ 1299419 w 2280745"/>
              <a:gd name="connsiteY1759" fmla="*/ 1181563 h 1308087"/>
              <a:gd name="connsiteX1760" fmla="*/ 1299419 w 2280745"/>
              <a:gd name="connsiteY1760" fmla="*/ 1132734 h 1308087"/>
              <a:gd name="connsiteX1761" fmla="*/ 1306860 w 2280745"/>
              <a:gd name="connsiteY1761" fmla="*/ 1132734 h 1308087"/>
              <a:gd name="connsiteX1762" fmla="*/ 1306860 w 2280745"/>
              <a:gd name="connsiteY1762" fmla="*/ 1181563 h 1308087"/>
              <a:gd name="connsiteX1763" fmla="*/ 1315506 w 2280745"/>
              <a:gd name="connsiteY1763" fmla="*/ 1189092 h 1308087"/>
              <a:gd name="connsiteX1764" fmla="*/ 1317610 w 2280745"/>
              <a:gd name="connsiteY1764" fmla="*/ 1189092 h 1308087"/>
              <a:gd name="connsiteX1765" fmla="*/ 1326256 w 2280745"/>
              <a:gd name="connsiteY1765" fmla="*/ 1181563 h 1308087"/>
              <a:gd name="connsiteX1766" fmla="*/ 1326256 w 2280745"/>
              <a:gd name="connsiteY1766" fmla="*/ 1132734 h 1308087"/>
              <a:gd name="connsiteX1767" fmla="*/ 1326256 w 2280745"/>
              <a:gd name="connsiteY1767" fmla="*/ 1126120 h 1308087"/>
              <a:gd name="connsiteX1768" fmla="*/ 1326256 w 2280745"/>
              <a:gd name="connsiteY1768" fmla="*/ 1108128 h 1308087"/>
              <a:gd name="connsiteX1769" fmla="*/ 1331108 w 2280745"/>
              <a:gd name="connsiteY1769" fmla="*/ 1123891 h 1308087"/>
              <a:gd name="connsiteX1770" fmla="*/ 1341696 w 2280745"/>
              <a:gd name="connsiteY1770" fmla="*/ 1129214 h 1308087"/>
              <a:gd name="connsiteX1771" fmla="*/ 1343730 w 2280745"/>
              <a:gd name="connsiteY1771" fmla="*/ 1128739 h 1308087"/>
              <a:gd name="connsiteX1772" fmla="*/ 1349844 w 2280745"/>
              <a:gd name="connsiteY1772" fmla="*/ 1119520 h 1308087"/>
              <a:gd name="connsiteX1773" fmla="*/ 1333361 w 2280745"/>
              <a:gd name="connsiteY1773" fmla="*/ 1065964 h 1308087"/>
              <a:gd name="connsiteX1774" fmla="*/ 1330685 w 2280745"/>
              <a:gd name="connsiteY1774" fmla="*/ 1062232 h 1308087"/>
              <a:gd name="connsiteX1775" fmla="*/ 1326256 w 2280745"/>
              <a:gd name="connsiteY1775" fmla="*/ 1060477 h 1308087"/>
              <a:gd name="connsiteX1776" fmla="*/ 1326256 w 2280745"/>
              <a:gd name="connsiteY1776" fmla="*/ 1060264 h 1308087"/>
              <a:gd name="connsiteX1777" fmla="*/ 1280022 w 2280745"/>
              <a:gd name="connsiteY1777" fmla="*/ 1060264 h 1308087"/>
              <a:gd name="connsiteX1778" fmla="*/ 1482314 w 2280745"/>
              <a:gd name="connsiteY1778" fmla="*/ 1060264 h 1308087"/>
              <a:gd name="connsiteX1779" fmla="*/ 1482314 w 2280745"/>
              <a:gd name="connsiteY1779" fmla="*/ 1060489 h 1308087"/>
              <a:gd name="connsiteX1780" fmla="*/ 1481697 w 2280745"/>
              <a:gd name="connsiteY1780" fmla="*/ 1060454 h 1308087"/>
              <a:gd name="connsiteX1781" fmla="*/ 1474533 w 2280745"/>
              <a:gd name="connsiteY1781" fmla="*/ 1065964 h 1308087"/>
              <a:gd name="connsiteX1782" fmla="*/ 1458052 w 2280745"/>
              <a:gd name="connsiteY1782" fmla="*/ 1119520 h 1308087"/>
              <a:gd name="connsiteX1783" fmla="*/ 1464166 w 2280745"/>
              <a:gd name="connsiteY1783" fmla="*/ 1128739 h 1308087"/>
              <a:gd name="connsiteX1784" fmla="*/ 1466199 w 2280745"/>
              <a:gd name="connsiteY1784" fmla="*/ 1129214 h 1308087"/>
              <a:gd name="connsiteX1785" fmla="*/ 1476788 w 2280745"/>
              <a:gd name="connsiteY1785" fmla="*/ 1123891 h 1308087"/>
              <a:gd name="connsiteX1786" fmla="*/ 1482314 w 2280745"/>
              <a:gd name="connsiteY1786" fmla="*/ 1105936 h 1308087"/>
              <a:gd name="connsiteX1787" fmla="*/ 1482314 w 2280745"/>
              <a:gd name="connsiteY1787" fmla="*/ 1126120 h 1308087"/>
              <a:gd name="connsiteX1788" fmla="*/ 1482314 w 2280745"/>
              <a:gd name="connsiteY1788" fmla="*/ 1132734 h 1308087"/>
              <a:gd name="connsiteX1789" fmla="*/ 1482314 w 2280745"/>
              <a:gd name="connsiteY1789" fmla="*/ 1181563 h 1308087"/>
              <a:gd name="connsiteX1790" fmla="*/ 1490960 w 2280745"/>
              <a:gd name="connsiteY1790" fmla="*/ 1189092 h 1308087"/>
              <a:gd name="connsiteX1791" fmla="*/ 1493064 w 2280745"/>
              <a:gd name="connsiteY1791" fmla="*/ 1189092 h 1308087"/>
              <a:gd name="connsiteX1792" fmla="*/ 1501710 w 2280745"/>
              <a:gd name="connsiteY1792" fmla="*/ 1181563 h 1308087"/>
              <a:gd name="connsiteX1793" fmla="*/ 1501710 w 2280745"/>
              <a:gd name="connsiteY1793" fmla="*/ 1132734 h 1308087"/>
              <a:gd name="connsiteX1794" fmla="*/ 1509153 w 2280745"/>
              <a:gd name="connsiteY1794" fmla="*/ 1132734 h 1308087"/>
              <a:gd name="connsiteX1795" fmla="*/ 1509153 w 2280745"/>
              <a:gd name="connsiteY1795" fmla="*/ 1181563 h 1308087"/>
              <a:gd name="connsiteX1796" fmla="*/ 1517799 w 2280745"/>
              <a:gd name="connsiteY1796" fmla="*/ 1189092 h 1308087"/>
              <a:gd name="connsiteX1797" fmla="*/ 1519903 w 2280745"/>
              <a:gd name="connsiteY1797" fmla="*/ 1189092 h 1308087"/>
              <a:gd name="connsiteX1798" fmla="*/ 1528549 w 2280745"/>
              <a:gd name="connsiteY1798" fmla="*/ 1181563 h 1308087"/>
              <a:gd name="connsiteX1799" fmla="*/ 1528549 w 2280745"/>
              <a:gd name="connsiteY1799" fmla="*/ 1132734 h 1308087"/>
              <a:gd name="connsiteX1800" fmla="*/ 1528549 w 2280745"/>
              <a:gd name="connsiteY1800" fmla="*/ 1126120 h 1308087"/>
              <a:gd name="connsiteX1801" fmla="*/ 1528549 w 2280745"/>
              <a:gd name="connsiteY1801" fmla="*/ 1108128 h 1308087"/>
              <a:gd name="connsiteX1802" fmla="*/ 1533400 w 2280745"/>
              <a:gd name="connsiteY1802" fmla="*/ 1123891 h 1308087"/>
              <a:gd name="connsiteX1803" fmla="*/ 1543989 w 2280745"/>
              <a:gd name="connsiteY1803" fmla="*/ 1129214 h 1308087"/>
              <a:gd name="connsiteX1804" fmla="*/ 1546022 w 2280745"/>
              <a:gd name="connsiteY1804" fmla="*/ 1128739 h 1308087"/>
              <a:gd name="connsiteX1805" fmla="*/ 1552136 w 2280745"/>
              <a:gd name="connsiteY1805" fmla="*/ 1119520 h 1308087"/>
              <a:gd name="connsiteX1806" fmla="*/ 1535655 w 2280745"/>
              <a:gd name="connsiteY1806" fmla="*/ 1065964 h 1308087"/>
              <a:gd name="connsiteX1807" fmla="*/ 1532977 w 2280745"/>
              <a:gd name="connsiteY1807" fmla="*/ 1062232 h 1308087"/>
              <a:gd name="connsiteX1808" fmla="*/ 1528549 w 2280745"/>
              <a:gd name="connsiteY1808" fmla="*/ 1060477 h 1308087"/>
              <a:gd name="connsiteX1809" fmla="*/ 1528549 w 2280745"/>
              <a:gd name="connsiteY1809" fmla="*/ 1060264 h 1308087"/>
              <a:gd name="connsiteX1810" fmla="*/ 1482314 w 2280745"/>
              <a:gd name="connsiteY1810" fmla="*/ 1060264 h 1308087"/>
              <a:gd name="connsiteX1811" fmla="*/ 1679477 w 2280745"/>
              <a:gd name="connsiteY1811" fmla="*/ 1060264 h 1308087"/>
              <a:gd name="connsiteX1812" fmla="*/ 1679477 w 2280745"/>
              <a:gd name="connsiteY1812" fmla="*/ 1060489 h 1308087"/>
              <a:gd name="connsiteX1813" fmla="*/ 1678860 w 2280745"/>
              <a:gd name="connsiteY1813" fmla="*/ 1060454 h 1308087"/>
              <a:gd name="connsiteX1814" fmla="*/ 1671696 w 2280745"/>
              <a:gd name="connsiteY1814" fmla="*/ 1065964 h 1308087"/>
              <a:gd name="connsiteX1815" fmla="*/ 1655215 w 2280745"/>
              <a:gd name="connsiteY1815" fmla="*/ 1119520 h 1308087"/>
              <a:gd name="connsiteX1816" fmla="*/ 1661328 w 2280745"/>
              <a:gd name="connsiteY1816" fmla="*/ 1128739 h 1308087"/>
              <a:gd name="connsiteX1817" fmla="*/ 1663362 w 2280745"/>
              <a:gd name="connsiteY1817" fmla="*/ 1129214 h 1308087"/>
              <a:gd name="connsiteX1818" fmla="*/ 1673951 w 2280745"/>
              <a:gd name="connsiteY1818" fmla="*/ 1123891 h 1308087"/>
              <a:gd name="connsiteX1819" fmla="*/ 1679477 w 2280745"/>
              <a:gd name="connsiteY1819" fmla="*/ 1105936 h 1308087"/>
              <a:gd name="connsiteX1820" fmla="*/ 1679477 w 2280745"/>
              <a:gd name="connsiteY1820" fmla="*/ 1126120 h 1308087"/>
              <a:gd name="connsiteX1821" fmla="*/ 1679477 w 2280745"/>
              <a:gd name="connsiteY1821" fmla="*/ 1132734 h 1308087"/>
              <a:gd name="connsiteX1822" fmla="*/ 1679477 w 2280745"/>
              <a:gd name="connsiteY1822" fmla="*/ 1181563 h 1308087"/>
              <a:gd name="connsiteX1823" fmla="*/ 1688123 w 2280745"/>
              <a:gd name="connsiteY1823" fmla="*/ 1189092 h 1308087"/>
              <a:gd name="connsiteX1824" fmla="*/ 1690227 w 2280745"/>
              <a:gd name="connsiteY1824" fmla="*/ 1189092 h 1308087"/>
              <a:gd name="connsiteX1825" fmla="*/ 1698873 w 2280745"/>
              <a:gd name="connsiteY1825" fmla="*/ 1181563 h 1308087"/>
              <a:gd name="connsiteX1826" fmla="*/ 1698873 w 2280745"/>
              <a:gd name="connsiteY1826" fmla="*/ 1132734 h 1308087"/>
              <a:gd name="connsiteX1827" fmla="*/ 1706314 w 2280745"/>
              <a:gd name="connsiteY1827" fmla="*/ 1132734 h 1308087"/>
              <a:gd name="connsiteX1828" fmla="*/ 1706314 w 2280745"/>
              <a:gd name="connsiteY1828" fmla="*/ 1181563 h 1308087"/>
              <a:gd name="connsiteX1829" fmla="*/ 1714961 w 2280745"/>
              <a:gd name="connsiteY1829" fmla="*/ 1189092 h 1308087"/>
              <a:gd name="connsiteX1830" fmla="*/ 1717066 w 2280745"/>
              <a:gd name="connsiteY1830" fmla="*/ 1189092 h 1308087"/>
              <a:gd name="connsiteX1831" fmla="*/ 1725712 w 2280745"/>
              <a:gd name="connsiteY1831" fmla="*/ 1181563 h 1308087"/>
              <a:gd name="connsiteX1832" fmla="*/ 1725712 w 2280745"/>
              <a:gd name="connsiteY1832" fmla="*/ 1132734 h 1308087"/>
              <a:gd name="connsiteX1833" fmla="*/ 1725712 w 2280745"/>
              <a:gd name="connsiteY1833" fmla="*/ 1126120 h 1308087"/>
              <a:gd name="connsiteX1834" fmla="*/ 1725712 w 2280745"/>
              <a:gd name="connsiteY1834" fmla="*/ 1108128 h 1308087"/>
              <a:gd name="connsiteX1835" fmla="*/ 1730563 w 2280745"/>
              <a:gd name="connsiteY1835" fmla="*/ 1123891 h 1308087"/>
              <a:gd name="connsiteX1836" fmla="*/ 1741152 w 2280745"/>
              <a:gd name="connsiteY1836" fmla="*/ 1129214 h 1308087"/>
              <a:gd name="connsiteX1837" fmla="*/ 1743185 w 2280745"/>
              <a:gd name="connsiteY1837" fmla="*/ 1128739 h 1308087"/>
              <a:gd name="connsiteX1838" fmla="*/ 1749299 w 2280745"/>
              <a:gd name="connsiteY1838" fmla="*/ 1119520 h 1308087"/>
              <a:gd name="connsiteX1839" fmla="*/ 1732817 w 2280745"/>
              <a:gd name="connsiteY1839" fmla="*/ 1065964 h 1308087"/>
              <a:gd name="connsiteX1840" fmla="*/ 1730140 w 2280745"/>
              <a:gd name="connsiteY1840" fmla="*/ 1062232 h 1308087"/>
              <a:gd name="connsiteX1841" fmla="*/ 1725712 w 2280745"/>
              <a:gd name="connsiteY1841" fmla="*/ 1060477 h 1308087"/>
              <a:gd name="connsiteX1842" fmla="*/ 1725712 w 2280745"/>
              <a:gd name="connsiteY1842" fmla="*/ 1060264 h 1308087"/>
              <a:gd name="connsiteX1843" fmla="*/ 1679477 w 2280745"/>
              <a:gd name="connsiteY1843" fmla="*/ 1060264 h 1308087"/>
              <a:gd name="connsiteX1844" fmla="*/ 1882298 w 2280745"/>
              <a:gd name="connsiteY1844" fmla="*/ 1060264 h 1308087"/>
              <a:gd name="connsiteX1845" fmla="*/ 1882298 w 2280745"/>
              <a:gd name="connsiteY1845" fmla="*/ 1060489 h 1308087"/>
              <a:gd name="connsiteX1846" fmla="*/ 1881681 w 2280745"/>
              <a:gd name="connsiteY1846" fmla="*/ 1060454 h 1308087"/>
              <a:gd name="connsiteX1847" fmla="*/ 1874518 w 2280745"/>
              <a:gd name="connsiteY1847" fmla="*/ 1065964 h 1308087"/>
              <a:gd name="connsiteX1848" fmla="*/ 1858037 w 2280745"/>
              <a:gd name="connsiteY1848" fmla="*/ 1119520 h 1308087"/>
              <a:gd name="connsiteX1849" fmla="*/ 1864152 w 2280745"/>
              <a:gd name="connsiteY1849" fmla="*/ 1128739 h 1308087"/>
              <a:gd name="connsiteX1850" fmla="*/ 1866184 w 2280745"/>
              <a:gd name="connsiteY1850" fmla="*/ 1129214 h 1308087"/>
              <a:gd name="connsiteX1851" fmla="*/ 1876773 w 2280745"/>
              <a:gd name="connsiteY1851" fmla="*/ 1123891 h 1308087"/>
              <a:gd name="connsiteX1852" fmla="*/ 1882298 w 2280745"/>
              <a:gd name="connsiteY1852" fmla="*/ 1105936 h 1308087"/>
              <a:gd name="connsiteX1853" fmla="*/ 1882298 w 2280745"/>
              <a:gd name="connsiteY1853" fmla="*/ 1126120 h 1308087"/>
              <a:gd name="connsiteX1854" fmla="*/ 1882298 w 2280745"/>
              <a:gd name="connsiteY1854" fmla="*/ 1132734 h 1308087"/>
              <a:gd name="connsiteX1855" fmla="*/ 1882298 w 2280745"/>
              <a:gd name="connsiteY1855" fmla="*/ 1181563 h 1308087"/>
              <a:gd name="connsiteX1856" fmla="*/ 1890944 w 2280745"/>
              <a:gd name="connsiteY1856" fmla="*/ 1189092 h 1308087"/>
              <a:gd name="connsiteX1857" fmla="*/ 1893050 w 2280745"/>
              <a:gd name="connsiteY1857" fmla="*/ 1189092 h 1308087"/>
              <a:gd name="connsiteX1858" fmla="*/ 1901696 w 2280745"/>
              <a:gd name="connsiteY1858" fmla="*/ 1181563 h 1308087"/>
              <a:gd name="connsiteX1859" fmla="*/ 1901696 w 2280745"/>
              <a:gd name="connsiteY1859" fmla="*/ 1132734 h 1308087"/>
              <a:gd name="connsiteX1860" fmla="*/ 1909138 w 2280745"/>
              <a:gd name="connsiteY1860" fmla="*/ 1132734 h 1308087"/>
              <a:gd name="connsiteX1861" fmla="*/ 1909138 w 2280745"/>
              <a:gd name="connsiteY1861" fmla="*/ 1181563 h 1308087"/>
              <a:gd name="connsiteX1862" fmla="*/ 1917783 w 2280745"/>
              <a:gd name="connsiteY1862" fmla="*/ 1189092 h 1308087"/>
              <a:gd name="connsiteX1863" fmla="*/ 1919889 w 2280745"/>
              <a:gd name="connsiteY1863" fmla="*/ 1189092 h 1308087"/>
              <a:gd name="connsiteX1864" fmla="*/ 1928535 w 2280745"/>
              <a:gd name="connsiteY1864" fmla="*/ 1181563 h 1308087"/>
              <a:gd name="connsiteX1865" fmla="*/ 1928535 w 2280745"/>
              <a:gd name="connsiteY1865" fmla="*/ 1132734 h 1308087"/>
              <a:gd name="connsiteX1866" fmla="*/ 1928535 w 2280745"/>
              <a:gd name="connsiteY1866" fmla="*/ 1126120 h 1308087"/>
              <a:gd name="connsiteX1867" fmla="*/ 1928535 w 2280745"/>
              <a:gd name="connsiteY1867" fmla="*/ 1108128 h 1308087"/>
              <a:gd name="connsiteX1868" fmla="*/ 1933385 w 2280745"/>
              <a:gd name="connsiteY1868" fmla="*/ 1123891 h 1308087"/>
              <a:gd name="connsiteX1869" fmla="*/ 1943974 w 2280745"/>
              <a:gd name="connsiteY1869" fmla="*/ 1129214 h 1308087"/>
              <a:gd name="connsiteX1870" fmla="*/ 1946009 w 2280745"/>
              <a:gd name="connsiteY1870" fmla="*/ 1128739 h 1308087"/>
              <a:gd name="connsiteX1871" fmla="*/ 1952121 w 2280745"/>
              <a:gd name="connsiteY1871" fmla="*/ 1119520 h 1308087"/>
              <a:gd name="connsiteX1872" fmla="*/ 1935640 w 2280745"/>
              <a:gd name="connsiteY1872" fmla="*/ 1065964 h 1308087"/>
              <a:gd name="connsiteX1873" fmla="*/ 1932962 w 2280745"/>
              <a:gd name="connsiteY1873" fmla="*/ 1062232 h 1308087"/>
              <a:gd name="connsiteX1874" fmla="*/ 1928535 w 2280745"/>
              <a:gd name="connsiteY1874" fmla="*/ 1060477 h 1308087"/>
              <a:gd name="connsiteX1875" fmla="*/ 1928535 w 2280745"/>
              <a:gd name="connsiteY1875" fmla="*/ 1060264 h 1308087"/>
              <a:gd name="connsiteX1876" fmla="*/ 1882298 w 2280745"/>
              <a:gd name="connsiteY1876" fmla="*/ 1060264 h 1308087"/>
              <a:gd name="connsiteX1877" fmla="*/ 2081622 w 2280745"/>
              <a:gd name="connsiteY1877" fmla="*/ 1060264 h 1308087"/>
              <a:gd name="connsiteX1878" fmla="*/ 2081622 w 2280745"/>
              <a:gd name="connsiteY1878" fmla="*/ 1060489 h 1308087"/>
              <a:gd name="connsiteX1879" fmla="*/ 2081004 w 2280745"/>
              <a:gd name="connsiteY1879" fmla="*/ 1060454 h 1308087"/>
              <a:gd name="connsiteX1880" fmla="*/ 2073841 w 2280745"/>
              <a:gd name="connsiteY1880" fmla="*/ 1065964 h 1308087"/>
              <a:gd name="connsiteX1881" fmla="*/ 2057362 w 2280745"/>
              <a:gd name="connsiteY1881" fmla="*/ 1119520 h 1308087"/>
              <a:gd name="connsiteX1882" fmla="*/ 2063474 w 2280745"/>
              <a:gd name="connsiteY1882" fmla="*/ 1128739 h 1308087"/>
              <a:gd name="connsiteX1883" fmla="*/ 2065507 w 2280745"/>
              <a:gd name="connsiteY1883" fmla="*/ 1129214 h 1308087"/>
              <a:gd name="connsiteX1884" fmla="*/ 2076097 w 2280745"/>
              <a:gd name="connsiteY1884" fmla="*/ 1123891 h 1308087"/>
              <a:gd name="connsiteX1885" fmla="*/ 2081622 w 2280745"/>
              <a:gd name="connsiteY1885" fmla="*/ 1105936 h 1308087"/>
              <a:gd name="connsiteX1886" fmla="*/ 2081622 w 2280745"/>
              <a:gd name="connsiteY1886" fmla="*/ 1126120 h 1308087"/>
              <a:gd name="connsiteX1887" fmla="*/ 2081622 w 2280745"/>
              <a:gd name="connsiteY1887" fmla="*/ 1132734 h 1308087"/>
              <a:gd name="connsiteX1888" fmla="*/ 2081622 w 2280745"/>
              <a:gd name="connsiteY1888" fmla="*/ 1181563 h 1308087"/>
              <a:gd name="connsiteX1889" fmla="*/ 2090268 w 2280745"/>
              <a:gd name="connsiteY1889" fmla="*/ 1189092 h 1308087"/>
              <a:gd name="connsiteX1890" fmla="*/ 2092373 w 2280745"/>
              <a:gd name="connsiteY1890" fmla="*/ 1189092 h 1308087"/>
              <a:gd name="connsiteX1891" fmla="*/ 2101019 w 2280745"/>
              <a:gd name="connsiteY1891" fmla="*/ 1181563 h 1308087"/>
              <a:gd name="connsiteX1892" fmla="*/ 2101019 w 2280745"/>
              <a:gd name="connsiteY1892" fmla="*/ 1132734 h 1308087"/>
              <a:gd name="connsiteX1893" fmla="*/ 2108461 w 2280745"/>
              <a:gd name="connsiteY1893" fmla="*/ 1132734 h 1308087"/>
              <a:gd name="connsiteX1894" fmla="*/ 2108461 w 2280745"/>
              <a:gd name="connsiteY1894" fmla="*/ 1181563 h 1308087"/>
              <a:gd name="connsiteX1895" fmla="*/ 2117107 w 2280745"/>
              <a:gd name="connsiteY1895" fmla="*/ 1189092 h 1308087"/>
              <a:gd name="connsiteX1896" fmla="*/ 2119212 w 2280745"/>
              <a:gd name="connsiteY1896" fmla="*/ 1189092 h 1308087"/>
              <a:gd name="connsiteX1897" fmla="*/ 2127858 w 2280745"/>
              <a:gd name="connsiteY1897" fmla="*/ 1181563 h 1308087"/>
              <a:gd name="connsiteX1898" fmla="*/ 2127858 w 2280745"/>
              <a:gd name="connsiteY1898" fmla="*/ 1132734 h 1308087"/>
              <a:gd name="connsiteX1899" fmla="*/ 2127858 w 2280745"/>
              <a:gd name="connsiteY1899" fmla="*/ 1126120 h 1308087"/>
              <a:gd name="connsiteX1900" fmla="*/ 2127858 w 2280745"/>
              <a:gd name="connsiteY1900" fmla="*/ 1108128 h 1308087"/>
              <a:gd name="connsiteX1901" fmla="*/ 2132707 w 2280745"/>
              <a:gd name="connsiteY1901" fmla="*/ 1123891 h 1308087"/>
              <a:gd name="connsiteX1902" fmla="*/ 2143298 w 2280745"/>
              <a:gd name="connsiteY1902" fmla="*/ 1129214 h 1308087"/>
              <a:gd name="connsiteX1903" fmla="*/ 2145331 w 2280745"/>
              <a:gd name="connsiteY1903" fmla="*/ 1128739 h 1308087"/>
              <a:gd name="connsiteX1904" fmla="*/ 2151445 w 2280745"/>
              <a:gd name="connsiteY1904" fmla="*/ 1119520 h 1308087"/>
              <a:gd name="connsiteX1905" fmla="*/ 2134963 w 2280745"/>
              <a:gd name="connsiteY1905" fmla="*/ 1065964 h 1308087"/>
              <a:gd name="connsiteX1906" fmla="*/ 2132286 w 2280745"/>
              <a:gd name="connsiteY1906" fmla="*/ 1062232 h 1308087"/>
              <a:gd name="connsiteX1907" fmla="*/ 2127858 w 2280745"/>
              <a:gd name="connsiteY1907" fmla="*/ 1060477 h 1308087"/>
              <a:gd name="connsiteX1908" fmla="*/ 2127858 w 2280745"/>
              <a:gd name="connsiteY1908" fmla="*/ 1060264 h 1308087"/>
              <a:gd name="connsiteX1909" fmla="*/ 2081622 w 2280745"/>
              <a:gd name="connsiteY1909" fmla="*/ 1060264 h 13080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Lst>
            <a:rect l="l" t="t" r="r" b="b"/>
            <a:pathLst>
              <a:path w="2280745" h="1308087">
                <a:moveTo>
                  <a:pt x="2280492" y="0"/>
                </a:moveTo>
                <a:lnTo>
                  <a:pt x="2280693" y="1209940"/>
                </a:lnTo>
                <a:lnTo>
                  <a:pt x="2280745" y="1209940"/>
                </a:lnTo>
                <a:lnTo>
                  <a:pt x="2280745" y="1308087"/>
                </a:lnTo>
                <a:lnTo>
                  <a:pt x="0" y="1308087"/>
                </a:lnTo>
                <a:lnTo>
                  <a:pt x="0" y="1209940"/>
                </a:lnTo>
                <a:lnTo>
                  <a:pt x="1497" y="1209940"/>
                </a:lnTo>
                <a:lnTo>
                  <a:pt x="2103" y="757034"/>
                </a:lnTo>
                <a:cubicBezTo>
                  <a:pt x="3729" y="506611"/>
                  <a:pt x="5355" y="256190"/>
                  <a:pt x="3107" y="8436"/>
                </a:cubicBezTo>
                <a:lnTo>
                  <a:pt x="2280492" y="0"/>
                </a:lnTo>
                <a:close/>
                <a:moveTo>
                  <a:pt x="303668" y="96739"/>
                </a:moveTo>
                <a:cubicBezTo>
                  <a:pt x="293205" y="96739"/>
                  <a:pt x="284721" y="104125"/>
                  <a:pt x="284721" y="113235"/>
                </a:cubicBezTo>
                <a:cubicBezTo>
                  <a:pt x="284721" y="122346"/>
                  <a:pt x="293205" y="129731"/>
                  <a:pt x="303668" y="129731"/>
                </a:cubicBezTo>
                <a:cubicBezTo>
                  <a:pt x="314131" y="129731"/>
                  <a:pt x="322614" y="122346"/>
                  <a:pt x="322614" y="113235"/>
                </a:cubicBezTo>
                <a:cubicBezTo>
                  <a:pt x="322614" y="104125"/>
                  <a:pt x="314131" y="96739"/>
                  <a:pt x="303668" y="96739"/>
                </a:cubicBezTo>
                <a:close/>
                <a:moveTo>
                  <a:pt x="503662" y="96739"/>
                </a:moveTo>
                <a:cubicBezTo>
                  <a:pt x="493198" y="96739"/>
                  <a:pt x="484717" y="104125"/>
                  <a:pt x="484717" y="113235"/>
                </a:cubicBezTo>
                <a:cubicBezTo>
                  <a:pt x="484717" y="122346"/>
                  <a:pt x="493198" y="129731"/>
                  <a:pt x="503662" y="129731"/>
                </a:cubicBezTo>
                <a:cubicBezTo>
                  <a:pt x="514126" y="129731"/>
                  <a:pt x="522607" y="122346"/>
                  <a:pt x="522607" y="113235"/>
                </a:cubicBezTo>
                <a:cubicBezTo>
                  <a:pt x="522607" y="104125"/>
                  <a:pt x="514126" y="96739"/>
                  <a:pt x="503662" y="96739"/>
                </a:cubicBezTo>
                <a:close/>
                <a:moveTo>
                  <a:pt x="703653" y="96739"/>
                </a:moveTo>
                <a:cubicBezTo>
                  <a:pt x="693190" y="96739"/>
                  <a:pt x="684709" y="104125"/>
                  <a:pt x="684709" y="113235"/>
                </a:cubicBezTo>
                <a:cubicBezTo>
                  <a:pt x="684709" y="122346"/>
                  <a:pt x="693190" y="129731"/>
                  <a:pt x="703653" y="129731"/>
                </a:cubicBezTo>
                <a:cubicBezTo>
                  <a:pt x="714117" y="129731"/>
                  <a:pt x="722600" y="122346"/>
                  <a:pt x="722600" y="113235"/>
                </a:cubicBezTo>
                <a:cubicBezTo>
                  <a:pt x="722600" y="104125"/>
                  <a:pt x="714117" y="96739"/>
                  <a:pt x="703653" y="96739"/>
                </a:cubicBezTo>
                <a:close/>
                <a:moveTo>
                  <a:pt x="903646" y="96739"/>
                </a:moveTo>
                <a:cubicBezTo>
                  <a:pt x="893183" y="96739"/>
                  <a:pt x="884701" y="104125"/>
                  <a:pt x="884701" y="113235"/>
                </a:cubicBezTo>
                <a:cubicBezTo>
                  <a:pt x="884701" y="122346"/>
                  <a:pt x="893183" y="129731"/>
                  <a:pt x="903646" y="129731"/>
                </a:cubicBezTo>
                <a:cubicBezTo>
                  <a:pt x="914110" y="129731"/>
                  <a:pt x="922591" y="122346"/>
                  <a:pt x="922591" y="113235"/>
                </a:cubicBezTo>
                <a:cubicBezTo>
                  <a:pt x="922591" y="104125"/>
                  <a:pt x="914110" y="96739"/>
                  <a:pt x="903646" y="96739"/>
                </a:cubicBezTo>
                <a:close/>
                <a:moveTo>
                  <a:pt x="1103638" y="96739"/>
                </a:moveTo>
                <a:cubicBezTo>
                  <a:pt x="1093175" y="96739"/>
                  <a:pt x="1084694" y="104125"/>
                  <a:pt x="1084694" y="113235"/>
                </a:cubicBezTo>
                <a:cubicBezTo>
                  <a:pt x="1084694" y="122346"/>
                  <a:pt x="1093175" y="129731"/>
                  <a:pt x="1103638" y="129731"/>
                </a:cubicBezTo>
                <a:cubicBezTo>
                  <a:pt x="1114102" y="129731"/>
                  <a:pt x="1122584" y="122346"/>
                  <a:pt x="1122584" y="113235"/>
                </a:cubicBezTo>
                <a:cubicBezTo>
                  <a:pt x="1122584" y="104125"/>
                  <a:pt x="1114102" y="96739"/>
                  <a:pt x="1103638" y="96739"/>
                </a:cubicBezTo>
                <a:close/>
                <a:moveTo>
                  <a:pt x="1303631" y="96739"/>
                </a:moveTo>
                <a:cubicBezTo>
                  <a:pt x="1293167" y="96739"/>
                  <a:pt x="1284685" y="104125"/>
                  <a:pt x="1284685" y="113235"/>
                </a:cubicBezTo>
                <a:cubicBezTo>
                  <a:pt x="1284685" y="122346"/>
                  <a:pt x="1293167" y="129731"/>
                  <a:pt x="1303631" y="129731"/>
                </a:cubicBezTo>
                <a:cubicBezTo>
                  <a:pt x="1314095" y="129731"/>
                  <a:pt x="1322576" y="122346"/>
                  <a:pt x="1322576" y="113235"/>
                </a:cubicBezTo>
                <a:cubicBezTo>
                  <a:pt x="1322576" y="104125"/>
                  <a:pt x="1314095" y="96739"/>
                  <a:pt x="1303631" y="96739"/>
                </a:cubicBezTo>
                <a:close/>
                <a:moveTo>
                  <a:pt x="1505923" y="96739"/>
                </a:moveTo>
                <a:cubicBezTo>
                  <a:pt x="1495460" y="96739"/>
                  <a:pt x="1486979" y="104125"/>
                  <a:pt x="1486979" y="113235"/>
                </a:cubicBezTo>
                <a:cubicBezTo>
                  <a:pt x="1486979" y="122346"/>
                  <a:pt x="1495460" y="129731"/>
                  <a:pt x="1505923" y="129731"/>
                </a:cubicBezTo>
                <a:cubicBezTo>
                  <a:pt x="1516387" y="129731"/>
                  <a:pt x="1524868" y="122346"/>
                  <a:pt x="1524868" y="113235"/>
                </a:cubicBezTo>
                <a:cubicBezTo>
                  <a:pt x="1524868" y="104125"/>
                  <a:pt x="1516387" y="96739"/>
                  <a:pt x="1505923" y="96739"/>
                </a:cubicBezTo>
                <a:close/>
                <a:moveTo>
                  <a:pt x="1703085" y="96739"/>
                </a:moveTo>
                <a:cubicBezTo>
                  <a:pt x="1692623" y="96739"/>
                  <a:pt x="1684140" y="104125"/>
                  <a:pt x="1684140" y="113235"/>
                </a:cubicBezTo>
                <a:cubicBezTo>
                  <a:pt x="1684140" y="122346"/>
                  <a:pt x="1692623" y="129731"/>
                  <a:pt x="1703085" y="129731"/>
                </a:cubicBezTo>
                <a:cubicBezTo>
                  <a:pt x="1713550" y="129731"/>
                  <a:pt x="1722031" y="122346"/>
                  <a:pt x="1722031" y="113235"/>
                </a:cubicBezTo>
                <a:cubicBezTo>
                  <a:pt x="1722031" y="104125"/>
                  <a:pt x="1713550" y="96739"/>
                  <a:pt x="1703085" y="96739"/>
                </a:cubicBezTo>
                <a:close/>
                <a:moveTo>
                  <a:pt x="1905908" y="96739"/>
                </a:moveTo>
                <a:cubicBezTo>
                  <a:pt x="1895444" y="96739"/>
                  <a:pt x="1886962" y="104125"/>
                  <a:pt x="1886962" y="113235"/>
                </a:cubicBezTo>
                <a:cubicBezTo>
                  <a:pt x="1886962" y="122346"/>
                  <a:pt x="1895444" y="129731"/>
                  <a:pt x="1905908" y="129731"/>
                </a:cubicBezTo>
                <a:cubicBezTo>
                  <a:pt x="1916372" y="129731"/>
                  <a:pt x="1924855" y="122346"/>
                  <a:pt x="1924855" y="113235"/>
                </a:cubicBezTo>
                <a:cubicBezTo>
                  <a:pt x="1924855" y="104125"/>
                  <a:pt x="1916372" y="96739"/>
                  <a:pt x="1905908" y="96739"/>
                </a:cubicBezTo>
                <a:close/>
                <a:moveTo>
                  <a:pt x="2105231" y="96739"/>
                </a:moveTo>
                <a:cubicBezTo>
                  <a:pt x="2094769" y="96739"/>
                  <a:pt x="2086286" y="104125"/>
                  <a:pt x="2086286" y="113235"/>
                </a:cubicBezTo>
                <a:cubicBezTo>
                  <a:pt x="2086286" y="122346"/>
                  <a:pt x="2094769" y="129731"/>
                  <a:pt x="2105231" y="129731"/>
                </a:cubicBezTo>
                <a:cubicBezTo>
                  <a:pt x="2115694" y="129731"/>
                  <a:pt x="2124177" y="122346"/>
                  <a:pt x="2124177" y="113235"/>
                </a:cubicBezTo>
                <a:cubicBezTo>
                  <a:pt x="2124177" y="104125"/>
                  <a:pt x="2115694" y="96739"/>
                  <a:pt x="2105231" y="96739"/>
                </a:cubicBezTo>
                <a:close/>
                <a:moveTo>
                  <a:pt x="280058" y="133396"/>
                </a:moveTo>
                <a:lnTo>
                  <a:pt x="280058" y="133621"/>
                </a:lnTo>
                <a:lnTo>
                  <a:pt x="279441" y="133589"/>
                </a:lnTo>
                <a:cubicBezTo>
                  <a:pt x="276104" y="133992"/>
                  <a:pt x="273205" y="136086"/>
                  <a:pt x="272279" y="139098"/>
                </a:cubicBezTo>
                <a:lnTo>
                  <a:pt x="255797" y="192653"/>
                </a:lnTo>
                <a:cubicBezTo>
                  <a:pt x="254561" y="196670"/>
                  <a:pt x="257298" y="200797"/>
                  <a:pt x="261911" y="201873"/>
                </a:cubicBezTo>
                <a:lnTo>
                  <a:pt x="263944" y="202347"/>
                </a:lnTo>
                <a:cubicBezTo>
                  <a:pt x="268557" y="203423"/>
                  <a:pt x="273297" y="201041"/>
                  <a:pt x="274533" y="197025"/>
                </a:cubicBezTo>
                <a:lnTo>
                  <a:pt x="280058" y="179069"/>
                </a:lnTo>
                <a:lnTo>
                  <a:pt x="280058" y="199255"/>
                </a:lnTo>
                <a:lnTo>
                  <a:pt x="280058" y="205866"/>
                </a:lnTo>
                <a:lnTo>
                  <a:pt x="280058" y="254698"/>
                </a:lnTo>
                <a:cubicBezTo>
                  <a:pt x="280058" y="258855"/>
                  <a:pt x="283930" y="262227"/>
                  <a:pt x="288705" y="262227"/>
                </a:cubicBezTo>
                <a:lnTo>
                  <a:pt x="290809" y="262227"/>
                </a:lnTo>
                <a:cubicBezTo>
                  <a:pt x="295584" y="262227"/>
                  <a:pt x="299455" y="258855"/>
                  <a:pt x="299455" y="254698"/>
                </a:cubicBezTo>
                <a:lnTo>
                  <a:pt x="299455" y="205866"/>
                </a:lnTo>
                <a:lnTo>
                  <a:pt x="306898" y="205866"/>
                </a:lnTo>
                <a:lnTo>
                  <a:pt x="306898" y="254698"/>
                </a:lnTo>
                <a:cubicBezTo>
                  <a:pt x="306898" y="258855"/>
                  <a:pt x="310769" y="262227"/>
                  <a:pt x="315544" y="262227"/>
                </a:cubicBezTo>
                <a:lnTo>
                  <a:pt x="317649" y="262227"/>
                </a:lnTo>
                <a:cubicBezTo>
                  <a:pt x="322423" y="262227"/>
                  <a:pt x="326293" y="258855"/>
                  <a:pt x="326293" y="254698"/>
                </a:cubicBezTo>
                <a:lnTo>
                  <a:pt x="326293" y="205866"/>
                </a:lnTo>
                <a:lnTo>
                  <a:pt x="326293" y="199255"/>
                </a:lnTo>
                <a:lnTo>
                  <a:pt x="326293" y="181262"/>
                </a:lnTo>
                <a:lnTo>
                  <a:pt x="331145" y="197025"/>
                </a:lnTo>
                <a:cubicBezTo>
                  <a:pt x="332381" y="201041"/>
                  <a:pt x="337122" y="203423"/>
                  <a:pt x="341734" y="202347"/>
                </a:cubicBezTo>
                <a:lnTo>
                  <a:pt x="343767" y="201873"/>
                </a:lnTo>
                <a:cubicBezTo>
                  <a:pt x="348380" y="200797"/>
                  <a:pt x="351116" y="196670"/>
                  <a:pt x="349881" y="192653"/>
                </a:cubicBezTo>
                <a:lnTo>
                  <a:pt x="333400" y="139098"/>
                </a:lnTo>
                <a:cubicBezTo>
                  <a:pt x="332936" y="137592"/>
                  <a:pt x="331980" y="136315"/>
                  <a:pt x="330722" y="135365"/>
                </a:cubicBezTo>
                <a:lnTo>
                  <a:pt x="326293" y="133610"/>
                </a:lnTo>
                <a:lnTo>
                  <a:pt x="326293" y="133396"/>
                </a:lnTo>
                <a:lnTo>
                  <a:pt x="280058" y="133396"/>
                </a:lnTo>
                <a:close/>
                <a:moveTo>
                  <a:pt x="480053" y="133396"/>
                </a:moveTo>
                <a:lnTo>
                  <a:pt x="480053" y="133621"/>
                </a:lnTo>
                <a:lnTo>
                  <a:pt x="479436" y="133589"/>
                </a:lnTo>
                <a:cubicBezTo>
                  <a:pt x="476099" y="133992"/>
                  <a:pt x="473200" y="136086"/>
                  <a:pt x="472272" y="139098"/>
                </a:cubicBezTo>
                <a:lnTo>
                  <a:pt x="455791" y="192653"/>
                </a:lnTo>
                <a:cubicBezTo>
                  <a:pt x="454555" y="196670"/>
                  <a:pt x="457292" y="200797"/>
                  <a:pt x="461906" y="201873"/>
                </a:cubicBezTo>
                <a:lnTo>
                  <a:pt x="463938" y="202347"/>
                </a:lnTo>
                <a:cubicBezTo>
                  <a:pt x="468550" y="203423"/>
                  <a:pt x="473292" y="201041"/>
                  <a:pt x="474527" y="197025"/>
                </a:cubicBezTo>
                <a:lnTo>
                  <a:pt x="480053" y="179069"/>
                </a:lnTo>
                <a:lnTo>
                  <a:pt x="480053" y="199255"/>
                </a:lnTo>
                <a:lnTo>
                  <a:pt x="480053" y="205866"/>
                </a:lnTo>
                <a:lnTo>
                  <a:pt x="480053" y="254698"/>
                </a:lnTo>
                <a:cubicBezTo>
                  <a:pt x="480053" y="258855"/>
                  <a:pt x="483924" y="262227"/>
                  <a:pt x="488698" y="262227"/>
                </a:cubicBezTo>
                <a:lnTo>
                  <a:pt x="490804" y="262227"/>
                </a:lnTo>
                <a:cubicBezTo>
                  <a:pt x="495578" y="262227"/>
                  <a:pt x="499450" y="258855"/>
                  <a:pt x="499450" y="254698"/>
                </a:cubicBezTo>
                <a:lnTo>
                  <a:pt x="499450" y="205866"/>
                </a:lnTo>
                <a:lnTo>
                  <a:pt x="506892" y="205866"/>
                </a:lnTo>
                <a:lnTo>
                  <a:pt x="506892" y="254698"/>
                </a:lnTo>
                <a:cubicBezTo>
                  <a:pt x="506892" y="258855"/>
                  <a:pt x="510763" y="262227"/>
                  <a:pt x="515538" y="262227"/>
                </a:cubicBezTo>
                <a:lnTo>
                  <a:pt x="517643" y="262227"/>
                </a:lnTo>
                <a:cubicBezTo>
                  <a:pt x="522418" y="262227"/>
                  <a:pt x="526287" y="258855"/>
                  <a:pt x="526287" y="254698"/>
                </a:cubicBezTo>
                <a:lnTo>
                  <a:pt x="526287" y="205866"/>
                </a:lnTo>
                <a:lnTo>
                  <a:pt x="526287" y="199255"/>
                </a:lnTo>
                <a:lnTo>
                  <a:pt x="526287" y="181262"/>
                </a:lnTo>
                <a:lnTo>
                  <a:pt x="531139" y="197025"/>
                </a:lnTo>
                <a:cubicBezTo>
                  <a:pt x="532375" y="201041"/>
                  <a:pt x="537116" y="203423"/>
                  <a:pt x="541727" y="202347"/>
                </a:cubicBezTo>
                <a:lnTo>
                  <a:pt x="543761" y="201873"/>
                </a:lnTo>
                <a:cubicBezTo>
                  <a:pt x="548373" y="200797"/>
                  <a:pt x="551110" y="196670"/>
                  <a:pt x="549875" y="192653"/>
                </a:cubicBezTo>
                <a:lnTo>
                  <a:pt x="533394" y="139098"/>
                </a:lnTo>
                <a:cubicBezTo>
                  <a:pt x="532930" y="137592"/>
                  <a:pt x="531974" y="136315"/>
                  <a:pt x="530716" y="135365"/>
                </a:cubicBezTo>
                <a:lnTo>
                  <a:pt x="526287" y="133610"/>
                </a:lnTo>
                <a:lnTo>
                  <a:pt x="526287" y="133396"/>
                </a:lnTo>
                <a:lnTo>
                  <a:pt x="480053" y="133396"/>
                </a:lnTo>
                <a:close/>
                <a:moveTo>
                  <a:pt x="680045" y="133396"/>
                </a:moveTo>
                <a:lnTo>
                  <a:pt x="680045" y="133621"/>
                </a:lnTo>
                <a:lnTo>
                  <a:pt x="679427" y="133589"/>
                </a:lnTo>
                <a:cubicBezTo>
                  <a:pt x="676090" y="133992"/>
                  <a:pt x="673192" y="136086"/>
                  <a:pt x="672265" y="139098"/>
                </a:cubicBezTo>
                <a:lnTo>
                  <a:pt x="655783" y="192653"/>
                </a:lnTo>
                <a:cubicBezTo>
                  <a:pt x="654547" y="196670"/>
                  <a:pt x="657285" y="200797"/>
                  <a:pt x="661899" y="201873"/>
                </a:cubicBezTo>
                <a:lnTo>
                  <a:pt x="663930" y="202347"/>
                </a:lnTo>
                <a:cubicBezTo>
                  <a:pt x="668542" y="203423"/>
                  <a:pt x="673282" y="201041"/>
                  <a:pt x="674518" y="197025"/>
                </a:cubicBezTo>
                <a:lnTo>
                  <a:pt x="680045" y="179069"/>
                </a:lnTo>
                <a:lnTo>
                  <a:pt x="680045" y="199255"/>
                </a:lnTo>
                <a:lnTo>
                  <a:pt x="680045" y="205866"/>
                </a:lnTo>
                <a:lnTo>
                  <a:pt x="680045" y="254698"/>
                </a:lnTo>
                <a:cubicBezTo>
                  <a:pt x="680045" y="258855"/>
                  <a:pt x="683916" y="262227"/>
                  <a:pt x="688691" y="262227"/>
                </a:cubicBezTo>
                <a:lnTo>
                  <a:pt x="690797" y="262227"/>
                </a:lnTo>
                <a:cubicBezTo>
                  <a:pt x="695570" y="262227"/>
                  <a:pt x="699443" y="258855"/>
                  <a:pt x="699443" y="254698"/>
                </a:cubicBezTo>
                <a:lnTo>
                  <a:pt x="699443" y="205866"/>
                </a:lnTo>
                <a:lnTo>
                  <a:pt x="706884" y="205866"/>
                </a:lnTo>
                <a:lnTo>
                  <a:pt x="706884" y="254698"/>
                </a:lnTo>
                <a:cubicBezTo>
                  <a:pt x="706884" y="258855"/>
                  <a:pt x="710754" y="262227"/>
                  <a:pt x="715530" y="262227"/>
                </a:cubicBezTo>
                <a:lnTo>
                  <a:pt x="717635" y="262227"/>
                </a:lnTo>
                <a:cubicBezTo>
                  <a:pt x="722411" y="262227"/>
                  <a:pt x="726280" y="258855"/>
                  <a:pt x="726280" y="254698"/>
                </a:cubicBezTo>
                <a:lnTo>
                  <a:pt x="726280" y="205866"/>
                </a:lnTo>
                <a:lnTo>
                  <a:pt x="726280" y="199255"/>
                </a:lnTo>
                <a:lnTo>
                  <a:pt x="726280" y="181262"/>
                </a:lnTo>
                <a:lnTo>
                  <a:pt x="731132" y="197025"/>
                </a:lnTo>
                <a:cubicBezTo>
                  <a:pt x="732368" y="201041"/>
                  <a:pt x="737108" y="203423"/>
                  <a:pt x="741720" y="202347"/>
                </a:cubicBezTo>
                <a:lnTo>
                  <a:pt x="743753" y="201873"/>
                </a:lnTo>
                <a:cubicBezTo>
                  <a:pt x="748365" y="200797"/>
                  <a:pt x="751103" y="196670"/>
                  <a:pt x="749868" y="192653"/>
                </a:cubicBezTo>
                <a:lnTo>
                  <a:pt x="733385" y="139098"/>
                </a:lnTo>
                <a:cubicBezTo>
                  <a:pt x="732923" y="137592"/>
                  <a:pt x="731967" y="136315"/>
                  <a:pt x="730709" y="135365"/>
                </a:cubicBezTo>
                <a:lnTo>
                  <a:pt x="726280" y="133610"/>
                </a:lnTo>
                <a:lnTo>
                  <a:pt x="726280" y="133396"/>
                </a:lnTo>
                <a:lnTo>
                  <a:pt x="680045" y="133396"/>
                </a:lnTo>
                <a:close/>
                <a:moveTo>
                  <a:pt x="880037" y="133396"/>
                </a:moveTo>
                <a:lnTo>
                  <a:pt x="880037" y="133621"/>
                </a:lnTo>
                <a:lnTo>
                  <a:pt x="879420" y="133589"/>
                </a:lnTo>
                <a:cubicBezTo>
                  <a:pt x="876083" y="133992"/>
                  <a:pt x="873184" y="136086"/>
                  <a:pt x="872256" y="139098"/>
                </a:cubicBezTo>
                <a:lnTo>
                  <a:pt x="855776" y="192653"/>
                </a:lnTo>
                <a:cubicBezTo>
                  <a:pt x="854540" y="196670"/>
                  <a:pt x="857277" y="200797"/>
                  <a:pt x="861890" y="201873"/>
                </a:cubicBezTo>
                <a:lnTo>
                  <a:pt x="863923" y="202347"/>
                </a:lnTo>
                <a:cubicBezTo>
                  <a:pt x="868534" y="203423"/>
                  <a:pt x="873275" y="201041"/>
                  <a:pt x="874511" y="197025"/>
                </a:cubicBezTo>
                <a:lnTo>
                  <a:pt x="880037" y="179069"/>
                </a:lnTo>
                <a:lnTo>
                  <a:pt x="880037" y="199255"/>
                </a:lnTo>
                <a:lnTo>
                  <a:pt x="880037" y="205866"/>
                </a:lnTo>
                <a:lnTo>
                  <a:pt x="880037" y="254698"/>
                </a:lnTo>
                <a:cubicBezTo>
                  <a:pt x="880037" y="258855"/>
                  <a:pt x="883909" y="262227"/>
                  <a:pt x="888683" y="262227"/>
                </a:cubicBezTo>
                <a:lnTo>
                  <a:pt x="890788" y="262227"/>
                </a:lnTo>
                <a:cubicBezTo>
                  <a:pt x="895563" y="262227"/>
                  <a:pt x="899434" y="258855"/>
                  <a:pt x="899434" y="254698"/>
                </a:cubicBezTo>
                <a:lnTo>
                  <a:pt x="899434" y="205866"/>
                </a:lnTo>
                <a:lnTo>
                  <a:pt x="906877" y="205866"/>
                </a:lnTo>
                <a:lnTo>
                  <a:pt x="906877" y="254698"/>
                </a:lnTo>
                <a:cubicBezTo>
                  <a:pt x="906877" y="258855"/>
                  <a:pt x="910747" y="262227"/>
                  <a:pt x="915521" y="262227"/>
                </a:cubicBezTo>
                <a:lnTo>
                  <a:pt x="917628" y="262227"/>
                </a:lnTo>
                <a:cubicBezTo>
                  <a:pt x="922402" y="262227"/>
                  <a:pt x="926272" y="258855"/>
                  <a:pt x="926272" y="254698"/>
                </a:cubicBezTo>
                <a:lnTo>
                  <a:pt x="926272" y="205866"/>
                </a:lnTo>
                <a:lnTo>
                  <a:pt x="926272" y="199255"/>
                </a:lnTo>
                <a:lnTo>
                  <a:pt x="926272" y="181262"/>
                </a:lnTo>
                <a:lnTo>
                  <a:pt x="931123" y="197025"/>
                </a:lnTo>
                <a:cubicBezTo>
                  <a:pt x="932359" y="201041"/>
                  <a:pt x="937100" y="203423"/>
                  <a:pt x="941712" y="202347"/>
                </a:cubicBezTo>
                <a:lnTo>
                  <a:pt x="943745" y="201873"/>
                </a:lnTo>
                <a:cubicBezTo>
                  <a:pt x="948358" y="200797"/>
                  <a:pt x="951095" y="196670"/>
                  <a:pt x="949860" y="192653"/>
                </a:cubicBezTo>
                <a:lnTo>
                  <a:pt x="933378" y="139098"/>
                </a:lnTo>
                <a:cubicBezTo>
                  <a:pt x="932915" y="137592"/>
                  <a:pt x="931958" y="136315"/>
                  <a:pt x="930701" y="135365"/>
                </a:cubicBezTo>
                <a:lnTo>
                  <a:pt x="926272" y="133610"/>
                </a:lnTo>
                <a:lnTo>
                  <a:pt x="926272" y="133396"/>
                </a:lnTo>
                <a:lnTo>
                  <a:pt x="880037" y="133396"/>
                </a:lnTo>
                <a:close/>
                <a:moveTo>
                  <a:pt x="1080030" y="133396"/>
                </a:moveTo>
                <a:lnTo>
                  <a:pt x="1080030" y="133621"/>
                </a:lnTo>
                <a:lnTo>
                  <a:pt x="1079412" y="133589"/>
                </a:lnTo>
                <a:cubicBezTo>
                  <a:pt x="1076075" y="133992"/>
                  <a:pt x="1073176" y="136086"/>
                  <a:pt x="1072249" y="139098"/>
                </a:cubicBezTo>
                <a:lnTo>
                  <a:pt x="1055767" y="192653"/>
                </a:lnTo>
                <a:cubicBezTo>
                  <a:pt x="1054531" y="196670"/>
                  <a:pt x="1057269" y="200797"/>
                  <a:pt x="1061881" y="201873"/>
                </a:cubicBezTo>
                <a:lnTo>
                  <a:pt x="1063914" y="202347"/>
                </a:lnTo>
                <a:cubicBezTo>
                  <a:pt x="1068527" y="203423"/>
                  <a:pt x="1073267" y="201041"/>
                  <a:pt x="1074503" y="197025"/>
                </a:cubicBezTo>
                <a:lnTo>
                  <a:pt x="1080030" y="179069"/>
                </a:lnTo>
                <a:lnTo>
                  <a:pt x="1080030" y="199255"/>
                </a:lnTo>
                <a:lnTo>
                  <a:pt x="1080030" y="205866"/>
                </a:lnTo>
                <a:lnTo>
                  <a:pt x="1080030" y="254698"/>
                </a:lnTo>
                <a:cubicBezTo>
                  <a:pt x="1080030" y="258855"/>
                  <a:pt x="1083900" y="262227"/>
                  <a:pt x="1088676" y="262227"/>
                </a:cubicBezTo>
                <a:lnTo>
                  <a:pt x="1090781" y="262227"/>
                </a:lnTo>
                <a:cubicBezTo>
                  <a:pt x="1095554" y="262227"/>
                  <a:pt x="1099427" y="258855"/>
                  <a:pt x="1099427" y="254698"/>
                </a:cubicBezTo>
                <a:lnTo>
                  <a:pt x="1099427" y="205866"/>
                </a:lnTo>
                <a:lnTo>
                  <a:pt x="1106868" y="205866"/>
                </a:lnTo>
                <a:lnTo>
                  <a:pt x="1106868" y="254698"/>
                </a:lnTo>
                <a:cubicBezTo>
                  <a:pt x="1106868" y="258855"/>
                  <a:pt x="1110739" y="262227"/>
                  <a:pt x="1115514" y="262227"/>
                </a:cubicBezTo>
                <a:lnTo>
                  <a:pt x="1117619" y="262227"/>
                </a:lnTo>
                <a:cubicBezTo>
                  <a:pt x="1122395" y="262227"/>
                  <a:pt x="1126264" y="258855"/>
                  <a:pt x="1126264" y="254698"/>
                </a:cubicBezTo>
                <a:lnTo>
                  <a:pt x="1126264" y="205866"/>
                </a:lnTo>
                <a:lnTo>
                  <a:pt x="1126264" y="199255"/>
                </a:lnTo>
                <a:lnTo>
                  <a:pt x="1126264" y="181262"/>
                </a:lnTo>
                <a:lnTo>
                  <a:pt x="1131115" y="197025"/>
                </a:lnTo>
                <a:cubicBezTo>
                  <a:pt x="1132352" y="201041"/>
                  <a:pt x="1137092" y="203423"/>
                  <a:pt x="1141704" y="202347"/>
                </a:cubicBezTo>
                <a:lnTo>
                  <a:pt x="1143738" y="201873"/>
                </a:lnTo>
                <a:cubicBezTo>
                  <a:pt x="1148350" y="200797"/>
                  <a:pt x="1151086" y="196670"/>
                  <a:pt x="1149853" y="192653"/>
                </a:cubicBezTo>
                <a:lnTo>
                  <a:pt x="1133370" y="139098"/>
                </a:lnTo>
                <a:cubicBezTo>
                  <a:pt x="1132906" y="137592"/>
                  <a:pt x="1131950" y="136315"/>
                  <a:pt x="1130693" y="135365"/>
                </a:cubicBezTo>
                <a:lnTo>
                  <a:pt x="1126264" y="133610"/>
                </a:lnTo>
                <a:lnTo>
                  <a:pt x="1126264" y="133396"/>
                </a:lnTo>
                <a:lnTo>
                  <a:pt x="1080030" y="133396"/>
                </a:lnTo>
                <a:close/>
                <a:moveTo>
                  <a:pt x="1280022" y="133396"/>
                </a:moveTo>
                <a:lnTo>
                  <a:pt x="1280022" y="133621"/>
                </a:lnTo>
                <a:lnTo>
                  <a:pt x="1279405" y="133589"/>
                </a:lnTo>
                <a:cubicBezTo>
                  <a:pt x="1276068" y="133992"/>
                  <a:pt x="1273169" y="136086"/>
                  <a:pt x="1272241" y="139098"/>
                </a:cubicBezTo>
                <a:lnTo>
                  <a:pt x="1255760" y="192653"/>
                </a:lnTo>
                <a:cubicBezTo>
                  <a:pt x="1254524" y="196670"/>
                  <a:pt x="1257261" y="200797"/>
                  <a:pt x="1261874" y="201873"/>
                </a:cubicBezTo>
                <a:lnTo>
                  <a:pt x="1263907" y="202347"/>
                </a:lnTo>
                <a:cubicBezTo>
                  <a:pt x="1268519" y="203423"/>
                  <a:pt x="1273260" y="201041"/>
                  <a:pt x="1274496" y="197025"/>
                </a:cubicBezTo>
                <a:lnTo>
                  <a:pt x="1280022" y="179069"/>
                </a:lnTo>
                <a:lnTo>
                  <a:pt x="1280022" y="199255"/>
                </a:lnTo>
                <a:lnTo>
                  <a:pt x="1280022" y="205866"/>
                </a:lnTo>
                <a:lnTo>
                  <a:pt x="1280022" y="254698"/>
                </a:lnTo>
                <a:cubicBezTo>
                  <a:pt x="1280022" y="258855"/>
                  <a:pt x="1283892" y="262227"/>
                  <a:pt x="1288667" y="262227"/>
                </a:cubicBezTo>
                <a:lnTo>
                  <a:pt x="1290773" y="262227"/>
                </a:lnTo>
                <a:cubicBezTo>
                  <a:pt x="1295546" y="262227"/>
                  <a:pt x="1299419" y="258855"/>
                  <a:pt x="1299419" y="254698"/>
                </a:cubicBezTo>
                <a:lnTo>
                  <a:pt x="1299419" y="205866"/>
                </a:lnTo>
                <a:lnTo>
                  <a:pt x="1306860" y="205866"/>
                </a:lnTo>
                <a:lnTo>
                  <a:pt x="1306860" y="254698"/>
                </a:lnTo>
                <a:cubicBezTo>
                  <a:pt x="1306860" y="258855"/>
                  <a:pt x="1310732" y="262227"/>
                  <a:pt x="1315506" y="262227"/>
                </a:cubicBezTo>
                <a:lnTo>
                  <a:pt x="1317610" y="262227"/>
                </a:lnTo>
                <a:cubicBezTo>
                  <a:pt x="1322387" y="262227"/>
                  <a:pt x="1326256" y="258855"/>
                  <a:pt x="1326256" y="254698"/>
                </a:cubicBezTo>
                <a:lnTo>
                  <a:pt x="1326256" y="205866"/>
                </a:lnTo>
                <a:lnTo>
                  <a:pt x="1326256" y="199255"/>
                </a:lnTo>
                <a:lnTo>
                  <a:pt x="1326256" y="181262"/>
                </a:lnTo>
                <a:lnTo>
                  <a:pt x="1331108" y="197025"/>
                </a:lnTo>
                <a:cubicBezTo>
                  <a:pt x="1332344" y="201041"/>
                  <a:pt x="1337084" y="203423"/>
                  <a:pt x="1341696" y="202347"/>
                </a:cubicBezTo>
                <a:lnTo>
                  <a:pt x="1343730" y="201873"/>
                </a:lnTo>
                <a:cubicBezTo>
                  <a:pt x="1348342" y="200797"/>
                  <a:pt x="1351079" y="196670"/>
                  <a:pt x="1349844" y="192653"/>
                </a:cubicBezTo>
                <a:lnTo>
                  <a:pt x="1333361" y="139098"/>
                </a:lnTo>
                <a:cubicBezTo>
                  <a:pt x="1332899" y="137592"/>
                  <a:pt x="1331943" y="136315"/>
                  <a:pt x="1330685" y="135365"/>
                </a:cubicBezTo>
                <a:lnTo>
                  <a:pt x="1326256" y="133610"/>
                </a:lnTo>
                <a:lnTo>
                  <a:pt x="1326256" y="133396"/>
                </a:lnTo>
                <a:lnTo>
                  <a:pt x="1280022" y="133396"/>
                </a:lnTo>
                <a:close/>
                <a:moveTo>
                  <a:pt x="1482314" y="133396"/>
                </a:moveTo>
                <a:lnTo>
                  <a:pt x="1482314" y="133621"/>
                </a:lnTo>
                <a:lnTo>
                  <a:pt x="1481697" y="133589"/>
                </a:lnTo>
                <a:cubicBezTo>
                  <a:pt x="1478360" y="133992"/>
                  <a:pt x="1475461" y="136086"/>
                  <a:pt x="1474533" y="139098"/>
                </a:cubicBezTo>
                <a:lnTo>
                  <a:pt x="1458052" y="192653"/>
                </a:lnTo>
                <a:cubicBezTo>
                  <a:pt x="1456817" y="196670"/>
                  <a:pt x="1459553" y="200797"/>
                  <a:pt x="1464166" y="201873"/>
                </a:cubicBezTo>
                <a:lnTo>
                  <a:pt x="1466199" y="202347"/>
                </a:lnTo>
                <a:cubicBezTo>
                  <a:pt x="1470811" y="203423"/>
                  <a:pt x="1475552" y="201041"/>
                  <a:pt x="1476788" y="197025"/>
                </a:cubicBezTo>
                <a:lnTo>
                  <a:pt x="1482314" y="179069"/>
                </a:lnTo>
                <a:lnTo>
                  <a:pt x="1482314" y="199255"/>
                </a:lnTo>
                <a:lnTo>
                  <a:pt x="1482314" y="205866"/>
                </a:lnTo>
                <a:lnTo>
                  <a:pt x="1482314" y="254698"/>
                </a:lnTo>
                <a:cubicBezTo>
                  <a:pt x="1482314" y="258855"/>
                  <a:pt x="1486185" y="262227"/>
                  <a:pt x="1490960" y="262227"/>
                </a:cubicBezTo>
                <a:lnTo>
                  <a:pt x="1493064" y="262227"/>
                </a:lnTo>
                <a:cubicBezTo>
                  <a:pt x="1497840" y="262227"/>
                  <a:pt x="1501710" y="258855"/>
                  <a:pt x="1501710" y="254698"/>
                </a:cubicBezTo>
                <a:lnTo>
                  <a:pt x="1501710" y="205866"/>
                </a:lnTo>
                <a:lnTo>
                  <a:pt x="1509153" y="205866"/>
                </a:lnTo>
                <a:lnTo>
                  <a:pt x="1509153" y="254698"/>
                </a:lnTo>
                <a:cubicBezTo>
                  <a:pt x="1509153" y="258855"/>
                  <a:pt x="1513024" y="262227"/>
                  <a:pt x="1517799" y="262227"/>
                </a:cubicBezTo>
                <a:lnTo>
                  <a:pt x="1519903" y="262227"/>
                </a:lnTo>
                <a:cubicBezTo>
                  <a:pt x="1524678" y="262227"/>
                  <a:pt x="1528549" y="258855"/>
                  <a:pt x="1528549" y="254698"/>
                </a:cubicBezTo>
                <a:lnTo>
                  <a:pt x="1528549" y="205866"/>
                </a:lnTo>
                <a:lnTo>
                  <a:pt x="1528549" y="199255"/>
                </a:lnTo>
                <a:lnTo>
                  <a:pt x="1528549" y="181262"/>
                </a:lnTo>
                <a:lnTo>
                  <a:pt x="1533400" y="197025"/>
                </a:lnTo>
                <a:cubicBezTo>
                  <a:pt x="1534636" y="201041"/>
                  <a:pt x="1539377" y="203423"/>
                  <a:pt x="1543989" y="202347"/>
                </a:cubicBezTo>
                <a:lnTo>
                  <a:pt x="1546022" y="201873"/>
                </a:lnTo>
                <a:cubicBezTo>
                  <a:pt x="1550635" y="200797"/>
                  <a:pt x="1553371" y="196670"/>
                  <a:pt x="1552136" y="192653"/>
                </a:cubicBezTo>
                <a:lnTo>
                  <a:pt x="1535655" y="139098"/>
                </a:lnTo>
                <a:cubicBezTo>
                  <a:pt x="1535191" y="137592"/>
                  <a:pt x="1534235" y="136315"/>
                  <a:pt x="1532977" y="135365"/>
                </a:cubicBezTo>
                <a:lnTo>
                  <a:pt x="1528549" y="133610"/>
                </a:lnTo>
                <a:lnTo>
                  <a:pt x="1528549" y="133396"/>
                </a:lnTo>
                <a:lnTo>
                  <a:pt x="1482314" y="133396"/>
                </a:lnTo>
                <a:close/>
                <a:moveTo>
                  <a:pt x="1679477" y="133396"/>
                </a:moveTo>
                <a:lnTo>
                  <a:pt x="1679477" y="133621"/>
                </a:lnTo>
                <a:lnTo>
                  <a:pt x="1678860" y="133589"/>
                </a:lnTo>
                <a:cubicBezTo>
                  <a:pt x="1675521" y="133992"/>
                  <a:pt x="1672623" y="136086"/>
                  <a:pt x="1671696" y="139098"/>
                </a:cubicBezTo>
                <a:lnTo>
                  <a:pt x="1655215" y="192653"/>
                </a:lnTo>
                <a:cubicBezTo>
                  <a:pt x="1653980" y="196670"/>
                  <a:pt x="1656716" y="200797"/>
                  <a:pt x="1661328" y="201873"/>
                </a:cubicBezTo>
                <a:lnTo>
                  <a:pt x="1663362" y="202347"/>
                </a:lnTo>
                <a:cubicBezTo>
                  <a:pt x="1667974" y="203423"/>
                  <a:pt x="1672715" y="201041"/>
                  <a:pt x="1673951" y="197025"/>
                </a:cubicBezTo>
                <a:lnTo>
                  <a:pt x="1679477" y="179069"/>
                </a:lnTo>
                <a:lnTo>
                  <a:pt x="1679477" y="199255"/>
                </a:lnTo>
                <a:lnTo>
                  <a:pt x="1679477" y="205866"/>
                </a:lnTo>
                <a:lnTo>
                  <a:pt x="1679477" y="254698"/>
                </a:lnTo>
                <a:cubicBezTo>
                  <a:pt x="1679477" y="258855"/>
                  <a:pt x="1683346" y="262227"/>
                  <a:pt x="1688123" y="262227"/>
                </a:cubicBezTo>
                <a:lnTo>
                  <a:pt x="1690227" y="262227"/>
                </a:lnTo>
                <a:cubicBezTo>
                  <a:pt x="1695001" y="262227"/>
                  <a:pt x="1698873" y="258855"/>
                  <a:pt x="1698873" y="254698"/>
                </a:cubicBezTo>
                <a:lnTo>
                  <a:pt x="1698873" y="205866"/>
                </a:lnTo>
                <a:lnTo>
                  <a:pt x="1706314" y="205866"/>
                </a:lnTo>
                <a:lnTo>
                  <a:pt x="1706314" y="254698"/>
                </a:lnTo>
                <a:cubicBezTo>
                  <a:pt x="1706314" y="258855"/>
                  <a:pt x="1710187" y="262227"/>
                  <a:pt x="1714961" y="262227"/>
                </a:cubicBezTo>
                <a:lnTo>
                  <a:pt x="1717066" y="262227"/>
                </a:lnTo>
                <a:cubicBezTo>
                  <a:pt x="1721841" y="262227"/>
                  <a:pt x="1725712" y="258855"/>
                  <a:pt x="1725712" y="254698"/>
                </a:cubicBezTo>
                <a:lnTo>
                  <a:pt x="1725712" y="205866"/>
                </a:lnTo>
                <a:lnTo>
                  <a:pt x="1725712" y="199255"/>
                </a:lnTo>
                <a:lnTo>
                  <a:pt x="1725712" y="181262"/>
                </a:lnTo>
                <a:lnTo>
                  <a:pt x="1730563" y="197025"/>
                </a:lnTo>
                <a:cubicBezTo>
                  <a:pt x="1731799" y="201041"/>
                  <a:pt x="1736539" y="203423"/>
                  <a:pt x="1741152" y="202347"/>
                </a:cubicBezTo>
                <a:lnTo>
                  <a:pt x="1743185" y="201873"/>
                </a:lnTo>
                <a:cubicBezTo>
                  <a:pt x="1747797" y="200797"/>
                  <a:pt x="1750534" y="196670"/>
                  <a:pt x="1749299" y="192653"/>
                </a:cubicBezTo>
                <a:lnTo>
                  <a:pt x="1732817" y="139098"/>
                </a:lnTo>
                <a:cubicBezTo>
                  <a:pt x="1732354" y="137592"/>
                  <a:pt x="1731398" y="136315"/>
                  <a:pt x="1730140" y="135365"/>
                </a:cubicBezTo>
                <a:lnTo>
                  <a:pt x="1725712" y="133610"/>
                </a:lnTo>
                <a:lnTo>
                  <a:pt x="1725712" y="133396"/>
                </a:lnTo>
                <a:lnTo>
                  <a:pt x="1679477" y="133396"/>
                </a:lnTo>
                <a:close/>
                <a:moveTo>
                  <a:pt x="1882298" y="133396"/>
                </a:moveTo>
                <a:lnTo>
                  <a:pt x="1882298" y="133621"/>
                </a:lnTo>
                <a:lnTo>
                  <a:pt x="1881681" y="133589"/>
                </a:lnTo>
                <a:cubicBezTo>
                  <a:pt x="1878344" y="133992"/>
                  <a:pt x="1875446" y="136086"/>
                  <a:pt x="1874518" y="139098"/>
                </a:cubicBezTo>
                <a:lnTo>
                  <a:pt x="1858037" y="192653"/>
                </a:lnTo>
                <a:cubicBezTo>
                  <a:pt x="1856802" y="196670"/>
                  <a:pt x="1859540" y="200797"/>
                  <a:pt x="1864152" y="201873"/>
                </a:cubicBezTo>
                <a:lnTo>
                  <a:pt x="1866184" y="202347"/>
                </a:lnTo>
                <a:cubicBezTo>
                  <a:pt x="1870795" y="203423"/>
                  <a:pt x="1875538" y="201041"/>
                  <a:pt x="1876773" y="197025"/>
                </a:cubicBezTo>
                <a:lnTo>
                  <a:pt x="1882298" y="179069"/>
                </a:lnTo>
                <a:lnTo>
                  <a:pt x="1882298" y="199255"/>
                </a:lnTo>
                <a:lnTo>
                  <a:pt x="1882298" y="205866"/>
                </a:lnTo>
                <a:lnTo>
                  <a:pt x="1882298" y="254698"/>
                </a:lnTo>
                <a:cubicBezTo>
                  <a:pt x="1882298" y="258855"/>
                  <a:pt x="1886170" y="262227"/>
                  <a:pt x="1890944" y="262227"/>
                </a:cubicBezTo>
                <a:lnTo>
                  <a:pt x="1893050" y="262227"/>
                </a:lnTo>
                <a:cubicBezTo>
                  <a:pt x="1897824" y="262227"/>
                  <a:pt x="1901696" y="258855"/>
                  <a:pt x="1901696" y="254698"/>
                </a:cubicBezTo>
                <a:lnTo>
                  <a:pt x="1901696" y="205866"/>
                </a:lnTo>
                <a:lnTo>
                  <a:pt x="1909138" y="205866"/>
                </a:lnTo>
                <a:lnTo>
                  <a:pt x="1909138" y="254698"/>
                </a:lnTo>
                <a:cubicBezTo>
                  <a:pt x="1909138" y="258855"/>
                  <a:pt x="1913008" y="262227"/>
                  <a:pt x="1917783" y="262227"/>
                </a:cubicBezTo>
                <a:lnTo>
                  <a:pt x="1919889" y="262227"/>
                </a:lnTo>
                <a:cubicBezTo>
                  <a:pt x="1924664" y="262227"/>
                  <a:pt x="1928535" y="258855"/>
                  <a:pt x="1928535" y="254698"/>
                </a:cubicBezTo>
                <a:lnTo>
                  <a:pt x="1928535" y="205866"/>
                </a:lnTo>
                <a:lnTo>
                  <a:pt x="1928535" y="199255"/>
                </a:lnTo>
                <a:lnTo>
                  <a:pt x="1928535" y="181262"/>
                </a:lnTo>
                <a:lnTo>
                  <a:pt x="1933385" y="197025"/>
                </a:lnTo>
                <a:cubicBezTo>
                  <a:pt x="1934622" y="201041"/>
                  <a:pt x="1939363" y="203423"/>
                  <a:pt x="1943974" y="202347"/>
                </a:cubicBezTo>
                <a:lnTo>
                  <a:pt x="1946009" y="201873"/>
                </a:lnTo>
                <a:cubicBezTo>
                  <a:pt x="1950620" y="200797"/>
                  <a:pt x="1953357" y="196670"/>
                  <a:pt x="1952121" y="192653"/>
                </a:cubicBezTo>
                <a:lnTo>
                  <a:pt x="1935640" y="139098"/>
                </a:lnTo>
                <a:cubicBezTo>
                  <a:pt x="1935177" y="137592"/>
                  <a:pt x="1934220" y="136315"/>
                  <a:pt x="1932962" y="135365"/>
                </a:cubicBezTo>
                <a:lnTo>
                  <a:pt x="1928535" y="133610"/>
                </a:lnTo>
                <a:lnTo>
                  <a:pt x="1928535" y="133396"/>
                </a:lnTo>
                <a:lnTo>
                  <a:pt x="1882298" y="133396"/>
                </a:lnTo>
                <a:close/>
                <a:moveTo>
                  <a:pt x="2081622" y="133396"/>
                </a:moveTo>
                <a:lnTo>
                  <a:pt x="2081622" y="133621"/>
                </a:lnTo>
                <a:lnTo>
                  <a:pt x="2081004" y="133589"/>
                </a:lnTo>
                <a:cubicBezTo>
                  <a:pt x="2077667" y="133992"/>
                  <a:pt x="2074768" y="136086"/>
                  <a:pt x="2073841" y="139098"/>
                </a:cubicBezTo>
                <a:lnTo>
                  <a:pt x="2057362" y="192653"/>
                </a:lnTo>
                <a:cubicBezTo>
                  <a:pt x="2056126" y="196670"/>
                  <a:pt x="2058863" y="200797"/>
                  <a:pt x="2063474" y="201873"/>
                </a:cubicBezTo>
                <a:lnTo>
                  <a:pt x="2065507" y="202347"/>
                </a:lnTo>
                <a:cubicBezTo>
                  <a:pt x="2070119" y="203423"/>
                  <a:pt x="2074860" y="201041"/>
                  <a:pt x="2076097" y="197025"/>
                </a:cubicBezTo>
                <a:lnTo>
                  <a:pt x="2081622" y="179069"/>
                </a:lnTo>
                <a:lnTo>
                  <a:pt x="2081622" y="199255"/>
                </a:lnTo>
                <a:lnTo>
                  <a:pt x="2081622" y="205866"/>
                </a:lnTo>
                <a:lnTo>
                  <a:pt x="2081622" y="254698"/>
                </a:lnTo>
                <a:cubicBezTo>
                  <a:pt x="2081622" y="258855"/>
                  <a:pt x="2085492" y="262227"/>
                  <a:pt x="2090268" y="262227"/>
                </a:cubicBezTo>
                <a:lnTo>
                  <a:pt x="2092373" y="262227"/>
                </a:lnTo>
                <a:cubicBezTo>
                  <a:pt x="2097148" y="262227"/>
                  <a:pt x="2101019" y="258855"/>
                  <a:pt x="2101019" y="254698"/>
                </a:cubicBezTo>
                <a:lnTo>
                  <a:pt x="2101019" y="205866"/>
                </a:lnTo>
                <a:lnTo>
                  <a:pt x="2108461" y="205866"/>
                </a:lnTo>
                <a:lnTo>
                  <a:pt x="2108461" y="254698"/>
                </a:lnTo>
                <a:cubicBezTo>
                  <a:pt x="2108461" y="258855"/>
                  <a:pt x="2112333" y="262227"/>
                  <a:pt x="2117107" y="262227"/>
                </a:cubicBezTo>
                <a:lnTo>
                  <a:pt x="2119212" y="262227"/>
                </a:lnTo>
                <a:cubicBezTo>
                  <a:pt x="2123987" y="262227"/>
                  <a:pt x="2127858" y="258855"/>
                  <a:pt x="2127858" y="254698"/>
                </a:cubicBezTo>
                <a:lnTo>
                  <a:pt x="2127858" y="205866"/>
                </a:lnTo>
                <a:lnTo>
                  <a:pt x="2127858" y="199255"/>
                </a:lnTo>
                <a:lnTo>
                  <a:pt x="2127858" y="181262"/>
                </a:lnTo>
                <a:lnTo>
                  <a:pt x="2132707" y="197025"/>
                </a:lnTo>
                <a:cubicBezTo>
                  <a:pt x="2133945" y="201041"/>
                  <a:pt x="2138685" y="203423"/>
                  <a:pt x="2143298" y="202347"/>
                </a:cubicBezTo>
                <a:lnTo>
                  <a:pt x="2145331" y="201873"/>
                </a:lnTo>
                <a:cubicBezTo>
                  <a:pt x="2149943" y="200797"/>
                  <a:pt x="2152681" y="196670"/>
                  <a:pt x="2151445" y="192653"/>
                </a:cubicBezTo>
                <a:lnTo>
                  <a:pt x="2134963" y="139098"/>
                </a:lnTo>
                <a:cubicBezTo>
                  <a:pt x="2134501" y="137592"/>
                  <a:pt x="2133542" y="136315"/>
                  <a:pt x="2132286" y="135365"/>
                </a:cubicBezTo>
                <a:lnTo>
                  <a:pt x="2127858" y="133610"/>
                </a:lnTo>
                <a:lnTo>
                  <a:pt x="2127858" y="133396"/>
                </a:lnTo>
                <a:lnTo>
                  <a:pt x="2081622" y="133396"/>
                </a:lnTo>
                <a:close/>
                <a:moveTo>
                  <a:pt x="303668" y="315528"/>
                </a:moveTo>
                <a:cubicBezTo>
                  <a:pt x="293205" y="315528"/>
                  <a:pt x="284721" y="322914"/>
                  <a:pt x="284721" y="332024"/>
                </a:cubicBezTo>
                <a:cubicBezTo>
                  <a:pt x="284721" y="341135"/>
                  <a:pt x="293205" y="348520"/>
                  <a:pt x="303668" y="348520"/>
                </a:cubicBezTo>
                <a:cubicBezTo>
                  <a:pt x="314131" y="348520"/>
                  <a:pt x="322614" y="341135"/>
                  <a:pt x="322614" y="332024"/>
                </a:cubicBezTo>
                <a:cubicBezTo>
                  <a:pt x="322614" y="322914"/>
                  <a:pt x="314131" y="315528"/>
                  <a:pt x="303668" y="315528"/>
                </a:cubicBezTo>
                <a:close/>
                <a:moveTo>
                  <a:pt x="503662" y="315528"/>
                </a:moveTo>
                <a:cubicBezTo>
                  <a:pt x="493198" y="315528"/>
                  <a:pt x="484717" y="322914"/>
                  <a:pt x="484717" y="332024"/>
                </a:cubicBezTo>
                <a:cubicBezTo>
                  <a:pt x="484717" y="341135"/>
                  <a:pt x="493198" y="348520"/>
                  <a:pt x="503662" y="348520"/>
                </a:cubicBezTo>
                <a:cubicBezTo>
                  <a:pt x="514126" y="348520"/>
                  <a:pt x="522607" y="341135"/>
                  <a:pt x="522607" y="332024"/>
                </a:cubicBezTo>
                <a:cubicBezTo>
                  <a:pt x="522607" y="322914"/>
                  <a:pt x="514126" y="315528"/>
                  <a:pt x="503662" y="315528"/>
                </a:cubicBezTo>
                <a:close/>
                <a:moveTo>
                  <a:pt x="703653" y="315528"/>
                </a:moveTo>
                <a:cubicBezTo>
                  <a:pt x="693190" y="315528"/>
                  <a:pt x="684709" y="322914"/>
                  <a:pt x="684709" y="332024"/>
                </a:cubicBezTo>
                <a:cubicBezTo>
                  <a:pt x="684709" y="341135"/>
                  <a:pt x="693190" y="348520"/>
                  <a:pt x="703653" y="348520"/>
                </a:cubicBezTo>
                <a:cubicBezTo>
                  <a:pt x="714117" y="348520"/>
                  <a:pt x="722600" y="341135"/>
                  <a:pt x="722600" y="332024"/>
                </a:cubicBezTo>
                <a:cubicBezTo>
                  <a:pt x="722600" y="322914"/>
                  <a:pt x="714117" y="315528"/>
                  <a:pt x="703653" y="315528"/>
                </a:cubicBezTo>
                <a:close/>
                <a:moveTo>
                  <a:pt x="903646" y="315528"/>
                </a:moveTo>
                <a:cubicBezTo>
                  <a:pt x="893183" y="315528"/>
                  <a:pt x="884701" y="322914"/>
                  <a:pt x="884701" y="332024"/>
                </a:cubicBezTo>
                <a:cubicBezTo>
                  <a:pt x="884701" y="341135"/>
                  <a:pt x="893183" y="348520"/>
                  <a:pt x="903646" y="348520"/>
                </a:cubicBezTo>
                <a:cubicBezTo>
                  <a:pt x="914110" y="348520"/>
                  <a:pt x="922591" y="341135"/>
                  <a:pt x="922591" y="332024"/>
                </a:cubicBezTo>
                <a:cubicBezTo>
                  <a:pt x="922591" y="322914"/>
                  <a:pt x="914110" y="315528"/>
                  <a:pt x="903646" y="315528"/>
                </a:cubicBezTo>
                <a:close/>
                <a:moveTo>
                  <a:pt x="1103638" y="315528"/>
                </a:moveTo>
                <a:cubicBezTo>
                  <a:pt x="1093175" y="315528"/>
                  <a:pt x="1084694" y="322914"/>
                  <a:pt x="1084694" y="332024"/>
                </a:cubicBezTo>
                <a:cubicBezTo>
                  <a:pt x="1084694" y="341135"/>
                  <a:pt x="1093175" y="348520"/>
                  <a:pt x="1103638" y="348520"/>
                </a:cubicBezTo>
                <a:cubicBezTo>
                  <a:pt x="1114102" y="348520"/>
                  <a:pt x="1122584" y="341135"/>
                  <a:pt x="1122584" y="332024"/>
                </a:cubicBezTo>
                <a:cubicBezTo>
                  <a:pt x="1122584" y="322914"/>
                  <a:pt x="1114102" y="315528"/>
                  <a:pt x="1103638" y="315528"/>
                </a:cubicBezTo>
                <a:close/>
                <a:moveTo>
                  <a:pt x="1303631" y="315528"/>
                </a:moveTo>
                <a:cubicBezTo>
                  <a:pt x="1293167" y="315528"/>
                  <a:pt x="1284685" y="322914"/>
                  <a:pt x="1284685" y="332024"/>
                </a:cubicBezTo>
                <a:cubicBezTo>
                  <a:pt x="1284685" y="341135"/>
                  <a:pt x="1293167" y="348520"/>
                  <a:pt x="1303631" y="348520"/>
                </a:cubicBezTo>
                <a:cubicBezTo>
                  <a:pt x="1314095" y="348520"/>
                  <a:pt x="1322576" y="341135"/>
                  <a:pt x="1322576" y="332024"/>
                </a:cubicBezTo>
                <a:cubicBezTo>
                  <a:pt x="1322576" y="322914"/>
                  <a:pt x="1314095" y="315528"/>
                  <a:pt x="1303631" y="315528"/>
                </a:cubicBezTo>
                <a:close/>
                <a:moveTo>
                  <a:pt x="1505923" y="315528"/>
                </a:moveTo>
                <a:cubicBezTo>
                  <a:pt x="1495460" y="315528"/>
                  <a:pt x="1486979" y="322914"/>
                  <a:pt x="1486979" y="332024"/>
                </a:cubicBezTo>
                <a:cubicBezTo>
                  <a:pt x="1486979" y="341135"/>
                  <a:pt x="1495460" y="348520"/>
                  <a:pt x="1505923" y="348520"/>
                </a:cubicBezTo>
                <a:cubicBezTo>
                  <a:pt x="1516387" y="348520"/>
                  <a:pt x="1524868" y="341135"/>
                  <a:pt x="1524868" y="332024"/>
                </a:cubicBezTo>
                <a:cubicBezTo>
                  <a:pt x="1524868" y="322914"/>
                  <a:pt x="1516387" y="315528"/>
                  <a:pt x="1505923" y="315528"/>
                </a:cubicBezTo>
                <a:close/>
                <a:moveTo>
                  <a:pt x="1703085" y="315528"/>
                </a:moveTo>
                <a:cubicBezTo>
                  <a:pt x="1692623" y="315528"/>
                  <a:pt x="1684140" y="322914"/>
                  <a:pt x="1684140" y="332024"/>
                </a:cubicBezTo>
                <a:cubicBezTo>
                  <a:pt x="1684140" y="341135"/>
                  <a:pt x="1692623" y="348520"/>
                  <a:pt x="1703085" y="348520"/>
                </a:cubicBezTo>
                <a:cubicBezTo>
                  <a:pt x="1713550" y="348520"/>
                  <a:pt x="1722031" y="341135"/>
                  <a:pt x="1722031" y="332024"/>
                </a:cubicBezTo>
                <a:cubicBezTo>
                  <a:pt x="1722031" y="322914"/>
                  <a:pt x="1713550" y="315528"/>
                  <a:pt x="1703085" y="315528"/>
                </a:cubicBezTo>
                <a:close/>
                <a:moveTo>
                  <a:pt x="1905908" y="315528"/>
                </a:moveTo>
                <a:cubicBezTo>
                  <a:pt x="1895444" y="315528"/>
                  <a:pt x="1886962" y="322914"/>
                  <a:pt x="1886962" y="332024"/>
                </a:cubicBezTo>
                <a:cubicBezTo>
                  <a:pt x="1886962" y="341135"/>
                  <a:pt x="1895444" y="348520"/>
                  <a:pt x="1905908" y="348520"/>
                </a:cubicBezTo>
                <a:cubicBezTo>
                  <a:pt x="1916372" y="348520"/>
                  <a:pt x="1924855" y="341135"/>
                  <a:pt x="1924855" y="332024"/>
                </a:cubicBezTo>
                <a:cubicBezTo>
                  <a:pt x="1924855" y="322914"/>
                  <a:pt x="1916372" y="315528"/>
                  <a:pt x="1905908" y="315528"/>
                </a:cubicBezTo>
                <a:close/>
                <a:moveTo>
                  <a:pt x="2105231" y="315528"/>
                </a:moveTo>
                <a:cubicBezTo>
                  <a:pt x="2094769" y="315528"/>
                  <a:pt x="2086286" y="322914"/>
                  <a:pt x="2086286" y="332024"/>
                </a:cubicBezTo>
                <a:cubicBezTo>
                  <a:pt x="2086286" y="341135"/>
                  <a:pt x="2094769" y="348520"/>
                  <a:pt x="2105231" y="348520"/>
                </a:cubicBezTo>
                <a:cubicBezTo>
                  <a:pt x="2115694" y="348520"/>
                  <a:pt x="2124177" y="341135"/>
                  <a:pt x="2124177" y="332024"/>
                </a:cubicBezTo>
                <a:cubicBezTo>
                  <a:pt x="2124177" y="322914"/>
                  <a:pt x="2115694" y="315528"/>
                  <a:pt x="2105231" y="315528"/>
                </a:cubicBezTo>
                <a:close/>
                <a:moveTo>
                  <a:pt x="280058" y="352185"/>
                </a:moveTo>
                <a:lnTo>
                  <a:pt x="280058" y="352410"/>
                </a:lnTo>
                <a:lnTo>
                  <a:pt x="279441" y="352375"/>
                </a:lnTo>
                <a:cubicBezTo>
                  <a:pt x="276104" y="352781"/>
                  <a:pt x="273205" y="354874"/>
                  <a:pt x="272279" y="357886"/>
                </a:cubicBezTo>
                <a:lnTo>
                  <a:pt x="255797" y="411442"/>
                </a:lnTo>
                <a:cubicBezTo>
                  <a:pt x="254561" y="415458"/>
                  <a:pt x="257298" y="419586"/>
                  <a:pt x="261911" y="420662"/>
                </a:cubicBezTo>
                <a:lnTo>
                  <a:pt x="263944" y="421136"/>
                </a:lnTo>
                <a:cubicBezTo>
                  <a:pt x="268557" y="422212"/>
                  <a:pt x="273297" y="419828"/>
                  <a:pt x="274533" y="415813"/>
                </a:cubicBezTo>
                <a:lnTo>
                  <a:pt x="280058" y="397857"/>
                </a:lnTo>
                <a:lnTo>
                  <a:pt x="280058" y="418041"/>
                </a:lnTo>
                <a:lnTo>
                  <a:pt x="280058" y="424655"/>
                </a:lnTo>
                <a:lnTo>
                  <a:pt x="280058" y="473487"/>
                </a:lnTo>
                <a:cubicBezTo>
                  <a:pt x="280058" y="477644"/>
                  <a:pt x="283930" y="481014"/>
                  <a:pt x="288705" y="481014"/>
                </a:cubicBezTo>
                <a:lnTo>
                  <a:pt x="290809" y="481014"/>
                </a:lnTo>
                <a:cubicBezTo>
                  <a:pt x="295584" y="481014"/>
                  <a:pt x="299455" y="477644"/>
                  <a:pt x="299455" y="473487"/>
                </a:cubicBezTo>
                <a:lnTo>
                  <a:pt x="299455" y="424655"/>
                </a:lnTo>
                <a:lnTo>
                  <a:pt x="306898" y="424655"/>
                </a:lnTo>
                <a:lnTo>
                  <a:pt x="306898" y="473487"/>
                </a:lnTo>
                <a:cubicBezTo>
                  <a:pt x="306898" y="477644"/>
                  <a:pt x="310769" y="481014"/>
                  <a:pt x="315544" y="481014"/>
                </a:cubicBezTo>
                <a:lnTo>
                  <a:pt x="317649" y="481014"/>
                </a:lnTo>
                <a:cubicBezTo>
                  <a:pt x="322423" y="481014"/>
                  <a:pt x="326293" y="477644"/>
                  <a:pt x="326293" y="473487"/>
                </a:cubicBezTo>
                <a:lnTo>
                  <a:pt x="326293" y="424655"/>
                </a:lnTo>
                <a:lnTo>
                  <a:pt x="326293" y="418041"/>
                </a:lnTo>
                <a:lnTo>
                  <a:pt x="326293" y="400049"/>
                </a:lnTo>
                <a:lnTo>
                  <a:pt x="331145" y="415813"/>
                </a:lnTo>
                <a:cubicBezTo>
                  <a:pt x="332381" y="419828"/>
                  <a:pt x="337122" y="422212"/>
                  <a:pt x="341734" y="421136"/>
                </a:cubicBezTo>
                <a:lnTo>
                  <a:pt x="343767" y="420662"/>
                </a:lnTo>
                <a:cubicBezTo>
                  <a:pt x="348380" y="419586"/>
                  <a:pt x="351116" y="415458"/>
                  <a:pt x="349881" y="411442"/>
                </a:cubicBezTo>
                <a:lnTo>
                  <a:pt x="333400" y="357886"/>
                </a:lnTo>
                <a:cubicBezTo>
                  <a:pt x="332936" y="356380"/>
                  <a:pt x="331980" y="355103"/>
                  <a:pt x="330722" y="354153"/>
                </a:cubicBezTo>
                <a:lnTo>
                  <a:pt x="326293" y="352399"/>
                </a:lnTo>
                <a:lnTo>
                  <a:pt x="326293" y="352185"/>
                </a:lnTo>
                <a:lnTo>
                  <a:pt x="280058" y="352185"/>
                </a:lnTo>
                <a:close/>
                <a:moveTo>
                  <a:pt x="480053" y="352185"/>
                </a:moveTo>
                <a:lnTo>
                  <a:pt x="480053" y="352410"/>
                </a:lnTo>
                <a:lnTo>
                  <a:pt x="479436" y="352375"/>
                </a:lnTo>
                <a:cubicBezTo>
                  <a:pt x="476099" y="352781"/>
                  <a:pt x="473200" y="354874"/>
                  <a:pt x="472272" y="357886"/>
                </a:cubicBezTo>
                <a:lnTo>
                  <a:pt x="455791" y="411442"/>
                </a:lnTo>
                <a:cubicBezTo>
                  <a:pt x="454555" y="415458"/>
                  <a:pt x="457292" y="419586"/>
                  <a:pt x="461906" y="420662"/>
                </a:cubicBezTo>
                <a:lnTo>
                  <a:pt x="463938" y="421136"/>
                </a:lnTo>
                <a:cubicBezTo>
                  <a:pt x="468550" y="422212"/>
                  <a:pt x="473292" y="419828"/>
                  <a:pt x="474527" y="415813"/>
                </a:cubicBezTo>
                <a:lnTo>
                  <a:pt x="480053" y="397857"/>
                </a:lnTo>
                <a:lnTo>
                  <a:pt x="480053" y="418041"/>
                </a:lnTo>
                <a:lnTo>
                  <a:pt x="480053" y="424655"/>
                </a:lnTo>
                <a:lnTo>
                  <a:pt x="480053" y="473487"/>
                </a:lnTo>
                <a:cubicBezTo>
                  <a:pt x="480053" y="477644"/>
                  <a:pt x="483924" y="481014"/>
                  <a:pt x="488698" y="481014"/>
                </a:cubicBezTo>
                <a:lnTo>
                  <a:pt x="490804" y="481014"/>
                </a:lnTo>
                <a:cubicBezTo>
                  <a:pt x="495578" y="481014"/>
                  <a:pt x="499450" y="477644"/>
                  <a:pt x="499450" y="473487"/>
                </a:cubicBezTo>
                <a:lnTo>
                  <a:pt x="499450" y="424655"/>
                </a:lnTo>
                <a:lnTo>
                  <a:pt x="506892" y="424655"/>
                </a:lnTo>
                <a:lnTo>
                  <a:pt x="506892" y="473487"/>
                </a:lnTo>
                <a:cubicBezTo>
                  <a:pt x="506892" y="477644"/>
                  <a:pt x="510763" y="481014"/>
                  <a:pt x="515538" y="481014"/>
                </a:cubicBezTo>
                <a:lnTo>
                  <a:pt x="517643" y="481014"/>
                </a:lnTo>
                <a:cubicBezTo>
                  <a:pt x="522418" y="481014"/>
                  <a:pt x="526287" y="477644"/>
                  <a:pt x="526287" y="473487"/>
                </a:cubicBezTo>
                <a:lnTo>
                  <a:pt x="526287" y="424655"/>
                </a:lnTo>
                <a:lnTo>
                  <a:pt x="526287" y="418041"/>
                </a:lnTo>
                <a:lnTo>
                  <a:pt x="526287" y="400049"/>
                </a:lnTo>
                <a:lnTo>
                  <a:pt x="531139" y="415813"/>
                </a:lnTo>
                <a:cubicBezTo>
                  <a:pt x="532375" y="419828"/>
                  <a:pt x="537116" y="422212"/>
                  <a:pt x="541727" y="421136"/>
                </a:cubicBezTo>
                <a:lnTo>
                  <a:pt x="543761" y="420662"/>
                </a:lnTo>
                <a:cubicBezTo>
                  <a:pt x="548373" y="419586"/>
                  <a:pt x="551110" y="415458"/>
                  <a:pt x="549875" y="411442"/>
                </a:cubicBezTo>
                <a:lnTo>
                  <a:pt x="533394" y="357886"/>
                </a:lnTo>
                <a:cubicBezTo>
                  <a:pt x="532930" y="356380"/>
                  <a:pt x="531974" y="355103"/>
                  <a:pt x="530716" y="354153"/>
                </a:cubicBezTo>
                <a:lnTo>
                  <a:pt x="526287" y="352399"/>
                </a:lnTo>
                <a:lnTo>
                  <a:pt x="526287" y="352185"/>
                </a:lnTo>
                <a:lnTo>
                  <a:pt x="480053" y="352185"/>
                </a:lnTo>
                <a:close/>
                <a:moveTo>
                  <a:pt x="680045" y="352185"/>
                </a:moveTo>
                <a:lnTo>
                  <a:pt x="680045" y="352410"/>
                </a:lnTo>
                <a:lnTo>
                  <a:pt x="679427" y="352375"/>
                </a:lnTo>
                <a:cubicBezTo>
                  <a:pt x="676090" y="352781"/>
                  <a:pt x="673192" y="354874"/>
                  <a:pt x="672265" y="357886"/>
                </a:cubicBezTo>
                <a:lnTo>
                  <a:pt x="655783" y="411442"/>
                </a:lnTo>
                <a:cubicBezTo>
                  <a:pt x="654547" y="415458"/>
                  <a:pt x="657285" y="419586"/>
                  <a:pt x="661899" y="420662"/>
                </a:cubicBezTo>
                <a:lnTo>
                  <a:pt x="663930" y="421136"/>
                </a:lnTo>
                <a:cubicBezTo>
                  <a:pt x="668542" y="422212"/>
                  <a:pt x="673282" y="419828"/>
                  <a:pt x="674518" y="415813"/>
                </a:cubicBezTo>
                <a:lnTo>
                  <a:pt x="680045" y="397857"/>
                </a:lnTo>
                <a:lnTo>
                  <a:pt x="680045" y="418041"/>
                </a:lnTo>
                <a:lnTo>
                  <a:pt x="680045" y="424655"/>
                </a:lnTo>
                <a:lnTo>
                  <a:pt x="680045" y="473487"/>
                </a:lnTo>
                <a:cubicBezTo>
                  <a:pt x="680045" y="477644"/>
                  <a:pt x="683916" y="481014"/>
                  <a:pt x="688691" y="481014"/>
                </a:cubicBezTo>
                <a:lnTo>
                  <a:pt x="690797" y="481014"/>
                </a:lnTo>
                <a:cubicBezTo>
                  <a:pt x="695570" y="481014"/>
                  <a:pt x="699443" y="477644"/>
                  <a:pt x="699443" y="473487"/>
                </a:cubicBezTo>
                <a:lnTo>
                  <a:pt x="699443" y="424655"/>
                </a:lnTo>
                <a:lnTo>
                  <a:pt x="706884" y="424655"/>
                </a:lnTo>
                <a:lnTo>
                  <a:pt x="706884" y="473487"/>
                </a:lnTo>
                <a:cubicBezTo>
                  <a:pt x="706884" y="477644"/>
                  <a:pt x="710754" y="481014"/>
                  <a:pt x="715530" y="481014"/>
                </a:cubicBezTo>
                <a:lnTo>
                  <a:pt x="717635" y="481014"/>
                </a:lnTo>
                <a:cubicBezTo>
                  <a:pt x="722411" y="481014"/>
                  <a:pt x="726280" y="477644"/>
                  <a:pt x="726280" y="473487"/>
                </a:cubicBezTo>
                <a:lnTo>
                  <a:pt x="726280" y="424655"/>
                </a:lnTo>
                <a:lnTo>
                  <a:pt x="726280" y="418041"/>
                </a:lnTo>
                <a:lnTo>
                  <a:pt x="726280" y="400049"/>
                </a:lnTo>
                <a:lnTo>
                  <a:pt x="731132" y="415813"/>
                </a:lnTo>
                <a:cubicBezTo>
                  <a:pt x="732368" y="419828"/>
                  <a:pt x="737108" y="422212"/>
                  <a:pt x="741720" y="421136"/>
                </a:cubicBezTo>
                <a:lnTo>
                  <a:pt x="743753" y="420662"/>
                </a:lnTo>
                <a:cubicBezTo>
                  <a:pt x="748365" y="419586"/>
                  <a:pt x="751103" y="415458"/>
                  <a:pt x="749868" y="411442"/>
                </a:cubicBezTo>
                <a:lnTo>
                  <a:pt x="733385" y="357886"/>
                </a:lnTo>
                <a:cubicBezTo>
                  <a:pt x="732923" y="356380"/>
                  <a:pt x="731967" y="355103"/>
                  <a:pt x="730709" y="354153"/>
                </a:cubicBezTo>
                <a:lnTo>
                  <a:pt x="726280" y="352399"/>
                </a:lnTo>
                <a:lnTo>
                  <a:pt x="726280" y="352185"/>
                </a:lnTo>
                <a:lnTo>
                  <a:pt x="680045" y="352185"/>
                </a:lnTo>
                <a:close/>
                <a:moveTo>
                  <a:pt x="880037" y="352185"/>
                </a:moveTo>
                <a:lnTo>
                  <a:pt x="880037" y="352410"/>
                </a:lnTo>
                <a:lnTo>
                  <a:pt x="879420" y="352375"/>
                </a:lnTo>
                <a:cubicBezTo>
                  <a:pt x="876083" y="352781"/>
                  <a:pt x="873184" y="354874"/>
                  <a:pt x="872256" y="357886"/>
                </a:cubicBezTo>
                <a:lnTo>
                  <a:pt x="855776" y="411442"/>
                </a:lnTo>
                <a:cubicBezTo>
                  <a:pt x="854540" y="415458"/>
                  <a:pt x="857277" y="419586"/>
                  <a:pt x="861890" y="420662"/>
                </a:cubicBezTo>
                <a:lnTo>
                  <a:pt x="863923" y="421136"/>
                </a:lnTo>
                <a:cubicBezTo>
                  <a:pt x="868534" y="422212"/>
                  <a:pt x="873275" y="419828"/>
                  <a:pt x="874511" y="415813"/>
                </a:cubicBezTo>
                <a:lnTo>
                  <a:pt x="880037" y="397857"/>
                </a:lnTo>
                <a:lnTo>
                  <a:pt x="880037" y="418041"/>
                </a:lnTo>
                <a:lnTo>
                  <a:pt x="880037" y="424655"/>
                </a:lnTo>
                <a:lnTo>
                  <a:pt x="880037" y="473487"/>
                </a:lnTo>
                <a:cubicBezTo>
                  <a:pt x="880037" y="477644"/>
                  <a:pt x="883909" y="481014"/>
                  <a:pt x="888683" y="481014"/>
                </a:cubicBezTo>
                <a:lnTo>
                  <a:pt x="890788" y="481014"/>
                </a:lnTo>
                <a:cubicBezTo>
                  <a:pt x="895563" y="481014"/>
                  <a:pt x="899434" y="477644"/>
                  <a:pt x="899434" y="473487"/>
                </a:cubicBezTo>
                <a:lnTo>
                  <a:pt x="899434" y="424655"/>
                </a:lnTo>
                <a:lnTo>
                  <a:pt x="906877" y="424655"/>
                </a:lnTo>
                <a:lnTo>
                  <a:pt x="906877" y="473487"/>
                </a:lnTo>
                <a:cubicBezTo>
                  <a:pt x="906877" y="477644"/>
                  <a:pt x="910747" y="481014"/>
                  <a:pt x="915521" y="481014"/>
                </a:cubicBezTo>
                <a:lnTo>
                  <a:pt x="917628" y="481014"/>
                </a:lnTo>
                <a:cubicBezTo>
                  <a:pt x="922402" y="481014"/>
                  <a:pt x="926272" y="477644"/>
                  <a:pt x="926272" y="473487"/>
                </a:cubicBezTo>
                <a:lnTo>
                  <a:pt x="926272" y="424655"/>
                </a:lnTo>
                <a:lnTo>
                  <a:pt x="926272" y="418041"/>
                </a:lnTo>
                <a:lnTo>
                  <a:pt x="926272" y="400049"/>
                </a:lnTo>
                <a:lnTo>
                  <a:pt x="931123" y="415813"/>
                </a:lnTo>
                <a:cubicBezTo>
                  <a:pt x="932359" y="419828"/>
                  <a:pt x="937100" y="422212"/>
                  <a:pt x="941712" y="421136"/>
                </a:cubicBezTo>
                <a:lnTo>
                  <a:pt x="943745" y="420662"/>
                </a:lnTo>
                <a:cubicBezTo>
                  <a:pt x="948358" y="419586"/>
                  <a:pt x="951095" y="415458"/>
                  <a:pt x="949860" y="411442"/>
                </a:cubicBezTo>
                <a:lnTo>
                  <a:pt x="933378" y="357886"/>
                </a:lnTo>
                <a:cubicBezTo>
                  <a:pt x="932915" y="356380"/>
                  <a:pt x="931958" y="355103"/>
                  <a:pt x="930701" y="354153"/>
                </a:cubicBezTo>
                <a:lnTo>
                  <a:pt x="926272" y="352399"/>
                </a:lnTo>
                <a:lnTo>
                  <a:pt x="926272" y="352185"/>
                </a:lnTo>
                <a:lnTo>
                  <a:pt x="880037" y="352185"/>
                </a:lnTo>
                <a:close/>
                <a:moveTo>
                  <a:pt x="1080030" y="352185"/>
                </a:moveTo>
                <a:lnTo>
                  <a:pt x="1080030" y="352410"/>
                </a:lnTo>
                <a:lnTo>
                  <a:pt x="1079412" y="352375"/>
                </a:lnTo>
                <a:cubicBezTo>
                  <a:pt x="1076075" y="352781"/>
                  <a:pt x="1073176" y="354874"/>
                  <a:pt x="1072249" y="357886"/>
                </a:cubicBezTo>
                <a:lnTo>
                  <a:pt x="1055767" y="411442"/>
                </a:lnTo>
                <a:cubicBezTo>
                  <a:pt x="1054531" y="415458"/>
                  <a:pt x="1057269" y="419586"/>
                  <a:pt x="1061881" y="420662"/>
                </a:cubicBezTo>
                <a:lnTo>
                  <a:pt x="1063914" y="421136"/>
                </a:lnTo>
                <a:cubicBezTo>
                  <a:pt x="1068527" y="422212"/>
                  <a:pt x="1073267" y="419828"/>
                  <a:pt x="1074503" y="415813"/>
                </a:cubicBezTo>
                <a:lnTo>
                  <a:pt x="1080030" y="397857"/>
                </a:lnTo>
                <a:lnTo>
                  <a:pt x="1080030" y="418041"/>
                </a:lnTo>
                <a:lnTo>
                  <a:pt x="1080030" y="424655"/>
                </a:lnTo>
                <a:lnTo>
                  <a:pt x="1080030" y="473487"/>
                </a:lnTo>
                <a:cubicBezTo>
                  <a:pt x="1080030" y="477644"/>
                  <a:pt x="1083900" y="481014"/>
                  <a:pt x="1088676" y="481014"/>
                </a:cubicBezTo>
                <a:lnTo>
                  <a:pt x="1090781" y="481014"/>
                </a:lnTo>
                <a:cubicBezTo>
                  <a:pt x="1095554" y="481014"/>
                  <a:pt x="1099427" y="477644"/>
                  <a:pt x="1099427" y="473487"/>
                </a:cubicBezTo>
                <a:lnTo>
                  <a:pt x="1099427" y="424655"/>
                </a:lnTo>
                <a:lnTo>
                  <a:pt x="1106868" y="424655"/>
                </a:lnTo>
                <a:lnTo>
                  <a:pt x="1106868" y="473487"/>
                </a:lnTo>
                <a:cubicBezTo>
                  <a:pt x="1106868" y="477644"/>
                  <a:pt x="1110739" y="481014"/>
                  <a:pt x="1115514" y="481014"/>
                </a:cubicBezTo>
                <a:lnTo>
                  <a:pt x="1117619" y="481014"/>
                </a:lnTo>
                <a:cubicBezTo>
                  <a:pt x="1122395" y="481014"/>
                  <a:pt x="1126264" y="477644"/>
                  <a:pt x="1126264" y="473487"/>
                </a:cubicBezTo>
                <a:lnTo>
                  <a:pt x="1126264" y="424655"/>
                </a:lnTo>
                <a:lnTo>
                  <a:pt x="1126264" y="418041"/>
                </a:lnTo>
                <a:lnTo>
                  <a:pt x="1126264" y="400049"/>
                </a:lnTo>
                <a:lnTo>
                  <a:pt x="1131115" y="415813"/>
                </a:lnTo>
                <a:cubicBezTo>
                  <a:pt x="1132352" y="419828"/>
                  <a:pt x="1137092" y="422212"/>
                  <a:pt x="1141704" y="421136"/>
                </a:cubicBezTo>
                <a:lnTo>
                  <a:pt x="1143738" y="420662"/>
                </a:lnTo>
                <a:cubicBezTo>
                  <a:pt x="1148350" y="419586"/>
                  <a:pt x="1151086" y="415458"/>
                  <a:pt x="1149853" y="411442"/>
                </a:cubicBezTo>
                <a:lnTo>
                  <a:pt x="1133370" y="357886"/>
                </a:lnTo>
                <a:cubicBezTo>
                  <a:pt x="1132906" y="356380"/>
                  <a:pt x="1131950" y="355103"/>
                  <a:pt x="1130693" y="354153"/>
                </a:cubicBezTo>
                <a:lnTo>
                  <a:pt x="1126264" y="352399"/>
                </a:lnTo>
                <a:lnTo>
                  <a:pt x="1126264" y="352185"/>
                </a:lnTo>
                <a:lnTo>
                  <a:pt x="1080030" y="352185"/>
                </a:lnTo>
                <a:close/>
                <a:moveTo>
                  <a:pt x="1280022" y="352185"/>
                </a:moveTo>
                <a:lnTo>
                  <a:pt x="1280022" y="352410"/>
                </a:lnTo>
                <a:lnTo>
                  <a:pt x="1279405" y="352375"/>
                </a:lnTo>
                <a:cubicBezTo>
                  <a:pt x="1276068" y="352781"/>
                  <a:pt x="1273169" y="354874"/>
                  <a:pt x="1272241" y="357886"/>
                </a:cubicBezTo>
                <a:lnTo>
                  <a:pt x="1255760" y="411442"/>
                </a:lnTo>
                <a:cubicBezTo>
                  <a:pt x="1254524" y="415458"/>
                  <a:pt x="1257261" y="419586"/>
                  <a:pt x="1261874" y="420662"/>
                </a:cubicBezTo>
                <a:lnTo>
                  <a:pt x="1263907" y="421136"/>
                </a:lnTo>
                <a:cubicBezTo>
                  <a:pt x="1268519" y="422212"/>
                  <a:pt x="1273260" y="419828"/>
                  <a:pt x="1274496" y="415813"/>
                </a:cubicBezTo>
                <a:lnTo>
                  <a:pt x="1280022" y="397857"/>
                </a:lnTo>
                <a:lnTo>
                  <a:pt x="1280022" y="418041"/>
                </a:lnTo>
                <a:lnTo>
                  <a:pt x="1280022" y="424655"/>
                </a:lnTo>
                <a:lnTo>
                  <a:pt x="1280022" y="473487"/>
                </a:lnTo>
                <a:cubicBezTo>
                  <a:pt x="1280022" y="477644"/>
                  <a:pt x="1283892" y="481014"/>
                  <a:pt x="1288667" y="481014"/>
                </a:cubicBezTo>
                <a:lnTo>
                  <a:pt x="1290773" y="481014"/>
                </a:lnTo>
                <a:cubicBezTo>
                  <a:pt x="1295546" y="481014"/>
                  <a:pt x="1299419" y="477644"/>
                  <a:pt x="1299419" y="473487"/>
                </a:cubicBezTo>
                <a:lnTo>
                  <a:pt x="1299419" y="424655"/>
                </a:lnTo>
                <a:lnTo>
                  <a:pt x="1306860" y="424655"/>
                </a:lnTo>
                <a:lnTo>
                  <a:pt x="1306860" y="473487"/>
                </a:lnTo>
                <a:cubicBezTo>
                  <a:pt x="1306860" y="477644"/>
                  <a:pt x="1310732" y="481014"/>
                  <a:pt x="1315506" y="481014"/>
                </a:cubicBezTo>
                <a:lnTo>
                  <a:pt x="1317610" y="481014"/>
                </a:lnTo>
                <a:cubicBezTo>
                  <a:pt x="1322387" y="481014"/>
                  <a:pt x="1326256" y="477644"/>
                  <a:pt x="1326256" y="473487"/>
                </a:cubicBezTo>
                <a:lnTo>
                  <a:pt x="1326256" y="424655"/>
                </a:lnTo>
                <a:lnTo>
                  <a:pt x="1326256" y="418041"/>
                </a:lnTo>
                <a:lnTo>
                  <a:pt x="1326256" y="400049"/>
                </a:lnTo>
                <a:lnTo>
                  <a:pt x="1331108" y="415813"/>
                </a:lnTo>
                <a:cubicBezTo>
                  <a:pt x="1332344" y="419828"/>
                  <a:pt x="1337084" y="422212"/>
                  <a:pt x="1341696" y="421136"/>
                </a:cubicBezTo>
                <a:lnTo>
                  <a:pt x="1343730" y="420662"/>
                </a:lnTo>
                <a:cubicBezTo>
                  <a:pt x="1348342" y="419586"/>
                  <a:pt x="1351079" y="415458"/>
                  <a:pt x="1349844" y="411442"/>
                </a:cubicBezTo>
                <a:lnTo>
                  <a:pt x="1333361" y="357886"/>
                </a:lnTo>
                <a:cubicBezTo>
                  <a:pt x="1332899" y="356380"/>
                  <a:pt x="1331943" y="355103"/>
                  <a:pt x="1330685" y="354153"/>
                </a:cubicBezTo>
                <a:lnTo>
                  <a:pt x="1326256" y="352399"/>
                </a:lnTo>
                <a:lnTo>
                  <a:pt x="1326256" y="352185"/>
                </a:lnTo>
                <a:lnTo>
                  <a:pt x="1280022" y="352185"/>
                </a:lnTo>
                <a:close/>
                <a:moveTo>
                  <a:pt x="1482314" y="352185"/>
                </a:moveTo>
                <a:lnTo>
                  <a:pt x="1482314" y="352410"/>
                </a:lnTo>
                <a:lnTo>
                  <a:pt x="1481697" y="352375"/>
                </a:lnTo>
                <a:cubicBezTo>
                  <a:pt x="1478360" y="352781"/>
                  <a:pt x="1475461" y="354874"/>
                  <a:pt x="1474533" y="357886"/>
                </a:cubicBezTo>
                <a:lnTo>
                  <a:pt x="1458052" y="411442"/>
                </a:lnTo>
                <a:cubicBezTo>
                  <a:pt x="1456817" y="415458"/>
                  <a:pt x="1459553" y="419586"/>
                  <a:pt x="1464166" y="420662"/>
                </a:cubicBezTo>
                <a:lnTo>
                  <a:pt x="1466199" y="421136"/>
                </a:lnTo>
                <a:cubicBezTo>
                  <a:pt x="1470811" y="422212"/>
                  <a:pt x="1475552" y="419828"/>
                  <a:pt x="1476788" y="415813"/>
                </a:cubicBezTo>
                <a:lnTo>
                  <a:pt x="1482314" y="397857"/>
                </a:lnTo>
                <a:lnTo>
                  <a:pt x="1482314" y="418041"/>
                </a:lnTo>
                <a:lnTo>
                  <a:pt x="1482314" y="424655"/>
                </a:lnTo>
                <a:lnTo>
                  <a:pt x="1482314" y="473487"/>
                </a:lnTo>
                <a:cubicBezTo>
                  <a:pt x="1482314" y="477644"/>
                  <a:pt x="1486185" y="481014"/>
                  <a:pt x="1490960" y="481014"/>
                </a:cubicBezTo>
                <a:lnTo>
                  <a:pt x="1493064" y="481014"/>
                </a:lnTo>
                <a:cubicBezTo>
                  <a:pt x="1497840" y="481014"/>
                  <a:pt x="1501710" y="477644"/>
                  <a:pt x="1501710" y="473487"/>
                </a:cubicBezTo>
                <a:lnTo>
                  <a:pt x="1501710" y="424655"/>
                </a:lnTo>
                <a:lnTo>
                  <a:pt x="1509153" y="424655"/>
                </a:lnTo>
                <a:lnTo>
                  <a:pt x="1509153" y="473487"/>
                </a:lnTo>
                <a:cubicBezTo>
                  <a:pt x="1509153" y="477644"/>
                  <a:pt x="1513024" y="481014"/>
                  <a:pt x="1517799" y="481014"/>
                </a:cubicBezTo>
                <a:lnTo>
                  <a:pt x="1519903" y="481014"/>
                </a:lnTo>
                <a:cubicBezTo>
                  <a:pt x="1524678" y="481014"/>
                  <a:pt x="1528549" y="477644"/>
                  <a:pt x="1528549" y="473487"/>
                </a:cubicBezTo>
                <a:lnTo>
                  <a:pt x="1528549" y="424655"/>
                </a:lnTo>
                <a:lnTo>
                  <a:pt x="1528549" y="418041"/>
                </a:lnTo>
                <a:lnTo>
                  <a:pt x="1528549" y="400049"/>
                </a:lnTo>
                <a:lnTo>
                  <a:pt x="1533400" y="415813"/>
                </a:lnTo>
                <a:cubicBezTo>
                  <a:pt x="1534636" y="419828"/>
                  <a:pt x="1539377" y="422212"/>
                  <a:pt x="1543989" y="421136"/>
                </a:cubicBezTo>
                <a:lnTo>
                  <a:pt x="1546022" y="420662"/>
                </a:lnTo>
                <a:cubicBezTo>
                  <a:pt x="1550635" y="419586"/>
                  <a:pt x="1553371" y="415458"/>
                  <a:pt x="1552136" y="411442"/>
                </a:cubicBezTo>
                <a:lnTo>
                  <a:pt x="1535655" y="357886"/>
                </a:lnTo>
                <a:cubicBezTo>
                  <a:pt x="1535191" y="356380"/>
                  <a:pt x="1534235" y="355103"/>
                  <a:pt x="1532977" y="354153"/>
                </a:cubicBezTo>
                <a:lnTo>
                  <a:pt x="1528549" y="352399"/>
                </a:lnTo>
                <a:lnTo>
                  <a:pt x="1528549" y="352185"/>
                </a:lnTo>
                <a:lnTo>
                  <a:pt x="1482314" y="352185"/>
                </a:lnTo>
                <a:close/>
                <a:moveTo>
                  <a:pt x="1679477" y="352185"/>
                </a:moveTo>
                <a:lnTo>
                  <a:pt x="1679477" y="352410"/>
                </a:lnTo>
                <a:lnTo>
                  <a:pt x="1678860" y="352375"/>
                </a:lnTo>
                <a:cubicBezTo>
                  <a:pt x="1675521" y="352781"/>
                  <a:pt x="1672623" y="354874"/>
                  <a:pt x="1671696" y="357886"/>
                </a:cubicBezTo>
                <a:lnTo>
                  <a:pt x="1655215" y="411442"/>
                </a:lnTo>
                <a:cubicBezTo>
                  <a:pt x="1653980" y="415458"/>
                  <a:pt x="1656716" y="419586"/>
                  <a:pt x="1661328" y="420662"/>
                </a:cubicBezTo>
                <a:lnTo>
                  <a:pt x="1663362" y="421136"/>
                </a:lnTo>
                <a:cubicBezTo>
                  <a:pt x="1667974" y="422212"/>
                  <a:pt x="1672715" y="419828"/>
                  <a:pt x="1673951" y="415813"/>
                </a:cubicBezTo>
                <a:lnTo>
                  <a:pt x="1679477" y="397857"/>
                </a:lnTo>
                <a:lnTo>
                  <a:pt x="1679477" y="418041"/>
                </a:lnTo>
                <a:lnTo>
                  <a:pt x="1679477" y="424655"/>
                </a:lnTo>
                <a:lnTo>
                  <a:pt x="1679477" y="473487"/>
                </a:lnTo>
                <a:cubicBezTo>
                  <a:pt x="1679477" y="477644"/>
                  <a:pt x="1683346" y="481014"/>
                  <a:pt x="1688123" y="481014"/>
                </a:cubicBezTo>
                <a:lnTo>
                  <a:pt x="1690227" y="481014"/>
                </a:lnTo>
                <a:cubicBezTo>
                  <a:pt x="1695001" y="481014"/>
                  <a:pt x="1698873" y="477644"/>
                  <a:pt x="1698873" y="473487"/>
                </a:cubicBezTo>
                <a:lnTo>
                  <a:pt x="1698873" y="424655"/>
                </a:lnTo>
                <a:lnTo>
                  <a:pt x="1706314" y="424655"/>
                </a:lnTo>
                <a:lnTo>
                  <a:pt x="1706314" y="473487"/>
                </a:lnTo>
                <a:cubicBezTo>
                  <a:pt x="1706314" y="477644"/>
                  <a:pt x="1710187" y="481014"/>
                  <a:pt x="1714961" y="481014"/>
                </a:cubicBezTo>
                <a:lnTo>
                  <a:pt x="1717066" y="481014"/>
                </a:lnTo>
                <a:cubicBezTo>
                  <a:pt x="1721841" y="481014"/>
                  <a:pt x="1725712" y="477644"/>
                  <a:pt x="1725712" y="473487"/>
                </a:cubicBezTo>
                <a:lnTo>
                  <a:pt x="1725712" y="424655"/>
                </a:lnTo>
                <a:lnTo>
                  <a:pt x="1725712" y="418041"/>
                </a:lnTo>
                <a:lnTo>
                  <a:pt x="1725712" y="400049"/>
                </a:lnTo>
                <a:lnTo>
                  <a:pt x="1730563" y="415813"/>
                </a:lnTo>
                <a:cubicBezTo>
                  <a:pt x="1731799" y="419828"/>
                  <a:pt x="1736539" y="422212"/>
                  <a:pt x="1741152" y="421136"/>
                </a:cubicBezTo>
                <a:lnTo>
                  <a:pt x="1743185" y="420662"/>
                </a:lnTo>
                <a:cubicBezTo>
                  <a:pt x="1747797" y="419586"/>
                  <a:pt x="1750534" y="415458"/>
                  <a:pt x="1749299" y="411442"/>
                </a:cubicBezTo>
                <a:lnTo>
                  <a:pt x="1732817" y="357886"/>
                </a:lnTo>
                <a:cubicBezTo>
                  <a:pt x="1732354" y="356380"/>
                  <a:pt x="1731398" y="355103"/>
                  <a:pt x="1730140" y="354153"/>
                </a:cubicBezTo>
                <a:lnTo>
                  <a:pt x="1725712" y="352399"/>
                </a:lnTo>
                <a:lnTo>
                  <a:pt x="1725712" y="352185"/>
                </a:lnTo>
                <a:lnTo>
                  <a:pt x="1679477" y="352185"/>
                </a:lnTo>
                <a:close/>
                <a:moveTo>
                  <a:pt x="1882298" y="352185"/>
                </a:moveTo>
                <a:lnTo>
                  <a:pt x="1882298" y="352410"/>
                </a:lnTo>
                <a:lnTo>
                  <a:pt x="1881681" y="352375"/>
                </a:lnTo>
                <a:cubicBezTo>
                  <a:pt x="1878344" y="352781"/>
                  <a:pt x="1875446" y="354874"/>
                  <a:pt x="1874518" y="357886"/>
                </a:cubicBezTo>
                <a:lnTo>
                  <a:pt x="1858037" y="411442"/>
                </a:lnTo>
                <a:cubicBezTo>
                  <a:pt x="1856802" y="415458"/>
                  <a:pt x="1859540" y="419586"/>
                  <a:pt x="1864152" y="420662"/>
                </a:cubicBezTo>
                <a:lnTo>
                  <a:pt x="1866184" y="421136"/>
                </a:lnTo>
                <a:cubicBezTo>
                  <a:pt x="1870795" y="422212"/>
                  <a:pt x="1875538" y="419828"/>
                  <a:pt x="1876773" y="415813"/>
                </a:cubicBezTo>
                <a:lnTo>
                  <a:pt x="1882298" y="397857"/>
                </a:lnTo>
                <a:lnTo>
                  <a:pt x="1882298" y="418041"/>
                </a:lnTo>
                <a:lnTo>
                  <a:pt x="1882298" y="424655"/>
                </a:lnTo>
                <a:lnTo>
                  <a:pt x="1882298" y="473487"/>
                </a:lnTo>
                <a:cubicBezTo>
                  <a:pt x="1882298" y="477644"/>
                  <a:pt x="1886170" y="481014"/>
                  <a:pt x="1890944" y="481014"/>
                </a:cubicBezTo>
                <a:lnTo>
                  <a:pt x="1893050" y="481014"/>
                </a:lnTo>
                <a:cubicBezTo>
                  <a:pt x="1897824" y="481014"/>
                  <a:pt x="1901696" y="477644"/>
                  <a:pt x="1901696" y="473487"/>
                </a:cubicBezTo>
                <a:lnTo>
                  <a:pt x="1901696" y="424655"/>
                </a:lnTo>
                <a:lnTo>
                  <a:pt x="1909138" y="424655"/>
                </a:lnTo>
                <a:lnTo>
                  <a:pt x="1909138" y="473487"/>
                </a:lnTo>
                <a:cubicBezTo>
                  <a:pt x="1909138" y="477644"/>
                  <a:pt x="1913008" y="481014"/>
                  <a:pt x="1917783" y="481014"/>
                </a:cubicBezTo>
                <a:lnTo>
                  <a:pt x="1919889" y="481014"/>
                </a:lnTo>
                <a:cubicBezTo>
                  <a:pt x="1924664" y="481014"/>
                  <a:pt x="1928535" y="477644"/>
                  <a:pt x="1928535" y="473487"/>
                </a:cubicBezTo>
                <a:lnTo>
                  <a:pt x="1928535" y="424655"/>
                </a:lnTo>
                <a:lnTo>
                  <a:pt x="1928535" y="418041"/>
                </a:lnTo>
                <a:lnTo>
                  <a:pt x="1928535" y="400049"/>
                </a:lnTo>
                <a:lnTo>
                  <a:pt x="1933385" y="415813"/>
                </a:lnTo>
                <a:cubicBezTo>
                  <a:pt x="1934622" y="419828"/>
                  <a:pt x="1939363" y="422212"/>
                  <a:pt x="1943974" y="421136"/>
                </a:cubicBezTo>
                <a:lnTo>
                  <a:pt x="1946009" y="420662"/>
                </a:lnTo>
                <a:cubicBezTo>
                  <a:pt x="1950620" y="419586"/>
                  <a:pt x="1953357" y="415458"/>
                  <a:pt x="1952121" y="411442"/>
                </a:cubicBezTo>
                <a:lnTo>
                  <a:pt x="1935640" y="357886"/>
                </a:lnTo>
                <a:cubicBezTo>
                  <a:pt x="1935177" y="356380"/>
                  <a:pt x="1934220" y="355103"/>
                  <a:pt x="1932962" y="354153"/>
                </a:cubicBezTo>
                <a:lnTo>
                  <a:pt x="1928535" y="352399"/>
                </a:lnTo>
                <a:lnTo>
                  <a:pt x="1928535" y="352185"/>
                </a:lnTo>
                <a:lnTo>
                  <a:pt x="1882298" y="352185"/>
                </a:lnTo>
                <a:close/>
                <a:moveTo>
                  <a:pt x="2081622" y="352185"/>
                </a:moveTo>
                <a:lnTo>
                  <a:pt x="2081622" y="352410"/>
                </a:lnTo>
                <a:lnTo>
                  <a:pt x="2081004" y="352375"/>
                </a:lnTo>
                <a:cubicBezTo>
                  <a:pt x="2077667" y="352781"/>
                  <a:pt x="2074768" y="354874"/>
                  <a:pt x="2073841" y="357886"/>
                </a:cubicBezTo>
                <a:lnTo>
                  <a:pt x="2057362" y="411442"/>
                </a:lnTo>
                <a:cubicBezTo>
                  <a:pt x="2056126" y="415458"/>
                  <a:pt x="2058863" y="419586"/>
                  <a:pt x="2063474" y="420662"/>
                </a:cubicBezTo>
                <a:lnTo>
                  <a:pt x="2065507" y="421136"/>
                </a:lnTo>
                <a:cubicBezTo>
                  <a:pt x="2070119" y="422212"/>
                  <a:pt x="2074860" y="419828"/>
                  <a:pt x="2076097" y="415813"/>
                </a:cubicBezTo>
                <a:lnTo>
                  <a:pt x="2081622" y="397857"/>
                </a:lnTo>
                <a:lnTo>
                  <a:pt x="2081622" y="418041"/>
                </a:lnTo>
                <a:lnTo>
                  <a:pt x="2081622" y="424655"/>
                </a:lnTo>
                <a:lnTo>
                  <a:pt x="2081622" y="473487"/>
                </a:lnTo>
                <a:cubicBezTo>
                  <a:pt x="2081622" y="477644"/>
                  <a:pt x="2085492" y="481014"/>
                  <a:pt x="2090268" y="481014"/>
                </a:cubicBezTo>
                <a:lnTo>
                  <a:pt x="2092373" y="481014"/>
                </a:lnTo>
                <a:cubicBezTo>
                  <a:pt x="2097148" y="481014"/>
                  <a:pt x="2101019" y="477644"/>
                  <a:pt x="2101019" y="473487"/>
                </a:cubicBezTo>
                <a:lnTo>
                  <a:pt x="2101019" y="424655"/>
                </a:lnTo>
                <a:lnTo>
                  <a:pt x="2108461" y="424655"/>
                </a:lnTo>
                <a:lnTo>
                  <a:pt x="2108461" y="473487"/>
                </a:lnTo>
                <a:cubicBezTo>
                  <a:pt x="2108461" y="477644"/>
                  <a:pt x="2112333" y="481014"/>
                  <a:pt x="2117107" y="481014"/>
                </a:cubicBezTo>
                <a:lnTo>
                  <a:pt x="2119212" y="481014"/>
                </a:lnTo>
                <a:cubicBezTo>
                  <a:pt x="2123987" y="481014"/>
                  <a:pt x="2127858" y="477644"/>
                  <a:pt x="2127858" y="473487"/>
                </a:cubicBezTo>
                <a:lnTo>
                  <a:pt x="2127858" y="424655"/>
                </a:lnTo>
                <a:lnTo>
                  <a:pt x="2127858" y="418041"/>
                </a:lnTo>
                <a:lnTo>
                  <a:pt x="2127858" y="400049"/>
                </a:lnTo>
                <a:lnTo>
                  <a:pt x="2132707" y="415813"/>
                </a:lnTo>
                <a:cubicBezTo>
                  <a:pt x="2133945" y="419828"/>
                  <a:pt x="2138685" y="422212"/>
                  <a:pt x="2143298" y="421136"/>
                </a:cubicBezTo>
                <a:lnTo>
                  <a:pt x="2145331" y="420662"/>
                </a:lnTo>
                <a:cubicBezTo>
                  <a:pt x="2149943" y="419586"/>
                  <a:pt x="2152681" y="415458"/>
                  <a:pt x="2151445" y="411442"/>
                </a:cubicBezTo>
                <a:lnTo>
                  <a:pt x="2134963" y="357886"/>
                </a:lnTo>
                <a:cubicBezTo>
                  <a:pt x="2134501" y="356380"/>
                  <a:pt x="2133542" y="355103"/>
                  <a:pt x="2132286" y="354153"/>
                </a:cubicBezTo>
                <a:lnTo>
                  <a:pt x="2127858" y="352399"/>
                </a:lnTo>
                <a:lnTo>
                  <a:pt x="2127858" y="352185"/>
                </a:lnTo>
                <a:lnTo>
                  <a:pt x="2081622" y="352185"/>
                </a:lnTo>
                <a:close/>
                <a:moveTo>
                  <a:pt x="303668" y="560173"/>
                </a:moveTo>
                <a:cubicBezTo>
                  <a:pt x="293205" y="560173"/>
                  <a:pt x="284721" y="567558"/>
                  <a:pt x="284721" y="576669"/>
                </a:cubicBezTo>
                <a:cubicBezTo>
                  <a:pt x="284721" y="585780"/>
                  <a:pt x="293205" y="593165"/>
                  <a:pt x="303668" y="593165"/>
                </a:cubicBezTo>
                <a:cubicBezTo>
                  <a:pt x="314131" y="593165"/>
                  <a:pt x="322614" y="585780"/>
                  <a:pt x="322614" y="576669"/>
                </a:cubicBezTo>
                <a:cubicBezTo>
                  <a:pt x="322614" y="567558"/>
                  <a:pt x="314131" y="560173"/>
                  <a:pt x="303668" y="560173"/>
                </a:cubicBezTo>
                <a:close/>
                <a:moveTo>
                  <a:pt x="503662" y="560173"/>
                </a:moveTo>
                <a:cubicBezTo>
                  <a:pt x="493198" y="560173"/>
                  <a:pt x="484717" y="567558"/>
                  <a:pt x="484717" y="576669"/>
                </a:cubicBezTo>
                <a:cubicBezTo>
                  <a:pt x="484717" y="585780"/>
                  <a:pt x="493198" y="593165"/>
                  <a:pt x="503662" y="593165"/>
                </a:cubicBezTo>
                <a:cubicBezTo>
                  <a:pt x="514126" y="593165"/>
                  <a:pt x="522607" y="585780"/>
                  <a:pt x="522607" y="576669"/>
                </a:cubicBezTo>
                <a:cubicBezTo>
                  <a:pt x="522607" y="567558"/>
                  <a:pt x="514126" y="560173"/>
                  <a:pt x="503662" y="560173"/>
                </a:cubicBezTo>
                <a:close/>
                <a:moveTo>
                  <a:pt x="703653" y="560173"/>
                </a:moveTo>
                <a:cubicBezTo>
                  <a:pt x="693190" y="560173"/>
                  <a:pt x="684709" y="567558"/>
                  <a:pt x="684709" y="576669"/>
                </a:cubicBezTo>
                <a:cubicBezTo>
                  <a:pt x="684709" y="585780"/>
                  <a:pt x="693190" y="593165"/>
                  <a:pt x="703653" y="593165"/>
                </a:cubicBezTo>
                <a:cubicBezTo>
                  <a:pt x="714117" y="593165"/>
                  <a:pt x="722600" y="585780"/>
                  <a:pt x="722600" y="576669"/>
                </a:cubicBezTo>
                <a:cubicBezTo>
                  <a:pt x="722600" y="567558"/>
                  <a:pt x="714117" y="560173"/>
                  <a:pt x="703653" y="560173"/>
                </a:cubicBezTo>
                <a:close/>
                <a:moveTo>
                  <a:pt x="903646" y="560173"/>
                </a:moveTo>
                <a:cubicBezTo>
                  <a:pt x="893183" y="560173"/>
                  <a:pt x="884701" y="567558"/>
                  <a:pt x="884701" y="576669"/>
                </a:cubicBezTo>
                <a:cubicBezTo>
                  <a:pt x="884701" y="585780"/>
                  <a:pt x="893183" y="593165"/>
                  <a:pt x="903646" y="593165"/>
                </a:cubicBezTo>
                <a:cubicBezTo>
                  <a:pt x="914110" y="593165"/>
                  <a:pt x="922591" y="585780"/>
                  <a:pt x="922591" y="576669"/>
                </a:cubicBezTo>
                <a:cubicBezTo>
                  <a:pt x="922591" y="567558"/>
                  <a:pt x="914110" y="560173"/>
                  <a:pt x="903646" y="560173"/>
                </a:cubicBezTo>
                <a:close/>
                <a:moveTo>
                  <a:pt x="1103638" y="560173"/>
                </a:moveTo>
                <a:cubicBezTo>
                  <a:pt x="1093175" y="560173"/>
                  <a:pt x="1084694" y="567558"/>
                  <a:pt x="1084694" y="576669"/>
                </a:cubicBezTo>
                <a:cubicBezTo>
                  <a:pt x="1084694" y="585780"/>
                  <a:pt x="1093175" y="593165"/>
                  <a:pt x="1103638" y="593165"/>
                </a:cubicBezTo>
                <a:cubicBezTo>
                  <a:pt x="1114102" y="593165"/>
                  <a:pt x="1122584" y="585780"/>
                  <a:pt x="1122584" y="576669"/>
                </a:cubicBezTo>
                <a:cubicBezTo>
                  <a:pt x="1122584" y="567558"/>
                  <a:pt x="1114102" y="560173"/>
                  <a:pt x="1103638" y="560173"/>
                </a:cubicBezTo>
                <a:close/>
                <a:moveTo>
                  <a:pt x="1303631" y="560173"/>
                </a:moveTo>
                <a:cubicBezTo>
                  <a:pt x="1293167" y="560173"/>
                  <a:pt x="1284685" y="567558"/>
                  <a:pt x="1284685" y="576669"/>
                </a:cubicBezTo>
                <a:cubicBezTo>
                  <a:pt x="1284685" y="585780"/>
                  <a:pt x="1293167" y="593165"/>
                  <a:pt x="1303631" y="593165"/>
                </a:cubicBezTo>
                <a:cubicBezTo>
                  <a:pt x="1314095" y="593165"/>
                  <a:pt x="1322576" y="585780"/>
                  <a:pt x="1322576" y="576669"/>
                </a:cubicBezTo>
                <a:cubicBezTo>
                  <a:pt x="1322576" y="567558"/>
                  <a:pt x="1314095" y="560173"/>
                  <a:pt x="1303631" y="560173"/>
                </a:cubicBezTo>
                <a:close/>
                <a:moveTo>
                  <a:pt x="1505923" y="560173"/>
                </a:moveTo>
                <a:cubicBezTo>
                  <a:pt x="1495460" y="560173"/>
                  <a:pt x="1486979" y="567558"/>
                  <a:pt x="1486979" y="576669"/>
                </a:cubicBezTo>
                <a:cubicBezTo>
                  <a:pt x="1486979" y="585780"/>
                  <a:pt x="1495460" y="593165"/>
                  <a:pt x="1505923" y="593165"/>
                </a:cubicBezTo>
                <a:cubicBezTo>
                  <a:pt x="1516387" y="593165"/>
                  <a:pt x="1524868" y="585780"/>
                  <a:pt x="1524868" y="576669"/>
                </a:cubicBezTo>
                <a:cubicBezTo>
                  <a:pt x="1524868" y="567558"/>
                  <a:pt x="1516387" y="560173"/>
                  <a:pt x="1505923" y="560173"/>
                </a:cubicBezTo>
                <a:close/>
                <a:moveTo>
                  <a:pt x="1703085" y="560173"/>
                </a:moveTo>
                <a:cubicBezTo>
                  <a:pt x="1692623" y="560173"/>
                  <a:pt x="1684140" y="567558"/>
                  <a:pt x="1684140" y="576669"/>
                </a:cubicBezTo>
                <a:cubicBezTo>
                  <a:pt x="1684140" y="585780"/>
                  <a:pt x="1692623" y="593165"/>
                  <a:pt x="1703085" y="593165"/>
                </a:cubicBezTo>
                <a:cubicBezTo>
                  <a:pt x="1713550" y="593165"/>
                  <a:pt x="1722031" y="585780"/>
                  <a:pt x="1722031" y="576669"/>
                </a:cubicBezTo>
                <a:cubicBezTo>
                  <a:pt x="1722031" y="567558"/>
                  <a:pt x="1713550" y="560173"/>
                  <a:pt x="1703085" y="560173"/>
                </a:cubicBezTo>
                <a:close/>
                <a:moveTo>
                  <a:pt x="1905908" y="560173"/>
                </a:moveTo>
                <a:cubicBezTo>
                  <a:pt x="1895444" y="560173"/>
                  <a:pt x="1886962" y="567558"/>
                  <a:pt x="1886962" y="576669"/>
                </a:cubicBezTo>
                <a:cubicBezTo>
                  <a:pt x="1886962" y="585780"/>
                  <a:pt x="1895444" y="593165"/>
                  <a:pt x="1905908" y="593165"/>
                </a:cubicBezTo>
                <a:cubicBezTo>
                  <a:pt x="1916372" y="593165"/>
                  <a:pt x="1924855" y="585780"/>
                  <a:pt x="1924855" y="576669"/>
                </a:cubicBezTo>
                <a:cubicBezTo>
                  <a:pt x="1924855" y="567558"/>
                  <a:pt x="1916372" y="560173"/>
                  <a:pt x="1905908" y="560173"/>
                </a:cubicBezTo>
                <a:close/>
                <a:moveTo>
                  <a:pt x="2105231" y="560173"/>
                </a:moveTo>
                <a:cubicBezTo>
                  <a:pt x="2094769" y="560173"/>
                  <a:pt x="2086286" y="567558"/>
                  <a:pt x="2086286" y="576669"/>
                </a:cubicBezTo>
                <a:cubicBezTo>
                  <a:pt x="2086286" y="585780"/>
                  <a:pt x="2094769" y="593165"/>
                  <a:pt x="2105231" y="593165"/>
                </a:cubicBezTo>
                <a:cubicBezTo>
                  <a:pt x="2115694" y="593165"/>
                  <a:pt x="2124177" y="585780"/>
                  <a:pt x="2124177" y="576669"/>
                </a:cubicBezTo>
                <a:cubicBezTo>
                  <a:pt x="2124177" y="567558"/>
                  <a:pt x="2115694" y="560173"/>
                  <a:pt x="2105231" y="560173"/>
                </a:cubicBezTo>
                <a:close/>
                <a:moveTo>
                  <a:pt x="280058" y="596830"/>
                </a:moveTo>
                <a:lnTo>
                  <a:pt x="280058" y="597055"/>
                </a:lnTo>
                <a:lnTo>
                  <a:pt x="279441" y="597020"/>
                </a:lnTo>
                <a:cubicBezTo>
                  <a:pt x="276104" y="597426"/>
                  <a:pt x="273205" y="599519"/>
                  <a:pt x="272279" y="602531"/>
                </a:cubicBezTo>
                <a:lnTo>
                  <a:pt x="255797" y="656086"/>
                </a:lnTo>
                <a:cubicBezTo>
                  <a:pt x="254561" y="660102"/>
                  <a:pt x="257298" y="664229"/>
                  <a:pt x="261911" y="665305"/>
                </a:cubicBezTo>
                <a:lnTo>
                  <a:pt x="263944" y="665780"/>
                </a:lnTo>
                <a:cubicBezTo>
                  <a:pt x="268557" y="666857"/>
                  <a:pt x="273297" y="664473"/>
                  <a:pt x="274533" y="660457"/>
                </a:cubicBezTo>
                <a:lnTo>
                  <a:pt x="280058" y="642502"/>
                </a:lnTo>
                <a:lnTo>
                  <a:pt x="280058" y="662686"/>
                </a:lnTo>
                <a:lnTo>
                  <a:pt x="280058" y="669300"/>
                </a:lnTo>
                <a:lnTo>
                  <a:pt x="280058" y="718130"/>
                </a:lnTo>
                <a:cubicBezTo>
                  <a:pt x="280058" y="722288"/>
                  <a:pt x="283930" y="725658"/>
                  <a:pt x="288705" y="725658"/>
                </a:cubicBezTo>
                <a:lnTo>
                  <a:pt x="290809" y="725658"/>
                </a:lnTo>
                <a:cubicBezTo>
                  <a:pt x="295584" y="725658"/>
                  <a:pt x="299455" y="722288"/>
                  <a:pt x="299455" y="718130"/>
                </a:cubicBezTo>
                <a:lnTo>
                  <a:pt x="299455" y="669300"/>
                </a:lnTo>
                <a:lnTo>
                  <a:pt x="306898" y="669300"/>
                </a:lnTo>
                <a:lnTo>
                  <a:pt x="306898" y="718130"/>
                </a:lnTo>
                <a:cubicBezTo>
                  <a:pt x="306898" y="722288"/>
                  <a:pt x="310769" y="725658"/>
                  <a:pt x="315544" y="725658"/>
                </a:cubicBezTo>
                <a:lnTo>
                  <a:pt x="317649" y="725658"/>
                </a:lnTo>
                <a:cubicBezTo>
                  <a:pt x="322423" y="725658"/>
                  <a:pt x="326293" y="722288"/>
                  <a:pt x="326293" y="718130"/>
                </a:cubicBezTo>
                <a:lnTo>
                  <a:pt x="326293" y="669300"/>
                </a:lnTo>
                <a:lnTo>
                  <a:pt x="326293" y="662686"/>
                </a:lnTo>
                <a:lnTo>
                  <a:pt x="326293" y="644694"/>
                </a:lnTo>
                <a:lnTo>
                  <a:pt x="331145" y="660457"/>
                </a:lnTo>
                <a:cubicBezTo>
                  <a:pt x="332381" y="664473"/>
                  <a:pt x="337122" y="666857"/>
                  <a:pt x="341734" y="665780"/>
                </a:cubicBezTo>
                <a:lnTo>
                  <a:pt x="343767" y="665305"/>
                </a:lnTo>
                <a:cubicBezTo>
                  <a:pt x="348380" y="664229"/>
                  <a:pt x="351116" y="660102"/>
                  <a:pt x="349881" y="656086"/>
                </a:cubicBezTo>
                <a:lnTo>
                  <a:pt x="333400" y="602531"/>
                </a:lnTo>
                <a:cubicBezTo>
                  <a:pt x="332936" y="601025"/>
                  <a:pt x="331980" y="599749"/>
                  <a:pt x="330722" y="598798"/>
                </a:cubicBezTo>
                <a:lnTo>
                  <a:pt x="326293" y="597043"/>
                </a:lnTo>
                <a:lnTo>
                  <a:pt x="326293" y="596830"/>
                </a:lnTo>
                <a:lnTo>
                  <a:pt x="280058" y="596830"/>
                </a:lnTo>
                <a:close/>
                <a:moveTo>
                  <a:pt x="480053" y="596830"/>
                </a:moveTo>
                <a:lnTo>
                  <a:pt x="480053" y="597055"/>
                </a:lnTo>
                <a:lnTo>
                  <a:pt x="479436" y="597020"/>
                </a:lnTo>
                <a:cubicBezTo>
                  <a:pt x="476099" y="597426"/>
                  <a:pt x="473200" y="599519"/>
                  <a:pt x="472272" y="602531"/>
                </a:cubicBezTo>
                <a:lnTo>
                  <a:pt x="455791" y="656086"/>
                </a:lnTo>
                <a:cubicBezTo>
                  <a:pt x="454555" y="660102"/>
                  <a:pt x="457292" y="664229"/>
                  <a:pt x="461906" y="665305"/>
                </a:cubicBezTo>
                <a:lnTo>
                  <a:pt x="463938" y="665780"/>
                </a:lnTo>
                <a:cubicBezTo>
                  <a:pt x="468550" y="666857"/>
                  <a:pt x="473292" y="664473"/>
                  <a:pt x="474527" y="660457"/>
                </a:cubicBezTo>
                <a:lnTo>
                  <a:pt x="480053" y="642502"/>
                </a:lnTo>
                <a:lnTo>
                  <a:pt x="480053" y="662686"/>
                </a:lnTo>
                <a:lnTo>
                  <a:pt x="480053" y="669300"/>
                </a:lnTo>
                <a:lnTo>
                  <a:pt x="480053" y="718130"/>
                </a:lnTo>
                <a:cubicBezTo>
                  <a:pt x="480053" y="722288"/>
                  <a:pt x="483924" y="725658"/>
                  <a:pt x="488698" y="725658"/>
                </a:cubicBezTo>
                <a:lnTo>
                  <a:pt x="490804" y="725658"/>
                </a:lnTo>
                <a:cubicBezTo>
                  <a:pt x="495578" y="725658"/>
                  <a:pt x="499450" y="722288"/>
                  <a:pt x="499450" y="718130"/>
                </a:cubicBezTo>
                <a:lnTo>
                  <a:pt x="499450" y="669300"/>
                </a:lnTo>
                <a:lnTo>
                  <a:pt x="506892" y="669300"/>
                </a:lnTo>
                <a:lnTo>
                  <a:pt x="506892" y="718130"/>
                </a:lnTo>
                <a:cubicBezTo>
                  <a:pt x="506892" y="722288"/>
                  <a:pt x="510763" y="725658"/>
                  <a:pt x="515538" y="725658"/>
                </a:cubicBezTo>
                <a:lnTo>
                  <a:pt x="517643" y="725658"/>
                </a:lnTo>
                <a:cubicBezTo>
                  <a:pt x="522418" y="725658"/>
                  <a:pt x="526287" y="722288"/>
                  <a:pt x="526287" y="718130"/>
                </a:cubicBezTo>
                <a:lnTo>
                  <a:pt x="526287" y="669300"/>
                </a:lnTo>
                <a:lnTo>
                  <a:pt x="526287" y="662686"/>
                </a:lnTo>
                <a:lnTo>
                  <a:pt x="526287" y="644694"/>
                </a:lnTo>
                <a:lnTo>
                  <a:pt x="531139" y="660457"/>
                </a:lnTo>
                <a:cubicBezTo>
                  <a:pt x="532375" y="664473"/>
                  <a:pt x="537116" y="666857"/>
                  <a:pt x="541727" y="665780"/>
                </a:cubicBezTo>
                <a:lnTo>
                  <a:pt x="543761" y="665305"/>
                </a:lnTo>
                <a:cubicBezTo>
                  <a:pt x="548373" y="664229"/>
                  <a:pt x="551110" y="660102"/>
                  <a:pt x="549875" y="656086"/>
                </a:cubicBezTo>
                <a:lnTo>
                  <a:pt x="533394" y="602531"/>
                </a:lnTo>
                <a:cubicBezTo>
                  <a:pt x="532930" y="601025"/>
                  <a:pt x="531974" y="599749"/>
                  <a:pt x="530716" y="598798"/>
                </a:cubicBezTo>
                <a:lnTo>
                  <a:pt x="526287" y="597043"/>
                </a:lnTo>
                <a:lnTo>
                  <a:pt x="526287" y="596830"/>
                </a:lnTo>
                <a:lnTo>
                  <a:pt x="480053" y="596830"/>
                </a:lnTo>
                <a:close/>
                <a:moveTo>
                  <a:pt x="680045" y="596830"/>
                </a:moveTo>
                <a:lnTo>
                  <a:pt x="680045" y="597055"/>
                </a:lnTo>
                <a:lnTo>
                  <a:pt x="679427" y="597020"/>
                </a:lnTo>
                <a:cubicBezTo>
                  <a:pt x="676090" y="597426"/>
                  <a:pt x="673192" y="599519"/>
                  <a:pt x="672265" y="602531"/>
                </a:cubicBezTo>
                <a:lnTo>
                  <a:pt x="655783" y="656086"/>
                </a:lnTo>
                <a:cubicBezTo>
                  <a:pt x="654547" y="660102"/>
                  <a:pt x="657285" y="664229"/>
                  <a:pt x="661899" y="665305"/>
                </a:cubicBezTo>
                <a:lnTo>
                  <a:pt x="663930" y="665780"/>
                </a:lnTo>
                <a:cubicBezTo>
                  <a:pt x="668542" y="666857"/>
                  <a:pt x="673282" y="664473"/>
                  <a:pt x="674518" y="660457"/>
                </a:cubicBezTo>
                <a:lnTo>
                  <a:pt x="680045" y="642502"/>
                </a:lnTo>
                <a:lnTo>
                  <a:pt x="680045" y="662686"/>
                </a:lnTo>
                <a:lnTo>
                  <a:pt x="680045" y="669300"/>
                </a:lnTo>
                <a:lnTo>
                  <a:pt x="680045" y="718130"/>
                </a:lnTo>
                <a:cubicBezTo>
                  <a:pt x="680045" y="722288"/>
                  <a:pt x="683916" y="725658"/>
                  <a:pt x="688691" y="725658"/>
                </a:cubicBezTo>
                <a:lnTo>
                  <a:pt x="690797" y="725658"/>
                </a:lnTo>
                <a:cubicBezTo>
                  <a:pt x="695570" y="725658"/>
                  <a:pt x="699443" y="722288"/>
                  <a:pt x="699443" y="718130"/>
                </a:cubicBezTo>
                <a:lnTo>
                  <a:pt x="699443" y="669300"/>
                </a:lnTo>
                <a:lnTo>
                  <a:pt x="706884" y="669300"/>
                </a:lnTo>
                <a:lnTo>
                  <a:pt x="706884" y="718130"/>
                </a:lnTo>
                <a:cubicBezTo>
                  <a:pt x="706884" y="722288"/>
                  <a:pt x="710754" y="725658"/>
                  <a:pt x="715530" y="725658"/>
                </a:cubicBezTo>
                <a:lnTo>
                  <a:pt x="717635" y="725658"/>
                </a:lnTo>
                <a:cubicBezTo>
                  <a:pt x="722411" y="725658"/>
                  <a:pt x="726280" y="722288"/>
                  <a:pt x="726280" y="718130"/>
                </a:cubicBezTo>
                <a:lnTo>
                  <a:pt x="726280" y="669300"/>
                </a:lnTo>
                <a:lnTo>
                  <a:pt x="726280" y="662686"/>
                </a:lnTo>
                <a:lnTo>
                  <a:pt x="726280" y="644694"/>
                </a:lnTo>
                <a:lnTo>
                  <a:pt x="731132" y="660457"/>
                </a:lnTo>
                <a:cubicBezTo>
                  <a:pt x="732368" y="664473"/>
                  <a:pt x="737108" y="666857"/>
                  <a:pt x="741720" y="665780"/>
                </a:cubicBezTo>
                <a:lnTo>
                  <a:pt x="743753" y="665305"/>
                </a:lnTo>
                <a:cubicBezTo>
                  <a:pt x="748365" y="664229"/>
                  <a:pt x="751103" y="660102"/>
                  <a:pt x="749868" y="656086"/>
                </a:cubicBezTo>
                <a:lnTo>
                  <a:pt x="733385" y="602531"/>
                </a:lnTo>
                <a:cubicBezTo>
                  <a:pt x="732923" y="601025"/>
                  <a:pt x="731967" y="599749"/>
                  <a:pt x="730709" y="598798"/>
                </a:cubicBezTo>
                <a:lnTo>
                  <a:pt x="726280" y="597043"/>
                </a:lnTo>
                <a:lnTo>
                  <a:pt x="726280" y="596830"/>
                </a:lnTo>
                <a:lnTo>
                  <a:pt x="680045" y="596830"/>
                </a:lnTo>
                <a:close/>
                <a:moveTo>
                  <a:pt x="880037" y="596830"/>
                </a:moveTo>
                <a:lnTo>
                  <a:pt x="880037" y="597055"/>
                </a:lnTo>
                <a:lnTo>
                  <a:pt x="879420" y="597020"/>
                </a:lnTo>
                <a:cubicBezTo>
                  <a:pt x="876083" y="597426"/>
                  <a:pt x="873184" y="599519"/>
                  <a:pt x="872256" y="602531"/>
                </a:cubicBezTo>
                <a:lnTo>
                  <a:pt x="855776" y="656086"/>
                </a:lnTo>
                <a:cubicBezTo>
                  <a:pt x="854540" y="660102"/>
                  <a:pt x="857277" y="664229"/>
                  <a:pt x="861890" y="665305"/>
                </a:cubicBezTo>
                <a:lnTo>
                  <a:pt x="863923" y="665780"/>
                </a:lnTo>
                <a:cubicBezTo>
                  <a:pt x="868534" y="666857"/>
                  <a:pt x="873275" y="664473"/>
                  <a:pt x="874511" y="660457"/>
                </a:cubicBezTo>
                <a:lnTo>
                  <a:pt x="880037" y="642502"/>
                </a:lnTo>
                <a:lnTo>
                  <a:pt x="880037" y="662686"/>
                </a:lnTo>
                <a:lnTo>
                  <a:pt x="880037" y="669300"/>
                </a:lnTo>
                <a:lnTo>
                  <a:pt x="880037" y="718130"/>
                </a:lnTo>
                <a:cubicBezTo>
                  <a:pt x="880037" y="722288"/>
                  <a:pt x="883909" y="725658"/>
                  <a:pt x="888683" y="725658"/>
                </a:cubicBezTo>
                <a:lnTo>
                  <a:pt x="890788" y="725658"/>
                </a:lnTo>
                <a:cubicBezTo>
                  <a:pt x="895563" y="725658"/>
                  <a:pt x="899434" y="722288"/>
                  <a:pt x="899434" y="718130"/>
                </a:cubicBezTo>
                <a:lnTo>
                  <a:pt x="899434" y="669300"/>
                </a:lnTo>
                <a:lnTo>
                  <a:pt x="906877" y="669300"/>
                </a:lnTo>
                <a:lnTo>
                  <a:pt x="906877" y="718130"/>
                </a:lnTo>
                <a:cubicBezTo>
                  <a:pt x="906877" y="722288"/>
                  <a:pt x="910747" y="725658"/>
                  <a:pt x="915521" y="725658"/>
                </a:cubicBezTo>
                <a:lnTo>
                  <a:pt x="917628" y="725658"/>
                </a:lnTo>
                <a:cubicBezTo>
                  <a:pt x="922402" y="725658"/>
                  <a:pt x="926272" y="722288"/>
                  <a:pt x="926272" y="718130"/>
                </a:cubicBezTo>
                <a:lnTo>
                  <a:pt x="926272" y="669300"/>
                </a:lnTo>
                <a:lnTo>
                  <a:pt x="926272" y="662686"/>
                </a:lnTo>
                <a:lnTo>
                  <a:pt x="926272" y="644694"/>
                </a:lnTo>
                <a:lnTo>
                  <a:pt x="931123" y="660457"/>
                </a:lnTo>
                <a:cubicBezTo>
                  <a:pt x="932359" y="664473"/>
                  <a:pt x="937100" y="666857"/>
                  <a:pt x="941712" y="665780"/>
                </a:cubicBezTo>
                <a:lnTo>
                  <a:pt x="943745" y="665305"/>
                </a:lnTo>
                <a:cubicBezTo>
                  <a:pt x="948358" y="664229"/>
                  <a:pt x="951095" y="660102"/>
                  <a:pt x="949860" y="656086"/>
                </a:cubicBezTo>
                <a:lnTo>
                  <a:pt x="933378" y="602531"/>
                </a:lnTo>
                <a:cubicBezTo>
                  <a:pt x="932915" y="601025"/>
                  <a:pt x="931958" y="599749"/>
                  <a:pt x="930701" y="598798"/>
                </a:cubicBezTo>
                <a:lnTo>
                  <a:pt x="926272" y="597043"/>
                </a:lnTo>
                <a:lnTo>
                  <a:pt x="926272" y="596830"/>
                </a:lnTo>
                <a:lnTo>
                  <a:pt x="880037" y="596830"/>
                </a:lnTo>
                <a:close/>
                <a:moveTo>
                  <a:pt x="1080030" y="596830"/>
                </a:moveTo>
                <a:lnTo>
                  <a:pt x="1080030" y="597055"/>
                </a:lnTo>
                <a:lnTo>
                  <a:pt x="1079412" y="597020"/>
                </a:lnTo>
                <a:cubicBezTo>
                  <a:pt x="1076075" y="597426"/>
                  <a:pt x="1073176" y="599519"/>
                  <a:pt x="1072249" y="602531"/>
                </a:cubicBezTo>
                <a:lnTo>
                  <a:pt x="1055767" y="656086"/>
                </a:lnTo>
                <a:cubicBezTo>
                  <a:pt x="1054531" y="660102"/>
                  <a:pt x="1057269" y="664229"/>
                  <a:pt x="1061881" y="665305"/>
                </a:cubicBezTo>
                <a:lnTo>
                  <a:pt x="1063914" y="665780"/>
                </a:lnTo>
                <a:cubicBezTo>
                  <a:pt x="1068527" y="666857"/>
                  <a:pt x="1073267" y="664473"/>
                  <a:pt x="1074503" y="660457"/>
                </a:cubicBezTo>
                <a:lnTo>
                  <a:pt x="1080030" y="642502"/>
                </a:lnTo>
                <a:lnTo>
                  <a:pt x="1080030" y="662686"/>
                </a:lnTo>
                <a:lnTo>
                  <a:pt x="1080030" y="669300"/>
                </a:lnTo>
                <a:lnTo>
                  <a:pt x="1080030" y="718130"/>
                </a:lnTo>
                <a:cubicBezTo>
                  <a:pt x="1080030" y="722288"/>
                  <a:pt x="1083900" y="725658"/>
                  <a:pt x="1088676" y="725658"/>
                </a:cubicBezTo>
                <a:lnTo>
                  <a:pt x="1090781" y="725658"/>
                </a:lnTo>
                <a:cubicBezTo>
                  <a:pt x="1095554" y="725658"/>
                  <a:pt x="1099427" y="722288"/>
                  <a:pt x="1099427" y="718130"/>
                </a:cubicBezTo>
                <a:lnTo>
                  <a:pt x="1099427" y="669300"/>
                </a:lnTo>
                <a:lnTo>
                  <a:pt x="1106868" y="669300"/>
                </a:lnTo>
                <a:lnTo>
                  <a:pt x="1106868" y="718130"/>
                </a:lnTo>
                <a:cubicBezTo>
                  <a:pt x="1106868" y="722288"/>
                  <a:pt x="1110739" y="725658"/>
                  <a:pt x="1115514" y="725658"/>
                </a:cubicBezTo>
                <a:lnTo>
                  <a:pt x="1117619" y="725658"/>
                </a:lnTo>
                <a:cubicBezTo>
                  <a:pt x="1122395" y="725658"/>
                  <a:pt x="1126264" y="722288"/>
                  <a:pt x="1126264" y="718130"/>
                </a:cubicBezTo>
                <a:lnTo>
                  <a:pt x="1126264" y="669300"/>
                </a:lnTo>
                <a:lnTo>
                  <a:pt x="1126264" y="662686"/>
                </a:lnTo>
                <a:lnTo>
                  <a:pt x="1126264" y="644694"/>
                </a:lnTo>
                <a:lnTo>
                  <a:pt x="1131115" y="660457"/>
                </a:lnTo>
                <a:cubicBezTo>
                  <a:pt x="1132352" y="664473"/>
                  <a:pt x="1137092" y="666857"/>
                  <a:pt x="1141704" y="665780"/>
                </a:cubicBezTo>
                <a:lnTo>
                  <a:pt x="1143738" y="665305"/>
                </a:lnTo>
                <a:cubicBezTo>
                  <a:pt x="1148350" y="664229"/>
                  <a:pt x="1151086" y="660102"/>
                  <a:pt x="1149853" y="656086"/>
                </a:cubicBezTo>
                <a:lnTo>
                  <a:pt x="1133370" y="602531"/>
                </a:lnTo>
                <a:cubicBezTo>
                  <a:pt x="1132906" y="601025"/>
                  <a:pt x="1131950" y="599749"/>
                  <a:pt x="1130693" y="598798"/>
                </a:cubicBezTo>
                <a:lnTo>
                  <a:pt x="1126264" y="597043"/>
                </a:lnTo>
                <a:lnTo>
                  <a:pt x="1126264" y="596830"/>
                </a:lnTo>
                <a:lnTo>
                  <a:pt x="1080030" y="596830"/>
                </a:lnTo>
                <a:close/>
                <a:moveTo>
                  <a:pt x="1280022" y="596830"/>
                </a:moveTo>
                <a:lnTo>
                  <a:pt x="1280022" y="597055"/>
                </a:lnTo>
                <a:lnTo>
                  <a:pt x="1279405" y="597020"/>
                </a:lnTo>
                <a:cubicBezTo>
                  <a:pt x="1276068" y="597426"/>
                  <a:pt x="1273169" y="599519"/>
                  <a:pt x="1272241" y="602531"/>
                </a:cubicBezTo>
                <a:lnTo>
                  <a:pt x="1255760" y="656086"/>
                </a:lnTo>
                <a:cubicBezTo>
                  <a:pt x="1254524" y="660102"/>
                  <a:pt x="1257261" y="664229"/>
                  <a:pt x="1261874" y="665305"/>
                </a:cubicBezTo>
                <a:lnTo>
                  <a:pt x="1263907" y="665780"/>
                </a:lnTo>
                <a:cubicBezTo>
                  <a:pt x="1268519" y="666857"/>
                  <a:pt x="1273260" y="664473"/>
                  <a:pt x="1274496" y="660457"/>
                </a:cubicBezTo>
                <a:lnTo>
                  <a:pt x="1280022" y="642502"/>
                </a:lnTo>
                <a:lnTo>
                  <a:pt x="1280022" y="662686"/>
                </a:lnTo>
                <a:lnTo>
                  <a:pt x="1280022" y="669300"/>
                </a:lnTo>
                <a:lnTo>
                  <a:pt x="1280022" y="718130"/>
                </a:lnTo>
                <a:cubicBezTo>
                  <a:pt x="1280022" y="722288"/>
                  <a:pt x="1283892" y="725658"/>
                  <a:pt x="1288667" y="725658"/>
                </a:cubicBezTo>
                <a:lnTo>
                  <a:pt x="1290773" y="725658"/>
                </a:lnTo>
                <a:cubicBezTo>
                  <a:pt x="1295546" y="725658"/>
                  <a:pt x="1299419" y="722288"/>
                  <a:pt x="1299419" y="718130"/>
                </a:cubicBezTo>
                <a:lnTo>
                  <a:pt x="1299419" y="669300"/>
                </a:lnTo>
                <a:lnTo>
                  <a:pt x="1306860" y="669300"/>
                </a:lnTo>
                <a:lnTo>
                  <a:pt x="1306860" y="718130"/>
                </a:lnTo>
                <a:cubicBezTo>
                  <a:pt x="1306860" y="722288"/>
                  <a:pt x="1310732" y="725658"/>
                  <a:pt x="1315506" y="725658"/>
                </a:cubicBezTo>
                <a:lnTo>
                  <a:pt x="1317610" y="725658"/>
                </a:lnTo>
                <a:cubicBezTo>
                  <a:pt x="1322387" y="725658"/>
                  <a:pt x="1326256" y="722288"/>
                  <a:pt x="1326256" y="718130"/>
                </a:cubicBezTo>
                <a:lnTo>
                  <a:pt x="1326256" y="669300"/>
                </a:lnTo>
                <a:lnTo>
                  <a:pt x="1326256" y="662686"/>
                </a:lnTo>
                <a:lnTo>
                  <a:pt x="1326256" y="644694"/>
                </a:lnTo>
                <a:lnTo>
                  <a:pt x="1331108" y="660457"/>
                </a:lnTo>
                <a:cubicBezTo>
                  <a:pt x="1332344" y="664473"/>
                  <a:pt x="1337084" y="666857"/>
                  <a:pt x="1341696" y="665780"/>
                </a:cubicBezTo>
                <a:lnTo>
                  <a:pt x="1343730" y="665305"/>
                </a:lnTo>
                <a:cubicBezTo>
                  <a:pt x="1348342" y="664229"/>
                  <a:pt x="1351079" y="660102"/>
                  <a:pt x="1349844" y="656086"/>
                </a:cubicBezTo>
                <a:lnTo>
                  <a:pt x="1333361" y="602531"/>
                </a:lnTo>
                <a:cubicBezTo>
                  <a:pt x="1332899" y="601025"/>
                  <a:pt x="1331943" y="599749"/>
                  <a:pt x="1330685" y="598798"/>
                </a:cubicBezTo>
                <a:lnTo>
                  <a:pt x="1326256" y="597043"/>
                </a:lnTo>
                <a:lnTo>
                  <a:pt x="1326256" y="596830"/>
                </a:lnTo>
                <a:lnTo>
                  <a:pt x="1280022" y="596830"/>
                </a:lnTo>
                <a:close/>
                <a:moveTo>
                  <a:pt x="1482314" y="596830"/>
                </a:moveTo>
                <a:lnTo>
                  <a:pt x="1482314" y="597055"/>
                </a:lnTo>
                <a:lnTo>
                  <a:pt x="1481697" y="597020"/>
                </a:lnTo>
                <a:cubicBezTo>
                  <a:pt x="1478360" y="597426"/>
                  <a:pt x="1475461" y="599519"/>
                  <a:pt x="1474533" y="602531"/>
                </a:cubicBezTo>
                <a:lnTo>
                  <a:pt x="1458052" y="656086"/>
                </a:lnTo>
                <a:cubicBezTo>
                  <a:pt x="1456817" y="660102"/>
                  <a:pt x="1459553" y="664229"/>
                  <a:pt x="1464166" y="665305"/>
                </a:cubicBezTo>
                <a:lnTo>
                  <a:pt x="1466199" y="665780"/>
                </a:lnTo>
                <a:cubicBezTo>
                  <a:pt x="1470811" y="666857"/>
                  <a:pt x="1475552" y="664473"/>
                  <a:pt x="1476788" y="660457"/>
                </a:cubicBezTo>
                <a:lnTo>
                  <a:pt x="1482314" y="642502"/>
                </a:lnTo>
                <a:lnTo>
                  <a:pt x="1482314" y="662686"/>
                </a:lnTo>
                <a:lnTo>
                  <a:pt x="1482314" y="669300"/>
                </a:lnTo>
                <a:lnTo>
                  <a:pt x="1482314" y="718130"/>
                </a:lnTo>
                <a:cubicBezTo>
                  <a:pt x="1482314" y="722288"/>
                  <a:pt x="1486185" y="725658"/>
                  <a:pt x="1490960" y="725658"/>
                </a:cubicBezTo>
                <a:lnTo>
                  <a:pt x="1493064" y="725658"/>
                </a:lnTo>
                <a:cubicBezTo>
                  <a:pt x="1497840" y="725658"/>
                  <a:pt x="1501710" y="722288"/>
                  <a:pt x="1501710" y="718130"/>
                </a:cubicBezTo>
                <a:lnTo>
                  <a:pt x="1501710" y="669300"/>
                </a:lnTo>
                <a:lnTo>
                  <a:pt x="1509153" y="669300"/>
                </a:lnTo>
                <a:lnTo>
                  <a:pt x="1509153" y="718130"/>
                </a:lnTo>
                <a:cubicBezTo>
                  <a:pt x="1509153" y="722288"/>
                  <a:pt x="1513024" y="725658"/>
                  <a:pt x="1517799" y="725658"/>
                </a:cubicBezTo>
                <a:lnTo>
                  <a:pt x="1519903" y="725658"/>
                </a:lnTo>
                <a:cubicBezTo>
                  <a:pt x="1524678" y="725658"/>
                  <a:pt x="1528549" y="722288"/>
                  <a:pt x="1528549" y="718130"/>
                </a:cubicBezTo>
                <a:lnTo>
                  <a:pt x="1528549" y="669300"/>
                </a:lnTo>
                <a:lnTo>
                  <a:pt x="1528549" y="662686"/>
                </a:lnTo>
                <a:lnTo>
                  <a:pt x="1528549" y="644694"/>
                </a:lnTo>
                <a:lnTo>
                  <a:pt x="1533400" y="660457"/>
                </a:lnTo>
                <a:cubicBezTo>
                  <a:pt x="1534636" y="664473"/>
                  <a:pt x="1539377" y="666857"/>
                  <a:pt x="1543989" y="665780"/>
                </a:cubicBezTo>
                <a:lnTo>
                  <a:pt x="1546022" y="665305"/>
                </a:lnTo>
                <a:cubicBezTo>
                  <a:pt x="1550635" y="664229"/>
                  <a:pt x="1553371" y="660102"/>
                  <a:pt x="1552136" y="656086"/>
                </a:cubicBezTo>
                <a:lnTo>
                  <a:pt x="1535655" y="602531"/>
                </a:lnTo>
                <a:cubicBezTo>
                  <a:pt x="1535191" y="601025"/>
                  <a:pt x="1534235" y="599749"/>
                  <a:pt x="1532977" y="598798"/>
                </a:cubicBezTo>
                <a:lnTo>
                  <a:pt x="1528549" y="597043"/>
                </a:lnTo>
                <a:lnTo>
                  <a:pt x="1528549" y="596830"/>
                </a:lnTo>
                <a:lnTo>
                  <a:pt x="1482314" y="596830"/>
                </a:lnTo>
                <a:close/>
                <a:moveTo>
                  <a:pt x="1679477" y="596830"/>
                </a:moveTo>
                <a:lnTo>
                  <a:pt x="1679477" y="597055"/>
                </a:lnTo>
                <a:lnTo>
                  <a:pt x="1678860" y="597020"/>
                </a:lnTo>
                <a:cubicBezTo>
                  <a:pt x="1675521" y="597426"/>
                  <a:pt x="1672623" y="599519"/>
                  <a:pt x="1671696" y="602531"/>
                </a:cubicBezTo>
                <a:lnTo>
                  <a:pt x="1655215" y="656086"/>
                </a:lnTo>
                <a:cubicBezTo>
                  <a:pt x="1653980" y="660102"/>
                  <a:pt x="1656716" y="664229"/>
                  <a:pt x="1661328" y="665305"/>
                </a:cubicBezTo>
                <a:lnTo>
                  <a:pt x="1663362" y="665780"/>
                </a:lnTo>
                <a:cubicBezTo>
                  <a:pt x="1667974" y="666857"/>
                  <a:pt x="1672715" y="664473"/>
                  <a:pt x="1673951" y="660457"/>
                </a:cubicBezTo>
                <a:lnTo>
                  <a:pt x="1679477" y="642502"/>
                </a:lnTo>
                <a:lnTo>
                  <a:pt x="1679477" y="662686"/>
                </a:lnTo>
                <a:lnTo>
                  <a:pt x="1679477" y="669300"/>
                </a:lnTo>
                <a:lnTo>
                  <a:pt x="1679477" y="718130"/>
                </a:lnTo>
                <a:cubicBezTo>
                  <a:pt x="1679477" y="722288"/>
                  <a:pt x="1683346" y="725658"/>
                  <a:pt x="1688123" y="725658"/>
                </a:cubicBezTo>
                <a:lnTo>
                  <a:pt x="1690227" y="725658"/>
                </a:lnTo>
                <a:cubicBezTo>
                  <a:pt x="1695001" y="725658"/>
                  <a:pt x="1698873" y="722288"/>
                  <a:pt x="1698873" y="718130"/>
                </a:cubicBezTo>
                <a:lnTo>
                  <a:pt x="1698873" y="669300"/>
                </a:lnTo>
                <a:lnTo>
                  <a:pt x="1706314" y="669300"/>
                </a:lnTo>
                <a:lnTo>
                  <a:pt x="1706314" y="718130"/>
                </a:lnTo>
                <a:cubicBezTo>
                  <a:pt x="1706314" y="722288"/>
                  <a:pt x="1710187" y="725658"/>
                  <a:pt x="1714961" y="725658"/>
                </a:cubicBezTo>
                <a:lnTo>
                  <a:pt x="1717066" y="725658"/>
                </a:lnTo>
                <a:cubicBezTo>
                  <a:pt x="1721841" y="725658"/>
                  <a:pt x="1725712" y="722288"/>
                  <a:pt x="1725712" y="718130"/>
                </a:cubicBezTo>
                <a:lnTo>
                  <a:pt x="1725712" y="669300"/>
                </a:lnTo>
                <a:lnTo>
                  <a:pt x="1725712" y="662686"/>
                </a:lnTo>
                <a:lnTo>
                  <a:pt x="1725712" y="644694"/>
                </a:lnTo>
                <a:lnTo>
                  <a:pt x="1730563" y="660457"/>
                </a:lnTo>
                <a:cubicBezTo>
                  <a:pt x="1731799" y="664473"/>
                  <a:pt x="1736539" y="666857"/>
                  <a:pt x="1741152" y="665780"/>
                </a:cubicBezTo>
                <a:lnTo>
                  <a:pt x="1743185" y="665305"/>
                </a:lnTo>
                <a:cubicBezTo>
                  <a:pt x="1747797" y="664229"/>
                  <a:pt x="1750534" y="660102"/>
                  <a:pt x="1749299" y="656086"/>
                </a:cubicBezTo>
                <a:lnTo>
                  <a:pt x="1732817" y="602531"/>
                </a:lnTo>
                <a:cubicBezTo>
                  <a:pt x="1732354" y="601025"/>
                  <a:pt x="1731398" y="599749"/>
                  <a:pt x="1730140" y="598798"/>
                </a:cubicBezTo>
                <a:lnTo>
                  <a:pt x="1725712" y="597043"/>
                </a:lnTo>
                <a:lnTo>
                  <a:pt x="1725712" y="596830"/>
                </a:lnTo>
                <a:lnTo>
                  <a:pt x="1679477" y="596830"/>
                </a:lnTo>
                <a:close/>
                <a:moveTo>
                  <a:pt x="1882298" y="596830"/>
                </a:moveTo>
                <a:lnTo>
                  <a:pt x="1882298" y="597055"/>
                </a:lnTo>
                <a:lnTo>
                  <a:pt x="1881681" y="597020"/>
                </a:lnTo>
                <a:cubicBezTo>
                  <a:pt x="1878344" y="597426"/>
                  <a:pt x="1875446" y="599519"/>
                  <a:pt x="1874518" y="602531"/>
                </a:cubicBezTo>
                <a:lnTo>
                  <a:pt x="1858037" y="656086"/>
                </a:lnTo>
                <a:cubicBezTo>
                  <a:pt x="1856802" y="660102"/>
                  <a:pt x="1859540" y="664229"/>
                  <a:pt x="1864152" y="665305"/>
                </a:cubicBezTo>
                <a:lnTo>
                  <a:pt x="1866184" y="665780"/>
                </a:lnTo>
                <a:cubicBezTo>
                  <a:pt x="1870795" y="666857"/>
                  <a:pt x="1875538" y="664473"/>
                  <a:pt x="1876773" y="660457"/>
                </a:cubicBezTo>
                <a:lnTo>
                  <a:pt x="1882298" y="642502"/>
                </a:lnTo>
                <a:lnTo>
                  <a:pt x="1882298" y="662686"/>
                </a:lnTo>
                <a:lnTo>
                  <a:pt x="1882298" y="669300"/>
                </a:lnTo>
                <a:lnTo>
                  <a:pt x="1882298" y="718130"/>
                </a:lnTo>
                <a:cubicBezTo>
                  <a:pt x="1882298" y="722288"/>
                  <a:pt x="1886170" y="725658"/>
                  <a:pt x="1890944" y="725658"/>
                </a:cubicBezTo>
                <a:lnTo>
                  <a:pt x="1893050" y="725658"/>
                </a:lnTo>
                <a:cubicBezTo>
                  <a:pt x="1897824" y="725658"/>
                  <a:pt x="1901696" y="722288"/>
                  <a:pt x="1901696" y="718130"/>
                </a:cubicBezTo>
                <a:lnTo>
                  <a:pt x="1901696" y="669300"/>
                </a:lnTo>
                <a:lnTo>
                  <a:pt x="1909138" y="669300"/>
                </a:lnTo>
                <a:lnTo>
                  <a:pt x="1909138" y="718130"/>
                </a:lnTo>
                <a:cubicBezTo>
                  <a:pt x="1909138" y="722288"/>
                  <a:pt x="1913008" y="725658"/>
                  <a:pt x="1917783" y="725658"/>
                </a:cubicBezTo>
                <a:lnTo>
                  <a:pt x="1919889" y="725658"/>
                </a:lnTo>
                <a:cubicBezTo>
                  <a:pt x="1924664" y="725658"/>
                  <a:pt x="1928535" y="722288"/>
                  <a:pt x="1928535" y="718130"/>
                </a:cubicBezTo>
                <a:lnTo>
                  <a:pt x="1928535" y="669300"/>
                </a:lnTo>
                <a:lnTo>
                  <a:pt x="1928535" y="662686"/>
                </a:lnTo>
                <a:lnTo>
                  <a:pt x="1928535" y="644694"/>
                </a:lnTo>
                <a:lnTo>
                  <a:pt x="1933385" y="660457"/>
                </a:lnTo>
                <a:cubicBezTo>
                  <a:pt x="1934622" y="664473"/>
                  <a:pt x="1939363" y="666857"/>
                  <a:pt x="1943974" y="665780"/>
                </a:cubicBezTo>
                <a:lnTo>
                  <a:pt x="1946009" y="665305"/>
                </a:lnTo>
                <a:cubicBezTo>
                  <a:pt x="1950620" y="664229"/>
                  <a:pt x="1953357" y="660102"/>
                  <a:pt x="1952121" y="656086"/>
                </a:cubicBezTo>
                <a:lnTo>
                  <a:pt x="1935640" y="602531"/>
                </a:lnTo>
                <a:cubicBezTo>
                  <a:pt x="1935177" y="601025"/>
                  <a:pt x="1934220" y="599749"/>
                  <a:pt x="1932962" y="598798"/>
                </a:cubicBezTo>
                <a:lnTo>
                  <a:pt x="1928535" y="597043"/>
                </a:lnTo>
                <a:lnTo>
                  <a:pt x="1928535" y="596830"/>
                </a:lnTo>
                <a:lnTo>
                  <a:pt x="1882298" y="596830"/>
                </a:lnTo>
                <a:close/>
                <a:moveTo>
                  <a:pt x="2081622" y="596830"/>
                </a:moveTo>
                <a:lnTo>
                  <a:pt x="2081622" y="597055"/>
                </a:lnTo>
                <a:lnTo>
                  <a:pt x="2081004" y="597020"/>
                </a:lnTo>
                <a:cubicBezTo>
                  <a:pt x="2077667" y="597426"/>
                  <a:pt x="2074768" y="599519"/>
                  <a:pt x="2073841" y="602531"/>
                </a:cubicBezTo>
                <a:lnTo>
                  <a:pt x="2057362" y="656086"/>
                </a:lnTo>
                <a:cubicBezTo>
                  <a:pt x="2056126" y="660102"/>
                  <a:pt x="2058863" y="664229"/>
                  <a:pt x="2063474" y="665305"/>
                </a:cubicBezTo>
                <a:lnTo>
                  <a:pt x="2065507" y="665780"/>
                </a:lnTo>
                <a:cubicBezTo>
                  <a:pt x="2070119" y="666857"/>
                  <a:pt x="2074860" y="664473"/>
                  <a:pt x="2076097" y="660457"/>
                </a:cubicBezTo>
                <a:lnTo>
                  <a:pt x="2081622" y="642502"/>
                </a:lnTo>
                <a:lnTo>
                  <a:pt x="2081622" y="662686"/>
                </a:lnTo>
                <a:lnTo>
                  <a:pt x="2081622" y="669300"/>
                </a:lnTo>
                <a:lnTo>
                  <a:pt x="2081622" y="718130"/>
                </a:lnTo>
                <a:cubicBezTo>
                  <a:pt x="2081622" y="722288"/>
                  <a:pt x="2085492" y="725658"/>
                  <a:pt x="2090268" y="725658"/>
                </a:cubicBezTo>
                <a:lnTo>
                  <a:pt x="2092373" y="725658"/>
                </a:lnTo>
                <a:cubicBezTo>
                  <a:pt x="2097148" y="725658"/>
                  <a:pt x="2101019" y="722288"/>
                  <a:pt x="2101019" y="718130"/>
                </a:cubicBezTo>
                <a:lnTo>
                  <a:pt x="2101019" y="669300"/>
                </a:lnTo>
                <a:lnTo>
                  <a:pt x="2108461" y="669300"/>
                </a:lnTo>
                <a:lnTo>
                  <a:pt x="2108461" y="718130"/>
                </a:lnTo>
                <a:cubicBezTo>
                  <a:pt x="2108461" y="722288"/>
                  <a:pt x="2112333" y="725658"/>
                  <a:pt x="2117107" y="725658"/>
                </a:cubicBezTo>
                <a:lnTo>
                  <a:pt x="2119212" y="725658"/>
                </a:lnTo>
                <a:cubicBezTo>
                  <a:pt x="2123987" y="725658"/>
                  <a:pt x="2127858" y="722288"/>
                  <a:pt x="2127858" y="718130"/>
                </a:cubicBezTo>
                <a:lnTo>
                  <a:pt x="2127858" y="669300"/>
                </a:lnTo>
                <a:lnTo>
                  <a:pt x="2127858" y="662686"/>
                </a:lnTo>
                <a:lnTo>
                  <a:pt x="2127858" y="644694"/>
                </a:lnTo>
                <a:lnTo>
                  <a:pt x="2132707" y="660457"/>
                </a:lnTo>
                <a:cubicBezTo>
                  <a:pt x="2133945" y="664473"/>
                  <a:pt x="2138685" y="666857"/>
                  <a:pt x="2143298" y="665780"/>
                </a:cubicBezTo>
                <a:lnTo>
                  <a:pt x="2145331" y="665305"/>
                </a:lnTo>
                <a:cubicBezTo>
                  <a:pt x="2149943" y="664229"/>
                  <a:pt x="2152681" y="660102"/>
                  <a:pt x="2151445" y="656086"/>
                </a:cubicBezTo>
                <a:lnTo>
                  <a:pt x="2134963" y="602531"/>
                </a:lnTo>
                <a:cubicBezTo>
                  <a:pt x="2134501" y="601025"/>
                  <a:pt x="2133542" y="599749"/>
                  <a:pt x="2132286" y="598798"/>
                </a:cubicBezTo>
                <a:lnTo>
                  <a:pt x="2127858" y="597043"/>
                </a:lnTo>
                <a:lnTo>
                  <a:pt x="2127858" y="596830"/>
                </a:lnTo>
                <a:lnTo>
                  <a:pt x="2081622" y="596830"/>
                </a:lnTo>
                <a:close/>
                <a:moveTo>
                  <a:pt x="303668" y="787580"/>
                </a:moveTo>
                <a:cubicBezTo>
                  <a:pt x="293205" y="787580"/>
                  <a:pt x="284721" y="794965"/>
                  <a:pt x="284721" y="804077"/>
                </a:cubicBezTo>
                <a:cubicBezTo>
                  <a:pt x="284721" y="813186"/>
                  <a:pt x="293205" y="820573"/>
                  <a:pt x="303668" y="820573"/>
                </a:cubicBezTo>
                <a:cubicBezTo>
                  <a:pt x="314131" y="820573"/>
                  <a:pt x="322614" y="813186"/>
                  <a:pt x="322614" y="804077"/>
                </a:cubicBezTo>
                <a:cubicBezTo>
                  <a:pt x="322614" y="794965"/>
                  <a:pt x="314131" y="787580"/>
                  <a:pt x="303668" y="787580"/>
                </a:cubicBezTo>
                <a:close/>
                <a:moveTo>
                  <a:pt x="503662" y="787580"/>
                </a:moveTo>
                <a:cubicBezTo>
                  <a:pt x="493198" y="787580"/>
                  <a:pt x="484717" y="794965"/>
                  <a:pt x="484717" y="804077"/>
                </a:cubicBezTo>
                <a:cubicBezTo>
                  <a:pt x="484717" y="813186"/>
                  <a:pt x="493198" y="820573"/>
                  <a:pt x="503662" y="820573"/>
                </a:cubicBezTo>
                <a:cubicBezTo>
                  <a:pt x="514126" y="820573"/>
                  <a:pt x="522607" y="813186"/>
                  <a:pt x="522607" y="804077"/>
                </a:cubicBezTo>
                <a:cubicBezTo>
                  <a:pt x="522607" y="794965"/>
                  <a:pt x="514126" y="787580"/>
                  <a:pt x="503662" y="787580"/>
                </a:cubicBezTo>
                <a:close/>
                <a:moveTo>
                  <a:pt x="703653" y="787580"/>
                </a:moveTo>
                <a:cubicBezTo>
                  <a:pt x="693190" y="787580"/>
                  <a:pt x="684709" y="794965"/>
                  <a:pt x="684709" y="804077"/>
                </a:cubicBezTo>
                <a:cubicBezTo>
                  <a:pt x="684709" y="813186"/>
                  <a:pt x="693190" y="820573"/>
                  <a:pt x="703653" y="820573"/>
                </a:cubicBezTo>
                <a:cubicBezTo>
                  <a:pt x="714117" y="820573"/>
                  <a:pt x="722600" y="813186"/>
                  <a:pt x="722600" y="804077"/>
                </a:cubicBezTo>
                <a:cubicBezTo>
                  <a:pt x="722600" y="794965"/>
                  <a:pt x="714117" y="787580"/>
                  <a:pt x="703653" y="787580"/>
                </a:cubicBezTo>
                <a:close/>
                <a:moveTo>
                  <a:pt x="903646" y="787580"/>
                </a:moveTo>
                <a:cubicBezTo>
                  <a:pt x="893183" y="787580"/>
                  <a:pt x="884701" y="794965"/>
                  <a:pt x="884701" y="804077"/>
                </a:cubicBezTo>
                <a:cubicBezTo>
                  <a:pt x="884701" y="813186"/>
                  <a:pt x="893183" y="820573"/>
                  <a:pt x="903646" y="820573"/>
                </a:cubicBezTo>
                <a:cubicBezTo>
                  <a:pt x="914110" y="820573"/>
                  <a:pt x="922591" y="813186"/>
                  <a:pt x="922591" y="804077"/>
                </a:cubicBezTo>
                <a:cubicBezTo>
                  <a:pt x="922591" y="794965"/>
                  <a:pt x="914110" y="787580"/>
                  <a:pt x="903646" y="787580"/>
                </a:cubicBezTo>
                <a:close/>
                <a:moveTo>
                  <a:pt x="1103638" y="787580"/>
                </a:moveTo>
                <a:cubicBezTo>
                  <a:pt x="1093175" y="787580"/>
                  <a:pt x="1084694" y="794965"/>
                  <a:pt x="1084694" y="804077"/>
                </a:cubicBezTo>
                <a:cubicBezTo>
                  <a:pt x="1084694" y="813186"/>
                  <a:pt x="1093175" y="820573"/>
                  <a:pt x="1103638" y="820573"/>
                </a:cubicBezTo>
                <a:cubicBezTo>
                  <a:pt x="1114102" y="820573"/>
                  <a:pt x="1122584" y="813186"/>
                  <a:pt x="1122584" y="804077"/>
                </a:cubicBezTo>
                <a:cubicBezTo>
                  <a:pt x="1122584" y="794965"/>
                  <a:pt x="1114102" y="787580"/>
                  <a:pt x="1103638" y="787580"/>
                </a:cubicBezTo>
                <a:close/>
                <a:moveTo>
                  <a:pt x="1303631" y="787580"/>
                </a:moveTo>
                <a:cubicBezTo>
                  <a:pt x="1293167" y="787580"/>
                  <a:pt x="1284685" y="794965"/>
                  <a:pt x="1284685" y="804077"/>
                </a:cubicBezTo>
                <a:cubicBezTo>
                  <a:pt x="1284685" y="813186"/>
                  <a:pt x="1293167" y="820573"/>
                  <a:pt x="1303631" y="820573"/>
                </a:cubicBezTo>
                <a:cubicBezTo>
                  <a:pt x="1314095" y="820573"/>
                  <a:pt x="1322576" y="813186"/>
                  <a:pt x="1322576" y="804077"/>
                </a:cubicBezTo>
                <a:cubicBezTo>
                  <a:pt x="1322576" y="794965"/>
                  <a:pt x="1314095" y="787580"/>
                  <a:pt x="1303631" y="787580"/>
                </a:cubicBezTo>
                <a:close/>
                <a:moveTo>
                  <a:pt x="1505923" y="787580"/>
                </a:moveTo>
                <a:cubicBezTo>
                  <a:pt x="1495460" y="787580"/>
                  <a:pt x="1486979" y="794965"/>
                  <a:pt x="1486979" y="804077"/>
                </a:cubicBezTo>
                <a:cubicBezTo>
                  <a:pt x="1486979" y="813186"/>
                  <a:pt x="1495460" y="820573"/>
                  <a:pt x="1505923" y="820573"/>
                </a:cubicBezTo>
                <a:cubicBezTo>
                  <a:pt x="1516387" y="820573"/>
                  <a:pt x="1524868" y="813186"/>
                  <a:pt x="1524868" y="804077"/>
                </a:cubicBezTo>
                <a:cubicBezTo>
                  <a:pt x="1524868" y="794965"/>
                  <a:pt x="1516387" y="787580"/>
                  <a:pt x="1505923" y="787580"/>
                </a:cubicBezTo>
                <a:close/>
                <a:moveTo>
                  <a:pt x="1703085" y="787580"/>
                </a:moveTo>
                <a:cubicBezTo>
                  <a:pt x="1692623" y="787580"/>
                  <a:pt x="1684140" y="794965"/>
                  <a:pt x="1684140" y="804077"/>
                </a:cubicBezTo>
                <a:cubicBezTo>
                  <a:pt x="1684140" y="813186"/>
                  <a:pt x="1692623" y="820573"/>
                  <a:pt x="1703085" y="820573"/>
                </a:cubicBezTo>
                <a:cubicBezTo>
                  <a:pt x="1713550" y="820573"/>
                  <a:pt x="1722031" y="813186"/>
                  <a:pt x="1722031" y="804077"/>
                </a:cubicBezTo>
                <a:cubicBezTo>
                  <a:pt x="1722031" y="794965"/>
                  <a:pt x="1713550" y="787580"/>
                  <a:pt x="1703085" y="787580"/>
                </a:cubicBezTo>
                <a:close/>
                <a:moveTo>
                  <a:pt x="1905908" y="787580"/>
                </a:moveTo>
                <a:cubicBezTo>
                  <a:pt x="1895444" y="787580"/>
                  <a:pt x="1886962" y="794965"/>
                  <a:pt x="1886962" y="804077"/>
                </a:cubicBezTo>
                <a:cubicBezTo>
                  <a:pt x="1886962" y="813186"/>
                  <a:pt x="1895444" y="820573"/>
                  <a:pt x="1905908" y="820573"/>
                </a:cubicBezTo>
                <a:cubicBezTo>
                  <a:pt x="1916372" y="820573"/>
                  <a:pt x="1924855" y="813186"/>
                  <a:pt x="1924855" y="804077"/>
                </a:cubicBezTo>
                <a:cubicBezTo>
                  <a:pt x="1924855" y="794965"/>
                  <a:pt x="1916372" y="787580"/>
                  <a:pt x="1905908" y="787580"/>
                </a:cubicBezTo>
                <a:close/>
                <a:moveTo>
                  <a:pt x="2105231" y="787580"/>
                </a:moveTo>
                <a:cubicBezTo>
                  <a:pt x="2094769" y="787580"/>
                  <a:pt x="2086286" y="794965"/>
                  <a:pt x="2086286" y="804077"/>
                </a:cubicBezTo>
                <a:cubicBezTo>
                  <a:pt x="2086286" y="813186"/>
                  <a:pt x="2094769" y="820573"/>
                  <a:pt x="2105231" y="820573"/>
                </a:cubicBezTo>
                <a:cubicBezTo>
                  <a:pt x="2115694" y="820573"/>
                  <a:pt x="2124177" y="813186"/>
                  <a:pt x="2124177" y="804077"/>
                </a:cubicBezTo>
                <a:cubicBezTo>
                  <a:pt x="2124177" y="794965"/>
                  <a:pt x="2115694" y="787580"/>
                  <a:pt x="2105231" y="787580"/>
                </a:cubicBezTo>
                <a:close/>
                <a:moveTo>
                  <a:pt x="280058" y="824238"/>
                </a:moveTo>
                <a:lnTo>
                  <a:pt x="280058" y="824463"/>
                </a:lnTo>
                <a:lnTo>
                  <a:pt x="279441" y="824428"/>
                </a:lnTo>
                <a:cubicBezTo>
                  <a:pt x="276104" y="824833"/>
                  <a:pt x="273205" y="826926"/>
                  <a:pt x="272279" y="829938"/>
                </a:cubicBezTo>
                <a:lnTo>
                  <a:pt x="255797" y="883493"/>
                </a:lnTo>
                <a:cubicBezTo>
                  <a:pt x="254561" y="887509"/>
                  <a:pt x="257298" y="891636"/>
                  <a:pt x="261911" y="892712"/>
                </a:cubicBezTo>
                <a:lnTo>
                  <a:pt x="263944" y="893188"/>
                </a:lnTo>
                <a:cubicBezTo>
                  <a:pt x="268557" y="894264"/>
                  <a:pt x="273297" y="891880"/>
                  <a:pt x="274533" y="887865"/>
                </a:cubicBezTo>
                <a:lnTo>
                  <a:pt x="280058" y="869910"/>
                </a:lnTo>
                <a:lnTo>
                  <a:pt x="280058" y="890094"/>
                </a:lnTo>
                <a:lnTo>
                  <a:pt x="280058" y="896707"/>
                </a:lnTo>
                <a:lnTo>
                  <a:pt x="280058" y="945537"/>
                </a:lnTo>
                <a:cubicBezTo>
                  <a:pt x="280058" y="949695"/>
                  <a:pt x="283930" y="953066"/>
                  <a:pt x="288705" y="953066"/>
                </a:cubicBezTo>
                <a:lnTo>
                  <a:pt x="290809" y="953066"/>
                </a:lnTo>
                <a:cubicBezTo>
                  <a:pt x="295584" y="953066"/>
                  <a:pt x="299455" y="949695"/>
                  <a:pt x="299455" y="945537"/>
                </a:cubicBezTo>
                <a:lnTo>
                  <a:pt x="299455" y="896707"/>
                </a:lnTo>
                <a:lnTo>
                  <a:pt x="306898" y="896707"/>
                </a:lnTo>
                <a:lnTo>
                  <a:pt x="306898" y="945537"/>
                </a:lnTo>
                <a:cubicBezTo>
                  <a:pt x="306898" y="949695"/>
                  <a:pt x="310769" y="953066"/>
                  <a:pt x="315544" y="953066"/>
                </a:cubicBezTo>
                <a:lnTo>
                  <a:pt x="317649" y="953066"/>
                </a:lnTo>
                <a:cubicBezTo>
                  <a:pt x="322423" y="953066"/>
                  <a:pt x="326293" y="949695"/>
                  <a:pt x="326293" y="945537"/>
                </a:cubicBezTo>
                <a:lnTo>
                  <a:pt x="326293" y="896707"/>
                </a:lnTo>
                <a:lnTo>
                  <a:pt x="326293" y="890094"/>
                </a:lnTo>
                <a:lnTo>
                  <a:pt x="326293" y="872102"/>
                </a:lnTo>
                <a:lnTo>
                  <a:pt x="331145" y="887865"/>
                </a:lnTo>
                <a:cubicBezTo>
                  <a:pt x="332381" y="891880"/>
                  <a:pt x="337122" y="894264"/>
                  <a:pt x="341734" y="893188"/>
                </a:cubicBezTo>
                <a:lnTo>
                  <a:pt x="343767" y="892712"/>
                </a:lnTo>
                <a:cubicBezTo>
                  <a:pt x="348380" y="891636"/>
                  <a:pt x="351116" y="887509"/>
                  <a:pt x="349881" y="883493"/>
                </a:cubicBezTo>
                <a:lnTo>
                  <a:pt x="333400" y="829938"/>
                </a:lnTo>
                <a:cubicBezTo>
                  <a:pt x="332936" y="828432"/>
                  <a:pt x="331980" y="827156"/>
                  <a:pt x="330722" y="826205"/>
                </a:cubicBezTo>
                <a:lnTo>
                  <a:pt x="326293" y="824451"/>
                </a:lnTo>
                <a:lnTo>
                  <a:pt x="326293" y="824238"/>
                </a:lnTo>
                <a:lnTo>
                  <a:pt x="280058" y="824238"/>
                </a:lnTo>
                <a:close/>
                <a:moveTo>
                  <a:pt x="480053" y="824238"/>
                </a:moveTo>
                <a:lnTo>
                  <a:pt x="480053" y="824463"/>
                </a:lnTo>
                <a:lnTo>
                  <a:pt x="479436" y="824428"/>
                </a:lnTo>
                <a:cubicBezTo>
                  <a:pt x="476099" y="824833"/>
                  <a:pt x="473200" y="826926"/>
                  <a:pt x="472272" y="829938"/>
                </a:cubicBezTo>
                <a:lnTo>
                  <a:pt x="455791" y="883493"/>
                </a:lnTo>
                <a:cubicBezTo>
                  <a:pt x="454555" y="887509"/>
                  <a:pt x="457292" y="891636"/>
                  <a:pt x="461906" y="892712"/>
                </a:cubicBezTo>
                <a:lnTo>
                  <a:pt x="463938" y="893188"/>
                </a:lnTo>
                <a:cubicBezTo>
                  <a:pt x="468550" y="894264"/>
                  <a:pt x="473292" y="891880"/>
                  <a:pt x="474527" y="887865"/>
                </a:cubicBezTo>
                <a:lnTo>
                  <a:pt x="480053" y="869910"/>
                </a:lnTo>
                <a:lnTo>
                  <a:pt x="480053" y="890094"/>
                </a:lnTo>
                <a:lnTo>
                  <a:pt x="480053" y="896707"/>
                </a:lnTo>
                <a:lnTo>
                  <a:pt x="480053" y="945537"/>
                </a:lnTo>
                <a:cubicBezTo>
                  <a:pt x="480053" y="949695"/>
                  <a:pt x="483924" y="953066"/>
                  <a:pt x="488698" y="953066"/>
                </a:cubicBezTo>
                <a:lnTo>
                  <a:pt x="490804" y="953066"/>
                </a:lnTo>
                <a:cubicBezTo>
                  <a:pt x="495578" y="953066"/>
                  <a:pt x="499450" y="949695"/>
                  <a:pt x="499450" y="945537"/>
                </a:cubicBezTo>
                <a:lnTo>
                  <a:pt x="499450" y="896707"/>
                </a:lnTo>
                <a:lnTo>
                  <a:pt x="506892" y="896707"/>
                </a:lnTo>
                <a:lnTo>
                  <a:pt x="506892" y="945537"/>
                </a:lnTo>
                <a:cubicBezTo>
                  <a:pt x="506892" y="949695"/>
                  <a:pt x="510763" y="953066"/>
                  <a:pt x="515538" y="953066"/>
                </a:cubicBezTo>
                <a:lnTo>
                  <a:pt x="517643" y="953066"/>
                </a:lnTo>
                <a:cubicBezTo>
                  <a:pt x="522418" y="953066"/>
                  <a:pt x="526287" y="949695"/>
                  <a:pt x="526287" y="945537"/>
                </a:cubicBezTo>
                <a:lnTo>
                  <a:pt x="526287" y="896707"/>
                </a:lnTo>
                <a:lnTo>
                  <a:pt x="526287" y="890094"/>
                </a:lnTo>
                <a:lnTo>
                  <a:pt x="526287" y="872102"/>
                </a:lnTo>
                <a:lnTo>
                  <a:pt x="531139" y="887865"/>
                </a:lnTo>
                <a:cubicBezTo>
                  <a:pt x="532375" y="891880"/>
                  <a:pt x="537116" y="894264"/>
                  <a:pt x="541727" y="893188"/>
                </a:cubicBezTo>
                <a:lnTo>
                  <a:pt x="543761" y="892712"/>
                </a:lnTo>
                <a:cubicBezTo>
                  <a:pt x="548373" y="891636"/>
                  <a:pt x="551110" y="887509"/>
                  <a:pt x="549875" y="883493"/>
                </a:cubicBezTo>
                <a:lnTo>
                  <a:pt x="533394" y="829938"/>
                </a:lnTo>
                <a:cubicBezTo>
                  <a:pt x="532930" y="828432"/>
                  <a:pt x="531974" y="827156"/>
                  <a:pt x="530716" y="826205"/>
                </a:cubicBezTo>
                <a:lnTo>
                  <a:pt x="526287" y="824451"/>
                </a:lnTo>
                <a:lnTo>
                  <a:pt x="526287" y="824238"/>
                </a:lnTo>
                <a:lnTo>
                  <a:pt x="480053" y="824238"/>
                </a:lnTo>
                <a:close/>
                <a:moveTo>
                  <a:pt x="680045" y="824238"/>
                </a:moveTo>
                <a:lnTo>
                  <a:pt x="680045" y="824463"/>
                </a:lnTo>
                <a:lnTo>
                  <a:pt x="679427" y="824428"/>
                </a:lnTo>
                <a:cubicBezTo>
                  <a:pt x="676090" y="824833"/>
                  <a:pt x="673192" y="826926"/>
                  <a:pt x="672265" y="829938"/>
                </a:cubicBezTo>
                <a:lnTo>
                  <a:pt x="655783" y="883493"/>
                </a:lnTo>
                <a:cubicBezTo>
                  <a:pt x="654547" y="887509"/>
                  <a:pt x="657285" y="891636"/>
                  <a:pt x="661899" y="892712"/>
                </a:cubicBezTo>
                <a:lnTo>
                  <a:pt x="663930" y="893188"/>
                </a:lnTo>
                <a:cubicBezTo>
                  <a:pt x="668542" y="894264"/>
                  <a:pt x="673282" y="891880"/>
                  <a:pt x="674518" y="887865"/>
                </a:cubicBezTo>
                <a:lnTo>
                  <a:pt x="680045" y="869910"/>
                </a:lnTo>
                <a:lnTo>
                  <a:pt x="680045" y="890094"/>
                </a:lnTo>
                <a:lnTo>
                  <a:pt x="680045" y="896707"/>
                </a:lnTo>
                <a:lnTo>
                  <a:pt x="680045" y="945537"/>
                </a:lnTo>
                <a:cubicBezTo>
                  <a:pt x="680045" y="949695"/>
                  <a:pt x="683916" y="953066"/>
                  <a:pt x="688691" y="953066"/>
                </a:cubicBezTo>
                <a:lnTo>
                  <a:pt x="690797" y="953066"/>
                </a:lnTo>
                <a:cubicBezTo>
                  <a:pt x="695570" y="953066"/>
                  <a:pt x="699443" y="949695"/>
                  <a:pt x="699443" y="945537"/>
                </a:cubicBezTo>
                <a:lnTo>
                  <a:pt x="699443" y="896707"/>
                </a:lnTo>
                <a:lnTo>
                  <a:pt x="706884" y="896707"/>
                </a:lnTo>
                <a:lnTo>
                  <a:pt x="706884" y="945537"/>
                </a:lnTo>
                <a:cubicBezTo>
                  <a:pt x="706884" y="949695"/>
                  <a:pt x="710754" y="953066"/>
                  <a:pt x="715530" y="953066"/>
                </a:cubicBezTo>
                <a:lnTo>
                  <a:pt x="717635" y="953066"/>
                </a:lnTo>
                <a:cubicBezTo>
                  <a:pt x="722411" y="953066"/>
                  <a:pt x="726280" y="949695"/>
                  <a:pt x="726280" y="945537"/>
                </a:cubicBezTo>
                <a:lnTo>
                  <a:pt x="726280" y="896707"/>
                </a:lnTo>
                <a:lnTo>
                  <a:pt x="726280" y="890094"/>
                </a:lnTo>
                <a:lnTo>
                  <a:pt x="726280" y="872102"/>
                </a:lnTo>
                <a:lnTo>
                  <a:pt x="731132" y="887865"/>
                </a:lnTo>
                <a:cubicBezTo>
                  <a:pt x="732368" y="891880"/>
                  <a:pt x="737108" y="894264"/>
                  <a:pt x="741720" y="893188"/>
                </a:cubicBezTo>
                <a:lnTo>
                  <a:pt x="743753" y="892712"/>
                </a:lnTo>
                <a:cubicBezTo>
                  <a:pt x="748365" y="891636"/>
                  <a:pt x="751103" y="887509"/>
                  <a:pt x="749868" y="883493"/>
                </a:cubicBezTo>
                <a:lnTo>
                  <a:pt x="733385" y="829938"/>
                </a:lnTo>
                <a:cubicBezTo>
                  <a:pt x="732923" y="828432"/>
                  <a:pt x="731967" y="827156"/>
                  <a:pt x="730709" y="826205"/>
                </a:cubicBezTo>
                <a:lnTo>
                  <a:pt x="726280" y="824451"/>
                </a:lnTo>
                <a:lnTo>
                  <a:pt x="726280" y="824238"/>
                </a:lnTo>
                <a:lnTo>
                  <a:pt x="680045" y="824238"/>
                </a:lnTo>
                <a:close/>
                <a:moveTo>
                  <a:pt x="880037" y="824238"/>
                </a:moveTo>
                <a:lnTo>
                  <a:pt x="880037" y="824463"/>
                </a:lnTo>
                <a:lnTo>
                  <a:pt x="879420" y="824428"/>
                </a:lnTo>
                <a:cubicBezTo>
                  <a:pt x="876083" y="824833"/>
                  <a:pt x="873184" y="826926"/>
                  <a:pt x="872256" y="829938"/>
                </a:cubicBezTo>
                <a:lnTo>
                  <a:pt x="855776" y="883493"/>
                </a:lnTo>
                <a:cubicBezTo>
                  <a:pt x="854540" y="887509"/>
                  <a:pt x="857277" y="891636"/>
                  <a:pt x="861890" y="892712"/>
                </a:cubicBezTo>
                <a:lnTo>
                  <a:pt x="863923" y="893188"/>
                </a:lnTo>
                <a:cubicBezTo>
                  <a:pt x="868534" y="894264"/>
                  <a:pt x="873275" y="891880"/>
                  <a:pt x="874511" y="887865"/>
                </a:cubicBezTo>
                <a:lnTo>
                  <a:pt x="880037" y="869910"/>
                </a:lnTo>
                <a:lnTo>
                  <a:pt x="880037" y="890094"/>
                </a:lnTo>
                <a:lnTo>
                  <a:pt x="880037" y="896707"/>
                </a:lnTo>
                <a:lnTo>
                  <a:pt x="880037" y="945537"/>
                </a:lnTo>
                <a:cubicBezTo>
                  <a:pt x="880037" y="949695"/>
                  <a:pt x="883909" y="953066"/>
                  <a:pt x="888683" y="953066"/>
                </a:cubicBezTo>
                <a:lnTo>
                  <a:pt x="890788" y="953066"/>
                </a:lnTo>
                <a:cubicBezTo>
                  <a:pt x="895563" y="953066"/>
                  <a:pt x="899434" y="949695"/>
                  <a:pt x="899434" y="945537"/>
                </a:cubicBezTo>
                <a:lnTo>
                  <a:pt x="899434" y="896707"/>
                </a:lnTo>
                <a:lnTo>
                  <a:pt x="906877" y="896707"/>
                </a:lnTo>
                <a:lnTo>
                  <a:pt x="906877" y="945537"/>
                </a:lnTo>
                <a:cubicBezTo>
                  <a:pt x="906877" y="949695"/>
                  <a:pt x="910747" y="953066"/>
                  <a:pt x="915521" y="953066"/>
                </a:cubicBezTo>
                <a:lnTo>
                  <a:pt x="917628" y="953066"/>
                </a:lnTo>
                <a:cubicBezTo>
                  <a:pt x="922402" y="953066"/>
                  <a:pt x="926272" y="949695"/>
                  <a:pt x="926272" y="945537"/>
                </a:cubicBezTo>
                <a:lnTo>
                  <a:pt x="926272" y="896707"/>
                </a:lnTo>
                <a:lnTo>
                  <a:pt x="926272" y="890094"/>
                </a:lnTo>
                <a:lnTo>
                  <a:pt x="926272" y="872102"/>
                </a:lnTo>
                <a:lnTo>
                  <a:pt x="931123" y="887865"/>
                </a:lnTo>
                <a:cubicBezTo>
                  <a:pt x="932359" y="891880"/>
                  <a:pt x="937100" y="894264"/>
                  <a:pt x="941712" y="893188"/>
                </a:cubicBezTo>
                <a:lnTo>
                  <a:pt x="943745" y="892712"/>
                </a:lnTo>
                <a:cubicBezTo>
                  <a:pt x="948358" y="891636"/>
                  <a:pt x="951095" y="887509"/>
                  <a:pt x="949860" y="883493"/>
                </a:cubicBezTo>
                <a:lnTo>
                  <a:pt x="933378" y="829938"/>
                </a:lnTo>
                <a:cubicBezTo>
                  <a:pt x="932915" y="828432"/>
                  <a:pt x="931958" y="827156"/>
                  <a:pt x="930701" y="826205"/>
                </a:cubicBezTo>
                <a:lnTo>
                  <a:pt x="926272" y="824451"/>
                </a:lnTo>
                <a:lnTo>
                  <a:pt x="926272" y="824238"/>
                </a:lnTo>
                <a:lnTo>
                  <a:pt x="880037" y="824238"/>
                </a:lnTo>
                <a:close/>
                <a:moveTo>
                  <a:pt x="1080030" y="824238"/>
                </a:moveTo>
                <a:lnTo>
                  <a:pt x="1080030" y="824463"/>
                </a:lnTo>
                <a:lnTo>
                  <a:pt x="1079412" y="824428"/>
                </a:lnTo>
                <a:cubicBezTo>
                  <a:pt x="1076075" y="824833"/>
                  <a:pt x="1073176" y="826926"/>
                  <a:pt x="1072249" y="829938"/>
                </a:cubicBezTo>
                <a:lnTo>
                  <a:pt x="1055767" y="883493"/>
                </a:lnTo>
                <a:cubicBezTo>
                  <a:pt x="1054531" y="887509"/>
                  <a:pt x="1057269" y="891636"/>
                  <a:pt x="1061881" y="892712"/>
                </a:cubicBezTo>
                <a:lnTo>
                  <a:pt x="1063914" y="893188"/>
                </a:lnTo>
                <a:cubicBezTo>
                  <a:pt x="1068527" y="894264"/>
                  <a:pt x="1073267" y="891880"/>
                  <a:pt x="1074503" y="887865"/>
                </a:cubicBezTo>
                <a:lnTo>
                  <a:pt x="1080030" y="869910"/>
                </a:lnTo>
                <a:lnTo>
                  <a:pt x="1080030" y="890094"/>
                </a:lnTo>
                <a:lnTo>
                  <a:pt x="1080030" y="896707"/>
                </a:lnTo>
                <a:lnTo>
                  <a:pt x="1080030" y="945537"/>
                </a:lnTo>
                <a:cubicBezTo>
                  <a:pt x="1080030" y="949695"/>
                  <a:pt x="1083900" y="953066"/>
                  <a:pt x="1088676" y="953066"/>
                </a:cubicBezTo>
                <a:lnTo>
                  <a:pt x="1090781" y="953066"/>
                </a:lnTo>
                <a:cubicBezTo>
                  <a:pt x="1095554" y="953066"/>
                  <a:pt x="1099427" y="949695"/>
                  <a:pt x="1099427" y="945537"/>
                </a:cubicBezTo>
                <a:lnTo>
                  <a:pt x="1099427" y="896707"/>
                </a:lnTo>
                <a:lnTo>
                  <a:pt x="1106868" y="896707"/>
                </a:lnTo>
                <a:lnTo>
                  <a:pt x="1106868" y="945537"/>
                </a:lnTo>
                <a:cubicBezTo>
                  <a:pt x="1106868" y="949695"/>
                  <a:pt x="1110739" y="953066"/>
                  <a:pt x="1115514" y="953066"/>
                </a:cubicBezTo>
                <a:lnTo>
                  <a:pt x="1117619" y="953066"/>
                </a:lnTo>
                <a:cubicBezTo>
                  <a:pt x="1122395" y="953066"/>
                  <a:pt x="1126264" y="949695"/>
                  <a:pt x="1126264" y="945537"/>
                </a:cubicBezTo>
                <a:lnTo>
                  <a:pt x="1126264" y="896707"/>
                </a:lnTo>
                <a:lnTo>
                  <a:pt x="1126264" y="890094"/>
                </a:lnTo>
                <a:lnTo>
                  <a:pt x="1126264" y="872102"/>
                </a:lnTo>
                <a:lnTo>
                  <a:pt x="1131115" y="887865"/>
                </a:lnTo>
                <a:cubicBezTo>
                  <a:pt x="1132352" y="891880"/>
                  <a:pt x="1137092" y="894264"/>
                  <a:pt x="1141704" y="893188"/>
                </a:cubicBezTo>
                <a:lnTo>
                  <a:pt x="1143738" y="892712"/>
                </a:lnTo>
                <a:cubicBezTo>
                  <a:pt x="1148350" y="891636"/>
                  <a:pt x="1151086" y="887509"/>
                  <a:pt x="1149853" y="883493"/>
                </a:cubicBezTo>
                <a:lnTo>
                  <a:pt x="1133370" y="829938"/>
                </a:lnTo>
                <a:cubicBezTo>
                  <a:pt x="1132906" y="828432"/>
                  <a:pt x="1131950" y="827156"/>
                  <a:pt x="1130693" y="826205"/>
                </a:cubicBezTo>
                <a:lnTo>
                  <a:pt x="1126264" y="824451"/>
                </a:lnTo>
                <a:lnTo>
                  <a:pt x="1126264" y="824238"/>
                </a:lnTo>
                <a:lnTo>
                  <a:pt x="1080030" y="824238"/>
                </a:lnTo>
                <a:close/>
                <a:moveTo>
                  <a:pt x="1280022" y="824238"/>
                </a:moveTo>
                <a:lnTo>
                  <a:pt x="1280022" y="824463"/>
                </a:lnTo>
                <a:lnTo>
                  <a:pt x="1279405" y="824428"/>
                </a:lnTo>
                <a:cubicBezTo>
                  <a:pt x="1276068" y="824833"/>
                  <a:pt x="1273169" y="826926"/>
                  <a:pt x="1272241" y="829938"/>
                </a:cubicBezTo>
                <a:lnTo>
                  <a:pt x="1255760" y="883493"/>
                </a:lnTo>
                <a:cubicBezTo>
                  <a:pt x="1254524" y="887509"/>
                  <a:pt x="1257261" y="891636"/>
                  <a:pt x="1261874" y="892712"/>
                </a:cubicBezTo>
                <a:lnTo>
                  <a:pt x="1263907" y="893188"/>
                </a:lnTo>
                <a:cubicBezTo>
                  <a:pt x="1268519" y="894264"/>
                  <a:pt x="1273260" y="891880"/>
                  <a:pt x="1274496" y="887865"/>
                </a:cubicBezTo>
                <a:lnTo>
                  <a:pt x="1280022" y="869910"/>
                </a:lnTo>
                <a:lnTo>
                  <a:pt x="1280022" y="890094"/>
                </a:lnTo>
                <a:lnTo>
                  <a:pt x="1280022" y="896707"/>
                </a:lnTo>
                <a:lnTo>
                  <a:pt x="1280022" y="945537"/>
                </a:lnTo>
                <a:cubicBezTo>
                  <a:pt x="1280022" y="949695"/>
                  <a:pt x="1283892" y="953066"/>
                  <a:pt x="1288667" y="953066"/>
                </a:cubicBezTo>
                <a:lnTo>
                  <a:pt x="1290773" y="953066"/>
                </a:lnTo>
                <a:cubicBezTo>
                  <a:pt x="1295546" y="953066"/>
                  <a:pt x="1299419" y="949695"/>
                  <a:pt x="1299419" y="945537"/>
                </a:cubicBezTo>
                <a:lnTo>
                  <a:pt x="1299419" y="896707"/>
                </a:lnTo>
                <a:lnTo>
                  <a:pt x="1306860" y="896707"/>
                </a:lnTo>
                <a:lnTo>
                  <a:pt x="1306860" y="945537"/>
                </a:lnTo>
                <a:cubicBezTo>
                  <a:pt x="1306860" y="949695"/>
                  <a:pt x="1310732" y="953066"/>
                  <a:pt x="1315506" y="953066"/>
                </a:cubicBezTo>
                <a:lnTo>
                  <a:pt x="1317610" y="953066"/>
                </a:lnTo>
                <a:cubicBezTo>
                  <a:pt x="1322387" y="953066"/>
                  <a:pt x="1326256" y="949695"/>
                  <a:pt x="1326256" y="945537"/>
                </a:cubicBezTo>
                <a:lnTo>
                  <a:pt x="1326256" y="896707"/>
                </a:lnTo>
                <a:lnTo>
                  <a:pt x="1326256" y="890094"/>
                </a:lnTo>
                <a:lnTo>
                  <a:pt x="1326256" y="872102"/>
                </a:lnTo>
                <a:lnTo>
                  <a:pt x="1331108" y="887865"/>
                </a:lnTo>
                <a:cubicBezTo>
                  <a:pt x="1332344" y="891880"/>
                  <a:pt x="1337084" y="894264"/>
                  <a:pt x="1341696" y="893188"/>
                </a:cubicBezTo>
                <a:lnTo>
                  <a:pt x="1343730" y="892712"/>
                </a:lnTo>
                <a:cubicBezTo>
                  <a:pt x="1348342" y="891636"/>
                  <a:pt x="1351079" y="887509"/>
                  <a:pt x="1349844" y="883493"/>
                </a:cubicBezTo>
                <a:lnTo>
                  <a:pt x="1333361" y="829938"/>
                </a:lnTo>
                <a:cubicBezTo>
                  <a:pt x="1332899" y="828432"/>
                  <a:pt x="1331943" y="827156"/>
                  <a:pt x="1330685" y="826205"/>
                </a:cubicBezTo>
                <a:lnTo>
                  <a:pt x="1326256" y="824451"/>
                </a:lnTo>
                <a:lnTo>
                  <a:pt x="1326256" y="824238"/>
                </a:lnTo>
                <a:lnTo>
                  <a:pt x="1280022" y="824238"/>
                </a:lnTo>
                <a:close/>
                <a:moveTo>
                  <a:pt x="1482314" y="824238"/>
                </a:moveTo>
                <a:lnTo>
                  <a:pt x="1482314" y="824463"/>
                </a:lnTo>
                <a:lnTo>
                  <a:pt x="1481697" y="824428"/>
                </a:lnTo>
                <a:cubicBezTo>
                  <a:pt x="1478360" y="824833"/>
                  <a:pt x="1475461" y="826926"/>
                  <a:pt x="1474533" y="829938"/>
                </a:cubicBezTo>
                <a:lnTo>
                  <a:pt x="1458052" y="883493"/>
                </a:lnTo>
                <a:cubicBezTo>
                  <a:pt x="1456817" y="887509"/>
                  <a:pt x="1459553" y="891636"/>
                  <a:pt x="1464166" y="892712"/>
                </a:cubicBezTo>
                <a:lnTo>
                  <a:pt x="1466199" y="893188"/>
                </a:lnTo>
                <a:cubicBezTo>
                  <a:pt x="1470811" y="894264"/>
                  <a:pt x="1475552" y="891880"/>
                  <a:pt x="1476788" y="887865"/>
                </a:cubicBezTo>
                <a:lnTo>
                  <a:pt x="1482314" y="869910"/>
                </a:lnTo>
                <a:lnTo>
                  <a:pt x="1482314" y="890094"/>
                </a:lnTo>
                <a:lnTo>
                  <a:pt x="1482314" y="896707"/>
                </a:lnTo>
                <a:lnTo>
                  <a:pt x="1482314" y="945537"/>
                </a:lnTo>
                <a:cubicBezTo>
                  <a:pt x="1482314" y="949695"/>
                  <a:pt x="1486185" y="953066"/>
                  <a:pt x="1490960" y="953066"/>
                </a:cubicBezTo>
                <a:lnTo>
                  <a:pt x="1493064" y="953066"/>
                </a:lnTo>
                <a:cubicBezTo>
                  <a:pt x="1497840" y="953066"/>
                  <a:pt x="1501710" y="949695"/>
                  <a:pt x="1501710" y="945537"/>
                </a:cubicBezTo>
                <a:lnTo>
                  <a:pt x="1501710" y="896707"/>
                </a:lnTo>
                <a:lnTo>
                  <a:pt x="1509153" y="896707"/>
                </a:lnTo>
                <a:lnTo>
                  <a:pt x="1509153" y="945537"/>
                </a:lnTo>
                <a:cubicBezTo>
                  <a:pt x="1509153" y="949695"/>
                  <a:pt x="1513024" y="953066"/>
                  <a:pt x="1517799" y="953066"/>
                </a:cubicBezTo>
                <a:lnTo>
                  <a:pt x="1519903" y="953066"/>
                </a:lnTo>
                <a:cubicBezTo>
                  <a:pt x="1524678" y="953066"/>
                  <a:pt x="1528549" y="949695"/>
                  <a:pt x="1528549" y="945537"/>
                </a:cubicBezTo>
                <a:lnTo>
                  <a:pt x="1528549" y="896707"/>
                </a:lnTo>
                <a:lnTo>
                  <a:pt x="1528549" y="890094"/>
                </a:lnTo>
                <a:lnTo>
                  <a:pt x="1528549" y="872102"/>
                </a:lnTo>
                <a:lnTo>
                  <a:pt x="1533400" y="887865"/>
                </a:lnTo>
                <a:cubicBezTo>
                  <a:pt x="1534636" y="891880"/>
                  <a:pt x="1539377" y="894264"/>
                  <a:pt x="1543989" y="893188"/>
                </a:cubicBezTo>
                <a:lnTo>
                  <a:pt x="1546022" y="892712"/>
                </a:lnTo>
                <a:cubicBezTo>
                  <a:pt x="1550635" y="891636"/>
                  <a:pt x="1553371" y="887509"/>
                  <a:pt x="1552136" y="883493"/>
                </a:cubicBezTo>
                <a:lnTo>
                  <a:pt x="1535655" y="829938"/>
                </a:lnTo>
                <a:cubicBezTo>
                  <a:pt x="1535191" y="828432"/>
                  <a:pt x="1534235" y="827156"/>
                  <a:pt x="1532977" y="826205"/>
                </a:cubicBezTo>
                <a:lnTo>
                  <a:pt x="1528549" y="824451"/>
                </a:lnTo>
                <a:lnTo>
                  <a:pt x="1528549" y="824238"/>
                </a:lnTo>
                <a:lnTo>
                  <a:pt x="1482314" y="824238"/>
                </a:lnTo>
                <a:close/>
                <a:moveTo>
                  <a:pt x="1679477" y="824238"/>
                </a:moveTo>
                <a:lnTo>
                  <a:pt x="1679477" y="824463"/>
                </a:lnTo>
                <a:lnTo>
                  <a:pt x="1678860" y="824428"/>
                </a:lnTo>
                <a:cubicBezTo>
                  <a:pt x="1675521" y="824833"/>
                  <a:pt x="1672623" y="826926"/>
                  <a:pt x="1671696" y="829938"/>
                </a:cubicBezTo>
                <a:lnTo>
                  <a:pt x="1655215" y="883493"/>
                </a:lnTo>
                <a:cubicBezTo>
                  <a:pt x="1653980" y="887509"/>
                  <a:pt x="1656716" y="891636"/>
                  <a:pt x="1661328" y="892712"/>
                </a:cubicBezTo>
                <a:lnTo>
                  <a:pt x="1663362" y="893188"/>
                </a:lnTo>
                <a:cubicBezTo>
                  <a:pt x="1667974" y="894264"/>
                  <a:pt x="1672715" y="891880"/>
                  <a:pt x="1673951" y="887865"/>
                </a:cubicBezTo>
                <a:lnTo>
                  <a:pt x="1679477" y="869910"/>
                </a:lnTo>
                <a:lnTo>
                  <a:pt x="1679477" y="890094"/>
                </a:lnTo>
                <a:lnTo>
                  <a:pt x="1679477" y="896707"/>
                </a:lnTo>
                <a:lnTo>
                  <a:pt x="1679477" y="945537"/>
                </a:lnTo>
                <a:cubicBezTo>
                  <a:pt x="1679477" y="949695"/>
                  <a:pt x="1683346" y="953066"/>
                  <a:pt x="1688123" y="953066"/>
                </a:cubicBezTo>
                <a:lnTo>
                  <a:pt x="1690227" y="953066"/>
                </a:lnTo>
                <a:cubicBezTo>
                  <a:pt x="1695001" y="953066"/>
                  <a:pt x="1698873" y="949695"/>
                  <a:pt x="1698873" y="945537"/>
                </a:cubicBezTo>
                <a:lnTo>
                  <a:pt x="1698873" y="896707"/>
                </a:lnTo>
                <a:lnTo>
                  <a:pt x="1706314" y="896707"/>
                </a:lnTo>
                <a:lnTo>
                  <a:pt x="1706314" y="945537"/>
                </a:lnTo>
                <a:cubicBezTo>
                  <a:pt x="1706314" y="949695"/>
                  <a:pt x="1710187" y="953066"/>
                  <a:pt x="1714961" y="953066"/>
                </a:cubicBezTo>
                <a:lnTo>
                  <a:pt x="1717066" y="953066"/>
                </a:lnTo>
                <a:cubicBezTo>
                  <a:pt x="1721841" y="953066"/>
                  <a:pt x="1725712" y="949695"/>
                  <a:pt x="1725712" y="945537"/>
                </a:cubicBezTo>
                <a:lnTo>
                  <a:pt x="1725712" y="896707"/>
                </a:lnTo>
                <a:lnTo>
                  <a:pt x="1725712" y="890094"/>
                </a:lnTo>
                <a:lnTo>
                  <a:pt x="1725712" y="872102"/>
                </a:lnTo>
                <a:lnTo>
                  <a:pt x="1730563" y="887865"/>
                </a:lnTo>
                <a:cubicBezTo>
                  <a:pt x="1731799" y="891880"/>
                  <a:pt x="1736539" y="894264"/>
                  <a:pt x="1741152" y="893188"/>
                </a:cubicBezTo>
                <a:lnTo>
                  <a:pt x="1743185" y="892712"/>
                </a:lnTo>
                <a:cubicBezTo>
                  <a:pt x="1747797" y="891636"/>
                  <a:pt x="1750534" y="887509"/>
                  <a:pt x="1749299" y="883493"/>
                </a:cubicBezTo>
                <a:lnTo>
                  <a:pt x="1732817" y="829938"/>
                </a:lnTo>
                <a:cubicBezTo>
                  <a:pt x="1732354" y="828432"/>
                  <a:pt x="1731398" y="827156"/>
                  <a:pt x="1730140" y="826205"/>
                </a:cubicBezTo>
                <a:lnTo>
                  <a:pt x="1725712" y="824451"/>
                </a:lnTo>
                <a:lnTo>
                  <a:pt x="1725712" y="824238"/>
                </a:lnTo>
                <a:lnTo>
                  <a:pt x="1679477" y="824238"/>
                </a:lnTo>
                <a:close/>
                <a:moveTo>
                  <a:pt x="1882298" y="824238"/>
                </a:moveTo>
                <a:lnTo>
                  <a:pt x="1882298" y="824463"/>
                </a:lnTo>
                <a:lnTo>
                  <a:pt x="1881681" y="824428"/>
                </a:lnTo>
                <a:cubicBezTo>
                  <a:pt x="1878344" y="824833"/>
                  <a:pt x="1875446" y="826926"/>
                  <a:pt x="1874518" y="829938"/>
                </a:cubicBezTo>
                <a:lnTo>
                  <a:pt x="1858037" y="883493"/>
                </a:lnTo>
                <a:cubicBezTo>
                  <a:pt x="1856802" y="887509"/>
                  <a:pt x="1859540" y="891636"/>
                  <a:pt x="1864152" y="892712"/>
                </a:cubicBezTo>
                <a:lnTo>
                  <a:pt x="1866184" y="893188"/>
                </a:lnTo>
                <a:cubicBezTo>
                  <a:pt x="1870795" y="894264"/>
                  <a:pt x="1875538" y="891880"/>
                  <a:pt x="1876773" y="887865"/>
                </a:cubicBezTo>
                <a:lnTo>
                  <a:pt x="1882298" y="869910"/>
                </a:lnTo>
                <a:lnTo>
                  <a:pt x="1882298" y="890094"/>
                </a:lnTo>
                <a:lnTo>
                  <a:pt x="1882298" y="896707"/>
                </a:lnTo>
                <a:lnTo>
                  <a:pt x="1882298" y="945537"/>
                </a:lnTo>
                <a:cubicBezTo>
                  <a:pt x="1882298" y="949695"/>
                  <a:pt x="1886170" y="953066"/>
                  <a:pt x="1890944" y="953066"/>
                </a:cubicBezTo>
                <a:lnTo>
                  <a:pt x="1893050" y="953066"/>
                </a:lnTo>
                <a:cubicBezTo>
                  <a:pt x="1897824" y="953066"/>
                  <a:pt x="1901696" y="949695"/>
                  <a:pt x="1901696" y="945537"/>
                </a:cubicBezTo>
                <a:lnTo>
                  <a:pt x="1901696" y="896707"/>
                </a:lnTo>
                <a:lnTo>
                  <a:pt x="1909138" y="896707"/>
                </a:lnTo>
                <a:lnTo>
                  <a:pt x="1909138" y="945537"/>
                </a:lnTo>
                <a:cubicBezTo>
                  <a:pt x="1909138" y="949695"/>
                  <a:pt x="1913008" y="953066"/>
                  <a:pt x="1917783" y="953066"/>
                </a:cubicBezTo>
                <a:lnTo>
                  <a:pt x="1919889" y="953066"/>
                </a:lnTo>
                <a:cubicBezTo>
                  <a:pt x="1924664" y="953066"/>
                  <a:pt x="1928535" y="949695"/>
                  <a:pt x="1928535" y="945537"/>
                </a:cubicBezTo>
                <a:lnTo>
                  <a:pt x="1928535" y="896707"/>
                </a:lnTo>
                <a:lnTo>
                  <a:pt x="1928535" y="890094"/>
                </a:lnTo>
                <a:lnTo>
                  <a:pt x="1928535" y="872102"/>
                </a:lnTo>
                <a:lnTo>
                  <a:pt x="1933385" y="887865"/>
                </a:lnTo>
                <a:cubicBezTo>
                  <a:pt x="1934622" y="891880"/>
                  <a:pt x="1939363" y="894264"/>
                  <a:pt x="1943974" y="893188"/>
                </a:cubicBezTo>
                <a:lnTo>
                  <a:pt x="1946009" y="892712"/>
                </a:lnTo>
                <a:cubicBezTo>
                  <a:pt x="1950620" y="891636"/>
                  <a:pt x="1953357" y="887509"/>
                  <a:pt x="1952121" y="883493"/>
                </a:cubicBezTo>
                <a:lnTo>
                  <a:pt x="1935640" y="829938"/>
                </a:lnTo>
                <a:cubicBezTo>
                  <a:pt x="1935177" y="828432"/>
                  <a:pt x="1934220" y="827156"/>
                  <a:pt x="1932962" y="826205"/>
                </a:cubicBezTo>
                <a:lnTo>
                  <a:pt x="1928535" y="824451"/>
                </a:lnTo>
                <a:lnTo>
                  <a:pt x="1928535" y="824238"/>
                </a:lnTo>
                <a:lnTo>
                  <a:pt x="1882298" y="824238"/>
                </a:lnTo>
                <a:close/>
                <a:moveTo>
                  <a:pt x="2081622" y="824238"/>
                </a:moveTo>
                <a:lnTo>
                  <a:pt x="2081622" y="824463"/>
                </a:lnTo>
                <a:lnTo>
                  <a:pt x="2081004" y="824428"/>
                </a:lnTo>
                <a:cubicBezTo>
                  <a:pt x="2077667" y="824833"/>
                  <a:pt x="2074768" y="826926"/>
                  <a:pt x="2073841" y="829938"/>
                </a:cubicBezTo>
                <a:lnTo>
                  <a:pt x="2057362" y="883493"/>
                </a:lnTo>
                <a:cubicBezTo>
                  <a:pt x="2056126" y="887509"/>
                  <a:pt x="2058863" y="891636"/>
                  <a:pt x="2063474" y="892712"/>
                </a:cubicBezTo>
                <a:lnTo>
                  <a:pt x="2065507" y="893188"/>
                </a:lnTo>
                <a:cubicBezTo>
                  <a:pt x="2070119" y="894264"/>
                  <a:pt x="2074860" y="891880"/>
                  <a:pt x="2076097" y="887865"/>
                </a:cubicBezTo>
                <a:lnTo>
                  <a:pt x="2081622" y="869910"/>
                </a:lnTo>
                <a:lnTo>
                  <a:pt x="2081622" y="890094"/>
                </a:lnTo>
                <a:lnTo>
                  <a:pt x="2081622" y="896707"/>
                </a:lnTo>
                <a:lnTo>
                  <a:pt x="2081622" y="945537"/>
                </a:lnTo>
                <a:cubicBezTo>
                  <a:pt x="2081622" y="949695"/>
                  <a:pt x="2085492" y="953066"/>
                  <a:pt x="2090268" y="953066"/>
                </a:cubicBezTo>
                <a:lnTo>
                  <a:pt x="2092373" y="953066"/>
                </a:lnTo>
                <a:cubicBezTo>
                  <a:pt x="2097148" y="953066"/>
                  <a:pt x="2101019" y="949695"/>
                  <a:pt x="2101019" y="945537"/>
                </a:cubicBezTo>
                <a:lnTo>
                  <a:pt x="2101019" y="896707"/>
                </a:lnTo>
                <a:lnTo>
                  <a:pt x="2108461" y="896707"/>
                </a:lnTo>
                <a:lnTo>
                  <a:pt x="2108461" y="945537"/>
                </a:lnTo>
                <a:cubicBezTo>
                  <a:pt x="2108461" y="949695"/>
                  <a:pt x="2112333" y="953066"/>
                  <a:pt x="2117107" y="953066"/>
                </a:cubicBezTo>
                <a:lnTo>
                  <a:pt x="2119212" y="953066"/>
                </a:lnTo>
                <a:cubicBezTo>
                  <a:pt x="2123987" y="953066"/>
                  <a:pt x="2127858" y="949695"/>
                  <a:pt x="2127858" y="945537"/>
                </a:cubicBezTo>
                <a:lnTo>
                  <a:pt x="2127858" y="896707"/>
                </a:lnTo>
                <a:lnTo>
                  <a:pt x="2127858" y="890094"/>
                </a:lnTo>
                <a:lnTo>
                  <a:pt x="2127858" y="872102"/>
                </a:lnTo>
                <a:lnTo>
                  <a:pt x="2132707" y="887865"/>
                </a:lnTo>
                <a:cubicBezTo>
                  <a:pt x="2133945" y="891880"/>
                  <a:pt x="2138685" y="894264"/>
                  <a:pt x="2143298" y="893188"/>
                </a:cubicBezTo>
                <a:lnTo>
                  <a:pt x="2145331" y="892712"/>
                </a:lnTo>
                <a:cubicBezTo>
                  <a:pt x="2149943" y="891636"/>
                  <a:pt x="2152681" y="887509"/>
                  <a:pt x="2151445" y="883493"/>
                </a:cubicBezTo>
                <a:lnTo>
                  <a:pt x="2134963" y="829938"/>
                </a:lnTo>
                <a:cubicBezTo>
                  <a:pt x="2134501" y="828432"/>
                  <a:pt x="2133542" y="827156"/>
                  <a:pt x="2132286" y="826205"/>
                </a:cubicBezTo>
                <a:lnTo>
                  <a:pt x="2127858" y="824451"/>
                </a:lnTo>
                <a:lnTo>
                  <a:pt x="2127858" y="824238"/>
                </a:lnTo>
                <a:lnTo>
                  <a:pt x="2081622" y="824238"/>
                </a:lnTo>
                <a:close/>
                <a:moveTo>
                  <a:pt x="303668" y="1023606"/>
                </a:moveTo>
                <a:cubicBezTo>
                  <a:pt x="293205" y="1023606"/>
                  <a:pt x="284721" y="1030991"/>
                  <a:pt x="284721" y="1040102"/>
                </a:cubicBezTo>
                <a:cubicBezTo>
                  <a:pt x="284721" y="1049212"/>
                  <a:pt x="293205" y="1056599"/>
                  <a:pt x="303668" y="1056599"/>
                </a:cubicBezTo>
                <a:cubicBezTo>
                  <a:pt x="314131" y="1056599"/>
                  <a:pt x="322614" y="1049212"/>
                  <a:pt x="322614" y="1040102"/>
                </a:cubicBezTo>
                <a:cubicBezTo>
                  <a:pt x="322614" y="1030991"/>
                  <a:pt x="314131" y="1023606"/>
                  <a:pt x="303668" y="1023606"/>
                </a:cubicBezTo>
                <a:close/>
                <a:moveTo>
                  <a:pt x="503662" y="1023606"/>
                </a:moveTo>
                <a:cubicBezTo>
                  <a:pt x="493198" y="1023606"/>
                  <a:pt x="484717" y="1030991"/>
                  <a:pt x="484717" y="1040102"/>
                </a:cubicBezTo>
                <a:cubicBezTo>
                  <a:pt x="484717" y="1049212"/>
                  <a:pt x="493198" y="1056599"/>
                  <a:pt x="503662" y="1056599"/>
                </a:cubicBezTo>
                <a:cubicBezTo>
                  <a:pt x="514126" y="1056599"/>
                  <a:pt x="522607" y="1049212"/>
                  <a:pt x="522607" y="1040102"/>
                </a:cubicBezTo>
                <a:cubicBezTo>
                  <a:pt x="522607" y="1030991"/>
                  <a:pt x="514126" y="1023606"/>
                  <a:pt x="503662" y="1023606"/>
                </a:cubicBezTo>
                <a:close/>
                <a:moveTo>
                  <a:pt x="703653" y="1023606"/>
                </a:moveTo>
                <a:cubicBezTo>
                  <a:pt x="693190" y="1023606"/>
                  <a:pt x="684709" y="1030991"/>
                  <a:pt x="684709" y="1040102"/>
                </a:cubicBezTo>
                <a:cubicBezTo>
                  <a:pt x="684709" y="1049212"/>
                  <a:pt x="693190" y="1056599"/>
                  <a:pt x="703653" y="1056599"/>
                </a:cubicBezTo>
                <a:cubicBezTo>
                  <a:pt x="714117" y="1056599"/>
                  <a:pt x="722600" y="1049212"/>
                  <a:pt x="722600" y="1040102"/>
                </a:cubicBezTo>
                <a:cubicBezTo>
                  <a:pt x="722600" y="1030991"/>
                  <a:pt x="714117" y="1023606"/>
                  <a:pt x="703653" y="1023606"/>
                </a:cubicBezTo>
                <a:close/>
                <a:moveTo>
                  <a:pt x="903646" y="1023606"/>
                </a:moveTo>
                <a:cubicBezTo>
                  <a:pt x="893183" y="1023606"/>
                  <a:pt x="884701" y="1030991"/>
                  <a:pt x="884701" y="1040102"/>
                </a:cubicBezTo>
                <a:cubicBezTo>
                  <a:pt x="884701" y="1049212"/>
                  <a:pt x="893183" y="1056599"/>
                  <a:pt x="903646" y="1056599"/>
                </a:cubicBezTo>
                <a:cubicBezTo>
                  <a:pt x="914110" y="1056599"/>
                  <a:pt x="922591" y="1049212"/>
                  <a:pt x="922591" y="1040102"/>
                </a:cubicBezTo>
                <a:cubicBezTo>
                  <a:pt x="922591" y="1030991"/>
                  <a:pt x="914110" y="1023606"/>
                  <a:pt x="903646" y="1023606"/>
                </a:cubicBezTo>
                <a:close/>
                <a:moveTo>
                  <a:pt x="1103638" y="1023606"/>
                </a:moveTo>
                <a:cubicBezTo>
                  <a:pt x="1093175" y="1023606"/>
                  <a:pt x="1084694" y="1030991"/>
                  <a:pt x="1084694" y="1040102"/>
                </a:cubicBezTo>
                <a:cubicBezTo>
                  <a:pt x="1084694" y="1049212"/>
                  <a:pt x="1093175" y="1056599"/>
                  <a:pt x="1103638" y="1056599"/>
                </a:cubicBezTo>
                <a:cubicBezTo>
                  <a:pt x="1114102" y="1056599"/>
                  <a:pt x="1122584" y="1049212"/>
                  <a:pt x="1122584" y="1040102"/>
                </a:cubicBezTo>
                <a:cubicBezTo>
                  <a:pt x="1122584" y="1030991"/>
                  <a:pt x="1114102" y="1023606"/>
                  <a:pt x="1103638" y="1023606"/>
                </a:cubicBezTo>
                <a:close/>
                <a:moveTo>
                  <a:pt x="1303631" y="1023606"/>
                </a:moveTo>
                <a:cubicBezTo>
                  <a:pt x="1293167" y="1023606"/>
                  <a:pt x="1284685" y="1030991"/>
                  <a:pt x="1284685" y="1040102"/>
                </a:cubicBezTo>
                <a:cubicBezTo>
                  <a:pt x="1284685" y="1049212"/>
                  <a:pt x="1293167" y="1056599"/>
                  <a:pt x="1303631" y="1056599"/>
                </a:cubicBezTo>
                <a:cubicBezTo>
                  <a:pt x="1314095" y="1056599"/>
                  <a:pt x="1322576" y="1049212"/>
                  <a:pt x="1322576" y="1040102"/>
                </a:cubicBezTo>
                <a:cubicBezTo>
                  <a:pt x="1322576" y="1030991"/>
                  <a:pt x="1314095" y="1023606"/>
                  <a:pt x="1303631" y="1023606"/>
                </a:cubicBezTo>
                <a:close/>
                <a:moveTo>
                  <a:pt x="1505923" y="1023606"/>
                </a:moveTo>
                <a:cubicBezTo>
                  <a:pt x="1495460" y="1023606"/>
                  <a:pt x="1486979" y="1030991"/>
                  <a:pt x="1486979" y="1040102"/>
                </a:cubicBezTo>
                <a:cubicBezTo>
                  <a:pt x="1486979" y="1049212"/>
                  <a:pt x="1495460" y="1056599"/>
                  <a:pt x="1505923" y="1056599"/>
                </a:cubicBezTo>
                <a:cubicBezTo>
                  <a:pt x="1516387" y="1056599"/>
                  <a:pt x="1524868" y="1049212"/>
                  <a:pt x="1524868" y="1040102"/>
                </a:cubicBezTo>
                <a:cubicBezTo>
                  <a:pt x="1524868" y="1030991"/>
                  <a:pt x="1516387" y="1023606"/>
                  <a:pt x="1505923" y="1023606"/>
                </a:cubicBezTo>
                <a:close/>
                <a:moveTo>
                  <a:pt x="1703085" y="1023606"/>
                </a:moveTo>
                <a:cubicBezTo>
                  <a:pt x="1692623" y="1023606"/>
                  <a:pt x="1684140" y="1030991"/>
                  <a:pt x="1684140" y="1040102"/>
                </a:cubicBezTo>
                <a:cubicBezTo>
                  <a:pt x="1684140" y="1049212"/>
                  <a:pt x="1692623" y="1056599"/>
                  <a:pt x="1703085" y="1056599"/>
                </a:cubicBezTo>
                <a:cubicBezTo>
                  <a:pt x="1713550" y="1056599"/>
                  <a:pt x="1722031" y="1049212"/>
                  <a:pt x="1722031" y="1040102"/>
                </a:cubicBezTo>
                <a:cubicBezTo>
                  <a:pt x="1722031" y="1030991"/>
                  <a:pt x="1713550" y="1023606"/>
                  <a:pt x="1703085" y="1023606"/>
                </a:cubicBezTo>
                <a:close/>
                <a:moveTo>
                  <a:pt x="1905908" y="1023606"/>
                </a:moveTo>
                <a:cubicBezTo>
                  <a:pt x="1895444" y="1023606"/>
                  <a:pt x="1886962" y="1030991"/>
                  <a:pt x="1886962" y="1040102"/>
                </a:cubicBezTo>
                <a:cubicBezTo>
                  <a:pt x="1886962" y="1049212"/>
                  <a:pt x="1895444" y="1056599"/>
                  <a:pt x="1905908" y="1056599"/>
                </a:cubicBezTo>
                <a:cubicBezTo>
                  <a:pt x="1916372" y="1056599"/>
                  <a:pt x="1924855" y="1049212"/>
                  <a:pt x="1924855" y="1040102"/>
                </a:cubicBezTo>
                <a:cubicBezTo>
                  <a:pt x="1924855" y="1030991"/>
                  <a:pt x="1916372" y="1023606"/>
                  <a:pt x="1905908" y="1023606"/>
                </a:cubicBezTo>
                <a:close/>
                <a:moveTo>
                  <a:pt x="2105231" y="1023606"/>
                </a:moveTo>
                <a:cubicBezTo>
                  <a:pt x="2094769" y="1023606"/>
                  <a:pt x="2086286" y="1030991"/>
                  <a:pt x="2086286" y="1040102"/>
                </a:cubicBezTo>
                <a:cubicBezTo>
                  <a:pt x="2086286" y="1049212"/>
                  <a:pt x="2094769" y="1056599"/>
                  <a:pt x="2105231" y="1056599"/>
                </a:cubicBezTo>
                <a:cubicBezTo>
                  <a:pt x="2115694" y="1056599"/>
                  <a:pt x="2124177" y="1049212"/>
                  <a:pt x="2124177" y="1040102"/>
                </a:cubicBezTo>
                <a:cubicBezTo>
                  <a:pt x="2124177" y="1030991"/>
                  <a:pt x="2115694" y="1023606"/>
                  <a:pt x="2105231" y="1023606"/>
                </a:cubicBezTo>
                <a:close/>
                <a:moveTo>
                  <a:pt x="280058" y="1060264"/>
                </a:moveTo>
                <a:lnTo>
                  <a:pt x="280058" y="1060489"/>
                </a:lnTo>
                <a:lnTo>
                  <a:pt x="279441" y="1060454"/>
                </a:lnTo>
                <a:cubicBezTo>
                  <a:pt x="276104" y="1060859"/>
                  <a:pt x="273205" y="1062952"/>
                  <a:pt x="272279" y="1065964"/>
                </a:cubicBezTo>
                <a:lnTo>
                  <a:pt x="255797" y="1119520"/>
                </a:lnTo>
                <a:cubicBezTo>
                  <a:pt x="254561" y="1123535"/>
                  <a:pt x="257298" y="1127663"/>
                  <a:pt x="261911" y="1128739"/>
                </a:cubicBezTo>
                <a:lnTo>
                  <a:pt x="263944" y="1129214"/>
                </a:lnTo>
                <a:cubicBezTo>
                  <a:pt x="268557" y="1130290"/>
                  <a:pt x="273297" y="1127906"/>
                  <a:pt x="274533" y="1123891"/>
                </a:cubicBezTo>
                <a:lnTo>
                  <a:pt x="280058" y="1105936"/>
                </a:lnTo>
                <a:lnTo>
                  <a:pt x="280058" y="1126120"/>
                </a:lnTo>
                <a:lnTo>
                  <a:pt x="280058" y="1132734"/>
                </a:lnTo>
                <a:lnTo>
                  <a:pt x="280058" y="1181563"/>
                </a:lnTo>
                <a:cubicBezTo>
                  <a:pt x="280058" y="1185721"/>
                  <a:pt x="283930" y="1189092"/>
                  <a:pt x="288705" y="1189092"/>
                </a:cubicBezTo>
                <a:lnTo>
                  <a:pt x="290809" y="1189092"/>
                </a:lnTo>
                <a:cubicBezTo>
                  <a:pt x="295584" y="1189092"/>
                  <a:pt x="299455" y="1185721"/>
                  <a:pt x="299455" y="1181563"/>
                </a:cubicBezTo>
                <a:lnTo>
                  <a:pt x="299455" y="1132734"/>
                </a:lnTo>
                <a:lnTo>
                  <a:pt x="306898" y="1132734"/>
                </a:lnTo>
                <a:lnTo>
                  <a:pt x="306898" y="1181563"/>
                </a:lnTo>
                <a:cubicBezTo>
                  <a:pt x="306898" y="1185721"/>
                  <a:pt x="310769" y="1189092"/>
                  <a:pt x="315544" y="1189092"/>
                </a:cubicBezTo>
                <a:lnTo>
                  <a:pt x="317649" y="1189092"/>
                </a:lnTo>
                <a:cubicBezTo>
                  <a:pt x="322423" y="1189092"/>
                  <a:pt x="326293" y="1185721"/>
                  <a:pt x="326293" y="1181563"/>
                </a:cubicBezTo>
                <a:lnTo>
                  <a:pt x="326293" y="1132734"/>
                </a:lnTo>
                <a:lnTo>
                  <a:pt x="326293" y="1126120"/>
                </a:lnTo>
                <a:lnTo>
                  <a:pt x="326293" y="1108128"/>
                </a:lnTo>
                <a:lnTo>
                  <a:pt x="331145" y="1123891"/>
                </a:lnTo>
                <a:cubicBezTo>
                  <a:pt x="332381" y="1127906"/>
                  <a:pt x="337122" y="1130290"/>
                  <a:pt x="341734" y="1129214"/>
                </a:cubicBezTo>
                <a:lnTo>
                  <a:pt x="343767" y="1128739"/>
                </a:lnTo>
                <a:cubicBezTo>
                  <a:pt x="348380" y="1127663"/>
                  <a:pt x="351116" y="1123535"/>
                  <a:pt x="349881" y="1119520"/>
                </a:cubicBezTo>
                <a:lnTo>
                  <a:pt x="333400" y="1065964"/>
                </a:lnTo>
                <a:cubicBezTo>
                  <a:pt x="332936" y="1064459"/>
                  <a:pt x="331980" y="1063182"/>
                  <a:pt x="330722" y="1062232"/>
                </a:cubicBezTo>
                <a:lnTo>
                  <a:pt x="326293" y="1060477"/>
                </a:lnTo>
                <a:lnTo>
                  <a:pt x="326293" y="1060264"/>
                </a:lnTo>
                <a:lnTo>
                  <a:pt x="280058" y="1060264"/>
                </a:lnTo>
                <a:close/>
                <a:moveTo>
                  <a:pt x="480053" y="1060264"/>
                </a:moveTo>
                <a:lnTo>
                  <a:pt x="480053" y="1060489"/>
                </a:lnTo>
                <a:lnTo>
                  <a:pt x="479436" y="1060454"/>
                </a:lnTo>
                <a:cubicBezTo>
                  <a:pt x="476099" y="1060859"/>
                  <a:pt x="473200" y="1062952"/>
                  <a:pt x="472272" y="1065964"/>
                </a:cubicBezTo>
                <a:lnTo>
                  <a:pt x="455791" y="1119520"/>
                </a:lnTo>
                <a:cubicBezTo>
                  <a:pt x="454555" y="1123535"/>
                  <a:pt x="457292" y="1127663"/>
                  <a:pt x="461906" y="1128739"/>
                </a:cubicBezTo>
                <a:lnTo>
                  <a:pt x="463938" y="1129214"/>
                </a:lnTo>
                <a:cubicBezTo>
                  <a:pt x="468550" y="1130290"/>
                  <a:pt x="473292" y="1127906"/>
                  <a:pt x="474527" y="1123891"/>
                </a:cubicBezTo>
                <a:lnTo>
                  <a:pt x="480053" y="1105936"/>
                </a:lnTo>
                <a:lnTo>
                  <a:pt x="480053" y="1126120"/>
                </a:lnTo>
                <a:lnTo>
                  <a:pt x="480053" y="1132734"/>
                </a:lnTo>
                <a:lnTo>
                  <a:pt x="480053" y="1181563"/>
                </a:lnTo>
                <a:cubicBezTo>
                  <a:pt x="480053" y="1185721"/>
                  <a:pt x="483924" y="1189092"/>
                  <a:pt x="488698" y="1189092"/>
                </a:cubicBezTo>
                <a:lnTo>
                  <a:pt x="490804" y="1189092"/>
                </a:lnTo>
                <a:cubicBezTo>
                  <a:pt x="495578" y="1189092"/>
                  <a:pt x="499450" y="1185721"/>
                  <a:pt x="499450" y="1181563"/>
                </a:cubicBezTo>
                <a:lnTo>
                  <a:pt x="499450" y="1132734"/>
                </a:lnTo>
                <a:lnTo>
                  <a:pt x="506892" y="1132734"/>
                </a:lnTo>
                <a:lnTo>
                  <a:pt x="506892" y="1181563"/>
                </a:lnTo>
                <a:cubicBezTo>
                  <a:pt x="506892" y="1185721"/>
                  <a:pt x="510763" y="1189092"/>
                  <a:pt x="515538" y="1189092"/>
                </a:cubicBezTo>
                <a:lnTo>
                  <a:pt x="517643" y="1189092"/>
                </a:lnTo>
                <a:cubicBezTo>
                  <a:pt x="522418" y="1189092"/>
                  <a:pt x="526287" y="1185721"/>
                  <a:pt x="526287" y="1181563"/>
                </a:cubicBezTo>
                <a:lnTo>
                  <a:pt x="526287" y="1132734"/>
                </a:lnTo>
                <a:lnTo>
                  <a:pt x="526287" y="1126120"/>
                </a:lnTo>
                <a:lnTo>
                  <a:pt x="526287" y="1108128"/>
                </a:lnTo>
                <a:lnTo>
                  <a:pt x="531139" y="1123891"/>
                </a:lnTo>
                <a:cubicBezTo>
                  <a:pt x="532375" y="1127906"/>
                  <a:pt x="537116" y="1130290"/>
                  <a:pt x="541727" y="1129214"/>
                </a:cubicBezTo>
                <a:lnTo>
                  <a:pt x="543761" y="1128739"/>
                </a:lnTo>
                <a:cubicBezTo>
                  <a:pt x="548373" y="1127663"/>
                  <a:pt x="551110" y="1123535"/>
                  <a:pt x="549875" y="1119520"/>
                </a:cubicBezTo>
                <a:lnTo>
                  <a:pt x="533394" y="1065964"/>
                </a:lnTo>
                <a:cubicBezTo>
                  <a:pt x="532930" y="1064459"/>
                  <a:pt x="531974" y="1063182"/>
                  <a:pt x="530716" y="1062232"/>
                </a:cubicBezTo>
                <a:lnTo>
                  <a:pt x="526287" y="1060477"/>
                </a:lnTo>
                <a:lnTo>
                  <a:pt x="526287" y="1060264"/>
                </a:lnTo>
                <a:lnTo>
                  <a:pt x="480053" y="1060264"/>
                </a:lnTo>
                <a:close/>
                <a:moveTo>
                  <a:pt x="680045" y="1060264"/>
                </a:moveTo>
                <a:lnTo>
                  <a:pt x="680045" y="1060489"/>
                </a:lnTo>
                <a:lnTo>
                  <a:pt x="679427" y="1060454"/>
                </a:lnTo>
                <a:cubicBezTo>
                  <a:pt x="676090" y="1060859"/>
                  <a:pt x="673192" y="1062952"/>
                  <a:pt x="672265" y="1065964"/>
                </a:cubicBezTo>
                <a:lnTo>
                  <a:pt x="655783" y="1119520"/>
                </a:lnTo>
                <a:cubicBezTo>
                  <a:pt x="654547" y="1123535"/>
                  <a:pt x="657285" y="1127663"/>
                  <a:pt x="661899" y="1128739"/>
                </a:cubicBezTo>
                <a:lnTo>
                  <a:pt x="663930" y="1129214"/>
                </a:lnTo>
                <a:cubicBezTo>
                  <a:pt x="668542" y="1130290"/>
                  <a:pt x="673282" y="1127906"/>
                  <a:pt x="674518" y="1123891"/>
                </a:cubicBezTo>
                <a:lnTo>
                  <a:pt x="680045" y="1105936"/>
                </a:lnTo>
                <a:lnTo>
                  <a:pt x="680045" y="1126120"/>
                </a:lnTo>
                <a:lnTo>
                  <a:pt x="680045" y="1132734"/>
                </a:lnTo>
                <a:lnTo>
                  <a:pt x="680045" y="1181563"/>
                </a:lnTo>
                <a:cubicBezTo>
                  <a:pt x="680045" y="1185721"/>
                  <a:pt x="683916" y="1189092"/>
                  <a:pt x="688691" y="1189092"/>
                </a:cubicBezTo>
                <a:lnTo>
                  <a:pt x="690797" y="1189092"/>
                </a:lnTo>
                <a:cubicBezTo>
                  <a:pt x="695570" y="1189092"/>
                  <a:pt x="699443" y="1185721"/>
                  <a:pt x="699443" y="1181563"/>
                </a:cubicBezTo>
                <a:lnTo>
                  <a:pt x="699443" y="1132734"/>
                </a:lnTo>
                <a:lnTo>
                  <a:pt x="706884" y="1132734"/>
                </a:lnTo>
                <a:lnTo>
                  <a:pt x="706884" y="1181563"/>
                </a:lnTo>
                <a:cubicBezTo>
                  <a:pt x="706884" y="1185721"/>
                  <a:pt x="710754" y="1189092"/>
                  <a:pt x="715530" y="1189092"/>
                </a:cubicBezTo>
                <a:lnTo>
                  <a:pt x="717635" y="1189092"/>
                </a:lnTo>
                <a:cubicBezTo>
                  <a:pt x="722411" y="1189092"/>
                  <a:pt x="726280" y="1185721"/>
                  <a:pt x="726280" y="1181563"/>
                </a:cubicBezTo>
                <a:lnTo>
                  <a:pt x="726280" y="1132734"/>
                </a:lnTo>
                <a:lnTo>
                  <a:pt x="726280" y="1126120"/>
                </a:lnTo>
                <a:lnTo>
                  <a:pt x="726280" y="1108128"/>
                </a:lnTo>
                <a:lnTo>
                  <a:pt x="731132" y="1123891"/>
                </a:lnTo>
                <a:cubicBezTo>
                  <a:pt x="732368" y="1127906"/>
                  <a:pt x="737108" y="1130290"/>
                  <a:pt x="741720" y="1129214"/>
                </a:cubicBezTo>
                <a:lnTo>
                  <a:pt x="743753" y="1128739"/>
                </a:lnTo>
                <a:cubicBezTo>
                  <a:pt x="748365" y="1127663"/>
                  <a:pt x="751103" y="1123535"/>
                  <a:pt x="749868" y="1119520"/>
                </a:cubicBezTo>
                <a:lnTo>
                  <a:pt x="733385" y="1065964"/>
                </a:lnTo>
                <a:cubicBezTo>
                  <a:pt x="732923" y="1064459"/>
                  <a:pt x="731967" y="1063182"/>
                  <a:pt x="730709" y="1062232"/>
                </a:cubicBezTo>
                <a:lnTo>
                  <a:pt x="726280" y="1060477"/>
                </a:lnTo>
                <a:lnTo>
                  <a:pt x="726280" y="1060264"/>
                </a:lnTo>
                <a:lnTo>
                  <a:pt x="680045" y="1060264"/>
                </a:lnTo>
                <a:close/>
                <a:moveTo>
                  <a:pt x="880037" y="1060264"/>
                </a:moveTo>
                <a:lnTo>
                  <a:pt x="880037" y="1060489"/>
                </a:lnTo>
                <a:lnTo>
                  <a:pt x="879420" y="1060454"/>
                </a:lnTo>
                <a:cubicBezTo>
                  <a:pt x="876083" y="1060859"/>
                  <a:pt x="873184" y="1062952"/>
                  <a:pt x="872256" y="1065964"/>
                </a:cubicBezTo>
                <a:lnTo>
                  <a:pt x="855776" y="1119520"/>
                </a:lnTo>
                <a:cubicBezTo>
                  <a:pt x="854540" y="1123535"/>
                  <a:pt x="857277" y="1127663"/>
                  <a:pt x="861890" y="1128739"/>
                </a:cubicBezTo>
                <a:lnTo>
                  <a:pt x="863923" y="1129214"/>
                </a:lnTo>
                <a:cubicBezTo>
                  <a:pt x="868534" y="1130290"/>
                  <a:pt x="873275" y="1127906"/>
                  <a:pt x="874511" y="1123891"/>
                </a:cubicBezTo>
                <a:lnTo>
                  <a:pt x="880037" y="1105936"/>
                </a:lnTo>
                <a:lnTo>
                  <a:pt x="880037" y="1126120"/>
                </a:lnTo>
                <a:lnTo>
                  <a:pt x="880037" y="1132734"/>
                </a:lnTo>
                <a:lnTo>
                  <a:pt x="880037" y="1181563"/>
                </a:lnTo>
                <a:cubicBezTo>
                  <a:pt x="880037" y="1185721"/>
                  <a:pt x="883909" y="1189092"/>
                  <a:pt x="888683" y="1189092"/>
                </a:cubicBezTo>
                <a:lnTo>
                  <a:pt x="890788" y="1189092"/>
                </a:lnTo>
                <a:cubicBezTo>
                  <a:pt x="895563" y="1189092"/>
                  <a:pt x="899434" y="1185721"/>
                  <a:pt x="899434" y="1181563"/>
                </a:cubicBezTo>
                <a:lnTo>
                  <a:pt x="899434" y="1132734"/>
                </a:lnTo>
                <a:lnTo>
                  <a:pt x="906877" y="1132734"/>
                </a:lnTo>
                <a:lnTo>
                  <a:pt x="906877" y="1181563"/>
                </a:lnTo>
                <a:cubicBezTo>
                  <a:pt x="906877" y="1185721"/>
                  <a:pt x="910747" y="1189092"/>
                  <a:pt x="915521" y="1189092"/>
                </a:cubicBezTo>
                <a:lnTo>
                  <a:pt x="917628" y="1189092"/>
                </a:lnTo>
                <a:cubicBezTo>
                  <a:pt x="922402" y="1189092"/>
                  <a:pt x="926272" y="1185721"/>
                  <a:pt x="926272" y="1181563"/>
                </a:cubicBezTo>
                <a:lnTo>
                  <a:pt x="926272" y="1132734"/>
                </a:lnTo>
                <a:lnTo>
                  <a:pt x="926272" y="1126120"/>
                </a:lnTo>
                <a:lnTo>
                  <a:pt x="926272" y="1108128"/>
                </a:lnTo>
                <a:lnTo>
                  <a:pt x="931123" y="1123891"/>
                </a:lnTo>
                <a:cubicBezTo>
                  <a:pt x="932359" y="1127906"/>
                  <a:pt x="937100" y="1130290"/>
                  <a:pt x="941712" y="1129214"/>
                </a:cubicBezTo>
                <a:lnTo>
                  <a:pt x="943745" y="1128739"/>
                </a:lnTo>
                <a:cubicBezTo>
                  <a:pt x="948358" y="1127663"/>
                  <a:pt x="951095" y="1123535"/>
                  <a:pt x="949860" y="1119520"/>
                </a:cubicBezTo>
                <a:lnTo>
                  <a:pt x="933378" y="1065964"/>
                </a:lnTo>
                <a:cubicBezTo>
                  <a:pt x="932915" y="1064459"/>
                  <a:pt x="931958" y="1063182"/>
                  <a:pt x="930701" y="1062232"/>
                </a:cubicBezTo>
                <a:lnTo>
                  <a:pt x="926272" y="1060477"/>
                </a:lnTo>
                <a:lnTo>
                  <a:pt x="926272" y="1060264"/>
                </a:lnTo>
                <a:lnTo>
                  <a:pt x="880037" y="1060264"/>
                </a:lnTo>
                <a:close/>
                <a:moveTo>
                  <a:pt x="1080030" y="1060264"/>
                </a:moveTo>
                <a:lnTo>
                  <a:pt x="1080030" y="1060489"/>
                </a:lnTo>
                <a:lnTo>
                  <a:pt x="1079412" y="1060454"/>
                </a:lnTo>
                <a:cubicBezTo>
                  <a:pt x="1076075" y="1060859"/>
                  <a:pt x="1073176" y="1062952"/>
                  <a:pt x="1072249" y="1065964"/>
                </a:cubicBezTo>
                <a:lnTo>
                  <a:pt x="1055767" y="1119520"/>
                </a:lnTo>
                <a:cubicBezTo>
                  <a:pt x="1054531" y="1123535"/>
                  <a:pt x="1057269" y="1127663"/>
                  <a:pt x="1061881" y="1128739"/>
                </a:cubicBezTo>
                <a:lnTo>
                  <a:pt x="1063914" y="1129214"/>
                </a:lnTo>
                <a:cubicBezTo>
                  <a:pt x="1068527" y="1130290"/>
                  <a:pt x="1073267" y="1127906"/>
                  <a:pt x="1074503" y="1123891"/>
                </a:cubicBezTo>
                <a:lnTo>
                  <a:pt x="1080030" y="1105936"/>
                </a:lnTo>
                <a:lnTo>
                  <a:pt x="1080030" y="1126120"/>
                </a:lnTo>
                <a:lnTo>
                  <a:pt x="1080030" y="1132734"/>
                </a:lnTo>
                <a:lnTo>
                  <a:pt x="1080030" y="1181563"/>
                </a:lnTo>
                <a:cubicBezTo>
                  <a:pt x="1080030" y="1185721"/>
                  <a:pt x="1083900" y="1189092"/>
                  <a:pt x="1088676" y="1189092"/>
                </a:cubicBezTo>
                <a:lnTo>
                  <a:pt x="1090781" y="1189092"/>
                </a:lnTo>
                <a:cubicBezTo>
                  <a:pt x="1095554" y="1189092"/>
                  <a:pt x="1099427" y="1185721"/>
                  <a:pt x="1099427" y="1181563"/>
                </a:cubicBezTo>
                <a:lnTo>
                  <a:pt x="1099427" y="1132734"/>
                </a:lnTo>
                <a:lnTo>
                  <a:pt x="1106868" y="1132734"/>
                </a:lnTo>
                <a:lnTo>
                  <a:pt x="1106868" y="1181563"/>
                </a:lnTo>
                <a:cubicBezTo>
                  <a:pt x="1106868" y="1185721"/>
                  <a:pt x="1110739" y="1189092"/>
                  <a:pt x="1115514" y="1189092"/>
                </a:cubicBezTo>
                <a:lnTo>
                  <a:pt x="1117619" y="1189092"/>
                </a:lnTo>
                <a:cubicBezTo>
                  <a:pt x="1122395" y="1189092"/>
                  <a:pt x="1126264" y="1185721"/>
                  <a:pt x="1126264" y="1181563"/>
                </a:cubicBezTo>
                <a:lnTo>
                  <a:pt x="1126264" y="1132734"/>
                </a:lnTo>
                <a:lnTo>
                  <a:pt x="1126264" y="1126120"/>
                </a:lnTo>
                <a:lnTo>
                  <a:pt x="1126264" y="1108128"/>
                </a:lnTo>
                <a:lnTo>
                  <a:pt x="1131115" y="1123891"/>
                </a:lnTo>
                <a:cubicBezTo>
                  <a:pt x="1132352" y="1127906"/>
                  <a:pt x="1137092" y="1130290"/>
                  <a:pt x="1141704" y="1129214"/>
                </a:cubicBezTo>
                <a:lnTo>
                  <a:pt x="1143738" y="1128739"/>
                </a:lnTo>
                <a:cubicBezTo>
                  <a:pt x="1148350" y="1127663"/>
                  <a:pt x="1151086" y="1123535"/>
                  <a:pt x="1149853" y="1119520"/>
                </a:cubicBezTo>
                <a:lnTo>
                  <a:pt x="1133370" y="1065964"/>
                </a:lnTo>
                <a:cubicBezTo>
                  <a:pt x="1132906" y="1064459"/>
                  <a:pt x="1131950" y="1063182"/>
                  <a:pt x="1130693" y="1062232"/>
                </a:cubicBezTo>
                <a:lnTo>
                  <a:pt x="1126264" y="1060477"/>
                </a:lnTo>
                <a:lnTo>
                  <a:pt x="1126264" y="1060264"/>
                </a:lnTo>
                <a:lnTo>
                  <a:pt x="1080030" y="1060264"/>
                </a:lnTo>
                <a:close/>
                <a:moveTo>
                  <a:pt x="1280022" y="1060264"/>
                </a:moveTo>
                <a:lnTo>
                  <a:pt x="1280022" y="1060489"/>
                </a:lnTo>
                <a:lnTo>
                  <a:pt x="1279405" y="1060454"/>
                </a:lnTo>
                <a:cubicBezTo>
                  <a:pt x="1276068" y="1060859"/>
                  <a:pt x="1273169" y="1062952"/>
                  <a:pt x="1272241" y="1065964"/>
                </a:cubicBezTo>
                <a:lnTo>
                  <a:pt x="1255760" y="1119520"/>
                </a:lnTo>
                <a:cubicBezTo>
                  <a:pt x="1254524" y="1123535"/>
                  <a:pt x="1257261" y="1127663"/>
                  <a:pt x="1261874" y="1128739"/>
                </a:cubicBezTo>
                <a:lnTo>
                  <a:pt x="1263907" y="1129214"/>
                </a:lnTo>
                <a:cubicBezTo>
                  <a:pt x="1268519" y="1130290"/>
                  <a:pt x="1273260" y="1127906"/>
                  <a:pt x="1274496" y="1123891"/>
                </a:cubicBezTo>
                <a:lnTo>
                  <a:pt x="1280022" y="1105936"/>
                </a:lnTo>
                <a:lnTo>
                  <a:pt x="1280022" y="1126120"/>
                </a:lnTo>
                <a:lnTo>
                  <a:pt x="1280022" y="1132734"/>
                </a:lnTo>
                <a:lnTo>
                  <a:pt x="1280022" y="1181563"/>
                </a:lnTo>
                <a:cubicBezTo>
                  <a:pt x="1280022" y="1185721"/>
                  <a:pt x="1283892" y="1189092"/>
                  <a:pt x="1288667" y="1189092"/>
                </a:cubicBezTo>
                <a:lnTo>
                  <a:pt x="1290773" y="1189092"/>
                </a:lnTo>
                <a:cubicBezTo>
                  <a:pt x="1295546" y="1189092"/>
                  <a:pt x="1299419" y="1185721"/>
                  <a:pt x="1299419" y="1181563"/>
                </a:cubicBezTo>
                <a:lnTo>
                  <a:pt x="1299419" y="1132734"/>
                </a:lnTo>
                <a:lnTo>
                  <a:pt x="1306860" y="1132734"/>
                </a:lnTo>
                <a:lnTo>
                  <a:pt x="1306860" y="1181563"/>
                </a:lnTo>
                <a:cubicBezTo>
                  <a:pt x="1306860" y="1185721"/>
                  <a:pt x="1310732" y="1189092"/>
                  <a:pt x="1315506" y="1189092"/>
                </a:cubicBezTo>
                <a:lnTo>
                  <a:pt x="1317610" y="1189092"/>
                </a:lnTo>
                <a:cubicBezTo>
                  <a:pt x="1322387" y="1189092"/>
                  <a:pt x="1326256" y="1185721"/>
                  <a:pt x="1326256" y="1181563"/>
                </a:cubicBezTo>
                <a:lnTo>
                  <a:pt x="1326256" y="1132734"/>
                </a:lnTo>
                <a:lnTo>
                  <a:pt x="1326256" y="1126120"/>
                </a:lnTo>
                <a:lnTo>
                  <a:pt x="1326256" y="1108128"/>
                </a:lnTo>
                <a:lnTo>
                  <a:pt x="1331108" y="1123891"/>
                </a:lnTo>
                <a:cubicBezTo>
                  <a:pt x="1332344" y="1127906"/>
                  <a:pt x="1337084" y="1130290"/>
                  <a:pt x="1341696" y="1129214"/>
                </a:cubicBezTo>
                <a:lnTo>
                  <a:pt x="1343730" y="1128739"/>
                </a:lnTo>
                <a:cubicBezTo>
                  <a:pt x="1348342" y="1127663"/>
                  <a:pt x="1351079" y="1123535"/>
                  <a:pt x="1349844" y="1119520"/>
                </a:cubicBezTo>
                <a:lnTo>
                  <a:pt x="1333361" y="1065964"/>
                </a:lnTo>
                <a:cubicBezTo>
                  <a:pt x="1332899" y="1064459"/>
                  <a:pt x="1331943" y="1063182"/>
                  <a:pt x="1330685" y="1062232"/>
                </a:cubicBezTo>
                <a:lnTo>
                  <a:pt x="1326256" y="1060477"/>
                </a:lnTo>
                <a:lnTo>
                  <a:pt x="1326256" y="1060264"/>
                </a:lnTo>
                <a:lnTo>
                  <a:pt x="1280022" y="1060264"/>
                </a:lnTo>
                <a:close/>
                <a:moveTo>
                  <a:pt x="1482314" y="1060264"/>
                </a:moveTo>
                <a:lnTo>
                  <a:pt x="1482314" y="1060489"/>
                </a:lnTo>
                <a:lnTo>
                  <a:pt x="1481697" y="1060454"/>
                </a:lnTo>
                <a:cubicBezTo>
                  <a:pt x="1478360" y="1060859"/>
                  <a:pt x="1475461" y="1062952"/>
                  <a:pt x="1474533" y="1065964"/>
                </a:cubicBezTo>
                <a:lnTo>
                  <a:pt x="1458052" y="1119520"/>
                </a:lnTo>
                <a:cubicBezTo>
                  <a:pt x="1456817" y="1123535"/>
                  <a:pt x="1459553" y="1127663"/>
                  <a:pt x="1464166" y="1128739"/>
                </a:cubicBezTo>
                <a:lnTo>
                  <a:pt x="1466199" y="1129214"/>
                </a:lnTo>
                <a:cubicBezTo>
                  <a:pt x="1470811" y="1130290"/>
                  <a:pt x="1475552" y="1127906"/>
                  <a:pt x="1476788" y="1123891"/>
                </a:cubicBezTo>
                <a:lnTo>
                  <a:pt x="1482314" y="1105936"/>
                </a:lnTo>
                <a:lnTo>
                  <a:pt x="1482314" y="1126120"/>
                </a:lnTo>
                <a:lnTo>
                  <a:pt x="1482314" y="1132734"/>
                </a:lnTo>
                <a:lnTo>
                  <a:pt x="1482314" y="1181563"/>
                </a:lnTo>
                <a:cubicBezTo>
                  <a:pt x="1482314" y="1185721"/>
                  <a:pt x="1486185" y="1189092"/>
                  <a:pt x="1490960" y="1189092"/>
                </a:cubicBezTo>
                <a:lnTo>
                  <a:pt x="1493064" y="1189092"/>
                </a:lnTo>
                <a:cubicBezTo>
                  <a:pt x="1497840" y="1189092"/>
                  <a:pt x="1501710" y="1185721"/>
                  <a:pt x="1501710" y="1181563"/>
                </a:cubicBezTo>
                <a:lnTo>
                  <a:pt x="1501710" y="1132734"/>
                </a:lnTo>
                <a:lnTo>
                  <a:pt x="1509153" y="1132734"/>
                </a:lnTo>
                <a:lnTo>
                  <a:pt x="1509153" y="1181563"/>
                </a:lnTo>
                <a:cubicBezTo>
                  <a:pt x="1509153" y="1185721"/>
                  <a:pt x="1513024" y="1189092"/>
                  <a:pt x="1517799" y="1189092"/>
                </a:cubicBezTo>
                <a:lnTo>
                  <a:pt x="1519903" y="1189092"/>
                </a:lnTo>
                <a:cubicBezTo>
                  <a:pt x="1524678" y="1189092"/>
                  <a:pt x="1528549" y="1185721"/>
                  <a:pt x="1528549" y="1181563"/>
                </a:cubicBezTo>
                <a:lnTo>
                  <a:pt x="1528549" y="1132734"/>
                </a:lnTo>
                <a:lnTo>
                  <a:pt x="1528549" y="1126120"/>
                </a:lnTo>
                <a:lnTo>
                  <a:pt x="1528549" y="1108128"/>
                </a:lnTo>
                <a:lnTo>
                  <a:pt x="1533400" y="1123891"/>
                </a:lnTo>
                <a:cubicBezTo>
                  <a:pt x="1534636" y="1127906"/>
                  <a:pt x="1539377" y="1130290"/>
                  <a:pt x="1543989" y="1129214"/>
                </a:cubicBezTo>
                <a:lnTo>
                  <a:pt x="1546022" y="1128739"/>
                </a:lnTo>
                <a:cubicBezTo>
                  <a:pt x="1550635" y="1127663"/>
                  <a:pt x="1553371" y="1123535"/>
                  <a:pt x="1552136" y="1119520"/>
                </a:cubicBezTo>
                <a:lnTo>
                  <a:pt x="1535655" y="1065964"/>
                </a:lnTo>
                <a:cubicBezTo>
                  <a:pt x="1535191" y="1064459"/>
                  <a:pt x="1534235" y="1063182"/>
                  <a:pt x="1532977" y="1062232"/>
                </a:cubicBezTo>
                <a:lnTo>
                  <a:pt x="1528549" y="1060477"/>
                </a:lnTo>
                <a:lnTo>
                  <a:pt x="1528549" y="1060264"/>
                </a:lnTo>
                <a:lnTo>
                  <a:pt x="1482314" y="1060264"/>
                </a:lnTo>
                <a:close/>
                <a:moveTo>
                  <a:pt x="1679477" y="1060264"/>
                </a:moveTo>
                <a:lnTo>
                  <a:pt x="1679477" y="1060489"/>
                </a:lnTo>
                <a:lnTo>
                  <a:pt x="1678860" y="1060454"/>
                </a:lnTo>
                <a:cubicBezTo>
                  <a:pt x="1675521" y="1060859"/>
                  <a:pt x="1672623" y="1062952"/>
                  <a:pt x="1671696" y="1065964"/>
                </a:cubicBezTo>
                <a:lnTo>
                  <a:pt x="1655215" y="1119520"/>
                </a:lnTo>
                <a:cubicBezTo>
                  <a:pt x="1653980" y="1123535"/>
                  <a:pt x="1656716" y="1127663"/>
                  <a:pt x="1661328" y="1128739"/>
                </a:cubicBezTo>
                <a:lnTo>
                  <a:pt x="1663362" y="1129214"/>
                </a:lnTo>
                <a:cubicBezTo>
                  <a:pt x="1667974" y="1130290"/>
                  <a:pt x="1672715" y="1127906"/>
                  <a:pt x="1673951" y="1123891"/>
                </a:cubicBezTo>
                <a:lnTo>
                  <a:pt x="1679477" y="1105936"/>
                </a:lnTo>
                <a:lnTo>
                  <a:pt x="1679477" y="1126120"/>
                </a:lnTo>
                <a:lnTo>
                  <a:pt x="1679477" y="1132734"/>
                </a:lnTo>
                <a:lnTo>
                  <a:pt x="1679477" y="1181563"/>
                </a:lnTo>
                <a:cubicBezTo>
                  <a:pt x="1679477" y="1185721"/>
                  <a:pt x="1683346" y="1189092"/>
                  <a:pt x="1688123" y="1189092"/>
                </a:cubicBezTo>
                <a:lnTo>
                  <a:pt x="1690227" y="1189092"/>
                </a:lnTo>
                <a:cubicBezTo>
                  <a:pt x="1695001" y="1189092"/>
                  <a:pt x="1698873" y="1185721"/>
                  <a:pt x="1698873" y="1181563"/>
                </a:cubicBezTo>
                <a:lnTo>
                  <a:pt x="1698873" y="1132734"/>
                </a:lnTo>
                <a:lnTo>
                  <a:pt x="1706314" y="1132734"/>
                </a:lnTo>
                <a:lnTo>
                  <a:pt x="1706314" y="1181563"/>
                </a:lnTo>
                <a:cubicBezTo>
                  <a:pt x="1706314" y="1185721"/>
                  <a:pt x="1710187" y="1189092"/>
                  <a:pt x="1714961" y="1189092"/>
                </a:cubicBezTo>
                <a:lnTo>
                  <a:pt x="1717066" y="1189092"/>
                </a:lnTo>
                <a:cubicBezTo>
                  <a:pt x="1721841" y="1189092"/>
                  <a:pt x="1725712" y="1185721"/>
                  <a:pt x="1725712" y="1181563"/>
                </a:cubicBezTo>
                <a:lnTo>
                  <a:pt x="1725712" y="1132734"/>
                </a:lnTo>
                <a:lnTo>
                  <a:pt x="1725712" y="1126120"/>
                </a:lnTo>
                <a:lnTo>
                  <a:pt x="1725712" y="1108128"/>
                </a:lnTo>
                <a:lnTo>
                  <a:pt x="1730563" y="1123891"/>
                </a:lnTo>
                <a:cubicBezTo>
                  <a:pt x="1731799" y="1127906"/>
                  <a:pt x="1736539" y="1130290"/>
                  <a:pt x="1741152" y="1129214"/>
                </a:cubicBezTo>
                <a:lnTo>
                  <a:pt x="1743185" y="1128739"/>
                </a:lnTo>
                <a:cubicBezTo>
                  <a:pt x="1747797" y="1127663"/>
                  <a:pt x="1750534" y="1123535"/>
                  <a:pt x="1749299" y="1119520"/>
                </a:cubicBezTo>
                <a:lnTo>
                  <a:pt x="1732817" y="1065964"/>
                </a:lnTo>
                <a:cubicBezTo>
                  <a:pt x="1732354" y="1064459"/>
                  <a:pt x="1731398" y="1063182"/>
                  <a:pt x="1730140" y="1062232"/>
                </a:cubicBezTo>
                <a:lnTo>
                  <a:pt x="1725712" y="1060477"/>
                </a:lnTo>
                <a:lnTo>
                  <a:pt x="1725712" y="1060264"/>
                </a:lnTo>
                <a:lnTo>
                  <a:pt x="1679477" y="1060264"/>
                </a:lnTo>
                <a:close/>
                <a:moveTo>
                  <a:pt x="1882298" y="1060264"/>
                </a:moveTo>
                <a:lnTo>
                  <a:pt x="1882298" y="1060489"/>
                </a:lnTo>
                <a:lnTo>
                  <a:pt x="1881681" y="1060454"/>
                </a:lnTo>
                <a:cubicBezTo>
                  <a:pt x="1878344" y="1060859"/>
                  <a:pt x="1875446" y="1062952"/>
                  <a:pt x="1874518" y="1065964"/>
                </a:cubicBezTo>
                <a:lnTo>
                  <a:pt x="1858037" y="1119520"/>
                </a:lnTo>
                <a:cubicBezTo>
                  <a:pt x="1856802" y="1123535"/>
                  <a:pt x="1859540" y="1127663"/>
                  <a:pt x="1864152" y="1128739"/>
                </a:cubicBezTo>
                <a:lnTo>
                  <a:pt x="1866184" y="1129214"/>
                </a:lnTo>
                <a:cubicBezTo>
                  <a:pt x="1870795" y="1130290"/>
                  <a:pt x="1875538" y="1127906"/>
                  <a:pt x="1876773" y="1123891"/>
                </a:cubicBezTo>
                <a:lnTo>
                  <a:pt x="1882298" y="1105936"/>
                </a:lnTo>
                <a:lnTo>
                  <a:pt x="1882298" y="1126120"/>
                </a:lnTo>
                <a:lnTo>
                  <a:pt x="1882298" y="1132734"/>
                </a:lnTo>
                <a:lnTo>
                  <a:pt x="1882298" y="1181563"/>
                </a:lnTo>
                <a:cubicBezTo>
                  <a:pt x="1882298" y="1185721"/>
                  <a:pt x="1886170" y="1189092"/>
                  <a:pt x="1890944" y="1189092"/>
                </a:cubicBezTo>
                <a:lnTo>
                  <a:pt x="1893050" y="1189092"/>
                </a:lnTo>
                <a:cubicBezTo>
                  <a:pt x="1897824" y="1189092"/>
                  <a:pt x="1901696" y="1185721"/>
                  <a:pt x="1901696" y="1181563"/>
                </a:cubicBezTo>
                <a:lnTo>
                  <a:pt x="1901696" y="1132734"/>
                </a:lnTo>
                <a:lnTo>
                  <a:pt x="1909138" y="1132734"/>
                </a:lnTo>
                <a:lnTo>
                  <a:pt x="1909138" y="1181563"/>
                </a:lnTo>
                <a:cubicBezTo>
                  <a:pt x="1909138" y="1185721"/>
                  <a:pt x="1913008" y="1189092"/>
                  <a:pt x="1917783" y="1189092"/>
                </a:cubicBezTo>
                <a:lnTo>
                  <a:pt x="1919889" y="1189092"/>
                </a:lnTo>
                <a:cubicBezTo>
                  <a:pt x="1924664" y="1189092"/>
                  <a:pt x="1928535" y="1185721"/>
                  <a:pt x="1928535" y="1181563"/>
                </a:cubicBezTo>
                <a:lnTo>
                  <a:pt x="1928535" y="1132734"/>
                </a:lnTo>
                <a:lnTo>
                  <a:pt x="1928535" y="1126120"/>
                </a:lnTo>
                <a:lnTo>
                  <a:pt x="1928535" y="1108128"/>
                </a:lnTo>
                <a:lnTo>
                  <a:pt x="1933385" y="1123891"/>
                </a:lnTo>
                <a:cubicBezTo>
                  <a:pt x="1934622" y="1127906"/>
                  <a:pt x="1939363" y="1130290"/>
                  <a:pt x="1943974" y="1129214"/>
                </a:cubicBezTo>
                <a:lnTo>
                  <a:pt x="1946009" y="1128739"/>
                </a:lnTo>
                <a:cubicBezTo>
                  <a:pt x="1950620" y="1127663"/>
                  <a:pt x="1953357" y="1123535"/>
                  <a:pt x="1952121" y="1119520"/>
                </a:cubicBezTo>
                <a:lnTo>
                  <a:pt x="1935640" y="1065964"/>
                </a:lnTo>
                <a:cubicBezTo>
                  <a:pt x="1935177" y="1064459"/>
                  <a:pt x="1934220" y="1063182"/>
                  <a:pt x="1932962" y="1062232"/>
                </a:cubicBezTo>
                <a:lnTo>
                  <a:pt x="1928535" y="1060477"/>
                </a:lnTo>
                <a:lnTo>
                  <a:pt x="1928535" y="1060264"/>
                </a:lnTo>
                <a:lnTo>
                  <a:pt x="1882298" y="1060264"/>
                </a:lnTo>
                <a:close/>
                <a:moveTo>
                  <a:pt x="2081622" y="1060264"/>
                </a:moveTo>
                <a:lnTo>
                  <a:pt x="2081622" y="1060489"/>
                </a:lnTo>
                <a:lnTo>
                  <a:pt x="2081004" y="1060454"/>
                </a:lnTo>
                <a:cubicBezTo>
                  <a:pt x="2077667" y="1060859"/>
                  <a:pt x="2074768" y="1062952"/>
                  <a:pt x="2073841" y="1065964"/>
                </a:cubicBezTo>
                <a:lnTo>
                  <a:pt x="2057362" y="1119520"/>
                </a:lnTo>
                <a:cubicBezTo>
                  <a:pt x="2056126" y="1123535"/>
                  <a:pt x="2058863" y="1127663"/>
                  <a:pt x="2063474" y="1128739"/>
                </a:cubicBezTo>
                <a:lnTo>
                  <a:pt x="2065507" y="1129214"/>
                </a:lnTo>
                <a:cubicBezTo>
                  <a:pt x="2070119" y="1130290"/>
                  <a:pt x="2074860" y="1127906"/>
                  <a:pt x="2076097" y="1123891"/>
                </a:cubicBezTo>
                <a:lnTo>
                  <a:pt x="2081622" y="1105936"/>
                </a:lnTo>
                <a:lnTo>
                  <a:pt x="2081622" y="1126120"/>
                </a:lnTo>
                <a:lnTo>
                  <a:pt x="2081622" y="1132734"/>
                </a:lnTo>
                <a:lnTo>
                  <a:pt x="2081622" y="1181563"/>
                </a:lnTo>
                <a:cubicBezTo>
                  <a:pt x="2081622" y="1185721"/>
                  <a:pt x="2085492" y="1189092"/>
                  <a:pt x="2090268" y="1189092"/>
                </a:cubicBezTo>
                <a:lnTo>
                  <a:pt x="2092373" y="1189092"/>
                </a:lnTo>
                <a:cubicBezTo>
                  <a:pt x="2097148" y="1189092"/>
                  <a:pt x="2101019" y="1185721"/>
                  <a:pt x="2101019" y="1181563"/>
                </a:cubicBezTo>
                <a:lnTo>
                  <a:pt x="2101019" y="1132734"/>
                </a:lnTo>
                <a:lnTo>
                  <a:pt x="2108461" y="1132734"/>
                </a:lnTo>
                <a:lnTo>
                  <a:pt x="2108461" y="1181563"/>
                </a:lnTo>
                <a:cubicBezTo>
                  <a:pt x="2108461" y="1185721"/>
                  <a:pt x="2112333" y="1189092"/>
                  <a:pt x="2117107" y="1189092"/>
                </a:cubicBezTo>
                <a:lnTo>
                  <a:pt x="2119212" y="1189092"/>
                </a:lnTo>
                <a:cubicBezTo>
                  <a:pt x="2123987" y="1189092"/>
                  <a:pt x="2127858" y="1185721"/>
                  <a:pt x="2127858" y="1181563"/>
                </a:cubicBezTo>
                <a:lnTo>
                  <a:pt x="2127858" y="1132734"/>
                </a:lnTo>
                <a:lnTo>
                  <a:pt x="2127858" y="1126120"/>
                </a:lnTo>
                <a:lnTo>
                  <a:pt x="2127858" y="1108128"/>
                </a:lnTo>
                <a:lnTo>
                  <a:pt x="2132707" y="1123891"/>
                </a:lnTo>
                <a:cubicBezTo>
                  <a:pt x="2133945" y="1127906"/>
                  <a:pt x="2138685" y="1130290"/>
                  <a:pt x="2143298" y="1129214"/>
                </a:cubicBezTo>
                <a:lnTo>
                  <a:pt x="2145331" y="1128739"/>
                </a:lnTo>
                <a:cubicBezTo>
                  <a:pt x="2149943" y="1127663"/>
                  <a:pt x="2152681" y="1123535"/>
                  <a:pt x="2151445" y="1119520"/>
                </a:cubicBezTo>
                <a:lnTo>
                  <a:pt x="2134963" y="1065964"/>
                </a:lnTo>
                <a:cubicBezTo>
                  <a:pt x="2134501" y="1064459"/>
                  <a:pt x="2133542" y="1063182"/>
                  <a:pt x="2132286" y="1062232"/>
                </a:cubicBezTo>
                <a:lnTo>
                  <a:pt x="2127858" y="1060477"/>
                </a:lnTo>
                <a:lnTo>
                  <a:pt x="2127858" y="1060264"/>
                </a:lnTo>
                <a:lnTo>
                  <a:pt x="2081622" y="1060264"/>
                </a:lnTo>
                <a:close/>
              </a:path>
            </a:pathLst>
          </a:cu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I8">
        <xdr:nvSpPr>
          <xdr:cNvPr id="82" name="TextBox 81">
            <a:extLst>
              <a:ext uri="{FF2B5EF4-FFF2-40B4-BE49-F238E27FC236}">
                <a16:creationId xmlns:a16="http://schemas.microsoft.com/office/drawing/2014/main" id="{3DA28B6B-B721-E460-6411-779FCA08321A}"/>
              </a:ext>
            </a:extLst>
          </xdr:cNvPr>
          <xdr:cNvSpPr txBox="1"/>
        </xdr:nvSpPr>
        <xdr:spPr>
          <a:xfrm>
            <a:off x="5654040" y="49758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27AB29-265C-4EC7-B4D6-24576541C68F}" type="TxLink">
              <a:rPr lang="en-US" sz="1400" b="0" i="0" u="none" strike="noStrike">
                <a:solidFill>
                  <a:schemeClr val="bg1"/>
                </a:solidFill>
                <a:latin typeface="Aptos Narrow"/>
                <a:ea typeface="+mn-ea"/>
                <a:cs typeface="+mn-cs"/>
              </a:rPr>
              <a:pPr marL="0" indent="0" algn="l"/>
              <a:t>HR Team Activity</a:t>
            </a:fld>
            <a:endParaRPr lang="ru-RU" sz="2800" b="0" i="0" u="none" strike="noStrike">
              <a:solidFill>
                <a:schemeClr val="bg1"/>
              </a:solidFill>
              <a:latin typeface="Aptos Narrow"/>
              <a:ea typeface="+mn-ea"/>
              <a:cs typeface="+mn-cs"/>
            </a:endParaRPr>
          </a:p>
        </xdr:txBody>
      </xdr:sp>
      <xdr:sp macro="" textlink="Processing!H14">
        <xdr:nvSpPr>
          <xdr:cNvPr id="83" name="TextBox 82">
            <a:extLst>
              <a:ext uri="{FF2B5EF4-FFF2-40B4-BE49-F238E27FC236}">
                <a16:creationId xmlns:a16="http://schemas.microsoft.com/office/drawing/2014/main" id="{97FDCFD9-4767-6001-C2BF-743301EEB838}"/>
              </a:ext>
            </a:extLst>
          </xdr:cNvPr>
          <xdr:cNvSpPr txBox="1"/>
        </xdr:nvSpPr>
        <xdr:spPr>
          <a:xfrm>
            <a:off x="7010400" y="4975860"/>
            <a:ext cx="792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ED0A37C-EE94-4930-9E31-06D5E3D2674F}" type="TxLink">
              <a:rPr lang="en-US" sz="1800" b="0" i="0" u="none" strike="noStrike">
                <a:solidFill>
                  <a:schemeClr val="tx2">
                    <a:lumMod val="25000"/>
                    <a:lumOff val="75000"/>
                  </a:schemeClr>
                </a:solidFill>
                <a:latin typeface="Aptos Narrow"/>
                <a:ea typeface="+mn-ea"/>
                <a:cs typeface="+mn-cs"/>
              </a:rPr>
              <a:pPr marL="0" indent="0" algn="r"/>
              <a:t>46%</a:t>
            </a:fld>
            <a:endParaRPr lang="ru-RU" sz="4400" b="0" i="0" u="none" strike="noStrike">
              <a:solidFill>
                <a:schemeClr val="tx2">
                  <a:lumMod val="25000"/>
                  <a:lumOff val="75000"/>
                </a:schemeClr>
              </a:solidFill>
              <a:latin typeface="Aptos Narrow"/>
              <a:ea typeface="+mn-ea"/>
              <a:cs typeface="+mn-cs"/>
            </a:endParaRPr>
          </a:p>
        </xdr:txBody>
      </xdr:sp>
      <xdr:sp macro="" textlink="Processing!I9">
        <xdr:nvSpPr>
          <xdr:cNvPr id="84" name="TextBox 83">
            <a:extLst>
              <a:ext uri="{FF2B5EF4-FFF2-40B4-BE49-F238E27FC236}">
                <a16:creationId xmlns:a16="http://schemas.microsoft.com/office/drawing/2014/main" id="{75967D34-4D01-5378-AE5D-D6FD62BE70F9}"/>
              </a:ext>
            </a:extLst>
          </xdr:cNvPr>
          <xdr:cNvSpPr txBox="1"/>
        </xdr:nvSpPr>
        <xdr:spPr>
          <a:xfrm>
            <a:off x="5585460" y="546354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DB33AF7-6C89-4014-B942-F254AECBFEBA}" type="TxLink">
              <a:rPr lang="en-US" sz="1200" b="0" i="0" u="none" strike="noStrike">
                <a:solidFill>
                  <a:schemeClr val="tx2">
                    <a:lumMod val="10000"/>
                    <a:lumOff val="90000"/>
                  </a:schemeClr>
                </a:solidFill>
                <a:latin typeface="Aptos Narrow"/>
                <a:ea typeface="+mn-ea"/>
                <a:cs typeface="+mn-cs"/>
              </a:rPr>
              <a:pPr marL="0" indent="0" algn="l"/>
              <a:t>P</a:t>
            </a:fld>
            <a:endParaRPr lang="ru-RU" sz="3200" b="0" i="0" u="none" strike="noStrike">
              <a:solidFill>
                <a:schemeClr val="tx2">
                  <a:lumMod val="10000"/>
                  <a:lumOff val="90000"/>
                </a:schemeClr>
              </a:solidFill>
              <a:latin typeface="Aptos Narrow"/>
              <a:ea typeface="+mn-ea"/>
              <a:cs typeface="+mn-cs"/>
            </a:endParaRPr>
          </a:p>
        </xdr:txBody>
      </xdr:sp>
      <xdr:sp macro="" textlink="Processing!I10">
        <xdr:nvSpPr>
          <xdr:cNvPr id="85" name="TextBox 84">
            <a:extLst>
              <a:ext uri="{FF2B5EF4-FFF2-40B4-BE49-F238E27FC236}">
                <a16:creationId xmlns:a16="http://schemas.microsoft.com/office/drawing/2014/main" id="{69AAAA7E-4973-AFC5-844F-99DE4D463AF5}"/>
              </a:ext>
            </a:extLst>
          </xdr:cNvPr>
          <xdr:cNvSpPr txBox="1"/>
        </xdr:nvSpPr>
        <xdr:spPr>
          <a:xfrm>
            <a:off x="5585460" y="5701665"/>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9D4FB7-25BC-4029-8FF1-6BA4B394329D}" type="TxLink">
              <a:rPr lang="en-US" sz="1100" b="0" i="0" u="none" strike="noStrike">
                <a:solidFill>
                  <a:schemeClr val="tx2">
                    <a:lumMod val="10000"/>
                    <a:lumOff val="90000"/>
                  </a:schemeClr>
                </a:solidFill>
                <a:latin typeface="Aptos Narrow"/>
                <a:ea typeface="+mn-ea"/>
                <a:cs typeface="+mn-cs"/>
              </a:rPr>
              <a:pPr marL="0" indent="0" algn="l"/>
              <a:t>D</a:t>
            </a:fld>
            <a:endParaRPr lang="ru-RU" sz="3200" b="0" i="0" u="none" strike="noStrike">
              <a:solidFill>
                <a:schemeClr val="tx2">
                  <a:lumMod val="10000"/>
                  <a:lumOff val="90000"/>
                </a:schemeClr>
              </a:solidFill>
              <a:latin typeface="Aptos Narrow"/>
              <a:ea typeface="+mn-ea"/>
              <a:cs typeface="+mn-cs"/>
            </a:endParaRPr>
          </a:p>
        </xdr:txBody>
      </xdr:sp>
      <xdr:sp macro="" textlink="Processing!I11">
        <xdr:nvSpPr>
          <xdr:cNvPr id="86" name="TextBox 85">
            <a:extLst>
              <a:ext uri="{FF2B5EF4-FFF2-40B4-BE49-F238E27FC236}">
                <a16:creationId xmlns:a16="http://schemas.microsoft.com/office/drawing/2014/main" id="{F94CBD7E-1D92-1A48-A5AA-43738EE7EE20}"/>
              </a:ext>
            </a:extLst>
          </xdr:cNvPr>
          <xdr:cNvSpPr txBox="1"/>
        </xdr:nvSpPr>
        <xdr:spPr>
          <a:xfrm>
            <a:off x="5585460" y="593979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299E48F-B4B6-4773-A85D-20D65311A4E2}" type="TxLink">
              <a:rPr lang="en-US" sz="1100" b="0" i="0" u="none" strike="noStrike">
                <a:solidFill>
                  <a:schemeClr val="tx2">
                    <a:lumMod val="10000"/>
                    <a:lumOff val="90000"/>
                  </a:schemeClr>
                </a:solidFill>
                <a:latin typeface="Aptos Narrow"/>
                <a:ea typeface="+mn-ea"/>
                <a:cs typeface="+mn-cs"/>
              </a:rPr>
              <a:pPr marL="0" indent="0" algn="l"/>
              <a:t>С</a:t>
            </a:fld>
            <a:endParaRPr lang="ru-RU" sz="3200" b="0" i="0" u="none" strike="noStrike">
              <a:solidFill>
                <a:schemeClr val="tx2">
                  <a:lumMod val="10000"/>
                  <a:lumOff val="90000"/>
                </a:schemeClr>
              </a:solidFill>
              <a:latin typeface="Aptos Narrow"/>
              <a:ea typeface="+mn-ea"/>
              <a:cs typeface="+mn-cs"/>
            </a:endParaRPr>
          </a:p>
        </xdr:txBody>
      </xdr:sp>
      <xdr:sp macro="" textlink="Processing!I12">
        <xdr:nvSpPr>
          <xdr:cNvPr id="87" name="TextBox 86">
            <a:extLst>
              <a:ext uri="{FF2B5EF4-FFF2-40B4-BE49-F238E27FC236}">
                <a16:creationId xmlns:a16="http://schemas.microsoft.com/office/drawing/2014/main" id="{5122D3EB-AD4E-D51F-67CA-621281F3B3F0}"/>
              </a:ext>
            </a:extLst>
          </xdr:cNvPr>
          <xdr:cNvSpPr txBox="1"/>
        </xdr:nvSpPr>
        <xdr:spPr>
          <a:xfrm>
            <a:off x="5585460" y="6177915"/>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FE326BD-2F8E-420D-9EE2-C2F572317075}" type="TxLink">
              <a:rPr lang="en-US" sz="1100" b="0" i="0" u="none" strike="noStrike">
                <a:solidFill>
                  <a:schemeClr val="tx2">
                    <a:lumMod val="10000"/>
                    <a:lumOff val="90000"/>
                  </a:schemeClr>
                </a:solidFill>
                <a:latin typeface="Aptos Narrow"/>
                <a:ea typeface="+mn-ea"/>
                <a:cs typeface="+mn-cs"/>
              </a:rPr>
              <a:pPr marL="0" indent="0" algn="l"/>
              <a:t>P</a:t>
            </a:fld>
            <a:endParaRPr lang="ru-RU" sz="3200" b="0" i="0" u="none" strike="noStrike">
              <a:solidFill>
                <a:schemeClr val="tx2">
                  <a:lumMod val="10000"/>
                  <a:lumOff val="90000"/>
                </a:schemeClr>
              </a:solidFill>
              <a:latin typeface="Aptos Narrow"/>
              <a:ea typeface="+mn-ea"/>
              <a:cs typeface="+mn-cs"/>
            </a:endParaRPr>
          </a:p>
        </xdr:txBody>
      </xdr:sp>
      <xdr:sp macro="" textlink="Processing!I13">
        <xdr:nvSpPr>
          <xdr:cNvPr id="88" name="TextBox 87">
            <a:extLst>
              <a:ext uri="{FF2B5EF4-FFF2-40B4-BE49-F238E27FC236}">
                <a16:creationId xmlns:a16="http://schemas.microsoft.com/office/drawing/2014/main" id="{849A49A9-A2F1-86EF-7A3B-117D5ACBB616}"/>
              </a:ext>
            </a:extLst>
          </xdr:cNvPr>
          <xdr:cNvSpPr txBox="1"/>
        </xdr:nvSpPr>
        <xdr:spPr>
          <a:xfrm>
            <a:off x="5585460" y="641604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BF2717A-1A6A-4193-9B1D-DD7C5DC20699}" type="TxLink">
              <a:rPr lang="en-US" sz="1100" b="0" i="0" u="none" strike="noStrike">
                <a:solidFill>
                  <a:schemeClr val="tx2">
                    <a:lumMod val="10000"/>
                    <a:lumOff val="90000"/>
                  </a:schemeClr>
                </a:solidFill>
                <a:latin typeface="Aptos Narrow"/>
                <a:ea typeface="+mn-ea"/>
                <a:cs typeface="+mn-cs"/>
              </a:rPr>
              <a:pPr marL="0" indent="0" algn="l"/>
              <a:t>R</a:t>
            </a:fld>
            <a:endParaRPr lang="ru-RU" sz="3200" b="0" i="0" u="none" strike="noStrike">
              <a:solidFill>
                <a:schemeClr val="tx2">
                  <a:lumMod val="10000"/>
                  <a:lumOff val="90000"/>
                </a:schemeClr>
              </a:solidFill>
              <a:latin typeface="Aptos Narrow"/>
              <a:ea typeface="+mn-ea"/>
              <a:cs typeface="+mn-cs"/>
            </a:endParaRPr>
          </a:p>
        </xdr:txBody>
      </xdr:sp>
    </xdr:grpSp>
    <xdr:clientData/>
  </xdr:twoCellAnchor>
</xdr:wsDr>
</file>

<file path=xl/drawings/drawing4.xml><?xml version="1.0" encoding="utf-8"?>
<xdr:wsDr xmlns:xdr="http://schemas.openxmlformats.org/drawingml/2006/spreadsheetDrawing" xmlns:a="http://schemas.openxmlformats.org/drawingml/2006/main">
  <xdr:twoCellAnchor>
    <xdr:from>
      <xdr:col>2</xdr:col>
      <xdr:colOff>397459</xdr:colOff>
      <xdr:row>2</xdr:row>
      <xdr:rowOff>45720</xdr:rowOff>
    </xdr:from>
    <xdr:to>
      <xdr:col>20</xdr:col>
      <xdr:colOff>306019</xdr:colOff>
      <xdr:row>39</xdr:row>
      <xdr:rowOff>137160</xdr:rowOff>
    </xdr:to>
    <xdr:sp macro="" textlink="">
      <xdr:nvSpPr>
        <xdr:cNvPr id="2" name="Rectangle: Rounded Corners 1">
          <a:extLst>
            <a:ext uri="{FF2B5EF4-FFF2-40B4-BE49-F238E27FC236}">
              <a16:creationId xmlns:a16="http://schemas.microsoft.com/office/drawing/2014/main" id="{7CD63A27-009E-4F2B-93D8-421556F426CA}"/>
            </a:ext>
          </a:extLst>
        </xdr:cNvPr>
        <xdr:cNvSpPr/>
      </xdr:nvSpPr>
      <xdr:spPr>
        <a:xfrm>
          <a:off x="1616659" y="411480"/>
          <a:ext cx="10881360" cy="6858000"/>
        </a:xfrm>
        <a:prstGeom prst="roundRect">
          <a:avLst>
            <a:gd name="adj" fmla="val 3653"/>
          </a:avLst>
        </a:prstGeom>
        <a:gradFill flip="none" rotWithShape="1">
          <a:gsLst>
            <a:gs pos="2000">
              <a:srgbClr val="1B2A87"/>
            </a:gs>
            <a:gs pos="31000">
              <a:srgbClr val="0A002F"/>
            </a:gs>
            <a:gs pos="100000">
              <a:srgbClr val="18013D"/>
            </a:gs>
          </a:gsLst>
          <a:lin ang="8100000" scaled="1"/>
          <a:tileRect/>
        </a:gradFill>
        <a:ln w="9525">
          <a:gradFill>
            <a:gsLst>
              <a:gs pos="24000">
                <a:schemeClr val="accent5">
                  <a:lumMod val="75000"/>
                </a:schemeClr>
              </a:gs>
              <a:gs pos="0">
                <a:srgbClr val="2C48D4"/>
              </a:gs>
              <a:gs pos="100000">
                <a:srgbClr val="7030A0"/>
              </a:gs>
              <a:gs pos="49000">
                <a:schemeClr val="accent1">
                  <a:lumMod val="30000"/>
                  <a:lumOff val="70000"/>
                </a:schemeClr>
              </a:gs>
            </a:gsLst>
            <a:lin ang="6000000" scaled="0"/>
          </a:gradFill>
        </a:ln>
        <a:effectLst>
          <a:outerShdw blurRad="889000" dist="254000" dir="18900000" algn="bl" rotWithShape="0">
            <a:srgbClr val="1D3090">
              <a:alpha val="53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11</xdr:col>
      <xdr:colOff>460248</xdr:colOff>
      <xdr:row>6</xdr:row>
      <xdr:rowOff>83820</xdr:rowOff>
    </xdr:from>
    <xdr:to>
      <xdr:col>15</xdr:col>
      <xdr:colOff>399288</xdr:colOff>
      <xdr:row>13</xdr:row>
      <xdr:rowOff>175260</xdr:rowOff>
    </xdr:to>
    <xdr:grpSp>
      <xdr:nvGrpSpPr>
        <xdr:cNvPr id="3" name="Group 2">
          <a:extLst>
            <a:ext uri="{FF2B5EF4-FFF2-40B4-BE49-F238E27FC236}">
              <a16:creationId xmlns:a16="http://schemas.microsoft.com/office/drawing/2014/main" id="{020CCC85-9845-4D83-8D48-60E4E849A754}"/>
            </a:ext>
          </a:extLst>
        </xdr:cNvPr>
        <xdr:cNvGrpSpPr/>
      </xdr:nvGrpSpPr>
      <xdr:grpSpPr>
        <a:xfrm>
          <a:off x="6979581" y="1226820"/>
          <a:ext cx="2309707" cy="1424940"/>
          <a:chOff x="7162800" y="3121152"/>
          <a:chExt cx="1908048" cy="1347216"/>
        </a:xfrm>
        <a:effectLst>
          <a:outerShdw blurRad="254000" dist="127000" dir="8100000" algn="tr" rotWithShape="0">
            <a:prstClr val="black">
              <a:alpha val="90000"/>
            </a:prstClr>
          </a:outerShdw>
        </a:effectLst>
      </xdr:grpSpPr>
      <xdr:sp macro="" textlink="">
        <xdr:nvSpPr>
          <xdr:cNvPr id="4" name="Rectangle: Rounded Corners 3">
            <a:extLst>
              <a:ext uri="{FF2B5EF4-FFF2-40B4-BE49-F238E27FC236}">
                <a16:creationId xmlns:a16="http://schemas.microsoft.com/office/drawing/2014/main" id="{6C3023BA-5AC2-653F-F43E-83FDF60176AF}"/>
              </a:ext>
            </a:extLst>
          </xdr:cNvPr>
          <xdr:cNvSpPr/>
        </xdr:nvSpPr>
        <xdr:spPr>
          <a:xfrm>
            <a:off x="7162800"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5" name="Rectangle: Rounded Corners 4">
            <a:extLst>
              <a:ext uri="{FF2B5EF4-FFF2-40B4-BE49-F238E27FC236}">
                <a16:creationId xmlns:a16="http://schemas.microsoft.com/office/drawing/2014/main" id="{67EB23B7-DF6F-34F4-CFC5-6FFC899DB9D7}"/>
              </a:ext>
            </a:extLst>
          </xdr:cNvPr>
          <xdr:cNvSpPr/>
        </xdr:nvSpPr>
        <xdr:spPr>
          <a:xfrm>
            <a:off x="7162800" y="3121152"/>
            <a:ext cx="1908048" cy="1347216"/>
          </a:xfrm>
          <a:prstGeom prst="roundRect">
            <a:avLst>
              <a:gd name="adj" fmla="val 9880"/>
            </a:avLst>
          </a:prstGeom>
          <a:gradFill flip="none" rotWithShape="1">
            <a:gsLst>
              <a:gs pos="52000">
                <a:srgbClr val="1F1F98">
                  <a:alpha val="0"/>
                </a:srgbClr>
              </a:gs>
              <a:gs pos="4000">
                <a:srgbClr val="9933FF"/>
              </a:gs>
            </a:gsLst>
            <a:lin ang="2700000" scaled="1"/>
            <a:tileRect/>
          </a:gradFill>
          <a:ln w="9525">
            <a:gradFill flip="none" rotWithShape="1">
              <a:gsLst>
                <a:gs pos="14000">
                  <a:srgbClr val="E39CFF"/>
                </a:gs>
                <a:gs pos="39000">
                  <a:srgbClr val="6AF8FF"/>
                </a:gs>
                <a:gs pos="87000">
                  <a:srgbClr val="CC00FF"/>
                </a:gs>
              </a:gsLst>
              <a:lin ang="4200000" scaled="0"/>
              <a:tileRect/>
            </a:gradFill>
          </a:ln>
          <a:effectLst>
            <a:glow rad="63500">
              <a:srgbClr val="476BEE">
                <a:alpha val="40000"/>
              </a:srgbClr>
            </a:glow>
            <a:outerShdw blurRad="127000" sx="105000" sy="105000" algn="ctr" rotWithShape="0">
              <a:srgbClr val="0000FF">
                <a:alpha val="8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7</xdr:col>
      <xdr:colOff>327660</xdr:colOff>
      <xdr:row>6</xdr:row>
      <xdr:rowOff>83820</xdr:rowOff>
    </xdr:from>
    <xdr:to>
      <xdr:col>11</xdr:col>
      <xdr:colOff>266700</xdr:colOff>
      <xdr:row>13</xdr:row>
      <xdr:rowOff>175260</xdr:rowOff>
    </xdr:to>
    <xdr:grpSp>
      <xdr:nvGrpSpPr>
        <xdr:cNvPr id="6" name="Group 5">
          <a:extLst>
            <a:ext uri="{FF2B5EF4-FFF2-40B4-BE49-F238E27FC236}">
              <a16:creationId xmlns:a16="http://schemas.microsoft.com/office/drawing/2014/main" id="{928D48BC-0D91-4E8E-82EE-39E20C800D75}"/>
            </a:ext>
          </a:extLst>
        </xdr:cNvPr>
        <xdr:cNvGrpSpPr/>
      </xdr:nvGrpSpPr>
      <xdr:grpSpPr>
        <a:xfrm>
          <a:off x="4476327" y="1226820"/>
          <a:ext cx="2309706" cy="1424940"/>
          <a:chOff x="5141976" y="3121152"/>
          <a:chExt cx="1908048" cy="1347216"/>
        </a:xfrm>
        <a:effectLst>
          <a:outerShdw blurRad="254000" dist="127000" dir="8100000" algn="tr" rotWithShape="0">
            <a:prstClr val="black">
              <a:alpha val="90000"/>
            </a:prstClr>
          </a:outerShdw>
        </a:effectLst>
      </xdr:grpSpPr>
      <xdr:sp macro="" textlink="">
        <xdr:nvSpPr>
          <xdr:cNvPr id="7" name="Rectangle: Rounded Corners 6">
            <a:extLst>
              <a:ext uri="{FF2B5EF4-FFF2-40B4-BE49-F238E27FC236}">
                <a16:creationId xmlns:a16="http://schemas.microsoft.com/office/drawing/2014/main" id="{DE515215-9DD8-5D20-AB3F-8402BED9C8E9}"/>
              </a:ext>
            </a:extLst>
          </xdr:cNvPr>
          <xdr:cNvSpPr/>
        </xdr:nvSpPr>
        <xdr:spPr>
          <a:xfrm>
            <a:off x="5141976"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8" name="Rectangle: Rounded Corners 7">
            <a:extLst>
              <a:ext uri="{FF2B5EF4-FFF2-40B4-BE49-F238E27FC236}">
                <a16:creationId xmlns:a16="http://schemas.microsoft.com/office/drawing/2014/main" id="{562ABED3-4463-E099-0872-110EC61B8469}"/>
              </a:ext>
            </a:extLst>
          </xdr:cNvPr>
          <xdr:cNvSpPr/>
        </xdr:nvSpPr>
        <xdr:spPr>
          <a:xfrm>
            <a:off x="5141976" y="3121152"/>
            <a:ext cx="1908048" cy="1347216"/>
          </a:xfrm>
          <a:prstGeom prst="roundRect">
            <a:avLst>
              <a:gd name="adj" fmla="val 9880"/>
            </a:avLst>
          </a:prstGeom>
          <a:gradFill flip="none" rotWithShape="1">
            <a:gsLst>
              <a:gs pos="52000">
                <a:srgbClr val="1F1F98">
                  <a:alpha val="0"/>
                </a:srgbClr>
              </a:gs>
              <a:gs pos="4000">
                <a:srgbClr val="1EC0E2"/>
              </a:gs>
            </a:gsLst>
            <a:lin ang="2700000" scaled="1"/>
            <a:tileRect/>
          </a:gradFill>
          <a:ln w="9525">
            <a:gradFill flip="none" rotWithShape="1">
              <a:gsLst>
                <a:gs pos="21000">
                  <a:srgbClr val="9DFFFF"/>
                </a:gs>
                <a:gs pos="81000">
                  <a:srgbClr val="CC00FF"/>
                </a:gs>
              </a:gsLst>
              <a:lin ang="27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xdr:from>
      <xdr:col>3</xdr:col>
      <xdr:colOff>205740</xdr:colOff>
      <xdr:row>6</xdr:row>
      <xdr:rowOff>83820</xdr:rowOff>
    </xdr:from>
    <xdr:to>
      <xdr:col>7</xdr:col>
      <xdr:colOff>144780</xdr:colOff>
      <xdr:row>13</xdr:row>
      <xdr:rowOff>175260</xdr:rowOff>
    </xdr:to>
    <xdr:grpSp>
      <xdr:nvGrpSpPr>
        <xdr:cNvPr id="9" name="Group 8">
          <a:extLst>
            <a:ext uri="{FF2B5EF4-FFF2-40B4-BE49-F238E27FC236}">
              <a16:creationId xmlns:a16="http://schemas.microsoft.com/office/drawing/2014/main" id="{D1F0AC77-F587-4986-8E9D-9EC75F464334}"/>
            </a:ext>
          </a:extLst>
        </xdr:cNvPr>
        <xdr:cNvGrpSpPr/>
      </xdr:nvGrpSpPr>
      <xdr:grpSpPr>
        <a:xfrm>
          <a:off x="1983740" y="1226820"/>
          <a:ext cx="2309707" cy="1424940"/>
          <a:chOff x="3121152" y="3121152"/>
          <a:chExt cx="1908048" cy="1347216"/>
        </a:xfrm>
        <a:effectLst>
          <a:outerShdw blurRad="254000" dist="127000" dir="8100000" algn="tr" rotWithShape="0">
            <a:prstClr val="black">
              <a:alpha val="90000"/>
            </a:prstClr>
          </a:outerShdw>
        </a:effectLst>
      </xdr:grpSpPr>
      <xdr:sp macro="" textlink="">
        <xdr:nvSpPr>
          <xdr:cNvPr id="10" name="Rectangle: Rounded Corners 9">
            <a:extLst>
              <a:ext uri="{FF2B5EF4-FFF2-40B4-BE49-F238E27FC236}">
                <a16:creationId xmlns:a16="http://schemas.microsoft.com/office/drawing/2014/main" id="{AC3F9534-7545-D9E3-5CEA-2C17EE0FFAFC}"/>
              </a:ext>
            </a:extLst>
          </xdr:cNvPr>
          <xdr:cNvSpPr/>
        </xdr:nvSpPr>
        <xdr:spPr>
          <a:xfrm>
            <a:off x="3121152" y="3121152"/>
            <a:ext cx="1908048" cy="1347216"/>
          </a:xfrm>
          <a:prstGeom prst="roundRect">
            <a:avLst>
              <a:gd name="adj" fmla="val 9880"/>
            </a:avLst>
          </a:prstGeom>
          <a:gradFill flip="none" rotWithShape="1">
            <a:gsLst>
              <a:gs pos="66000">
                <a:srgbClr val="221987"/>
              </a:gs>
              <a:gs pos="8000">
                <a:srgbClr val="206DF5"/>
              </a:gs>
            </a:gsLst>
            <a:lin ang="8100000" scaled="1"/>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11" name="Rectangle: Rounded Corners 10">
            <a:extLst>
              <a:ext uri="{FF2B5EF4-FFF2-40B4-BE49-F238E27FC236}">
                <a16:creationId xmlns:a16="http://schemas.microsoft.com/office/drawing/2014/main" id="{00C168F0-E361-7B1E-955F-04A539F9EE42}"/>
              </a:ext>
            </a:extLst>
          </xdr:cNvPr>
          <xdr:cNvSpPr/>
        </xdr:nvSpPr>
        <xdr:spPr>
          <a:xfrm>
            <a:off x="3121152" y="3121152"/>
            <a:ext cx="1908048" cy="1347216"/>
          </a:xfrm>
          <a:prstGeom prst="roundRect">
            <a:avLst>
              <a:gd name="adj" fmla="val 9880"/>
            </a:avLst>
          </a:prstGeom>
          <a:gradFill flip="none" rotWithShape="1">
            <a:gsLst>
              <a:gs pos="52000">
                <a:srgbClr val="1F1F98">
                  <a:alpha val="0"/>
                </a:srgbClr>
              </a:gs>
              <a:gs pos="4000">
                <a:srgbClr val="CC00CC"/>
              </a:gs>
            </a:gsLst>
            <a:lin ang="2700000" scaled="1"/>
            <a:tileRect/>
          </a:gradFill>
          <a:ln w="9525">
            <a:gradFill flip="none" rotWithShape="1">
              <a:gsLst>
                <a:gs pos="12000">
                  <a:srgbClr val="F6A6FC"/>
                </a:gs>
                <a:gs pos="68000">
                  <a:srgbClr val="7CF2FD"/>
                </a:gs>
                <a:gs pos="87000">
                  <a:srgbClr val="4F33DD"/>
                </a:gs>
              </a:gsLst>
              <a:lin ang="1800000" scaled="0"/>
              <a:tileRect/>
            </a:gra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p>
            <a:pPr algn="l"/>
            <a:endParaRPr lang="en-US">
              <a:solidFill>
                <a:schemeClr val="bg1"/>
              </a:solidFill>
            </a:endParaRPr>
          </a:p>
        </xdr:txBody>
      </xdr:sp>
    </xdr:grpSp>
    <xdr:clientData/>
  </xdr:twoCellAnchor>
  <xdr:twoCellAnchor>
    <xdr:from>
      <xdr:col>3</xdr:col>
      <xdr:colOff>205740</xdr:colOff>
      <xdr:row>15</xdr:row>
      <xdr:rowOff>38100</xdr:rowOff>
    </xdr:from>
    <xdr:to>
      <xdr:col>11</xdr:col>
      <xdr:colOff>266700</xdr:colOff>
      <xdr:row>37</xdr:row>
      <xdr:rowOff>129540</xdr:rowOff>
    </xdr:to>
    <xdr:sp macro="" textlink="">
      <xdr:nvSpPr>
        <xdr:cNvPr id="12" name="Rectangle: Rounded Corners 11">
          <a:extLst>
            <a:ext uri="{FF2B5EF4-FFF2-40B4-BE49-F238E27FC236}">
              <a16:creationId xmlns:a16="http://schemas.microsoft.com/office/drawing/2014/main" id="{53BB39C6-6492-4BC0-84AC-DD2988DB2BD5}"/>
            </a:ext>
          </a:extLst>
        </xdr:cNvPr>
        <xdr:cNvSpPr/>
      </xdr:nvSpPr>
      <xdr:spPr>
        <a:xfrm>
          <a:off x="2034540" y="2781300"/>
          <a:ext cx="4937760" cy="4114800"/>
        </a:xfrm>
        <a:prstGeom prst="roundRect">
          <a:avLst>
            <a:gd name="adj" fmla="val 3318"/>
          </a:avLst>
        </a:prstGeom>
        <a:gradFill flip="none" rotWithShape="1">
          <a:gsLst>
            <a:gs pos="4000">
              <a:srgbClr val="0F0048"/>
            </a:gs>
            <a:gs pos="67000">
              <a:srgbClr val="0A002F"/>
            </a:gs>
          </a:gsLst>
          <a:lin ang="8100000" scaled="1"/>
          <a:tileRect/>
        </a:gradFill>
        <a:ln w="9525">
          <a:gradFill flip="none" rotWithShape="1">
            <a:gsLst>
              <a:gs pos="0">
                <a:srgbClr val="2C48D4"/>
              </a:gs>
              <a:gs pos="39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15</xdr:col>
      <xdr:colOff>453043</xdr:colOff>
      <xdr:row>3</xdr:row>
      <xdr:rowOff>138694</xdr:rowOff>
    </xdr:from>
    <xdr:to>
      <xdr:col>20</xdr:col>
      <xdr:colOff>80356</xdr:colOff>
      <xdr:row>14</xdr:row>
      <xdr:rowOff>73224</xdr:rowOff>
    </xdr:to>
    <xdr:graphicFrame macro="">
      <xdr:nvGraphicFramePr>
        <xdr:cNvPr id="13" name="Chart 12">
          <a:extLst>
            <a:ext uri="{FF2B5EF4-FFF2-40B4-BE49-F238E27FC236}">
              <a16:creationId xmlns:a16="http://schemas.microsoft.com/office/drawing/2014/main" id="{CE5C7F02-2078-4DDC-9A6A-AA014329D8E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460248</xdr:colOff>
      <xdr:row>15</xdr:row>
      <xdr:rowOff>53340</xdr:rowOff>
    </xdr:from>
    <xdr:to>
      <xdr:col>19</xdr:col>
      <xdr:colOff>521208</xdr:colOff>
      <xdr:row>25</xdr:row>
      <xdr:rowOff>144780</xdr:rowOff>
    </xdr:to>
    <xdr:sp macro="" textlink="">
      <xdr:nvSpPr>
        <xdr:cNvPr id="14" name="Rectangle: Rounded Corners 13">
          <a:extLst>
            <a:ext uri="{FF2B5EF4-FFF2-40B4-BE49-F238E27FC236}">
              <a16:creationId xmlns:a16="http://schemas.microsoft.com/office/drawing/2014/main" id="{A347207D-F4AE-4B0C-B82A-CE03E5AF4AC8}"/>
            </a:ext>
          </a:extLst>
        </xdr:cNvPr>
        <xdr:cNvSpPr/>
      </xdr:nvSpPr>
      <xdr:spPr>
        <a:xfrm>
          <a:off x="7165848" y="2796540"/>
          <a:ext cx="4937760" cy="1920240"/>
        </a:xfrm>
        <a:prstGeom prst="roundRect">
          <a:avLst>
            <a:gd name="adj" fmla="val 8874"/>
          </a:avLst>
        </a:prstGeom>
        <a:gradFill flip="none" rotWithShape="1">
          <a:gsLst>
            <a:gs pos="4000">
              <a:srgbClr val="150064"/>
            </a:gs>
            <a:gs pos="67000">
              <a:srgbClr val="0A002F"/>
            </a:gs>
          </a:gsLst>
          <a:lin ang="6000000" scaled="0"/>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460248</xdr:colOff>
      <xdr:row>26</xdr:row>
      <xdr:rowOff>160020</xdr:rowOff>
    </xdr:from>
    <xdr:to>
      <xdr:col>15</xdr:col>
      <xdr:colOff>399288</xdr:colOff>
      <xdr:row>37</xdr:row>
      <xdr:rowOff>68580</xdr:rowOff>
    </xdr:to>
    <xdr:sp macro="" textlink="">
      <xdr:nvSpPr>
        <xdr:cNvPr id="15" name="Rectangle: Rounded Corners 14">
          <a:extLst>
            <a:ext uri="{FF2B5EF4-FFF2-40B4-BE49-F238E27FC236}">
              <a16:creationId xmlns:a16="http://schemas.microsoft.com/office/drawing/2014/main" id="{E41EB8B7-0AF5-4B32-917C-1AC04301A8A7}"/>
            </a:ext>
          </a:extLst>
        </xdr:cNvPr>
        <xdr:cNvSpPr/>
      </xdr:nvSpPr>
      <xdr:spPr>
        <a:xfrm>
          <a:off x="7165848" y="4914900"/>
          <a:ext cx="2377440" cy="1920240"/>
        </a:xfrm>
        <a:prstGeom prst="roundRect">
          <a:avLst>
            <a:gd name="adj" fmla="val 8874"/>
          </a:avLst>
        </a:prstGeom>
        <a:gradFill flip="none" rotWithShape="1">
          <a:gsLst>
            <a:gs pos="4000">
              <a:srgbClr val="150064"/>
            </a:gs>
            <a:gs pos="67000">
              <a:srgbClr val="0A002F"/>
            </a:gs>
          </a:gsLst>
          <a:lin ang="8100000" scaled="1"/>
          <a:tileRect/>
        </a:gradFill>
        <a:ln w="9525">
          <a:gradFill flip="none" rotWithShape="1">
            <a:gsLst>
              <a:gs pos="0">
                <a:srgbClr val="2C48D4"/>
              </a:gs>
              <a:gs pos="55000">
                <a:srgbClr val="171B61"/>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11</xdr:col>
      <xdr:colOff>518160</xdr:colOff>
      <xdr:row>28</xdr:row>
      <xdr:rowOff>152400</xdr:rowOff>
    </xdr:from>
    <xdr:to>
      <xdr:col>15</xdr:col>
      <xdr:colOff>358140</xdr:colOff>
      <xdr:row>36</xdr:row>
      <xdr:rowOff>167640</xdr:rowOff>
    </xdr:to>
    <xdr:graphicFrame macro="">
      <xdr:nvGraphicFramePr>
        <xdr:cNvPr id="20" name="Chart 19">
          <a:extLst>
            <a:ext uri="{FF2B5EF4-FFF2-40B4-BE49-F238E27FC236}">
              <a16:creationId xmlns:a16="http://schemas.microsoft.com/office/drawing/2014/main" id="{8DEF3CA3-1863-4305-81DB-302E5BB3146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oneCellAnchor>
    <xdr:from>
      <xdr:col>11</xdr:col>
      <xdr:colOff>53340</xdr:colOff>
      <xdr:row>15</xdr:row>
      <xdr:rowOff>175260</xdr:rowOff>
    </xdr:from>
    <xdr:ext cx="65" cy="172227"/>
    <xdr:sp macro="" textlink="">
      <xdr:nvSpPr>
        <xdr:cNvPr id="28" name="TextBox 27">
          <a:extLst>
            <a:ext uri="{FF2B5EF4-FFF2-40B4-BE49-F238E27FC236}">
              <a16:creationId xmlns:a16="http://schemas.microsoft.com/office/drawing/2014/main" id="{2904B14E-B96A-493D-B36C-897497372280}"/>
            </a:ext>
          </a:extLst>
        </xdr:cNvPr>
        <xdr:cNvSpPr txBox="1"/>
      </xdr:nvSpPr>
      <xdr:spPr>
        <a:xfrm>
          <a:off x="6758940" y="2918460"/>
          <a:ext cx="65" cy="172227"/>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lIns="0" tIns="0" rIns="0" bIns="0" rtlCol="0" anchor="t">
          <a:spAutoFit/>
        </a:bodyPr>
        <a:lstStyle/>
        <a:p>
          <a:endParaRPr lang="ru-RU" sz="1100"/>
        </a:p>
      </xdr:txBody>
    </xdr:sp>
    <xdr:clientData/>
  </xdr:oneCellAnchor>
  <xdr:twoCellAnchor>
    <xdr:from>
      <xdr:col>11</xdr:col>
      <xdr:colOff>441960</xdr:colOff>
      <xdr:row>16</xdr:row>
      <xdr:rowOff>129540</xdr:rowOff>
    </xdr:from>
    <xdr:to>
      <xdr:col>19</xdr:col>
      <xdr:colOff>502920</xdr:colOff>
      <xdr:row>24</xdr:row>
      <xdr:rowOff>38100</xdr:rowOff>
    </xdr:to>
    <xdr:graphicFrame macro="">
      <xdr:nvGraphicFramePr>
        <xdr:cNvPr id="29" name="Chart 28">
          <a:extLst>
            <a:ext uri="{FF2B5EF4-FFF2-40B4-BE49-F238E27FC236}">
              <a16:creationId xmlns:a16="http://schemas.microsoft.com/office/drawing/2014/main" id="{1AB8603A-8F2F-4176-A923-E7664E11B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243840</xdr:colOff>
      <xdr:row>7</xdr:row>
      <xdr:rowOff>91440</xdr:rowOff>
    </xdr:from>
    <xdr:to>
      <xdr:col>6</xdr:col>
      <xdr:colOff>243840</xdr:colOff>
      <xdr:row>11</xdr:row>
      <xdr:rowOff>0</xdr:rowOff>
    </xdr:to>
    <xdr:sp macro="" textlink="Processing!O9">
      <xdr:nvSpPr>
        <xdr:cNvPr id="35" name="TextBox 34">
          <a:extLst>
            <a:ext uri="{FF2B5EF4-FFF2-40B4-BE49-F238E27FC236}">
              <a16:creationId xmlns:a16="http://schemas.microsoft.com/office/drawing/2014/main" id="{108E7EEA-B994-414F-B1B8-102C5291DEE9}"/>
            </a:ext>
          </a:extLst>
        </xdr:cNvPr>
        <xdr:cNvSpPr txBox="1"/>
      </xdr:nvSpPr>
      <xdr:spPr>
        <a:xfrm>
          <a:off x="2072640" y="1371600"/>
          <a:ext cx="182880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C67A2AF-8475-4C35-85E3-B52DD60A765F}" type="TxLink">
            <a:rPr lang="en-US" sz="3200" b="0" i="0" u="none" strike="noStrike">
              <a:solidFill>
                <a:schemeClr val="bg1"/>
              </a:solidFill>
              <a:latin typeface="Aptos Narrow"/>
            </a:rPr>
            <a:pPr/>
            <a:t>80/220</a:t>
          </a:fld>
          <a:endParaRPr lang="ru-RU" sz="3200">
            <a:solidFill>
              <a:schemeClr val="bg1"/>
            </a:solidFill>
          </a:endParaRPr>
        </a:p>
      </xdr:txBody>
    </xdr:sp>
    <xdr:clientData/>
  </xdr:twoCellAnchor>
  <xdr:twoCellAnchor>
    <xdr:from>
      <xdr:col>5</xdr:col>
      <xdr:colOff>405870</xdr:colOff>
      <xdr:row>7</xdr:row>
      <xdr:rowOff>152400</xdr:rowOff>
    </xdr:from>
    <xdr:to>
      <xdr:col>7</xdr:col>
      <xdr:colOff>101070</xdr:colOff>
      <xdr:row>12</xdr:row>
      <xdr:rowOff>152400</xdr:rowOff>
    </xdr:to>
    <xdr:graphicFrame macro="">
      <xdr:nvGraphicFramePr>
        <xdr:cNvPr id="36" name="Chart 35">
          <a:extLst>
            <a:ext uri="{FF2B5EF4-FFF2-40B4-BE49-F238E27FC236}">
              <a16:creationId xmlns:a16="http://schemas.microsoft.com/office/drawing/2014/main" id="{102B756F-319C-4171-873E-24D731D0CD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5</xdr:col>
      <xdr:colOff>444316</xdr:colOff>
      <xdr:row>9</xdr:row>
      <xdr:rowOff>54293</xdr:rowOff>
    </xdr:from>
    <xdr:to>
      <xdr:col>7</xdr:col>
      <xdr:colOff>81464</xdr:colOff>
      <xdr:row>11</xdr:row>
      <xdr:rowOff>60008</xdr:rowOff>
    </xdr:to>
    <xdr:sp macro="" textlink="Processing!N11">
      <xdr:nvSpPr>
        <xdr:cNvPr id="37" name="TextBox 36">
          <a:extLst>
            <a:ext uri="{FF2B5EF4-FFF2-40B4-BE49-F238E27FC236}">
              <a16:creationId xmlns:a16="http://schemas.microsoft.com/office/drawing/2014/main" id="{430CE4D9-8C03-458D-B071-B21B7A5095CA}"/>
            </a:ext>
          </a:extLst>
        </xdr:cNvPr>
        <xdr:cNvSpPr txBox="1"/>
      </xdr:nvSpPr>
      <xdr:spPr>
        <a:xfrm>
          <a:off x="349231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75511D0-5F4D-4C1B-B1E4-C1682EAB75C9}" type="TxLink">
            <a:rPr lang="en-US" sz="1400" b="0" i="0" u="none" strike="noStrike">
              <a:solidFill>
                <a:schemeClr val="bg1"/>
              </a:solidFill>
              <a:latin typeface="Aptos Narrow"/>
            </a:rPr>
            <a:pPr algn="ctr"/>
            <a:t>36%</a:t>
          </a:fld>
          <a:endParaRPr lang="ru-RU" sz="4800">
            <a:solidFill>
              <a:schemeClr val="bg1"/>
            </a:solidFill>
          </a:endParaRPr>
        </a:p>
      </xdr:txBody>
    </xdr:sp>
    <xdr:clientData/>
  </xdr:twoCellAnchor>
  <xdr:twoCellAnchor>
    <xdr:from>
      <xdr:col>3</xdr:col>
      <xdr:colOff>320040</xdr:colOff>
      <xdr:row>11</xdr:row>
      <xdr:rowOff>38100</xdr:rowOff>
    </xdr:from>
    <xdr:to>
      <xdr:col>6</xdr:col>
      <xdr:colOff>160020</xdr:colOff>
      <xdr:row>14</xdr:row>
      <xdr:rowOff>76200</xdr:rowOff>
    </xdr:to>
    <xdr:sp macro="" textlink="Processing!M8">
      <xdr:nvSpPr>
        <xdr:cNvPr id="38" name="TextBox 37">
          <a:extLst>
            <a:ext uri="{FF2B5EF4-FFF2-40B4-BE49-F238E27FC236}">
              <a16:creationId xmlns:a16="http://schemas.microsoft.com/office/drawing/2014/main" id="{3924FE6E-79F7-440B-BF7C-52BA6B18E530}"/>
            </a:ext>
          </a:extLst>
        </xdr:cNvPr>
        <xdr:cNvSpPr txBox="1"/>
      </xdr:nvSpPr>
      <xdr:spPr>
        <a:xfrm>
          <a:off x="214884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285ECB5B-08AB-4119-8CB9-6CC6396EF104}" type="TxLink">
            <a:rPr lang="en-US" sz="1600" b="0" i="0" u="none" strike="noStrike">
              <a:solidFill>
                <a:schemeClr val="bg1"/>
              </a:solidFill>
              <a:latin typeface="Aptos Narrow"/>
            </a:rPr>
            <a:pPr/>
            <a:t>Scope of Work</a:t>
          </a:fld>
          <a:endParaRPr lang="ru-RU" sz="4400">
            <a:solidFill>
              <a:schemeClr val="bg1"/>
            </a:solidFill>
          </a:endParaRPr>
        </a:p>
      </xdr:txBody>
    </xdr:sp>
    <xdr:clientData/>
  </xdr:twoCellAnchor>
  <xdr:twoCellAnchor>
    <xdr:from>
      <xdr:col>9</xdr:col>
      <xdr:colOff>533400</xdr:colOff>
      <xdr:row>7</xdr:row>
      <xdr:rowOff>152400</xdr:rowOff>
    </xdr:from>
    <xdr:to>
      <xdr:col>11</xdr:col>
      <xdr:colOff>228600</xdr:colOff>
      <xdr:row>12</xdr:row>
      <xdr:rowOff>152400</xdr:rowOff>
    </xdr:to>
    <xdr:graphicFrame macro="">
      <xdr:nvGraphicFramePr>
        <xdr:cNvPr id="39" name="Chart 38">
          <a:extLst>
            <a:ext uri="{FF2B5EF4-FFF2-40B4-BE49-F238E27FC236}">
              <a16:creationId xmlns:a16="http://schemas.microsoft.com/office/drawing/2014/main" id="{FF0285D8-D570-42A7-AEF1-BA4B8F1F8A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7</xdr:col>
      <xdr:colOff>411480</xdr:colOff>
      <xdr:row>11</xdr:row>
      <xdr:rowOff>38100</xdr:rowOff>
    </xdr:from>
    <xdr:to>
      <xdr:col>10</xdr:col>
      <xdr:colOff>251460</xdr:colOff>
      <xdr:row>14</xdr:row>
      <xdr:rowOff>76200</xdr:rowOff>
    </xdr:to>
    <xdr:sp macro="" textlink="Processing!O5">
      <xdr:nvSpPr>
        <xdr:cNvPr id="40" name="TextBox 39">
          <a:extLst>
            <a:ext uri="{FF2B5EF4-FFF2-40B4-BE49-F238E27FC236}">
              <a16:creationId xmlns:a16="http://schemas.microsoft.com/office/drawing/2014/main" id="{3F3C619C-BF29-45D0-BAC0-D24137F57EA6}"/>
            </a:ext>
          </a:extLst>
        </xdr:cNvPr>
        <xdr:cNvSpPr txBox="1"/>
      </xdr:nvSpPr>
      <xdr:spPr>
        <a:xfrm>
          <a:off x="467868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2737FFC1-29C6-40F9-9BB1-2D31ED36B262}" type="TxLink">
            <a:rPr lang="en-US" sz="1600" b="0" i="0" u="none" strike="noStrike">
              <a:solidFill>
                <a:schemeClr val="bg1"/>
              </a:solidFill>
              <a:latin typeface="Aptos Narrow"/>
              <a:ea typeface="+mn-ea"/>
              <a:cs typeface="+mn-cs"/>
            </a:rPr>
            <a:pPr marL="0" indent="0"/>
            <a:t>Time Remaining</a:t>
          </a:fld>
          <a:endParaRPr lang="ru-RU" sz="1600" b="0" i="0" u="none" strike="noStrike">
            <a:solidFill>
              <a:schemeClr val="bg1"/>
            </a:solidFill>
            <a:latin typeface="Aptos Narrow"/>
            <a:ea typeface="+mn-ea"/>
            <a:cs typeface="+mn-cs"/>
          </a:endParaRPr>
        </a:p>
      </xdr:txBody>
    </xdr:sp>
    <xdr:clientData/>
  </xdr:twoCellAnchor>
  <xdr:twoCellAnchor>
    <xdr:from>
      <xdr:col>7</xdr:col>
      <xdr:colOff>373380</xdr:colOff>
      <xdr:row>7</xdr:row>
      <xdr:rowOff>91440</xdr:rowOff>
    </xdr:from>
    <xdr:to>
      <xdr:col>9</xdr:col>
      <xdr:colOff>152400</xdr:colOff>
      <xdr:row>11</xdr:row>
      <xdr:rowOff>0</xdr:rowOff>
    </xdr:to>
    <xdr:sp macro="" textlink="Processing!M6">
      <xdr:nvSpPr>
        <xdr:cNvPr id="41" name="TextBox 40">
          <a:extLst>
            <a:ext uri="{FF2B5EF4-FFF2-40B4-BE49-F238E27FC236}">
              <a16:creationId xmlns:a16="http://schemas.microsoft.com/office/drawing/2014/main" id="{340F0BF4-9F05-4032-8F65-FB6C81FAAED3}"/>
            </a:ext>
          </a:extLst>
        </xdr:cNvPr>
        <xdr:cNvSpPr txBox="1"/>
      </xdr:nvSpPr>
      <xdr:spPr>
        <a:xfrm>
          <a:off x="4640580" y="137160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4BB09261-95EC-4CE7-8235-CA5F20BA4102}" type="TxLink">
            <a:rPr lang="en-US" sz="3200" b="0" i="0" u="none" strike="noStrike">
              <a:solidFill>
                <a:schemeClr val="bg1"/>
              </a:solidFill>
              <a:latin typeface="Aptos Narrow"/>
              <a:ea typeface="+mn-ea"/>
              <a:cs typeface="+mn-cs"/>
            </a:rPr>
            <a:pPr marL="0" indent="0" algn="r"/>
            <a:t>92</a:t>
          </a:fld>
          <a:endParaRPr lang="ru-RU" sz="3200" b="0" i="0" u="none" strike="noStrike">
            <a:solidFill>
              <a:schemeClr val="bg1"/>
            </a:solidFill>
            <a:latin typeface="Aptos Narrow"/>
            <a:ea typeface="+mn-ea"/>
            <a:cs typeface="+mn-cs"/>
          </a:endParaRPr>
        </a:p>
      </xdr:txBody>
    </xdr:sp>
    <xdr:clientData/>
  </xdr:twoCellAnchor>
  <xdr:twoCellAnchor>
    <xdr:from>
      <xdr:col>9</xdr:col>
      <xdr:colOff>30480</xdr:colOff>
      <xdr:row>8</xdr:row>
      <xdr:rowOff>114300</xdr:rowOff>
    </xdr:from>
    <xdr:to>
      <xdr:col>10</xdr:col>
      <xdr:colOff>419100</xdr:colOff>
      <xdr:row>12</xdr:row>
      <xdr:rowOff>22860</xdr:rowOff>
    </xdr:to>
    <xdr:sp macro="" textlink="Processing!M5">
      <xdr:nvSpPr>
        <xdr:cNvPr id="42" name="TextBox 41">
          <a:extLst>
            <a:ext uri="{FF2B5EF4-FFF2-40B4-BE49-F238E27FC236}">
              <a16:creationId xmlns:a16="http://schemas.microsoft.com/office/drawing/2014/main" id="{4ACFE4A1-5825-4A56-9D9B-12DD9B7BFAF4}"/>
            </a:ext>
          </a:extLst>
        </xdr:cNvPr>
        <xdr:cNvSpPr txBox="1"/>
      </xdr:nvSpPr>
      <xdr:spPr>
        <a:xfrm>
          <a:off x="5516880" y="1577340"/>
          <a:ext cx="99822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5C7B169B-EF91-4A9A-9455-004958A84F01}" type="TxLink">
            <a:rPr lang="en-US" sz="1400" b="0" i="0" u="none" strike="noStrike">
              <a:solidFill>
                <a:schemeClr val="bg1"/>
              </a:solidFill>
              <a:latin typeface="Aptos Narrow"/>
              <a:ea typeface="+mn-ea"/>
              <a:cs typeface="+mn-cs"/>
            </a:rPr>
            <a:pPr marL="0" indent="0" algn="l"/>
            <a:t>Days</a:t>
          </a:fld>
          <a:endParaRPr lang="ru-RU" sz="4000" b="0" i="0" u="none" strike="noStrike">
            <a:solidFill>
              <a:schemeClr val="bg1"/>
            </a:solidFill>
            <a:latin typeface="Aptos Narrow"/>
            <a:ea typeface="+mn-ea"/>
            <a:cs typeface="+mn-cs"/>
          </a:endParaRPr>
        </a:p>
      </xdr:txBody>
    </xdr:sp>
    <xdr:clientData/>
  </xdr:twoCellAnchor>
  <xdr:twoCellAnchor>
    <xdr:from>
      <xdr:col>9</xdr:col>
      <xdr:colOff>566236</xdr:colOff>
      <xdr:row>9</xdr:row>
      <xdr:rowOff>54293</xdr:rowOff>
    </xdr:from>
    <xdr:to>
      <xdr:col>11</xdr:col>
      <xdr:colOff>203384</xdr:colOff>
      <xdr:row>11</xdr:row>
      <xdr:rowOff>60008</xdr:rowOff>
    </xdr:to>
    <xdr:sp macro="" textlink="Processing!O6">
      <xdr:nvSpPr>
        <xdr:cNvPr id="43" name="TextBox 42">
          <a:extLst>
            <a:ext uri="{FF2B5EF4-FFF2-40B4-BE49-F238E27FC236}">
              <a16:creationId xmlns:a16="http://schemas.microsoft.com/office/drawing/2014/main" id="{3DFD508F-3993-4677-9256-F74AD89C4439}"/>
            </a:ext>
          </a:extLst>
        </xdr:cNvPr>
        <xdr:cNvSpPr txBox="1"/>
      </xdr:nvSpPr>
      <xdr:spPr>
        <a:xfrm>
          <a:off x="60526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2C46B628-5347-4F08-A289-BC44383EFD03}" type="TxLink">
            <a:rPr lang="en-US" sz="1400" b="0" i="0" u="none" strike="noStrike">
              <a:solidFill>
                <a:schemeClr val="bg1"/>
              </a:solidFill>
              <a:latin typeface="Aptos Narrow"/>
              <a:ea typeface="+mn-ea"/>
              <a:cs typeface="+mn-cs"/>
            </a:rPr>
            <a:pPr marL="0" indent="0" algn="ctr"/>
            <a:t>25%</a:t>
          </a:fld>
          <a:endParaRPr lang="ru-RU" sz="1400" b="0" i="0" u="none" strike="noStrike">
            <a:solidFill>
              <a:schemeClr val="bg1"/>
            </a:solidFill>
            <a:latin typeface="Aptos Narrow"/>
            <a:ea typeface="+mn-ea"/>
            <a:cs typeface="+mn-cs"/>
          </a:endParaRPr>
        </a:p>
      </xdr:txBody>
    </xdr:sp>
    <xdr:clientData/>
  </xdr:twoCellAnchor>
  <xdr:twoCellAnchor>
    <xdr:from>
      <xdr:col>11</xdr:col>
      <xdr:colOff>579120</xdr:colOff>
      <xdr:row>11</xdr:row>
      <xdr:rowOff>38100</xdr:rowOff>
    </xdr:from>
    <xdr:to>
      <xdr:col>14</xdr:col>
      <xdr:colOff>419100</xdr:colOff>
      <xdr:row>14</xdr:row>
      <xdr:rowOff>76200</xdr:rowOff>
    </xdr:to>
    <xdr:sp macro="" textlink="Processing!M1">
      <xdr:nvSpPr>
        <xdr:cNvPr id="44" name="TextBox 43">
          <a:extLst>
            <a:ext uri="{FF2B5EF4-FFF2-40B4-BE49-F238E27FC236}">
              <a16:creationId xmlns:a16="http://schemas.microsoft.com/office/drawing/2014/main" id="{027FB64F-4B3C-403F-881C-F251BE9A999E}"/>
            </a:ext>
          </a:extLst>
        </xdr:cNvPr>
        <xdr:cNvSpPr txBox="1"/>
      </xdr:nvSpPr>
      <xdr:spPr>
        <a:xfrm>
          <a:off x="7284720" y="2049780"/>
          <a:ext cx="1668780" cy="5867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9F5D8EE7-0B37-4CFC-9F7A-8CC3EFE00C68}" type="TxLink">
            <a:rPr lang="en-US" sz="1600" b="0" i="0" u="none" strike="noStrike">
              <a:solidFill>
                <a:schemeClr val="bg1"/>
              </a:solidFill>
              <a:latin typeface="Aptos Narrow"/>
              <a:ea typeface="+mn-ea"/>
              <a:cs typeface="+mn-cs"/>
            </a:rPr>
            <a:pPr marL="0" indent="0"/>
            <a:t>Budget &amp; Cost</a:t>
          </a:fld>
          <a:endParaRPr lang="ru-RU" sz="1600" b="0" i="0" u="none" strike="noStrike">
            <a:solidFill>
              <a:schemeClr val="bg1"/>
            </a:solidFill>
            <a:latin typeface="Aptos Narrow"/>
            <a:ea typeface="+mn-ea"/>
            <a:cs typeface="+mn-cs"/>
          </a:endParaRPr>
        </a:p>
      </xdr:txBody>
    </xdr:sp>
    <xdr:clientData/>
  </xdr:twoCellAnchor>
  <xdr:twoCellAnchor>
    <xdr:from>
      <xdr:col>12</xdr:col>
      <xdr:colOff>137160</xdr:colOff>
      <xdr:row>6</xdr:row>
      <xdr:rowOff>83820</xdr:rowOff>
    </xdr:from>
    <xdr:to>
      <xdr:col>15</xdr:col>
      <xdr:colOff>342900</xdr:colOff>
      <xdr:row>9</xdr:row>
      <xdr:rowOff>175260</xdr:rowOff>
    </xdr:to>
    <xdr:sp macro="" textlink="Processing!M3">
      <xdr:nvSpPr>
        <xdr:cNvPr id="45" name="TextBox 44">
          <a:extLst>
            <a:ext uri="{FF2B5EF4-FFF2-40B4-BE49-F238E27FC236}">
              <a16:creationId xmlns:a16="http://schemas.microsoft.com/office/drawing/2014/main" id="{88C93B45-4AE8-4D20-A30D-78A5F81CC2A9}"/>
            </a:ext>
          </a:extLst>
        </xdr:cNvPr>
        <xdr:cNvSpPr txBox="1"/>
      </xdr:nvSpPr>
      <xdr:spPr>
        <a:xfrm>
          <a:off x="7452360" y="118110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6E018FED-53A2-4BF0-83EC-17170C685B2C}" type="TxLink">
            <a:rPr lang="en-US" sz="3200" b="0" i="0" u="none" strike="noStrike">
              <a:solidFill>
                <a:schemeClr val="bg1"/>
              </a:solidFill>
              <a:latin typeface="Aptos Narrow"/>
              <a:ea typeface="+mn-ea"/>
              <a:cs typeface="+mn-cs"/>
            </a:rPr>
            <a:pPr marL="0" indent="0" algn="r"/>
            <a:t>$400 000</a:t>
          </a:fld>
          <a:endParaRPr lang="ru-RU" sz="7200" b="0" i="0" u="none" strike="noStrike">
            <a:solidFill>
              <a:schemeClr val="bg1"/>
            </a:solidFill>
            <a:latin typeface="Aptos Narrow"/>
            <a:ea typeface="+mn-ea"/>
            <a:cs typeface="+mn-cs"/>
          </a:endParaRPr>
        </a:p>
      </xdr:txBody>
    </xdr:sp>
    <xdr:clientData/>
  </xdr:twoCellAnchor>
  <xdr:twoCellAnchor>
    <xdr:from>
      <xdr:col>12</xdr:col>
      <xdr:colOff>137160</xdr:colOff>
      <xdr:row>8</xdr:row>
      <xdr:rowOff>160020</xdr:rowOff>
    </xdr:from>
    <xdr:to>
      <xdr:col>15</xdr:col>
      <xdr:colOff>342900</xdr:colOff>
      <xdr:row>12</xdr:row>
      <xdr:rowOff>68580</xdr:rowOff>
    </xdr:to>
    <xdr:sp macro="" textlink="Processing!N3">
      <xdr:nvSpPr>
        <xdr:cNvPr id="46" name="TextBox 45">
          <a:extLst>
            <a:ext uri="{FF2B5EF4-FFF2-40B4-BE49-F238E27FC236}">
              <a16:creationId xmlns:a16="http://schemas.microsoft.com/office/drawing/2014/main" id="{372012D5-C748-49DA-8B38-ED07C29DCE85}"/>
            </a:ext>
          </a:extLst>
        </xdr:cNvPr>
        <xdr:cNvSpPr txBox="1"/>
      </xdr:nvSpPr>
      <xdr:spPr>
        <a:xfrm>
          <a:off x="7452360" y="1623060"/>
          <a:ext cx="2034540"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CF0C5FA-332D-4C23-AD60-50F782A2FC7A}" type="TxLink">
            <a:rPr lang="en-US" sz="2400" b="0" i="0" u="none" strike="noStrike">
              <a:solidFill>
                <a:schemeClr val="accent5">
                  <a:lumMod val="40000"/>
                  <a:lumOff val="60000"/>
                </a:schemeClr>
              </a:solidFill>
              <a:latin typeface="Aptos Narrow"/>
              <a:ea typeface="+mn-ea"/>
              <a:cs typeface="+mn-cs"/>
            </a:rPr>
            <a:pPr marL="0" indent="0" algn="r"/>
            <a:t>-$251 709</a:t>
          </a:fld>
          <a:endParaRPr lang="ru-RU" sz="16600" b="0" i="0" u="none" strike="noStrike">
            <a:solidFill>
              <a:schemeClr val="accent5">
                <a:lumMod val="40000"/>
                <a:lumOff val="60000"/>
              </a:schemeClr>
            </a:solidFill>
            <a:latin typeface="Aptos Narrow"/>
            <a:ea typeface="+mn-ea"/>
            <a:cs typeface="+mn-cs"/>
          </a:endParaRPr>
        </a:p>
      </xdr:txBody>
    </xdr:sp>
    <xdr:clientData/>
  </xdr:twoCellAnchor>
  <xdr:twoCellAnchor>
    <xdr:from>
      <xdr:col>11</xdr:col>
      <xdr:colOff>518160</xdr:colOff>
      <xdr:row>7</xdr:row>
      <xdr:rowOff>144780</xdr:rowOff>
    </xdr:from>
    <xdr:to>
      <xdr:col>13</xdr:col>
      <xdr:colOff>15240</xdr:colOff>
      <xdr:row>9</xdr:row>
      <xdr:rowOff>121920</xdr:rowOff>
    </xdr:to>
    <xdr:sp macro="" textlink="Processing!M2">
      <xdr:nvSpPr>
        <xdr:cNvPr id="47" name="TextBox 46">
          <a:extLst>
            <a:ext uri="{FF2B5EF4-FFF2-40B4-BE49-F238E27FC236}">
              <a16:creationId xmlns:a16="http://schemas.microsoft.com/office/drawing/2014/main" id="{9186D0AC-8AF3-45D9-908A-2F6F1AF6BDD2}"/>
            </a:ext>
          </a:extLst>
        </xdr:cNvPr>
        <xdr:cNvSpPr txBox="1"/>
      </xdr:nvSpPr>
      <xdr:spPr>
        <a:xfrm>
          <a:off x="7223760" y="142494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DA66F0F2-DD26-427E-8D67-676EBE9B0026}" type="TxLink">
            <a:rPr lang="en-US" sz="1100" b="0" i="0" u="none" strike="noStrike">
              <a:solidFill>
                <a:schemeClr val="bg1"/>
              </a:solidFill>
              <a:latin typeface="Aptos Narrow"/>
              <a:ea typeface="+mn-ea"/>
              <a:cs typeface="+mn-cs"/>
            </a:rPr>
            <a:pPr marL="0" indent="0" algn="l"/>
            <a:t>Budget</a:t>
          </a:fld>
          <a:endParaRPr lang="ru-RU" sz="4000" b="0" i="0" u="none" strike="noStrike">
            <a:solidFill>
              <a:schemeClr val="bg1"/>
            </a:solidFill>
            <a:latin typeface="Aptos Narrow"/>
            <a:ea typeface="+mn-ea"/>
            <a:cs typeface="+mn-cs"/>
          </a:endParaRPr>
        </a:p>
      </xdr:txBody>
    </xdr:sp>
    <xdr:clientData/>
  </xdr:twoCellAnchor>
  <xdr:twoCellAnchor>
    <xdr:from>
      <xdr:col>11</xdr:col>
      <xdr:colOff>533400</xdr:colOff>
      <xdr:row>9</xdr:row>
      <xdr:rowOff>129540</xdr:rowOff>
    </xdr:from>
    <xdr:to>
      <xdr:col>13</xdr:col>
      <xdr:colOff>30480</xdr:colOff>
      <xdr:row>11</xdr:row>
      <xdr:rowOff>106680</xdr:rowOff>
    </xdr:to>
    <xdr:sp macro="" textlink="Processing!N2">
      <xdr:nvSpPr>
        <xdr:cNvPr id="48" name="TextBox 47">
          <a:extLst>
            <a:ext uri="{FF2B5EF4-FFF2-40B4-BE49-F238E27FC236}">
              <a16:creationId xmlns:a16="http://schemas.microsoft.com/office/drawing/2014/main" id="{EBB443C7-F4CA-4624-A236-C70FA454F553}"/>
            </a:ext>
          </a:extLst>
        </xdr:cNvPr>
        <xdr:cNvSpPr txBox="1"/>
      </xdr:nvSpPr>
      <xdr:spPr>
        <a:xfrm>
          <a:off x="7239000" y="1775460"/>
          <a:ext cx="716280" cy="342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3EC89C0B-96B6-449C-AC24-8E9F7D68E581}" type="TxLink">
            <a:rPr lang="en-US" sz="1100" b="0" i="0" u="none" strike="noStrike">
              <a:solidFill>
                <a:schemeClr val="bg1"/>
              </a:solidFill>
              <a:latin typeface="Aptos Narrow"/>
              <a:ea typeface="+mn-ea"/>
              <a:cs typeface="+mn-cs"/>
            </a:rPr>
            <a:pPr marL="0" indent="0" algn="l"/>
            <a:t>Cost</a:t>
          </a:fld>
          <a:endParaRPr lang="ru-RU" sz="4800" b="0" i="0" u="none" strike="noStrike">
            <a:solidFill>
              <a:schemeClr val="bg1"/>
            </a:solidFill>
            <a:latin typeface="Aptos Narrow"/>
            <a:ea typeface="+mn-ea"/>
            <a:cs typeface="+mn-cs"/>
          </a:endParaRPr>
        </a:p>
      </xdr:txBody>
    </xdr:sp>
    <xdr:clientData/>
  </xdr:twoCellAnchor>
  <xdr:twoCellAnchor editAs="oneCell">
    <xdr:from>
      <xdr:col>3</xdr:col>
      <xdr:colOff>434340</xdr:colOff>
      <xdr:row>3</xdr:row>
      <xdr:rowOff>45720</xdr:rowOff>
    </xdr:from>
    <xdr:to>
      <xdr:col>6</xdr:col>
      <xdr:colOff>434340</xdr:colOff>
      <xdr:row>5</xdr:row>
      <xdr:rowOff>109728</xdr:rowOff>
    </xdr:to>
    <mc:AlternateContent xmlns:mc="http://schemas.openxmlformats.org/markup-compatibility/2006" xmlns:a14="http://schemas.microsoft.com/office/drawing/2010/main">
      <mc:Choice Requires="a14">
        <xdr:graphicFrame macro="">
          <xdr:nvGraphicFramePr>
            <xdr:cNvPr id="49" name="Year 3">
              <a:extLst>
                <a:ext uri="{FF2B5EF4-FFF2-40B4-BE49-F238E27FC236}">
                  <a16:creationId xmlns:a16="http://schemas.microsoft.com/office/drawing/2014/main" id="{160BCB5B-95B7-4799-8B73-9618298ABF5F}"/>
                </a:ext>
              </a:extLst>
            </xdr:cNvPr>
            <xdr:cNvGraphicFramePr/>
          </xdr:nvGraphicFramePr>
          <xdr:xfrm>
            <a:off x="0" y="0"/>
            <a:ext cx="0" cy="0"/>
          </xdr:xfrm>
          <a:graphic>
            <a:graphicData uri="http://schemas.microsoft.com/office/drawing/2010/slicer">
              <sle:slicer xmlns:sle="http://schemas.microsoft.com/office/drawing/2010/slicer" name="Year 3"/>
            </a:graphicData>
          </a:graphic>
        </xdr:graphicFrame>
      </mc:Choice>
      <mc:Fallback xmlns="">
        <xdr:sp macro="" textlink="">
          <xdr:nvSpPr>
            <xdr:cNvPr id="0" name=""/>
            <xdr:cNvSpPr>
              <a:spLocks noTextEdit="1"/>
            </xdr:cNvSpPr>
          </xdr:nvSpPr>
          <xdr:spPr>
            <a:xfrm>
              <a:off x="2263140" y="594360"/>
              <a:ext cx="182880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551688</xdr:colOff>
      <xdr:row>23</xdr:row>
      <xdr:rowOff>60960</xdr:rowOff>
    </xdr:from>
    <xdr:to>
      <xdr:col>19</xdr:col>
      <xdr:colOff>429768</xdr:colOff>
      <xdr:row>25</xdr:row>
      <xdr:rowOff>124968</xdr:rowOff>
    </xdr:to>
    <mc:AlternateContent xmlns:mc="http://schemas.openxmlformats.org/markup-compatibility/2006" xmlns:a14="http://schemas.microsoft.com/office/drawing/2010/main">
      <mc:Choice Requires="a14">
        <xdr:graphicFrame macro="">
          <xdr:nvGraphicFramePr>
            <xdr:cNvPr id="50" name="Month 3">
              <a:extLst>
                <a:ext uri="{FF2B5EF4-FFF2-40B4-BE49-F238E27FC236}">
                  <a16:creationId xmlns:a16="http://schemas.microsoft.com/office/drawing/2014/main" id="{3C0593E1-3136-4323-A0F5-04B8A5D47A22}"/>
                </a:ext>
              </a:extLst>
            </xdr:cNvPr>
            <xdr:cNvGraphicFramePr/>
          </xdr:nvGraphicFramePr>
          <xdr:xfrm>
            <a:off x="0" y="0"/>
            <a:ext cx="0" cy="0"/>
          </xdr:xfrm>
          <a:graphic>
            <a:graphicData uri="http://schemas.microsoft.com/office/drawing/2010/slicer">
              <sle:slicer xmlns:sle="http://schemas.microsoft.com/office/drawing/2010/slicer" name="Month 3"/>
            </a:graphicData>
          </a:graphic>
        </xdr:graphicFrame>
      </mc:Choice>
      <mc:Fallback xmlns="">
        <xdr:sp macro="" textlink="">
          <xdr:nvSpPr>
            <xdr:cNvPr id="0" name=""/>
            <xdr:cNvSpPr>
              <a:spLocks noTextEdit="1"/>
            </xdr:cNvSpPr>
          </xdr:nvSpPr>
          <xdr:spPr>
            <a:xfrm>
              <a:off x="7257288" y="4267200"/>
              <a:ext cx="4754880" cy="429768"/>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220980</xdr:colOff>
      <xdr:row>27</xdr:row>
      <xdr:rowOff>38100</xdr:rowOff>
    </xdr:from>
    <xdr:to>
      <xdr:col>15</xdr:col>
      <xdr:colOff>60960</xdr:colOff>
      <xdr:row>29</xdr:row>
      <xdr:rowOff>7620</xdr:rowOff>
    </xdr:to>
    <xdr:sp macro="" textlink="Processing!G7">
      <xdr:nvSpPr>
        <xdr:cNvPr id="52" name="TextBox 51">
          <a:extLst>
            <a:ext uri="{FF2B5EF4-FFF2-40B4-BE49-F238E27FC236}">
              <a16:creationId xmlns:a16="http://schemas.microsoft.com/office/drawing/2014/main" id="{ED51623C-1726-4681-8118-2508616CC9E4}"/>
            </a:ext>
          </a:extLst>
        </xdr:cNvPr>
        <xdr:cNvSpPr txBox="1"/>
      </xdr:nvSpPr>
      <xdr:spPr>
        <a:xfrm>
          <a:off x="7536180" y="49758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882DA-B714-4953-B768-C0F4C0048482}" type="TxLink">
            <a:rPr lang="en-US" sz="1400" b="0" i="0" u="none" strike="noStrike">
              <a:solidFill>
                <a:schemeClr val="bg1"/>
              </a:solidFill>
              <a:latin typeface="Aptos Narrow"/>
              <a:ea typeface="+mn-ea"/>
              <a:cs typeface="+mn-cs"/>
            </a:rPr>
            <a:pPr marL="0" indent="0" algn="ctr"/>
            <a:t>Probability of Risk</a:t>
          </a:fld>
          <a:endParaRPr lang="ru-RU" sz="2800" b="0" i="0" u="none" strike="noStrike">
            <a:solidFill>
              <a:schemeClr val="bg1"/>
            </a:solidFill>
            <a:latin typeface="Aptos Narrow"/>
            <a:ea typeface="+mn-ea"/>
            <a:cs typeface="+mn-cs"/>
          </a:endParaRPr>
        </a:p>
      </xdr:txBody>
    </xdr:sp>
    <xdr:clientData/>
  </xdr:twoCellAnchor>
  <xdr:twoCellAnchor>
    <xdr:from>
      <xdr:col>3</xdr:col>
      <xdr:colOff>250698</xdr:colOff>
      <xdr:row>15</xdr:row>
      <xdr:rowOff>99060</xdr:rowOff>
    </xdr:from>
    <xdr:to>
      <xdr:col>6</xdr:col>
      <xdr:colOff>90678</xdr:colOff>
      <xdr:row>17</xdr:row>
      <xdr:rowOff>68580</xdr:rowOff>
    </xdr:to>
    <xdr:sp macro="" textlink="Processing!G7">
      <xdr:nvSpPr>
        <xdr:cNvPr id="53" name="TextBox 52">
          <a:extLst>
            <a:ext uri="{FF2B5EF4-FFF2-40B4-BE49-F238E27FC236}">
              <a16:creationId xmlns:a16="http://schemas.microsoft.com/office/drawing/2014/main" id="{9976C0C5-2E7F-4D59-A27F-95F033D2845B}"/>
            </a:ext>
          </a:extLst>
        </xdr:cNvPr>
        <xdr:cNvSpPr txBox="1"/>
      </xdr:nvSpPr>
      <xdr:spPr>
        <a:xfrm>
          <a:off x="2079498" y="2842260"/>
          <a:ext cx="16687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51F882DA-B714-4953-B768-C0F4C0048482}" type="TxLink">
            <a:rPr lang="en-US" sz="1400" b="0" i="0" u="none" strike="noStrike">
              <a:solidFill>
                <a:schemeClr val="bg1"/>
              </a:solidFill>
              <a:latin typeface="Aptos Narrow"/>
              <a:ea typeface="+mn-ea"/>
              <a:cs typeface="+mn-cs"/>
            </a:rPr>
            <a:pPr marL="0" indent="0" algn="ctr"/>
            <a:t>Probability of Risk</a:t>
          </a:fld>
          <a:endParaRPr lang="ru-RU" sz="2800" b="0" i="0" u="none" strike="noStrike">
            <a:solidFill>
              <a:schemeClr val="bg1"/>
            </a:solidFill>
            <a:latin typeface="Aptos Narrow"/>
            <a:ea typeface="+mn-ea"/>
            <a:cs typeface="+mn-cs"/>
          </a:endParaRPr>
        </a:p>
      </xdr:txBody>
    </xdr:sp>
    <xdr:clientData/>
  </xdr:twoCellAnchor>
  <xdr:twoCellAnchor>
    <xdr:from>
      <xdr:col>11</xdr:col>
      <xdr:colOff>601980</xdr:colOff>
      <xdr:row>15</xdr:row>
      <xdr:rowOff>99060</xdr:rowOff>
    </xdr:from>
    <xdr:to>
      <xdr:col>14</xdr:col>
      <xdr:colOff>236220</xdr:colOff>
      <xdr:row>17</xdr:row>
      <xdr:rowOff>68580</xdr:rowOff>
    </xdr:to>
    <xdr:sp macro="" textlink="Processing!A30">
      <xdr:nvSpPr>
        <xdr:cNvPr id="57" name="TextBox 56">
          <a:extLst>
            <a:ext uri="{FF2B5EF4-FFF2-40B4-BE49-F238E27FC236}">
              <a16:creationId xmlns:a16="http://schemas.microsoft.com/office/drawing/2014/main" id="{69DA3F12-F36A-47EF-9EFF-B9D6029A3071}"/>
            </a:ext>
          </a:extLst>
        </xdr:cNvPr>
        <xdr:cNvSpPr txBox="1"/>
      </xdr:nvSpPr>
      <xdr:spPr>
        <a:xfrm>
          <a:off x="7307580" y="28422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20A6B1CF-986B-4FD1-B447-14AE1CCBDC6B}" type="TxLink">
            <a:rPr lang="en-US" sz="1400" b="0" i="0" u="none" strike="noStrike">
              <a:solidFill>
                <a:schemeClr val="bg1"/>
              </a:solidFill>
              <a:latin typeface="Aptos Narrow"/>
              <a:ea typeface="+mn-ea"/>
              <a:cs typeface="+mn-cs"/>
            </a:rPr>
            <a:pPr marL="0" indent="0" algn="l"/>
            <a:t>Monthly Expenses</a:t>
          </a:fld>
          <a:endParaRPr lang="ru-RU" sz="1400" b="0" i="0" u="none" strike="noStrike">
            <a:solidFill>
              <a:schemeClr val="bg1"/>
            </a:solidFill>
            <a:latin typeface="Aptos Narrow"/>
            <a:ea typeface="+mn-ea"/>
            <a:cs typeface="+mn-cs"/>
          </a:endParaRPr>
        </a:p>
      </xdr:txBody>
    </xdr:sp>
    <xdr:clientData/>
  </xdr:twoCellAnchor>
  <xdr:twoCellAnchor>
    <xdr:from>
      <xdr:col>17</xdr:col>
      <xdr:colOff>147136</xdr:colOff>
      <xdr:row>8</xdr:row>
      <xdr:rowOff>953</xdr:rowOff>
    </xdr:from>
    <xdr:to>
      <xdr:col>18</xdr:col>
      <xdr:colOff>393884</xdr:colOff>
      <xdr:row>10</xdr:row>
      <xdr:rowOff>6668</xdr:rowOff>
    </xdr:to>
    <xdr:sp macro="" textlink="Processing!N1">
      <xdr:nvSpPr>
        <xdr:cNvPr id="60" name="TextBox 59">
          <a:extLst>
            <a:ext uri="{FF2B5EF4-FFF2-40B4-BE49-F238E27FC236}">
              <a16:creationId xmlns:a16="http://schemas.microsoft.com/office/drawing/2014/main" id="{927A0F62-3D45-4341-957A-B4FF4D0EF21F}"/>
            </a:ext>
          </a:extLst>
        </xdr:cNvPr>
        <xdr:cNvSpPr txBox="1"/>
      </xdr:nvSpPr>
      <xdr:spPr>
        <a:xfrm>
          <a:off x="10510336" y="146399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039BF496-A9D2-4E15-BCAB-39BC5804DCD2}" type="TxLink">
            <a:rPr lang="en-US" sz="2400" b="0" i="0" u="none" strike="noStrike">
              <a:solidFill>
                <a:schemeClr val="tx2">
                  <a:lumMod val="10000"/>
                  <a:lumOff val="90000"/>
                </a:schemeClr>
              </a:solidFill>
              <a:latin typeface="Aptos Narrow"/>
              <a:ea typeface="+mn-ea"/>
              <a:cs typeface="+mn-cs"/>
            </a:rPr>
            <a:pPr marL="0" indent="0" algn="ctr"/>
            <a:t>37%</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xdr:from>
      <xdr:col>17</xdr:col>
      <xdr:colOff>147136</xdr:colOff>
      <xdr:row>9</xdr:row>
      <xdr:rowOff>54293</xdr:rowOff>
    </xdr:from>
    <xdr:to>
      <xdr:col>18</xdr:col>
      <xdr:colOff>393884</xdr:colOff>
      <xdr:row>11</xdr:row>
      <xdr:rowOff>60008</xdr:rowOff>
    </xdr:to>
    <xdr:sp macro="" textlink="Processing!M2">
      <xdr:nvSpPr>
        <xdr:cNvPr id="61" name="TextBox 60">
          <a:extLst>
            <a:ext uri="{FF2B5EF4-FFF2-40B4-BE49-F238E27FC236}">
              <a16:creationId xmlns:a16="http://schemas.microsoft.com/office/drawing/2014/main" id="{CA92D8B8-182A-43D2-BBAF-090127EA743B}"/>
            </a:ext>
          </a:extLst>
        </xdr:cNvPr>
        <xdr:cNvSpPr txBox="1"/>
      </xdr:nvSpPr>
      <xdr:spPr>
        <a:xfrm>
          <a:off x="10510336" y="1700213"/>
          <a:ext cx="856348" cy="3714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975CF99-E146-4C69-9413-E960205988BC}" type="TxLink">
            <a:rPr lang="en-US" sz="1100" b="0" i="0" u="none" strike="noStrike">
              <a:solidFill>
                <a:schemeClr val="tx2">
                  <a:lumMod val="10000"/>
                  <a:lumOff val="90000"/>
                </a:schemeClr>
              </a:solidFill>
              <a:latin typeface="Aptos Narrow"/>
              <a:ea typeface="+mn-ea"/>
              <a:cs typeface="+mn-cs"/>
            </a:rPr>
            <a:pPr marL="0" indent="0" algn="ctr"/>
            <a:t>Budget</a:t>
          </a:fld>
          <a:endParaRPr lang="ru-RU" sz="3200" b="0" i="0" u="none" strike="noStrike">
            <a:solidFill>
              <a:schemeClr val="tx2">
                <a:lumMod val="10000"/>
                <a:lumOff val="90000"/>
              </a:schemeClr>
            </a:solidFill>
            <a:latin typeface="Aptos Narrow"/>
            <a:ea typeface="+mn-ea"/>
            <a:cs typeface="+mn-cs"/>
          </a:endParaRPr>
        </a:p>
      </xdr:txBody>
    </xdr:sp>
    <xdr:clientData/>
  </xdr:twoCellAnchor>
  <xdr:twoCellAnchor>
    <xdr:from>
      <xdr:col>15</xdr:col>
      <xdr:colOff>582168</xdr:colOff>
      <xdr:row>26</xdr:row>
      <xdr:rowOff>160020</xdr:rowOff>
    </xdr:from>
    <xdr:to>
      <xdr:col>19</xdr:col>
      <xdr:colOff>521208</xdr:colOff>
      <xdr:row>37</xdr:row>
      <xdr:rowOff>68580</xdr:rowOff>
    </xdr:to>
    <xdr:grpSp>
      <xdr:nvGrpSpPr>
        <xdr:cNvPr id="69" name="Group 68">
          <a:extLst>
            <a:ext uri="{FF2B5EF4-FFF2-40B4-BE49-F238E27FC236}">
              <a16:creationId xmlns:a16="http://schemas.microsoft.com/office/drawing/2014/main" id="{837D5166-8938-143D-9063-ECDB3D286C48}"/>
            </a:ext>
          </a:extLst>
        </xdr:cNvPr>
        <xdr:cNvGrpSpPr/>
      </xdr:nvGrpSpPr>
      <xdr:grpSpPr>
        <a:xfrm>
          <a:off x="9472168" y="5113020"/>
          <a:ext cx="2309707" cy="2004060"/>
          <a:chOff x="5514594" y="4907280"/>
          <a:chExt cx="2377440" cy="1920240"/>
        </a:xfrm>
      </xdr:grpSpPr>
      <xdr:sp macro="" textlink="">
        <xdr:nvSpPr>
          <xdr:cNvPr id="18" name="Rectangle: Rounded Corners 17">
            <a:extLst>
              <a:ext uri="{FF2B5EF4-FFF2-40B4-BE49-F238E27FC236}">
                <a16:creationId xmlns:a16="http://schemas.microsoft.com/office/drawing/2014/main" id="{16568A8C-7D18-485B-BC54-3C7FE691538E}"/>
              </a:ext>
            </a:extLst>
          </xdr:cNvPr>
          <xdr:cNvSpPr/>
        </xdr:nvSpPr>
        <xdr:spPr>
          <a:xfrm>
            <a:off x="5514594" y="4907280"/>
            <a:ext cx="2377440" cy="1920240"/>
          </a:xfrm>
          <a:prstGeom prst="roundRect">
            <a:avLst>
              <a:gd name="adj" fmla="val 8874"/>
            </a:avLst>
          </a:prstGeom>
          <a:gradFill flip="none" rotWithShape="1">
            <a:gsLst>
              <a:gs pos="4000">
                <a:srgbClr val="0F0048"/>
              </a:gs>
              <a:gs pos="28000">
                <a:srgbClr val="0A002F"/>
              </a:gs>
            </a:gsLst>
            <a:lin ang="5400000" scaled="0"/>
            <a:tileRect/>
          </a:gradFill>
          <a:ln w="9525">
            <a:gradFill flip="none" rotWithShape="1">
              <a:gsLst>
                <a:gs pos="0">
                  <a:srgbClr val="2C48D4"/>
                </a:gs>
                <a:gs pos="39000">
                  <a:srgbClr val="171B61"/>
                </a:gs>
              </a:gsLst>
              <a:lin ang="7200000" scaled="0"/>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graphicFrame macro="">
        <xdr:nvGraphicFramePr>
          <xdr:cNvPr id="33" name="Chart 32">
            <a:extLst>
              <a:ext uri="{FF2B5EF4-FFF2-40B4-BE49-F238E27FC236}">
                <a16:creationId xmlns:a16="http://schemas.microsoft.com/office/drawing/2014/main" id="{174C8D3D-2A5D-41AF-A380-744F5CCFBFB7}"/>
              </a:ext>
            </a:extLst>
          </xdr:cNvPr>
          <xdr:cNvGraphicFramePr>
            <a:graphicFrameLocks/>
          </xdr:cNvGraphicFramePr>
        </xdr:nvGraphicFramePr>
        <xdr:xfrm>
          <a:off x="5607268" y="5377094"/>
          <a:ext cx="2259724" cy="1415742"/>
        </xdr:xfrm>
        <a:graphic>
          <a:graphicData uri="http://schemas.openxmlformats.org/drawingml/2006/chart">
            <c:chart xmlns:c="http://schemas.openxmlformats.org/drawingml/2006/chart" xmlns:r="http://schemas.openxmlformats.org/officeDocument/2006/relationships" r:id="rId6"/>
          </a:graphicData>
        </a:graphic>
      </xdr:graphicFrame>
      <xdr:sp macro="" textlink="">
        <xdr:nvSpPr>
          <xdr:cNvPr id="34" name="Freeform: Shape 33">
            <a:extLst>
              <a:ext uri="{FF2B5EF4-FFF2-40B4-BE49-F238E27FC236}">
                <a16:creationId xmlns:a16="http://schemas.microsoft.com/office/drawing/2014/main" id="{585DCC52-1FF6-459F-960D-976320842EC2}"/>
              </a:ext>
            </a:extLst>
          </xdr:cNvPr>
          <xdr:cNvSpPr/>
        </xdr:nvSpPr>
        <xdr:spPr>
          <a:xfrm>
            <a:off x="5586862" y="5445411"/>
            <a:ext cx="2280743" cy="1300729"/>
          </a:xfrm>
          <a:custGeom>
            <a:avLst/>
            <a:gdLst>
              <a:gd name="connsiteX0" fmla="*/ 2280492 w 2280745"/>
              <a:gd name="connsiteY0" fmla="*/ 0 h 1308087"/>
              <a:gd name="connsiteX1" fmla="*/ 2280693 w 2280745"/>
              <a:gd name="connsiteY1" fmla="*/ 1209940 h 1308087"/>
              <a:gd name="connsiteX2" fmla="*/ 2280745 w 2280745"/>
              <a:gd name="connsiteY2" fmla="*/ 1209940 h 1308087"/>
              <a:gd name="connsiteX3" fmla="*/ 2280745 w 2280745"/>
              <a:gd name="connsiteY3" fmla="*/ 1308087 h 1308087"/>
              <a:gd name="connsiteX4" fmla="*/ 0 w 2280745"/>
              <a:gd name="connsiteY4" fmla="*/ 1308087 h 1308087"/>
              <a:gd name="connsiteX5" fmla="*/ 0 w 2280745"/>
              <a:gd name="connsiteY5" fmla="*/ 1209940 h 1308087"/>
              <a:gd name="connsiteX6" fmla="*/ 1497 w 2280745"/>
              <a:gd name="connsiteY6" fmla="*/ 1209940 h 1308087"/>
              <a:gd name="connsiteX7" fmla="*/ 2103 w 2280745"/>
              <a:gd name="connsiteY7" fmla="*/ 757034 h 1308087"/>
              <a:gd name="connsiteX8" fmla="*/ 3107 w 2280745"/>
              <a:gd name="connsiteY8" fmla="*/ 8436 h 1308087"/>
              <a:gd name="connsiteX9" fmla="*/ 2280492 w 2280745"/>
              <a:gd name="connsiteY9" fmla="*/ 0 h 1308087"/>
              <a:gd name="connsiteX10" fmla="*/ 303668 w 2280745"/>
              <a:gd name="connsiteY10" fmla="*/ 96739 h 1308087"/>
              <a:gd name="connsiteX11" fmla="*/ 284721 w 2280745"/>
              <a:gd name="connsiteY11" fmla="*/ 113235 h 1308087"/>
              <a:gd name="connsiteX12" fmla="*/ 303668 w 2280745"/>
              <a:gd name="connsiteY12" fmla="*/ 129731 h 1308087"/>
              <a:gd name="connsiteX13" fmla="*/ 322614 w 2280745"/>
              <a:gd name="connsiteY13" fmla="*/ 113235 h 1308087"/>
              <a:gd name="connsiteX14" fmla="*/ 303668 w 2280745"/>
              <a:gd name="connsiteY14" fmla="*/ 96739 h 1308087"/>
              <a:gd name="connsiteX15" fmla="*/ 503662 w 2280745"/>
              <a:gd name="connsiteY15" fmla="*/ 96739 h 1308087"/>
              <a:gd name="connsiteX16" fmla="*/ 484717 w 2280745"/>
              <a:gd name="connsiteY16" fmla="*/ 113235 h 1308087"/>
              <a:gd name="connsiteX17" fmla="*/ 503662 w 2280745"/>
              <a:gd name="connsiteY17" fmla="*/ 129731 h 1308087"/>
              <a:gd name="connsiteX18" fmla="*/ 522607 w 2280745"/>
              <a:gd name="connsiteY18" fmla="*/ 113235 h 1308087"/>
              <a:gd name="connsiteX19" fmla="*/ 503662 w 2280745"/>
              <a:gd name="connsiteY19" fmla="*/ 96739 h 1308087"/>
              <a:gd name="connsiteX20" fmla="*/ 703653 w 2280745"/>
              <a:gd name="connsiteY20" fmla="*/ 96739 h 1308087"/>
              <a:gd name="connsiteX21" fmla="*/ 684709 w 2280745"/>
              <a:gd name="connsiteY21" fmla="*/ 113235 h 1308087"/>
              <a:gd name="connsiteX22" fmla="*/ 703653 w 2280745"/>
              <a:gd name="connsiteY22" fmla="*/ 129731 h 1308087"/>
              <a:gd name="connsiteX23" fmla="*/ 722600 w 2280745"/>
              <a:gd name="connsiteY23" fmla="*/ 113235 h 1308087"/>
              <a:gd name="connsiteX24" fmla="*/ 703653 w 2280745"/>
              <a:gd name="connsiteY24" fmla="*/ 96739 h 1308087"/>
              <a:gd name="connsiteX25" fmla="*/ 903646 w 2280745"/>
              <a:gd name="connsiteY25" fmla="*/ 96739 h 1308087"/>
              <a:gd name="connsiteX26" fmla="*/ 884701 w 2280745"/>
              <a:gd name="connsiteY26" fmla="*/ 113235 h 1308087"/>
              <a:gd name="connsiteX27" fmla="*/ 903646 w 2280745"/>
              <a:gd name="connsiteY27" fmla="*/ 129731 h 1308087"/>
              <a:gd name="connsiteX28" fmla="*/ 922591 w 2280745"/>
              <a:gd name="connsiteY28" fmla="*/ 113235 h 1308087"/>
              <a:gd name="connsiteX29" fmla="*/ 903646 w 2280745"/>
              <a:gd name="connsiteY29" fmla="*/ 96739 h 1308087"/>
              <a:gd name="connsiteX30" fmla="*/ 1103638 w 2280745"/>
              <a:gd name="connsiteY30" fmla="*/ 96739 h 1308087"/>
              <a:gd name="connsiteX31" fmla="*/ 1084694 w 2280745"/>
              <a:gd name="connsiteY31" fmla="*/ 113235 h 1308087"/>
              <a:gd name="connsiteX32" fmla="*/ 1103638 w 2280745"/>
              <a:gd name="connsiteY32" fmla="*/ 129731 h 1308087"/>
              <a:gd name="connsiteX33" fmla="*/ 1122584 w 2280745"/>
              <a:gd name="connsiteY33" fmla="*/ 113235 h 1308087"/>
              <a:gd name="connsiteX34" fmla="*/ 1103638 w 2280745"/>
              <a:gd name="connsiteY34" fmla="*/ 96739 h 1308087"/>
              <a:gd name="connsiteX35" fmla="*/ 1303631 w 2280745"/>
              <a:gd name="connsiteY35" fmla="*/ 96739 h 1308087"/>
              <a:gd name="connsiteX36" fmla="*/ 1284685 w 2280745"/>
              <a:gd name="connsiteY36" fmla="*/ 113235 h 1308087"/>
              <a:gd name="connsiteX37" fmla="*/ 1303631 w 2280745"/>
              <a:gd name="connsiteY37" fmla="*/ 129731 h 1308087"/>
              <a:gd name="connsiteX38" fmla="*/ 1322576 w 2280745"/>
              <a:gd name="connsiteY38" fmla="*/ 113235 h 1308087"/>
              <a:gd name="connsiteX39" fmla="*/ 1303631 w 2280745"/>
              <a:gd name="connsiteY39" fmla="*/ 96739 h 1308087"/>
              <a:gd name="connsiteX40" fmla="*/ 1505923 w 2280745"/>
              <a:gd name="connsiteY40" fmla="*/ 96739 h 1308087"/>
              <a:gd name="connsiteX41" fmla="*/ 1486979 w 2280745"/>
              <a:gd name="connsiteY41" fmla="*/ 113235 h 1308087"/>
              <a:gd name="connsiteX42" fmla="*/ 1505923 w 2280745"/>
              <a:gd name="connsiteY42" fmla="*/ 129731 h 1308087"/>
              <a:gd name="connsiteX43" fmla="*/ 1524868 w 2280745"/>
              <a:gd name="connsiteY43" fmla="*/ 113235 h 1308087"/>
              <a:gd name="connsiteX44" fmla="*/ 1505923 w 2280745"/>
              <a:gd name="connsiteY44" fmla="*/ 96739 h 1308087"/>
              <a:gd name="connsiteX45" fmla="*/ 1703085 w 2280745"/>
              <a:gd name="connsiteY45" fmla="*/ 96739 h 1308087"/>
              <a:gd name="connsiteX46" fmla="*/ 1684140 w 2280745"/>
              <a:gd name="connsiteY46" fmla="*/ 113235 h 1308087"/>
              <a:gd name="connsiteX47" fmla="*/ 1703085 w 2280745"/>
              <a:gd name="connsiteY47" fmla="*/ 129731 h 1308087"/>
              <a:gd name="connsiteX48" fmla="*/ 1722031 w 2280745"/>
              <a:gd name="connsiteY48" fmla="*/ 113235 h 1308087"/>
              <a:gd name="connsiteX49" fmla="*/ 1703085 w 2280745"/>
              <a:gd name="connsiteY49" fmla="*/ 96739 h 1308087"/>
              <a:gd name="connsiteX50" fmla="*/ 1905908 w 2280745"/>
              <a:gd name="connsiteY50" fmla="*/ 96739 h 1308087"/>
              <a:gd name="connsiteX51" fmla="*/ 1886962 w 2280745"/>
              <a:gd name="connsiteY51" fmla="*/ 113235 h 1308087"/>
              <a:gd name="connsiteX52" fmla="*/ 1905908 w 2280745"/>
              <a:gd name="connsiteY52" fmla="*/ 129731 h 1308087"/>
              <a:gd name="connsiteX53" fmla="*/ 1924855 w 2280745"/>
              <a:gd name="connsiteY53" fmla="*/ 113235 h 1308087"/>
              <a:gd name="connsiteX54" fmla="*/ 1905908 w 2280745"/>
              <a:gd name="connsiteY54" fmla="*/ 96739 h 1308087"/>
              <a:gd name="connsiteX55" fmla="*/ 2105231 w 2280745"/>
              <a:gd name="connsiteY55" fmla="*/ 96739 h 1308087"/>
              <a:gd name="connsiteX56" fmla="*/ 2086286 w 2280745"/>
              <a:gd name="connsiteY56" fmla="*/ 113235 h 1308087"/>
              <a:gd name="connsiteX57" fmla="*/ 2105231 w 2280745"/>
              <a:gd name="connsiteY57" fmla="*/ 129731 h 1308087"/>
              <a:gd name="connsiteX58" fmla="*/ 2124177 w 2280745"/>
              <a:gd name="connsiteY58" fmla="*/ 113235 h 1308087"/>
              <a:gd name="connsiteX59" fmla="*/ 2105231 w 2280745"/>
              <a:gd name="connsiteY59" fmla="*/ 96739 h 1308087"/>
              <a:gd name="connsiteX60" fmla="*/ 280058 w 2280745"/>
              <a:gd name="connsiteY60" fmla="*/ 133396 h 1308087"/>
              <a:gd name="connsiteX61" fmla="*/ 280058 w 2280745"/>
              <a:gd name="connsiteY61" fmla="*/ 133621 h 1308087"/>
              <a:gd name="connsiteX62" fmla="*/ 279441 w 2280745"/>
              <a:gd name="connsiteY62" fmla="*/ 133589 h 1308087"/>
              <a:gd name="connsiteX63" fmla="*/ 272279 w 2280745"/>
              <a:gd name="connsiteY63" fmla="*/ 139098 h 1308087"/>
              <a:gd name="connsiteX64" fmla="*/ 255797 w 2280745"/>
              <a:gd name="connsiteY64" fmla="*/ 192653 h 1308087"/>
              <a:gd name="connsiteX65" fmla="*/ 261911 w 2280745"/>
              <a:gd name="connsiteY65" fmla="*/ 201873 h 1308087"/>
              <a:gd name="connsiteX66" fmla="*/ 263944 w 2280745"/>
              <a:gd name="connsiteY66" fmla="*/ 202347 h 1308087"/>
              <a:gd name="connsiteX67" fmla="*/ 274533 w 2280745"/>
              <a:gd name="connsiteY67" fmla="*/ 197025 h 1308087"/>
              <a:gd name="connsiteX68" fmla="*/ 280058 w 2280745"/>
              <a:gd name="connsiteY68" fmla="*/ 179069 h 1308087"/>
              <a:gd name="connsiteX69" fmla="*/ 280058 w 2280745"/>
              <a:gd name="connsiteY69" fmla="*/ 199255 h 1308087"/>
              <a:gd name="connsiteX70" fmla="*/ 280058 w 2280745"/>
              <a:gd name="connsiteY70" fmla="*/ 205866 h 1308087"/>
              <a:gd name="connsiteX71" fmla="*/ 280058 w 2280745"/>
              <a:gd name="connsiteY71" fmla="*/ 254698 h 1308087"/>
              <a:gd name="connsiteX72" fmla="*/ 288705 w 2280745"/>
              <a:gd name="connsiteY72" fmla="*/ 262227 h 1308087"/>
              <a:gd name="connsiteX73" fmla="*/ 290809 w 2280745"/>
              <a:gd name="connsiteY73" fmla="*/ 262227 h 1308087"/>
              <a:gd name="connsiteX74" fmla="*/ 299455 w 2280745"/>
              <a:gd name="connsiteY74" fmla="*/ 254698 h 1308087"/>
              <a:gd name="connsiteX75" fmla="*/ 299455 w 2280745"/>
              <a:gd name="connsiteY75" fmla="*/ 205866 h 1308087"/>
              <a:gd name="connsiteX76" fmla="*/ 306898 w 2280745"/>
              <a:gd name="connsiteY76" fmla="*/ 205866 h 1308087"/>
              <a:gd name="connsiteX77" fmla="*/ 306898 w 2280745"/>
              <a:gd name="connsiteY77" fmla="*/ 254698 h 1308087"/>
              <a:gd name="connsiteX78" fmla="*/ 315544 w 2280745"/>
              <a:gd name="connsiteY78" fmla="*/ 262227 h 1308087"/>
              <a:gd name="connsiteX79" fmla="*/ 317649 w 2280745"/>
              <a:gd name="connsiteY79" fmla="*/ 262227 h 1308087"/>
              <a:gd name="connsiteX80" fmla="*/ 326293 w 2280745"/>
              <a:gd name="connsiteY80" fmla="*/ 254698 h 1308087"/>
              <a:gd name="connsiteX81" fmla="*/ 326293 w 2280745"/>
              <a:gd name="connsiteY81" fmla="*/ 205866 h 1308087"/>
              <a:gd name="connsiteX82" fmla="*/ 326293 w 2280745"/>
              <a:gd name="connsiteY82" fmla="*/ 199255 h 1308087"/>
              <a:gd name="connsiteX83" fmla="*/ 326293 w 2280745"/>
              <a:gd name="connsiteY83" fmla="*/ 181262 h 1308087"/>
              <a:gd name="connsiteX84" fmla="*/ 331145 w 2280745"/>
              <a:gd name="connsiteY84" fmla="*/ 197025 h 1308087"/>
              <a:gd name="connsiteX85" fmla="*/ 341734 w 2280745"/>
              <a:gd name="connsiteY85" fmla="*/ 202347 h 1308087"/>
              <a:gd name="connsiteX86" fmla="*/ 343767 w 2280745"/>
              <a:gd name="connsiteY86" fmla="*/ 201873 h 1308087"/>
              <a:gd name="connsiteX87" fmla="*/ 349881 w 2280745"/>
              <a:gd name="connsiteY87" fmla="*/ 192653 h 1308087"/>
              <a:gd name="connsiteX88" fmla="*/ 333400 w 2280745"/>
              <a:gd name="connsiteY88" fmla="*/ 139098 h 1308087"/>
              <a:gd name="connsiteX89" fmla="*/ 330722 w 2280745"/>
              <a:gd name="connsiteY89" fmla="*/ 135365 h 1308087"/>
              <a:gd name="connsiteX90" fmla="*/ 326293 w 2280745"/>
              <a:gd name="connsiteY90" fmla="*/ 133610 h 1308087"/>
              <a:gd name="connsiteX91" fmla="*/ 326293 w 2280745"/>
              <a:gd name="connsiteY91" fmla="*/ 133396 h 1308087"/>
              <a:gd name="connsiteX92" fmla="*/ 280058 w 2280745"/>
              <a:gd name="connsiteY92" fmla="*/ 133396 h 1308087"/>
              <a:gd name="connsiteX93" fmla="*/ 480053 w 2280745"/>
              <a:gd name="connsiteY93" fmla="*/ 133396 h 1308087"/>
              <a:gd name="connsiteX94" fmla="*/ 480053 w 2280745"/>
              <a:gd name="connsiteY94" fmla="*/ 133621 h 1308087"/>
              <a:gd name="connsiteX95" fmla="*/ 479436 w 2280745"/>
              <a:gd name="connsiteY95" fmla="*/ 133589 h 1308087"/>
              <a:gd name="connsiteX96" fmla="*/ 472272 w 2280745"/>
              <a:gd name="connsiteY96" fmla="*/ 139098 h 1308087"/>
              <a:gd name="connsiteX97" fmla="*/ 455791 w 2280745"/>
              <a:gd name="connsiteY97" fmla="*/ 192653 h 1308087"/>
              <a:gd name="connsiteX98" fmla="*/ 461906 w 2280745"/>
              <a:gd name="connsiteY98" fmla="*/ 201873 h 1308087"/>
              <a:gd name="connsiteX99" fmla="*/ 463938 w 2280745"/>
              <a:gd name="connsiteY99" fmla="*/ 202347 h 1308087"/>
              <a:gd name="connsiteX100" fmla="*/ 474527 w 2280745"/>
              <a:gd name="connsiteY100" fmla="*/ 197025 h 1308087"/>
              <a:gd name="connsiteX101" fmla="*/ 480053 w 2280745"/>
              <a:gd name="connsiteY101" fmla="*/ 179069 h 1308087"/>
              <a:gd name="connsiteX102" fmla="*/ 480053 w 2280745"/>
              <a:gd name="connsiteY102" fmla="*/ 199255 h 1308087"/>
              <a:gd name="connsiteX103" fmla="*/ 480053 w 2280745"/>
              <a:gd name="connsiteY103" fmla="*/ 205866 h 1308087"/>
              <a:gd name="connsiteX104" fmla="*/ 480053 w 2280745"/>
              <a:gd name="connsiteY104" fmla="*/ 254698 h 1308087"/>
              <a:gd name="connsiteX105" fmla="*/ 488698 w 2280745"/>
              <a:gd name="connsiteY105" fmla="*/ 262227 h 1308087"/>
              <a:gd name="connsiteX106" fmla="*/ 490804 w 2280745"/>
              <a:gd name="connsiteY106" fmla="*/ 262227 h 1308087"/>
              <a:gd name="connsiteX107" fmla="*/ 499450 w 2280745"/>
              <a:gd name="connsiteY107" fmla="*/ 254698 h 1308087"/>
              <a:gd name="connsiteX108" fmla="*/ 499450 w 2280745"/>
              <a:gd name="connsiteY108" fmla="*/ 205866 h 1308087"/>
              <a:gd name="connsiteX109" fmla="*/ 506892 w 2280745"/>
              <a:gd name="connsiteY109" fmla="*/ 205866 h 1308087"/>
              <a:gd name="connsiteX110" fmla="*/ 506892 w 2280745"/>
              <a:gd name="connsiteY110" fmla="*/ 254698 h 1308087"/>
              <a:gd name="connsiteX111" fmla="*/ 515538 w 2280745"/>
              <a:gd name="connsiteY111" fmla="*/ 262227 h 1308087"/>
              <a:gd name="connsiteX112" fmla="*/ 517643 w 2280745"/>
              <a:gd name="connsiteY112" fmla="*/ 262227 h 1308087"/>
              <a:gd name="connsiteX113" fmla="*/ 526287 w 2280745"/>
              <a:gd name="connsiteY113" fmla="*/ 254698 h 1308087"/>
              <a:gd name="connsiteX114" fmla="*/ 526287 w 2280745"/>
              <a:gd name="connsiteY114" fmla="*/ 205866 h 1308087"/>
              <a:gd name="connsiteX115" fmla="*/ 526287 w 2280745"/>
              <a:gd name="connsiteY115" fmla="*/ 199255 h 1308087"/>
              <a:gd name="connsiteX116" fmla="*/ 526287 w 2280745"/>
              <a:gd name="connsiteY116" fmla="*/ 181262 h 1308087"/>
              <a:gd name="connsiteX117" fmla="*/ 531139 w 2280745"/>
              <a:gd name="connsiteY117" fmla="*/ 197025 h 1308087"/>
              <a:gd name="connsiteX118" fmla="*/ 541727 w 2280745"/>
              <a:gd name="connsiteY118" fmla="*/ 202347 h 1308087"/>
              <a:gd name="connsiteX119" fmla="*/ 543761 w 2280745"/>
              <a:gd name="connsiteY119" fmla="*/ 201873 h 1308087"/>
              <a:gd name="connsiteX120" fmla="*/ 549875 w 2280745"/>
              <a:gd name="connsiteY120" fmla="*/ 192653 h 1308087"/>
              <a:gd name="connsiteX121" fmla="*/ 533394 w 2280745"/>
              <a:gd name="connsiteY121" fmla="*/ 139098 h 1308087"/>
              <a:gd name="connsiteX122" fmla="*/ 530716 w 2280745"/>
              <a:gd name="connsiteY122" fmla="*/ 135365 h 1308087"/>
              <a:gd name="connsiteX123" fmla="*/ 526287 w 2280745"/>
              <a:gd name="connsiteY123" fmla="*/ 133610 h 1308087"/>
              <a:gd name="connsiteX124" fmla="*/ 526287 w 2280745"/>
              <a:gd name="connsiteY124" fmla="*/ 133396 h 1308087"/>
              <a:gd name="connsiteX125" fmla="*/ 480053 w 2280745"/>
              <a:gd name="connsiteY125" fmla="*/ 133396 h 1308087"/>
              <a:gd name="connsiteX126" fmla="*/ 680045 w 2280745"/>
              <a:gd name="connsiteY126" fmla="*/ 133396 h 1308087"/>
              <a:gd name="connsiteX127" fmla="*/ 680045 w 2280745"/>
              <a:gd name="connsiteY127" fmla="*/ 133621 h 1308087"/>
              <a:gd name="connsiteX128" fmla="*/ 679427 w 2280745"/>
              <a:gd name="connsiteY128" fmla="*/ 133589 h 1308087"/>
              <a:gd name="connsiteX129" fmla="*/ 672265 w 2280745"/>
              <a:gd name="connsiteY129" fmla="*/ 139098 h 1308087"/>
              <a:gd name="connsiteX130" fmla="*/ 655783 w 2280745"/>
              <a:gd name="connsiteY130" fmla="*/ 192653 h 1308087"/>
              <a:gd name="connsiteX131" fmla="*/ 661899 w 2280745"/>
              <a:gd name="connsiteY131" fmla="*/ 201873 h 1308087"/>
              <a:gd name="connsiteX132" fmla="*/ 663930 w 2280745"/>
              <a:gd name="connsiteY132" fmla="*/ 202347 h 1308087"/>
              <a:gd name="connsiteX133" fmla="*/ 674518 w 2280745"/>
              <a:gd name="connsiteY133" fmla="*/ 197025 h 1308087"/>
              <a:gd name="connsiteX134" fmla="*/ 680045 w 2280745"/>
              <a:gd name="connsiteY134" fmla="*/ 179069 h 1308087"/>
              <a:gd name="connsiteX135" fmla="*/ 680045 w 2280745"/>
              <a:gd name="connsiteY135" fmla="*/ 199255 h 1308087"/>
              <a:gd name="connsiteX136" fmla="*/ 680045 w 2280745"/>
              <a:gd name="connsiteY136" fmla="*/ 205866 h 1308087"/>
              <a:gd name="connsiteX137" fmla="*/ 680045 w 2280745"/>
              <a:gd name="connsiteY137" fmla="*/ 254698 h 1308087"/>
              <a:gd name="connsiteX138" fmla="*/ 688691 w 2280745"/>
              <a:gd name="connsiteY138" fmla="*/ 262227 h 1308087"/>
              <a:gd name="connsiteX139" fmla="*/ 690797 w 2280745"/>
              <a:gd name="connsiteY139" fmla="*/ 262227 h 1308087"/>
              <a:gd name="connsiteX140" fmla="*/ 699443 w 2280745"/>
              <a:gd name="connsiteY140" fmla="*/ 254698 h 1308087"/>
              <a:gd name="connsiteX141" fmla="*/ 699443 w 2280745"/>
              <a:gd name="connsiteY141" fmla="*/ 205866 h 1308087"/>
              <a:gd name="connsiteX142" fmla="*/ 706884 w 2280745"/>
              <a:gd name="connsiteY142" fmla="*/ 205866 h 1308087"/>
              <a:gd name="connsiteX143" fmla="*/ 706884 w 2280745"/>
              <a:gd name="connsiteY143" fmla="*/ 254698 h 1308087"/>
              <a:gd name="connsiteX144" fmla="*/ 715530 w 2280745"/>
              <a:gd name="connsiteY144" fmla="*/ 262227 h 1308087"/>
              <a:gd name="connsiteX145" fmla="*/ 717635 w 2280745"/>
              <a:gd name="connsiteY145" fmla="*/ 262227 h 1308087"/>
              <a:gd name="connsiteX146" fmla="*/ 726280 w 2280745"/>
              <a:gd name="connsiteY146" fmla="*/ 254698 h 1308087"/>
              <a:gd name="connsiteX147" fmla="*/ 726280 w 2280745"/>
              <a:gd name="connsiteY147" fmla="*/ 205866 h 1308087"/>
              <a:gd name="connsiteX148" fmla="*/ 726280 w 2280745"/>
              <a:gd name="connsiteY148" fmla="*/ 199255 h 1308087"/>
              <a:gd name="connsiteX149" fmla="*/ 726280 w 2280745"/>
              <a:gd name="connsiteY149" fmla="*/ 181262 h 1308087"/>
              <a:gd name="connsiteX150" fmla="*/ 731132 w 2280745"/>
              <a:gd name="connsiteY150" fmla="*/ 197025 h 1308087"/>
              <a:gd name="connsiteX151" fmla="*/ 741720 w 2280745"/>
              <a:gd name="connsiteY151" fmla="*/ 202347 h 1308087"/>
              <a:gd name="connsiteX152" fmla="*/ 743753 w 2280745"/>
              <a:gd name="connsiteY152" fmla="*/ 201873 h 1308087"/>
              <a:gd name="connsiteX153" fmla="*/ 749868 w 2280745"/>
              <a:gd name="connsiteY153" fmla="*/ 192653 h 1308087"/>
              <a:gd name="connsiteX154" fmla="*/ 733385 w 2280745"/>
              <a:gd name="connsiteY154" fmla="*/ 139098 h 1308087"/>
              <a:gd name="connsiteX155" fmla="*/ 730709 w 2280745"/>
              <a:gd name="connsiteY155" fmla="*/ 135365 h 1308087"/>
              <a:gd name="connsiteX156" fmla="*/ 726280 w 2280745"/>
              <a:gd name="connsiteY156" fmla="*/ 133610 h 1308087"/>
              <a:gd name="connsiteX157" fmla="*/ 726280 w 2280745"/>
              <a:gd name="connsiteY157" fmla="*/ 133396 h 1308087"/>
              <a:gd name="connsiteX158" fmla="*/ 680045 w 2280745"/>
              <a:gd name="connsiteY158" fmla="*/ 133396 h 1308087"/>
              <a:gd name="connsiteX159" fmla="*/ 880037 w 2280745"/>
              <a:gd name="connsiteY159" fmla="*/ 133396 h 1308087"/>
              <a:gd name="connsiteX160" fmla="*/ 880037 w 2280745"/>
              <a:gd name="connsiteY160" fmla="*/ 133621 h 1308087"/>
              <a:gd name="connsiteX161" fmla="*/ 879420 w 2280745"/>
              <a:gd name="connsiteY161" fmla="*/ 133589 h 1308087"/>
              <a:gd name="connsiteX162" fmla="*/ 872256 w 2280745"/>
              <a:gd name="connsiteY162" fmla="*/ 139098 h 1308087"/>
              <a:gd name="connsiteX163" fmla="*/ 855776 w 2280745"/>
              <a:gd name="connsiteY163" fmla="*/ 192653 h 1308087"/>
              <a:gd name="connsiteX164" fmla="*/ 861890 w 2280745"/>
              <a:gd name="connsiteY164" fmla="*/ 201873 h 1308087"/>
              <a:gd name="connsiteX165" fmla="*/ 863923 w 2280745"/>
              <a:gd name="connsiteY165" fmla="*/ 202347 h 1308087"/>
              <a:gd name="connsiteX166" fmla="*/ 874511 w 2280745"/>
              <a:gd name="connsiteY166" fmla="*/ 197025 h 1308087"/>
              <a:gd name="connsiteX167" fmla="*/ 880037 w 2280745"/>
              <a:gd name="connsiteY167" fmla="*/ 179069 h 1308087"/>
              <a:gd name="connsiteX168" fmla="*/ 880037 w 2280745"/>
              <a:gd name="connsiteY168" fmla="*/ 199255 h 1308087"/>
              <a:gd name="connsiteX169" fmla="*/ 880037 w 2280745"/>
              <a:gd name="connsiteY169" fmla="*/ 205866 h 1308087"/>
              <a:gd name="connsiteX170" fmla="*/ 880037 w 2280745"/>
              <a:gd name="connsiteY170" fmla="*/ 254698 h 1308087"/>
              <a:gd name="connsiteX171" fmla="*/ 888683 w 2280745"/>
              <a:gd name="connsiteY171" fmla="*/ 262227 h 1308087"/>
              <a:gd name="connsiteX172" fmla="*/ 890788 w 2280745"/>
              <a:gd name="connsiteY172" fmla="*/ 262227 h 1308087"/>
              <a:gd name="connsiteX173" fmla="*/ 899434 w 2280745"/>
              <a:gd name="connsiteY173" fmla="*/ 254698 h 1308087"/>
              <a:gd name="connsiteX174" fmla="*/ 899434 w 2280745"/>
              <a:gd name="connsiteY174" fmla="*/ 205866 h 1308087"/>
              <a:gd name="connsiteX175" fmla="*/ 906877 w 2280745"/>
              <a:gd name="connsiteY175" fmla="*/ 205866 h 1308087"/>
              <a:gd name="connsiteX176" fmla="*/ 906877 w 2280745"/>
              <a:gd name="connsiteY176" fmla="*/ 254698 h 1308087"/>
              <a:gd name="connsiteX177" fmla="*/ 915521 w 2280745"/>
              <a:gd name="connsiteY177" fmla="*/ 262227 h 1308087"/>
              <a:gd name="connsiteX178" fmla="*/ 917628 w 2280745"/>
              <a:gd name="connsiteY178" fmla="*/ 262227 h 1308087"/>
              <a:gd name="connsiteX179" fmla="*/ 926272 w 2280745"/>
              <a:gd name="connsiteY179" fmla="*/ 254698 h 1308087"/>
              <a:gd name="connsiteX180" fmla="*/ 926272 w 2280745"/>
              <a:gd name="connsiteY180" fmla="*/ 205866 h 1308087"/>
              <a:gd name="connsiteX181" fmla="*/ 926272 w 2280745"/>
              <a:gd name="connsiteY181" fmla="*/ 199255 h 1308087"/>
              <a:gd name="connsiteX182" fmla="*/ 926272 w 2280745"/>
              <a:gd name="connsiteY182" fmla="*/ 181262 h 1308087"/>
              <a:gd name="connsiteX183" fmla="*/ 931123 w 2280745"/>
              <a:gd name="connsiteY183" fmla="*/ 197025 h 1308087"/>
              <a:gd name="connsiteX184" fmla="*/ 941712 w 2280745"/>
              <a:gd name="connsiteY184" fmla="*/ 202347 h 1308087"/>
              <a:gd name="connsiteX185" fmla="*/ 943745 w 2280745"/>
              <a:gd name="connsiteY185" fmla="*/ 201873 h 1308087"/>
              <a:gd name="connsiteX186" fmla="*/ 949860 w 2280745"/>
              <a:gd name="connsiteY186" fmla="*/ 192653 h 1308087"/>
              <a:gd name="connsiteX187" fmla="*/ 933378 w 2280745"/>
              <a:gd name="connsiteY187" fmla="*/ 139098 h 1308087"/>
              <a:gd name="connsiteX188" fmla="*/ 930701 w 2280745"/>
              <a:gd name="connsiteY188" fmla="*/ 135365 h 1308087"/>
              <a:gd name="connsiteX189" fmla="*/ 926272 w 2280745"/>
              <a:gd name="connsiteY189" fmla="*/ 133610 h 1308087"/>
              <a:gd name="connsiteX190" fmla="*/ 926272 w 2280745"/>
              <a:gd name="connsiteY190" fmla="*/ 133396 h 1308087"/>
              <a:gd name="connsiteX191" fmla="*/ 880037 w 2280745"/>
              <a:gd name="connsiteY191" fmla="*/ 133396 h 1308087"/>
              <a:gd name="connsiteX192" fmla="*/ 1080030 w 2280745"/>
              <a:gd name="connsiteY192" fmla="*/ 133396 h 1308087"/>
              <a:gd name="connsiteX193" fmla="*/ 1080030 w 2280745"/>
              <a:gd name="connsiteY193" fmla="*/ 133621 h 1308087"/>
              <a:gd name="connsiteX194" fmla="*/ 1079412 w 2280745"/>
              <a:gd name="connsiteY194" fmla="*/ 133589 h 1308087"/>
              <a:gd name="connsiteX195" fmla="*/ 1072249 w 2280745"/>
              <a:gd name="connsiteY195" fmla="*/ 139098 h 1308087"/>
              <a:gd name="connsiteX196" fmla="*/ 1055767 w 2280745"/>
              <a:gd name="connsiteY196" fmla="*/ 192653 h 1308087"/>
              <a:gd name="connsiteX197" fmla="*/ 1061881 w 2280745"/>
              <a:gd name="connsiteY197" fmla="*/ 201873 h 1308087"/>
              <a:gd name="connsiteX198" fmla="*/ 1063914 w 2280745"/>
              <a:gd name="connsiteY198" fmla="*/ 202347 h 1308087"/>
              <a:gd name="connsiteX199" fmla="*/ 1074503 w 2280745"/>
              <a:gd name="connsiteY199" fmla="*/ 197025 h 1308087"/>
              <a:gd name="connsiteX200" fmla="*/ 1080030 w 2280745"/>
              <a:gd name="connsiteY200" fmla="*/ 179069 h 1308087"/>
              <a:gd name="connsiteX201" fmla="*/ 1080030 w 2280745"/>
              <a:gd name="connsiteY201" fmla="*/ 199255 h 1308087"/>
              <a:gd name="connsiteX202" fmla="*/ 1080030 w 2280745"/>
              <a:gd name="connsiteY202" fmla="*/ 205866 h 1308087"/>
              <a:gd name="connsiteX203" fmla="*/ 1080030 w 2280745"/>
              <a:gd name="connsiteY203" fmla="*/ 254698 h 1308087"/>
              <a:gd name="connsiteX204" fmla="*/ 1088676 w 2280745"/>
              <a:gd name="connsiteY204" fmla="*/ 262227 h 1308087"/>
              <a:gd name="connsiteX205" fmla="*/ 1090781 w 2280745"/>
              <a:gd name="connsiteY205" fmla="*/ 262227 h 1308087"/>
              <a:gd name="connsiteX206" fmla="*/ 1099427 w 2280745"/>
              <a:gd name="connsiteY206" fmla="*/ 254698 h 1308087"/>
              <a:gd name="connsiteX207" fmla="*/ 1099427 w 2280745"/>
              <a:gd name="connsiteY207" fmla="*/ 205866 h 1308087"/>
              <a:gd name="connsiteX208" fmla="*/ 1106868 w 2280745"/>
              <a:gd name="connsiteY208" fmla="*/ 205866 h 1308087"/>
              <a:gd name="connsiteX209" fmla="*/ 1106868 w 2280745"/>
              <a:gd name="connsiteY209" fmla="*/ 254698 h 1308087"/>
              <a:gd name="connsiteX210" fmla="*/ 1115514 w 2280745"/>
              <a:gd name="connsiteY210" fmla="*/ 262227 h 1308087"/>
              <a:gd name="connsiteX211" fmla="*/ 1117619 w 2280745"/>
              <a:gd name="connsiteY211" fmla="*/ 262227 h 1308087"/>
              <a:gd name="connsiteX212" fmla="*/ 1126264 w 2280745"/>
              <a:gd name="connsiteY212" fmla="*/ 254698 h 1308087"/>
              <a:gd name="connsiteX213" fmla="*/ 1126264 w 2280745"/>
              <a:gd name="connsiteY213" fmla="*/ 205866 h 1308087"/>
              <a:gd name="connsiteX214" fmla="*/ 1126264 w 2280745"/>
              <a:gd name="connsiteY214" fmla="*/ 199255 h 1308087"/>
              <a:gd name="connsiteX215" fmla="*/ 1126264 w 2280745"/>
              <a:gd name="connsiteY215" fmla="*/ 181262 h 1308087"/>
              <a:gd name="connsiteX216" fmla="*/ 1131115 w 2280745"/>
              <a:gd name="connsiteY216" fmla="*/ 197025 h 1308087"/>
              <a:gd name="connsiteX217" fmla="*/ 1141704 w 2280745"/>
              <a:gd name="connsiteY217" fmla="*/ 202347 h 1308087"/>
              <a:gd name="connsiteX218" fmla="*/ 1143738 w 2280745"/>
              <a:gd name="connsiteY218" fmla="*/ 201873 h 1308087"/>
              <a:gd name="connsiteX219" fmla="*/ 1149853 w 2280745"/>
              <a:gd name="connsiteY219" fmla="*/ 192653 h 1308087"/>
              <a:gd name="connsiteX220" fmla="*/ 1133370 w 2280745"/>
              <a:gd name="connsiteY220" fmla="*/ 139098 h 1308087"/>
              <a:gd name="connsiteX221" fmla="*/ 1130693 w 2280745"/>
              <a:gd name="connsiteY221" fmla="*/ 135365 h 1308087"/>
              <a:gd name="connsiteX222" fmla="*/ 1126264 w 2280745"/>
              <a:gd name="connsiteY222" fmla="*/ 133610 h 1308087"/>
              <a:gd name="connsiteX223" fmla="*/ 1126264 w 2280745"/>
              <a:gd name="connsiteY223" fmla="*/ 133396 h 1308087"/>
              <a:gd name="connsiteX224" fmla="*/ 1080030 w 2280745"/>
              <a:gd name="connsiteY224" fmla="*/ 133396 h 1308087"/>
              <a:gd name="connsiteX225" fmla="*/ 1280022 w 2280745"/>
              <a:gd name="connsiteY225" fmla="*/ 133396 h 1308087"/>
              <a:gd name="connsiteX226" fmla="*/ 1280022 w 2280745"/>
              <a:gd name="connsiteY226" fmla="*/ 133621 h 1308087"/>
              <a:gd name="connsiteX227" fmla="*/ 1279405 w 2280745"/>
              <a:gd name="connsiteY227" fmla="*/ 133589 h 1308087"/>
              <a:gd name="connsiteX228" fmla="*/ 1272241 w 2280745"/>
              <a:gd name="connsiteY228" fmla="*/ 139098 h 1308087"/>
              <a:gd name="connsiteX229" fmla="*/ 1255760 w 2280745"/>
              <a:gd name="connsiteY229" fmla="*/ 192653 h 1308087"/>
              <a:gd name="connsiteX230" fmla="*/ 1261874 w 2280745"/>
              <a:gd name="connsiteY230" fmla="*/ 201873 h 1308087"/>
              <a:gd name="connsiteX231" fmla="*/ 1263907 w 2280745"/>
              <a:gd name="connsiteY231" fmla="*/ 202347 h 1308087"/>
              <a:gd name="connsiteX232" fmla="*/ 1274496 w 2280745"/>
              <a:gd name="connsiteY232" fmla="*/ 197025 h 1308087"/>
              <a:gd name="connsiteX233" fmla="*/ 1280022 w 2280745"/>
              <a:gd name="connsiteY233" fmla="*/ 179069 h 1308087"/>
              <a:gd name="connsiteX234" fmla="*/ 1280022 w 2280745"/>
              <a:gd name="connsiteY234" fmla="*/ 199255 h 1308087"/>
              <a:gd name="connsiteX235" fmla="*/ 1280022 w 2280745"/>
              <a:gd name="connsiteY235" fmla="*/ 205866 h 1308087"/>
              <a:gd name="connsiteX236" fmla="*/ 1280022 w 2280745"/>
              <a:gd name="connsiteY236" fmla="*/ 254698 h 1308087"/>
              <a:gd name="connsiteX237" fmla="*/ 1288667 w 2280745"/>
              <a:gd name="connsiteY237" fmla="*/ 262227 h 1308087"/>
              <a:gd name="connsiteX238" fmla="*/ 1290773 w 2280745"/>
              <a:gd name="connsiteY238" fmla="*/ 262227 h 1308087"/>
              <a:gd name="connsiteX239" fmla="*/ 1299419 w 2280745"/>
              <a:gd name="connsiteY239" fmla="*/ 254698 h 1308087"/>
              <a:gd name="connsiteX240" fmla="*/ 1299419 w 2280745"/>
              <a:gd name="connsiteY240" fmla="*/ 205866 h 1308087"/>
              <a:gd name="connsiteX241" fmla="*/ 1306860 w 2280745"/>
              <a:gd name="connsiteY241" fmla="*/ 205866 h 1308087"/>
              <a:gd name="connsiteX242" fmla="*/ 1306860 w 2280745"/>
              <a:gd name="connsiteY242" fmla="*/ 254698 h 1308087"/>
              <a:gd name="connsiteX243" fmla="*/ 1315506 w 2280745"/>
              <a:gd name="connsiteY243" fmla="*/ 262227 h 1308087"/>
              <a:gd name="connsiteX244" fmla="*/ 1317610 w 2280745"/>
              <a:gd name="connsiteY244" fmla="*/ 262227 h 1308087"/>
              <a:gd name="connsiteX245" fmla="*/ 1326256 w 2280745"/>
              <a:gd name="connsiteY245" fmla="*/ 254698 h 1308087"/>
              <a:gd name="connsiteX246" fmla="*/ 1326256 w 2280745"/>
              <a:gd name="connsiteY246" fmla="*/ 205866 h 1308087"/>
              <a:gd name="connsiteX247" fmla="*/ 1326256 w 2280745"/>
              <a:gd name="connsiteY247" fmla="*/ 199255 h 1308087"/>
              <a:gd name="connsiteX248" fmla="*/ 1326256 w 2280745"/>
              <a:gd name="connsiteY248" fmla="*/ 181262 h 1308087"/>
              <a:gd name="connsiteX249" fmla="*/ 1331108 w 2280745"/>
              <a:gd name="connsiteY249" fmla="*/ 197025 h 1308087"/>
              <a:gd name="connsiteX250" fmla="*/ 1341696 w 2280745"/>
              <a:gd name="connsiteY250" fmla="*/ 202347 h 1308087"/>
              <a:gd name="connsiteX251" fmla="*/ 1343730 w 2280745"/>
              <a:gd name="connsiteY251" fmla="*/ 201873 h 1308087"/>
              <a:gd name="connsiteX252" fmla="*/ 1349844 w 2280745"/>
              <a:gd name="connsiteY252" fmla="*/ 192653 h 1308087"/>
              <a:gd name="connsiteX253" fmla="*/ 1333361 w 2280745"/>
              <a:gd name="connsiteY253" fmla="*/ 139098 h 1308087"/>
              <a:gd name="connsiteX254" fmla="*/ 1330685 w 2280745"/>
              <a:gd name="connsiteY254" fmla="*/ 135365 h 1308087"/>
              <a:gd name="connsiteX255" fmla="*/ 1326256 w 2280745"/>
              <a:gd name="connsiteY255" fmla="*/ 133610 h 1308087"/>
              <a:gd name="connsiteX256" fmla="*/ 1326256 w 2280745"/>
              <a:gd name="connsiteY256" fmla="*/ 133396 h 1308087"/>
              <a:gd name="connsiteX257" fmla="*/ 1280022 w 2280745"/>
              <a:gd name="connsiteY257" fmla="*/ 133396 h 1308087"/>
              <a:gd name="connsiteX258" fmla="*/ 1482314 w 2280745"/>
              <a:gd name="connsiteY258" fmla="*/ 133396 h 1308087"/>
              <a:gd name="connsiteX259" fmla="*/ 1482314 w 2280745"/>
              <a:gd name="connsiteY259" fmla="*/ 133621 h 1308087"/>
              <a:gd name="connsiteX260" fmla="*/ 1481697 w 2280745"/>
              <a:gd name="connsiteY260" fmla="*/ 133589 h 1308087"/>
              <a:gd name="connsiteX261" fmla="*/ 1474533 w 2280745"/>
              <a:gd name="connsiteY261" fmla="*/ 139098 h 1308087"/>
              <a:gd name="connsiteX262" fmla="*/ 1458052 w 2280745"/>
              <a:gd name="connsiteY262" fmla="*/ 192653 h 1308087"/>
              <a:gd name="connsiteX263" fmla="*/ 1464166 w 2280745"/>
              <a:gd name="connsiteY263" fmla="*/ 201873 h 1308087"/>
              <a:gd name="connsiteX264" fmla="*/ 1466199 w 2280745"/>
              <a:gd name="connsiteY264" fmla="*/ 202347 h 1308087"/>
              <a:gd name="connsiteX265" fmla="*/ 1476788 w 2280745"/>
              <a:gd name="connsiteY265" fmla="*/ 197025 h 1308087"/>
              <a:gd name="connsiteX266" fmla="*/ 1482314 w 2280745"/>
              <a:gd name="connsiteY266" fmla="*/ 179069 h 1308087"/>
              <a:gd name="connsiteX267" fmla="*/ 1482314 w 2280745"/>
              <a:gd name="connsiteY267" fmla="*/ 199255 h 1308087"/>
              <a:gd name="connsiteX268" fmla="*/ 1482314 w 2280745"/>
              <a:gd name="connsiteY268" fmla="*/ 205866 h 1308087"/>
              <a:gd name="connsiteX269" fmla="*/ 1482314 w 2280745"/>
              <a:gd name="connsiteY269" fmla="*/ 254698 h 1308087"/>
              <a:gd name="connsiteX270" fmla="*/ 1490960 w 2280745"/>
              <a:gd name="connsiteY270" fmla="*/ 262227 h 1308087"/>
              <a:gd name="connsiteX271" fmla="*/ 1493064 w 2280745"/>
              <a:gd name="connsiteY271" fmla="*/ 262227 h 1308087"/>
              <a:gd name="connsiteX272" fmla="*/ 1501710 w 2280745"/>
              <a:gd name="connsiteY272" fmla="*/ 254698 h 1308087"/>
              <a:gd name="connsiteX273" fmla="*/ 1501710 w 2280745"/>
              <a:gd name="connsiteY273" fmla="*/ 205866 h 1308087"/>
              <a:gd name="connsiteX274" fmla="*/ 1509153 w 2280745"/>
              <a:gd name="connsiteY274" fmla="*/ 205866 h 1308087"/>
              <a:gd name="connsiteX275" fmla="*/ 1509153 w 2280745"/>
              <a:gd name="connsiteY275" fmla="*/ 254698 h 1308087"/>
              <a:gd name="connsiteX276" fmla="*/ 1517799 w 2280745"/>
              <a:gd name="connsiteY276" fmla="*/ 262227 h 1308087"/>
              <a:gd name="connsiteX277" fmla="*/ 1519903 w 2280745"/>
              <a:gd name="connsiteY277" fmla="*/ 262227 h 1308087"/>
              <a:gd name="connsiteX278" fmla="*/ 1528549 w 2280745"/>
              <a:gd name="connsiteY278" fmla="*/ 254698 h 1308087"/>
              <a:gd name="connsiteX279" fmla="*/ 1528549 w 2280745"/>
              <a:gd name="connsiteY279" fmla="*/ 205866 h 1308087"/>
              <a:gd name="connsiteX280" fmla="*/ 1528549 w 2280745"/>
              <a:gd name="connsiteY280" fmla="*/ 199255 h 1308087"/>
              <a:gd name="connsiteX281" fmla="*/ 1528549 w 2280745"/>
              <a:gd name="connsiteY281" fmla="*/ 181262 h 1308087"/>
              <a:gd name="connsiteX282" fmla="*/ 1533400 w 2280745"/>
              <a:gd name="connsiteY282" fmla="*/ 197025 h 1308087"/>
              <a:gd name="connsiteX283" fmla="*/ 1543989 w 2280745"/>
              <a:gd name="connsiteY283" fmla="*/ 202347 h 1308087"/>
              <a:gd name="connsiteX284" fmla="*/ 1546022 w 2280745"/>
              <a:gd name="connsiteY284" fmla="*/ 201873 h 1308087"/>
              <a:gd name="connsiteX285" fmla="*/ 1552136 w 2280745"/>
              <a:gd name="connsiteY285" fmla="*/ 192653 h 1308087"/>
              <a:gd name="connsiteX286" fmla="*/ 1535655 w 2280745"/>
              <a:gd name="connsiteY286" fmla="*/ 139098 h 1308087"/>
              <a:gd name="connsiteX287" fmla="*/ 1532977 w 2280745"/>
              <a:gd name="connsiteY287" fmla="*/ 135365 h 1308087"/>
              <a:gd name="connsiteX288" fmla="*/ 1528549 w 2280745"/>
              <a:gd name="connsiteY288" fmla="*/ 133610 h 1308087"/>
              <a:gd name="connsiteX289" fmla="*/ 1528549 w 2280745"/>
              <a:gd name="connsiteY289" fmla="*/ 133396 h 1308087"/>
              <a:gd name="connsiteX290" fmla="*/ 1482314 w 2280745"/>
              <a:gd name="connsiteY290" fmla="*/ 133396 h 1308087"/>
              <a:gd name="connsiteX291" fmla="*/ 1679477 w 2280745"/>
              <a:gd name="connsiteY291" fmla="*/ 133396 h 1308087"/>
              <a:gd name="connsiteX292" fmla="*/ 1679477 w 2280745"/>
              <a:gd name="connsiteY292" fmla="*/ 133621 h 1308087"/>
              <a:gd name="connsiteX293" fmla="*/ 1678860 w 2280745"/>
              <a:gd name="connsiteY293" fmla="*/ 133589 h 1308087"/>
              <a:gd name="connsiteX294" fmla="*/ 1671696 w 2280745"/>
              <a:gd name="connsiteY294" fmla="*/ 139098 h 1308087"/>
              <a:gd name="connsiteX295" fmla="*/ 1655215 w 2280745"/>
              <a:gd name="connsiteY295" fmla="*/ 192653 h 1308087"/>
              <a:gd name="connsiteX296" fmla="*/ 1661328 w 2280745"/>
              <a:gd name="connsiteY296" fmla="*/ 201873 h 1308087"/>
              <a:gd name="connsiteX297" fmla="*/ 1663362 w 2280745"/>
              <a:gd name="connsiteY297" fmla="*/ 202347 h 1308087"/>
              <a:gd name="connsiteX298" fmla="*/ 1673951 w 2280745"/>
              <a:gd name="connsiteY298" fmla="*/ 197025 h 1308087"/>
              <a:gd name="connsiteX299" fmla="*/ 1679477 w 2280745"/>
              <a:gd name="connsiteY299" fmla="*/ 179069 h 1308087"/>
              <a:gd name="connsiteX300" fmla="*/ 1679477 w 2280745"/>
              <a:gd name="connsiteY300" fmla="*/ 199255 h 1308087"/>
              <a:gd name="connsiteX301" fmla="*/ 1679477 w 2280745"/>
              <a:gd name="connsiteY301" fmla="*/ 205866 h 1308087"/>
              <a:gd name="connsiteX302" fmla="*/ 1679477 w 2280745"/>
              <a:gd name="connsiteY302" fmla="*/ 254698 h 1308087"/>
              <a:gd name="connsiteX303" fmla="*/ 1688123 w 2280745"/>
              <a:gd name="connsiteY303" fmla="*/ 262227 h 1308087"/>
              <a:gd name="connsiteX304" fmla="*/ 1690227 w 2280745"/>
              <a:gd name="connsiteY304" fmla="*/ 262227 h 1308087"/>
              <a:gd name="connsiteX305" fmla="*/ 1698873 w 2280745"/>
              <a:gd name="connsiteY305" fmla="*/ 254698 h 1308087"/>
              <a:gd name="connsiteX306" fmla="*/ 1698873 w 2280745"/>
              <a:gd name="connsiteY306" fmla="*/ 205866 h 1308087"/>
              <a:gd name="connsiteX307" fmla="*/ 1706314 w 2280745"/>
              <a:gd name="connsiteY307" fmla="*/ 205866 h 1308087"/>
              <a:gd name="connsiteX308" fmla="*/ 1706314 w 2280745"/>
              <a:gd name="connsiteY308" fmla="*/ 254698 h 1308087"/>
              <a:gd name="connsiteX309" fmla="*/ 1714961 w 2280745"/>
              <a:gd name="connsiteY309" fmla="*/ 262227 h 1308087"/>
              <a:gd name="connsiteX310" fmla="*/ 1717066 w 2280745"/>
              <a:gd name="connsiteY310" fmla="*/ 262227 h 1308087"/>
              <a:gd name="connsiteX311" fmla="*/ 1725712 w 2280745"/>
              <a:gd name="connsiteY311" fmla="*/ 254698 h 1308087"/>
              <a:gd name="connsiteX312" fmla="*/ 1725712 w 2280745"/>
              <a:gd name="connsiteY312" fmla="*/ 205866 h 1308087"/>
              <a:gd name="connsiteX313" fmla="*/ 1725712 w 2280745"/>
              <a:gd name="connsiteY313" fmla="*/ 199255 h 1308087"/>
              <a:gd name="connsiteX314" fmla="*/ 1725712 w 2280745"/>
              <a:gd name="connsiteY314" fmla="*/ 181262 h 1308087"/>
              <a:gd name="connsiteX315" fmla="*/ 1730563 w 2280745"/>
              <a:gd name="connsiteY315" fmla="*/ 197025 h 1308087"/>
              <a:gd name="connsiteX316" fmla="*/ 1741152 w 2280745"/>
              <a:gd name="connsiteY316" fmla="*/ 202347 h 1308087"/>
              <a:gd name="connsiteX317" fmla="*/ 1743185 w 2280745"/>
              <a:gd name="connsiteY317" fmla="*/ 201873 h 1308087"/>
              <a:gd name="connsiteX318" fmla="*/ 1749299 w 2280745"/>
              <a:gd name="connsiteY318" fmla="*/ 192653 h 1308087"/>
              <a:gd name="connsiteX319" fmla="*/ 1732817 w 2280745"/>
              <a:gd name="connsiteY319" fmla="*/ 139098 h 1308087"/>
              <a:gd name="connsiteX320" fmla="*/ 1730140 w 2280745"/>
              <a:gd name="connsiteY320" fmla="*/ 135365 h 1308087"/>
              <a:gd name="connsiteX321" fmla="*/ 1725712 w 2280745"/>
              <a:gd name="connsiteY321" fmla="*/ 133610 h 1308087"/>
              <a:gd name="connsiteX322" fmla="*/ 1725712 w 2280745"/>
              <a:gd name="connsiteY322" fmla="*/ 133396 h 1308087"/>
              <a:gd name="connsiteX323" fmla="*/ 1679477 w 2280745"/>
              <a:gd name="connsiteY323" fmla="*/ 133396 h 1308087"/>
              <a:gd name="connsiteX324" fmla="*/ 1882298 w 2280745"/>
              <a:gd name="connsiteY324" fmla="*/ 133396 h 1308087"/>
              <a:gd name="connsiteX325" fmla="*/ 1882298 w 2280745"/>
              <a:gd name="connsiteY325" fmla="*/ 133621 h 1308087"/>
              <a:gd name="connsiteX326" fmla="*/ 1881681 w 2280745"/>
              <a:gd name="connsiteY326" fmla="*/ 133589 h 1308087"/>
              <a:gd name="connsiteX327" fmla="*/ 1874518 w 2280745"/>
              <a:gd name="connsiteY327" fmla="*/ 139098 h 1308087"/>
              <a:gd name="connsiteX328" fmla="*/ 1858037 w 2280745"/>
              <a:gd name="connsiteY328" fmla="*/ 192653 h 1308087"/>
              <a:gd name="connsiteX329" fmla="*/ 1864152 w 2280745"/>
              <a:gd name="connsiteY329" fmla="*/ 201873 h 1308087"/>
              <a:gd name="connsiteX330" fmla="*/ 1866184 w 2280745"/>
              <a:gd name="connsiteY330" fmla="*/ 202347 h 1308087"/>
              <a:gd name="connsiteX331" fmla="*/ 1876773 w 2280745"/>
              <a:gd name="connsiteY331" fmla="*/ 197025 h 1308087"/>
              <a:gd name="connsiteX332" fmla="*/ 1882298 w 2280745"/>
              <a:gd name="connsiteY332" fmla="*/ 179069 h 1308087"/>
              <a:gd name="connsiteX333" fmla="*/ 1882298 w 2280745"/>
              <a:gd name="connsiteY333" fmla="*/ 199255 h 1308087"/>
              <a:gd name="connsiteX334" fmla="*/ 1882298 w 2280745"/>
              <a:gd name="connsiteY334" fmla="*/ 205866 h 1308087"/>
              <a:gd name="connsiteX335" fmla="*/ 1882298 w 2280745"/>
              <a:gd name="connsiteY335" fmla="*/ 254698 h 1308087"/>
              <a:gd name="connsiteX336" fmla="*/ 1890944 w 2280745"/>
              <a:gd name="connsiteY336" fmla="*/ 262227 h 1308087"/>
              <a:gd name="connsiteX337" fmla="*/ 1893050 w 2280745"/>
              <a:gd name="connsiteY337" fmla="*/ 262227 h 1308087"/>
              <a:gd name="connsiteX338" fmla="*/ 1901696 w 2280745"/>
              <a:gd name="connsiteY338" fmla="*/ 254698 h 1308087"/>
              <a:gd name="connsiteX339" fmla="*/ 1901696 w 2280745"/>
              <a:gd name="connsiteY339" fmla="*/ 205866 h 1308087"/>
              <a:gd name="connsiteX340" fmla="*/ 1909138 w 2280745"/>
              <a:gd name="connsiteY340" fmla="*/ 205866 h 1308087"/>
              <a:gd name="connsiteX341" fmla="*/ 1909138 w 2280745"/>
              <a:gd name="connsiteY341" fmla="*/ 254698 h 1308087"/>
              <a:gd name="connsiteX342" fmla="*/ 1917783 w 2280745"/>
              <a:gd name="connsiteY342" fmla="*/ 262227 h 1308087"/>
              <a:gd name="connsiteX343" fmla="*/ 1919889 w 2280745"/>
              <a:gd name="connsiteY343" fmla="*/ 262227 h 1308087"/>
              <a:gd name="connsiteX344" fmla="*/ 1928535 w 2280745"/>
              <a:gd name="connsiteY344" fmla="*/ 254698 h 1308087"/>
              <a:gd name="connsiteX345" fmla="*/ 1928535 w 2280745"/>
              <a:gd name="connsiteY345" fmla="*/ 205866 h 1308087"/>
              <a:gd name="connsiteX346" fmla="*/ 1928535 w 2280745"/>
              <a:gd name="connsiteY346" fmla="*/ 199255 h 1308087"/>
              <a:gd name="connsiteX347" fmla="*/ 1928535 w 2280745"/>
              <a:gd name="connsiteY347" fmla="*/ 181262 h 1308087"/>
              <a:gd name="connsiteX348" fmla="*/ 1933385 w 2280745"/>
              <a:gd name="connsiteY348" fmla="*/ 197025 h 1308087"/>
              <a:gd name="connsiteX349" fmla="*/ 1943974 w 2280745"/>
              <a:gd name="connsiteY349" fmla="*/ 202347 h 1308087"/>
              <a:gd name="connsiteX350" fmla="*/ 1946009 w 2280745"/>
              <a:gd name="connsiteY350" fmla="*/ 201873 h 1308087"/>
              <a:gd name="connsiteX351" fmla="*/ 1952121 w 2280745"/>
              <a:gd name="connsiteY351" fmla="*/ 192653 h 1308087"/>
              <a:gd name="connsiteX352" fmla="*/ 1935640 w 2280745"/>
              <a:gd name="connsiteY352" fmla="*/ 139098 h 1308087"/>
              <a:gd name="connsiteX353" fmla="*/ 1932962 w 2280745"/>
              <a:gd name="connsiteY353" fmla="*/ 135365 h 1308087"/>
              <a:gd name="connsiteX354" fmla="*/ 1928535 w 2280745"/>
              <a:gd name="connsiteY354" fmla="*/ 133610 h 1308087"/>
              <a:gd name="connsiteX355" fmla="*/ 1928535 w 2280745"/>
              <a:gd name="connsiteY355" fmla="*/ 133396 h 1308087"/>
              <a:gd name="connsiteX356" fmla="*/ 1882298 w 2280745"/>
              <a:gd name="connsiteY356" fmla="*/ 133396 h 1308087"/>
              <a:gd name="connsiteX357" fmla="*/ 2081622 w 2280745"/>
              <a:gd name="connsiteY357" fmla="*/ 133396 h 1308087"/>
              <a:gd name="connsiteX358" fmla="*/ 2081622 w 2280745"/>
              <a:gd name="connsiteY358" fmla="*/ 133621 h 1308087"/>
              <a:gd name="connsiteX359" fmla="*/ 2081004 w 2280745"/>
              <a:gd name="connsiteY359" fmla="*/ 133589 h 1308087"/>
              <a:gd name="connsiteX360" fmla="*/ 2073841 w 2280745"/>
              <a:gd name="connsiteY360" fmla="*/ 139098 h 1308087"/>
              <a:gd name="connsiteX361" fmla="*/ 2057362 w 2280745"/>
              <a:gd name="connsiteY361" fmla="*/ 192653 h 1308087"/>
              <a:gd name="connsiteX362" fmla="*/ 2063474 w 2280745"/>
              <a:gd name="connsiteY362" fmla="*/ 201873 h 1308087"/>
              <a:gd name="connsiteX363" fmla="*/ 2065507 w 2280745"/>
              <a:gd name="connsiteY363" fmla="*/ 202347 h 1308087"/>
              <a:gd name="connsiteX364" fmla="*/ 2076097 w 2280745"/>
              <a:gd name="connsiteY364" fmla="*/ 197025 h 1308087"/>
              <a:gd name="connsiteX365" fmla="*/ 2081622 w 2280745"/>
              <a:gd name="connsiteY365" fmla="*/ 179069 h 1308087"/>
              <a:gd name="connsiteX366" fmla="*/ 2081622 w 2280745"/>
              <a:gd name="connsiteY366" fmla="*/ 199255 h 1308087"/>
              <a:gd name="connsiteX367" fmla="*/ 2081622 w 2280745"/>
              <a:gd name="connsiteY367" fmla="*/ 205866 h 1308087"/>
              <a:gd name="connsiteX368" fmla="*/ 2081622 w 2280745"/>
              <a:gd name="connsiteY368" fmla="*/ 254698 h 1308087"/>
              <a:gd name="connsiteX369" fmla="*/ 2090268 w 2280745"/>
              <a:gd name="connsiteY369" fmla="*/ 262227 h 1308087"/>
              <a:gd name="connsiteX370" fmla="*/ 2092373 w 2280745"/>
              <a:gd name="connsiteY370" fmla="*/ 262227 h 1308087"/>
              <a:gd name="connsiteX371" fmla="*/ 2101019 w 2280745"/>
              <a:gd name="connsiteY371" fmla="*/ 254698 h 1308087"/>
              <a:gd name="connsiteX372" fmla="*/ 2101019 w 2280745"/>
              <a:gd name="connsiteY372" fmla="*/ 205866 h 1308087"/>
              <a:gd name="connsiteX373" fmla="*/ 2108461 w 2280745"/>
              <a:gd name="connsiteY373" fmla="*/ 205866 h 1308087"/>
              <a:gd name="connsiteX374" fmla="*/ 2108461 w 2280745"/>
              <a:gd name="connsiteY374" fmla="*/ 254698 h 1308087"/>
              <a:gd name="connsiteX375" fmla="*/ 2117107 w 2280745"/>
              <a:gd name="connsiteY375" fmla="*/ 262227 h 1308087"/>
              <a:gd name="connsiteX376" fmla="*/ 2119212 w 2280745"/>
              <a:gd name="connsiteY376" fmla="*/ 262227 h 1308087"/>
              <a:gd name="connsiteX377" fmla="*/ 2127858 w 2280745"/>
              <a:gd name="connsiteY377" fmla="*/ 254698 h 1308087"/>
              <a:gd name="connsiteX378" fmla="*/ 2127858 w 2280745"/>
              <a:gd name="connsiteY378" fmla="*/ 205866 h 1308087"/>
              <a:gd name="connsiteX379" fmla="*/ 2127858 w 2280745"/>
              <a:gd name="connsiteY379" fmla="*/ 199255 h 1308087"/>
              <a:gd name="connsiteX380" fmla="*/ 2127858 w 2280745"/>
              <a:gd name="connsiteY380" fmla="*/ 181262 h 1308087"/>
              <a:gd name="connsiteX381" fmla="*/ 2132707 w 2280745"/>
              <a:gd name="connsiteY381" fmla="*/ 197025 h 1308087"/>
              <a:gd name="connsiteX382" fmla="*/ 2143298 w 2280745"/>
              <a:gd name="connsiteY382" fmla="*/ 202347 h 1308087"/>
              <a:gd name="connsiteX383" fmla="*/ 2145331 w 2280745"/>
              <a:gd name="connsiteY383" fmla="*/ 201873 h 1308087"/>
              <a:gd name="connsiteX384" fmla="*/ 2151445 w 2280745"/>
              <a:gd name="connsiteY384" fmla="*/ 192653 h 1308087"/>
              <a:gd name="connsiteX385" fmla="*/ 2134963 w 2280745"/>
              <a:gd name="connsiteY385" fmla="*/ 139098 h 1308087"/>
              <a:gd name="connsiteX386" fmla="*/ 2132286 w 2280745"/>
              <a:gd name="connsiteY386" fmla="*/ 135365 h 1308087"/>
              <a:gd name="connsiteX387" fmla="*/ 2127858 w 2280745"/>
              <a:gd name="connsiteY387" fmla="*/ 133610 h 1308087"/>
              <a:gd name="connsiteX388" fmla="*/ 2127858 w 2280745"/>
              <a:gd name="connsiteY388" fmla="*/ 133396 h 1308087"/>
              <a:gd name="connsiteX389" fmla="*/ 2081622 w 2280745"/>
              <a:gd name="connsiteY389" fmla="*/ 133396 h 1308087"/>
              <a:gd name="connsiteX390" fmla="*/ 303668 w 2280745"/>
              <a:gd name="connsiteY390" fmla="*/ 315528 h 1308087"/>
              <a:gd name="connsiteX391" fmla="*/ 284721 w 2280745"/>
              <a:gd name="connsiteY391" fmla="*/ 332024 h 1308087"/>
              <a:gd name="connsiteX392" fmla="*/ 303668 w 2280745"/>
              <a:gd name="connsiteY392" fmla="*/ 348520 h 1308087"/>
              <a:gd name="connsiteX393" fmla="*/ 322614 w 2280745"/>
              <a:gd name="connsiteY393" fmla="*/ 332024 h 1308087"/>
              <a:gd name="connsiteX394" fmla="*/ 303668 w 2280745"/>
              <a:gd name="connsiteY394" fmla="*/ 315528 h 1308087"/>
              <a:gd name="connsiteX395" fmla="*/ 503662 w 2280745"/>
              <a:gd name="connsiteY395" fmla="*/ 315528 h 1308087"/>
              <a:gd name="connsiteX396" fmla="*/ 484717 w 2280745"/>
              <a:gd name="connsiteY396" fmla="*/ 332024 h 1308087"/>
              <a:gd name="connsiteX397" fmla="*/ 503662 w 2280745"/>
              <a:gd name="connsiteY397" fmla="*/ 348520 h 1308087"/>
              <a:gd name="connsiteX398" fmla="*/ 522607 w 2280745"/>
              <a:gd name="connsiteY398" fmla="*/ 332024 h 1308087"/>
              <a:gd name="connsiteX399" fmla="*/ 503662 w 2280745"/>
              <a:gd name="connsiteY399" fmla="*/ 315528 h 1308087"/>
              <a:gd name="connsiteX400" fmla="*/ 703653 w 2280745"/>
              <a:gd name="connsiteY400" fmla="*/ 315528 h 1308087"/>
              <a:gd name="connsiteX401" fmla="*/ 684709 w 2280745"/>
              <a:gd name="connsiteY401" fmla="*/ 332024 h 1308087"/>
              <a:gd name="connsiteX402" fmla="*/ 703653 w 2280745"/>
              <a:gd name="connsiteY402" fmla="*/ 348520 h 1308087"/>
              <a:gd name="connsiteX403" fmla="*/ 722600 w 2280745"/>
              <a:gd name="connsiteY403" fmla="*/ 332024 h 1308087"/>
              <a:gd name="connsiteX404" fmla="*/ 703653 w 2280745"/>
              <a:gd name="connsiteY404" fmla="*/ 315528 h 1308087"/>
              <a:gd name="connsiteX405" fmla="*/ 903646 w 2280745"/>
              <a:gd name="connsiteY405" fmla="*/ 315528 h 1308087"/>
              <a:gd name="connsiteX406" fmla="*/ 884701 w 2280745"/>
              <a:gd name="connsiteY406" fmla="*/ 332024 h 1308087"/>
              <a:gd name="connsiteX407" fmla="*/ 903646 w 2280745"/>
              <a:gd name="connsiteY407" fmla="*/ 348520 h 1308087"/>
              <a:gd name="connsiteX408" fmla="*/ 922591 w 2280745"/>
              <a:gd name="connsiteY408" fmla="*/ 332024 h 1308087"/>
              <a:gd name="connsiteX409" fmla="*/ 903646 w 2280745"/>
              <a:gd name="connsiteY409" fmla="*/ 315528 h 1308087"/>
              <a:gd name="connsiteX410" fmla="*/ 1103638 w 2280745"/>
              <a:gd name="connsiteY410" fmla="*/ 315528 h 1308087"/>
              <a:gd name="connsiteX411" fmla="*/ 1084694 w 2280745"/>
              <a:gd name="connsiteY411" fmla="*/ 332024 h 1308087"/>
              <a:gd name="connsiteX412" fmla="*/ 1103638 w 2280745"/>
              <a:gd name="connsiteY412" fmla="*/ 348520 h 1308087"/>
              <a:gd name="connsiteX413" fmla="*/ 1122584 w 2280745"/>
              <a:gd name="connsiteY413" fmla="*/ 332024 h 1308087"/>
              <a:gd name="connsiteX414" fmla="*/ 1103638 w 2280745"/>
              <a:gd name="connsiteY414" fmla="*/ 315528 h 1308087"/>
              <a:gd name="connsiteX415" fmla="*/ 1303631 w 2280745"/>
              <a:gd name="connsiteY415" fmla="*/ 315528 h 1308087"/>
              <a:gd name="connsiteX416" fmla="*/ 1284685 w 2280745"/>
              <a:gd name="connsiteY416" fmla="*/ 332024 h 1308087"/>
              <a:gd name="connsiteX417" fmla="*/ 1303631 w 2280745"/>
              <a:gd name="connsiteY417" fmla="*/ 348520 h 1308087"/>
              <a:gd name="connsiteX418" fmla="*/ 1322576 w 2280745"/>
              <a:gd name="connsiteY418" fmla="*/ 332024 h 1308087"/>
              <a:gd name="connsiteX419" fmla="*/ 1303631 w 2280745"/>
              <a:gd name="connsiteY419" fmla="*/ 315528 h 1308087"/>
              <a:gd name="connsiteX420" fmla="*/ 1505923 w 2280745"/>
              <a:gd name="connsiteY420" fmla="*/ 315528 h 1308087"/>
              <a:gd name="connsiteX421" fmla="*/ 1486979 w 2280745"/>
              <a:gd name="connsiteY421" fmla="*/ 332024 h 1308087"/>
              <a:gd name="connsiteX422" fmla="*/ 1505923 w 2280745"/>
              <a:gd name="connsiteY422" fmla="*/ 348520 h 1308087"/>
              <a:gd name="connsiteX423" fmla="*/ 1524868 w 2280745"/>
              <a:gd name="connsiteY423" fmla="*/ 332024 h 1308087"/>
              <a:gd name="connsiteX424" fmla="*/ 1505923 w 2280745"/>
              <a:gd name="connsiteY424" fmla="*/ 315528 h 1308087"/>
              <a:gd name="connsiteX425" fmla="*/ 1703085 w 2280745"/>
              <a:gd name="connsiteY425" fmla="*/ 315528 h 1308087"/>
              <a:gd name="connsiteX426" fmla="*/ 1684140 w 2280745"/>
              <a:gd name="connsiteY426" fmla="*/ 332024 h 1308087"/>
              <a:gd name="connsiteX427" fmla="*/ 1703085 w 2280745"/>
              <a:gd name="connsiteY427" fmla="*/ 348520 h 1308087"/>
              <a:gd name="connsiteX428" fmla="*/ 1722031 w 2280745"/>
              <a:gd name="connsiteY428" fmla="*/ 332024 h 1308087"/>
              <a:gd name="connsiteX429" fmla="*/ 1703085 w 2280745"/>
              <a:gd name="connsiteY429" fmla="*/ 315528 h 1308087"/>
              <a:gd name="connsiteX430" fmla="*/ 1905908 w 2280745"/>
              <a:gd name="connsiteY430" fmla="*/ 315528 h 1308087"/>
              <a:gd name="connsiteX431" fmla="*/ 1886962 w 2280745"/>
              <a:gd name="connsiteY431" fmla="*/ 332024 h 1308087"/>
              <a:gd name="connsiteX432" fmla="*/ 1905908 w 2280745"/>
              <a:gd name="connsiteY432" fmla="*/ 348520 h 1308087"/>
              <a:gd name="connsiteX433" fmla="*/ 1924855 w 2280745"/>
              <a:gd name="connsiteY433" fmla="*/ 332024 h 1308087"/>
              <a:gd name="connsiteX434" fmla="*/ 1905908 w 2280745"/>
              <a:gd name="connsiteY434" fmla="*/ 315528 h 1308087"/>
              <a:gd name="connsiteX435" fmla="*/ 2105231 w 2280745"/>
              <a:gd name="connsiteY435" fmla="*/ 315528 h 1308087"/>
              <a:gd name="connsiteX436" fmla="*/ 2086286 w 2280745"/>
              <a:gd name="connsiteY436" fmla="*/ 332024 h 1308087"/>
              <a:gd name="connsiteX437" fmla="*/ 2105231 w 2280745"/>
              <a:gd name="connsiteY437" fmla="*/ 348520 h 1308087"/>
              <a:gd name="connsiteX438" fmla="*/ 2124177 w 2280745"/>
              <a:gd name="connsiteY438" fmla="*/ 332024 h 1308087"/>
              <a:gd name="connsiteX439" fmla="*/ 2105231 w 2280745"/>
              <a:gd name="connsiteY439" fmla="*/ 315528 h 1308087"/>
              <a:gd name="connsiteX440" fmla="*/ 280058 w 2280745"/>
              <a:gd name="connsiteY440" fmla="*/ 352185 h 1308087"/>
              <a:gd name="connsiteX441" fmla="*/ 280058 w 2280745"/>
              <a:gd name="connsiteY441" fmla="*/ 352410 h 1308087"/>
              <a:gd name="connsiteX442" fmla="*/ 279441 w 2280745"/>
              <a:gd name="connsiteY442" fmla="*/ 352375 h 1308087"/>
              <a:gd name="connsiteX443" fmla="*/ 272279 w 2280745"/>
              <a:gd name="connsiteY443" fmla="*/ 357886 h 1308087"/>
              <a:gd name="connsiteX444" fmla="*/ 255797 w 2280745"/>
              <a:gd name="connsiteY444" fmla="*/ 411442 h 1308087"/>
              <a:gd name="connsiteX445" fmla="*/ 261911 w 2280745"/>
              <a:gd name="connsiteY445" fmla="*/ 420662 h 1308087"/>
              <a:gd name="connsiteX446" fmla="*/ 263944 w 2280745"/>
              <a:gd name="connsiteY446" fmla="*/ 421136 h 1308087"/>
              <a:gd name="connsiteX447" fmla="*/ 274533 w 2280745"/>
              <a:gd name="connsiteY447" fmla="*/ 415813 h 1308087"/>
              <a:gd name="connsiteX448" fmla="*/ 280058 w 2280745"/>
              <a:gd name="connsiteY448" fmla="*/ 397857 h 1308087"/>
              <a:gd name="connsiteX449" fmla="*/ 280058 w 2280745"/>
              <a:gd name="connsiteY449" fmla="*/ 418041 h 1308087"/>
              <a:gd name="connsiteX450" fmla="*/ 280058 w 2280745"/>
              <a:gd name="connsiteY450" fmla="*/ 424655 h 1308087"/>
              <a:gd name="connsiteX451" fmla="*/ 280058 w 2280745"/>
              <a:gd name="connsiteY451" fmla="*/ 473487 h 1308087"/>
              <a:gd name="connsiteX452" fmla="*/ 288705 w 2280745"/>
              <a:gd name="connsiteY452" fmla="*/ 481014 h 1308087"/>
              <a:gd name="connsiteX453" fmla="*/ 290809 w 2280745"/>
              <a:gd name="connsiteY453" fmla="*/ 481014 h 1308087"/>
              <a:gd name="connsiteX454" fmla="*/ 299455 w 2280745"/>
              <a:gd name="connsiteY454" fmla="*/ 473487 h 1308087"/>
              <a:gd name="connsiteX455" fmla="*/ 299455 w 2280745"/>
              <a:gd name="connsiteY455" fmla="*/ 424655 h 1308087"/>
              <a:gd name="connsiteX456" fmla="*/ 306898 w 2280745"/>
              <a:gd name="connsiteY456" fmla="*/ 424655 h 1308087"/>
              <a:gd name="connsiteX457" fmla="*/ 306898 w 2280745"/>
              <a:gd name="connsiteY457" fmla="*/ 473487 h 1308087"/>
              <a:gd name="connsiteX458" fmla="*/ 315544 w 2280745"/>
              <a:gd name="connsiteY458" fmla="*/ 481014 h 1308087"/>
              <a:gd name="connsiteX459" fmla="*/ 317649 w 2280745"/>
              <a:gd name="connsiteY459" fmla="*/ 481014 h 1308087"/>
              <a:gd name="connsiteX460" fmla="*/ 326293 w 2280745"/>
              <a:gd name="connsiteY460" fmla="*/ 473487 h 1308087"/>
              <a:gd name="connsiteX461" fmla="*/ 326293 w 2280745"/>
              <a:gd name="connsiteY461" fmla="*/ 424655 h 1308087"/>
              <a:gd name="connsiteX462" fmla="*/ 326293 w 2280745"/>
              <a:gd name="connsiteY462" fmla="*/ 418041 h 1308087"/>
              <a:gd name="connsiteX463" fmla="*/ 326293 w 2280745"/>
              <a:gd name="connsiteY463" fmla="*/ 400049 h 1308087"/>
              <a:gd name="connsiteX464" fmla="*/ 331145 w 2280745"/>
              <a:gd name="connsiteY464" fmla="*/ 415813 h 1308087"/>
              <a:gd name="connsiteX465" fmla="*/ 341734 w 2280745"/>
              <a:gd name="connsiteY465" fmla="*/ 421136 h 1308087"/>
              <a:gd name="connsiteX466" fmla="*/ 343767 w 2280745"/>
              <a:gd name="connsiteY466" fmla="*/ 420662 h 1308087"/>
              <a:gd name="connsiteX467" fmla="*/ 349881 w 2280745"/>
              <a:gd name="connsiteY467" fmla="*/ 411442 h 1308087"/>
              <a:gd name="connsiteX468" fmla="*/ 333400 w 2280745"/>
              <a:gd name="connsiteY468" fmla="*/ 357886 h 1308087"/>
              <a:gd name="connsiteX469" fmla="*/ 330722 w 2280745"/>
              <a:gd name="connsiteY469" fmla="*/ 354153 h 1308087"/>
              <a:gd name="connsiteX470" fmla="*/ 326293 w 2280745"/>
              <a:gd name="connsiteY470" fmla="*/ 352399 h 1308087"/>
              <a:gd name="connsiteX471" fmla="*/ 326293 w 2280745"/>
              <a:gd name="connsiteY471" fmla="*/ 352185 h 1308087"/>
              <a:gd name="connsiteX472" fmla="*/ 280058 w 2280745"/>
              <a:gd name="connsiteY472" fmla="*/ 352185 h 1308087"/>
              <a:gd name="connsiteX473" fmla="*/ 480053 w 2280745"/>
              <a:gd name="connsiteY473" fmla="*/ 352185 h 1308087"/>
              <a:gd name="connsiteX474" fmla="*/ 480053 w 2280745"/>
              <a:gd name="connsiteY474" fmla="*/ 352410 h 1308087"/>
              <a:gd name="connsiteX475" fmla="*/ 479436 w 2280745"/>
              <a:gd name="connsiteY475" fmla="*/ 352375 h 1308087"/>
              <a:gd name="connsiteX476" fmla="*/ 472272 w 2280745"/>
              <a:gd name="connsiteY476" fmla="*/ 357886 h 1308087"/>
              <a:gd name="connsiteX477" fmla="*/ 455791 w 2280745"/>
              <a:gd name="connsiteY477" fmla="*/ 411442 h 1308087"/>
              <a:gd name="connsiteX478" fmla="*/ 461906 w 2280745"/>
              <a:gd name="connsiteY478" fmla="*/ 420662 h 1308087"/>
              <a:gd name="connsiteX479" fmla="*/ 463938 w 2280745"/>
              <a:gd name="connsiteY479" fmla="*/ 421136 h 1308087"/>
              <a:gd name="connsiteX480" fmla="*/ 474527 w 2280745"/>
              <a:gd name="connsiteY480" fmla="*/ 415813 h 1308087"/>
              <a:gd name="connsiteX481" fmla="*/ 480053 w 2280745"/>
              <a:gd name="connsiteY481" fmla="*/ 397857 h 1308087"/>
              <a:gd name="connsiteX482" fmla="*/ 480053 w 2280745"/>
              <a:gd name="connsiteY482" fmla="*/ 418041 h 1308087"/>
              <a:gd name="connsiteX483" fmla="*/ 480053 w 2280745"/>
              <a:gd name="connsiteY483" fmla="*/ 424655 h 1308087"/>
              <a:gd name="connsiteX484" fmla="*/ 480053 w 2280745"/>
              <a:gd name="connsiteY484" fmla="*/ 473487 h 1308087"/>
              <a:gd name="connsiteX485" fmla="*/ 488698 w 2280745"/>
              <a:gd name="connsiteY485" fmla="*/ 481014 h 1308087"/>
              <a:gd name="connsiteX486" fmla="*/ 490804 w 2280745"/>
              <a:gd name="connsiteY486" fmla="*/ 481014 h 1308087"/>
              <a:gd name="connsiteX487" fmla="*/ 499450 w 2280745"/>
              <a:gd name="connsiteY487" fmla="*/ 473487 h 1308087"/>
              <a:gd name="connsiteX488" fmla="*/ 499450 w 2280745"/>
              <a:gd name="connsiteY488" fmla="*/ 424655 h 1308087"/>
              <a:gd name="connsiteX489" fmla="*/ 506892 w 2280745"/>
              <a:gd name="connsiteY489" fmla="*/ 424655 h 1308087"/>
              <a:gd name="connsiteX490" fmla="*/ 506892 w 2280745"/>
              <a:gd name="connsiteY490" fmla="*/ 473487 h 1308087"/>
              <a:gd name="connsiteX491" fmla="*/ 515538 w 2280745"/>
              <a:gd name="connsiteY491" fmla="*/ 481014 h 1308087"/>
              <a:gd name="connsiteX492" fmla="*/ 517643 w 2280745"/>
              <a:gd name="connsiteY492" fmla="*/ 481014 h 1308087"/>
              <a:gd name="connsiteX493" fmla="*/ 526287 w 2280745"/>
              <a:gd name="connsiteY493" fmla="*/ 473487 h 1308087"/>
              <a:gd name="connsiteX494" fmla="*/ 526287 w 2280745"/>
              <a:gd name="connsiteY494" fmla="*/ 424655 h 1308087"/>
              <a:gd name="connsiteX495" fmla="*/ 526287 w 2280745"/>
              <a:gd name="connsiteY495" fmla="*/ 418041 h 1308087"/>
              <a:gd name="connsiteX496" fmla="*/ 526287 w 2280745"/>
              <a:gd name="connsiteY496" fmla="*/ 400049 h 1308087"/>
              <a:gd name="connsiteX497" fmla="*/ 531139 w 2280745"/>
              <a:gd name="connsiteY497" fmla="*/ 415813 h 1308087"/>
              <a:gd name="connsiteX498" fmla="*/ 541727 w 2280745"/>
              <a:gd name="connsiteY498" fmla="*/ 421136 h 1308087"/>
              <a:gd name="connsiteX499" fmla="*/ 543761 w 2280745"/>
              <a:gd name="connsiteY499" fmla="*/ 420662 h 1308087"/>
              <a:gd name="connsiteX500" fmla="*/ 549875 w 2280745"/>
              <a:gd name="connsiteY500" fmla="*/ 411442 h 1308087"/>
              <a:gd name="connsiteX501" fmla="*/ 533394 w 2280745"/>
              <a:gd name="connsiteY501" fmla="*/ 357886 h 1308087"/>
              <a:gd name="connsiteX502" fmla="*/ 530716 w 2280745"/>
              <a:gd name="connsiteY502" fmla="*/ 354153 h 1308087"/>
              <a:gd name="connsiteX503" fmla="*/ 526287 w 2280745"/>
              <a:gd name="connsiteY503" fmla="*/ 352399 h 1308087"/>
              <a:gd name="connsiteX504" fmla="*/ 526287 w 2280745"/>
              <a:gd name="connsiteY504" fmla="*/ 352185 h 1308087"/>
              <a:gd name="connsiteX505" fmla="*/ 480053 w 2280745"/>
              <a:gd name="connsiteY505" fmla="*/ 352185 h 1308087"/>
              <a:gd name="connsiteX506" fmla="*/ 680045 w 2280745"/>
              <a:gd name="connsiteY506" fmla="*/ 352185 h 1308087"/>
              <a:gd name="connsiteX507" fmla="*/ 680045 w 2280745"/>
              <a:gd name="connsiteY507" fmla="*/ 352410 h 1308087"/>
              <a:gd name="connsiteX508" fmla="*/ 679427 w 2280745"/>
              <a:gd name="connsiteY508" fmla="*/ 352375 h 1308087"/>
              <a:gd name="connsiteX509" fmla="*/ 672265 w 2280745"/>
              <a:gd name="connsiteY509" fmla="*/ 357886 h 1308087"/>
              <a:gd name="connsiteX510" fmla="*/ 655783 w 2280745"/>
              <a:gd name="connsiteY510" fmla="*/ 411442 h 1308087"/>
              <a:gd name="connsiteX511" fmla="*/ 661899 w 2280745"/>
              <a:gd name="connsiteY511" fmla="*/ 420662 h 1308087"/>
              <a:gd name="connsiteX512" fmla="*/ 663930 w 2280745"/>
              <a:gd name="connsiteY512" fmla="*/ 421136 h 1308087"/>
              <a:gd name="connsiteX513" fmla="*/ 674518 w 2280745"/>
              <a:gd name="connsiteY513" fmla="*/ 415813 h 1308087"/>
              <a:gd name="connsiteX514" fmla="*/ 680045 w 2280745"/>
              <a:gd name="connsiteY514" fmla="*/ 397857 h 1308087"/>
              <a:gd name="connsiteX515" fmla="*/ 680045 w 2280745"/>
              <a:gd name="connsiteY515" fmla="*/ 418041 h 1308087"/>
              <a:gd name="connsiteX516" fmla="*/ 680045 w 2280745"/>
              <a:gd name="connsiteY516" fmla="*/ 424655 h 1308087"/>
              <a:gd name="connsiteX517" fmla="*/ 680045 w 2280745"/>
              <a:gd name="connsiteY517" fmla="*/ 473487 h 1308087"/>
              <a:gd name="connsiteX518" fmla="*/ 688691 w 2280745"/>
              <a:gd name="connsiteY518" fmla="*/ 481014 h 1308087"/>
              <a:gd name="connsiteX519" fmla="*/ 690797 w 2280745"/>
              <a:gd name="connsiteY519" fmla="*/ 481014 h 1308087"/>
              <a:gd name="connsiteX520" fmla="*/ 699443 w 2280745"/>
              <a:gd name="connsiteY520" fmla="*/ 473487 h 1308087"/>
              <a:gd name="connsiteX521" fmla="*/ 699443 w 2280745"/>
              <a:gd name="connsiteY521" fmla="*/ 424655 h 1308087"/>
              <a:gd name="connsiteX522" fmla="*/ 706884 w 2280745"/>
              <a:gd name="connsiteY522" fmla="*/ 424655 h 1308087"/>
              <a:gd name="connsiteX523" fmla="*/ 706884 w 2280745"/>
              <a:gd name="connsiteY523" fmla="*/ 473487 h 1308087"/>
              <a:gd name="connsiteX524" fmla="*/ 715530 w 2280745"/>
              <a:gd name="connsiteY524" fmla="*/ 481014 h 1308087"/>
              <a:gd name="connsiteX525" fmla="*/ 717635 w 2280745"/>
              <a:gd name="connsiteY525" fmla="*/ 481014 h 1308087"/>
              <a:gd name="connsiteX526" fmla="*/ 726280 w 2280745"/>
              <a:gd name="connsiteY526" fmla="*/ 473487 h 1308087"/>
              <a:gd name="connsiteX527" fmla="*/ 726280 w 2280745"/>
              <a:gd name="connsiteY527" fmla="*/ 424655 h 1308087"/>
              <a:gd name="connsiteX528" fmla="*/ 726280 w 2280745"/>
              <a:gd name="connsiteY528" fmla="*/ 418041 h 1308087"/>
              <a:gd name="connsiteX529" fmla="*/ 726280 w 2280745"/>
              <a:gd name="connsiteY529" fmla="*/ 400049 h 1308087"/>
              <a:gd name="connsiteX530" fmla="*/ 731132 w 2280745"/>
              <a:gd name="connsiteY530" fmla="*/ 415813 h 1308087"/>
              <a:gd name="connsiteX531" fmla="*/ 741720 w 2280745"/>
              <a:gd name="connsiteY531" fmla="*/ 421136 h 1308087"/>
              <a:gd name="connsiteX532" fmla="*/ 743753 w 2280745"/>
              <a:gd name="connsiteY532" fmla="*/ 420662 h 1308087"/>
              <a:gd name="connsiteX533" fmla="*/ 749868 w 2280745"/>
              <a:gd name="connsiteY533" fmla="*/ 411442 h 1308087"/>
              <a:gd name="connsiteX534" fmla="*/ 733385 w 2280745"/>
              <a:gd name="connsiteY534" fmla="*/ 357886 h 1308087"/>
              <a:gd name="connsiteX535" fmla="*/ 730709 w 2280745"/>
              <a:gd name="connsiteY535" fmla="*/ 354153 h 1308087"/>
              <a:gd name="connsiteX536" fmla="*/ 726280 w 2280745"/>
              <a:gd name="connsiteY536" fmla="*/ 352399 h 1308087"/>
              <a:gd name="connsiteX537" fmla="*/ 726280 w 2280745"/>
              <a:gd name="connsiteY537" fmla="*/ 352185 h 1308087"/>
              <a:gd name="connsiteX538" fmla="*/ 680045 w 2280745"/>
              <a:gd name="connsiteY538" fmla="*/ 352185 h 1308087"/>
              <a:gd name="connsiteX539" fmla="*/ 880037 w 2280745"/>
              <a:gd name="connsiteY539" fmla="*/ 352185 h 1308087"/>
              <a:gd name="connsiteX540" fmla="*/ 880037 w 2280745"/>
              <a:gd name="connsiteY540" fmla="*/ 352410 h 1308087"/>
              <a:gd name="connsiteX541" fmla="*/ 879420 w 2280745"/>
              <a:gd name="connsiteY541" fmla="*/ 352375 h 1308087"/>
              <a:gd name="connsiteX542" fmla="*/ 872256 w 2280745"/>
              <a:gd name="connsiteY542" fmla="*/ 357886 h 1308087"/>
              <a:gd name="connsiteX543" fmla="*/ 855776 w 2280745"/>
              <a:gd name="connsiteY543" fmla="*/ 411442 h 1308087"/>
              <a:gd name="connsiteX544" fmla="*/ 861890 w 2280745"/>
              <a:gd name="connsiteY544" fmla="*/ 420662 h 1308087"/>
              <a:gd name="connsiteX545" fmla="*/ 863923 w 2280745"/>
              <a:gd name="connsiteY545" fmla="*/ 421136 h 1308087"/>
              <a:gd name="connsiteX546" fmla="*/ 874511 w 2280745"/>
              <a:gd name="connsiteY546" fmla="*/ 415813 h 1308087"/>
              <a:gd name="connsiteX547" fmla="*/ 880037 w 2280745"/>
              <a:gd name="connsiteY547" fmla="*/ 397857 h 1308087"/>
              <a:gd name="connsiteX548" fmla="*/ 880037 w 2280745"/>
              <a:gd name="connsiteY548" fmla="*/ 418041 h 1308087"/>
              <a:gd name="connsiteX549" fmla="*/ 880037 w 2280745"/>
              <a:gd name="connsiteY549" fmla="*/ 424655 h 1308087"/>
              <a:gd name="connsiteX550" fmla="*/ 880037 w 2280745"/>
              <a:gd name="connsiteY550" fmla="*/ 473487 h 1308087"/>
              <a:gd name="connsiteX551" fmla="*/ 888683 w 2280745"/>
              <a:gd name="connsiteY551" fmla="*/ 481014 h 1308087"/>
              <a:gd name="connsiteX552" fmla="*/ 890788 w 2280745"/>
              <a:gd name="connsiteY552" fmla="*/ 481014 h 1308087"/>
              <a:gd name="connsiteX553" fmla="*/ 899434 w 2280745"/>
              <a:gd name="connsiteY553" fmla="*/ 473487 h 1308087"/>
              <a:gd name="connsiteX554" fmla="*/ 899434 w 2280745"/>
              <a:gd name="connsiteY554" fmla="*/ 424655 h 1308087"/>
              <a:gd name="connsiteX555" fmla="*/ 906877 w 2280745"/>
              <a:gd name="connsiteY555" fmla="*/ 424655 h 1308087"/>
              <a:gd name="connsiteX556" fmla="*/ 906877 w 2280745"/>
              <a:gd name="connsiteY556" fmla="*/ 473487 h 1308087"/>
              <a:gd name="connsiteX557" fmla="*/ 915521 w 2280745"/>
              <a:gd name="connsiteY557" fmla="*/ 481014 h 1308087"/>
              <a:gd name="connsiteX558" fmla="*/ 917628 w 2280745"/>
              <a:gd name="connsiteY558" fmla="*/ 481014 h 1308087"/>
              <a:gd name="connsiteX559" fmla="*/ 926272 w 2280745"/>
              <a:gd name="connsiteY559" fmla="*/ 473487 h 1308087"/>
              <a:gd name="connsiteX560" fmla="*/ 926272 w 2280745"/>
              <a:gd name="connsiteY560" fmla="*/ 424655 h 1308087"/>
              <a:gd name="connsiteX561" fmla="*/ 926272 w 2280745"/>
              <a:gd name="connsiteY561" fmla="*/ 418041 h 1308087"/>
              <a:gd name="connsiteX562" fmla="*/ 926272 w 2280745"/>
              <a:gd name="connsiteY562" fmla="*/ 400049 h 1308087"/>
              <a:gd name="connsiteX563" fmla="*/ 931123 w 2280745"/>
              <a:gd name="connsiteY563" fmla="*/ 415813 h 1308087"/>
              <a:gd name="connsiteX564" fmla="*/ 941712 w 2280745"/>
              <a:gd name="connsiteY564" fmla="*/ 421136 h 1308087"/>
              <a:gd name="connsiteX565" fmla="*/ 943745 w 2280745"/>
              <a:gd name="connsiteY565" fmla="*/ 420662 h 1308087"/>
              <a:gd name="connsiteX566" fmla="*/ 949860 w 2280745"/>
              <a:gd name="connsiteY566" fmla="*/ 411442 h 1308087"/>
              <a:gd name="connsiteX567" fmla="*/ 933378 w 2280745"/>
              <a:gd name="connsiteY567" fmla="*/ 357886 h 1308087"/>
              <a:gd name="connsiteX568" fmla="*/ 930701 w 2280745"/>
              <a:gd name="connsiteY568" fmla="*/ 354153 h 1308087"/>
              <a:gd name="connsiteX569" fmla="*/ 926272 w 2280745"/>
              <a:gd name="connsiteY569" fmla="*/ 352399 h 1308087"/>
              <a:gd name="connsiteX570" fmla="*/ 926272 w 2280745"/>
              <a:gd name="connsiteY570" fmla="*/ 352185 h 1308087"/>
              <a:gd name="connsiteX571" fmla="*/ 880037 w 2280745"/>
              <a:gd name="connsiteY571" fmla="*/ 352185 h 1308087"/>
              <a:gd name="connsiteX572" fmla="*/ 1080030 w 2280745"/>
              <a:gd name="connsiteY572" fmla="*/ 352185 h 1308087"/>
              <a:gd name="connsiteX573" fmla="*/ 1080030 w 2280745"/>
              <a:gd name="connsiteY573" fmla="*/ 352410 h 1308087"/>
              <a:gd name="connsiteX574" fmla="*/ 1079412 w 2280745"/>
              <a:gd name="connsiteY574" fmla="*/ 352375 h 1308087"/>
              <a:gd name="connsiteX575" fmla="*/ 1072249 w 2280745"/>
              <a:gd name="connsiteY575" fmla="*/ 357886 h 1308087"/>
              <a:gd name="connsiteX576" fmla="*/ 1055767 w 2280745"/>
              <a:gd name="connsiteY576" fmla="*/ 411442 h 1308087"/>
              <a:gd name="connsiteX577" fmla="*/ 1061881 w 2280745"/>
              <a:gd name="connsiteY577" fmla="*/ 420662 h 1308087"/>
              <a:gd name="connsiteX578" fmla="*/ 1063914 w 2280745"/>
              <a:gd name="connsiteY578" fmla="*/ 421136 h 1308087"/>
              <a:gd name="connsiteX579" fmla="*/ 1074503 w 2280745"/>
              <a:gd name="connsiteY579" fmla="*/ 415813 h 1308087"/>
              <a:gd name="connsiteX580" fmla="*/ 1080030 w 2280745"/>
              <a:gd name="connsiteY580" fmla="*/ 397857 h 1308087"/>
              <a:gd name="connsiteX581" fmla="*/ 1080030 w 2280745"/>
              <a:gd name="connsiteY581" fmla="*/ 418041 h 1308087"/>
              <a:gd name="connsiteX582" fmla="*/ 1080030 w 2280745"/>
              <a:gd name="connsiteY582" fmla="*/ 424655 h 1308087"/>
              <a:gd name="connsiteX583" fmla="*/ 1080030 w 2280745"/>
              <a:gd name="connsiteY583" fmla="*/ 473487 h 1308087"/>
              <a:gd name="connsiteX584" fmla="*/ 1088676 w 2280745"/>
              <a:gd name="connsiteY584" fmla="*/ 481014 h 1308087"/>
              <a:gd name="connsiteX585" fmla="*/ 1090781 w 2280745"/>
              <a:gd name="connsiteY585" fmla="*/ 481014 h 1308087"/>
              <a:gd name="connsiteX586" fmla="*/ 1099427 w 2280745"/>
              <a:gd name="connsiteY586" fmla="*/ 473487 h 1308087"/>
              <a:gd name="connsiteX587" fmla="*/ 1099427 w 2280745"/>
              <a:gd name="connsiteY587" fmla="*/ 424655 h 1308087"/>
              <a:gd name="connsiteX588" fmla="*/ 1106868 w 2280745"/>
              <a:gd name="connsiteY588" fmla="*/ 424655 h 1308087"/>
              <a:gd name="connsiteX589" fmla="*/ 1106868 w 2280745"/>
              <a:gd name="connsiteY589" fmla="*/ 473487 h 1308087"/>
              <a:gd name="connsiteX590" fmla="*/ 1115514 w 2280745"/>
              <a:gd name="connsiteY590" fmla="*/ 481014 h 1308087"/>
              <a:gd name="connsiteX591" fmla="*/ 1117619 w 2280745"/>
              <a:gd name="connsiteY591" fmla="*/ 481014 h 1308087"/>
              <a:gd name="connsiteX592" fmla="*/ 1126264 w 2280745"/>
              <a:gd name="connsiteY592" fmla="*/ 473487 h 1308087"/>
              <a:gd name="connsiteX593" fmla="*/ 1126264 w 2280745"/>
              <a:gd name="connsiteY593" fmla="*/ 424655 h 1308087"/>
              <a:gd name="connsiteX594" fmla="*/ 1126264 w 2280745"/>
              <a:gd name="connsiteY594" fmla="*/ 418041 h 1308087"/>
              <a:gd name="connsiteX595" fmla="*/ 1126264 w 2280745"/>
              <a:gd name="connsiteY595" fmla="*/ 400049 h 1308087"/>
              <a:gd name="connsiteX596" fmla="*/ 1131115 w 2280745"/>
              <a:gd name="connsiteY596" fmla="*/ 415813 h 1308087"/>
              <a:gd name="connsiteX597" fmla="*/ 1141704 w 2280745"/>
              <a:gd name="connsiteY597" fmla="*/ 421136 h 1308087"/>
              <a:gd name="connsiteX598" fmla="*/ 1143738 w 2280745"/>
              <a:gd name="connsiteY598" fmla="*/ 420662 h 1308087"/>
              <a:gd name="connsiteX599" fmla="*/ 1149853 w 2280745"/>
              <a:gd name="connsiteY599" fmla="*/ 411442 h 1308087"/>
              <a:gd name="connsiteX600" fmla="*/ 1133370 w 2280745"/>
              <a:gd name="connsiteY600" fmla="*/ 357886 h 1308087"/>
              <a:gd name="connsiteX601" fmla="*/ 1130693 w 2280745"/>
              <a:gd name="connsiteY601" fmla="*/ 354153 h 1308087"/>
              <a:gd name="connsiteX602" fmla="*/ 1126264 w 2280745"/>
              <a:gd name="connsiteY602" fmla="*/ 352399 h 1308087"/>
              <a:gd name="connsiteX603" fmla="*/ 1126264 w 2280745"/>
              <a:gd name="connsiteY603" fmla="*/ 352185 h 1308087"/>
              <a:gd name="connsiteX604" fmla="*/ 1080030 w 2280745"/>
              <a:gd name="connsiteY604" fmla="*/ 352185 h 1308087"/>
              <a:gd name="connsiteX605" fmla="*/ 1280022 w 2280745"/>
              <a:gd name="connsiteY605" fmla="*/ 352185 h 1308087"/>
              <a:gd name="connsiteX606" fmla="*/ 1280022 w 2280745"/>
              <a:gd name="connsiteY606" fmla="*/ 352410 h 1308087"/>
              <a:gd name="connsiteX607" fmla="*/ 1279405 w 2280745"/>
              <a:gd name="connsiteY607" fmla="*/ 352375 h 1308087"/>
              <a:gd name="connsiteX608" fmla="*/ 1272241 w 2280745"/>
              <a:gd name="connsiteY608" fmla="*/ 357886 h 1308087"/>
              <a:gd name="connsiteX609" fmla="*/ 1255760 w 2280745"/>
              <a:gd name="connsiteY609" fmla="*/ 411442 h 1308087"/>
              <a:gd name="connsiteX610" fmla="*/ 1261874 w 2280745"/>
              <a:gd name="connsiteY610" fmla="*/ 420662 h 1308087"/>
              <a:gd name="connsiteX611" fmla="*/ 1263907 w 2280745"/>
              <a:gd name="connsiteY611" fmla="*/ 421136 h 1308087"/>
              <a:gd name="connsiteX612" fmla="*/ 1274496 w 2280745"/>
              <a:gd name="connsiteY612" fmla="*/ 415813 h 1308087"/>
              <a:gd name="connsiteX613" fmla="*/ 1280022 w 2280745"/>
              <a:gd name="connsiteY613" fmla="*/ 397857 h 1308087"/>
              <a:gd name="connsiteX614" fmla="*/ 1280022 w 2280745"/>
              <a:gd name="connsiteY614" fmla="*/ 418041 h 1308087"/>
              <a:gd name="connsiteX615" fmla="*/ 1280022 w 2280745"/>
              <a:gd name="connsiteY615" fmla="*/ 424655 h 1308087"/>
              <a:gd name="connsiteX616" fmla="*/ 1280022 w 2280745"/>
              <a:gd name="connsiteY616" fmla="*/ 473487 h 1308087"/>
              <a:gd name="connsiteX617" fmla="*/ 1288667 w 2280745"/>
              <a:gd name="connsiteY617" fmla="*/ 481014 h 1308087"/>
              <a:gd name="connsiteX618" fmla="*/ 1290773 w 2280745"/>
              <a:gd name="connsiteY618" fmla="*/ 481014 h 1308087"/>
              <a:gd name="connsiteX619" fmla="*/ 1299419 w 2280745"/>
              <a:gd name="connsiteY619" fmla="*/ 473487 h 1308087"/>
              <a:gd name="connsiteX620" fmla="*/ 1299419 w 2280745"/>
              <a:gd name="connsiteY620" fmla="*/ 424655 h 1308087"/>
              <a:gd name="connsiteX621" fmla="*/ 1306860 w 2280745"/>
              <a:gd name="connsiteY621" fmla="*/ 424655 h 1308087"/>
              <a:gd name="connsiteX622" fmla="*/ 1306860 w 2280745"/>
              <a:gd name="connsiteY622" fmla="*/ 473487 h 1308087"/>
              <a:gd name="connsiteX623" fmla="*/ 1315506 w 2280745"/>
              <a:gd name="connsiteY623" fmla="*/ 481014 h 1308087"/>
              <a:gd name="connsiteX624" fmla="*/ 1317610 w 2280745"/>
              <a:gd name="connsiteY624" fmla="*/ 481014 h 1308087"/>
              <a:gd name="connsiteX625" fmla="*/ 1326256 w 2280745"/>
              <a:gd name="connsiteY625" fmla="*/ 473487 h 1308087"/>
              <a:gd name="connsiteX626" fmla="*/ 1326256 w 2280745"/>
              <a:gd name="connsiteY626" fmla="*/ 424655 h 1308087"/>
              <a:gd name="connsiteX627" fmla="*/ 1326256 w 2280745"/>
              <a:gd name="connsiteY627" fmla="*/ 418041 h 1308087"/>
              <a:gd name="connsiteX628" fmla="*/ 1326256 w 2280745"/>
              <a:gd name="connsiteY628" fmla="*/ 400049 h 1308087"/>
              <a:gd name="connsiteX629" fmla="*/ 1331108 w 2280745"/>
              <a:gd name="connsiteY629" fmla="*/ 415813 h 1308087"/>
              <a:gd name="connsiteX630" fmla="*/ 1341696 w 2280745"/>
              <a:gd name="connsiteY630" fmla="*/ 421136 h 1308087"/>
              <a:gd name="connsiteX631" fmla="*/ 1343730 w 2280745"/>
              <a:gd name="connsiteY631" fmla="*/ 420662 h 1308087"/>
              <a:gd name="connsiteX632" fmla="*/ 1349844 w 2280745"/>
              <a:gd name="connsiteY632" fmla="*/ 411442 h 1308087"/>
              <a:gd name="connsiteX633" fmla="*/ 1333361 w 2280745"/>
              <a:gd name="connsiteY633" fmla="*/ 357886 h 1308087"/>
              <a:gd name="connsiteX634" fmla="*/ 1330685 w 2280745"/>
              <a:gd name="connsiteY634" fmla="*/ 354153 h 1308087"/>
              <a:gd name="connsiteX635" fmla="*/ 1326256 w 2280745"/>
              <a:gd name="connsiteY635" fmla="*/ 352399 h 1308087"/>
              <a:gd name="connsiteX636" fmla="*/ 1326256 w 2280745"/>
              <a:gd name="connsiteY636" fmla="*/ 352185 h 1308087"/>
              <a:gd name="connsiteX637" fmla="*/ 1280022 w 2280745"/>
              <a:gd name="connsiteY637" fmla="*/ 352185 h 1308087"/>
              <a:gd name="connsiteX638" fmla="*/ 1482314 w 2280745"/>
              <a:gd name="connsiteY638" fmla="*/ 352185 h 1308087"/>
              <a:gd name="connsiteX639" fmla="*/ 1482314 w 2280745"/>
              <a:gd name="connsiteY639" fmla="*/ 352410 h 1308087"/>
              <a:gd name="connsiteX640" fmla="*/ 1481697 w 2280745"/>
              <a:gd name="connsiteY640" fmla="*/ 352375 h 1308087"/>
              <a:gd name="connsiteX641" fmla="*/ 1474533 w 2280745"/>
              <a:gd name="connsiteY641" fmla="*/ 357886 h 1308087"/>
              <a:gd name="connsiteX642" fmla="*/ 1458052 w 2280745"/>
              <a:gd name="connsiteY642" fmla="*/ 411442 h 1308087"/>
              <a:gd name="connsiteX643" fmla="*/ 1464166 w 2280745"/>
              <a:gd name="connsiteY643" fmla="*/ 420662 h 1308087"/>
              <a:gd name="connsiteX644" fmla="*/ 1466199 w 2280745"/>
              <a:gd name="connsiteY644" fmla="*/ 421136 h 1308087"/>
              <a:gd name="connsiteX645" fmla="*/ 1476788 w 2280745"/>
              <a:gd name="connsiteY645" fmla="*/ 415813 h 1308087"/>
              <a:gd name="connsiteX646" fmla="*/ 1482314 w 2280745"/>
              <a:gd name="connsiteY646" fmla="*/ 397857 h 1308087"/>
              <a:gd name="connsiteX647" fmla="*/ 1482314 w 2280745"/>
              <a:gd name="connsiteY647" fmla="*/ 418041 h 1308087"/>
              <a:gd name="connsiteX648" fmla="*/ 1482314 w 2280745"/>
              <a:gd name="connsiteY648" fmla="*/ 424655 h 1308087"/>
              <a:gd name="connsiteX649" fmla="*/ 1482314 w 2280745"/>
              <a:gd name="connsiteY649" fmla="*/ 473487 h 1308087"/>
              <a:gd name="connsiteX650" fmla="*/ 1490960 w 2280745"/>
              <a:gd name="connsiteY650" fmla="*/ 481014 h 1308087"/>
              <a:gd name="connsiteX651" fmla="*/ 1493064 w 2280745"/>
              <a:gd name="connsiteY651" fmla="*/ 481014 h 1308087"/>
              <a:gd name="connsiteX652" fmla="*/ 1501710 w 2280745"/>
              <a:gd name="connsiteY652" fmla="*/ 473487 h 1308087"/>
              <a:gd name="connsiteX653" fmla="*/ 1501710 w 2280745"/>
              <a:gd name="connsiteY653" fmla="*/ 424655 h 1308087"/>
              <a:gd name="connsiteX654" fmla="*/ 1509153 w 2280745"/>
              <a:gd name="connsiteY654" fmla="*/ 424655 h 1308087"/>
              <a:gd name="connsiteX655" fmla="*/ 1509153 w 2280745"/>
              <a:gd name="connsiteY655" fmla="*/ 473487 h 1308087"/>
              <a:gd name="connsiteX656" fmla="*/ 1517799 w 2280745"/>
              <a:gd name="connsiteY656" fmla="*/ 481014 h 1308087"/>
              <a:gd name="connsiteX657" fmla="*/ 1519903 w 2280745"/>
              <a:gd name="connsiteY657" fmla="*/ 481014 h 1308087"/>
              <a:gd name="connsiteX658" fmla="*/ 1528549 w 2280745"/>
              <a:gd name="connsiteY658" fmla="*/ 473487 h 1308087"/>
              <a:gd name="connsiteX659" fmla="*/ 1528549 w 2280745"/>
              <a:gd name="connsiteY659" fmla="*/ 424655 h 1308087"/>
              <a:gd name="connsiteX660" fmla="*/ 1528549 w 2280745"/>
              <a:gd name="connsiteY660" fmla="*/ 418041 h 1308087"/>
              <a:gd name="connsiteX661" fmla="*/ 1528549 w 2280745"/>
              <a:gd name="connsiteY661" fmla="*/ 400049 h 1308087"/>
              <a:gd name="connsiteX662" fmla="*/ 1533400 w 2280745"/>
              <a:gd name="connsiteY662" fmla="*/ 415813 h 1308087"/>
              <a:gd name="connsiteX663" fmla="*/ 1543989 w 2280745"/>
              <a:gd name="connsiteY663" fmla="*/ 421136 h 1308087"/>
              <a:gd name="connsiteX664" fmla="*/ 1546022 w 2280745"/>
              <a:gd name="connsiteY664" fmla="*/ 420662 h 1308087"/>
              <a:gd name="connsiteX665" fmla="*/ 1552136 w 2280745"/>
              <a:gd name="connsiteY665" fmla="*/ 411442 h 1308087"/>
              <a:gd name="connsiteX666" fmla="*/ 1535655 w 2280745"/>
              <a:gd name="connsiteY666" fmla="*/ 357886 h 1308087"/>
              <a:gd name="connsiteX667" fmla="*/ 1532977 w 2280745"/>
              <a:gd name="connsiteY667" fmla="*/ 354153 h 1308087"/>
              <a:gd name="connsiteX668" fmla="*/ 1528549 w 2280745"/>
              <a:gd name="connsiteY668" fmla="*/ 352399 h 1308087"/>
              <a:gd name="connsiteX669" fmla="*/ 1528549 w 2280745"/>
              <a:gd name="connsiteY669" fmla="*/ 352185 h 1308087"/>
              <a:gd name="connsiteX670" fmla="*/ 1482314 w 2280745"/>
              <a:gd name="connsiteY670" fmla="*/ 352185 h 1308087"/>
              <a:gd name="connsiteX671" fmla="*/ 1679477 w 2280745"/>
              <a:gd name="connsiteY671" fmla="*/ 352185 h 1308087"/>
              <a:gd name="connsiteX672" fmla="*/ 1679477 w 2280745"/>
              <a:gd name="connsiteY672" fmla="*/ 352410 h 1308087"/>
              <a:gd name="connsiteX673" fmla="*/ 1678860 w 2280745"/>
              <a:gd name="connsiteY673" fmla="*/ 352375 h 1308087"/>
              <a:gd name="connsiteX674" fmla="*/ 1671696 w 2280745"/>
              <a:gd name="connsiteY674" fmla="*/ 357886 h 1308087"/>
              <a:gd name="connsiteX675" fmla="*/ 1655215 w 2280745"/>
              <a:gd name="connsiteY675" fmla="*/ 411442 h 1308087"/>
              <a:gd name="connsiteX676" fmla="*/ 1661328 w 2280745"/>
              <a:gd name="connsiteY676" fmla="*/ 420662 h 1308087"/>
              <a:gd name="connsiteX677" fmla="*/ 1663362 w 2280745"/>
              <a:gd name="connsiteY677" fmla="*/ 421136 h 1308087"/>
              <a:gd name="connsiteX678" fmla="*/ 1673951 w 2280745"/>
              <a:gd name="connsiteY678" fmla="*/ 415813 h 1308087"/>
              <a:gd name="connsiteX679" fmla="*/ 1679477 w 2280745"/>
              <a:gd name="connsiteY679" fmla="*/ 397857 h 1308087"/>
              <a:gd name="connsiteX680" fmla="*/ 1679477 w 2280745"/>
              <a:gd name="connsiteY680" fmla="*/ 418041 h 1308087"/>
              <a:gd name="connsiteX681" fmla="*/ 1679477 w 2280745"/>
              <a:gd name="connsiteY681" fmla="*/ 424655 h 1308087"/>
              <a:gd name="connsiteX682" fmla="*/ 1679477 w 2280745"/>
              <a:gd name="connsiteY682" fmla="*/ 473487 h 1308087"/>
              <a:gd name="connsiteX683" fmla="*/ 1688123 w 2280745"/>
              <a:gd name="connsiteY683" fmla="*/ 481014 h 1308087"/>
              <a:gd name="connsiteX684" fmla="*/ 1690227 w 2280745"/>
              <a:gd name="connsiteY684" fmla="*/ 481014 h 1308087"/>
              <a:gd name="connsiteX685" fmla="*/ 1698873 w 2280745"/>
              <a:gd name="connsiteY685" fmla="*/ 473487 h 1308087"/>
              <a:gd name="connsiteX686" fmla="*/ 1698873 w 2280745"/>
              <a:gd name="connsiteY686" fmla="*/ 424655 h 1308087"/>
              <a:gd name="connsiteX687" fmla="*/ 1706314 w 2280745"/>
              <a:gd name="connsiteY687" fmla="*/ 424655 h 1308087"/>
              <a:gd name="connsiteX688" fmla="*/ 1706314 w 2280745"/>
              <a:gd name="connsiteY688" fmla="*/ 473487 h 1308087"/>
              <a:gd name="connsiteX689" fmla="*/ 1714961 w 2280745"/>
              <a:gd name="connsiteY689" fmla="*/ 481014 h 1308087"/>
              <a:gd name="connsiteX690" fmla="*/ 1717066 w 2280745"/>
              <a:gd name="connsiteY690" fmla="*/ 481014 h 1308087"/>
              <a:gd name="connsiteX691" fmla="*/ 1725712 w 2280745"/>
              <a:gd name="connsiteY691" fmla="*/ 473487 h 1308087"/>
              <a:gd name="connsiteX692" fmla="*/ 1725712 w 2280745"/>
              <a:gd name="connsiteY692" fmla="*/ 424655 h 1308087"/>
              <a:gd name="connsiteX693" fmla="*/ 1725712 w 2280745"/>
              <a:gd name="connsiteY693" fmla="*/ 418041 h 1308087"/>
              <a:gd name="connsiteX694" fmla="*/ 1725712 w 2280745"/>
              <a:gd name="connsiteY694" fmla="*/ 400049 h 1308087"/>
              <a:gd name="connsiteX695" fmla="*/ 1730563 w 2280745"/>
              <a:gd name="connsiteY695" fmla="*/ 415813 h 1308087"/>
              <a:gd name="connsiteX696" fmla="*/ 1741152 w 2280745"/>
              <a:gd name="connsiteY696" fmla="*/ 421136 h 1308087"/>
              <a:gd name="connsiteX697" fmla="*/ 1743185 w 2280745"/>
              <a:gd name="connsiteY697" fmla="*/ 420662 h 1308087"/>
              <a:gd name="connsiteX698" fmla="*/ 1749299 w 2280745"/>
              <a:gd name="connsiteY698" fmla="*/ 411442 h 1308087"/>
              <a:gd name="connsiteX699" fmla="*/ 1732817 w 2280745"/>
              <a:gd name="connsiteY699" fmla="*/ 357886 h 1308087"/>
              <a:gd name="connsiteX700" fmla="*/ 1730140 w 2280745"/>
              <a:gd name="connsiteY700" fmla="*/ 354153 h 1308087"/>
              <a:gd name="connsiteX701" fmla="*/ 1725712 w 2280745"/>
              <a:gd name="connsiteY701" fmla="*/ 352399 h 1308087"/>
              <a:gd name="connsiteX702" fmla="*/ 1725712 w 2280745"/>
              <a:gd name="connsiteY702" fmla="*/ 352185 h 1308087"/>
              <a:gd name="connsiteX703" fmla="*/ 1679477 w 2280745"/>
              <a:gd name="connsiteY703" fmla="*/ 352185 h 1308087"/>
              <a:gd name="connsiteX704" fmla="*/ 1882298 w 2280745"/>
              <a:gd name="connsiteY704" fmla="*/ 352185 h 1308087"/>
              <a:gd name="connsiteX705" fmla="*/ 1882298 w 2280745"/>
              <a:gd name="connsiteY705" fmla="*/ 352410 h 1308087"/>
              <a:gd name="connsiteX706" fmla="*/ 1881681 w 2280745"/>
              <a:gd name="connsiteY706" fmla="*/ 352375 h 1308087"/>
              <a:gd name="connsiteX707" fmla="*/ 1874518 w 2280745"/>
              <a:gd name="connsiteY707" fmla="*/ 357886 h 1308087"/>
              <a:gd name="connsiteX708" fmla="*/ 1858037 w 2280745"/>
              <a:gd name="connsiteY708" fmla="*/ 411442 h 1308087"/>
              <a:gd name="connsiteX709" fmla="*/ 1864152 w 2280745"/>
              <a:gd name="connsiteY709" fmla="*/ 420662 h 1308087"/>
              <a:gd name="connsiteX710" fmla="*/ 1866184 w 2280745"/>
              <a:gd name="connsiteY710" fmla="*/ 421136 h 1308087"/>
              <a:gd name="connsiteX711" fmla="*/ 1876773 w 2280745"/>
              <a:gd name="connsiteY711" fmla="*/ 415813 h 1308087"/>
              <a:gd name="connsiteX712" fmla="*/ 1882298 w 2280745"/>
              <a:gd name="connsiteY712" fmla="*/ 397857 h 1308087"/>
              <a:gd name="connsiteX713" fmla="*/ 1882298 w 2280745"/>
              <a:gd name="connsiteY713" fmla="*/ 418041 h 1308087"/>
              <a:gd name="connsiteX714" fmla="*/ 1882298 w 2280745"/>
              <a:gd name="connsiteY714" fmla="*/ 424655 h 1308087"/>
              <a:gd name="connsiteX715" fmla="*/ 1882298 w 2280745"/>
              <a:gd name="connsiteY715" fmla="*/ 473487 h 1308087"/>
              <a:gd name="connsiteX716" fmla="*/ 1890944 w 2280745"/>
              <a:gd name="connsiteY716" fmla="*/ 481014 h 1308087"/>
              <a:gd name="connsiteX717" fmla="*/ 1893050 w 2280745"/>
              <a:gd name="connsiteY717" fmla="*/ 481014 h 1308087"/>
              <a:gd name="connsiteX718" fmla="*/ 1901696 w 2280745"/>
              <a:gd name="connsiteY718" fmla="*/ 473487 h 1308087"/>
              <a:gd name="connsiteX719" fmla="*/ 1901696 w 2280745"/>
              <a:gd name="connsiteY719" fmla="*/ 424655 h 1308087"/>
              <a:gd name="connsiteX720" fmla="*/ 1909138 w 2280745"/>
              <a:gd name="connsiteY720" fmla="*/ 424655 h 1308087"/>
              <a:gd name="connsiteX721" fmla="*/ 1909138 w 2280745"/>
              <a:gd name="connsiteY721" fmla="*/ 473487 h 1308087"/>
              <a:gd name="connsiteX722" fmla="*/ 1917783 w 2280745"/>
              <a:gd name="connsiteY722" fmla="*/ 481014 h 1308087"/>
              <a:gd name="connsiteX723" fmla="*/ 1919889 w 2280745"/>
              <a:gd name="connsiteY723" fmla="*/ 481014 h 1308087"/>
              <a:gd name="connsiteX724" fmla="*/ 1928535 w 2280745"/>
              <a:gd name="connsiteY724" fmla="*/ 473487 h 1308087"/>
              <a:gd name="connsiteX725" fmla="*/ 1928535 w 2280745"/>
              <a:gd name="connsiteY725" fmla="*/ 424655 h 1308087"/>
              <a:gd name="connsiteX726" fmla="*/ 1928535 w 2280745"/>
              <a:gd name="connsiteY726" fmla="*/ 418041 h 1308087"/>
              <a:gd name="connsiteX727" fmla="*/ 1928535 w 2280745"/>
              <a:gd name="connsiteY727" fmla="*/ 400049 h 1308087"/>
              <a:gd name="connsiteX728" fmla="*/ 1933385 w 2280745"/>
              <a:gd name="connsiteY728" fmla="*/ 415813 h 1308087"/>
              <a:gd name="connsiteX729" fmla="*/ 1943974 w 2280745"/>
              <a:gd name="connsiteY729" fmla="*/ 421136 h 1308087"/>
              <a:gd name="connsiteX730" fmla="*/ 1946009 w 2280745"/>
              <a:gd name="connsiteY730" fmla="*/ 420662 h 1308087"/>
              <a:gd name="connsiteX731" fmla="*/ 1952121 w 2280745"/>
              <a:gd name="connsiteY731" fmla="*/ 411442 h 1308087"/>
              <a:gd name="connsiteX732" fmla="*/ 1935640 w 2280745"/>
              <a:gd name="connsiteY732" fmla="*/ 357886 h 1308087"/>
              <a:gd name="connsiteX733" fmla="*/ 1932962 w 2280745"/>
              <a:gd name="connsiteY733" fmla="*/ 354153 h 1308087"/>
              <a:gd name="connsiteX734" fmla="*/ 1928535 w 2280745"/>
              <a:gd name="connsiteY734" fmla="*/ 352399 h 1308087"/>
              <a:gd name="connsiteX735" fmla="*/ 1928535 w 2280745"/>
              <a:gd name="connsiteY735" fmla="*/ 352185 h 1308087"/>
              <a:gd name="connsiteX736" fmla="*/ 1882298 w 2280745"/>
              <a:gd name="connsiteY736" fmla="*/ 352185 h 1308087"/>
              <a:gd name="connsiteX737" fmla="*/ 2081622 w 2280745"/>
              <a:gd name="connsiteY737" fmla="*/ 352185 h 1308087"/>
              <a:gd name="connsiteX738" fmla="*/ 2081622 w 2280745"/>
              <a:gd name="connsiteY738" fmla="*/ 352410 h 1308087"/>
              <a:gd name="connsiteX739" fmla="*/ 2081004 w 2280745"/>
              <a:gd name="connsiteY739" fmla="*/ 352375 h 1308087"/>
              <a:gd name="connsiteX740" fmla="*/ 2073841 w 2280745"/>
              <a:gd name="connsiteY740" fmla="*/ 357886 h 1308087"/>
              <a:gd name="connsiteX741" fmla="*/ 2057362 w 2280745"/>
              <a:gd name="connsiteY741" fmla="*/ 411442 h 1308087"/>
              <a:gd name="connsiteX742" fmla="*/ 2063474 w 2280745"/>
              <a:gd name="connsiteY742" fmla="*/ 420662 h 1308087"/>
              <a:gd name="connsiteX743" fmla="*/ 2065507 w 2280745"/>
              <a:gd name="connsiteY743" fmla="*/ 421136 h 1308087"/>
              <a:gd name="connsiteX744" fmla="*/ 2076097 w 2280745"/>
              <a:gd name="connsiteY744" fmla="*/ 415813 h 1308087"/>
              <a:gd name="connsiteX745" fmla="*/ 2081622 w 2280745"/>
              <a:gd name="connsiteY745" fmla="*/ 397857 h 1308087"/>
              <a:gd name="connsiteX746" fmla="*/ 2081622 w 2280745"/>
              <a:gd name="connsiteY746" fmla="*/ 418041 h 1308087"/>
              <a:gd name="connsiteX747" fmla="*/ 2081622 w 2280745"/>
              <a:gd name="connsiteY747" fmla="*/ 424655 h 1308087"/>
              <a:gd name="connsiteX748" fmla="*/ 2081622 w 2280745"/>
              <a:gd name="connsiteY748" fmla="*/ 473487 h 1308087"/>
              <a:gd name="connsiteX749" fmla="*/ 2090268 w 2280745"/>
              <a:gd name="connsiteY749" fmla="*/ 481014 h 1308087"/>
              <a:gd name="connsiteX750" fmla="*/ 2092373 w 2280745"/>
              <a:gd name="connsiteY750" fmla="*/ 481014 h 1308087"/>
              <a:gd name="connsiteX751" fmla="*/ 2101019 w 2280745"/>
              <a:gd name="connsiteY751" fmla="*/ 473487 h 1308087"/>
              <a:gd name="connsiteX752" fmla="*/ 2101019 w 2280745"/>
              <a:gd name="connsiteY752" fmla="*/ 424655 h 1308087"/>
              <a:gd name="connsiteX753" fmla="*/ 2108461 w 2280745"/>
              <a:gd name="connsiteY753" fmla="*/ 424655 h 1308087"/>
              <a:gd name="connsiteX754" fmla="*/ 2108461 w 2280745"/>
              <a:gd name="connsiteY754" fmla="*/ 473487 h 1308087"/>
              <a:gd name="connsiteX755" fmla="*/ 2117107 w 2280745"/>
              <a:gd name="connsiteY755" fmla="*/ 481014 h 1308087"/>
              <a:gd name="connsiteX756" fmla="*/ 2119212 w 2280745"/>
              <a:gd name="connsiteY756" fmla="*/ 481014 h 1308087"/>
              <a:gd name="connsiteX757" fmla="*/ 2127858 w 2280745"/>
              <a:gd name="connsiteY757" fmla="*/ 473487 h 1308087"/>
              <a:gd name="connsiteX758" fmla="*/ 2127858 w 2280745"/>
              <a:gd name="connsiteY758" fmla="*/ 424655 h 1308087"/>
              <a:gd name="connsiteX759" fmla="*/ 2127858 w 2280745"/>
              <a:gd name="connsiteY759" fmla="*/ 418041 h 1308087"/>
              <a:gd name="connsiteX760" fmla="*/ 2127858 w 2280745"/>
              <a:gd name="connsiteY760" fmla="*/ 400049 h 1308087"/>
              <a:gd name="connsiteX761" fmla="*/ 2132707 w 2280745"/>
              <a:gd name="connsiteY761" fmla="*/ 415813 h 1308087"/>
              <a:gd name="connsiteX762" fmla="*/ 2143298 w 2280745"/>
              <a:gd name="connsiteY762" fmla="*/ 421136 h 1308087"/>
              <a:gd name="connsiteX763" fmla="*/ 2145331 w 2280745"/>
              <a:gd name="connsiteY763" fmla="*/ 420662 h 1308087"/>
              <a:gd name="connsiteX764" fmla="*/ 2151445 w 2280745"/>
              <a:gd name="connsiteY764" fmla="*/ 411442 h 1308087"/>
              <a:gd name="connsiteX765" fmla="*/ 2134963 w 2280745"/>
              <a:gd name="connsiteY765" fmla="*/ 357886 h 1308087"/>
              <a:gd name="connsiteX766" fmla="*/ 2132286 w 2280745"/>
              <a:gd name="connsiteY766" fmla="*/ 354153 h 1308087"/>
              <a:gd name="connsiteX767" fmla="*/ 2127858 w 2280745"/>
              <a:gd name="connsiteY767" fmla="*/ 352399 h 1308087"/>
              <a:gd name="connsiteX768" fmla="*/ 2127858 w 2280745"/>
              <a:gd name="connsiteY768" fmla="*/ 352185 h 1308087"/>
              <a:gd name="connsiteX769" fmla="*/ 2081622 w 2280745"/>
              <a:gd name="connsiteY769" fmla="*/ 352185 h 1308087"/>
              <a:gd name="connsiteX770" fmla="*/ 303668 w 2280745"/>
              <a:gd name="connsiteY770" fmla="*/ 560173 h 1308087"/>
              <a:gd name="connsiteX771" fmla="*/ 284721 w 2280745"/>
              <a:gd name="connsiteY771" fmla="*/ 576669 h 1308087"/>
              <a:gd name="connsiteX772" fmla="*/ 303668 w 2280745"/>
              <a:gd name="connsiteY772" fmla="*/ 593165 h 1308087"/>
              <a:gd name="connsiteX773" fmla="*/ 322614 w 2280745"/>
              <a:gd name="connsiteY773" fmla="*/ 576669 h 1308087"/>
              <a:gd name="connsiteX774" fmla="*/ 303668 w 2280745"/>
              <a:gd name="connsiteY774" fmla="*/ 560173 h 1308087"/>
              <a:gd name="connsiteX775" fmla="*/ 503662 w 2280745"/>
              <a:gd name="connsiteY775" fmla="*/ 560173 h 1308087"/>
              <a:gd name="connsiteX776" fmla="*/ 484717 w 2280745"/>
              <a:gd name="connsiteY776" fmla="*/ 576669 h 1308087"/>
              <a:gd name="connsiteX777" fmla="*/ 503662 w 2280745"/>
              <a:gd name="connsiteY777" fmla="*/ 593165 h 1308087"/>
              <a:gd name="connsiteX778" fmla="*/ 522607 w 2280745"/>
              <a:gd name="connsiteY778" fmla="*/ 576669 h 1308087"/>
              <a:gd name="connsiteX779" fmla="*/ 503662 w 2280745"/>
              <a:gd name="connsiteY779" fmla="*/ 560173 h 1308087"/>
              <a:gd name="connsiteX780" fmla="*/ 703653 w 2280745"/>
              <a:gd name="connsiteY780" fmla="*/ 560173 h 1308087"/>
              <a:gd name="connsiteX781" fmla="*/ 684709 w 2280745"/>
              <a:gd name="connsiteY781" fmla="*/ 576669 h 1308087"/>
              <a:gd name="connsiteX782" fmla="*/ 703653 w 2280745"/>
              <a:gd name="connsiteY782" fmla="*/ 593165 h 1308087"/>
              <a:gd name="connsiteX783" fmla="*/ 722600 w 2280745"/>
              <a:gd name="connsiteY783" fmla="*/ 576669 h 1308087"/>
              <a:gd name="connsiteX784" fmla="*/ 703653 w 2280745"/>
              <a:gd name="connsiteY784" fmla="*/ 560173 h 1308087"/>
              <a:gd name="connsiteX785" fmla="*/ 903646 w 2280745"/>
              <a:gd name="connsiteY785" fmla="*/ 560173 h 1308087"/>
              <a:gd name="connsiteX786" fmla="*/ 884701 w 2280745"/>
              <a:gd name="connsiteY786" fmla="*/ 576669 h 1308087"/>
              <a:gd name="connsiteX787" fmla="*/ 903646 w 2280745"/>
              <a:gd name="connsiteY787" fmla="*/ 593165 h 1308087"/>
              <a:gd name="connsiteX788" fmla="*/ 922591 w 2280745"/>
              <a:gd name="connsiteY788" fmla="*/ 576669 h 1308087"/>
              <a:gd name="connsiteX789" fmla="*/ 903646 w 2280745"/>
              <a:gd name="connsiteY789" fmla="*/ 560173 h 1308087"/>
              <a:gd name="connsiteX790" fmla="*/ 1103638 w 2280745"/>
              <a:gd name="connsiteY790" fmla="*/ 560173 h 1308087"/>
              <a:gd name="connsiteX791" fmla="*/ 1084694 w 2280745"/>
              <a:gd name="connsiteY791" fmla="*/ 576669 h 1308087"/>
              <a:gd name="connsiteX792" fmla="*/ 1103638 w 2280745"/>
              <a:gd name="connsiteY792" fmla="*/ 593165 h 1308087"/>
              <a:gd name="connsiteX793" fmla="*/ 1122584 w 2280745"/>
              <a:gd name="connsiteY793" fmla="*/ 576669 h 1308087"/>
              <a:gd name="connsiteX794" fmla="*/ 1103638 w 2280745"/>
              <a:gd name="connsiteY794" fmla="*/ 560173 h 1308087"/>
              <a:gd name="connsiteX795" fmla="*/ 1303631 w 2280745"/>
              <a:gd name="connsiteY795" fmla="*/ 560173 h 1308087"/>
              <a:gd name="connsiteX796" fmla="*/ 1284685 w 2280745"/>
              <a:gd name="connsiteY796" fmla="*/ 576669 h 1308087"/>
              <a:gd name="connsiteX797" fmla="*/ 1303631 w 2280745"/>
              <a:gd name="connsiteY797" fmla="*/ 593165 h 1308087"/>
              <a:gd name="connsiteX798" fmla="*/ 1322576 w 2280745"/>
              <a:gd name="connsiteY798" fmla="*/ 576669 h 1308087"/>
              <a:gd name="connsiteX799" fmla="*/ 1303631 w 2280745"/>
              <a:gd name="connsiteY799" fmla="*/ 560173 h 1308087"/>
              <a:gd name="connsiteX800" fmla="*/ 1505923 w 2280745"/>
              <a:gd name="connsiteY800" fmla="*/ 560173 h 1308087"/>
              <a:gd name="connsiteX801" fmla="*/ 1486979 w 2280745"/>
              <a:gd name="connsiteY801" fmla="*/ 576669 h 1308087"/>
              <a:gd name="connsiteX802" fmla="*/ 1505923 w 2280745"/>
              <a:gd name="connsiteY802" fmla="*/ 593165 h 1308087"/>
              <a:gd name="connsiteX803" fmla="*/ 1524868 w 2280745"/>
              <a:gd name="connsiteY803" fmla="*/ 576669 h 1308087"/>
              <a:gd name="connsiteX804" fmla="*/ 1505923 w 2280745"/>
              <a:gd name="connsiteY804" fmla="*/ 560173 h 1308087"/>
              <a:gd name="connsiteX805" fmla="*/ 1703085 w 2280745"/>
              <a:gd name="connsiteY805" fmla="*/ 560173 h 1308087"/>
              <a:gd name="connsiteX806" fmla="*/ 1684140 w 2280745"/>
              <a:gd name="connsiteY806" fmla="*/ 576669 h 1308087"/>
              <a:gd name="connsiteX807" fmla="*/ 1703085 w 2280745"/>
              <a:gd name="connsiteY807" fmla="*/ 593165 h 1308087"/>
              <a:gd name="connsiteX808" fmla="*/ 1722031 w 2280745"/>
              <a:gd name="connsiteY808" fmla="*/ 576669 h 1308087"/>
              <a:gd name="connsiteX809" fmla="*/ 1703085 w 2280745"/>
              <a:gd name="connsiteY809" fmla="*/ 560173 h 1308087"/>
              <a:gd name="connsiteX810" fmla="*/ 1905908 w 2280745"/>
              <a:gd name="connsiteY810" fmla="*/ 560173 h 1308087"/>
              <a:gd name="connsiteX811" fmla="*/ 1886962 w 2280745"/>
              <a:gd name="connsiteY811" fmla="*/ 576669 h 1308087"/>
              <a:gd name="connsiteX812" fmla="*/ 1905908 w 2280745"/>
              <a:gd name="connsiteY812" fmla="*/ 593165 h 1308087"/>
              <a:gd name="connsiteX813" fmla="*/ 1924855 w 2280745"/>
              <a:gd name="connsiteY813" fmla="*/ 576669 h 1308087"/>
              <a:gd name="connsiteX814" fmla="*/ 1905908 w 2280745"/>
              <a:gd name="connsiteY814" fmla="*/ 560173 h 1308087"/>
              <a:gd name="connsiteX815" fmla="*/ 2105231 w 2280745"/>
              <a:gd name="connsiteY815" fmla="*/ 560173 h 1308087"/>
              <a:gd name="connsiteX816" fmla="*/ 2086286 w 2280745"/>
              <a:gd name="connsiteY816" fmla="*/ 576669 h 1308087"/>
              <a:gd name="connsiteX817" fmla="*/ 2105231 w 2280745"/>
              <a:gd name="connsiteY817" fmla="*/ 593165 h 1308087"/>
              <a:gd name="connsiteX818" fmla="*/ 2124177 w 2280745"/>
              <a:gd name="connsiteY818" fmla="*/ 576669 h 1308087"/>
              <a:gd name="connsiteX819" fmla="*/ 2105231 w 2280745"/>
              <a:gd name="connsiteY819" fmla="*/ 560173 h 1308087"/>
              <a:gd name="connsiteX820" fmla="*/ 280058 w 2280745"/>
              <a:gd name="connsiteY820" fmla="*/ 596830 h 1308087"/>
              <a:gd name="connsiteX821" fmla="*/ 280058 w 2280745"/>
              <a:gd name="connsiteY821" fmla="*/ 597055 h 1308087"/>
              <a:gd name="connsiteX822" fmla="*/ 279441 w 2280745"/>
              <a:gd name="connsiteY822" fmla="*/ 597020 h 1308087"/>
              <a:gd name="connsiteX823" fmla="*/ 272279 w 2280745"/>
              <a:gd name="connsiteY823" fmla="*/ 602531 h 1308087"/>
              <a:gd name="connsiteX824" fmla="*/ 255797 w 2280745"/>
              <a:gd name="connsiteY824" fmla="*/ 656086 h 1308087"/>
              <a:gd name="connsiteX825" fmla="*/ 261911 w 2280745"/>
              <a:gd name="connsiteY825" fmla="*/ 665305 h 1308087"/>
              <a:gd name="connsiteX826" fmla="*/ 263944 w 2280745"/>
              <a:gd name="connsiteY826" fmla="*/ 665780 h 1308087"/>
              <a:gd name="connsiteX827" fmla="*/ 274533 w 2280745"/>
              <a:gd name="connsiteY827" fmla="*/ 660457 h 1308087"/>
              <a:gd name="connsiteX828" fmla="*/ 280058 w 2280745"/>
              <a:gd name="connsiteY828" fmla="*/ 642502 h 1308087"/>
              <a:gd name="connsiteX829" fmla="*/ 280058 w 2280745"/>
              <a:gd name="connsiteY829" fmla="*/ 662686 h 1308087"/>
              <a:gd name="connsiteX830" fmla="*/ 280058 w 2280745"/>
              <a:gd name="connsiteY830" fmla="*/ 669300 h 1308087"/>
              <a:gd name="connsiteX831" fmla="*/ 280058 w 2280745"/>
              <a:gd name="connsiteY831" fmla="*/ 718130 h 1308087"/>
              <a:gd name="connsiteX832" fmla="*/ 288705 w 2280745"/>
              <a:gd name="connsiteY832" fmla="*/ 725658 h 1308087"/>
              <a:gd name="connsiteX833" fmla="*/ 290809 w 2280745"/>
              <a:gd name="connsiteY833" fmla="*/ 725658 h 1308087"/>
              <a:gd name="connsiteX834" fmla="*/ 299455 w 2280745"/>
              <a:gd name="connsiteY834" fmla="*/ 718130 h 1308087"/>
              <a:gd name="connsiteX835" fmla="*/ 299455 w 2280745"/>
              <a:gd name="connsiteY835" fmla="*/ 669300 h 1308087"/>
              <a:gd name="connsiteX836" fmla="*/ 306898 w 2280745"/>
              <a:gd name="connsiteY836" fmla="*/ 669300 h 1308087"/>
              <a:gd name="connsiteX837" fmla="*/ 306898 w 2280745"/>
              <a:gd name="connsiteY837" fmla="*/ 718130 h 1308087"/>
              <a:gd name="connsiteX838" fmla="*/ 315544 w 2280745"/>
              <a:gd name="connsiteY838" fmla="*/ 725658 h 1308087"/>
              <a:gd name="connsiteX839" fmla="*/ 317649 w 2280745"/>
              <a:gd name="connsiteY839" fmla="*/ 725658 h 1308087"/>
              <a:gd name="connsiteX840" fmla="*/ 326293 w 2280745"/>
              <a:gd name="connsiteY840" fmla="*/ 718130 h 1308087"/>
              <a:gd name="connsiteX841" fmla="*/ 326293 w 2280745"/>
              <a:gd name="connsiteY841" fmla="*/ 669300 h 1308087"/>
              <a:gd name="connsiteX842" fmla="*/ 326293 w 2280745"/>
              <a:gd name="connsiteY842" fmla="*/ 662686 h 1308087"/>
              <a:gd name="connsiteX843" fmla="*/ 326293 w 2280745"/>
              <a:gd name="connsiteY843" fmla="*/ 644694 h 1308087"/>
              <a:gd name="connsiteX844" fmla="*/ 331145 w 2280745"/>
              <a:gd name="connsiteY844" fmla="*/ 660457 h 1308087"/>
              <a:gd name="connsiteX845" fmla="*/ 341734 w 2280745"/>
              <a:gd name="connsiteY845" fmla="*/ 665780 h 1308087"/>
              <a:gd name="connsiteX846" fmla="*/ 343767 w 2280745"/>
              <a:gd name="connsiteY846" fmla="*/ 665305 h 1308087"/>
              <a:gd name="connsiteX847" fmla="*/ 349881 w 2280745"/>
              <a:gd name="connsiteY847" fmla="*/ 656086 h 1308087"/>
              <a:gd name="connsiteX848" fmla="*/ 333400 w 2280745"/>
              <a:gd name="connsiteY848" fmla="*/ 602531 h 1308087"/>
              <a:gd name="connsiteX849" fmla="*/ 330722 w 2280745"/>
              <a:gd name="connsiteY849" fmla="*/ 598798 h 1308087"/>
              <a:gd name="connsiteX850" fmla="*/ 326293 w 2280745"/>
              <a:gd name="connsiteY850" fmla="*/ 597043 h 1308087"/>
              <a:gd name="connsiteX851" fmla="*/ 326293 w 2280745"/>
              <a:gd name="connsiteY851" fmla="*/ 596830 h 1308087"/>
              <a:gd name="connsiteX852" fmla="*/ 280058 w 2280745"/>
              <a:gd name="connsiteY852" fmla="*/ 596830 h 1308087"/>
              <a:gd name="connsiteX853" fmla="*/ 480053 w 2280745"/>
              <a:gd name="connsiteY853" fmla="*/ 596830 h 1308087"/>
              <a:gd name="connsiteX854" fmla="*/ 480053 w 2280745"/>
              <a:gd name="connsiteY854" fmla="*/ 597055 h 1308087"/>
              <a:gd name="connsiteX855" fmla="*/ 479436 w 2280745"/>
              <a:gd name="connsiteY855" fmla="*/ 597020 h 1308087"/>
              <a:gd name="connsiteX856" fmla="*/ 472272 w 2280745"/>
              <a:gd name="connsiteY856" fmla="*/ 602531 h 1308087"/>
              <a:gd name="connsiteX857" fmla="*/ 455791 w 2280745"/>
              <a:gd name="connsiteY857" fmla="*/ 656086 h 1308087"/>
              <a:gd name="connsiteX858" fmla="*/ 461906 w 2280745"/>
              <a:gd name="connsiteY858" fmla="*/ 665305 h 1308087"/>
              <a:gd name="connsiteX859" fmla="*/ 463938 w 2280745"/>
              <a:gd name="connsiteY859" fmla="*/ 665780 h 1308087"/>
              <a:gd name="connsiteX860" fmla="*/ 474527 w 2280745"/>
              <a:gd name="connsiteY860" fmla="*/ 660457 h 1308087"/>
              <a:gd name="connsiteX861" fmla="*/ 480053 w 2280745"/>
              <a:gd name="connsiteY861" fmla="*/ 642502 h 1308087"/>
              <a:gd name="connsiteX862" fmla="*/ 480053 w 2280745"/>
              <a:gd name="connsiteY862" fmla="*/ 662686 h 1308087"/>
              <a:gd name="connsiteX863" fmla="*/ 480053 w 2280745"/>
              <a:gd name="connsiteY863" fmla="*/ 669300 h 1308087"/>
              <a:gd name="connsiteX864" fmla="*/ 480053 w 2280745"/>
              <a:gd name="connsiteY864" fmla="*/ 718130 h 1308087"/>
              <a:gd name="connsiteX865" fmla="*/ 488698 w 2280745"/>
              <a:gd name="connsiteY865" fmla="*/ 725658 h 1308087"/>
              <a:gd name="connsiteX866" fmla="*/ 490804 w 2280745"/>
              <a:gd name="connsiteY866" fmla="*/ 725658 h 1308087"/>
              <a:gd name="connsiteX867" fmla="*/ 499450 w 2280745"/>
              <a:gd name="connsiteY867" fmla="*/ 718130 h 1308087"/>
              <a:gd name="connsiteX868" fmla="*/ 499450 w 2280745"/>
              <a:gd name="connsiteY868" fmla="*/ 669300 h 1308087"/>
              <a:gd name="connsiteX869" fmla="*/ 506892 w 2280745"/>
              <a:gd name="connsiteY869" fmla="*/ 669300 h 1308087"/>
              <a:gd name="connsiteX870" fmla="*/ 506892 w 2280745"/>
              <a:gd name="connsiteY870" fmla="*/ 718130 h 1308087"/>
              <a:gd name="connsiteX871" fmla="*/ 515538 w 2280745"/>
              <a:gd name="connsiteY871" fmla="*/ 725658 h 1308087"/>
              <a:gd name="connsiteX872" fmla="*/ 517643 w 2280745"/>
              <a:gd name="connsiteY872" fmla="*/ 725658 h 1308087"/>
              <a:gd name="connsiteX873" fmla="*/ 526287 w 2280745"/>
              <a:gd name="connsiteY873" fmla="*/ 718130 h 1308087"/>
              <a:gd name="connsiteX874" fmla="*/ 526287 w 2280745"/>
              <a:gd name="connsiteY874" fmla="*/ 669300 h 1308087"/>
              <a:gd name="connsiteX875" fmla="*/ 526287 w 2280745"/>
              <a:gd name="connsiteY875" fmla="*/ 662686 h 1308087"/>
              <a:gd name="connsiteX876" fmla="*/ 526287 w 2280745"/>
              <a:gd name="connsiteY876" fmla="*/ 644694 h 1308087"/>
              <a:gd name="connsiteX877" fmla="*/ 531139 w 2280745"/>
              <a:gd name="connsiteY877" fmla="*/ 660457 h 1308087"/>
              <a:gd name="connsiteX878" fmla="*/ 541727 w 2280745"/>
              <a:gd name="connsiteY878" fmla="*/ 665780 h 1308087"/>
              <a:gd name="connsiteX879" fmla="*/ 543761 w 2280745"/>
              <a:gd name="connsiteY879" fmla="*/ 665305 h 1308087"/>
              <a:gd name="connsiteX880" fmla="*/ 549875 w 2280745"/>
              <a:gd name="connsiteY880" fmla="*/ 656086 h 1308087"/>
              <a:gd name="connsiteX881" fmla="*/ 533394 w 2280745"/>
              <a:gd name="connsiteY881" fmla="*/ 602531 h 1308087"/>
              <a:gd name="connsiteX882" fmla="*/ 530716 w 2280745"/>
              <a:gd name="connsiteY882" fmla="*/ 598798 h 1308087"/>
              <a:gd name="connsiteX883" fmla="*/ 526287 w 2280745"/>
              <a:gd name="connsiteY883" fmla="*/ 597043 h 1308087"/>
              <a:gd name="connsiteX884" fmla="*/ 526287 w 2280745"/>
              <a:gd name="connsiteY884" fmla="*/ 596830 h 1308087"/>
              <a:gd name="connsiteX885" fmla="*/ 480053 w 2280745"/>
              <a:gd name="connsiteY885" fmla="*/ 596830 h 1308087"/>
              <a:gd name="connsiteX886" fmla="*/ 680045 w 2280745"/>
              <a:gd name="connsiteY886" fmla="*/ 596830 h 1308087"/>
              <a:gd name="connsiteX887" fmla="*/ 680045 w 2280745"/>
              <a:gd name="connsiteY887" fmla="*/ 597055 h 1308087"/>
              <a:gd name="connsiteX888" fmla="*/ 679427 w 2280745"/>
              <a:gd name="connsiteY888" fmla="*/ 597020 h 1308087"/>
              <a:gd name="connsiteX889" fmla="*/ 672265 w 2280745"/>
              <a:gd name="connsiteY889" fmla="*/ 602531 h 1308087"/>
              <a:gd name="connsiteX890" fmla="*/ 655783 w 2280745"/>
              <a:gd name="connsiteY890" fmla="*/ 656086 h 1308087"/>
              <a:gd name="connsiteX891" fmla="*/ 661899 w 2280745"/>
              <a:gd name="connsiteY891" fmla="*/ 665305 h 1308087"/>
              <a:gd name="connsiteX892" fmla="*/ 663930 w 2280745"/>
              <a:gd name="connsiteY892" fmla="*/ 665780 h 1308087"/>
              <a:gd name="connsiteX893" fmla="*/ 674518 w 2280745"/>
              <a:gd name="connsiteY893" fmla="*/ 660457 h 1308087"/>
              <a:gd name="connsiteX894" fmla="*/ 680045 w 2280745"/>
              <a:gd name="connsiteY894" fmla="*/ 642502 h 1308087"/>
              <a:gd name="connsiteX895" fmla="*/ 680045 w 2280745"/>
              <a:gd name="connsiteY895" fmla="*/ 662686 h 1308087"/>
              <a:gd name="connsiteX896" fmla="*/ 680045 w 2280745"/>
              <a:gd name="connsiteY896" fmla="*/ 669300 h 1308087"/>
              <a:gd name="connsiteX897" fmla="*/ 680045 w 2280745"/>
              <a:gd name="connsiteY897" fmla="*/ 718130 h 1308087"/>
              <a:gd name="connsiteX898" fmla="*/ 688691 w 2280745"/>
              <a:gd name="connsiteY898" fmla="*/ 725658 h 1308087"/>
              <a:gd name="connsiteX899" fmla="*/ 690797 w 2280745"/>
              <a:gd name="connsiteY899" fmla="*/ 725658 h 1308087"/>
              <a:gd name="connsiteX900" fmla="*/ 699443 w 2280745"/>
              <a:gd name="connsiteY900" fmla="*/ 718130 h 1308087"/>
              <a:gd name="connsiteX901" fmla="*/ 699443 w 2280745"/>
              <a:gd name="connsiteY901" fmla="*/ 669300 h 1308087"/>
              <a:gd name="connsiteX902" fmla="*/ 706884 w 2280745"/>
              <a:gd name="connsiteY902" fmla="*/ 669300 h 1308087"/>
              <a:gd name="connsiteX903" fmla="*/ 706884 w 2280745"/>
              <a:gd name="connsiteY903" fmla="*/ 718130 h 1308087"/>
              <a:gd name="connsiteX904" fmla="*/ 715530 w 2280745"/>
              <a:gd name="connsiteY904" fmla="*/ 725658 h 1308087"/>
              <a:gd name="connsiteX905" fmla="*/ 717635 w 2280745"/>
              <a:gd name="connsiteY905" fmla="*/ 725658 h 1308087"/>
              <a:gd name="connsiteX906" fmla="*/ 726280 w 2280745"/>
              <a:gd name="connsiteY906" fmla="*/ 718130 h 1308087"/>
              <a:gd name="connsiteX907" fmla="*/ 726280 w 2280745"/>
              <a:gd name="connsiteY907" fmla="*/ 669300 h 1308087"/>
              <a:gd name="connsiteX908" fmla="*/ 726280 w 2280745"/>
              <a:gd name="connsiteY908" fmla="*/ 662686 h 1308087"/>
              <a:gd name="connsiteX909" fmla="*/ 726280 w 2280745"/>
              <a:gd name="connsiteY909" fmla="*/ 644694 h 1308087"/>
              <a:gd name="connsiteX910" fmla="*/ 731132 w 2280745"/>
              <a:gd name="connsiteY910" fmla="*/ 660457 h 1308087"/>
              <a:gd name="connsiteX911" fmla="*/ 741720 w 2280745"/>
              <a:gd name="connsiteY911" fmla="*/ 665780 h 1308087"/>
              <a:gd name="connsiteX912" fmla="*/ 743753 w 2280745"/>
              <a:gd name="connsiteY912" fmla="*/ 665305 h 1308087"/>
              <a:gd name="connsiteX913" fmla="*/ 749868 w 2280745"/>
              <a:gd name="connsiteY913" fmla="*/ 656086 h 1308087"/>
              <a:gd name="connsiteX914" fmla="*/ 733385 w 2280745"/>
              <a:gd name="connsiteY914" fmla="*/ 602531 h 1308087"/>
              <a:gd name="connsiteX915" fmla="*/ 730709 w 2280745"/>
              <a:gd name="connsiteY915" fmla="*/ 598798 h 1308087"/>
              <a:gd name="connsiteX916" fmla="*/ 726280 w 2280745"/>
              <a:gd name="connsiteY916" fmla="*/ 597043 h 1308087"/>
              <a:gd name="connsiteX917" fmla="*/ 726280 w 2280745"/>
              <a:gd name="connsiteY917" fmla="*/ 596830 h 1308087"/>
              <a:gd name="connsiteX918" fmla="*/ 680045 w 2280745"/>
              <a:gd name="connsiteY918" fmla="*/ 596830 h 1308087"/>
              <a:gd name="connsiteX919" fmla="*/ 880037 w 2280745"/>
              <a:gd name="connsiteY919" fmla="*/ 596830 h 1308087"/>
              <a:gd name="connsiteX920" fmla="*/ 880037 w 2280745"/>
              <a:gd name="connsiteY920" fmla="*/ 597055 h 1308087"/>
              <a:gd name="connsiteX921" fmla="*/ 879420 w 2280745"/>
              <a:gd name="connsiteY921" fmla="*/ 597020 h 1308087"/>
              <a:gd name="connsiteX922" fmla="*/ 872256 w 2280745"/>
              <a:gd name="connsiteY922" fmla="*/ 602531 h 1308087"/>
              <a:gd name="connsiteX923" fmla="*/ 855776 w 2280745"/>
              <a:gd name="connsiteY923" fmla="*/ 656086 h 1308087"/>
              <a:gd name="connsiteX924" fmla="*/ 861890 w 2280745"/>
              <a:gd name="connsiteY924" fmla="*/ 665305 h 1308087"/>
              <a:gd name="connsiteX925" fmla="*/ 863923 w 2280745"/>
              <a:gd name="connsiteY925" fmla="*/ 665780 h 1308087"/>
              <a:gd name="connsiteX926" fmla="*/ 874511 w 2280745"/>
              <a:gd name="connsiteY926" fmla="*/ 660457 h 1308087"/>
              <a:gd name="connsiteX927" fmla="*/ 880037 w 2280745"/>
              <a:gd name="connsiteY927" fmla="*/ 642502 h 1308087"/>
              <a:gd name="connsiteX928" fmla="*/ 880037 w 2280745"/>
              <a:gd name="connsiteY928" fmla="*/ 662686 h 1308087"/>
              <a:gd name="connsiteX929" fmla="*/ 880037 w 2280745"/>
              <a:gd name="connsiteY929" fmla="*/ 669300 h 1308087"/>
              <a:gd name="connsiteX930" fmla="*/ 880037 w 2280745"/>
              <a:gd name="connsiteY930" fmla="*/ 718130 h 1308087"/>
              <a:gd name="connsiteX931" fmla="*/ 888683 w 2280745"/>
              <a:gd name="connsiteY931" fmla="*/ 725658 h 1308087"/>
              <a:gd name="connsiteX932" fmla="*/ 890788 w 2280745"/>
              <a:gd name="connsiteY932" fmla="*/ 725658 h 1308087"/>
              <a:gd name="connsiteX933" fmla="*/ 899434 w 2280745"/>
              <a:gd name="connsiteY933" fmla="*/ 718130 h 1308087"/>
              <a:gd name="connsiteX934" fmla="*/ 899434 w 2280745"/>
              <a:gd name="connsiteY934" fmla="*/ 669300 h 1308087"/>
              <a:gd name="connsiteX935" fmla="*/ 906877 w 2280745"/>
              <a:gd name="connsiteY935" fmla="*/ 669300 h 1308087"/>
              <a:gd name="connsiteX936" fmla="*/ 906877 w 2280745"/>
              <a:gd name="connsiteY936" fmla="*/ 718130 h 1308087"/>
              <a:gd name="connsiteX937" fmla="*/ 915521 w 2280745"/>
              <a:gd name="connsiteY937" fmla="*/ 725658 h 1308087"/>
              <a:gd name="connsiteX938" fmla="*/ 917628 w 2280745"/>
              <a:gd name="connsiteY938" fmla="*/ 725658 h 1308087"/>
              <a:gd name="connsiteX939" fmla="*/ 926272 w 2280745"/>
              <a:gd name="connsiteY939" fmla="*/ 718130 h 1308087"/>
              <a:gd name="connsiteX940" fmla="*/ 926272 w 2280745"/>
              <a:gd name="connsiteY940" fmla="*/ 669300 h 1308087"/>
              <a:gd name="connsiteX941" fmla="*/ 926272 w 2280745"/>
              <a:gd name="connsiteY941" fmla="*/ 662686 h 1308087"/>
              <a:gd name="connsiteX942" fmla="*/ 926272 w 2280745"/>
              <a:gd name="connsiteY942" fmla="*/ 644694 h 1308087"/>
              <a:gd name="connsiteX943" fmla="*/ 931123 w 2280745"/>
              <a:gd name="connsiteY943" fmla="*/ 660457 h 1308087"/>
              <a:gd name="connsiteX944" fmla="*/ 941712 w 2280745"/>
              <a:gd name="connsiteY944" fmla="*/ 665780 h 1308087"/>
              <a:gd name="connsiteX945" fmla="*/ 943745 w 2280745"/>
              <a:gd name="connsiteY945" fmla="*/ 665305 h 1308087"/>
              <a:gd name="connsiteX946" fmla="*/ 949860 w 2280745"/>
              <a:gd name="connsiteY946" fmla="*/ 656086 h 1308087"/>
              <a:gd name="connsiteX947" fmla="*/ 933378 w 2280745"/>
              <a:gd name="connsiteY947" fmla="*/ 602531 h 1308087"/>
              <a:gd name="connsiteX948" fmla="*/ 930701 w 2280745"/>
              <a:gd name="connsiteY948" fmla="*/ 598798 h 1308087"/>
              <a:gd name="connsiteX949" fmla="*/ 926272 w 2280745"/>
              <a:gd name="connsiteY949" fmla="*/ 597043 h 1308087"/>
              <a:gd name="connsiteX950" fmla="*/ 926272 w 2280745"/>
              <a:gd name="connsiteY950" fmla="*/ 596830 h 1308087"/>
              <a:gd name="connsiteX951" fmla="*/ 880037 w 2280745"/>
              <a:gd name="connsiteY951" fmla="*/ 596830 h 1308087"/>
              <a:gd name="connsiteX952" fmla="*/ 1080030 w 2280745"/>
              <a:gd name="connsiteY952" fmla="*/ 596830 h 1308087"/>
              <a:gd name="connsiteX953" fmla="*/ 1080030 w 2280745"/>
              <a:gd name="connsiteY953" fmla="*/ 597055 h 1308087"/>
              <a:gd name="connsiteX954" fmla="*/ 1079412 w 2280745"/>
              <a:gd name="connsiteY954" fmla="*/ 597020 h 1308087"/>
              <a:gd name="connsiteX955" fmla="*/ 1072249 w 2280745"/>
              <a:gd name="connsiteY955" fmla="*/ 602531 h 1308087"/>
              <a:gd name="connsiteX956" fmla="*/ 1055767 w 2280745"/>
              <a:gd name="connsiteY956" fmla="*/ 656086 h 1308087"/>
              <a:gd name="connsiteX957" fmla="*/ 1061881 w 2280745"/>
              <a:gd name="connsiteY957" fmla="*/ 665305 h 1308087"/>
              <a:gd name="connsiteX958" fmla="*/ 1063914 w 2280745"/>
              <a:gd name="connsiteY958" fmla="*/ 665780 h 1308087"/>
              <a:gd name="connsiteX959" fmla="*/ 1074503 w 2280745"/>
              <a:gd name="connsiteY959" fmla="*/ 660457 h 1308087"/>
              <a:gd name="connsiteX960" fmla="*/ 1080030 w 2280745"/>
              <a:gd name="connsiteY960" fmla="*/ 642502 h 1308087"/>
              <a:gd name="connsiteX961" fmla="*/ 1080030 w 2280745"/>
              <a:gd name="connsiteY961" fmla="*/ 662686 h 1308087"/>
              <a:gd name="connsiteX962" fmla="*/ 1080030 w 2280745"/>
              <a:gd name="connsiteY962" fmla="*/ 669300 h 1308087"/>
              <a:gd name="connsiteX963" fmla="*/ 1080030 w 2280745"/>
              <a:gd name="connsiteY963" fmla="*/ 718130 h 1308087"/>
              <a:gd name="connsiteX964" fmla="*/ 1088676 w 2280745"/>
              <a:gd name="connsiteY964" fmla="*/ 725658 h 1308087"/>
              <a:gd name="connsiteX965" fmla="*/ 1090781 w 2280745"/>
              <a:gd name="connsiteY965" fmla="*/ 725658 h 1308087"/>
              <a:gd name="connsiteX966" fmla="*/ 1099427 w 2280745"/>
              <a:gd name="connsiteY966" fmla="*/ 718130 h 1308087"/>
              <a:gd name="connsiteX967" fmla="*/ 1099427 w 2280745"/>
              <a:gd name="connsiteY967" fmla="*/ 669300 h 1308087"/>
              <a:gd name="connsiteX968" fmla="*/ 1106868 w 2280745"/>
              <a:gd name="connsiteY968" fmla="*/ 669300 h 1308087"/>
              <a:gd name="connsiteX969" fmla="*/ 1106868 w 2280745"/>
              <a:gd name="connsiteY969" fmla="*/ 718130 h 1308087"/>
              <a:gd name="connsiteX970" fmla="*/ 1115514 w 2280745"/>
              <a:gd name="connsiteY970" fmla="*/ 725658 h 1308087"/>
              <a:gd name="connsiteX971" fmla="*/ 1117619 w 2280745"/>
              <a:gd name="connsiteY971" fmla="*/ 725658 h 1308087"/>
              <a:gd name="connsiteX972" fmla="*/ 1126264 w 2280745"/>
              <a:gd name="connsiteY972" fmla="*/ 718130 h 1308087"/>
              <a:gd name="connsiteX973" fmla="*/ 1126264 w 2280745"/>
              <a:gd name="connsiteY973" fmla="*/ 669300 h 1308087"/>
              <a:gd name="connsiteX974" fmla="*/ 1126264 w 2280745"/>
              <a:gd name="connsiteY974" fmla="*/ 662686 h 1308087"/>
              <a:gd name="connsiteX975" fmla="*/ 1126264 w 2280745"/>
              <a:gd name="connsiteY975" fmla="*/ 644694 h 1308087"/>
              <a:gd name="connsiteX976" fmla="*/ 1131115 w 2280745"/>
              <a:gd name="connsiteY976" fmla="*/ 660457 h 1308087"/>
              <a:gd name="connsiteX977" fmla="*/ 1141704 w 2280745"/>
              <a:gd name="connsiteY977" fmla="*/ 665780 h 1308087"/>
              <a:gd name="connsiteX978" fmla="*/ 1143738 w 2280745"/>
              <a:gd name="connsiteY978" fmla="*/ 665305 h 1308087"/>
              <a:gd name="connsiteX979" fmla="*/ 1149853 w 2280745"/>
              <a:gd name="connsiteY979" fmla="*/ 656086 h 1308087"/>
              <a:gd name="connsiteX980" fmla="*/ 1133370 w 2280745"/>
              <a:gd name="connsiteY980" fmla="*/ 602531 h 1308087"/>
              <a:gd name="connsiteX981" fmla="*/ 1130693 w 2280745"/>
              <a:gd name="connsiteY981" fmla="*/ 598798 h 1308087"/>
              <a:gd name="connsiteX982" fmla="*/ 1126264 w 2280745"/>
              <a:gd name="connsiteY982" fmla="*/ 597043 h 1308087"/>
              <a:gd name="connsiteX983" fmla="*/ 1126264 w 2280745"/>
              <a:gd name="connsiteY983" fmla="*/ 596830 h 1308087"/>
              <a:gd name="connsiteX984" fmla="*/ 1080030 w 2280745"/>
              <a:gd name="connsiteY984" fmla="*/ 596830 h 1308087"/>
              <a:gd name="connsiteX985" fmla="*/ 1280022 w 2280745"/>
              <a:gd name="connsiteY985" fmla="*/ 596830 h 1308087"/>
              <a:gd name="connsiteX986" fmla="*/ 1280022 w 2280745"/>
              <a:gd name="connsiteY986" fmla="*/ 597055 h 1308087"/>
              <a:gd name="connsiteX987" fmla="*/ 1279405 w 2280745"/>
              <a:gd name="connsiteY987" fmla="*/ 597020 h 1308087"/>
              <a:gd name="connsiteX988" fmla="*/ 1272241 w 2280745"/>
              <a:gd name="connsiteY988" fmla="*/ 602531 h 1308087"/>
              <a:gd name="connsiteX989" fmla="*/ 1255760 w 2280745"/>
              <a:gd name="connsiteY989" fmla="*/ 656086 h 1308087"/>
              <a:gd name="connsiteX990" fmla="*/ 1261874 w 2280745"/>
              <a:gd name="connsiteY990" fmla="*/ 665305 h 1308087"/>
              <a:gd name="connsiteX991" fmla="*/ 1263907 w 2280745"/>
              <a:gd name="connsiteY991" fmla="*/ 665780 h 1308087"/>
              <a:gd name="connsiteX992" fmla="*/ 1274496 w 2280745"/>
              <a:gd name="connsiteY992" fmla="*/ 660457 h 1308087"/>
              <a:gd name="connsiteX993" fmla="*/ 1280022 w 2280745"/>
              <a:gd name="connsiteY993" fmla="*/ 642502 h 1308087"/>
              <a:gd name="connsiteX994" fmla="*/ 1280022 w 2280745"/>
              <a:gd name="connsiteY994" fmla="*/ 662686 h 1308087"/>
              <a:gd name="connsiteX995" fmla="*/ 1280022 w 2280745"/>
              <a:gd name="connsiteY995" fmla="*/ 669300 h 1308087"/>
              <a:gd name="connsiteX996" fmla="*/ 1280022 w 2280745"/>
              <a:gd name="connsiteY996" fmla="*/ 718130 h 1308087"/>
              <a:gd name="connsiteX997" fmla="*/ 1288667 w 2280745"/>
              <a:gd name="connsiteY997" fmla="*/ 725658 h 1308087"/>
              <a:gd name="connsiteX998" fmla="*/ 1290773 w 2280745"/>
              <a:gd name="connsiteY998" fmla="*/ 725658 h 1308087"/>
              <a:gd name="connsiteX999" fmla="*/ 1299419 w 2280745"/>
              <a:gd name="connsiteY999" fmla="*/ 718130 h 1308087"/>
              <a:gd name="connsiteX1000" fmla="*/ 1299419 w 2280745"/>
              <a:gd name="connsiteY1000" fmla="*/ 669300 h 1308087"/>
              <a:gd name="connsiteX1001" fmla="*/ 1306860 w 2280745"/>
              <a:gd name="connsiteY1001" fmla="*/ 669300 h 1308087"/>
              <a:gd name="connsiteX1002" fmla="*/ 1306860 w 2280745"/>
              <a:gd name="connsiteY1002" fmla="*/ 718130 h 1308087"/>
              <a:gd name="connsiteX1003" fmla="*/ 1315506 w 2280745"/>
              <a:gd name="connsiteY1003" fmla="*/ 725658 h 1308087"/>
              <a:gd name="connsiteX1004" fmla="*/ 1317610 w 2280745"/>
              <a:gd name="connsiteY1004" fmla="*/ 725658 h 1308087"/>
              <a:gd name="connsiteX1005" fmla="*/ 1326256 w 2280745"/>
              <a:gd name="connsiteY1005" fmla="*/ 718130 h 1308087"/>
              <a:gd name="connsiteX1006" fmla="*/ 1326256 w 2280745"/>
              <a:gd name="connsiteY1006" fmla="*/ 669300 h 1308087"/>
              <a:gd name="connsiteX1007" fmla="*/ 1326256 w 2280745"/>
              <a:gd name="connsiteY1007" fmla="*/ 662686 h 1308087"/>
              <a:gd name="connsiteX1008" fmla="*/ 1326256 w 2280745"/>
              <a:gd name="connsiteY1008" fmla="*/ 644694 h 1308087"/>
              <a:gd name="connsiteX1009" fmla="*/ 1331108 w 2280745"/>
              <a:gd name="connsiteY1009" fmla="*/ 660457 h 1308087"/>
              <a:gd name="connsiteX1010" fmla="*/ 1341696 w 2280745"/>
              <a:gd name="connsiteY1010" fmla="*/ 665780 h 1308087"/>
              <a:gd name="connsiteX1011" fmla="*/ 1343730 w 2280745"/>
              <a:gd name="connsiteY1011" fmla="*/ 665305 h 1308087"/>
              <a:gd name="connsiteX1012" fmla="*/ 1349844 w 2280745"/>
              <a:gd name="connsiteY1012" fmla="*/ 656086 h 1308087"/>
              <a:gd name="connsiteX1013" fmla="*/ 1333361 w 2280745"/>
              <a:gd name="connsiteY1013" fmla="*/ 602531 h 1308087"/>
              <a:gd name="connsiteX1014" fmla="*/ 1330685 w 2280745"/>
              <a:gd name="connsiteY1014" fmla="*/ 598798 h 1308087"/>
              <a:gd name="connsiteX1015" fmla="*/ 1326256 w 2280745"/>
              <a:gd name="connsiteY1015" fmla="*/ 597043 h 1308087"/>
              <a:gd name="connsiteX1016" fmla="*/ 1326256 w 2280745"/>
              <a:gd name="connsiteY1016" fmla="*/ 596830 h 1308087"/>
              <a:gd name="connsiteX1017" fmla="*/ 1280022 w 2280745"/>
              <a:gd name="connsiteY1017" fmla="*/ 596830 h 1308087"/>
              <a:gd name="connsiteX1018" fmla="*/ 1482314 w 2280745"/>
              <a:gd name="connsiteY1018" fmla="*/ 596830 h 1308087"/>
              <a:gd name="connsiteX1019" fmla="*/ 1482314 w 2280745"/>
              <a:gd name="connsiteY1019" fmla="*/ 597055 h 1308087"/>
              <a:gd name="connsiteX1020" fmla="*/ 1481697 w 2280745"/>
              <a:gd name="connsiteY1020" fmla="*/ 597020 h 1308087"/>
              <a:gd name="connsiteX1021" fmla="*/ 1474533 w 2280745"/>
              <a:gd name="connsiteY1021" fmla="*/ 602531 h 1308087"/>
              <a:gd name="connsiteX1022" fmla="*/ 1458052 w 2280745"/>
              <a:gd name="connsiteY1022" fmla="*/ 656086 h 1308087"/>
              <a:gd name="connsiteX1023" fmla="*/ 1464166 w 2280745"/>
              <a:gd name="connsiteY1023" fmla="*/ 665305 h 1308087"/>
              <a:gd name="connsiteX1024" fmla="*/ 1466199 w 2280745"/>
              <a:gd name="connsiteY1024" fmla="*/ 665780 h 1308087"/>
              <a:gd name="connsiteX1025" fmla="*/ 1476788 w 2280745"/>
              <a:gd name="connsiteY1025" fmla="*/ 660457 h 1308087"/>
              <a:gd name="connsiteX1026" fmla="*/ 1482314 w 2280745"/>
              <a:gd name="connsiteY1026" fmla="*/ 642502 h 1308087"/>
              <a:gd name="connsiteX1027" fmla="*/ 1482314 w 2280745"/>
              <a:gd name="connsiteY1027" fmla="*/ 662686 h 1308087"/>
              <a:gd name="connsiteX1028" fmla="*/ 1482314 w 2280745"/>
              <a:gd name="connsiteY1028" fmla="*/ 669300 h 1308087"/>
              <a:gd name="connsiteX1029" fmla="*/ 1482314 w 2280745"/>
              <a:gd name="connsiteY1029" fmla="*/ 718130 h 1308087"/>
              <a:gd name="connsiteX1030" fmla="*/ 1490960 w 2280745"/>
              <a:gd name="connsiteY1030" fmla="*/ 725658 h 1308087"/>
              <a:gd name="connsiteX1031" fmla="*/ 1493064 w 2280745"/>
              <a:gd name="connsiteY1031" fmla="*/ 725658 h 1308087"/>
              <a:gd name="connsiteX1032" fmla="*/ 1501710 w 2280745"/>
              <a:gd name="connsiteY1032" fmla="*/ 718130 h 1308087"/>
              <a:gd name="connsiteX1033" fmla="*/ 1501710 w 2280745"/>
              <a:gd name="connsiteY1033" fmla="*/ 669300 h 1308087"/>
              <a:gd name="connsiteX1034" fmla="*/ 1509153 w 2280745"/>
              <a:gd name="connsiteY1034" fmla="*/ 669300 h 1308087"/>
              <a:gd name="connsiteX1035" fmla="*/ 1509153 w 2280745"/>
              <a:gd name="connsiteY1035" fmla="*/ 718130 h 1308087"/>
              <a:gd name="connsiteX1036" fmla="*/ 1517799 w 2280745"/>
              <a:gd name="connsiteY1036" fmla="*/ 725658 h 1308087"/>
              <a:gd name="connsiteX1037" fmla="*/ 1519903 w 2280745"/>
              <a:gd name="connsiteY1037" fmla="*/ 725658 h 1308087"/>
              <a:gd name="connsiteX1038" fmla="*/ 1528549 w 2280745"/>
              <a:gd name="connsiteY1038" fmla="*/ 718130 h 1308087"/>
              <a:gd name="connsiteX1039" fmla="*/ 1528549 w 2280745"/>
              <a:gd name="connsiteY1039" fmla="*/ 669300 h 1308087"/>
              <a:gd name="connsiteX1040" fmla="*/ 1528549 w 2280745"/>
              <a:gd name="connsiteY1040" fmla="*/ 662686 h 1308087"/>
              <a:gd name="connsiteX1041" fmla="*/ 1528549 w 2280745"/>
              <a:gd name="connsiteY1041" fmla="*/ 644694 h 1308087"/>
              <a:gd name="connsiteX1042" fmla="*/ 1533400 w 2280745"/>
              <a:gd name="connsiteY1042" fmla="*/ 660457 h 1308087"/>
              <a:gd name="connsiteX1043" fmla="*/ 1543989 w 2280745"/>
              <a:gd name="connsiteY1043" fmla="*/ 665780 h 1308087"/>
              <a:gd name="connsiteX1044" fmla="*/ 1546022 w 2280745"/>
              <a:gd name="connsiteY1044" fmla="*/ 665305 h 1308087"/>
              <a:gd name="connsiteX1045" fmla="*/ 1552136 w 2280745"/>
              <a:gd name="connsiteY1045" fmla="*/ 656086 h 1308087"/>
              <a:gd name="connsiteX1046" fmla="*/ 1535655 w 2280745"/>
              <a:gd name="connsiteY1046" fmla="*/ 602531 h 1308087"/>
              <a:gd name="connsiteX1047" fmla="*/ 1532977 w 2280745"/>
              <a:gd name="connsiteY1047" fmla="*/ 598798 h 1308087"/>
              <a:gd name="connsiteX1048" fmla="*/ 1528549 w 2280745"/>
              <a:gd name="connsiteY1048" fmla="*/ 597043 h 1308087"/>
              <a:gd name="connsiteX1049" fmla="*/ 1528549 w 2280745"/>
              <a:gd name="connsiteY1049" fmla="*/ 596830 h 1308087"/>
              <a:gd name="connsiteX1050" fmla="*/ 1482314 w 2280745"/>
              <a:gd name="connsiteY1050" fmla="*/ 596830 h 1308087"/>
              <a:gd name="connsiteX1051" fmla="*/ 1679477 w 2280745"/>
              <a:gd name="connsiteY1051" fmla="*/ 596830 h 1308087"/>
              <a:gd name="connsiteX1052" fmla="*/ 1679477 w 2280745"/>
              <a:gd name="connsiteY1052" fmla="*/ 597055 h 1308087"/>
              <a:gd name="connsiteX1053" fmla="*/ 1678860 w 2280745"/>
              <a:gd name="connsiteY1053" fmla="*/ 597020 h 1308087"/>
              <a:gd name="connsiteX1054" fmla="*/ 1671696 w 2280745"/>
              <a:gd name="connsiteY1054" fmla="*/ 602531 h 1308087"/>
              <a:gd name="connsiteX1055" fmla="*/ 1655215 w 2280745"/>
              <a:gd name="connsiteY1055" fmla="*/ 656086 h 1308087"/>
              <a:gd name="connsiteX1056" fmla="*/ 1661328 w 2280745"/>
              <a:gd name="connsiteY1056" fmla="*/ 665305 h 1308087"/>
              <a:gd name="connsiteX1057" fmla="*/ 1663362 w 2280745"/>
              <a:gd name="connsiteY1057" fmla="*/ 665780 h 1308087"/>
              <a:gd name="connsiteX1058" fmla="*/ 1673951 w 2280745"/>
              <a:gd name="connsiteY1058" fmla="*/ 660457 h 1308087"/>
              <a:gd name="connsiteX1059" fmla="*/ 1679477 w 2280745"/>
              <a:gd name="connsiteY1059" fmla="*/ 642502 h 1308087"/>
              <a:gd name="connsiteX1060" fmla="*/ 1679477 w 2280745"/>
              <a:gd name="connsiteY1060" fmla="*/ 662686 h 1308087"/>
              <a:gd name="connsiteX1061" fmla="*/ 1679477 w 2280745"/>
              <a:gd name="connsiteY1061" fmla="*/ 669300 h 1308087"/>
              <a:gd name="connsiteX1062" fmla="*/ 1679477 w 2280745"/>
              <a:gd name="connsiteY1062" fmla="*/ 718130 h 1308087"/>
              <a:gd name="connsiteX1063" fmla="*/ 1688123 w 2280745"/>
              <a:gd name="connsiteY1063" fmla="*/ 725658 h 1308087"/>
              <a:gd name="connsiteX1064" fmla="*/ 1690227 w 2280745"/>
              <a:gd name="connsiteY1064" fmla="*/ 725658 h 1308087"/>
              <a:gd name="connsiteX1065" fmla="*/ 1698873 w 2280745"/>
              <a:gd name="connsiteY1065" fmla="*/ 718130 h 1308087"/>
              <a:gd name="connsiteX1066" fmla="*/ 1698873 w 2280745"/>
              <a:gd name="connsiteY1066" fmla="*/ 669300 h 1308087"/>
              <a:gd name="connsiteX1067" fmla="*/ 1706314 w 2280745"/>
              <a:gd name="connsiteY1067" fmla="*/ 669300 h 1308087"/>
              <a:gd name="connsiteX1068" fmla="*/ 1706314 w 2280745"/>
              <a:gd name="connsiteY1068" fmla="*/ 718130 h 1308087"/>
              <a:gd name="connsiteX1069" fmla="*/ 1714961 w 2280745"/>
              <a:gd name="connsiteY1069" fmla="*/ 725658 h 1308087"/>
              <a:gd name="connsiteX1070" fmla="*/ 1717066 w 2280745"/>
              <a:gd name="connsiteY1070" fmla="*/ 725658 h 1308087"/>
              <a:gd name="connsiteX1071" fmla="*/ 1725712 w 2280745"/>
              <a:gd name="connsiteY1071" fmla="*/ 718130 h 1308087"/>
              <a:gd name="connsiteX1072" fmla="*/ 1725712 w 2280745"/>
              <a:gd name="connsiteY1072" fmla="*/ 669300 h 1308087"/>
              <a:gd name="connsiteX1073" fmla="*/ 1725712 w 2280745"/>
              <a:gd name="connsiteY1073" fmla="*/ 662686 h 1308087"/>
              <a:gd name="connsiteX1074" fmla="*/ 1725712 w 2280745"/>
              <a:gd name="connsiteY1074" fmla="*/ 644694 h 1308087"/>
              <a:gd name="connsiteX1075" fmla="*/ 1730563 w 2280745"/>
              <a:gd name="connsiteY1075" fmla="*/ 660457 h 1308087"/>
              <a:gd name="connsiteX1076" fmla="*/ 1741152 w 2280745"/>
              <a:gd name="connsiteY1076" fmla="*/ 665780 h 1308087"/>
              <a:gd name="connsiteX1077" fmla="*/ 1743185 w 2280745"/>
              <a:gd name="connsiteY1077" fmla="*/ 665305 h 1308087"/>
              <a:gd name="connsiteX1078" fmla="*/ 1749299 w 2280745"/>
              <a:gd name="connsiteY1078" fmla="*/ 656086 h 1308087"/>
              <a:gd name="connsiteX1079" fmla="*/ 1732817 w 2280745"/>
              <a:gd name="connsiteY1079" fmla="*/ 602531 h 1308087"/>
              <a:gd name="connsiteX1080" fmla="*/ 1730140 w 2280745"/>
              <a:gd name="connsiteY1080" fmla="*/ 598798 h 1308087"/>
              <a:gd name="connsiteX1081" fmla="*/ 1725712 w 2280745"/>
              <a:gd name="connsiteY1081" fmla="*/ 597043 h 1308087"/>
              <a:gd name="connsiteX1082" fmla="*/ 1725712 w 2280745"/>
              <a:gd name="connsiteY1082" fmla="*/ 596830 h 1308087"/>
              <a:gd name="connsiteX1083" fmla="*/ 1679477 w 2280745"/>
              <a:gd name="connsiteY1083" fmla="*/ 596830 h 1308087"/>
              <a:gd name="connsiteX1084" fmla="*/ 1882298 w 2280745"/>
              <a:gd name="connsiteY1084" fmla="*/ 596830 h 1308087"/>
              <a:gd name="connsiteX1085" fmla="*/ 1882298 w 2280745"/>
              <a:gd name="connsiteY1085" fmla="*/ 597055 h 1308087"/>
              <a:gd name="connsiteX1086" fmla="*/ 1881681 w 2280745"/>
              <a:gd name="connsiteY1086" fmla="*/ 597020 h 1308087"/>
              <a:gd name="connsiteX1087" fmla="*/ 1874518 w 2280745"/>
              <a:gd name="connsiteY1087" fmla="*/ 602531 h 1308087"/>
              <a:gd name="connsiteX1088" fmla="*/ 1858037 w 2280745"/>
              <a:gd name="connsiteY1088" fmla="*/ 656086 h 1308087"/>
              <a:gd name="connsiteX1089" fmla="*/ 1864152 w 2280745"/>
              <a:gd name="connsiteY1089" fmla="*/ 665305 h 1308087"/>
              <a:gd name="connsiteX1090" fmla="*/ 1866184 w 2280745"/>
              <a:gd name="connsiteY1090" fmla="*/ 665780 h 1308087"/>
              <a:gd name="connsiteX1091" fmla="*/ 1876773 w 2280745"/>
              <a:gd name="connsiteY1091" fmla="*/ 660457 h 1308087"/>
              <a:gd name="connsiteX1092" fmla="*/ 1882298 w 2280745"/>
              <a:gd name="connsiteY1092" fmla="*/ 642502 h 1308087"/>
              <a:gd name="connsiteX1093" fmla="*/ 1882298 w 2280745"/>
              <a:gd name="connsiteY1093" fmla="*/ 662686 h 1308087"/>
              <a:gd name="connsiteX1094" fmla="*/ 1882298 w 2280745"/>
              <a:gd name="connsiteY1094" fmla="*/ 669300 h 1308087"/>
              <a:gd name="connsiteX1095" fmla="*/ 1882298 w 2280745"/>
              <a:gd name="connsiteY1095" fmla="*/ 718130 h 1308087"/>
              <a:gd name="connsiteX1096" fmla="*/ 1890944 w 2280745"/>
              <a:gd name="connsiteY1096" fmla="*/ 725658 h 1308087"/>
              <a:gd name="connsiteX1097" fmla="*/ 1893050 w 2280745"/>
              <a:gd name="connsiteY1097" fmla="*/ 725658 h 1308087"/>
              <a:gd name="connsiteX1098" fmla="*/ 1901696 w 2280745"/>
              <a:gd name="connsiteY1098" fmla="*/ 718130 h 1308087"/>
              <a:gd name="connsiteX1099" fmla="*/ 1901696 w 2280745"/>
              <a:gd name="connsiteY1099" fmla="*/ 669300 h 1308087"/>
              <a:gd name="connsiteX1100" fmla="*/ 1909138 w 2280745"/>
              <a:gd name="connsiteY1100" fmla="*/ 669300 h 1308087"/>
              <a:gd name="connsiteX1101" fmla="*/ 1909138 w 2280745"/>
              <a:gd name="connsiteY1101" fmla="*/ 718130 h 1308087"/>
              <a:gd name="connsiteX1102" fmla="*/ 1917783 w 2280745"/>
              <a:gd name="connsiteY1102" fmla="*/ 725658 h 1308087"/>
              <a:gd name="connsiteX1103" fmla="*/ 1919889 w 2280745"/>
              <a:gd name="connsiteY1103" fmla="*/ 725658 h 1308087"/>
              <a:gd name="connsiteX1104" fmla="*/ 1928535 w 2280745"/>
              <a:gd name="connsiteY1104" fmla="*/ 718130 h 1308087"/>
              <a:gd name="connsiteX1105" fmla="*/ 1928535 w 2280745"/>
              <a:gd name="connsiteY1105" fmla="*/ 669300 h 1308087"/>
              <a:gd name="connsiteX1106" fmla="*/ 1928535 w 2280745"/>
              <a:gd name="connsiteY1106" fmla="*/ 662686 h 1308087"/>
              <a:gd name="connsiteX1107" fmla="*/ 1928535 w 2280745"/>
              <a:gd name="connsiteY1107" fmla="*/ 644694 h 1308087"/>
              <a:gd name="connsiteX1108" fmla="*/ 1933385 w 2280745"/>
              <a:gd name="connsiteY1108" fmla="*/ 660457 h 1308087"/>
              <a:gd name="connsiteX1109" fmla="*/ 1943974 w 2280745"/>
              <a:gd name="connsiteY1109" fmla="*/ 665780 h 1308087"/>
              <a:gd name="connsiteX1110" fmla="*/ 1946009 w 2280745"/>
              <a:gd name="connsiteY1110" fmla="*/ 665305 h 1308087"/>
              <a:gd name="connsiteX1111" fmla="*/ 1952121 w 2280745"/>
              <a:gd name="connsiteY1111" fmla="*/ 656086 h 1308087"/>
              <a:gd name="connsiteX1112" fmla="*/ 1935640 w 2280745"/>
              <a:gd name="connsiteY1112" fmla="*/ 602531 h 1308087"/>
              <a:gd name="connsiteX1113" fmla="*/ 1932962 w 2280745"/>
              <a:gd name="connsiteY1113" fmla="*/ 598798 h 1308087"/>
              <a:gd name="connsiteX1114" fmla="*/ 1928535 w 2280745"/>
              <a:gd name="connsiteY1114" fmla="*/ 597043 h 1308087"/>
              <a:gd name="connsiteX1115" fmla="*/ 1928535 w 2280745"/>
              <a:gd name="connsiteY1115" fmla="*/ 596830 h 1308087"/>
              <a:gd name="connsiteX1116" fmla="*/ 1882298 w 2280745"/>
              <a:gd name="connsiteY1116" fmla="*/ 596830 h 1308087"/>
              <a:gd name="connsiteX1117" fmla="*/ 2081622 w 2280745"/>
              <a:gd name="connsiteY1117" fmla="*/ 596830 h 1308087"/>
              <a:gd name="connsiteX1118" fmla="*/ 2081622 w 2280745"/>
              <a:gd name="connsiteY1118" fmla="*/ 597055 h 1308087"/>
              <a:gd name="connsiteX1119" fmla="*/ 2081004 w 2280745"/>
              <a:gd name="connsiteY1119" fmla="*/ 597020 h 1308087"/>
              <a:gd name="connsiteX1120" fmla="*/ 2073841 w 2280745"/>
              <a:gd name="connsiteY1120" fmla="*/ 602531 h 1308087"/>
              <a:gd name="connsiteX1121" fmla="*/ 2057362 w 2280745"/>
              <a:gd name="connsiteY1121" fmla="*/ 656086 h 1308087"/>
              <a:gd name="connsiteX1122" fmla="*/ 2063474 w 2280745"/>
              <a:gd name="connsiteY1122" fmla="*/ 665305 h 1308087"/>
              <a:gd name="connsiteX1123" fmla="*/ 2065507 w 2280745"/>
              <a:gd name="connsiteY1123" fmla="*/ 665780 h 1308087"/>
              <a:gd name="connsiteX1124" fmla="*/ 2076097 w 2280745"/>
              <a:gd name="connsiteY1124" fmla="*/ 660457 h 1308087"/>
              <a:gd name="connsiteX1125" fmla="*/ 2081622 w 2280745"/>
              <a:gd name="connsiteY1125" fmla="*/ 642502 h 1308087"/>
              <a:gd name="connsiteX1126" fmla="*/ 2081622 w 2280745"/>
              <a:gd name="connsiteY1126" fmla="*/ 662686 h 1308087"/>
              <a:gd name="connsiteX1127" fmla="*/ 2081622 w 2280745"/>
              <a:gd name="connsiteY1127" fmla="*/ 669300 h 1308087"/>
              <a:gd name="connsiteX1128" fmla="*/ 2081622 w 2280745"/>
              <a:gd name="connsiteY1128" fmla="*/ 718130 h 1308087"/>
              <a:gd name="connsiteX1129" fmla="*/ 2090268 w 2280745"/>
              <a:gd name="connsiteY1129" fmla="*/ 725658 h 1308087"/>
              <a:gd name="connsiteX1130" fmla="*/ 2092373 w 2280745"/>
              <a:gd name="connsiteY1130" fmla="*/ 725658 h 1308087"/>
              <a:gd name="connsiteX1131" fmla="*/ 2101019 w 2280745"/>
              <a:gd name="connsiteY1131" fmla="*/ 718130 h 1308087"/>
              <a:gd name="connsiteX1132" fmla="*/ 2101019 w 2280745"/>
              <a:gd name="connsiteY1132" fmla="*/ 669300 h 1308087"/>
              <a:gd name="connsiteX1133" fmla="*/ 2108461 w 2280745"/>
              <a:gd name="connsiteY1133" fmla="*/ 669300 h 1308087"/>
              <a:gd name="connsiteX1134" fmla="*/ 2108461 w 2280745"/>
              <a:gd name="connsiteY1134" fmla="*/ 718130 h 1308087"/>
              <a:gd name="connsiteX1135" fmla="*/ 2117107 w 2280745"/>
              <a:gd name="connsiteY1135" fmla="*/ 725658 h 1308087"/>
              <a:gd name="connsiteX1136" fmla="*/ 2119212 w 2280745"/>
              <a:gd name="connsiteY1136" fmla="*/ 725658 h 1308087"/>
              <a:gd name="connsiteX1137" fmla="*/ 2127858 w 2280745"/>
              <a:gd name="connsiteY1137" fmla="*/ 718130 h 1308087"/>
              <a:gd name="connsiteX1138" fmla="*/ 2127858 w 2280745"/>
              <a:gd name="connsiteY1138" fmla="*/ 669300 h 1308087"/>
              <a:gd name="connsiteX1139" fmla="*/ 2127858 w 2280745"/>
              <a:gd name="connsiteY1139" fmla="*/ 662686 h 1308087"/>
              <a:gd name="connsiteX1140" fmla="*/ 2127858 w 2280745"/>
              <a:gd name="connsiteY1140" fmla="*/ 644694 h 1308087"/>
              <a:gd name="connsiteX1141" fmla="*/ 2132707 w 2280745"/>
              <a:gd name="connsiteY1141" fmla="*/ 660457 h 1308087"/>
              <a:gd name="connsiteX1142" fmla="*/ 2143298 w 2280745"/>
              <a:gd name="connsiteY1142" fmla="*/ 665780 h 1308087"/>
              <a:gd name="connsiteX1143" fmla="*/ 2145331 w 2280745"/>
              <a:gd name="connsiteY1143" fmla="*/ 665305 h 1308087"/>
              <a:gd name="connsiteX1144" fmla="*/ 2151445 w 2280745"/>
              <a:gd name="connsiteY1144" fmla="*/ 656086 h 1308087"/>
              <a:gd name="connsiteX1145" fmla="*/ 2134963 w 2280745"/>
              <a:gd name="connsiteY1145" fmla="*/ 602531 h 1308087"/>
              <a:gd name="connsiteX1146" fmla="*/ 2132286 w 2280745"/>
              <a:gd name="connsiteY1146" fmla="*/ 598798 h 1308087"/>
              <a:gd name="connsiteX1147" fmla="*/ 2127858 w 2280745"/>
              <a:gd name="connsiteY1147" fmla="*/ 597043 h 1308087"/>
              <a:gd name="connsiteX1148" fmla="*/ 2127858 w 2280745"/>
              <a:gd name="connsiteY1148" fmla="*/ 596830 h 1308087"/>
              <a:gd name="connsiteX1149" fmla="*/ 2081622 w 2280745"/>
              <a:gd name="connsiteY1149" fmla="*/ 596830 h 1308087"/>
              <a:gd name="connsiteX1150" fmla="*/ 303668 w 2280745"/>
              <a:gd name="connsiteY1150" fmla="*/ 787580 h 1308087"/>
              <a:gd name="connsiteX1151" fmla="*/ 284721 w 2280745"/>
              <a:gd name="connsiteY1151" fmla="*/ 804077 h 1308087"/>
              <a:gd name="connsiteX1152" fmla="*/ 303668 w 2280745"/>
              <a:gd name="connsiteY1152" fmla="*/ 820573 h 1308087"/>
              <a:gd name="connsiteX1153" fmla="*/ 322614 w 2280745"/>
              <a:gd name="connsiteY1153" fmla="*/ 804077 h 1308087"/>
              <a:gd name="connsiteX1154" fmla="*/ 303668 w 2280745"/>
              <a:gd name="connsiteY1154" fmla="*/ 787580 h 1308087"/>
              <a:gd name="connsiteX1155" fmla="*/ 503662 w 2280745"/>
              <a:gd name="connsiteY1155" fmla="*/ 787580 h 1308087"/>
              <a:gd name="connsiteX1156" fmla="*/ 484717 w 2280745"/>
              <a:gd name="connsiteY1156" fmla="*/ 804077 h 1308087"/>
              <a:gd name="connsiteX1157" fmla="*/ 503662 w 2280745"/>
              <a:gd name="connsiteY1157" fmla="*/ 820573 h 1308087"/>
              <a:gd name="connsiteX1158" fmla="*/ 522607 w 2280745"/>
              <a:gd name="connsiteY1158" fmla="*/ 804077 h 1308087"/>
              <a:gd name="connsiteX1159" fmla="*/ 503662 w 2280745"/>
              <a:gd name="connsiteY1159" fmla="*/ 787580 h 1308087"/>
              <a:gd name="connsiteX1160" fmla="*/ 703653 w 2280745"/>
              <a:gd name="connsiteY1160" fmla="*/ 787580 h 1308087"/>
              <a:gd name="connsiteX1161" fmla="*/ 684709 w 2280745"/>
              <a:gd name="connsiteY1161" fmla="*/ 804077 h 1308087"/>
              <a:gd name="connsiteX1162" fmla="*/ 703653 w 2280745"/>
              <a:gd name="connsiteY1162" fmla="*/ 820573 h 1308087"/>
              <a:gd name="connsiteX1163" fmla="*/ 722600 w 2280745"/>
              <a:gd name="connsiteY1163" fmla="*/ 804077 h 1308087"/>
              <a:gd name="connsiteX1164" fmla="*/ 703653 w 2280745"/>
              <a:gd name="connsiteY1164" fmla="*/ 787580 h 1308087"/>
              <a:gd name="connsiteX1165" fmla="*/ 903646 w 2280745"/>
              <a:gd name="connsiteY1165" fmla="*/ 787580 h 1308087"/>
              <a:gd name="connsiteX1166" fmla="*/ 884701 w 2280745"/>
              <a:gd name="connsiteY1166" fmla="*/ 804077 h 1308087"/>
              <a:gd name="connsiteX1167" fmla="*/ 903646 w 2280745"/>
              <a:gd name="connsiteY1167" fmla="*/ 820573 h 1308087"/>
              <a:gd name="connsiteX1168" fmla="*/ 922591 w 2280745"/>
              <a:gd name="connsiteY1168" fmla="*/ 804077 h 1308087"/>
              <a:gd name="connsiteX1169" fmla="*/ 903646 w 2280745"/>
              <a:gd name="connsiteY1169" fmla="*/ 787580 h 1308087"/>
              <a:gd name="connsiteX1170" fmla="*/ 1103638 w 2280745"/>
              <a:gd name="connsiteY1170" fmla="*/ 787580 h 1308087"/>
              <a:gd name="connsiteX1171" fmla="*/ 1084694 w 2280745"/>
              <a:gd name="connsiteY1171" fmla="*/ 804077 h 1308087"/>
              <a:gd name="connsiteX1172" fmla="*/ 1103638 w 2280745"/>
              <a:gd name="connsiteY1172" fmla="*/ 820573 h 1308087"/>
              <a:gd name="connsiteX1173" fmla="*/ 1122584 w 2280745"/>
              <a:gd name="connsiteY1173" fmla="*/ 804077 h 1308087"/>
              <a:gd name="connsiteX1174" fmla="*/ 1103638 w 2280745"/>
              <a:gd name="connsiteY1174" fmla="*/ 787580 h 1308087"/>
              <a:gd name="connsiteX1175" fmla="*/ 1303631 w 2280745"/>
              <a:gd name="connsiteY1175" fmla="*/ 787580 h 1308087"/>
              <a:gd name="connsiteX1176" fmla="*/ 1284685 w 2280745"/>
              <a:gd name="connsiteY1176" fmla="*/ 804077 h 1308087"/>
              <a:gd name="connsiteX1177" fmla="*/ 1303631 w 2280745"/>
              <a:gd name="connsiteY1177" fmla="*/ 820573 h 1308087"/>
              <a:gd name="connsiteX1178" fmla="*/ 1322576 w 2280745"/>
              <a:gd name="connsiteY1178" fmla="*/ 804077 h 1308087"/>
              <a:gd name="connsiteX1179" fmla="*/ 1303631 w 2280745"/>
              <a:gd name="connsiteY1179" fmla="*/ 787580 h 1308087"/>
              <a:gd name="connsiteX1180" fmla="*/ 1505923 w 2280745"/>
              <a:gd name="connsiteY1180" fmla="*/ 787580 h 1308087"/>
              <a:gd name="connsiteX1181" fmla="*/ 1486979 w 2280745"/>
              <a:gd name="connsiteY1181" fmla="*/ 804077 h 1308087"/>
              <a:gd name="connsiteX1182" fmla="*/ 1505923 w 2280745"/>
              <a:gd name="connsiteY1182" fmla="*/ 820573 h 1308087"/>
              <a:gd name="connsiteX1183" fmla="*/ 1524868 w 2280745"/>
              <a:gd name="connsiteY1183" fmla="*/ 804077 h 1308087"/>
              <a:gd name="connsiteX1184" fmla="*/ 1505923 w 2280745"/>
              <a:gd name="connsiteY1184" fmla="*/ 787580 h 1308087"/>
              <a:gd name="connsiteX1185" fmla="*/ 1703085 w 2280745"/>
              <a:gd name="connsiteY1185" fmla="*/ 787580 h 1308087"/>
              <a:gd name="connsiteX1186" fmla="*/ 1684140 w 2280745"/>
              <a:gd name="connsiteY1186" fmla="*/ 804077 h 1308087"/>
              <a:gd name="connsiteX1187" fmla="*/ 1703085 w 2280745"/>
              <a:gd name="connsiteY1187" fmla="*/ 820573 h 1308087"/>
              <a:gd name="connsiteX1188" fmla="*/ 1722031 w 2280745"/>
              <a:gd name="connsiteY1188" fmla="*/ 804077 h 1308087"/>
              <a:gd name="connsiteX1189" fmla="*/ 1703085 w 2280745"/>
              <a:gd name="connsiteY1189" fmla="*/ 787580 h 1308087"/>
              <a:gd name="connsiteX1190" fmla="*/ 1905908 w 2280745"/>
              <a:gd name="connsiteY1190" fmla="*/ 787580 h 1308087"/>
              <a:gd name="connsiteX1191" fmla="*/ 1886962 w 2280745"/>
              <a:gd name="connsiteY1191" fmla="*/ 804077 h 1308087"/>
              <a:gd name="connsiteX1192" fmla="*/ 1905908 w 2280745"/>
              <a:gd name="connsiteY1192" fmla="*/ 820573 h 1308087"/>
              <a:gd name="connsiteX1193" fmla="*/ 1924855 w 2280745"/>
              <a:gd name="connsiteY1193" fmla="*/ 804077 h 1308087"/>
              <a:gd name="connsiteX1194" fmla="*/ 1905908 w 2280745"/>
              <a:gd name="connsiteY1194" fmla="*/ 787580 h 1308087"/>
              <a:gd name="connsiteX1195" fmla="*/ 2105231 w 2280745"/>
              <a:gd name="connsiteY1195" fmla="*/ 787580 h 1308087"/>
              <a:gd name="connsiteX1196" fmla="*/ 2086286 w 2280745"/>
              <a:gd name="connsiteY1196" fmla="*/ 804077 h 1308087"/>
              <a:gd name="connsiteX1197" fmla="*/ 2105231 w 2280745"/>
              <a:gd name="connsiteY1197" fmla="*/ 820573 h 1308087"/>
              <a:gd name="connsiteX1198" fmla="*/ 2124177 w 2280745"/>
              <a:gd name="connsiteY1198" fmla="*/ 804077 h 1308087"/>
              <a:gd name="connsiteX1199" fmla="*/ 2105231 w 2280745"/>
              <a:gd name="connsiteY1199" fmla="*/ 787580 h 1308087"/>
              <a:gd name="connsiteX1200" fmla="*/ 280058 w 2280745"/>
              <a:gd name="connsiteY1200" fmla="*/ 824238 h 1308087"/>
              <a:gd name="connsiteX1201" fmla="*/ 280058 w 2280745"/>
              <a:gd name="connsiteY1201" fmla="*/ 824463 h 1308087"/>
              <a:gd name="connsiteX1202" fmla="*/ 279441 w 2280745"/>
              <a:gd name="connsiteY1202" fmla="*/ 824428 h 1308087"/>
              <a:gd name="connsiteX1203" fmla="*/ 272279 w 2280745"/>
              <a:gd name="connsiteY1203" fmla="*/ 829938 h 1308087"/>
              <a:gd name="connsiteX1204" fmla="*/ 255797 w 2280745"/>
              <a:gd name="connsiteY1204" fmla="*/ 883493 h 1308087"/>
              <a:gd name="connsiteX1205" fmla="*/ 261911 w 2280745"/>
              <a:gd name="connsiteY1205" fmla="*/ 892712 h 1308087"/>
              <a:gd name="connsiteX1206" fmla="*/ 263944 w 2280745"/>
              <a:gd name="connsiteY1206" fmla="*/ 893188 h 1308087"/>
              <a:gd name="connsiteX1207" fmla="*/ 274533 w 2280745"/>
              <a:gd name="connsiteY1207" fmla="*/ 887865 h 1308087"/>
              <a:gd name="connsiteX1208" fmla="*/ 280058 w 2280745"/>
              <a:gd name="connsiteY1208" fmla="*/ 869910 h 1308087"/>
              <a:gd name="connsiteX1209" fmla="*/ 280058 w 2280745"/>
              <a:gd name="connsiteY1209" fmla="*/ 890094 h 1308087"/>
              <a:gd name="connsiteX1210" fmla="*/ 280058 w 2280745"/>
              <a:gd name="connsiteY1210" fmla="*/ 896707 h 1308087"/>
              <a:gd name="connsiteX1211" fmla="*/ 280058 w 2280745"/>
              <a:gd name="connsiteY1211" fmla="*/ 945537 h 1308087"/>
              <a:gd name="connsiteX1212" fmla="*/ 288705 w 2280745"/>
              <a:gd name="connsiteY1212" fmla="*/ 953066 h 1308087"/>
              <a:gd name="connsiteX1213" fmla="*/ 290809 w 2280745"/>
              <a:gd name="connsiteY1213" fmla="*/ 953066 h 1308087"/>
              <a:gd name="connsiteX1214" fmla="*/ 299455 w 2280745"/>
              <a:gd name="connsiteY1214" fmla="*/ 945537 h 1308087"/>
              <a:gd name="connsiteX1215" fmla="*/ 299455 w 2280745"/>
              <a:gd name="connsiteY1215" fmla="*/ 896707 h 1308087"/>
              <a:gd name="connsiteX1216" fmla="*/ 306898 w 2280745"/>
              <a:gd name="connsiteY1216" fmla="*/ 896707 h 1308087"/>
              <a:gd name="connsiteX1217" fmla="*/ 306898 w 2280745"/>
              <a:gd name="connsiteY1217" fmla="*/ 945537 h 1308087"/>
              <a:gd name="connsiteX1218" fmla="*/ 315544 w 2280745"/>
              <a:gd name="connsiteY1218" fmla="*/ 953066 h 1308087"/>
              <a:gd name="connsiteX1219" fmla="*/ 317649 w 2280745"/>
              <a:gd name="connsiteY1219" fmla="*/ 953066 h 1308087"/>
              <a:gd name="connsiteX1220" fmla="*/ 326293 w 2280745"/>
              <a:gd name="connsiteY1220" fmla="*/ 945537 h 1308087"/>
              <a:gd name="connsiteX1221" fmla="*/ 326293 w 2280745"/>
              <a:gd name="connsiteY1221" fmla="*/ 896707 h 1308087"/>
              <a:gd name="connsiteX1222" fmla="*/ 326293 w 2280745"/>
              <a:gd name="connsiteY1222" fmla="*/ 890094 h 1308087"/>
              <a:gd name="connsiteX1223" fmla="*/ 326293 w 2280745"/>
              <a:gd name="connsiteY1223" fmla="*/ 872102 h 1308087"/>
              <a:gd name="connsiteX1224" fmla="*/ 331145 w 2280745"/>
              <a:gd name="connsiteY1224" fmla="*/ 887865 h 1308087"/>
              <a:gd name="connsiteX1225" fmla="*/ 341734 w 2280745"/>
              <a:gd name="connsiteY1225" fmla="*/ 893188 h 1308087"/>
              <a:gd name="connsiteX1226" fmla="*/ 343767 w 2280745"/>
              <a:gd name="connsiteY1226" fmla="*/ 892712 h 1308087"/>
              <a:gd name="connsiteX1227" fmla="*/ 349881 w 2280745"/>
              <a:gd name="connsiteY1227" fmla="*/ 883493 h 1308087"/>
              <a:gd name="connsiteX1228" fmla="*/ 333400 w 2280745"/>
              <a:gd name="connsiteY1228" fmla="*/ 829938 h 1308087"/>
              <a:gd name="connsiteX1229" fmla="*/ 330722 w 2280745"/>
              <a:gd name="connsiteY1229" fmla="*/ 826205 h 1308087"/>
              <a:gd name="connsiteX1230" fmla="*/ 326293 w 2280745"/>
              <a:gd name="connsiteY1230" fmla="*/ 824451 h 1308087"/>
              <a:gd name="connsiteX1231" fmla="*/ 326293 w 2280745"/>
              <a:gd name="connsiteY1231" fmla="*/ 824238 h 1308087"/>
              <a:gd name="connsiteX1232" fmla="*/ 280058 w 2280745"/>
              <a:gd name="connsiteY1232" fmla="*/ 824238 h 1308087"/>
              <a:gd name="connsiteX1233" fmla="*/ 480053 w 2280745"/>
              <a:gd name="connsiteY1233" fmla="*/ 824238 h 1308087"/>
              <a:gd name="connsiteX1234" fmla="*/ 480053 w 2280745"/>
              <a:gd name="connsiteY1234" fmla="*/ 824463 h 1308087"/>
              <a:gd name="connsiteX1235" fmla="*/ 479436 w 2280745"/>
              <a:gd name="connsiteY1235" fmla="*/ 824428 h 1308087"/>
              <a:gd name="connsiteX1236" fmla="*/ 472272 w 2280745"/>
              <a:gd name="connsiteY1236" fmla="*/ 829938 h 1308087"/>
              <a:gd name="connsiteX1237" fmla="*/ 455791 w 2280745"/>
              <a:gd name="connsiteY1237" fmla="*/ 883493 h 1308087"/>
              <a:gd name="connsiteX1238" fmla="*/ 461906 w 2280745"/>
              <a:gd name="connsiteY1238" fmla="*/ 892712 h 1308087"/>
              <a:gd name="connsiteX1239" fmla="*/ 463938 w 2280745"/>
              <a:gd name="connsiteY1239" fmla="*/ 893188 h 1308087"/>
              <a:gd name="connsiteX1240" fmla="*/ 474527 w 2280745"/>
              <a:gd name="connsiteY1240" fmla="*/ 887865 h 1308087"/>
              <a:gd name="connsiteX1241" fmla="*/ 480053 w 2280745"/>
              <a:gd name="connsiteY1241" fmla="*/ 869910 h 1308087"/>
              <a:gd name="connsiteX1242" fmla="*/ 480053 w 2280745"/>
              <a:gd name="connsiteY1242" fmla="*/ 890094 h 1308087"/>
              <a:gd name="connsiteX1243" fmla="*/ 480053 w 2280745"/>
              <a:gd name="connsiteY1243" fmla="*/ 896707 h 1308087"/>
              <a:gd name="connsiteX1244" fmla="*/ 480053 w 2280745"/>
              <a:gd name="connsiteY1244" fmla="*/ 945537 h 1308087"/>
              <a:gd name="connsiteX1245" fmla="*/ 488698 w 2280745"/>
              <a:gd name="connsiteY1245" fmla="*/ 953066 h 1308087"/>
              <a:gd name="connsiteX1246" fmla="*/ 490804 w 2280745"/>
              <a:gd name="connsiteY1246" fmla="*/ 953066 h 1308087"/>
              <a:gd name="connsiteX1247" fmla="*/ 499450 w 2280745"/>
              <a:gd name="connsiteY1247" fmla="*/ 945537 h 1308087"/>
              <a:gd name="connsiteX1248" fmla="*/ 499450 w 2280745"/>
              <a:gd name="connsiteY1248" fmla="*/ 896707 h 1308087"/>
              <a:gd name="connsiteX1249" fmla="*/ 506892 w 2280745"/>
              <a:gd name="connsiteY1249" fmla="*/ 896707 h 1308087"/>
              <a:gd name="connsiteX1250" fmla="*/ 506892 w 2280745"/>
              <a:gd name="connsiteY1250" fmla="*/ 945537 h 1308087"/>
              <a:gd name="connsiteX1251" fmla="*/ 515538 w 2280745"/>
              <a:gd name="connsiteY1251" fmla="*/ 953066 h 1308087"/>
              <a:gd name="connsiteX1252" fmla="*/ 517643 w 2280745"/>
              <a:gd name="connsiteY1252" fmla="*/ 953066 h 1308087"/>
              <a:gd name="connsiteX1253" fmla="*/ 526287 w 2280745"/>
              <a:gd name="connsiteY1253" fmla="*/ 945537 h 1308087"/>
              <a:gd name="connsiteX1254" fmla="*/ 526287 w 2280745"/>
              <a:gd name="connsiteY1254" fmla="*/ 896707 h 1308087"/>
              <a:gd name="connsiteX1255" fmla="*/ 526287 w 2280745"/>
              <a:gd name="connsiteY1255" fmla="*/ 890094 h 1308087"/>
              <a:gd name="connsiteX1256" fmla="*/ 526287 w 2280745"/>
              <a:gd name="connsiteY1256" fmla="*/ 872102 h 1308087"/>
              <a:gd name="connsiteX1257" fmla="*/ 531139 w 2280745"/>
              <a:gd name="connsiteY1257" fmla="*/ 887865 h 1308087"/>
              <a:gd name="connsiteX1258" fmla="*/ 541727 w 2280745"/>
              <a:gd name="connsiteY1258" fmla="*/ 893188 h 1308087"/>
              <a:gd name="connsiteX1259" fmla="*/ 543761 w 2280745"/>
              <a:gd name="connsiteY1259" fmla="*/ 892712 h 1308087"/>
              <a:gd name="connsiteX1260" fmla="*/ 549875 w 2280745"/>
              <a:gd name="connsiteY1260" fmla="*/ 883493 h 1308087"/>
              <a:gd name="connsiteX1261" fmla="*/ 533394 w 2280745"/>
              <a:gd name="connsiteY1261" fmla="*/ 829938 h 1308087"/>
              <a:gd name="connsiteX1262" fmla="*/ 530716 w 2280745"/>
              <a:gd name="connsiteY1262" fmla="*/ 826205 h 1308087"/>
              <a:gd name="connsiteX1263" fmla="*/ 526287 w 2280745"/>
              <a:gd name="connsiteY1263" fmla="*/ 824451 h 1308087"/>
              <a:gd name="connsiteX1264" fmla="*/ 526287 w 2280745"/>
              <a:gd name="connsiteY1264" fmla="*/ 824238 h 1308087"/>
              <a:gd name="connsiteX1265" fmla="*/ 480053 w 2280745"/>
              <a:gd name="connsiteY1265" fmla="*/ 824238 h 1308087"/>
              <a:gd name="connsiteX1266" fmla="*/ 680045 w 2280745"/>
              <a:gd name="connsiteY1266" fmla="*/ 824238 h 1308087"/>
              <a:gd name="connsiteX1267" fmla="*/ 680045 w 2280745"/>
              <a:gd name="connsiteY1267" fmla="*/ 824463 h 1308087"/>
              <a:gd name="connsiteX1268" fmla="*/ 679427 w 2280745"/>
              <a:gd name="connsiteY1268" fmla="*/ 824428 h 1308087"/>
              <a:gd name="connsiteX1269" fmla="*/ 672265 w 2280745"/>
              <a:gd name="connsiteY1269" fmla="*/ 829938 h 1308087"/>
              <a:gd name="connsiteX1270" fmla="*/ 655783 w 2280745"/>
              <a:gd name="connsiteY1270" fmla="*/ 883493 h 1308087"/>
              <a:gd name="connsiteX1271" fmla="*/ 661899 w 2280745"/>
              <a:gd name="connsiteY1271" fmla="*/ 892712 h 1308087"/>
              <a:gd name="connsiteX1272" fmla="*/ 663930 w 2280745"/>
              <a:gd name="connsiteY1272" fmla="*/ 893188 h 1308087"/>
              <a:gd name="connsiteX1273" fmla="*/ 674518 w 2280745"/>
              <a:gd name="connsiteY1273" fmla="*/ 887865 h 1308087"/>
              <a:gd name="connsiteX1274" fmla="*/ 680045 w 2280745"/>
              <a:gd name="connsiteY1274" fmla="*/ 869910 h 1308087"/>
              <a:gd name="connsiteX1275" fmla="*/ 680045 w 2280745"/>
              <a:gd name="connsiteY1275" fmla="*/ 890094 h 1308087"/>
              <a:gd name="connsiteX1276" fmla="*/ 680045 w 2280745"/>
              <a:gd name="connsiteY1276" fmla="*/ 896707 h 1308087"/>
              <a:gd name="connsiteX1277" fmla="*/ 680045 w 2280745"/>
              <a:gd name="connsiteY1277" fmla="*/ 945537 h 1308087"/>
              <a:gd name="connsiteX1278" fmla="*/ 688691 w 2280745"/>
              <a:gd name="connsiteY1278" fmla="*/ 953066 h 1308087"/>
              <a:gd name="connsiteX1279" fmla="*/ 690797 w 2280745"/>
              <a:gd name="connsiteY1279" fmla="*/ 953066 h 1308087"/>
              <a:gd name="connsiteX1280" fmla="*/ 699443 w 2280745"/>
              <a:gd name="connsiteY1280" fmla="*/ 945537 h 1308087"/>
              <a:gd name="connsiteX1281" fmla="*/ 699443 w 2280745"/>
              <a:gd name="connsiteY1281" fmla="*/ 896707 h 1308087"/>
              <a:gd name="connsiteX1282" fmla="*/ 706884 w 2280745"/>
              <a:gd name="connsiteY1282" fmla="*/ 896707 h 1308087"/>
              <a:gd name="connsiteX1283" fmla="*/ 706884 w 2280745"/>
              <a:gd name="connsiteY1283" fmla="*/ 945537 h 1308087"/>
              <a:gd name="connsiteX1284" fmla="*/ 715530 w 2280745"/>
              <a:gd name="connsiteY1284" fmla="*/ 953066 h 1308087"/>
              <a:gd name="connsiteX1285" fmla="*/ 717635 w 2280745"/>
              <a:gd name="connsiteY1285" fmla="*/ 953066 h 1308087"/>
              <a:gd name="connsiteX1286" fmla="*/ 726280 w 2280745"/>
              <a:gd name="connsiteY1286" fmla="*/ 945537 h 1308087"/>
              <a:gd name="connsiteX1287" fmla="*/ 726280 w 2280745"/>
              <a:gd name="connsiteY1287" fmla="*/ 896707 h 1308087"/>
              <a:gd name="connsiteX1288" fmla="*/ 726280 w 2280745"/>
              <a:gd name="connsiteY1288" fmla="*/ 890094 h 1308087"/>
              <a:gd name="connsiteX1289" fmla="*/ 726280 w 2280745"/>
              <a:gd name="connsiteY1289" fmla="*/ 872102 h 1308087"/>
              <a:gd name="connsiteX1290" fmla="*/ 731132 w 2280745"/>
              <a:gd name="connsiteY1290" fmla="*/ 887865 h 1308087"/>
              <a:gd name="connsiteX1291" fmla="*/ 741720 w 2280745"/>
              <a:gd name="connsiteY1291" fmla="*/ 893188 h 1308087"/>
              <a:gd name="connsiteX1292" fmla="*/ 743753 w 2280745"/>
              <a:gd name="connsiteY1292" fmla="*/ 892712 h 1308087"/>
              <a:gd name="connsiteX1293" fmla="*/ 749868 w 2280745"/>
              <a:gd name="connsiteY1293" fmla="*/ 883493 h 1308087"/>
              <a:gd name="connsiteX1294" fmla="*/ 733385 w 2280745"/>
              <a:gd name="connsiteY1294" fmla="*/ 829938 h 1308087"/>
              <a:gd name="connsiteX1295" fmla="*/ 730709 w 2280745"/>
              <a:gd name="connsiteY1295" fmla="*/ 826205 h 1308087"/>
              <a:gd name="connsiteX1296" fmla="*/ 726280 w 2280745"/>
              <a:gd name="connsiteY1296" fmla="*/ 824451 h 1308087"/>
              <a:gd name="connsiteX1297" fmla="*/ 726280 w 2280745"/>
              <a:gd name="connsiteY1297" fmla="*/ 824238 h 1308087"/>
              <a:gd name="connsiteX1298" fmla="*/ 680045 w 2280745"/>
              <a:gd name="connsiteY1298" fmla="*/ 824238 h 1308087"/>
              <a:gd name="connsiteX1299" fmla="*/ 880037 w 2280745"/>
              <a:gd name="connsiteY1299" fmla="*/ 824238 h 1308087"/>
              <a:gd name="connsiteX1300" fmla="*/ 880037 w 2280745"/>
              <a:gd name="connsiteY1300" fmla="*/ 824463 h 1308087"/>
              <a:gd name="connsiteX1301" fmla="*/ 879420 w 2280745"/>
              <a:gd name="connsiteY1301" fmla="*/ 824428 h 1308087"/>
              <a:gd name="connsiteX1302" fmla="*/ 872256 w 2280745"/>
              <a:gd name="connsiteY1302" fmla="*/ 829938 h 1308087"/>
              <a:gd name="connsiteX1303" fmla="*/ 855776 w 2280745"/>
              <a:gd name="connsiteY1303" fmla="*/ 883493 h 1308087"/>
              <a:gd name="connsiteX1304" fmla="*/ 861890 w 2280745"/>
              <a:gd name="connsiteY1304" fmla="*/ 892712 h 1308087"/>
              <a:gd name="connsiteX1305" fmla="*/ 863923 w 2280745"/>
              <a:gd name="connsiteY1305" fmla="*/ 893188 h 1308087"/>
              <a:gd name="connsiteX1306" fmla="*/ 874511 w 2280745"/>
              <a:gd name="connsiteY1306" fmla="*/ 887865 h 1308087"/>
              <a:gd name="connsiteX1307" fmla="*/ 880037 w 2280745"/>
              <a:gd name="connsiteY1307" fmla="*/ 869910 h 1308087"/>
              <a:gd name="connsiteX1308" fmla="*/ 880037 w 2280745"/>
              <a:gd name="connsiteY1308" fmla="*/ 890094 h 1308087"/>
              <a:gd name="connsiteX1309" fmla="*/ 880037 w 2280745"/>
              <a:gd name="connsiteY1309" fmla="*/ 896707 h 1308087"/>
              <a:gd name="connsiteX1310" fmla="*/ 880037 w 2280745"/>
              <a:gd name="connsiteY1310" fmla="*/ 945537 h 1308087"/>
              <a:gd name="connsiteX1311" fmla="*/ 888683 w 2280745"/>
              <a:gd name="connsiteY1311" fmla="*/ 953066 h 1308087"/>
              <a:gd name="connsiteX1312" fmla="*/ 890788 w 2280745"/>
              <a:gd name="connsiteY1312" fmla="*/ 953066 h 1308087"/>
              <a:gd name="connsiteX1313" fmla="*/ 899434 w 2280745"/>
              <a:gd name="connsiteY1313" fmla="*/ 945537 h 1308087"/>
              <a:gd name="connsiteX1314" fmla="*/ 899434 w 2280745"/>
              <a:gd name="connsiteY1314" fmla="*/ 896707 h 1308087"/>
              <a:gd name="connsiteX1315" fmla="*/ 906877 w 2280745"/>
              <a:gd name="connsiteY1315" fmla="*/ 896707 h 1308087"/>
              <a:gd name="connsiteX1316" fmla="*/ 906877 w 2280745"/>
              <a:gd name="connsiteY1316" fmla="*/ 945537 h 1308087"/>
              <a:gd name="connsiteX1317" fmla="*/ 915521 w 2280745"/>
              <a:gd name="connsiteY1317" fmla="*/ 953066 h 1308087"/>
              <a:gd name="connsiteX1318" fmla="*/ 917628 w 2280745"/>
              <a:gd name="connsiteY1318" fmla="*/ 953066 h 1308087"/>
              <a:gd name="connsiteX1319" fmla="*/ 926272 w 2280745"/>
              <a:gd name="connsiteY1319" fmla="*/ 945537 h 1308087"/>
              <a:gd name="connsiteX1320" fmla="*/ 926272 w 2280745"/>
              <a:gd name="connsiteY1320" fmla="*/ 896707 h 1308087"/>
              <a:gd name="connsiteX1321" fmla="*/ 926272 w 2280745"/>
              <a:gd name="connsiteY1321" fmla="*/ 890094 h 1308087"/>
              <a:gd name="connsiteX1322" fmla="*/ 926272 w 2280745"/>
              <a:gd name="connsiteY1322" fmla="*/ 872102 h 1308087"/>
              <a:gd name="connsiteX1323" fmla="*/ 931123 w 2280745"/>
              <a:gd name="connsiteY1323" fmla="*/ 887865 h 1308087"/>
              <a:gd name="connsiteX1324" fmla="*/ 941712 w 2280745"/>
              <a:gd name="connsiteY1324" fmla="*/ 893188 h 1308087"/>
              <a:gd name="connsiteX1325" fmla="*/ 943745 w 2280745"/>
              <a:gd name="connsiteY1325" fmla="*/ 892712 h 1308087"/>
              <a:gd name="connsiteX1326" fmla="*/ 949860 w 2280745"/>
              <a:gd name="connsiteY1326" fmla="*/ 883493 h 1308087"/>
              <a:gd name="connsiteX1327" fmla="*/ 933378 w 2280745"/>
              <a:gd name="connsiteY1327" fmla="*/ 829938 h 1308087"/>
              <a:gd name="connsiteX1328" fmla="*/ 930701 w 2280745"/>
              <a:gd name="connsiteY1328" fmla="*/ 826205 h 1308087"/>
              <a:gd name="connsiteX1329" fmla="*/ 926272 w 2280745"/>
              <a:gd name="connsiteY1329" fmla="*/ 824451 h 1308087"/>
              <a:gd name="connsiteX1330" fmla="*/ 926272 w 2280745"/>
              <a:gd name="connsiteY1330" fmla="*/ 824238 h 1308087"/>
              <a:gd name="connsiteX1331" fmla="*/ 880037 w 2280745"/>
              <a:gd name="connsiteY1331" fmla="*/ 824238 h 1308087"/>
              <a:gd name="connsiteX1332" fmla="*/ 1080030 w 2280745"/>
              <a:gd name="connsiteY1332" fmla="*/ 824238 h 1308087"/>
              <a:gd name="connsiteX1333" fmla="*/ 1080030 w 2280745"/>
              <a:gd name="connsiteY1333" fmla="*/ 824463 h 1308087"/>
              <a:gd name="connsiteX1334" fmla="*/ 1079412 w 2280745"/>
              <a:gd name="connsiteY1334" fmla="*/ 824428 h 1308087"/>
              <a:gd name="connsiteX1335" fmla="*/ 1072249 w 2280745"/>
              <a:gd name="connsiteY1335" fmla="*/ 829938 h 1308087"/>
              <a:gd name="connsiteX1336" fmla="*/ 1055767 w 2280745"/>
              <a:gd name="connsiteY1336" fmla="*/ 883493 h 1308087"/>
              <a:gd name="connsiteX1337" fmla="*/ 1061881 w 2280745"/>
              <a:gd name="connsiteY1337" fmla="*/ 892712 h 1308087"/>
              <a:gd name="connsiteX1338" fmla="*/ 1063914 w 2280745"/>
              <a:gd name="connsiteY1338" fmla="*/ 893188 h 1308087"/>
              <a:gd name="connsiteX1339" fmla="*/ 1074503 w 2280745"/>
              <a:gd name="connsiteY1339" fmla="*/ 887865 h 1308087"/>
              <a:gd name="connsiteX1340" fmla="*/ 1080030 w 2280745"/>
              <a:gd name="connsiteY1340" fmla="*/ 869910 h 1308087"/>
              <a:gd name="connsiteX1341" fmla="*/ 1080030 w 2280745"/>
              <a:gd name="connsiteY1341" fmla="*/ 890094 h 1308087"/>
              <a:gd name="connsiteX1342" fmla="*/ 1080030 w 2280745"/>
              <a:gd name="connsiteY1342" fmla="*/ 896707 h 1308087"/>
              <a:gd name="connsiteX1343" fmla="*/ 1080030 w 2280745"/>
              <a:gd name="connsiteY1343" fmla="*/ 945537 h 1308087"/>
              <a:gd name="connsiteX1344" fmla="*/ 1088676 w 2280745"/>
              <a:gd name="connsiteY1344" fmla="*/ 953066 h 1308087"/>
              <a:gd name="connsiteX1345" fmla="*/ 1090781 w 2280745"/>
              <a:gd name="connsiteY1345" fmla="*/ 953066 h 1308087"/>
              <a:gd name="connsiteX1346" fmla="*/ 1099427 w 2280745"/>
              <a:gd name="connsiteY1346" fmla="*/ 945537 h 1308087"/>
              <a:gd name="connsiteX1347" fmla="*/ 1099427 w 2280745"/>
              <a:gd name="connsiteY1347" fmla="*/ 896707 h 1308087"/>
              <a:gd name="connsiteX1348" fmla="*/ 1106868 w 2280745"/>
              <a:gd name="connsiteY1348" fmla="*/ 896707 h 1308087"/>
              <a:gd name="connsiteX1349" fmla="*/ 1106868 w 2280745"/>
              <a:gd name="connsiteY1349" fmla="*/ 945537 h 1308087"/>
              <a:gd name="connsiteX1350" fmla="*/ 1115514 w 2280745"/>
              <a:gd name="connsiteY1350" fmla="*/ 953066 h 1308087"/>
              <a:gd name="connsiteX1351" fmla="*/ 1117619 w 2280745"/>
              <a:gd name="connsiteY1351" fmla="*/ 953066 h 1308087"/>
              <a:gd name="connsiteX1352" fmla="*/ 1126264 w 2280745"/>
              <a:gd name="connsiteY1352" fmla="*/ 945537 h 1308087"/>
              <a:gd name="connsiteX1353" fmla="*/ 1126264 w 2280745"/>
              <a:gd name="connsiteY1353" fmla="*/ 896707 h 1308087"/>
              <a:gd name="connsiteX1354" fmla="*/ 1126264 w 2280745"/>
              <a:gd name="connsiteY1354" fmla="*/ 890094 h 1308087"/>
              <a:gd name="connsiteX1355" fmla="*/ 1126264 w 2280745"/>
              <a:gd name="connsiteY1355" fmla="*/ 872102 h 1308087"/>
              <a:gd name="connsiteX1356" fmla="*/ 1131115 w 2280745"/>
              <a:gd name="connsiteY1356" fmla="*/ 887865 h 1308087"/>
              <a:gd name="connsiteX1357" fmla="*/ 1141704 w 2280745"/>
              <a:gd name="connsiteY1357" fmla="*/ 893188 h 1308087"/>
              <a:gd name="connsiteX1358" fmla="*/ 1143738 w 2280745"/>
              <a:gd name="connsiteY1358" fmla="*/ 892712 h 1308087"/>
              <a:gd name="connsiteX1359" fmla="*/ 1149853 w 2280745"/>
              <a:gd name="connsiteY1359" fmla="*/ 883493 h 1308087"/>
              <a:gd name="connsiteX1360" fmla="*/ 1133370 w 2280745"/>
              <a:gd name="connsiteY1360" fmla="*/ 829938 h 1308087"/>
              <a:gd name="connsiteX1361" fmla="*/ 1130693 w 2280745"/>
              <a:gd name="connsiteY1361" fmla="*/ 826205 h 1308087"/>
              <a:gd name="connsiteX1362" fmla="*/ 1126264 w 2280745"/>
              <a:gd name="connsiteY1362" fmla="*/ 824451 h 1308087"/>
              <a:gd name="connsiteX1363" fmla="*/ 1126264 w 2280745"/>
              <a:gd name="connsiteY1363" fmla="*/ 824238 h 1308087"/>
              <a:gd name="connsiteX1364" fmla="*/ 1080030 w 2280745"/>
              <a:gd name="connsiteY1364" fmla="*/ 824238 h 1308087"/>
              <a:gd name="connsiteX1365" fmla="*/ 1280022 w 2280745"/>
              <a:gd name="connsiteY1365" fmla="*/ 824238 h 1308087"/>
              <a:gd name="connsiteX1366" fmla="*/ 1280022 w 2280745"/>
              <a:gd name="connsiteY1366" fmla="*/ 824463 h 1308087"/>
              <a:gd name="connsiteX1367" fmla="*/ 1279405 w 2280745"/>
              <a:gd name="connsiteY1367" fmla="*/ 824428 h 1308087"/>
              <a:gd name="connsiteX1368" fmla="*/ 1272241 w 2280745"/>
              <a:gd name="connsiteY1368" fmla="*/ 829938 h 1308087"/>
              <a:gd name="connsiteX1369" fmla="*/ 1255760 w 2280745"/>
              <a:gd name="connsiteY1369" fmla="*/ 883493 h 1308087"/>
              <a:gd name="connsiteX1370" fmla="*/ 1261874 w 2280745"/>
              <a:gd name="connsiteY1370" fmla="*/ 892712 h 1308087"/>
              <a:gd name="connsiteX1371" fmla="*/ 1263907 w 2280745"/>
              <a:gd name="connsiteY1371" fmla="*/ 893188 h 1308087"/>
              <a:gd name="connsiteX1372" fmla="*/ 1274496 w 2280745"/>
              <a:gd name="connsiteY1372" fmla="*/ 887865 h 1308087"/>
              <a:gd name="connsiteX1373" fmla="*/ 1280022 w 2280745"/>
              <a:gd name="connsiteY1373" fmla="*/ 869910 h 1308087"/>
              <a:gd name="connsiteX1374" fmla="*/ 1280022 w 2280745"/>
              <a:gd name="connsiteY1374" fmla="*/ 890094 h 1308087"/>
              <a:gd name="connsiteX1375" fmla="*/ 1280022 w 2280745"/>
              <a:gd name="connsiteY1375" fmla="*/ 896707 h 1308087"/>
              <a:gd name="connsiteX1376" fmla="*/ 1280022 w 2280745"/>
              <a:gd name="connsiteY1376" fmla="*/ 945537 h 1308087"/>
              <a:gd name="connsiteX1377" fmla="*/ 1288667 w 2280745"/>
              <a:gd name="connsiteY1377" fmla="*/ 953066 h 1308087"/>
              <a:gd name="connsiteX1378" fmla="*/ 1290773 w 2280745"/>
              <a:gd name="connsiteY1378" fmla="*/ 953066 h 1308087"/>
              <a:gd name="connsiteX1379" fmla="*/ 1299419 w 2280745"/>
              <a:gd name="connsiteY1379" fmla="*/ 945537 h 1308087"/>
              <a:gd name="connsiteX1380" fmla="*/ 1299419 w 2280745"/>
              <a:gd name="connsiteY1380" fmla="*/ 896707 h 1308087"/>
              <a:gd name="connsiteX1381" fmla="*/ 1306860 w 2280745"/>
              <a:gd name="connsiteY1381" fmla="*/ 896707 h 1308087"/>
              <a:gd name="connsiteX1382" fmla="*/ 1306860 w 2280745"/>
              <a:gd name="connsiteY1382" fmla="*/ 945537 h 1308087"/>
              <a:gd name="connsiteX1383" fmla="*/ 1315506 w 2280745"/>
              <a:gd name="connsiteY1383" fmla="*/ 953066 h 1308087"/>
              <a:gd name="connsiteX1384" fmla="*/ 1317610 w 2280745"/>
              <a:gd name="connsiteY1384" fmla="*/ 953066 h 1308087"/>
              <a:gd name="connsiteX1385" fmla="*/ 1326256 w 2280745"/>
              <a:gd name="connsiteY1385" fmla="*/ 945537 h 1308087"/>
              <a:gd name="connsiteX1386" fmla="*/ 1326256 w 2280745"/>
              <a:gd name="connsiteY1386" fmla="*/ 896707 h 1308087"/>
              <a:gd name="connsiteX1387" fmla="*/ 1326256 w 2280745"/>
              <a:gd name="connsiteY1387" fmla="*/ 890094 h 1308087"/>
              <a:gd name="connsiteX1388" fmla="*/ 1326256 w 2280745"/>
              <a:gd name="connsiteY1388" fmla="*/ 872102 h 1308087"/>
              <a:gd name="connsiteX1389" fmla="*/ 1331108 w 2280745"/>
              <a:gd name="connsiteY1389" fmla="*/ 887865 h 1308087"/>
              <a:gd name="connsiteX1390" fmla="*/ 1341696 w 2280745"/>
              <a:gd name="connsiteY1390" fmla="*/ 893188 h 1308087"/>
              <a:gd name="connsiteX1391" fmla="*/ 1343730 w 2280745"/>
              <a:gd name="connsiteY1391" fmla="*/ 892712 h 1308087"/>
              <a:gd name="connsiteX1392" fmla="*/ 1349844 w 2280745"/>
              <a:gd name="connsiteY1392" fmla="*/ 883493 h 1308087"/>
              <a:gd name="connsiteX1393" fmla="*/ 1333361 w 2280745"/>
              <a:gd name="connsiteY1393" fmla="*/ 829938 h 1308087"/>
              <a:gd name="connsiteX1394" fmla="*/ 1330685 w 2280745"/>
              <a:gd name="connsiteY1394" fmla="*/ 826205 h 1308087"/>
              <a:gd name="connsiteX1395" fmla="*/ 1326256 w 2280745"/>
              <a:gd name="connsiteY1395" fmla="*/ 824451 h 1308087"/>
              <a:gd name="connsiteX1396" fmla="*/ 1326256 w 2280745"/>
              <a:gd name="connsiteY1396" fmla="*/ 824238 h 1308087"/>
              <a:gd name="connsiteX1397" fmla="*/ 1280022 w 2280745"/>
              <a:gd name="connsiteY1397" fmla="*/ 824238 h 1308087"/>
              <a:gd name="connsiteX1398" fmla="*/ 1482314 w 2280745"/>
              <a:gd name="connsiteY1398" fmla="*/ 824238 h 1308087"/>
              <a:gd name="connsiteX1399" fmla="*/ 1482314 w 2280745"/>
              <a:gd name="connsiteY1399" fmla="*/ 824463 h 1308087"/>
              <a:gd name="connsiteX1400" fmla="*/ 1481697 w 2280745"/>
              <a:gd name="connsiteY1400" fmla="*/ 824428 h 1308087"/>
              <a:gd name="connsiteX1401" fmla="*/ 1474533 w 2280745"/>
              <a:gd name="connsiteY1401" fmla="*/ 829938 h 1308087"/>
              <a:gd name="connsiteX1402" fmla="*/ 1458052 w 2280745"/>
              <a:gd name="connsiteY1402" fmla="*/ 883493 h 1308087"/>
              <a:gd name="connsiteX1403" fmla="*/ 1464166 w 2280745"/>
              <a:gd name="connsiteY1403" fmla="*/ 892712 h 1308087"/>
              <a:gd name="connsiteX1404" fmla="*/ 1466199 w 2280745"/>
              <a:gd name="connsiteY1404" fmla="*/ 893188 h 1308087"/>
              <a:gd name="connsiteX1405" fmla="*/ 1476788 w 2280745"/>
              <a:gd name="connsiteY1405" fmla="*/ 887865 h 1308087"/>
              <a:gd name="connsiteX1406" fmla="*/ 1482314 w 2280745"/>
              <a:gd name="connsiteY1406" fmla="*/ 869910 h 1308087"/>
              <a:gd name="connsiteX1407" fmla="*/ 1482314 w 2280745"/>
              <a:gd name="connsiteY1407" fmla="*/ 890094 h 1308087"/>
              <a:gd name="connsiteX1408" fmla="*/ 1482314 w 2280745"/>
              <a:gd name="connsiteY1408" fmla="*/ 896707 h 1308087"/>
              <a:gd name="connsiteX1409" fmla="*/ 1482314 w 2280745"/>
              <a:gd name="connsiteY1409" fmla="*/ 945537 h 1308087"/>
              <a:gd name="connsiteX1410" fmla="*/ 1490960 w 2280745"/>
              <a:gd name="connsiteY1410" fmla="*/ 953066 h 1308087"/>
              <a:gd name="connsiteX1411" fmla="*/ 1493064 w 2280745"/>
              <a:gd name="connsiteY1411" fmla="*/ 953066 h 1308087"/>
              <a:gd name="connsiteX1412" fmla="*/ 1501710 w 2280745"/>
              <a:gd name="connsiteY1412" fmla="*/ 945537 h 1308087"/>
              <a:gd name="connsiteX1413" fmla="*/ 1501710 w 2280745"/>
              <a:gd name="connsiteY1413" fmla="*/ 896707 h 1308087"/>
              <a:gd name="connsiteX1414" fmla="*/ 1509153 w 2280745"/>
              <a:gd name="connsiteY1414" fmla="*/ 896707 h 1308087"/>
              <a:gd name="connsiteX1415" fmla="*/ 1509153 w 2280745"/>
              <a:gd name="connsiteY1415" fmla="*/ 945537 h 1308087"/>
              <a:gd name="connsiteX1416" fmla="*/ 1517799 w 2280745"/>
              <a:gd name="connsiteY1416" fmla="*/ 953066 h 1308087"/>
              <a:gd name="connsiteX1417" fmla="*/ 1519903 w 2280745"/>
              <a:gd name="connsiteY1417" fmla="*/ 953066 h 1308087"/>
              <a:gd name="connsiteX1418" fmla="*/ 1528549 w 2280745"/>
              <a:gd name="connsiteY1418" fmla="*/ 945537 h 1308087"/>
              <a:gd name="connsiteX1419" fmla="*/ 1528549 w 2280745"/>
              <a:gd name="connsiteY1419" fmla="*/ 896707 h 1308087"/>
              <a:gd name="connsiteX1420" fmla="*/ 1528549 w 2280745"/>
              <a:gd name="connsiteY1420" fmla="*/ 890094 h 1308087"/>
              <a:gd name="connsiteX1421" fmla="*/ 1528549 w 2280745"/>
              <a:gd name="connsiteY1421" fmla="*/ 872102 h 1308087"/>
              <a:gd name="connsiteX1422" fmla="*/ 1533400 w 2280745"/>
              <a:gd name="connsiteY1422" fmla="*/ 887865 h 1308087"/>
              <a:gd name="connsiteX1423" fmla="*/ 1543989 w 2280745"/>
              <a:gd name="connsiteY1423" fmla="*/ 893188 h 1308087"/>
              <a:gd name="connsiteX1424" fmla="*/ 1546022 w 2280745"/>
              <a:gd name="connsiteY1424" fmla="*/ 892712 h 1308087"/>
              <a:gd name="connsiteX1425" fmla="*/ 1552136 w 2280745"/>
              <a:gd name="connsiteY1425" fmla="*/ 883493 h 1308087"/>
              <a:gd name="connsiteX1426" fmla="*/ 1535655 w 2280745"/>
              <a:gd name="connsiteY1426" fmla="*/ 829938 h 1308087"/>
              <a:gd name="connsiteX1427" fmla="*/ 1532977 w 2280745"/>
              <a:gd name="connsiteY1427" fmla="*/ 826205 h 1308087"/>
              <a:gd name="connsiteX1428" fmla="*/ 1528549 w 2280745"/>
              <a:gd name="connsiteY1428" fmla="*/ 824451 h 1308087"/>
              <a:gd name="connsiteX1429" fmla="*/ 1528549 w 2280745"/>
              <a:gd name="connsiteY1429" fmla="*/ 824238 h 1308087"/>
              <a:gd name="connsiteX1430" fmla="*/ 1482314 w 2280745"/>
              <a:gd name="connsiteY1430" fmla="*/ 824238 h 1308087"/>
              <a:gd name="connsiteX1431" fmla="*/ 1679477 w 2280745"/>
              <a:gd name="connsiteY1431" fmla="*/ 824238 h 1308087"/>
              <a:gd name="connsiteX1432" fmla="*/ 1679477 w 2280745"/>
              <a:gd name="connsiteY1432" fmla="*/ 824463 h 1308087"/>
              <a:gd name="connsiteX1433" fmla="*/ 1678860 w 2280745"/>
              <a:gd name="connsiteY1433" fmla="*/ 824428 h 1308087"/>
              <a:gd name="connsiteX1434" fmla="*/ 1671696 w 2280745"/>
              <a:gd name="connsiteY1434" fmla="*/ 829938 h 1308087"/>
              <a:gd name="connsiteX1435" fmla="*/ 1655215 w 2280745"/>
              <a:gd name="connsiteY1435" fmla="*/ 883493 h 1308087"/>
              <a:gd name="connsiteX1436" fmla="*/ 1661328 w 2280745"/>
              <a:gd name="connsiteY1436" fmla="*/ 892712 h 1308087"/>
              <a:gd name="connsiteX1437" fmla="*/ 1663362 w 2280745"/>
              <a:gd name="connsiteY1437" fmla="*/ 893188 h 1308087"/>
              <a:gd name="connsiteX1438" fmla="*/ 1673951 w 2280745"/>
              <a:gd name="connsiteY1438" fmla="*/ 887865 h 1308087"/>
              <a:gd name="connsiteX1439" fmla="*/ 1679477 w 2280745"/>
              <a:gd name="connsiteY1439" fmla="*/ 869910 h 1308087"/>
              <a:gd name="connsiteX1440" fmla="*/ 1679477 w 2280745"/>
              <a:gd name="connsiteY1440" fmla="*/ 890094 h 1308087"/>
              <a:gd name="connsiteX1441" fmla="*/ 1679477 w 2280745"/>
              <a:gd name="connsiteY1441" fmla="*/ 896707 h 1308087"/>
              <a:gd name="connsiteX1442" fmla="*/ 1679477 w 2280745"/>
              <a:gd name="connsiteY1442" fmla="*/ 945537 h 1308087"/>
              <a:gd name="connsiteX1443" fmla="*/ 1688123 w 2280745"/>
              <a:gd name="connsiteY1443" fmla="*/ 953066 h 1308087"/>
              <a:gd name="connsiteX1444" fmla="*/ 1690227 w 2280745"/>
              <a:gd name="connsiteY1444" fmla="*/ 953066 h 1308087"/>
              <a:gd name="connsiteX1445" fmla="*/ 1698873 w 2280745"/>
              <a:gd name="connsiteY1445" fmla="*/ 945537 h 1308087"/>
              <a:gd name="connsiteX1446" fmla="*/ 1698873 w 2280745"/>
              <a:gd name="connsiteY1446" fmla="*/ 896707 h 1308087"/>
              <a:gd name="connsiteX1447" fmla="*/ 1706314 w 2280745"/>
              <a:gd name="connsiteY1447" fmla="*/ 896707 h 1308087"/>
              <a:gd name="connsiteX1448" fmla="*/ 1706314 w 2280745"/>
              <a:gd name="connsiteY1448" fmla="*/ 945537 h 1308087"/>
              <a:gd name="connsiteX1449" fmla="*/ 1714961 w 2280745"/>
              <a:gd name="connsiteY1449" fmla="*/ 953066 h 1308087"/>
              <a:gd name="connsiteX1450" fmla="*/ 1717066 w 2280745"/>
              <a:gd name="connsiteY1450" fmla="*/ 953066 h 1308087"/>
              <a:gd name="connsiteX1451" fmla="*/ 1725712 w 2280745"/>
              <a:gd name="connsiteY1451" fmla="*/ 945537 h 1308087"/>
              <a:gd name="connsiteX1452" fmla="*/ 1725712 w 2280745"/>
              <a:gd name="connsiteY1452" fmla="*/ 896707 h 1308087"/>
              <a:gd name="connsiteX1453" fmla="*/ 1725712 w 2280745"/>
              <a:gd name="connsiteY1453" fmla="*/ 890094 h 1308087"/>
              <a:gd name="connsiteX1454" fmla="*/ 1725712 w 2280745"/>
              <a:gd name="connsiteY1454" fmla="*/ 872102 h 1308087"/>
              <a:gd name="connsiteX1455" fmla="*/ 1730563 w 2280745"/>
              <a:gd name="connsiteY1455" fmla="*/ 887865 h 1308087"/>
              <a:gd name="connsiteX1456" fmla="*/ 1741152 w 2280745"/>
              <a:gd name="connsiteY1456" fmla="*/ 893188 h 1308087"/>
              <a:gd name="connsiteX1457" fmla="*/ 1743185 w 2280745"/>
              <a:gd name="connsiteY1457" fmla="*/ 892712 h 1308087"/>
              <a:gd name="connsiteX1458" fmla="*/ 1749299 w 2280745"/>
              <a:gd name="connsiteY1458" fmla="*/ 883493 h 1308087"/>
              <a:gd name="connsiteX1459" fmla="*/ 1732817 w 2280745"/>
              <a:gd name="connsiteY1459" fmla="*/ 829938 h 1308087"/>
              <a:gd name="connsiteX1460" fmla="*/ 1730140 w 2280745"/>
              <a:gd name="connsiteY1460" fmla="*/ 826205 h 1308087"/>
              <a:gd name="connsiteX1461" fmla="*/ 1725712 w 2280745"/>
              <a:gd name="connsiteY1461" fmla="*/ 824451 h 1308087"/>
              <a:gd name="connsiteX1462" fmla="*/ 1725712 w 2280745"/>
              <a:gd name="connsiteY1462" fmla="*/ 824238 h 1308087"/>
              <a:gd name="connsiteX1463" fmla="*/ 1679477 w 2280745"/>
              <a:gd name="connsiteY1463" fmla="*/ 824238 h 1308087"/>
              <a:gd name="connsiteX1464" fmla="*/ 1882298 w 2280745"/>
              <a:gd name="connsiteY1464" fmla="*/ 824238 h 1308087"/>
              <a:gd name="connsiteX1465" fmla="*/ 1882298 w 2280745"/>
              <a:gd name="connsiteY1465" fmla="*/ 824463 h 1308087"/>
              <a:gd name="connsiteX1466" fmla="*/ 1881681 w 2280745"/>
              <a:gd name="connsiteY1466" fmla="*/ 824428 h 1308087"/>
              <a:gd name="connsiteX1467" fmla="*/ 1874518 w 2280745"/>
              <a:gd name="connsiteY1467" fmla="*/ 829938 h 1308087"/>
              <a:gd name="connsiteX1468" fmla="*/ 1858037 w 2280745"/>
              <a:gd name="connsiteY1468" fmla="*/ 883493 h 1308087"/>
              <a:gd name="connsiteX1469" fmla="*/ 1864152 w 2280745"/>
              <a:gd name="connsiteY1469" fmla="*/ 892712 h 1308087"/>
              <a:gd name="connsiteX1470" fmla="*/ 1866184 w 2280745"/>
              <a:gd name="connsiteY1470" fmla="*/ 893188 h 1308087"/>
              <a:gd name="connsiteX1471" fmla="*/ 1876773 w 2280745"/>
              <a:gd name="connsiteY1471" fmla="*/ 887865 h 1308087"/>
              <a:gd name="connsiteX1472" fmla="*/ 1882298 w 2280745"/>
              <a:gd name="connsiteY1472" fmla="*/ 869910 h 1308087"/>
              <a:gd name="connsiteX1473" fmla="*/ 1882298 w 2280745"/>
              <a:gd name="connsiteY1473" fmla="*/ 890094 h 1308087"/>
              <a:gd name="connsiteX1474" fmla="*/ 1882298 w 2280745"/>
              <a:gd name="connsiteY1474" fmla="*/ 896707 h 1308087"/>
              <a:gd name="connsiteX1475" fmla="*/ 1882298 w 2280745"/>
              <a:gd name="connsiteY1475" fmla="*/ 945537 h 1308087"/>
              <a:gd name="connsiteX1476" fmla="*/ 1890944 w 2280745"/>
              <a:gd name="connsiteY1476" fmla="*/ 953066 h 1308087"/>
              <a:gd name="connsiteX1477" fmla="*/ 1893050 w 2280745"/>
              <a:gd name="connsiteY1477" fmla="*/ 953066 h 1308087"/>
              <a:gd name="connsiteX1478" fmla="*/ 1901696 w 2280745"/>
              <a:gd name="connsiteY1478" fmla="*/ 945537 h 1308087"/>
              <a:gd name="connsiteX1479" fmla="*/ 1901696 w 2280745"/>
              <a:gd name="connsiteY1479" fmla="*/ 896707 h 1308087"/>
              <a:gd name="connsiteX1480" fmla="*/ 1909138 w 2280745"/>
              <a:gd name="connsiteY1480" fmla="*/ 896707 h 1308087"/>
              <a:gd name="connsiteX1481" fmla="*/ 1909138 w 2280745"/>
              <a:gd name="connsiteY1481" fmla="*/ 945537 h 1308087"/>
              <a:gd name="connsiteX1482" fmla="*/ 1917783 w 2280745"/>
              <a:gd name="connsiteY1482" fmla="*/ 953066 h 1308087"/>
              <a:gd name="connsiteX1483" fmla="*/ 1919889 w 2280745"/>
              <a:gd name="connsiteY1483" fmla="*/ 953066 h 1308087"/>
              <a:gd name="connsiteX1484" fmla="*/ 1928535 w 2280745"/>
              <a:gd name="connsiteY1484" fmla="*/ 945537 h 1308087"/>
              <a:gd name="connsiteX1485" fmla="*/ 1928535 w 2280745"/>
              <a:gd name="connsiteY1485" fmla="*/ 896707 h 1308087"/>
              <a:gd name="connsiteX1486" fmla="*/ 1928535 w 2280745"/>
              <a:gd name="connsiteY1486" fmla="*/ 890094 h 1308087"/>
              <a:gd name="connsiteX1487" fmla="*/ 1928535 w 2280745"/>
              <a:gd name="connsiteY1487" fmla="*/ 872102 h 1308087"/>
              <a:gd name="connsiteX1488" fmla="*/ 1933385 w 2280745"/>
              <a:gd name="connsiteY1488" fmla="*/ 887865 h 1308087"/>
              <a:gd name="connsiteX1489" fmla="*/ 1943974 w 2280745"/>
              <a:gd name="connsiteY1489" fmla="*/ 893188 h 1308087"/>
              <a:gd name="connsiteX1490" fmla="*/ 1946009 w 2280745"/>
              <a:gd name="connsiteY1490" fmla="*/ 892712 h 1308087"/>
              <a:gd name="connsiteX1491" fmla="*/ 1952121 w 2280745"/>
              <a:gd name="connsiteY1491" fmla="*/ 883493 h 1308087"/>
              <a:gd name="connsiteX1492" fmla="*/ 1935640 w 2280745"/>
              <a:gd name="connsiteY1492" fmla="*/ 829938 h 1308087"/>
              <a:gd name="connsiteX1493" fmla="*/ 1932962 w 2280745"/>
              <a:gd name="connsiteY1493" fmla="*/ 826205 h 1308087"/>
              <a:gd name="connsiteX1494" fmla="*/ 1928535 w 2280745"/>
              <a:gd name="connsiteY1494" fmla="*/ 824451 h 1308087"/>
              <a:gd name="connsiteX1495" fmla="*/ 1928535 w 2280745"/>
              <a:gd name="connsiteY1495" fmla="*/ 824238 h 1308087"/>
              <a:gd name="connsiteX1496" fmla="*/ 1882298 w 2280745"/>
              <a:gd name="connsiteY1496" fmla="*/ 824238 h 1308087"/>
              <a:gd name="connsiteX1497" fmla="*/ 2081622 w 2280745"/>
              <a:gd name="connsiteY1497" fmla="*/ 824238 h 1308087"/>
              <a:gd name="connsiteX1498" fmla="*/ 2081622 w 2280745"/>
              <a:gd name="connsiteY1498" fmla="*/ 824463 h 1308087"/>
              <a:gd name="connsiteX1499" fmla="*/ 2081004 w 2280745"/>
              <a:gd name="connsiteY1499" fmla="*/ 824428 h 1308087"/>
              <a:gd name="connsiteX1500" fmla="*/ 2073841 w 2280745"/>
              <a:gd name="connsiteY1500" fmla="*/ 829938 h 1308087"/>
              <a:gd name="connsiteX1501" fmla="*/ 2057362 w 2280745"/>
              <a:gd name="connsiteY1501" fmla="*/ 883493 h 1308087"/>
              <a:gd name="connsiteX1502" fmla="*/ 2063474 w 2280745"/>
              <a:gd name="connsiteY1502" fmla="*/ 892712 h 1308087"/>
              <a:gd name="connsiteX1503" fmla="*/ 2065507 w 2280745"/>
              <a:gd name="connsiteY1503" fmla="*/ 893188 h 1308087"/>
              <a:gd name="connsiteX1504" fmla="*/ 2076097 w 2280745"/>
              <a:gd name="connsiteY1504" fmla="*/ 887865 h 1308087"/>
              <a:gd name="connsiteX1505" fmla="*/ 2081622 w 2280745"/>
              <a:gd name="connsiteY1505" fmla="*/ 869910 h 1308087"/>
              <a:gd name="connsiteX1506" fmla="*/ 2081622 w 2280745"/>
              <a:gd name="connsiteY1506" fmla="*/ 890094 h 1308087"/>
              <a:gd name="connsiteX1507" fmla="*/ 2081622 w 2280745"/>
              <a:gd name="connsiteY1507" fmla="*/ 896707 h 1308087"/>
              <a:gd name="connsiteX1508" fmla="*/ 2081622 w 2280745"/>
              <a:gd name="connsiteY1508" fmla="*/ 945537 h 1308087"/>
              <a:gd name="connsiteX1509" fmla="*/ 2090268 w 2280745"/>
              <a:gd name="connsiteY1509" fmla="*/ 953066 h 1308087"/>
              <a:gd name="connsiteX1510" fmla="*/ 2092373 w 2280745"/>
              <a:gd name="connsiteY1510" fmla="*/ 953066 h 1308087"/>
              <a:gd name="connsiteX1511" fmla="*/ 2101019 w 2280745"/>
              <a:gd name="connsiteY1511" fmla="*/ 945537 h 1308087"/>
              <a:gd name="connsiteX1512" fmla="*/ 2101019 w 2280745"/>
              <a:gd name="connsiteY1512" fmla="*/ 896707 h 1308087"/>
              <a:gd name="connsiteX1513" fmla="*/ 2108461 w 2280745"/>
              <a:gd name="connsiteY1513" fmla="*/ 896707 h 1308087"/>
              <a:gd name="connsiteX1514" fmla="*/ 2108461 w 2280745"/>
              <a:gd name="connsiteY1514" fmla="*/ 945537 h 1308087"/>
              <a:gd name="connsiteX1515" fmla="*/ 2117107 w 2280745"/>
              <a:gd name="connsiteY1515" fmla="*/ 953066 h 1308087"/>
              <a:gd name="connsiteX1516" fmla="*/ 2119212 w 2280745"/>
              <a:gd name="connsiteY1516" fmla="*/ 953066 h 1308087"/>
              <a:gd name="connsiteX1517" fmla="*/ 2127858 w 2280745"/>
              <a:gd name="connsiteY1517" fmla="*/ 945537 h 1308087"/>
              <a:gd name="connsiteX1518" fmla="*/ 2127858 w 2280745"/>
              <a:gd name="connsiteY1518" fmla="*/ 896707 h 1308087"/>
              <a:gd name="connsiteX1519" fmla="*/ 2127858 w 2280745"/>
              <a:gd name="connsiteY1519" fmla="*/ 890094 h 1308087"/>
              <a:gd name="connsiteX1520" fmla="*/ 2127858 w 2280745"/>
              <a:gd name="connsiteY1520" fmla="*/ 872102 h 1308087"/>
              <a:gd name="connsiteX1521" fmla="*/ 2132707 w 2280745"/>
              <a:gd name="connsiteY1521" fmla="*/ 887865 h 1308087"/>
              <a:gd name="connsiteX1522" fmla="*/ 2143298 w 2280745"/>
              <a:gd name="connsiteY1522" fmla="*/ 893188 h 1308087"/>
              <a:gd name="connsiteX1523" fmla="*/ 2145331 w 2280745"/>
              <a:gd name="connsiteY1523" fmla="*/ 892712 h 1308087"/>
              <a:gd name="connsiteX1524" fmla="*/ 2151445 w 2280745"/>
              <a:gd name="connsiteY1524" fmla="*/ 883493 h 1308087"/>
              <a:gd name="connsiteX1525" fmla="*/ 2134963 w 2280745"/>
              <a:gd name="connsiteY1525" fmla="*/ 829938 h 1308087"/>
              <a:gd name="connsiteX1526" fmla="*/ 2132286 w 2280745"/>
              <a:gd name="connsiteY1526" fmla="*/ 826205 h 1308087"/>
              <a:gd name="connsiteX1527" fmla="*/ 2127858 w 2280745"/>
              <a:gd name="connsiteY1527" fmla="*/ 824451 h 1308087"/>
              <a:gd name="connsiteX1528" fmla="*/ 2127858 w 2280745"/>
              <a:gd name="connsiteY1528" fmla="*/ 824238 h 1308087"/>
              <a:gd name="connsiteX1529" fmla="*/ 2081622 w 2280745"/>
              <a:gd name="connsiteY1529" fmla="*/ 824238 h 1308087"/>
              <a:gd name="connsiteX1530" fmla="*/ 303668 w 2280745"/>
              <a:gd name="connsiteY1530" fmla="*/ 1023606 h 1308087"/>
              <a:gd name="connsiteX1531" fmla="*/ 284721 w 2280745"/>
              <a:gd name="connsiteY1531" fmla="*/ 1040102 h 1308087"/>
              <a:gd name="connsiteX1532" fmla="*/ 303668 w 2280745"/>
              <a:gd name="connsiteY1532" fmla="*/ 1056599 h 1308087"/>
              <a:gd name="connsiteX1533" fmla="*/ 322614 w 2280745"/>
              <a:gd name="connsiteY1533" fmla="*/ 1040102 h 1308087"/>
              <a:gd name="connsiteX1534" fmla="*/ 303668 w 2280745"/>
              <a:gd name="connsiteY1534" fmla="*/ 1023606 h 1308087"/>
              <a:gd name="connsiteX1535" fmla="*/ 503662 w 2280745"/>
              <a:gd name="connsiteY1535" fmla="*/ 1023606 h 1308087"/>
              <a:gd name="connsiteX1536" fmla="*/ 484717 w 2280745"/>
              <a:gd name="connsiteY1536" fmla="*/ 1040102 h 1308087"/>
              <a:gd name="connsiteX1537" fmla="*/ 503662 w 2280745"/>
              <a:gd name="connsiteY1537" fmla="*/ 1056599 h 1308087"/>
              <a:gd name="connsiteX1538" fmla="*/ 522607 w 2280745"/>
              <a:gd name="connsiteY1538" fmla="*/ 1040102 h 1308087"/>
              <a:gd name="connsiteX1539" fmla="*/ 503662 w 2280745"/>
              <a:gd name="connsiteY1539" fmla="*/ 1023606 h 1308087"/>
              <a:gd name="connsiteX1540" fmla="*/ 703653 w 2280745"/>
              <a:gd name="connsiteY1540" fmla="*/ 1023606 h 1308087"/>
              <a:gd name="connsiteX1541" fmla="*/ 684709 w 2280745"/>
              <a:gd name="connsiteY1541" fmla="*/ 1040102 h 1308087"/>
              <a:gd name="connsiteX1542" fmla="*/ 703653 w 2280745"/>
              <a:gd name="connsiteY1542" fmla="*/ 1056599 h 1308087"/>
              <a:gd name="connsiteX1543" fmla="*/ 722600 w 2280745"/>
              <a:gd name="connsiteY1543" fmla="*/ 1040102 h 1308087"/>
              <a:gd name="connsiteX1544" fmla="*/ 703653 w 2280745"/>
              <a:gd name="connsiteY1544" fmla="*/ 1023606 h 1308087"/>
              <a:gd name="connsiteX1545" fmla="*/ 903646 w 2280745"/>
              <a:gd name="connsiteY1545" fmla="*/ 1023606 h 1308087"/>
              <a:gd name="connsiteX1546" fmla="*/ 884701 w 2280745"/>
              <a:gd name="connsiteY1546" fmla="*/ 1040102 h 1308087"/>
              <a:gd name="connsiteX1547" fmla="*/ 903646 w 2280745"/>
              <a:gd name="connsiteY1547" fmla="*/ 1056599 h 1308087"/>
              <a:gd name="connsiteX1548" fmla="*/ 922591 w 2280745"/>
              <a:gd name="connsiteY1548" fmla="*/ 1040102 h 1308087"/>
              <a:gd name="connsiteX1549" fmla="*/ 903646 w 2280745"/>
              <a:gd name="connsiteY1549" fmla="*/ 1023606 h 1308087"/>
              <a:gd name="connsiteX1550" fmla="*/ 1103638 w 2280745"/>
              <a:gd name="connsiteY1550" fmla="*/ 1023606 h 1308087"/>
              <a:gd name="connsiteX1551" fmla="*/ 1084694 w 2280745"/>
              <a:gd name="connsiteY1551" fmla="*/ 1040102 h 1308087"/>
              <a:gd name="connsiteX1552" fmla="*/ 1103638 w 2280745"/>
              <a:gd name="connsiteY1552" fmla="*/ 1056599 h 1308087"/>
              <a:gd name="connsiteX1553" fmla="*/ 1122584 w 2280745"/>
              <a:gd name="connsiteY1553" fmla="*/ 1040102 h 1308087"/>
              <a:gd name="connsiteX1554" fmla="*/ 1103638 w 2280745"/>
              <a:gd name="connsiteY1554" fmla="*/ 1023606 h 1308087"/>
              <a:gd name="connsiteX1555" fmla="*/ 1303631 w 2280745"/>
              <a:gd name="connsiteY1555" fmla="*/ 1023606 h 1308087"/>
              <a:gd name="connsiteX1556" fmla="*/ 1284685 w 2280745"/>
              <a:gd name="connsiteY1556" fmla="*/ 1040102 h 1308087"/>
              <a:gd name="connsiteX1557" fmla="*/ 1303631 w 2280745"/>
              <a:gd name="connsiteY1557" fmla="*/ 1056599 h 1308087"/>
              <a:gd name="connsiteX1558" fmla="*/ 1322576 w 2280745"/>
              <a:gd name="connsiteY1558" fmla="*/ 1040102 h 1308087"/>
              <a:gd name="connsiteX1559" fmla="*/ 1303631 w 2280745"/>
              <a:gd name="connsiteY1559" fmla="*/ 1023606 h 1308087"/>
              <a:gd name="connsiteX1560" fmla="*/ 1505923 w 2280745"/>
              <a:gd name="connsiteY1560" fmla="*/ 1023606 h 1308087"/>
              <a:gd name="connsiteX1561" fmla="*/ 1486979 w 2280745"/>
              <a:gd name="connsiteY1561" fmla="*/ 1040102 h 1308087"/>
              <a:gd name="connsiteX1562" fmla="*/ 1505923 w 2280745"/>
              <a:gd name="connsiteY1562" fmla="*/ 1056599 h 1308087"/>
              <a:gd name="connsiteX1563" fmla="*/ 1524868 w 2280745"/>
              <a:gd name="connsiteY1563" fmla="*/ 1040102 h 1308087"/>
              <a:gd name="connsiteX1564" fmla="*/ 1505923 w 2280745"/>
              <a:gd name="connsiteY1564" fmla="*/ 1023606 h 1308087"/>
              <a:gd name="connsiteX1565" fmla="*/ 1703085 w 2280745"/>
              <a:gd name="connsiteY1565" fmla="*/ 1023606 h 1308087"/>
              <a:gd name="connsiteX1566" fmla="*/ 1684140 w 2280745"/>
              <a:gd name="connsiteY1566" fmla="*/ 1040102 h 1308087"/>
              <a:gd name="connsiteX1567" fmla="*/ 1703085 w 2280745"/>
              <a:gd name="connsiteY1567" fmla="*/ 1056599 h 1308087"/>
              <a:gd name="connsiteX1568" fmla="*/ 1722031 w 2280745"/>
              <a:gd name="connsiteY1568" fmla="*/ 1040102 h 1308087"/>
              <a:gd name="connsiteX1569" fmla="*/ 1703085 w 2280745"/>
              <a:gd name="connsiteY1569" fmla="*/ 1023606 h 1308087"/>
              <a:gd name="connsiteX1570" fmla="*/ 1905908 w 2280745"/>
              <a:gd name="connsiteY1570" fmla="*/ 1023606 h 1308087"/>
              <a:gd name="connsiteX1571" fmla="*/ 1886962 w 2280745"/>
              <a:gd name="connsiteY1571" fmla="*/ 1040102 h 1308087"/>
              <a:gd name="connsiteX1572" fmla="*/ 1905908 w 2280745"/>
              <a:gd name="connsiteY1572" fmla="*/ 1056599 h 1308087"/>
              <a:gd name="connsiteX1573" fmla="*/ 1924855 w 2280745"/>
              <a:gd name="connsiteY1573" fmla="*/ 1040102 h 1308087"/>
              <a:gd name="connsiteX1574" fmla="*/ 1905908 w 2280745"/>
              <a:gd name="connsiteY1574" fmla="*/ 1023606 h 1308087"/>
              <a:gd name="connsiteX1575" fmla="*/ 2105231 w 2280745"/>
              <a:gd name="connsiteY1575" fmla="*/ 1023606 h 1308087"/>
              <a:gd name="connsiteX1576" fmla="*/ 2086286 w 2280745"/>
              <a:gd name="connsiteY1576" fmla="*/ 1040102 h 1308087"/>
              <a:gd name="connsiteX1577" fmla="*/ 2105231 w 2280745"/>
              <a:gd name="connsiteY1577" fmla="*/ 1056599 h 1308087"/>
              <a:gd name="connsiteX1578" fmla="*/ 2124177 w 2280745"/>
              <a:gd name="connsiteY1578" fmla="*/ 1040102 h 1308087"/>
              <a:gd name="connsiteX1579" fmla="*/ 2105231 w 2280745"/>
              <a:gd name="connsiteY1579" fmla="*/ 1023606 h 1308087"/>
              <a:gd name="connsiteX1580" fmla="*/ 280058 w 2280745"/>
              <a:gd name="connsiteY1580" fmla="*/ 1060264 h 1308087"/>
              <a:gd name="connsiteX1581" fmla="*/ 280058 w 2280745"/>
              <a:gd name="connsiteY1581" fmla="*/ 1060489 h 1308087"/>
              <a:gd name="connsiteX1582" fmla="*/ 279441 w 2280745"/>
              <a:gd name="connsiteY1582" fmla="*/ 1060454 h 1308087"/>
              <a:gd name="connsiteX1583" fmla="*/ 272279 w 2280745"/>
              <a:gd name="connsiteY1583" fmla="*/ 1065964 h 1308087"/>
              <a:gd name="connsiteX1584" fmla="*/ 255797 w 2280745"/>
              <a:gd name="connsiteY1584" fmla="*/ 1119520 h 1308087"/>
              <a:gd name="connsiteX1585" fmla="*/ 261911 w 2280745"/>
              <a:gd name="connsiteY1585" fmla="*/ 1128739 h 1308087"/>
              <a:gd name="connsiteX1586" fmla="*/ 263944 w 2280745"/>
              <a:gd name="connsiteY1586" fmla="*/ 1129214 h 1308087"/>
              <a:gd name="connsiteX1587" fmla="*/ 274533 w 2280745"/>
              <a:gd name="connsiteY1587" fmla="*/ 1123891 h 1308087"/>
              <a:gd name="connsiteX1588" fmla="*/ 280058 w 2280745"/>
              <a:gd name="connsiteY1588" fmla="*/ 1105936 h 1308087"/>
              <a:gd name="connsiteX1589" fmla="*/ 280058 w 2280745"/>
              <a:gd name="connsiteY1589" fmla="*/ 1126120 h 1308087"/>
              <a:gd name="connsiteX1590" fmla="*/ 280058 w 2280745"/>
              <a:gd name="connsiteY1590" fmla="*/ 1132734 h 1308087"/>
              <a:gd name="connsiteX1591" fmla="*/ 280058 w 2280745"/>
              <a:gd name="connsiteY1591" fmla="*/ 1181563 h 1308087"/>
              <a:gd name="connsiteX1592" fmla="*/ 288705 w 2280745"/>
              <a:gd name="connsiteY1592" fmla="*/ 1189092 h 1308087"/>
              <a:gd name="connsiteX1593" fmla="*/ 290809 w 2280745"/>
              <a:gd name="connsiteY1593" fmla="*/ 1189092 h 1308087"/>
              <a:gd name="connsiteX1594" fmla="*/ 299455 w 2280745"/>
              <a:gd name="connsiteY1594" fmla="*/ 1181563 h 1308087"/>
              <a:gd name="connsiteX1595" fmla="*/ 299455 w 2280745"/>
              <a:gd name="connsiteY1595" fmla="*/ 1132734 h 1308087"/>
              <a:gd name="connsiteX1596" fmla="*/ 306898 w 2280745"/>
              <a:gd name="connsiteY1596" fmla="*/ 1132734 h 1308087"/>
              <a:gd name="connsiteX1597" fmla="*/ 306898 w 2280745"/>
              <a:gd name="connsiteY1597" fmla="*/ 1181563 h 1308087"/>
              <a:gd name="connsiteX1598" fmla="*/ 315544 w 2280745"/>
              <a:gd name="connsiteY1598" fmla="*/ 1189092 h 1308087"/>
              <a:gd name="connsiteX1599" fmla="*/ 317649 w 2280745"/>
              <a:gd name="connsiteY1599" fmla="*/ 1189092 h 1308087"/>
              <a:gd name="connsiteX1600" fmla="*/ 326293 w 2280745"/>
              <a:gd name="connsiteY1600" fmla="*/ 1181563 h 1308087"/>
              <a:gd name="connsiteX1601" fmla="*/ 326293 w 2280745"/>
              <a:gd name="connsiteY1601" fmla="*/ 1132734 h 1308087"/>
              <a:gd name="connsiteX1602" fmla="*/ 326293 w 2280745"/>
              <a:gd name="connsiteY1602" fmla="*/ 1126120 h 1308087"/>
              <a:gd name="connsiteX1603" fmla="*/ 326293 w 2280745"/>
              <a:gd name="connsiteY1603" fmla="*/ 1108128 h 1308087"/>
              <a:gd name="connsiteX1604" fmla="*/ 331145 w 2280745"/>
              <a:gd name="connsiteY1604" fmla="*/ 1123891 h 1308087"/>
              <a:gd name="connsiteX1605" fmla="*/ 341734 w 2280745"/>
              <a:gd name="connsiteY1605" fmla="*/ 1129214 h 1308087"/>
              <a:gd name="connsiteX1606" fmla="*/ 343767 w 2280745"/>
              <a:gd name="connsiteY1606" fmla="*/ 1128739 h 1308087"/>
              <a:gd name="connsiteX1607" fmla="*/ 349881 w 2280745"/>
              <a:gd name="connsiteY1607" fmla="*/ 1119520 h 1308087"/>
              <a:gd name="connsiteX1608" fmla="*/ 333400 w 2280745"/>
              <a:gd name="connsiteY1608" fmla="*/ 1065964 h 1308087"/>
              <a:gd name="connsiteX1609" fmla="*/ 330722 w 2280745"/>
              <a:gd name="connsiteY1609" fmla="*/ 1062232 h 1308087"/>
              <a:gd name="connsiteX1610" fmla="*/ 326293 w 2280745"/>
              <a:gd name="connsiteY1610" fmla="*/ 1060477 h 1308087"/>
              <a:gd name="connsiteX1611" fmla="*/ 326293 w 2280745"/>
              <a:gd name="connsiteY1611" fmla="*/ 1060264 h 1308087"/>
              <a:gd name="connsiteX1612" fmla="*/ 280058 w 2280745"/>
              <a:gd name="connsiteY1612" fmla="*/ 1060264 h 1308087"/>
              <a:gd name="connsiteX1613" fmla="*/ 480053 w 2280745"/>
              <a:gd name="connsiteY1613" fmla="*/ 1060264 h 1308087"/>
              <a:gd name="connsiteX1614" fmla="*/ 480053 w 2280745"/>
              <a:gd name="connsiteY1614" fmla="*/ 1060489 h 1308087"/>
              <a:gd name="connsiteX1615" fmla="*/ 479436 w 2280745"/>
              <a:gd name="connsiteY1615" fmla="*/ 1060454 h 1308087"/>
              <a:gd name="connsiteX1616" fmla="*/ 472272 w 2280745"/>
              <a:gd name="connsiteY1616" fmla="*/ 1065964 h 1308087"/>
              <a:gd name="connsiteX1617" fmla="*/ 455791 w 2280745"/>
              <a:gd name="connsiteY1617" fmla="*/ 1119520 h 1308087"/>
              <a:gd name="connsiteX1618" fmla="*/ 461906 w 2280745"/>
              <a:gd name="connsiteY1618" fmla="*/ 1128739 h 1308087"/>
              <a:gd name="connsiteX1619" fmla="*/ 463938 w 2280745"/>
              <a:gd name="connsiteY1619" fmla="*/ 1129214 h 1308087"/>
              <a:gd name="connsiteX1620" fmla="*/ 474527 w 2280745"/>
              <a:gd name="connsiteY1620" fmla="*/ 1123891 h 1308087"/>
              <a:gd name="connsiteX1621" fmla="*/ 480053 w 2280745"/>
              <a:gd name="connsiteY1621" fmla="*/ 1105936 h 1308087"/>
              <a:gd name="connsiteX1622" fmla="*/ 480053 w 2280745"/>
              <a:gd name="connsiteY1622" fmla="*/ 1126120 h 1308087"/>
              <a:gd name="connsiteX1623" fmla="*/ 480053 w 2280745"/>
              <a:gd name="connsiteY1623" fmla="*/ 1132734 h 1308087"/>
              <a:gd name="connsiteX1624" fmla="*/ 480053 w 2280745"/>
              <a:gd name="connsiteY1624" fmla="*/ 1181563 h 1308087"/>
              <a:gd name="connsiteX1625" fmla="*/ 488698 w 2280745"/>
              <a:gd name="connsiteY1625" fmla="*/ 1189092 h 1308087"/>
              <a:gd name="connsiteX1626" fmla="*/ 490804 w 2280745"/>
              <a:gd name="connsiteY1626" fmla="*/ 1189092 h 1308087"/>
              <a:gd name="connsiteX1627" fmla="*/ 499450 w 2280745"/>
              <a:gd name="connsiteY1627" fmla="*/ 1181563 h 1308087"/>
              <a:gd name="connsiteX1628" fmla="*/ 499450 w 2280745"/>
              <a:gd name="connsiteY1628" fmla="*/ 1132734 h 1308087"/>
              <a:gd name="connsiteX1629" fmla="*/ 506892 w 2280745"/>
              <a:gd name="connsiteY1629" fmla="*/ 1132734 h 1308087"/>
              <a:gd name="connsiteX1630" fmla="*/ 506892 w 2280745"/>
              <a:gd name="connsiteY1630" fmla="*/ 1181563 h 1308087"/>
              <a:gd name="connsiteX1631" fmla="*/ 515538 w 2280745"/>
              <a:gd name="connsiteY1631" fmla="*/ 1189092 h 1308087"/>
              <a:gd name="connsiteX1632" fmla="*/ 517643 w 2280745"/>
              <a:gd name="connsiteY1632" fmla="*/ 1189092 h 1308087"/>
              <a:gd name="connsiteX1633" fmla="*/ 526287 w 2280745"/>
              <a:gd name="connsiteY1633" fmla="*/ 1181563 h 1308087"/>
              <a:gd name="connsiteX1634" fmla="*/ 526287 w 2280745"/>
              <a:gd name="connsiteY1634" fmla="*/ 1132734 h 1308087"/>
              <a:gd name="connsiteX1635" fmla="*/ 526287 w 2280745"/>
              <a:gd name="connsiteY1635" fmla="*/ 1126120 h 1308087"/>
              <a:gd name="connsiteX1636" fmla="*/ 526287 w 2280745"/>
              <a:gd name="connsiteY1636" fmla="*/ 1108128 h 1308087"/>
              <a:gd name="connsiteX1637" fmla="*/ 531139 w 2280745"/>
              <a:gd name="connsiteY1637" fmla="*/ 1123891 h 1308087"/>
              <a:gd name="connsiteX1638" fmla="*/ 541727 w 2280745"/>
              <a:gd name="connsiteY1638" fmla="*/ 1129214 h 1308087"/>
              <a:gd name="connsiteX1639" fmla="*/ 543761 w 2280745"/>
              <a:gd name="connsiteY1639" fmla="*/ 1128739 h 1308087"/>
              <a:gd name="connsiteX1640" fmla="*/ 549875 w 2280745"/>
              <a:gd name="connsiteY1640" fmla="*/ 1119520 h 1308087"/>
              <a:gd name="connsiteX1641" fmla="*/ 533394 w 2280745"/>
              <a:gd name="connsiteY1641" fmla="*/ 1065964 h 1308087"/>
              <a:gd name="connsiteX1642" fmla="*/ 530716 w 2280745"/>
              <a:gd name="connsiteY1642" fmla="*/ 1062232 h 1308087"/>
              <a:gd name="connsiteX1643" fmla="*/ 526287 w 2280745"/>
              <a:gd name="connsiteY1643" fmla="*/ 1060477 h 1308087"/>
              <a:gd name="connsiteX1644" fmla="*/ 526287 w 2280745"/>
              <a:gd name="connsiteY1644" fmla="*/ 1060264 h 1308087"/>
              <a:gd name="connsiteX1645" fmla="*/ 480053 w 2280745"/>
              <a:gd name="connsiteY1645" fmla="*/ 1060264 h 1308087"/>
              <a:gd name="connsiteX1646" fmla="*/ 680045 w 2280745"/>
              <a:gd name="connsiteY1646" fmla="*/ 1060264 h 1308087"/>
              <a:gd name="connsiteX1647" fmla="*/ 680045 w 2280745"/>
              <a:gd name="connsiteY1647" fmla="*/ 1060489 h 1308087"/>
              <a:gd name="connsiteX1648" fmla="*/ 679427 w 2280745"/>
              <a:gd name="connsiteY1648" fmla="*/ 1060454 h 1308087"/>
              <a:gd name="connsiteX1649" fmla="*/ 672265 w 2280745"/>
              <a:gd name="connsiteY1649" fmla="*/ 1065964 h 1308087"/>
              <a:gd name="connsiteX1650" fmla="*/ 655783 w 2280745"/>
              <a:gd name="connsiteY1650" fmla="*/ 1119520 h 1308087"/>
              <a:gd name="connsiteX1651" fmla="*/ 661899 w 2280745"/>
              <a:gd name="connsiteY1651" fmla="*/ 1128739 h 1308087"/>
              <a:gd name="connsiteX1652" fmla="*/ 663930 w 2280745"/>
              <a:gd name="connsiteY1652" fmla="*/ 1129214 h 1308087"/>
              <a:gd name="connsiteX1653" fmla="*/ 674518 w 2280745"/>
              <a:gd name="connsiteY1653" fmla="*/ 1123891 h 1308087"/>
              <a:gd name="connsiteX1654" fmla="*/ 680045 w 2280745"/>
              <a:gd name="connsiteY1654" fmla="*/ 1105936 h 1308087"/>
              <a:gd name="connsiteX1655" fmla="*/ 680045 w 2280745"/>
              <a:gd name="connsiteY1655" fmla="*/ 1126120 h 1308087"/>
              <a:gd name="connsiteX1656" fmla="*/ 680045 w 2280745"/>
              <a:gd name="connsiteY1656" fmla="*/ 1132734 h 1308087"/>
              <a:gd name="connsiteX1657" fmla="*/ 680045 w 2280745"/>
              <a:gd name="connsiteY1657" fmla="*/ 1181563 h 1308087"/>
              <a:gd name="connsiteX1658" fmla="*/ 688691 w 2280745"/>
              <a:gd name="connsiteY1658" fmla="*/ 1189092 h 1308087"/>
              <a:gd name="connsiteX1659" fmla="*/ 690797 w 2280745"/>
              <a:gd name="connsiteY1659" fmla="*/ 1189092 h 1308087"/>
              <a:gd name="connsiteX1660" fmla="*/ 699443 w 2280745"/>
              <a:gd name="connsiteY1660" fmla="*/ 1181563 h 1308087"/>
              <a:gd name="connsiteX1661" fmla="*/ 699443 w 2280745"/>
              <a:gd name="connsiteY1661" fmla="*/ 1132734 h 1308087"/>
              <a:gd name="connsiteX1662" fmla="*/ 706884 w 2280745"/>
              <a:gd name="connsiteY1662" fmla="*/ 1132734 h 1308087"/>
              <a:gd name="connsiteX1663" fmla="*/ 706884 w 2280745"/>
              <a:gd name="connsiteY1663" fmla="*/ 1181563 h 1308087"/>
              <a:gd name="connsiteX1664" fmla="*/ 715530 w 2280745"/>
              <a:gd name="connsiteY1664" fmla="*/ 1189092 h 1308087"/>
              <a:gd name="connsiteX1665" fmla="*/ 717635 w 2280745"/>
              <a:gd name="connsiteY1665" fmla="*/ 1189092 h 1308087"/>
              <a:gd name="connsiteX1666" fmla="*/ 726280 w 2280745"/>
              <a:gd name="connsiteY1666" fmla="*/ 1181563 h 1308087"/>
              <a:gd name="connsiteX1667" fmla="*/ 726280 w 2280745"/>
              <a:gd name="connsiteY1667" fmla="*/ 1132734 h 1308087"/>
              <a:gd name="connsiteX1668" fmla="*/ 726280 w 2280745"/>
              <a:gd name="connsiteY1668" fmla="*/ 1126120 h 1308087"/>
              <a:gd name="connsiteX1669" fmla="*/ 726280 w 2280745"/>
              <a:gd name="connsiteY1669" fmla="*/ 1108128 h 1308087"/>
              <a:gd name="connsiteX1670" fmla="*/ 731132 w 2280745"/>
              <a:gd name="connsiteY1670" fmla="*/ 1123891 h 1308087"/>
              <a:gd name="connsiteX1671" fmla="*/ 741720 w 2280745"/>
              <a:gd name="connsiteY1671" fmla="*/ 1129214 h 1308087"/>
              <a:gd name="connsiteX1672" fmla="*/ 743753 w 2280745"/>
              <a:gd name="connsiteY1672" fmla="*/ 1128739 h 1308087"/>
              <a:gd name="connsiteX1673" fmla="*/ 749868 w 2280745"/>
              <a:gd name="connsiteY1673" fmla="*/ 1119520 h 1308087"/>
              <a:gd name="connsiteX1674" fmla="*/ 733385 w 2280745"/>
              <a:gd name="connsiteY1674" fmla="*/ 1065964 h 1308087"/>
              <a:gd name="connsiteX1675" fmla="*/ 730709 w 2280745"/>
              <a:gd name="connsiteY1675" fmla="*/ 1062232 h 1308087"/>
              <a:gd name="connsiteX1676" fmla="*/ 726280 w 2280745"/>
              <a:gd name="connsiteY1676" fmla="*/ 1060477 h 1308087"/>
              <a:gd name="connsiteX1677" fmla="*/ 726280 w 2280745"/>
              <a:gd name="connsiteY1677" fmla="*/ 1060264 h 1308087"/>
              <a:gd name="connsiteX1678" fmla="*/ 680045 w 2280745"/>
              <a:gd name="connsiteY1678" fmla="*/ 1060264 h 1308087"/>
              <a:gd name="connsiteX1679" fmla="*/ 880037 w 2280745"/>
              <a:gd name="connsiteY1679" fmla="*/ 1060264 h 1308087"/>
              <a:gd name="connsiteX1680" fmla="*/ 880037 w 2280745"/>
              <a:gd name="connsiteY1680" fmla="*/ 1060489 h 1308087"/>
              <a:gd name="connsiteX1681" fmla="*/ 879420 w 2280745"/>
              <a:gd name="connsiteY1681" fmla="*/ 1060454 h 1308087"/>
              <a:gd name="connsiteX1682" fmla="*/ 872256 w 2280745"/>
              <a:gd name="connsiteY1682" fmla="*/ 1065964 h 1308087"/>
              <a:gd name="connsiteX1683" fmla="*/ 855776 w 2280745"/>
              <a:gd name="connsiteY1683" fmla="*/ 1119520 h 1308087"/>
              <a:gd name="connsiteX1684" fmla="*/ 861890 w 2280745"/>
              <a:gd name="connsiteY1684" fmla="*/ 1128739 h 1308087"/>
              <a:gd name="connsiteX1685" fmla="*/ 863923 w 2280745"/>
              <a:gd name="connsiteY1685" fmla="*/ 1129214 h 1308087"/>
              <a:gd name="connsiteX1686" fmla="*/ 874511 w 2280745"/>
              <a:gd name="connsiteY1686" fmla="*/ 1123891 h 1308087"/>
              <a:gd name="connsiteX1687" fmla="*/ 880037 w 2280745"/>
              <a:gd name="connsiteY1687" fmla="*/ 1105936 h 1308087"/>
              <a:gd name="connsiteX1688" fmla="*/ 880037 w 2280745"/>
              <a:gd name="connsiteY1688" fmla="*/ 1126120 h 1308087"/>
              <a:gd name="connsiteX1689" fmla="*/ 880037 w 2280745"/>
              <a:gd name="connsiteY1689" fmla="*/ 1132734 h 1308087"/>
              <a:gd name="connsiteX1690" fmla="*/ 880037 w 2280745"/>
              <a:gd name="connsiteY1690" fmla="*/ 1181563 h 1308087"/>
              <a:gd name="connsiteX1691" fmla="*/ 888683 w 2280745"/>
              <a:gd name="connsiteY1691" fmla="*/ 1189092 h 1308087"/>
              <a:gd name="connsiteX1692" fmla="*/ 890788 w 2280745"/>
              <a:gd name="connsiteY1692" fmla="*/ 1189092 h 1308087"/>
              <a:gd name="connsiteX1693" fmla="*/ 899434 w 2280745"/>
              <a:gd name="connsiteY1693" fmla="*/ 1181563 h 1308087"/>
              <a:gd name="connsiteX1694" fmla="*/ 899434 w 2280745"/>
              <a:gd name="connsiteY1694" fmla="*/ 1132734 h 1308087"/>
              <a:gd name="connsiteX1695" fmla="*/ 906877 w 2280745"/>
              <a:gd name="connsiteY1695" fmla="*/ 1132734 h 1308087"/>
              <a:gd name="connsiteX1696" fmla="*/ 906877 w 2280745"/>
              <a:gd name="connsiteY1696" fmla="*/ 1181563 h 1308087"/>
              <a:gd name="connsiteX1697" fmla="*/ 915521 w 2280745"/>
              <a:gd name="connsiteY1697" fmla="*/ 1189092 h 1308087"/>
              <a:gd name="connsiteX1698" fmla="*/ 917628 w 2280745"/>
              <a:gd name="connsiteY1698" fmla="*/ 1189092 h 1308087"/>
              <a:gd name="connsiteX1699" fmla="*/ 926272 w 2280745"/>
              <a:gd name="connsiteY1699" fmla="*/ 1181563 h 1308087"/>
              <a:gd name="connsiteX1700" fmla="*/ 926272 w 2280745"/>
              <a:gd name="connsiteY1700" fmla="*/ 1132734 h 1308087"/>
              <a:gd name="connsiteX1701" fmla="*/ 926272 w 2280745"/>
              <a:gd name="connsiteY1701" fmla="*/ 1126120 h 1308087"/>
              <a:gd name="connsiteX1702" fmla="*/ 926272 w 2280745"/>
              <a:gd name="connsiteY1702" fmla="*/ 1108128 h 1308087"/>
              <a:gd name="connsiteX1703" fmla="*/ 931123 w 2280745"/>
              <a:gd name="connsiteY1703" fmla="*/ 1123891 h 1308087"/>
              <a:gd name="connsiteX1704" fmla="*/ 941712 w 2280745"/>
              <a:gd name="connsiteY1704" fmla="*/ 1129214 h 1308087"/>
              <a:gd name="connsiteX1705" fmla="*/ 943745 w 2280745"/>
              <a:gd name="connsiteY1705" fmla="*/ 1128739 h 1308087"/>
              <a:gd name="connsiteX1706" fmla="*/ 949860 w 2280745"/>
              <a:gd name="connsiteY1706" fmla="*/ 1119520 h 1308087"/>
              <a:gd name="connsiteX1707" fmla="*/ 933378 w 2280745"/>
              <a:gd name="connsiteY1707" fmla="*/ 1065964 h 1308087"/>
              <a:gd name="connsiteX1708" fmla="*/ 930701 w 2280745"/>
              <a:gd name="connsiteY1708" fmla="*/ 1062232 h 1308087"/>
              <a:gd name="connsiteX1709" fmla="*/ 926272 w 2280745"/>
              <a:gd name="connsiteY1709" fmla="*/ 1060477 h 1308087"/>
              <a:gd name="connsiteX1710" fmla="*/ 926272 w 2280745"/>
              <a:gd name="connsiteY1710" fmla="*/ 1060264 h 1308087"/>
              <a:gd name="connsiteX1711" fmla="*/ 880037 w 2280745"/>
              <a:gd name="connsiteY1711" fmla="*/ 1060264 h 1308087"/>
              <a:gd name="connsiteX1712" fmla="*/ 1080030 w 2280745"/>
              <a:gd name="connsiteY1712" fmla="*/ 1060264 h 1308087"/>
              <a:gd name="connsiteX1713" fmla="*/ 1080030 w 2280745"/>
              <a:gd name="connsiteY1713" fmla="*/ 1060489 h 1308087"/>
              <a:gd name="connsiteX1714" fmla="*/ 1079412 w 2280745"/>
              <a:gd name="connsiteY1714" fmla="*/ 1060454 h 1308087"/>
              <a:gd name="connsiteX1715" fmla="*/ 1072249 w 2280745"/>
              <a:gd name="connsiteY1715" fmla="*/ 1065964 h 1308087"/>
              <a:gd name="connsiteX1716" fmla="*/ 1055767 w 2280745"/>
              <a:gd name="connsiteY1716" fmla="*/ 1119520 h 1308087"/>
              <a:gd name="connsiteX1717" fmla="*/ 1061881 w 2280745"/>
              <a:gd name="connsiteY1717" fmla="*/ 1128739 h 1308087"/>
              <a:gd name="connsiteX1718" fmla="*/ 1063914 w 2280745"/>
              <a:gd name="connsiteY1718" fmla="*/ 1129214 h 1308087"/>
              <a:gd name="connsiteX1719" fmla="*/ 1074503 w 2280745"/>
              <a:gd name="connsiteY1719" fmla="*/ 1123891 h 1308087"/>
              <a:gd name="connsiteX1720" fmla="*/ 1080030 w 2280745"/>
              <a:gd name="connsiteY1720" fmla="*/ 1105936 h 1308087"/>
              <a:gd name="connsiteX1721" fmla="*/ 1080030 w 2280745"/>
              <a:gd name="connsiteY1721" fmla="*/ 1126120 h 1308087"/>
              <a:gd name="connsiteX1722" fmla="*/ 1080030 w 2280745"/>
              <a:gd name="connsiteY1722" fmla="*/ 1132734 h 1308087"/>
              <a:gd name="connsiteX1723" fmla="*/ 1080030 w 2280745"/>
              <a:gd name="connsiteY1723" fmla="*/ 1181563 h 1308087"/>
              <a:gd name="connsiteX1724" fmla="*/ 1088676 w 2280745"/>
              <a:gd name="connsiteY1724" fmla="*/ 1189092 h 1308087"/>
              <a:gd name="connsiteX1725" fmla="*/ 1090781 w 2280745"/>
              <a:gd name="connsiteY1725" fmla="*/ 1189092 h 1308087"/>
              <a:gd name="connsiteX1726" fmla="*/ 1099427 w 2280745"/>
              <a:gd name="connsiteY1726" fmla="*/ 1181563 h 1308087"/>
              <a:gd name="connsiteX1727" fmla="*/ 1099427 w 2280745"/>
              <a:gd name="connsiteY1727" fmla="*/ 1132734 h 1308087"/>
              <a:gd name="connsiteX1728" fmla="*/ 1106868 w 2280745"/>
              <a:gd name="connsiteY1728" fmla="*/ 1132734 h 1308087"/>
              <a:gd name="connsiteX1729" fmla="*/ 1106868 w 2280745"/>
              <a:gd name="connsiteY1729" fmla="*/ 1181563 h 1308087"/>
              <a:gd name="connsiteX1730" fmla="*/ 1115514 w 2280745"/>
              <a:gd name="connsiteY1730" fmla="*/ 1189092 h 1308087"/>
              <a:gd name="connsiteX1731" fmla="*/ 1117619 w 2280745"/>
              <a:gd name="connsiteY1731" fmla="*/ 1189092 h 1308087"/>
              <a:gd name="connsiteX1732" fmla="*/ 1126264 w 2280745"/>
              <a:gd name="connsiteY1732" fmla="*/ 1181563 h 1308087"/>
              <a:gd name="connsiteX1733" fmla="*/ 1126264 w 2280745"/>
              <a:gd name="connsiteY1733" fmla="*/ 1132734 h 1308087"/>
              <a:gd name="connsiteX1734" fmla="*/ 1126264 w 2280745"/>
              <a:gd name="connsiteY1734" fmla="*/ 1126120 h 1308087"/>
              <a:gd name="connsiteX1735" fmla="*/ 1126264 w 2280745"/>
              <a:gd name="connsiteY1735" fmla="*/ 1108128 h 1308087"/>
              <a:gd name="connsiteX1736" fmla="*/ 1131115 w 2280745"/>
              <a:gd name="connsiteY1736" fmla="*/ 1123891 h 1308087"/>
              <a:gd name="connsiteX1737" fmla="*/ 1141704 w 2280745"/>
              <a:gd name="connsiteY1737" fmla="*/ 1129214 h 1308087"/>
              <a:gd name="connsiteX1738" fmla="*/ 1143738 w 2280745"/>
              <a:gd name="connsiteY1738" fmla="*/ 1128739 h 1308087"/>
              <a:gd name="connsiteX1739" fmla="*/ 1149853 w 2280745"/>
              <a:gd name="connsiteY1739" fmla="*/ 1119520 h 1308087"/>
              <a:gd name="connsiteX1740" fmla="*/ 1133370 w 2280745"/>
              <a:gd name="connsiteY1740" fmla="*/ 1065964 h 1308087"/>
              <a:gd name="connsiteX1741" fmla="*/ 1130693 w 2280745"/>
              <a:gd name="connsiteY1741" fmla="*/ 1062232 h 1308087"/>
              <a:gd name="connsiteX1742" fmla="*/ 1126264 w 2280745"/>
              <a:gd name="connsiteY1742" fmla="*/ 1060477 h 1308087"/>
              <a:gd name="connsiteX1743" fmla="*/ 1126264 w 2280745"/>
              <a:gd name="connsiteY1743" fmla="*/ 1060264 h 1308087"/>
              <a:gd name="connsiteX1744" fmla="*/ 1080030 w 2280745"/>
              <a:gd name="connsiteY1744" fmla="*/ 1060264 h 1308087"/>
              <a:gd name="connsiteX1745" fmla="*/ 1280022 w 2280745"/>
              <a:gd name="connsiteY1745" fmla="*/ 1060264 h 1308087"/>
              <a:gd name="connsiteX1746" fmla="*/ 1280022 w 2280745"/>
              <a:gd name="connsiteY1746" fmla="*/ 1060489 h 1308087"/>
              <a:gd name="connsiteX1747" fmla="*/ 1279405 w 2280745"/>
              <a:gd name="connsiteY1747" fmla="*/ 1060454 h 1308087"/>
              <a:gd name="connsiteX1748" fmla="*/ 1272241 w 2280745"/>
              <a:gd name="connsiteY1748" fmla="*/ 1065964 h 1308087"/>
              <a:gd name="connsiteX1749" fmla="*/ 1255760 w 2280745"/>
              <a:gd name="connsiteY1749" fmla="*/ 1119520 h 1308087"/>
              <a:gd name="connsiteX1750" fmla="*/ 1261874 w 2280745"/>
              <a:gd name="connsiteY1750" fmla="*/ 1128739 h 1308087"/>
              <a:gd name="connsiteX1751" fmla="*/ 1263907 w 2280745"/>
              <a:gd name="connsiteY1751" fmla="*/ 1129214 h 1308087"/>
              <a:gd name="connsiteX1752" fmla="*/ 1274496 w 2280745"/>
              <a:gd name="connsiteY1752" fmla="*/ 1123891 h 1308087"/>
              <a:gd name="connsiteX1753" fmla="*/ 1280022 w 2280745"/>
              <a:gd name="connsiteY1753" fmla="*/ 1105936 h 1308087"/>
              <a:gd name="connsiteX1754" fmla="*/ 1280022 w 2280745"/>
              <a:gd name="connsiteY1754" fmla="*/ 1126120 h 1308087"/>
              <a:gd name="connsiteX1755" fmla="*/ 1280022 w 2280745"/>
              <a:gd name="connsiteY1755" fmla="*/ 1132734 h 1308087"/>
              <a:gd name="connsiteX1756" fmla="*/ 1280022 w 2280745"/>
              <a:gd name="connsiteY1756" fmla="*/ 1181563 h 1308087"/>
              <a:gd name="connsiteX1757" fmla="*/ 1288667 w 2280745"/>
              <a:gd name="connsiteY1757" fmla="*/ 1189092 h 1308087"/>
              <a:gd name="connsiteX1758" fmla="*/ 1290773 w 2280745"/>
              <a:gd name="connsiteY1758" fmla="*/ 1189092 h 1308087"/>
              <a:gd name="connsiteX1759" fmla="*/ 1299419 w 2280745"/>
              <a:gd name="connsiteY1759" fmla="*/ 1181563 h 1308087"/>
              <a:gd name="connsiteX1760" fmla="*/ 1299419 w 2280745"/>
              <a:gd name="connsiteY1760" fmla="*/ 1132734 h 1308087"/>
              <a:gd name="connsiteX1761" fmla="*/ 1306860 w 2280745"/>
              <a:gd name="connsiteY1761" fmla="*/ 1132734 h 1308087"/>
              <a:gd name="connsiteX1762" fmla="*/ 1306860 w 2280745"/>
              <a:gd name="connsiteY1762" fmla="*/ 1181563 h 1308087"/>
              <a:gd name="connsiteX1763" fmla="*/ 1315506 w 2280745"/>
              <a:gd name="connsiteY1763" fmla="*/ 1189092 h 1308087"/>
              <a:gd name="connsiteX1764" fmla="*/ 1317610 w 2280745"/>
              <a:gd name="connsiteY1764" fmla="*/ 1189092 h 1308087"/>
              <a:gd name="connsiteX1765" fmla="*/ 1326256 w 2280745"/>
              <a:gd name="connsiteY1765" fmla="*/ 1181563 h 1308087"/>
              <a:gd name="connsiteX1766" fmla="*/ 1326256 w 2280745"/>
              <a:gd name="connsiteY1766" fmla="*/ 1132734 h 1308087"/>
              <a:gd name="connsiteX1767" fmla="*/ 1326256 w 2280745"/>
              <a:gd name="connsiteY1767" fmla="*/ 1126120 h 1308087"/>
              <a:gd name="connsiteX1768" fmla="*/ 1326256 w 2280745"/>
              <a:gd name="connsiteY1768" fmla="*/ 1108128 h 1308087"/>
              <a:gd name="connsiteX1769" fmla="*/ 1331108 w 2280745"/>
              <a:gd name="connsiteY1769" fmla="*/ 1123891 h 1308087"/>
              <a:gd name="connsiteX1770" fmla="*/ 1341696 w 2280745"/>
              <a:gd name="connsiteY1770" fmla="*/ 1129214 h 1308087"/>
              <a:gd name="connsiteX1771" fmla="*/ 1343730 w 2280745"/>
              <a:gd name="connsiteY1771" fmla="*/ 1128739 h 1308087"/>
              <a:gd name="connsiteX1772" fmla="*/ 1349844 w 2280745"/>
              <a:gd name="connsiteY1772" fmla="*/ 1119520 h 1308087"/>
              <a:gd name="connsiteX1773" fmla="*/ 1333361 w 2280745"/>
              <a:gd name="connsiteY1773" fmla="*/ 1065964 h 1308087"/>
              <a:gd name="connsiteX1774" fmla="*/ 1330685 w 2280745"/>
              <a:gd name="connsiteY1774" fmla="*/ 1062232 h 1308087"/>
              <a:gd name="connsiteX1775" fmla="*/ 1326256 w 2280745"/>
              <a:gd name="connsiteY1775" fmla="*/ 1060477 h 1308087"/>
              <a:gd name="connsiteX1776" fmla="*/ 1326256 w 2280745"/>
              <a:gd name="connsiteY1776" fmla="*/ 1060264 h 1308087"/>
              <a:gd name="connsiteX1777" fmla="*/ 1280022 w 2280745"/>
              <a:gd name="connsiteY1777" fmla="*/ 1060264 h 1308087"/>
              <a:gd name="connsiteX1778" fmla="*/ 1482314 w 2280745"/>
              <a:gd name="connsiteY1778" fmla="*/ 1060264 h 1308087"/>
              <a:gd name="connsiteX1779" fmla="*/ 1482314 w 2280745"/>
              <a:gd name="connsiteY1779" fmla="*/ 1060489 h 1308087"/>
              <a:gd name="connsiteX1780" fmla="*/ 1481697 w 2280745"/>
              <a:gd name="connsiteY1780" fmla="*/ 1060454 h 1308087"/>
              <a:gd name="connsiteX1781" fmla="*/ 1474533 w 2280745"/>
              <a:gd name="connsiteY1781" fmla="*/ 1065964 h 1308087"/>
              <a:gd name="connsiteX1782" fmla="*/ 1458052 w 2280745"/>
              <a:gd name="connsiteY1782" fmla="*/ 1119520 h 1308087"/>
              <a:gd name="connsiteX1783" fmla="*/ 1464166 w 2280745"/>
              <a:gd name="connsiteY1783" fmla="*/ 1128739 h 1308087"/>
              <a:gd name="connsiteX1784" fmla="*/ 1466199 w 2280745"/>
              <a:gd name="connsiteY1784" fmla="*/ 1129214 h 1308087"/>
              <a:gd name="connsiteX1785" fmla="*/ 1476788 w 2280745"/>
              <a:gd name="connsiteY1785" fmla="*/ 1123891 h 1308087"/>
              <a:gd name="connsiteX1786" fmla="*/ 1482314 w 2280745"/>
              <a:gd name="connsiteY1786" fmla="*/ 1105936 h 1308087"/>
              <a:gd name="connsiteX1787" fmla="*/ 1482314 w 2280745"/>
              <a:gd name="connsiteY1787" fmla="*/ 1126120 h 1308087"/>
              <a:gd name="connsiteX1788" fmla="*/ 1482314 w 2280745"/>
              <a:gd name="connsiteY1788" fmla="*/ 1132734 h 1308087"/>
              <a:gd name="connsiteX1789" fmla="*/ 1482314 w 2280745"/>
              <a:gd name="connsiteY1789" fmla="*/ 1181563 h 1308087"/>
              <a:gd name="connsiteX1790" fmla="*/ 1490960 w 2280745"/>
              <a:gd name="connsiteY1790" fmla="*/ 1189092 h 1308087"/>
              <a:gd name="connsiteX1791" fmla="*/ 1493064 w 2280745"/>
              <a:gd name="connsiteY1791" fmla="*/ 1189092 h 1308087"/>
              <a:gd name="connsiteX1792" fmla="*/ 1501710 w 2280745"/>
              <a:gd name="connsiteY1792" fmla="*/ 1181563 h 1308087"/>
              <a:gd name="connsiteX1793" fmla="*/ 1501710 w 2280745"/>
              <a:gd name="connsiteY1793" fmla="*/ 1132734 h 1308087"/>
              <a:gd name="connsiteX1794" fmla="*/ 1509153 w 2280745"/>
              <a:gd name="connsiteY1794" fmla="*/ 1132734 h 1308087"/>
              <a:gd name="connsiteX1795" fmla="*/ 1509153 w 2280745"/>
              <a:gd name="connsiteY1795" fmla="*/ 1181563 h 1308087"/>
              <a:gd name="connsiteX1796" fmla="*/ 1517799 w 2280745"/>
              <a:gd name="connsiteY1796" fmla="*/ 1189092 h 1308087"/>
              <a:gd name="connsiteX1797" fmla="*/ 1519903 w 2280745"/>
              <a:gd name="connsiteY1797" fmla="*/ 1189092 h 1308087"/>
              <a:gd name="connsiteX1798" fmla="*/ 1528549 w 2280745"/>
              <a:gd name="connsiteY1798" fmla="*/ 1181563 h 1308087"/>
              <a:gd name="connsiteX1799" fmla="*/ 1528549 w 2280745"/>
              <a:gd name="connsiteY1799" fmla="*/ 1132734 h 1308087"/>
              <a:gd name="connsiteX1800" fmla="*/ 1528549 w 2280745"/>
              <a:gd name="connsiteY1800" fmla="*/ 1126120 h 1308087"/>
              <a:gd name="connsiteX1801" fmla="*/ 1528549 w 2280745"/>
              <a:gd name="connsiteY1801" fmla="*/ 1108128 h 1308087"/>
              <a:gd name="connsiteX1802" fmla="*/ 1533400 w 2280745"/>
              <a:gd name="connsiteY1802" fmla="*/ 1123891 h 1308087"/>
              <a:gd name="connsiteX1803" fmla="*/ 1543989 w 2280745"/>
              <a:gd name="connsiteY1803" fmla="*/ 1129214 h 1308087"/>
              <a:gd name="connsiteX1804" fmla="*/ 1546022 w 2280745"/>
              <a:gd name="connsiteY1804" fmla="*/ 1128739 h 1308087"/>
              <a:gd name="connsiteX1805" fmla="*/ 1552136 w 2280745"/>
              <a:gd name="connsiteY1805" fmla="*/ 1119520 h 1308087"/>
              <a:gd name="connsiteX1806" fmla="*/ 1535655 w 2280745"/>
              <a:gd name="connsiteY1806" fmla="*/ 1065964 h 1308087"/>
              <a:gd name="connsiteX1807" fmla="*/ 1532977 w 2280745"/>
              <a:gd name="connsiteY1807" fmla="*/ 1062232 h 1308087"/>
              <a:gd name="connsiteX1808" fmla="*/ 1528549 w 2280745"/>
              <a:gd name="connsiteY1808" fmla="*/ 1060477 h 1308087"/>
              <a:gd name="connsiteX1809" fmla="*/ 1528549 w 2280745"/>
              <a:gd name="connsiteY1809" fmla="*/ 1060264 h 1308087"/>
              <a:gd name="connsiteX1810" fmla="*/ 1482314 w 2280745"/>
              <a:gd name="connsiteY1810" fmla="*/ 1060264 h 1308087"/>
              <a:gd name="connsiteX1811" fmla="*/ 1679477 w 2280745"/>
              <a:gd name="connsiteY1811" fmla="*/ 1060264 h 1308087"/>
              <a:gd name="connsiteX1812" fmla="*/ 1679477 w 2280745"/>
              <a:gd name="connsiteY1812" fmla="*/ 1060489 h 1308087"/>
              <a:gd name="connsiteX1813" fmla="*/ 1678860 w 2280745"/>
              <a:gd name="connsiteY1813" fmla="*/ 1060454 h 1308087"/>
              <a:gd name="connsiteX1814" fmla="*/ 1671696 w 2280745"/>
              <a:gd name="connsiteY1814" fmla="*/ 1065964 h 1308087"/>
              <a:gd name="connsiteX1815" fmla="*/ 1655215 w 2280745"/>
              <a:gd name="connsiteY1815" fmla="*/ 1119520 h 1308087"/>
              <a:gd name="connsiteX1816" fmla="*/ 1661328 w 2280745"/>
              <a:gd name="connsiteY1816" fmla="*/ 1128739 h 1308087"/>
              <a:gd name="connsiteX1817" fmla="*/ 1663362 w 2280745"/>
              <a:gd name="connsiteY1817" fmla="*/ 1129214 h 1308087"/>
              <a:gd name="connsiteX1818" fmla="*/ 1673951 w 2280745"/>
              <a:gd name="connsiteY1818" fmla="*/ 1123891 h 1308087"/>
              <a:gd name="connsiteX1819" fmla="*/ 1679477 w 2280745"/>
              <a:gd name="connsiteY1819" fmla="*/ 1105936 h 1308087"/>
              <a:gd name="connsiteX1820" fmla="*/ 1679477 w 2280745"/>
              <a:gd name="connsiteY1820" fmla="*/ 1126120 h 1308087"/>
              <a:gd name="connsiteX1821" fmla="*/ 1679477 w 2280745"/>
              <a:gd name="connsiteY1821" fmla="*/ 1132734 h 1308087"/>
              <a:gd name="connsiteX1822" fmla="*/ 1679477 w 2280745"/>
              <a:gd name="connsiteY1822" fmla="*/ 1181563 h 1308087"/>
              <a:gd name="connsiteX1823" fmla="*/ 1688123 w 2280745"/>
              <a:gd name="connsiteY1823" fmla="*/ 1189092 h 1308087"/>
              <a:gd name="connsiteX1824" fmla="*/ 1690227 w 2280745"/>
              <a:gd name="connsiteY1824" fmla="*/ 1189092 h 1308087"/>
              <a:gd name="connsiteX1825" fmla="*/ 1698873 w 2280745"/>
              <a:gd name="connsiteY1825" fmla="*/ 1181563 h 1308087"/>
              <a:gd name="connsiteX1826" fmla="*/ 1698873 w 2280745"/>
              <a:gd name="connsiteY1826" fmla="*/ 1132734 h 1308087"/>
              <a:gd name="connsiteX1827" fmla="*/ 1706314 w 2280745"/>
              <a:gd name="connsiteY1827" fmla="*/ 1132734 h 1308087"/>
              <a:gd name="connsiteX1828" fmla="*/ 1706314 w 2280745"/>
              <a:gd name="connsiteY1828" fmla="*/ 1181563 h 1308087"/>
              <a:gd name="connsiteX1829" fmla="*/ 1714961 w 2280745"/>
              <a:gd name="connsiteY1829" fmla="*/ 1189092 h 1308087"/>
              <a:gd name="connsiteX1830" fmla="*/ 1717066 w 2280745"/>
              <a:gd name="connsiteY1830" fmla="*/ 1189092 h 1308087"/>
              <a:gd name="connsiteX1831" fmla="*/ 1725712 w 2280745"/>
              <a:gd name="connsiteY1831" fmla="*/ 1181563 h 1308087"/>
              <a:gd name="connsiteX1832" fmla="*/ 1725712 w 2280745"/>
              <a:gd name="connsiteY1832" fmla="*/ 1132734 h 1308087"/>
              <a:gd name="connsiteX1833" fmla="*/ 1725712 w 2280745"/>
              <a:gd name="connsiteY1833" fmla="*/ 1126120 h 1308087"/>
              <a:gd name="connsiteX1834" fmla="*/ 1725712 w 2280745"/>
              <a:gd name="connsiteY1834" fmla="*/ 1108128 h 1308087"/>
              <a:gd name="connsiteX1835" fmla="*/ 1730563 w 2280745"/>
              <a:gd name="connsiteY1835" fmla="*/ 1123891 h 1308087"/>
              <a:gd name="connsiteX1836" fmla="*/ 1741152 w 2280745"/>
              <a:gd name="connsiteY1836" fmla="*/ 1129214 h 1308087"/>
              <a:gd name="connsiteX1837" fmla="*/ 1743185 w 2280745"/>
              <a:gd name="connsiteY1837" fmla="*/ 1128739 h 1308087"/>
              <a:gd name="connsiteX1838" fmla="*/ 1749299 w 2280745"/>
              <a:gd name="connsiteY1838" fmla="*/ 1119520 h 1308087"/>
              <a:gd name="connsiteX1839" fmla="*/ 1732817 w 2280745"/>
              <a:gd name="connsiteY1839" fmla="*/ 1065964 h 1308087"/>
              <a:gd name="connsiteX1840" fmla="*/ 1730140 w 2280745"/>
              <a:gd name="connsiteY1840" fmla="*/ 1062232 h 1308087"/>
              <a:gd name="connsiteX1841" fmla="*/ 1725712 w 2280745"/>
              <a:gd name="connsiteY1841" fmla="*/ 1060477 h 1308087"/>
              <a:gd name="connsiteX1842" fmla="*/ 1725712 w 2280745"/>
              <a:gd name="connsiteY1842" fmla="*/ 1060264 h 1308087"/>
              <a:gd name="connsiteX1843" fmla="*/ 1679477 w 2280745"/>
              <a:gd name="connsiteY1843" fmla="*/ 1060264 h 1308087"/>
              <a:gd name="connsiteX1844" fmla="*/ 1882298 w 2280745"/>
              <a:gd name="connsiteY1844" fmla="*/ 1060264 h 1308087"/>
              <a:gd name="connsiteX1845" fmla="*/ 1882298 w 2280745"/>
              <a:gd name="connsiteY1845" fmla="*/ 1060489 h 1308087"/>
              <a:gd name="connsiteX1846" fmla="*/ 1881681 w 2280745"/>
              <a:gd name="connsiteY1846" fmla="*/ 1060454 h 1308087"/>
              <a:gd name="connsiteX1847" fmla="*/ 1874518 w 2280745"/>
              <a:gd name="connsiteY1847" fmla="*/ 1065964 h 1308087"/>
              <a:gd name="connsiteX1848" fmla="*/ 1858037 w 2280745"/>
              <a:gd name="connsiteY1848" fmla="*/ 1119520 h 1308087"/>
              <a:gd name="connsiteX1849" fmla="*/ 1864152 w 2280745"/>
              <a:gd name="connsiteY1849" fmla="*/ 1128739 h 1308087"/>
              <a:gd name="connsiteX1850" fmla="*/ 1866184 w 2280745"/>
              <a:gd name="connsiteY1850" fmla="*/ 1129214 h 1308087"/>
              <a:gd name="connsiteX1851" fmla="*/ 1876773 w 2280745"/>
              <a:gd name="connsiteY1851" fmla="*/ 1123891 h 1308087"/>
              <a:gd name="connsiteX1852" fmla="*/ 1882298 w 2280745"/>
              <a:gd name="connsiteY1852" fmla="*/ 1105936 h 1308087"/>
              <a:gd name="connsiteX1853" fmla="*/ 1882298 w 2280745"/>
              <a:gd name="connsiteY1853" fmla="*/ 1126120 h 1308087"/>
              <a:gd name="connsiteX1854" fmla="*/ 1882298 w 2280745"/>
              <a:gd name="connsiteY1854" fmla="*/ 1132734 h 1308087"/>
              <a:gd name="connsiteX1855" fmla="*/ 1882298 w 2280745"/>
              <a:gd name="connsiteY1855" fmla="*/ 1181563 h 1308087"/>
              <a:gd name="connsiteX1856" fmla="*/ 1890944 w 2280745"/>
              <a:gd name="connsiteY1856" fmla="*/ 1189092 h 1308087"/>
              <a:gd name="connsiteX1857" fmla="*/ 1893050 w 2280745"/>
              <a:gd name="connsiteY1857" fmla="*/ 1189092 h 1308087"/>
              <a:gd name="connsiteX1858" fmla="*/ 1901696 w 2280745"/>
              <a:gd name="connsiteY1858" fmla="*/ 1181563 h 1308087"/>
              <a:gd name="connsiteX1859" fmla="*/ 1901696 w 2280745"/>
              <a:gd name="connsiteY1859" fmla="*/ 1132734 h 1308087"/>
              <a:gd name="connsiteX1860" fmla="*/ 1909138 w 2280745"/>
              <a:gd name="connsiteY1860" fmla="*/ 1132734 h 1308087"/>
              <a:gd name="connsiteX1861" fmla="*/ 1909138 w 2280745"/>
              <a:gd name="connsiteY1861" fmla="*/ 1181563 h 1308087"/>
              <a:gd name="connsiteX1862" fmla="*/ 1917783 w 2280745"/>
              <a:gd name="connsiteY1862" fmla="*/ 1189092 h 1308087"/>
              <a:gd name="connsiteX1863" fmla="*/ 1919889 w 2280745"/>
              <a:gd name="connsiteY1863" fmla="*/ 1189092 h 1308087"/>
              <a:gd name="connsiteX1864" fmla="*/ 1928535 w 2280745"/>
              <a:gd name="connsiteY1864" fmla="*/ 1181563 h 1308087"/>
              <a:gd name="connsiteX1865" fmla="*/ 1928535 w 2280745"/>
              <a:gd name="connsiteY1865" fmla="*/ 1132734 h 1308087"/>
              <a:gd name="connsiteX1866" fmla="*/ 1928535 w 2280745"/>
              <a:gd name="connsiteY1866" fmla="*/ 1126120 h 1308087"/>
              <a:gd name="connsiteX1867" fmla="*/ 1928535 w 2280745"/>
              <a:gd name="connsiteY1867" fmla="*/ 1108128 h 1308087"/>
              <a:gd name="connsiteX1868" fmla="*/ 1933385 w 2280745"/>
              <a:gd name="connsiteY1868" fmla="*/ 1123891 h 1308087"/>
              <a:gd name="connsiteX1869" fmla="*/ 1943974 w 2280745"/>
              <a:gd name="connsiteY1869" fmla="*/ 1129214 h 1308087"/>
              <a:gd name="connsiteX1870" fmla="*/ 1946009 w 2280745"/>
              <a:gd name="connsiteY1870" fmla="*/ 1128739 h 1308087"/>
              <a:gd name="connsiteX1871" fmla="*/ 1952121 w 2280745"/>
              <a:gd name="connsiteY1871" fmla="*/ 1119520 h 1308087"/>
              <a:gd name="connsiteX1872" fmla="*/ 1935640 w 2280745"/>
              <a:gd name="connsiteY1872" fmla="*/ 1065964 h 1308087"/>
              <a:gd name="connsiteX1873" fmla="*/ 1932962 w 2280745"/>
              <a:gd name="connsiteY1873" fmla="*/ 1062232 h 1308087"/>
              <a:gd name="connsiteX1874" fmla="*/ 1928535 w 2280745"/>
              <a:gd name="connsiteY1874" fmla="*/ 1060477 h 1308087"/>
              <a:gd name="connsiteX1875" fmla="*/ 1928535 w 2280745"/>
              <a:gd name="connsiteY1875" fmla="*/ 1060264 h 1308087"/>
              <a:gd name="connsiteX1876" fmla="*/ 1882298 w 2280745"/>
              <a:gd name="connsiteY1876" fmla="*/ 1060264 h 1308087"/>
              <a:gd name="connsiteX1877" fmla="*/ 2081622 w 2280745"/>
              <a:gd name="connsiteY1877" fmla="*/ 1060264 h 1308087"/>
              <a:gd name="connsiteX1878" fmla="*/ 2081622 w 2280745"/>
              <a:gd name="connsiteY1878" fmla="*/ 1060489 h 1308087"/>
              <a:gd name="connsiteX1879" fmla="*/ 2081004 w 2280745"/>
              <a:gd name="connsiteY1879" fmla="*/ 1060454 h 1308087"/>
              <a:gd name="connsiteX1880" fmla="*/ 2073841 w 2280745"/>
              <a:gd name="connsiteY1880" fmla="*/ 1065964 h 1308087"/>
              <a:gd name="connsiteX1881" fmla="*/ 2057362 w 2280745"/>
              <a:gd name="connsiteY1881" fmla="*/ 1119520 h 1308087"/>
              <a:gd name="connsiteX1882" fmla="*/ 2063474 w 2280745"/>
              <a:gd name="connsiteY1882" fmla="*/ 1128739 h 1308087"/>
              <a:gd name="connsiteX1883" fmla="*/ 2065507 w 2280745"/>
              <a:gd name="connsiteY1883" fmla="*/ 1129214 h 1308087"/>
              <a:gd name="connsiteX1884" fmla="*/ 2076097 w 2280745"/>
              <a:gd name="connsiteY1884" fmla="*/ 1123891 h 1308087"/>
              <a:gd name="connsiteX1885" fmla="*/ 2081622 w 2280745"/>
              <a:gd name="connsiteY1885" fmla="*/ 1105936 h 1308087"/>
              <a:gd name="connsiteX1886" fmla="*/ 2081622 w 2280745"/>
              <a:gd name="connsiteY1886" fmla="*/ 1126120 h 1308087"/>
              <a:gd name="connsiteX1887" fmla="*/ 2081622 w 2280745"/>
              <a:gd name="connsiteY1887" fmla="*/ 1132734 h 1308087"/>
              <a:gd name="connsiteX1888" fmla="*/ 2081622 w 2280745"/>
              <a:gd name="connsiteY1888" fmla="*/ 1181563 h 1308087"/>
              <a:gd name="connsiteX1889" fmla="*/ 2090268 w 2280745"/>
              <a:gd name="connsiteY1889" fmla="*/ 1189092 h 1308087"/>
              <a:gd name="connsiteX1890" fmla="*/ 2092373 w 2280745"/>
              <a:gd name="connsiteY1890" fmla="*/ 1189092 h 1308087"/>
              <a:gd name="connsiteX1891" fmla="*/ 2101019 w 2280745"/>
              <a:gd name="connsiteY1891" fmla="*/ 1181563 h 1308087"/>
              <a:gd name="connsiteX1892" fmla="*/ 2101019 w 2280745"/>
              <a:gd name="connsiteY1892" fmla="*/ 1132734 h 1308087"/>
              <a:gd name="connsiteX1893" fmla="*/ 2108461 w 2280745"/>
              <a:gd name="connsiteY1893" fmla="*/ 1132734 h 1308087"/>
              <a:gd name="connsiteX1894" fmla="*/ 2108461 w 2280745"/>
              <a:gd name="connsiteY1894" fmla="*/ 1181563 h 1308087"/>
              <a:gd name="connsiteX1895" fmla="*/ 2117107 w 2280745"/>
              <a:gd name="connsiteY1895" fmla="*/ 1189092 h 1308087"/>
              <a:gd name="connsiteX1896" fmla="*/ 2119212 w 2280745"/>
              <a:gd name="connsiteY1896" fmla="*/ 1189092 h 1308087"/>
              <a:gd name="connsiteX1897" fmla="*/ 2127858 w 2280745"/>
              <a:gd name="connsiteY1897" fmla="*/ 1181563 h 1308087"/>
              <a:gd name="connsiteX1898" fmla="*/ 2127858 w 2280745"/>
              <a:gd name="connsiteY1898" fmla="*/ 1132734 h 1308087"/>
              <a:gd name="connsiteX1899" fmla="*/ 2127858 w 2280745"/>
              <a:gd name="connsiteY1899" fmla="*/ 1126120 h 1308087"/>
              <a:gd name="connsiteX1900" fmla="*/ 2127858 w 2280745"/>
              <a:gd name="connsiteY1900" fmla="*/ 1108128 h 1308087"/>
              <a:gd name="connsiteX1901" fmla="*/ 2132707 w 2280745"/>
              <a:gd name="connsiteY1901" fmla="*/ 1123891 h 1308087"/>
              <a:gd name="connsiteX1902" fmla="*/ 2143298 w 2280745"/>
              <a:gd name="connsiteY1902" fmla="*/ 1129214 h 1308087"/>
              <a:gd name="connsiteX1903" fmla="*/ 2145331 w 2280745"/>
              <a:gd name="connsiteY1903" fmla="*/ 1128739 h 1308087"/>
              <a:gd name="connsiteX1904" fmla="*/ 2151445 w 2280745"/>
              <a:gd name="connsiteY1904" fmla="*/ 1119520 h 1308087"/>
              <a:gd name="connsiteX1905" fmla="*/ 2134963 w 2280745"/>
              <a:gd name="connsiteY1905" fmla="*/ 1065964 h 1308087"/>
              <a:gd name="connsiteX1906" fmla="*/ 2132286 w 2280745"/>
              <a:gd name="connsiteY1906" fmla="*/ 1062232 h 1308087"/>
              <a:gd name="connsiteX1907" fmla="*/ 2127858 w 2280745"/>
              <a:gd name="connsiteY1907" fmla="*/ 1060477 h 1308087"/>
              <a:gd name="connsiteX1908" fmla="*/ 2127858 w 2280745"/>
              <a:gd name="connsiteY1908" fmla="*/ 1060264 h 1308087"/>
              <a:gd name="connsiteX1909" fmla="*/ 2081622 w 2280745"/>
              <a:gd name="connsiteY1909" fmla="*/ 1060264 h 130808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 ang="0">
                <a:pos x="connsiteX116" y="connsiteY116"/>
              </a:cxn>
              <a:cxn ang="0">
                <a:pos x="connsiteX117" y="connsiteY117"/>
              </a:cxn>
              <a:cxn ang="0">
                <a:pos x="connsiteX118" y="connsiteY118"/>
              </a:cxn>
              <a:cxn ang="0">
                <a:pos x="connsiteX119" y="connsiteY119"/>
              </a:cxn>
              <a:cxn ang="0">
                <a:pos x="connsiteX120" y="connsiteY120"/>
              </a:cxn>
              <a:cxn ang="0">
                <a:pos x="connsiteX121" y="connsiteY121"/>
              </a:cxn>
              <a:cxn ang="0">
                <a:pos x="connsiteX122" y="connsiteY122"/>
              </a:cxn>
              <a:cxn ang="0">
                <a:pos x="connsiteX123" y="connsiteY123"/>
              </a:cxn>
              <a:cxn ang="0">
                <a:pos x="connsiteX124" y="connsiteY124"/>
              </a:cxn>
              <a:cxn ang="0">
                <a:pos x="connsiteX125" y="connsiteY125"/>
              </a:cxn>
              <a:cxn ang="0">
                <a:pos x="connsiteX126" y="connsiteY126"/>
              </a:cxn>
              <a:cxn ang="0">
                <a:pos x="connsiteX127" y="connsiteY127"/>
              </a:cxn>
              <a:cxn ang="0">
                <a:pos x="connsiteX128" y="connsiteY128"/>
              </a:cxn>
              <a:cxn ang="0">
                <a:pos x="connsiteX129" y="connsiteY129"/>
              </a:cxn>
              <a:cxn ang="0">
                <a:pos x="connsiteX130" y="connsiteY130"/>
              </a:cxn>
              <a:cxn ang="0">
                <a:pos x="connsiteX131" y="connsiteY131"/>
              </a:cxn>
              <a:cxn ang="0">
                <a:pos x="connsiteX132" y="connsiteY132"/>
              </a:cxn>
              <a:cxn ang="0">
                <a:pos x="connsiteX133" y="connsiteY133"/>
              </a:cxn>
              <a:cxn ang="0">
                <a:pos x="connsiteX134" y="connsiteY134"/>
              </a:cxn>
              <a:cxn ang="0">
                <a:pos x="connsiteX135" y="connsiteY135"/>
              </a:cxn>
              <a:cxn ang="0">
                <a:pos x="connsiteX136" y="connsiteY136"/>
              </a:cxn>
              <a:cxn ang="0">
                <a:pos x="connsiteX137" y="connsiteY137"/>
              </a:cxn>
              <a:cxn ang="0">
                <a:pos x="connsiteX138" y="connsiteY138"/>
              </a:cxn>
              <a:cxn ang="0">
                <a:pos x="connsiteX139" y="connsiteY139"/>
              </a:cxn>
              <a:cxn ang="0">
                <a:pos x="connsiteX140" y="connsiteY140"/>
              </a:cxn>
              <a:cxn ang="0">
                <a:pos x="connsiteX141" y="connsiteY141"/>
              </a:cxn>
              <a:cxn ang="0">
                <a:pos x="connsiteX142" y="connsiteY142"/>
              </a:cxn>
              <a:cxn ang="0">
                <a:pos x="connsiteX143" y="connsiteY143"/>
              </a:cxn>
              <a:cxn ang="0">
                <a:pos x="connsiteX144" y="connsiteY144"/>
              </a:cxn>
              <a:cxn ang="0">
                <a:pos x="connsiteX145" y="connsiteY145"/>
              </a:cxn>
              <a:cxn ang="0">
                <a:pos x="connsiteX146" y="connsiteY146"/>
              </a:cxn>
              <a:cxn ang="0">
                <a:pos x="connsiteX147" y="connsiteY147"/>
              </a:cxn>
              <a:cxn ang="0">
                <a:pos x="connsiteX148" y="connsiteY148"/>
              </a:cxn>
              <a:cxn ang="0">
                <a:pos x="connsiteX149" y="connsiteY149"/>
              </a:cxn>
              <a:cxn ang="0">
                <a:pos x="connsiteX150" y="connsiteY150"/>
              </a:cxn>
              <a:cxn ang="0">
                <a:pos x="connsiteX151" y="connsiteY151"/>
              </a:cxn>
              <a:cxn ang="0">
                <a:pos x="connsiteX152" y="connsiteY152"/>
              </a:cxn>
              <a:cxn ang="0">
                <a:pos x="connsiteX153" y="connsiteY153"/>
              </a:cxn>
              <a:cxn ang="0">
                <a:pos x="connsiteX154" y="connsiteY154"/>
              </a:cxn>
              <a:cxn ang="0">
                <a:pos x="connsiteX155" y="connsiteY155"/>
              </a:cxn>
              <a:cxn ang="0">
                <a:pos x="connsiteX156" y="connsiteY156"/>
              </a:cxn>
              <a:cxn ang="0">
                <a:pos x="connsiteX157" y="connsiteY157"/>
              </a:cxn>
              <a:cxn ang="0">
                <a:pos x="connsiteX158" y="connsiteY158"/>
              </a:cxn>
              <a:cxn ang="0">
                <a:pos x="connsiteX159" y="connsiteY159"/>
              </a:cxn>
              <a:cxn ang="0">
                <a:pos x="connsiteX160" y="connsiteY160"/>
              </a:cxn>
              <a:cxn ang="0">
                <a:pos x="connsiteX161" y="connsiteY161"/>
              </a:cxn>
              <a:cxn ang="0">
                <a:pos x="connsiteX162" y="connsiteY162"/>
              </a:cxn>
              <a:cxn ang="0">
                <a:pos x="connsiteX163" y="connsiteY163"/>
              </a:cxn>
              <a:cxn ang="0">
                <a:pos x="connsiteX164" y="connsiteY164"/>
              </a:cxn>
              <a:cxn ang="0">
                <a:pos x="connsiteX165" y="connsiteY165"/>
              </a:cxn>
              <a:cxn ang="0">
                <a:pos x="connsiteX166" y="connsiteY166"/>
              </a:cxn>
              <a:cxn ang="0">
                <a:pos x="connsiteX167" y="connsiteY167"/>
              </a:cxn>
              <a:cxn ang="0">
                <a:pos x="connsiteX168" y="connsiteY168"/>
              </a:cxn>
              <a:cxn ang="0">
                <a:pos x="connsiteX169" y="connsiteY169"/>
              </a:cxn>
              <a:cxn ang="0">
                <a:pos x="connsiteX170" y="connsiteY170"/>
              </a:cxn>
              <a:cxn ang="0">
                <a:pos x="connsiteX171" y="connsiteY171"/>
              </a:cxn>
              <a:cxn ang="0">
                <a:pos x="connsiteX172" y="connsiteY172"/>
              </a:cxn>
              <a:cxn ang="0">
                <a:pos x="connsiteX173" y="connsiteY173"/>
              </a:cxn>
              <a:cxn ang="0">
                <a:pos x="connsiteX174" y="connsiteY174"/>
              </a:cxn>
              <a:cxn ang="0">
                <a:pos x="connsiteX175" y="connsiteY175"/>
              </a:cxn>
              <a:cxn ang="0">
                <a:pos x="connsiteX176" y="connsiteY176"/>
              </a:cxn>
              <a:cxn ang="0">
                <a:pos x="connsiteX177" y="connsiteY177"/>
              </a:cxn>
              <a:cxn ang="0">
                <a:pos x="connsiteX178" y="connsiteY178"/>
              </a:cxn>
              <a:cxn ang="0">
                <a:pos x="connsiteX179" y="connsiteY179"/>
              </a:cxn>
              <a:cxn ang="0">
                <a:pos x="connsiteX180" y="connsiteY180"/>
              </a:cxn>
              <a:cxn ang="0">
                <a:pos x="connsiteX181" y="connsiteY181"/>
              </a:cxn>
              <a:cxn ang="0">
                <a:pos x="connsiteX182" y="connsiteY182"/>
              </a:cxn>
              <a:cxn ang="0">
                <a:pos x="connsiteX183" y="connsiteY183"/>
              </a:cxn>
              <a:cxn ang="0">
                <a:pos x="connsiteX184" y="connsiteY184"/>
              </a:cxn>
              <a:cxn ang="0">
                <a:pos x="connsiteX185" y="connsiteY185"/>
              </a:cxn>
              <a:cxn ang="0">
                <a:pos x="connsiteX186" y="connsiteY186"/>
              </a:cxn>
              <a:cxn ang="0">
                <a:pos x="connsiteX187" y="connsiteY187"/>
              </a:cxn>
              <a:cxn ang="0">
                <a:pos x="connsiteX188" y="connsiteY188"/>
              </a:cxn>
              <a:cxn ang="0">
                <a:pos x="connsiteX189" y="connsiteY189"/>
              </a:cxn>
              <a:cxn ang="0">
                <a:pos x="connsiteX190" y="connsiteY190"/>
              </a:cxn>
              <a:cxn ang="0">
                <a:pos x="connsiteX191" y="connsiteY191"/>
              </a:cxn>
              <a:cxn ang="0">
                <a:pos x="connsiteX192" y="connsiteY192"/>
              </a:cxn>
              <a:cxn ang="0">
                <a:pos x="connsiteX193" y="connsiteY193"/>
              </a:cxn>
              <a:cxn ang="0">
                <a:pos x="connsiteX194" y="connsiteY194"/>
              </a:cxn>
              <a:cxn ang="0">
                <a:pos x="connsiteX195" y="connsiteY195"/>
              </a:cxn>
              <a:cxn ang="0">
                <a:pos x="connsiteX196" y="connsiteY196"/>
              </a:cxn>
              <a:cxn ang="0">
                <a:pos x="connsiteX197" y="connsiteY197"/>
              </a:cxn>
              <a:cxn ang="0">
                <a:pos x="connsiteX198" y="connsiteY198"/>
              </a:cxn>
              <a:cxn ang="0">
                <a:pos x="connsiteX199" y="connsiteY199"/>
              </a:cxn>
              <a:cxn ang="0">
                <a:pos x="connsiteX200" y="connsiteY200"/>
              </a:cxn>
              <a:cxn ang="0">
                <a:pos x="connsiteX201" y="connsiteY201"/>
              </a:cxn>
              <a:cxn ang="0">
                <a:pos x="connsiteX202" y="connsiteY202"/>
              </a:cxn>
              <a:cxn ang="0">
                <a:pos x="connsiteX203" y="connsiteY203"/>
              </a:cxn>
              <a:cxn ang="0">
                <a:pos x="connsiteX204" y="connsiteY204"/>
              </a:cxn>
              <a:cxn ang="0">
                <a:pos x="connsiteX205" y="connsiteY205"/>
              </a:cxn>
              <a:cxn ang="0">
                <a:pos x="connsiteX206" y="connsiteY206"/>
              </a:cxn>
              <a:cxn ang="0">
                <a:pos x="connsiteX207" y="connsiteY207"/>
              </a:cxn>
              <a:cxn ang="0">
                <a:pos x="connsiteX208" y="connsiteY208"/>
              </a:cxn>
              <a:cxn ang="0">
                <a:pos x="connsiteX209" y="connsiteY209"/>
              </a:cxn>
              <a:cxn ang="0">
                <a:pos x="connsiteX210" y="connsiteY210"/>
              </a:cxn>
              <a:cxn ang="0">
                <a:pos x="connsiteX211" y="connsiteY211"/>
              </a:cxn>
              <a:cxn ang="0">
                <a:pos x="connsiteX212" y="connsiteY212"/>
              </a:cxn>
              <a:cxn ang="0">
                <a:pos x="connsiteX213" y="connsiteY213"/>
              </a:cxn>
              <a:cxn ang="0">
                <a:pos x="connsiteX214" y="connsiteY214"/>
              </a:cxn>
              <a:cxn ang="0">
                <a:pos x="connsiteX215" y="connsiteY215"/>
              </a:cxn>
              <a:cxn ang="0">
                <a:pos x="connsiteX216" y="connsiteY216"/>
              </a:cxn>
              <a:cxn ang="0">
                <a:pos x="connsiteX217" y="connsiteY217"/>
              </a:cxn>
              <a:cxn ang="0">
                <a:pos x="connsiteX218" y="connsiteY218"/>
              </a:cxn>
              <a:cxn ang="0">
                <a:pos x="connsiteX219" y="connsiteY219"/>
              </a:cxn>
              <a:cxn ang="0">
                <a:pos x="connsiteX220" y="connsiteY220"/>
              </a:cxn>
              <a:cxn ang="0">
                <a:pos x="connsiteX221" y="connsiteY221"/>
              </a:cxn>
              <a:cxn ang="0">
                <a:pos x="connsiteX222" y="connsiteY222"/>
              </a:cxn>
              <a:cxn ang="0">
                <a:pos x="connsiteX223" y="connsiteY223"/>
              </a:cxn>
              <a:cxn ang="0">
                <a:pos x="connsiteX224" y="connsiteY224"/>
              </a:cxn>
              <a:cxn ang="0">
                <a:pos x="connsiteX225" y="connsiteY225"/>
              </a:cxn>
              <a:cxn ang="0">
                <a:pos x="connsiteX226" y="connsiteY226"/>
              </a:cxn>
              <a:cxn ang="0">
                <a:pos x="connsiteX227" y="connsiteY227"/>
              </a:cxn>
              <a:cxn ang="0">
                <a:pos x="connsiteX228" y="connsiteY228"/>
              </a:cxn>
              <a:cxn ang="0">
                <a:pos x="connsiteX229" y="connsiteY229"/>
              </a:cxn>
              <a:cxn ang="0">
                <a:pos x="connsiteX230" y="connsiteY230"/>
              </a:cxn>
              <a:cxn ang="0">
                <a:pos x="connsiteX231" y="connsiteY231"/>
              </a:cxn>
              <a:cxn ang="0">
                <a:pos x="connsiteX232" y="connsiteY232"/>
              </a:cxn>
              <a:cxn ang="0">
                <a:pos x="connsiteX233" y="connsiteY233"/>
              </a:cxn>
              <a:cxn ang="0">
                <a:pos x="connsiteX234" y="connsiteY234"/>
              </a:cxn>
              <a:cxn ang="0">
                <a:pos x="connsiteX235" y="connsiteY235"/>
              </a:cxn>
              <a:cxn ang="0">
                <a:pos x="connsiteX236" y="connsiteY236"/>
              </a:cxn>
              <a:cxn ang="0">
                <a:pos x="connsiteX237" y="connsiteY237"/>
              </a:cxn>
              <a:cxn ang="0">
                <a:pos x="connsiteX238" y="connsiteY238"/>
              </a:cxn>
              <a:cxn ang="0">
                <a:pos x="connsiteX239" y="connsiteY239"/>
              </a:cxn>
              <a:cxn ang="0">
                <a:pos x="connsiteX240" y="connsiteY240"/>
              </a:cxn>
              <a:cxn ang="0">
                <a:pos x="connsiteX241" y="connsiteY241"/>
              </a:cxn>
              <a:cxn ang="0">
                <a:pos x="connsiteX242" y="connsiteY242"/>
              </a:cxn>
              <a:cxn ang="0">
                <a:pos x="connsiteX243" y="connsiteY243"/>
              </a:cxn>
              <a:cxn ang="0">
                <a:pos x="connsiteX244" y="connsiteY244"/>
              </a:cxn>
              <a:cxn ang="0">
                <a:pos x="connsiteX245" y="connsiteY245"/>
              </a:cxn>
              <a:cxn ang="0">
                <a:pos x="connsiteX246" y="connsiteY246"/>
              </a:cxn>
              <a:cxn ang="0">
                <a:pos x="connsiteX247" y="connsiteY247"/>
              </a:cxn>
              <a:cxn ang="0">
                <a:pos x="connsiteX248" y="connsiteY248"/>
              </a:cxn>
              <a:cxn ang="0">
                <a:pos x="connsiteX249" y="connsiteY249"/>
              </a:cxn>
              <a:cxn ang="0">
                <a:pos x="connsiteX250" y="connsiteY250"/>
              </a:cxn>
              <a:cxn ang="0">
                <a:pos x="connsiteX251" y="connsiteY251"/>
              </a:cxn>
              <a:cxn ang="0">
                <a:pos x="connsiteX252" y="connsiteY252"/>
              </a:cxn>
              <a:cxn ang="0">
                <a:pos x="connsiteX253" y="connsiteY253"/>
              </a:cxn>
              <a:cxn ang="0">
                <a:pos x="connsiteX254" y="connsiteY254"/>
              </a:cxn>
              <a:cxn ang="0">
                <a:pos x="connsiteX255" y="connsiteY255"/>
              </a:cxn>
              <a:cxn ang="0">
                <a:pos x="connsiteX256" y="connsiteY256"/>
              </a:cxn>
              <a:cxn ang="0">
                <a:pos x="connsiteX257" y="connsiteY257"/>
              </a:cxn>
              <a:cxn ang="0">
                <a:pos x="connsiteX258" y="connsiteY258"/>
              </a:cxn>
              <a:cxn ang="0">
                <a:pos x="connsiteX259" y="connsiteY259"/>
              </a:cxn>
              <a:cxn ang="0">
                <a:pos x="connsiteX260" y="connsiteY260"/>
              </a:cxn>
              <a:cxn ang="0">
                <a:pos x="connsiteX261" y="connsiteY261"/>
              </a:cxn>
              <a:cxn ang="0">
                <a:pos x="connsiteX262" y="connsiteY262"/>
              </a:cxn>
              <a:cxn ang="0">
                <a:pos x="connsiteX263" y="connsiteY263"/>
              </a:cxn>
              <a:cxn ang="0">
                <a:pos x="connsiteX264" y="connsiteY264"/>
              </a:cxn>
              <a:cxn ang="0">
                <a:pos x="connsiteX265" y="connsiteY265"/>
              </a:cxn>
              <a:cxn ang="0">
                <a:pos x="connsiteX266" y="connsiteY266"/>
              </a:cxn>
              <a:cxn ang="0">
                <a:pos x="connsiteX267" y="connsiteY267"/>
              </a:cxn>
              <a:cxn ang="0">
                <a:pos x="connsiteX268" y="connsiteY268"/>
              </a:cxn>
              <a:cxn ang="0">
                <a:pos x="connsiteX269" y="connsiteY269"/>
              </a:cxn>
              <a:cxn ang="0">
                <a:pos x="connsiteX270" y="connsiteY270"/>
              </a:cxn>
              <a:cxn ang="0">
                <a:pos x="connsiteX271" y="connsiteY271"/>
              </a:cxn>
              <a:cxn ang="0">
                <a:pos x="connsiteX272" y="connsiteY272"/>
              </a:cxn>
              <a:cxn ang="0">
                <a:pos x="connsiteX273" y="connsiteY273"/>
              </a:cxn>
              <a:cxn ang="0">
                <a:pos x="connsiteX274" y="connsiteY274"/>
              </a:cxn>
              <a:cxn ang="0">
                <a:pos x="connsiteX275" y="connsiteY275"/>
              </a:cxn>
              <a:cxn ang="0">
                <a:pos x="connsiteX276" y="connsiteY276"/>
              </a:cxn>
              <a:cxn ang="0">
                <a:pos x="connsiteX277" y="connsiteY277"/>
              </a:cxn>
              <a:cxn ang="0">
                <a:pos x="connsiteX278" y="connsiteY278"/>
              </a:cxn>
              <a:cxn ang="0">
                <a:pos x="connsiteX279" y="connsiteY279"/>
              </a:cxn>
              <a:cxn ang="0">
                <a:pos x="connsiteX280" y="connsiteY280"/>
              </a:cxn>
              <a:cxn ang="0">
                <a:pos x="connsiteX281" y="connsiteY281"/>
              </a:cxn>
              <a:cxn ang="0">
                <a:pos x="connsiteX282" y="connsiteY282"/>
              </a:cxn>
              <a:cxn ang="0">
                <a:pos x="connsiteX283" y="connsiteY283"/>
              </a:cxn>
              <a:cxn ang="0">
                <a:pos x="connsiteX284" y="connsiteY284"/>
              </a:cxn>
              <a:cxn ang="0">
                <a:pos x="connsiteX285" y="connsiteY285"/>
              </a:cxn>
              <a:cxn ang="0">
                <a:pos x="connsiteX286" y="connsiteY286"/>
              </a:cxn>
              <a:cxn ang="0">
                <a:pos x="connsiteX287" y="connsiteY287"/>
              </a:cxn>
              <a:cxn ang="0">
                <a:pos x="connsiteX288" y="connsiteY288"/>
              </a:cxn>
              <a:cxn ang="0">
                <a:pos x="connsiteX289" y="connsiteY289"/>
              </a:cxn>
              <a:cxn ang="0">
                <a:pos x="connsiteX290" y="connsiteY290"/>
              </a:cxn>
              <a:cxn ang="0">
                <a:pos x="connsiteX291" y="connsiteY291"/>
              </a:cxn>
              <a:cxn ang="0">
                <a:pos x="connsiteX292" y="connsiteY292"/>
              </a:cxn>
              <a:cxn ang="0">
                <a:pos x="connsiteX293" y="connsiteY293"/>
              </a:cxn>
              <a:cxn ang="0">
                <a:pos x="connsiteX294" y="connsiteY294"/>
              </a:cxn>
              <a:cxn ang="0">
                <a:pos x="connsiteX295" y="connsiteY295"/>
              </a:cxn>
              <a:cxn ang="0">
                <a:pos x="connsiteX296" y="connsiteY296"/>
              </a:cxn>
              <a:cxn ang="0">
                <a:pos x="connsiteX297" y="connsiteY297"/>
              </a:cxn>
              <a:cxn ang="0">
                <a:pos x="connsiteX298" y="connsiteY298"/>
              </a:cxn>
              <a:cxn ang="0">
                <a:pos x="connsiteX299" y="connsiteY299"/>
              </a:cxn>
              <a:cxn ang="0">
                <a:pos x="connsiteX300" y="connsiteY300"/>
              </a:cxn>
              <a:cxn ang="0">
                <a:pos x="connsiteX301" y="connsiteY301"/>
              </a:cxn>
              <a:cxn ang="0">
                <a:pos x="connsiteX302" y="connsiteY302"/>
              </a:cxn>
              <a:cxn ang="0">
                <a:pos x="connsiteX303" y="connsiteY303"/>
              </a:cxn>
              <a:cxn ang="0">
                <a:pos x="connsiteX304" y="connsiteY304"/>
              </a:cxn>
              <a:cxn ang="0">
                <a:pos x="connsiteX305" y="connsiteY305"/>
              </a:cxn>
              <a:cxn ang="0">
                <a:pos x="connsiteX306" y="connsiteY306"/>
              </a:cxn>
              <a:cxn ang="0">
                <a:pos x="connsiteX307" y="connsiteY307"/>
              </a:cxn>
              <a:cxn ang="0">
                <a:pos x="connsiteX308" y="connsiteY308"/>
              </a:cxn>
              <a:cxn ang="0">
                <a:pos x="connsiteX309" y="connsiteY309"/>
              </a:cxn>
              <a:cxn ang="0">
                <a:pos x="connsiteX310" y="connsiteY310"/>
              </a:cxn>
              <a:cxn ang="0">
                <a:pos x="connsiteX311" y="connsiteY311"/>
              </a:cxn>
              <a:cxn ang="0">
                <a:pos x="connsiteX312" y="connsiteY312"/>
              </a:cxn>
              <a:cxn ang="0">
                <a:pos x="connsiteX313" y="connsiteY313"/>
              </a:cxn>
              <a:cxn ang="0">
                <a:pos x="connsiteX314" y="connsiteY314"/>
              </a:cxn>
              <a:cxn ang="0">
                <a:pos x="connsiteX315" y="connsiteY315"/>
              </a:cxn>
              <a:cxn ang="0">
                <a:pos x="connsiteX316" y="connsiteY316"/>
              </a:cxn>
              <a:cxn ang="0">
                <a:pos x="connsiteX317" y="connsiteY317"/>
              </a:cxn>
              <a:cxn ang="0">
                <a:pos x="connsiteX318" y="connsiteY318"/>
              </a:cxn>
              <a:cxn ang="0">
                <a:pos x="connsiteX319" y="connsiteY319"/>
              </a:cxn>
              <a:cxn ang="0">
                <a:pos x="connsiteX320" y="connsiteY320"/>
              </a:cxn>
              <a:cxn ang="0">
                <a:pos x="connsiteX321" y="connsiteY321"/>
              </a:cxn>
              <a:cxn ang="0">
                <a:pos x="connsiteX322" y="connsiteY322"/>
              </a:cxn>
              <a:cxn ang="0">
                <a:pos x="connsiteX323" y="connsiteY323"/>
              </a:cxn>
              <a:cxn ang="0">
                <a:pos x="connsiteX324" y="connsiteY324"/>
              </a:cxn>
              <a:cxn ang="0">
                <a:pos x="connsiteX325" y="connsiteY325"/>
              </a:cxn>
              <a:cxn ang="0">
                <a:pos x="connsiteX326" y="connsiteY326"/>
              </a:cxn>
              <a:cxn ang="0">
                <a:pos x="connsiteX327" y="connsiteY327"/>
              </a:cxn>
              <a:cxn ang="0">
                <a:pos x="connsiteX328" y="connsiteY328"/>
              </a:cxn>
              <a:cxn ang="0">
                <a:pos x="connsiteX329" y="connsiteY329"/>
              </a:cxn>
              <a:cxn ang="0">
                <a:pos x="connsiteX330" y="connsiteY330"/>
              </a:cxn>
              <a:cxn ang="0">
                <a:pos x="connsiteX331" y="connsiteY331"/>
              </a:cxn>
              <a:cxn ang="0">
                <a:pos x="connsiteX332" y="connsiteY332"/>
              </a:cxn>
              <a:cxn ang="0">
                <a:pos x="connsiteX333" y="connsiteY333"/>
              </a:cxn>
              <a:cxn ang="0">
                <a:pos x="connsiteX334" y="connsiteY334"/>
              </a:cxn>
              <a:cxn ang="0">
                <a:pos x="connsiteX335" y="connsiteY335"/>
              </a:cxn>
              <a:cxn ang="0">
                <a:pos x="connsiteX336" y="connsiteY336"/>
              </a:cxn>
              <a:cxn ang="0">
                <a:pos x="connsiteX337" y="connsiteY337"/>
              </a:cxn>
              <a:cxn ang="0">
                <a:pos x="connsiteX338" y="connsiteY338"/>
              </a:cxn>
              <a:cxn ang="0">
                <a:pos x="connsiteX339" y="connsiteY339"/>
              </a:cxn>
              <a:cxn ang="0">
                <a:pos x="connsiteX340" y="connsiteY340"/>
              </a:cxn>
              <a:cxn ang="0">
                <a:pos x="connsiteX341" y="connsiteY341"/>
              </a:cxn>
              <a:cxn ang="0">
                <a:pos x="connsiteX342" y="connsiteY342"/>
              </a:cxn>
              <a:cxn ang="0">
                <a:pos x="connsiteX343" y="connsiteY343"/>
              </a:cxn>
              <a:cxn ang="0">
                <a:pos x="connsiteX344" y="connsiteY344"/>
              </a:cxn>
              <a:cxn ang="0">
                <a:pos x="connsiteX345" y="connsiteY345"/>
              </a:cxn>
              <a:cxn ang="0">
                <a:pos x="connsiteX346" y="connsiteY346"/>
              </a:cxn>
              <a:cxn ang="0">
                <a:pos x="connsiteX347" y="connsiteY347"/>
              </a:cxn>
              <a:cxn ang="0">
                <a:pos x="connsiteX348" y="connsiteY348"/>
              </a:cxn>
              <a:cxn ang="0">
                <a:pos x="connsiteX349" y="connsiteY349"/>
              </a:cxn>
              <a:cxn ang="0">
                <a:pos x="connsiteX350" y="connsiteY350"/>
              </a:cxn>
              <a:cxn ang="0">
                <a:pos x="connsiteX351" y="connsiteY351"/>
              </a:cxn>
              <a:cxn ang="0">
                <a:pos x="connsiteX352" y="connsiteY352"/>
              </a:cxn>
              <a:cxn ang="0">
                <a:pos x="connsiteX353" y="connsiteY353"/>
              </a:cxn>
              <a:cxn ang="0">
                <a:pos x="connsiteX354" y="connsiteY354"/>
              </a:cxn>
              <a:cxn ang="0">
                <a:pos x="connsiteX355" y="connsiteY355"/>
              </a:cxn>
              <a:cxn ang="0">
                <a:pos x="connsiteX356" y="connsiteY356"/>
              </a:cxn>
              <a:cxn ang="0">
                <a:pos x="connsiteX357" y="connsiteY357"/>
              </a:cxn>
              <a:cxn ang="0">
                <a:pos x="connsiteX358" y="connsiteY358"/>
              </a:cxn>
              <a:cxn ang="0">
                <a:pos x="connsiteX359" y="connsiteY359"/>
              </a:cxn>
              <a:cxn ang="0">
                <a:pos x="connsiteX360" y="connsiteY360"/>
              </a:cxn>
              <a:cxn ang="0">
                <a:pos x="connsiteX361" y="connsiteY361"/>
              </a:cxn>
              <a:cxn ang="0">
                <a:pos x="connsiteX362" y="connsiteY362"/>
              </a:cxn>
              <a:cxn ang="0">
                <a:pos x="connsiteX363" y="connsiteY363"/>
              </a:cxn>
              <a:cxn ang="0">
                <a:pos x="connsiteX364" y="connsiteY364"/>
              </a:cxn>
              <a:cxn ang="0">
                <a:pos x="connsiteX365" y="connsiteY365"/>
              </a:cxn>
              <a:cxn ang="0">
                <a:pos x="connsiteX366" y="connsiteY366"/>
              </a:cxn>
              <a:cxn ang="0">
                <a:pos x="connsiteX367" y="connsiteY367"/>
              </a:cxn>
              <a:cxn ang="0">
                <a:pos x="connsiteX368" y="connsiteY368"/>
              </a:cxn>
              <a:cxn ang="0">
                <a:pos x="connsiteX369" y="connsiteY369"/>
              </a:cxn>
              <a:cxn ang="0">
                <a:pos x="connsiteX370" y="connsiteY370"/>
              </a:cxn>
              <a:cxn ang="0">
                <a:pos x="connsiteX371" y="connsiteY371"/>
              </a:cxn>
              <a:cxn ang="0">
                <a:pos x="connsiteX372" y="connsiteY372"/>
              </a:cxn>
              <a:cxn ang="0">
                <a:pos x="connsiteX373" y="connsiteY373"/>
              </a:cxn>
              <a:cxn ang="0">
                <a:pos x="connsiteX374" y="connsiteY374"/>
              </a:cxn>
              <a:cxn ang="0">
                <a:pos x="connsiteX375" y="connsiteY375"/>
              </a:cxn>
              <a:cxn ang="0">
                <a:pos x="connsiteX376" y="connsiteY376"/>
              </a:cxn>
              <a:cxn ang="0">
                <a:pos x="connsiteX377" y="connsiteY377"/>
              </a:cxn>
              <a:cxn ang="0">
                <a:pos x="connsiteX378" y="connsiteY378"/>
              </a:cxn>
              <a:cxn ang="0">
                <a:pos x="connsiteX379" y="connsiteY379"/>
              </a:cxn>
              <a:cxn ang="0">
                <a:pos x="connsiteX380" y="connsiteY380"/>
              </a:cxn>
              <a:cxn ang="0">
                <a:pos x="connsiteX381" y="connsiteY381"/>
              </a:cxn>
              <a:cxn ang="0">
                <a:pos x="connsiteX382" y="connsiteY382"/>
              </a:cxn>
              <a:cxn ang="0">
                <a:pos x="connsiteX383" y="connsiteY383"/>
              </a:cxn>
              <a:cxn ang="0">
                <a:pos x="connsiteX384" y="connsiteY384"/>
              </a:cxn>
              <a:cxn ang="0">
                <a:pos x="connsiteX385" y="connsiteY385"/>
              </a:cxn>
              <a:cxn ang="0">
                <a:pos x="connsiteX386" y="connsiteY386"/>
              </a:cxn>
              <a:cxn ang="0">
                <a:pos x="connsiteX387" y="connsiteY387"/>
              </a:cxn>
              <a:cxn ang="0">
                <a:pos x="connsiteX388" y="connsiteY388"/>
              </a:cxn>
              <a:cxn ang="0">
                <a:pos x="connsiteX389" y="connsiteY389"/>
              </a:cxn>
              <a:cxn ang="0">
                <a:pos x="connsiteX390" y="connsiteY390"/>
              </a:cxn>
              <a:cxn ang="0">
                <a:pos x="connsiteX391" y="connsiteY391"/>
              </a:cxn>
              <a:cxn ang="0">
                <a:pos x="connsiteX392" y="connsiteY392"/>
              </a:cxn>
              <a:cxn ang="0">
                <a:pos x="connsiteX393" y="connsiteY393"/>
              </a:cxn>
              <a:cxn ang="0">
                <a:pos x="connsiteX394" y="connsiteY394"/>
              </a:cxn>
              <a:cxn ang="0">
                <a:pos x="connsiteX395" y="connsiteY395"/>
              </a:cxn>
              <a:cxn ang="0">
                <a:pos x="connsiteX396" y="connsiteY396"/>
              </a:cxn>
              <a:cxn ang="0">
                <a:pos x="connsiteX397" y="connsiteY397"/>
              </a:cxn>
              <a:cxn ang="0">
                <a:pos x="connsiteX398" y="connsiteY398"/>
              </a:cxn>
              <a:cxn ang="0">
                <a:pos x="connsiteX399" y="connsiteY399"/>
              </a:cxn>
              <a:cxn ang="0">
                <a:pos x="connsiteX400" y="connsiteY400"/>
              </a:cxn>
              <a:cxn ang="0">
                <a:pos x="connsiteX401" y="connsiteY401"/>
              </a:cxn>
              <a:cxn ang="0">
                <a:pos x="connsiteX402" y="connsiteY402"/>
              </a:cxn>
              <a:cxn ang="0">
                <a:pos x="connsiteX403" y="connsiteY403"/>
              </a:cxn>
              <a:cxn ang="0">
                <a:pos x="connsiteX404" y="connsiteY404"/>
              </a:cxn>
              <a:cxn ang="0">
                <a:pos x="connsiteX405" y="connsiteY405"/>
              </a:cxn>
              <a:cxn ang="0">
                <a:pos x="connsiteX406" y="connsiteY406"/>
              </a:cxn>
              <a:cxn ang="0">
                <a:pos x="connsiteX407" y="connsiteY407"/>
              </a:cxn>
              <a:cxn ang="0">
                <a:pos x="connsiteX408" y="connsiteY408"/>
              </a:cxn>
              <a:cxn ang="0">
                <a:pos x="connsiteX409" y="connsiteY409"/>
              </a:cxn>
              <a:cxn ang="0">
                <a:pos x="connsiteX410" y="connsiteY410"/>
              </a:cxn>
              <a:cxn ang="0">
                <a:pos x="connsiteX411" y="connsiteY411"/>
              </a:cxn>
              <a:cxn ang="0">
                <a:pos x="connsiteX412" y="connsiteY412"/>
              </a:cxn>
              <a:cxn ang="0">
                <a:pos x="connsiteX413" y="connsiteY413"/>
              </a:cxn>
              <a:cxn ang="0">
                <a:pos x="connsiteX414" y="connsiteY414"/>
              </a:cxn>
              <a:cxn ang="0">
                <a:pos x="connsiteX415" y="connsiteY415"/>
              </a:cxn>
              <a:cxn ang="0">
                <a:pos x="connsiteX416" y="connsiteY416"/>
              </a:cxn>
              <a:cxn ang="0">
                <a:pos x="connsiteX417" y="connsiteY417"/>
              </a:cxn>
              <a:cxn ang="0">
                <a:pos x="connsiteX418" y="connsiteY418"/>
              </a:cxn>
              <a:cxn ang="0">
                <a:pos x="connsiteX419" y="connsiteY419"/>
              </a:cxn>
              <a:cxn ang="0">
                <a:pos x="connsiteX420" y="connsiteY420"/>
              </a:cxn>
              <a:cxn ang="0">
                <a:pos x="connsiteX421" y="connsiteY421"/>
              </a:cxn>
              <a:cxn ang="0">
                <a:pos x="connsiteX422" y="connsiteY422"/>
              </a:cxn>
              <a:cxn ang="0">
                <a:pos x="connsiteX423" y="connsiteY423"/>
              </a:cxn>
              <a:cxn ang="0">
                <a:pos x="connsiteX424" y="connsiteY424"/>
              </a:cxn>
              <a:cxn ang="0">
                <a:pos x="connsiteX425" y="connsiteY425"/>
              </a:cxn>
              <a:cxn ang="0">
                <a:pos x="connsiteX426" y="connsiteY426"/>
              </a:cxn>
              <a:cxn ang="0">
                <a:pos x="connsiteX427" y="connsiteY427"/>
              </a:cxn>
              <a:cxn ang="0">
                <a:pos x="connsiteX428" y="connsiteY428"/>
              </a:cxn>
              <a:cxn ang="0">
                <a:pos x="connsiteX429" y="connsiteY429"/>
              </a:cxn>
              <a:cxn ang="0">
                <a:pos x="connsiteX430" y="connsiteY430"/>
              </a:cxn>
              <a:cxn ang="0">
                <a:pos x="connsiteX431" y="connsiteY431"/>
              </a:cxn>
              <a:cxn ang="0">
                <a:pos x="connsiteX432" y="connsiteY432"/>
              </a:cxn>
              <a:cxn ang="0">
                <a:pos x="connsiteX433" y="connsiteY433"/>
              </a:cxn>
              <a:cxn ang="0">
                <a:pos x="connsiteX434" y="connsiteY434"/>
              </a:cxn>
              <a:cxn ang="0">
                <a:pos x="connsiteX435" y="connsiteY435"/>
              </a:cxn>
              <a:cxn ang="0">
                <a:pos x="connsiteX436" y="connsiteY436"/>
              </a:cxn>
              <a:cxn ang="0">
                <a:pos x="connsiteX437" y="connsiteY437"/>
              </a:cxn>
              <a:cxn ang="0">
                <a:pos x="connsiteX438" y="connsiteY438"/>
              </a:cxn>
              <a:cxn ang="0">
                <a:pos x="connsiteX439" y="connsiteY439"/>
              </a:cxn>
              <a:cxn ang="0">
                <a:pos x="connsiteX440" y="connsiteY440"/>
              </a:cxn>
              <a:cxn ang="0">
                <a:pos x="connsiteX441" y="connsiteY441"/>
              </a:cxn>
              <a:cxn ang="0">
                <a:pos x="connsiteX442" y="connsiteY442"/>
              </a:cxn>
              <a:cxn ang="0">
                <a:pos x="connsiteX443" y="connsiteY443"/>
              </a:cxn>
              <a:cxn ang="0">
                <a:pos x="connsiteX444" y="connsiteY444"/>
              </a:cxn>
              <a:cxn ang="0">
                <a:pos x="connsiteX445" y="connsiteY445"/>
              </a:cxn>
              <a:cxn ang="0">
                <a:pos x="connsiteX446" y="connsiteY446"/>
              </a:cxn>
              <a:cxn ang="0">
                <a:pos x="connsiteX447" y="connsiteY447"/>
              </a:cxn>
              <a:cxn ang="0">
                <a:pos x="connsiteX448" y="connsiteY448"/>
              </a:cxn>
              <a:cxn ang="0">
                <a:pos x="connsiteX449" y="connsiteY449"/>
              </a:cxn>
              <a:cxn ang="0">
                <a:pos x="connsiteX450" y="connsiteY450"/>
              </a:cxn>
              <a:cxn ang="0">
                <a:pos x="connsiteX451" y="connsiteY451"/>
              </a:cxn>
              <a:cxn ang="0">
                <a:pos x="connsiteX452" y="connsiteY452"/>
              </a:cxn>
              <a:cxn ang="0">
                <a:pos x="connsiteX453" y="connsiteY453"/>
              </a:cxn>
              <a:cxn ang="0">
                <a:pos x="connsiteX454" y="connsiteY454"/>
              </a:cxn>
              <a:cxn ang="0">
                <a:pos x="connsiteX455" y="connsiteY455"/>
              </a:cxn>
              <a:cxn ang="0">
                <a:pos x="connsiteX456" y="connsiteY456"/>
              </a:cxn>
              <a:cxn ang="0">
                <a:pos x="connsiteX457" y="connsiteY457"/>
              </a:cxn>
              <a:cxn ang="0">
                <a:pos x="connsiteX458" y="connsiteY458"/>
              </a:cxn>
              <a:cxn ang="0">
                <a:pos x="connsiteX459" y="connsiteY459"/>
              </a:cxn>
              <a:cxn ang="0">
                <a:pos x="connsiteX460" y="connsiteY460"/>
              </a:cxn>
              <a:cxn ang="0">
                <a:pos x="connsiteX461" y="connsiteY461"/>
              </a:cxn>
              <a:cxn ang="0">
                <a:pos x="connsiteX462" y="connsiteY462"/>
              </a:cxn>
              <a:cxn ang="0">
                <a:pos x="connsiteX463" y="connsiteY463"/>
              </a:cxn>
              <a:cxn ang="0">
                <a:pos x="connsiteX464" y="connsiteY464"/>
              </a:cxn>
              <a:cxn ang="0">
                <a:pos x="connsiteX465" y="connsiteY465"/>
              </a:cxn>
              <a:cxn ang="0">
                <a:pos x="connsiteX466" y="connsiteY466"/>
              </a:cxn>
              <a:cxn ang="0">
                <a:pos x="connsiteX467" y="connsiteY467"/>
              </a:cxn>
              <a:cxn ang="0">
                <a:pos x="connsiteX468" y="connsiteY468"/>
              </a:cxn>
              <a:cxn ang="0">
                <a:pos x="connsiteX469" y="connsiteY469"/>
              </a:cxn>
              <a:cxn ang="0">
                <a:pos x="connsiteX470" y="connsiteY470"/>
              </a:cxn>
              <a:cxn ang="0">
                <a:pos x="connsiteX471" y="connsiteY471"/>
              </a:cxn>
              <a:cxn ang="0">
                <a:pos x="connsiteX472" y="connsiteY472"/>
              </a:cxn>
              <a:cxn ang="0">
                <a:pos x="connsiteX473" y="connsiteY473"/>
              </a:cxn>
              <a:cxn ang="0">
                <a:pos x="connsiteX474" y="connsiteY474"/>
              </a:cxn>
              <a:cxn ang="0">
                <a:pos x="connsiteX475" y="connsiteY475"/>
              </a:cxn>
              <a:cxn ang="0">
                <a:pos x="connsiteX476" y="connsiteY476"/>
              </a:cxn>
              <a:cxn ang="0">
                <a:pos x="connsiteX477" y="connsiteY477"/>
              </a:cxn>
              <a:cxn ang="0">
                <a:pos x="connsiteX478" y="connsiteY478"/>
              </a:cxn>
              <a:cxn ang="0">
                <a:pos x="connsiteX479" y="connsiteY479"/>
              </a:cxn>
              <a:cxn ang="0">
                <a:pos x="connsiteX480" y="connsiteY480"/>
              </a:cxn>
              <a:cxn ang="0">
                <a:pos x="connsiteX481" y="connsiteY481"/>
              </a:cxn>
              <a:cxn ang="0">
                <a:pos x="connsiteX482" y="connsiteY482"/>
              </a:cxn>
              <a:cxn ang="0">
                <a:pos x="connsiteX483" y="connsiteY483"/>
              </a:cxn>
              <a:cxn ang="0">
                <a:pos x="connsiteX484" y="connsiteY484"/>
              </a:cxn>
              <a:cxn ang="0">
                <a:pos x="connsiteX485" y="connsiteY485"/>
              </a:cxn>
              <a:cxn ang="0">
                <a:pos x="connsiteX486" y="connsiteY486"/>
              </a:cxn>
              <a:cxn ang="0">
                <a:pos x="connsiteX487" y="connsiteY487"/>
              </a:cxn>
              <a:cxn ang="0">
                <a:pos x="connsiteX488" y="connsiteY488"/>
              </a:cxn>
              <a:cxn ang="0">
                <a:pos x="connsiteX489" y="connsiteY489"/>
              </a:cxn>
              <a:cxn ang="0">
                <a:pos x="connsiteX490" y="connsiteY490"/>
              </a:cxn>
              <a:cxn ang="0">
                <a:pos x="connsiteX491" y="connsiteY491"/>
              </a:cxn>
              <a:cxn ang="0">
                <a:pos x="connsiteX492" y="connsiteY492"/>
              </a:cxn>
              <a:cxn ang="0">
                <a:pos x="connsiteX493" y="connsiteY493"/>
              </a:cxn>
              <a:cxn ang="0">
                <a:pos x="connsiteX494" y="connsiteY494"/>
              </a:cxn>
              <a:cxn ang="0">
                <a:pos x="connsiteX495" y="connsiteY495"/>
              </a:cxn>
              <a:cxn ang="0">
                <a:pos x="connsiteX496" y="connsiteY496"/>
              </a:cxn>
              <a:cxn ang="0">
                <a:pos x="connsiteX497" y="connsiteY497"/>
              </a:cxn>
              <a:cxn ang="0">
                <a:pos x="connsiteX498" y="connsiteY498"/>
              </a:cxn>
              <a:cxn ang="0">
                <a:pos x="connsiteX499" y="connsiteY499"/>
              </a:cxn>
              <a:cxn ang="0">
                <a:pos x="connsiteX500" y="connsiteY500"/>
              </a:cxn>
              <a:cxn ang="0">
                <a:pos x="connsiteX501" y="connsiteY501"/>
              </a:cxn>
              <a:cxn ang="0">
                <a:pos x="connsiteX502" y="connsiteY502"/>
              </a:cxn>
              <a:cxn ang="0">
                <a:pos x="connsiteX503" y="connsiteY503"/>
              </a:cxn>
              <a:cxn ang="0">
                <a:pos x="connsiteX504" y="connsiteY504"/>
              </a:cxn>
              <a:cxn ang="0">
                <a:pos x="connsiteX505" y="connsiteY505"/>
              </a:cxn>
              <a:cxn ang="0">
                <a:pos x="connsiteX506" y="connsiteY506"/>
              </a:cxn>
              <a:cxn ang="0">
                <a:pos x="connsiteX507" y="connsiteY507"/>
              </a:cxn>
              <a:cxn ang="0">
                <a:pos x="connsiteX508" y="connsiteY508"/>
              </a:cxn>
              <a:cxn ang="0">
                <a:pos x="connsiteX509" y="connsiteY509"/>
              </a:cxn>
              <a:cxn ang="0">
                <a:pos x="connsiteX510" y="connsiteY510"/>
              </a:cxn>
              <a:cxn ang="0">
                <a:pos x="connsiteX511" y="connsiteY511"/>
              </a:cxn>
              <a:cxn ang="0">
                <a:pos x="connsiteX512" y="connsiteY512"/>
              </a:cxn>
              <a:cxn ang="0">
                <a:pos x="connsiteX513" y="connsiteY513"/>
              </a:cxn>
              <a:cxn ang="0">
                <a:pos x="connsiteX514" y="connsiteY514"/>
              </a:cxn>
              <a:cxn ang="0">
                <a:pos x="connsiteX515" y="connsiteY515"/>
              </a:cxn>
              <a:cxn ang="0">
                <a:pos x="connsiteX516" y="connsiteY516"/>
              </a:cxn>
              <a:cxn ang="0">
                <a:pos x="connsiteX517" y="connsiteY517"/>
              </a:cxn>
              <a:cxn ang="0">
                <a:pos x="connsiteX518" y="connsiteY518"/>
              </a:cxn>
              <a:cxn ang="0">
                <a:pos x="connsiteX519" y="connsiteY519"/>
              </a:cxn>
              <a:cxn ang="0">
                <a:pos x="connsiteX520" y="connsiteY520"/>
              </a:cxn>
              <a:cxn ang="0">
                <a:pos x="connsiteX521" y="connsiteY521"/>
              </a:cxn>
              <a:cxn ang="0">
                <a:pos x="connsiteX522" y="connsiteY522"/>
              </a:cxn>
              <a:cxn ang="0">
                <a:pos x="connsiteX523" y="connsiteY523"/>
              </a:cxn>
              <a:cxn ang="0">
                <a:pos x="connsiteX524" y="connsiteY524"/>
              </a:cxn>
              <a:cxn ang="0">
                <a:pos x="connsiteX525" y="connsiteY525"/>
              </a:cxn>
              <a:cxn ang="0">
                <a:pos x="connsiteX526" y="connsiteY526"/>
              </a:cxn>
              <a:cxn ang="0">
                <a:pos x="connsiteX527" y="connsiteY527"/>
              </a:cxn>
              <a:cxn ang="0">
                <a:pos x="connsiteX528" y="connsiteY528"/>
              </a:cxn>
              <a:cxn ang="0">
                <a:pos x="connsiteX529" y="connsiteY529"/>
              </a:cxn>
              <a:cxn ang="0">
                <a:pos x="connsiteX530" y="connsiteY530"/>
              </a:cxn>
              <a:cxn ang="0">
                <a:pos x="connsiteX531" y="connsiteY531"/>
              </a:cxn>
              <a:cxn ang="0">
                <a:pos x="connsiteX532" y="connsiteY532"/>
              </a:cxn>
              <a:cxn ang="0">
                <a:pos x="connsiteX533" y="connsiteY533"/>
              </a:cxn>
              <a:cxn ang="0">
                <a:pos x="connsiteX534" y="connsiteY534"/>
              </a:cxn>
              <a:cxn ang="0">
                <a:pos x="connsiteX535" y="connsiteY535"/>
              </a:cxn>
              <a:cxn ang="0">
                <a:pos x="connsiteX536" y="connsiteY536"/>
              </a:cxn>
              <a:cxn ang="0">
                <a:pos x="connsiteX537" y="connsiteY537"/>
              </a:cxn>
              <a:cxn ang="0">
                <a:pos x="connsiteX538" y="connsiteY538"/>
              </a:cxn>
              <a:cxn ang="0">
                <a:pos x="connsiteX539" y="connsiteY539"/>
              </a:cxn>
              <a:cxn ang="0">
                <a:pos x="connsiteX540" y="connsiteY540"/>
              </a:cxn>
              <a:cxn ang="0">
                <a:pos x="connsiteX541" y="connsiteY541"/>
              </a:cxn>
              <a:cxn ang="0">
                <a:pos x="connsiteX542" y="connsiteY542"/>
              </a:cxn>
              <a:cxn ang="0">
                <a:pos x="connsiteX543" y="connsiteY543"/>
              </a:cxn>
              <a:cxn ang="0">
                <a:pos x="connsiteX544" y="connsiteY544"/>
              </a:cxn>
              <a:cxn ang="0">
                <a:pos x="connsiteX545" y="connsiteY545"/>
              </a:cxn>
              <a:cxn ang="0">
                <a:pos x="connsiteX546" y="connsiteY546"/>
              </a:cxn>
              <a:cxn ang="0">
                <a:pos x="connsiteX547" y="connsiteY547"/>
              </a:cxn>
              <a:cxn ang="0">
                <a:pos x="connsiteX548" y="connsiteY548"/>
              </a:cxn>
              <a:cxn ang="0">
                <a:pos x="connsiteX549" y="connsiteY549"/>
              </a:cxn>
              <a:cxn ang="0">
                <a:pos x="connsiteX550" y="connsiteY550"/>
              </a:cxn>
              <a:cxn ang="0">
                <a:pos x="connsiteX551" y="connsiteY551"/>
              </a:cxn>
              <a:cxn ang="0">
                <a:pos x="connsiteX552" y="connsiteY552"/>
              </a:cxn>
              <a:cxn ang="0">
                <a:pos x="connsiteX553" y="connsiteY553"/>
              </a:cxn>
              <a:cxn ang="0">
                <a:pos x="connsiteX554" y="connsiteY554"/>
              </a:cxn>
              <a:cxn ang="0">
                <a:pos x="connsiteX555" y="connsiteY555"/>
              </a:cxn>
              <a:cxn ang="0">
                <a:pos x="connsiteX556" y="connsiteY556"/>
              </a:cxn>
              <a:cxn ang="0">
                <a:pos x="connsiteX557" y="connsiteY557"/>
              </a:cxn>
              <a:cxn ang="0">
                <a:pos x="connsiteX558" y="connsiteY558"/>
              </a:cxn>
              <a:cxn ang="0">
                <a:pos x="connsiteX559" y="connsiteY559"/>
              </a:cxn>
              <a:cxn ang="0">
                <a:pos x="connsiteX560" y="connsiteY560"/>
              </a:cxn>
              <a:cxn ang="0">
                <a:pos x="connsiteX561" y="connsiteY561"/>
              </a:cxn>
              <a:cxn ang="0">
                <a:pos x="connsiteX562" y="connsiteY562"/>
              </a:cxn>
              <a:cxn ang="0">
                <a:pos x="connsiteX563" y="connsiteY563"/>
              </a:cxn>
              <a:cxn ang="0">
                <a:pos x="connsiteX564" y="connsiteY564"/>
              </a:cxn>
              <a:cxn ang="0">
                <a:pos x="connsiteX565" y="connsiteY565"/>
              </a:cxn>
              <a:cxn ang="0">
                <a:pos x="connsiteX566" y="connsiteY566"/>
              </a:cxn>
              <a:cxn ang="0">
                <a:pos x="connsiteX567" y="connsiteY567"/>
              </a:cxn>
              <a:cxn ang="0">
                <a:pos x="connsiteX568" y="connsiteY568"/>
              </a:cxn>
              <a:cxn ang="0">
                <a:pos x="connsiteX569" y="connsiteY569"/>
              </a:cxn>
              <a:cxn ang="0">
                <a:pos x="connsiteX570" y="connsiteY570"/>
              </a:cxn>
              <a:cxn ang="0">
                <a:pos x="connsiteX571" y="connsiteY571"/>
              </a:cxn>
              <a:cxn ang="0">
                <a:pos x="connsiteX572" y="connsiteY572"/>
              </a:cxn>
              <a:cxn ang="0">
                <a:pos x="connsiteX573" y="connsiteY573"/>
              </a:cxn>
              <a:cxn ang="0">
                <a:pos x="connsiteX574" y="connsiteY574"/>
              </a:cxn>
              <a:cxn ang="0">
                <a:pos x="connsiteX575" y="connsiteY575"/>
              </a:cxn>
              <a:cxn ang="0">
                <a:pos x="connsiteX576" y="connsiteY576"/>
              </a:cxn>
              <a:cxn ang="0">
                <a:pos x="connsiteX577" y="connsiteY577"/>
              </a:cxn>
              <a:cxn ang="0">
                <a:pos x="connsiteX578" y="connsiteY578"/>
              </a:cxn>
              <a:cxn ang="0">
                <a:pos x="connsiteX579" y="connsiteY579"/>
              </a:cxn>
              <a:cxn ang="0">
                <a:pos x="connsiteX580" y="connsiteY580"/>
              </a:cxn>
              <a:cxn ang="0">
                <a:pos x="connsiteX581" y="connsiteY581"/>
              </a:cxn>
              <a:cxn ang="0">
                <a:pos x="connsiteX582" y="connsiteY582"/>
              </a:cxn>
              <a:cxn ang="0">
                <a:pos x="connsiteX583" y="connsiteY583"/>
              </a:cxn>
              <a:cxn ang="0">
                <a:pos x="connsiteX584" y="connsiteY584"/>
              </a:cxn>
              <a:cxn ang="0">
                <a:pos x="connsiteX585" y="connsiteY585"/>
              </a:cxn>
              <a:cxn ang="0">
                <a:pos x="connsiteX586" y="connsiteY586"/>
              </a:cxn>
              <a:cxn ang="0">
                <a:pos x="connsiteX587" y="connsiteY587"/>
              </a:cxn>
              <a:cxn ang="0">
                <a:pos x="connsiteX588" y="connsiteY588"/>
              </a:cxn>
              <a:cxn ang="0">
                <a:pos x="connsiteX589" y="connsiteY589"/>
              </a:cxn>
              <a:cxn ang="0">
                <a:pos x="connsiteX590" y="connsiteY590"/>
              </a:cxn>
              <a:cxn ang="0">
                <a:pos x="connsiteX591" y="connsiteY591"/>
              </a:cxn>
              <a:cxn ang="0">
                <a:pos x="connsiteX592" y="connsiteY592"/>
              </a:cxn>
              <a:cxn ang="0">
                <a:pos x="connsiteX593" y="connsiteY593"/>
              </a:cxn>
              <a:cxn ang="0">
                <a:pos x="connsiteX594" y="connsiteY594"/>
              </a:cxn>
              <a:cxn ang="0">
                <a:pos x="connsiteX595" y="connsiteY595"/>
              </a:cxn>
              <a:cxn ang="0">
                <a:pos x="connsiteX596" y="connsiteY596"/>
              </a:cxn>
              <a:cxn ang="0">
                <a:pos x="connsiteX597" y="connsiteY597"/>
              </a:cxn>
              <a:cxn ang="0">
                <a:pos x="connsiteX598" y="connsiteY598"/>
              </a:cxn>
              <a:cxn ang="0">
                <a:pos x="connsiteX599" y="connsiteY599"/>
              </a:cxn>
              <a:cxn ang="0">
                <a:pos x="connsiteX600" y="connsiteY600"/>
              </a:cxn>
              <a:cxn ang="0">
                <a:pos x="connsiteX601" y="connsiteY601"/>
              </a:cxn>
              <a:cxn ang="0">
                <a:pos x="connsiteX602" y="connsiteY602"/>
              </a:cxn>
              <a:cxn ang="0">
                <a:pos x="connsiteX603" y="connsiteY603"/>
              </a:cxn>
              <a:cxn ang="0">
                <a:pos x="connsiteX604" y="connsiteY604"/>
              </a:cxn>
              <a:cxn ang="0">
                <a:pos x="connsiteX605" y="connsiteY605"/>
              </a:cxn>
              <a:cxn ang="0">
                <a:pos x="connsiteX606" y="connsiteY606"/>
              </a:cxn>
              <a:cxn ang="0">
                <a:pos x="connsiteX607" y="connsiteY607"/>
              </a:cxn>
              <a:cxn ang="0">
                <a:pos x="connsiteX608" y="connsiteY608"/>
              </a:cxn>
              <a:cxn ang="0">
                <a:pos x="connsiteX609" y="connsiteY609"/>
              </a:cxn>
              <a:cxn ang="0">
                <a:pos x="connsiteX610" y="connsiteY610"/>
              </a:cxn>
              <a:cxn ang="0">
                <a:pos x="connsiteX611" y="connsiteY611"/>
              </a:cxn>
              <a:cxn ang="0">
                <a:pos x="connsiteX612" y="connsiteY612"/>
              </a:cxn>
              <a:cxn ang="0">
                <a:pos x="connsiteX613" y="connsiteY613"/>
              </a:cxn>
              <a:cxn ang="0">
                <a:pos x="connsiteX614" y="connsiteY614"/>
              </a:cxn>
              <a:cxn ang="0">
                <a:pos x="connsiteX615" y="connsiteY615"/>
              </a:cxn>
              <a:cxn ang="0">
                <a:pos x="connsiteX616" y="connsiteY616"/>
              </a:cxn>
              <a:cxn ang="0">
                <a:pos x="connsiteX617" y="connsiteY617"/>
              </a:cxn>
              <a:cxn ang="0">
                <a:pos x="connsiteX618" y="connsiteY618"/>
              </a:cxn>
              <a:cxn ang="0">
                <a:pos x="connsiteX619" y="connsiteY619"/>
              </a:cxn>
              <a:cxn ang="0">
                <a:pos x="connsiteX620" y="connsiteY620"/>
              </a:cxn>
              <a:cxn ang="0">
                <a:pos x="connsiteX621" y="connsiteY621"/>
              </a:cxn>
              <a:cxn ang="0">
                <a:pos x="connsiteX622" y="connsiteY622"/>
              </a:cxn>
              <a:cxn ang="0">
                <a:pos x="connsiteX623" y="connsiteY623"/>
              </a:cxn>
              <a:cxn ang="0">
                <a:pos x="connsiteX624" y="connsiteY624"/>
              </a:cxn>
              <a:cxn ang="0">
                <a:pos x="connsiteX625" y="connsiteY625"/>
              </a:cxn>
              <a:cxn ang="0">
                <a:pos x="connsiteX626" y="connsiteY626"/>
              </a:cxn>
              <a:cxn ang="0">
                <a:pos x="connsiteX627" y="connsiteY627"/>
              </a:cxn>
              <a:cxn ang="0">
                <a:pos x="connsiteX628" y="connsiteY628"/>
              </a:cxn>
              <a:cxn ang="0">
                <a:pos x="connsiteX629" y="connsiteY629"/>
              </a:cxn>
              <a:cxn ang="0">
                <a:pos x="connsiteX630" y="connsiteY630"/>
              </a:cxn>
              <a:cxn ang="0">
                <a:pos x="connsiteX631" y="connsiteY631"/>
              </a:cxn>
              <a:cxn ang="0">
                <a:pos x="connsiteX632" y="connsiteY632"/>
              </a:cxn>
              <a:cxn ang="0">
                <a:pos x="connsiteX633" y="connsiteY633"/>
              </a:cxn>
              <a:cxn ang="0">
                <a:pos x="connsiteX634" y="connsiteY634"/>
              </a:cxn>
              <a:cxn ang="0">
                <a:pos x="connsiteX635" y="connsiteY635"/>
              </a:cxn>
              <a:cxn ang="0">
                <a:pos x="connsiteX636" y="connsiteY636"/>
              </a:cxn>
              <a:cxn ang="0">
                <a:pos x="connsiteX637" y="connsiteY637"/>
              </a:cxn>
              <a:cxn ang="0">
                <a:pos x="connsiteX638" y="connsiteY638"/>
              </a:cxn>
              <a:cxn ang="0">
                <a:pos x="connsiteX639" y="connsiteY639"/>
              </a:cxn>
              <a:cxn ang="0">
                <a:pos x="connsiteX640" y="connsiteY640"/>
              </a:cxn>
              <a:cxn ang="0">
                <a:pos x="connsiteX641" y="connsiteY641"/>
              </a:cxn>
              <a:cxn ang="0">
                <a:pos x="connsiteX642" y="connsiteY642"/>
              </a:cxn>
              <a:cxn ang="0">
                <a:pos x="connsiteX643" y="connsiteY643"/>
              </a:cxn>
              <a:cxn ang="0">
                <a:pos x="connsiteX644" y="connsiteY644"/>
              </a:cxn>
              <a:cxn ang="0">
                <a:pos x="connsiteX645" y="connsiteY645"/>
              </a:cxn>
              <a:cxn ang="0">
                <a:pos x="connsiteX646" y="connsiteY646"/>
              </a:cxn>
              <a:cxn ang="0">
                <a:pos x="connsiteX647" y="connsiteY647"/>
              </a:cxn>
              <a:cxn ang="0">
                <a:pos x="connsiteX648" y="connsiteY648"/>
              </a:cxn>
              <a:cxn ang="0">
                <a:pos x="connsiteX649" y="connsiteY649"/>
              </a:cxn>
              <a:cxn ang="0">
                <a:pos x="connsiteX650" y="connsiteY650"/>
              </a:cxn>
              <a:cxn ang="0">
                <a:pos x="connsiteX651" y="connsiteY651"/>
              </a:cxn>
              <a:cxn ang="0">
                <a:pos x="connsiteX652" y="connsiteY652"/>
              </a:cxn>
              <a:cxn ang="0">
                <a:pos x="connsiteX653" y="connsiteY653"/>
              </a:cxn>
              <a:cxn ang="0">
                <a:pos x="connsiteX654" y="connsiteY654"/>
              </a:cxn>
              <a:cxn ang="0">
                <a:pos x="connsiteX655" y="connsiteY655"/>
              </a:cxn>
              <a:cxn ang="0">
                <a:pos x="connsiteX656" y="connsiteY656"/>
              </a:cxn>
              <a:cxn ang="0">
                <a:pos x="connsiteX657" y="connsiteY657"/>
              </a:cxn>
              <a:cxn ang="0">
                <a:pos x="connsiteX658" y="connsiteY658"/>
              </a:cxn>
              <a:cxn ang="0">
                <a:pos x="connsiteX659" y="connsiteY659"/>
              </a:cxn>
              <a:cxn ang="0">
                <a:pos x="connsiteX660" y="connsiteY660"/>
              </a:cxn>
              <a:cxn ang="0">
                <a:pos x="connsiteX661" y="connsiteY661"/>
              </a:cxn>
              <a:cxn ang="0">
                <a:pos x="connsiteX662" y="connsiteY662"/>
              </a:cxn>
              <a:cxn ang="0">
                <a:pos x="connsiteX663" y="connsiteY663"/>
              </a:cxn>
              <a:cxn ang="0">
                <a:pos x="connsiteX664" y="connsiteY664"/>
              </a:cxn>
              <a:cxn ang="0">
                <a:pos x="connsiteX665" y="connsiteY665"/>
              </a:cxn>
              <a:cxn ang="0">
                <a:pos x="connsiteX666" y="connsiteY666"/>
              </a:cxn>
              <a:cxn ang="0">
                <a:pos x="connsiteX667" y="connsiteY667"/>
              </a:cxn>
              <a:cxn ang="0">
                <a:pos x="connsiteX668" y="connsiteY668"/>
              </a:cxn>
              <a:cxn ang="0">
                <a:pos x="connsiteX669" y="connsiteY669"/>
              </a:cxn>
              <a:cxn ang="0">
                <a:pos x="connsiteX670" y="connsiteY670"/>
              </a:cxn>
              <a:cxn ang="0">
                <a:pos x="connsiteX671" y="connsiteY671"/>
              </a:cxn>
              <a:cxn ang="0">
                <a:pos x="connsiteX672" y="connsiteY672"/>
              </a:cxn>
              <a:cxn ang="0">
                <a:pos x="connsiteX673" y="connsiteY673"/>
              </a:cxn>
              <a:cxn ang="0">
                <a:pos x="connsiteX674" y="connsiteY674"/>
              </a:cxn>
              <a:cxn ang="0">
                <a:pos x="connsiteX675" y="connsiteY675"/>
              </a:cxn>
              <a:cxn ang="0">
                <a:pos x="connsiteX676" y="connsiteY676"/>
              </a:cxn>
              <a:cxn ang="0">
                <a:pos x="connsiteX677" y="connsiteY677"/>
              </a:cxn>
              <a:cxn ang="0">
                <a:pos x="connsiteX678" y="connsiteY678"/>
              </a:cxn>
              <a:cxn ang="0">
                <a:pos x="connsiteX679" y="connsiteY679"/>
              </a:cxn>
              <a:cxn ang="0">
                <a:pos x="connsiteX680" y="connsiteY680"/>
              </a:cxn>
              <a:cxn ang="0">
                <a:pos x="connsiteX681" y="connsiteY681"/>
              </a:cxn>
              <a:cxn ang="0">
                <a:pos x="connsiteX682" y="connsiteY682"/>
              </a:cxn>
              <a:cxn ang="0">
                <a:pos x="connsiteX683" y="connsiteY683"/>
              </a:cxn>
              <a:cxn ang="0">
                <a:pos x="connsiteX684" y="connsiteY684"/>
              </a:cxn>
              <a:cxn ang="0">
                <a:pos x="connsiteX685" y="connsiteY685"/>
              </a:cxn>
              <a:cxn ang="0">
                <a:pos x="connsiteX686" y="connsiteY686"/>
              </a:cxn>
              <a:cxn ang="0">
                <a:pos x="connsiteX687" y="connsiteY687"/>
              </a:cxn>
              <a:cxn ang="0">
                <a:pos x="connsiteX688" y="connsiteY688"/>
              </a:cxn>
              <a:cxn ang="0">
                <a:pos x="connsiteX689" y="connsiteY689"/>
              </a:cxn>
              <a:cxn ang="0">
                <a:pos x="connsiteX690" y="connsiteY690"/>
              </a:cxn>
              <a:cxn ang="0">
                <a:pos x="connsiteX691" y="connsiteY691"/>
              </a:cxn>
              <a:cxn ang="0">
                <a:pos x="connsiteX692" y="connsiteY692"/>
              </a:cxn>
              <a:cxn ang="0">
                <a:pos x="connsiteX693" y="connsiteY693"/>
              </a:cxn>
              <a:cxn ang="0">
                <a:pos x="connsiteX694" y="connsiteY694"/>
              </a:cxn>
              <a:cxn ang="0">
                <a:pos x="connsiteX695" y="connsiteY695"/>
              </a:cxn>
              <a:cxn ang="0">
                <a:pos x="connsiteX696" y="connsiteY696"/>
              </a:cxn>
              <a:cxn ang="0">
                <a:pos x="connsiteX697" y="connsiteY697"/>
              </a:cxn>
              <a:cxn ang="0">
                <a:pos x="connsiteX698" y="connsiteY698"/>
              </a:cxn>
              <a:cxn ang="0">
                <a:pos x="connsiteX699" y="connsiteY699"/>
              </a:cxn>
              <a:cxn ang="0">
                <a:pos x="connsiteX700" y="connsiteY700"/>
              </a:cxn>
              <a:cxn ang="0">
                <a:pos x="connsiteX701" y="connsiteY701"/>
              </a:cxn>
              <a:cxn ang="0">
                <a:pos x="connsiteX702" y="connsiteY702"/>
              </a:cxn>
              <a:cxn ang="0">
                <a:pos x="connsiteX703" y="connsiteY703"/>
              </a:cxn>
              <a:cxn ang="0">
                <a:pos x="connsiteX704" y="connsiteY704"/>
              </a:cxn>
              <a:cxn ang="0">
                <a:pos x="connsiteX705" y="connsiteY705"/>
              </a:cxn>
              <a:cxn ang="0">
                <a:pos x="connsiteX706" y="connsiteY706"/>
              </a:cxn>
              <a:cxn ang="0">
                <a:pos x="connsiteX707" y="connsiteY707"/>
              </a:cxn>
              <a:cxn ang="0">
                <a:pos x="connsiteX708" y="connsiteY708"/>
              </a:cxn>
              <a:cxn ang="0">
                <a:pos x="connsiteX709" y="connsiteY709"/>
              </a:cxn>
              <a:cxn ang="0">
                <a:pos x="connsiteX710" y="connsiteY710"/>
              </a:cxn>
              <a:cxn ang="0">
                <a:pos x="connsiteX711" y="connsiteY711"/>
              </a:cxn>
              <a:cxn ang="0">
                <a:pos x="connsiteX712" y="connsiteY712"/>
              </a:cxn>
              <a:cxn ang="0">
                <a:pos x="connsiteX713" y="connsiteY713"/>
              </a:cxn>
              <a:cxn ang="0">
                <a:pos x="connsiteX714" y="connsiteY714"/>
              </a:cxn>
              <a:cxn ang="0">
                <a:pos x="connsiteX715" y="connsiteY715"/>
              </a:cxn>
              <a:cxn ang="0">
                <a:pos x="connsiteX716" y="connsiteY716"/>
              </a:cxn>
              <a:cxn ang="0">
                <a:pos x="connsiteX717" y="connsiteY717"/>
              </a:cxn>
              <a:cxn ang="0">
                <a:pos x="connsiteX718" y="connsiteY718"/>
              </a:cxn>
              <a:cxn ang="0">
                <a:pos x="connsiteX719" y="connsiteY719"/>
              </a:cxn>
              <a:cxn ang="0">
                <a:pos x="connsiteX720" y="connsiteY720"/>
              </a:cxn>
              <a:cxn ang="0">
                <a:pos x="connsiteX721" y="connsiteY721"/>
              </a:cxn>
              <a:cxn ang="0">
                <a:pos x="connsiteX722" y="connsiteY722"/>
              </a:cxn>
              <a:cxn ang="0">
                <a:pos x="connsiteX723" y="connsiteY723"/>
              </a:cxn>
              <a:cxn ang="0">
                <a:pos x="connsiteX724" y="connsiteY724"/>
              </a:cxn>
              <a:cxn ang="0">
                <a:pos x="connsiteX725" y="connsiteY725"/>
              </a:cxn>
              <a:cxn ang="0">
                <a:pos x="connsiteX726" y="connsiteY726"/>
              </a:cxn>
              <a:cxn ang="0">
                <a:pos x="connsiteX727" y="connsiteY727"/>
              </a:cxn>
              <a:cxn ang="0">
                <a:pos x="connsiteX728" y="connsiteY728"/>
              </a:cxn>
              <a:cxn ang="0">
                <a:pos x="connsiteX729" y="connsiteY729"/>
              </a:cxn>
              <a:cxn ang="0">
                <a:pos x="connsiteX730" y="connsiteY730"/>
              </a:cxn>
              <a:cxn ang="0">
                <a:pos x="connsiteX731" y="connsiteY731"/>
              </a:cxn>
              <a:cxn ang="0">
                <a:pos x="connsiteX732" y="connsiteY732"/>
              </a:cxn>
              <a:cxn ang="0">
                <a:pos x="connsiteX733" y="connsiteY733"/>
              </a:cxn>
              <a:cxn ang="0">
                <a:pos x="connsiteX734" y="connsiteY734"/>
              </a:cxn>
              <a:cxn ang="0">
                <a:pos x="connsiteX735" y="connsiteY735"/>
              </a:cxn>
              <a:cxn ang="0">
                <a:pos x="connsiteX736" y="connsiteY736"/>
              </a:cxn>
              <a:cxn ang="0">
                <a:pos x="connsiteX737" y="connsiteY737"/>
              </a:cxn>
              <a:cxn ang="0">
                <a:pos x="connsiteX738" y="connsiteY738"/>
              </a:cxn>
              <a:cxn ang="0">
                <a:pos x="connsiteX739" y="connsiteY739"/>
              </a:cxn>
              <a:cxn ang="0">
                <a:pos x="connsiteX740" y="connsiteY740"/>
              </a:cxn>
              <a:cxn ang="0">
                <a:pos x="connsiteX741" y="connsiteY741"/>
              </a:cxn>
              <a:cxn ang="0">
                <a:pos x="connsiteX742" y="connsiteY742"/>
              </a:cxn>
              <a:cxn ang="0">
                <a:pos x="connsiteX743" y="connsiteY743"/>
              </a:cxn>
              <a:cxn ang="0">
                <a:pos x="connsiteX744" y="connsiteY744"/>
              </a:cxn>
              <a:cxn ang="0">
                <a:pos x="connsiteX745" y="connsiteY745"/>
              </a:cxn>
              <a:cxn ang="0">
                <a:pos x="connsiteX746" y="connsiteY746"/>
              </a:cxn>
              <a:cxn ang="0">
                <a:pos x="connsiteX747" y="connsiteY747"/>
              </a:cxn>
              <a:cxn ang="0">
                <a:pos x="connsiteX748" y="connsiteY748"/>
              </a:cxn>
              <a:cxn ang="0">
                <a:pos x="connsiteX749" y="connsiteY749"/>
              </a:cxn>
              <a:cxn ang="0">
                <a:pos x="connsiteX750" y="connsiteY750"/>
              </a:cxn>
              <a:cxn ang="0">
                <a:pos x="connsiteX751" y="connsiteY751"/>
              </a:cxn>
              <a:cxn ang="0">
                <a:pos x="connsiteX752" y="connsiteY752"/>
              </a:cxn>
              <a:cxn ang="0">
                <a:pos x="connsiteX753" y="connsiteY753"/>
              </a:cxn>
              <a:cxn ang="0">
                <a:pos x="connsiteX754" y="connsiteY754"/>
              </a:cxn>
              <a:cxn ang="0">
                <a:pos x="connsiteX755" y="connsiteY755"/>
              </a:cxn>
              <a:cxn ang="0">
                <a:pos x="connsiteX756" y="connsiteY756"/>
              </a:cxn>
              <a:cxn ang="0">
                <a:pos x="connsiteX757" y="connsiteY757"/>
              </a:cxn>
              <a:cxn ang="0">
                <a:pos x="connsiteX758" y="connsiteY758"/>
              </a:cxn>
              <a:cxn ang="0">
                <a:pos x="connsiteX759" y="connsiteY759"/>
              </a:cxn>
              <a:cxn ang="0">
                <a:pos x="connsiteX760" y="connsiteY760"/>
              </a:cxn>
              <a:cxn ang="0">
                <a:pos x="connsiteX761" y="connsiteY761"/>
              </a:cxn>
              <a:cxn ang="0">
                <a:pos x="connsiteX762" y="connsiteY762"/>
              </a:cxn>
              <a:cxn ang="0">
                <a:pos x="connsiteX763" y="connsiteY763"/>
              </a:cxn>
              <a:cxn ang="0">
                <a:pos x="connsiteX764" y="connsiteY764"/>
              </a:cxn>
              <a:cxn ang="0">
                <a:pos x="connsiteX765" y="connsiteY765"/>
              </a:cxn>
              <a:cxn ang="0">
                <a:pos x="connsiteX766" y="connsiteY766"/>
              </a:cxn>
              <a:cxn ang="0">
                <a:pos x="connsiteX767" y="connsiteY767"/>
              </a:cxn>
              <a:cxn ang="0">
                <a:pos x="connsiteX768" y="connsiteY768"/>
              </a:cxn>
              <a:cxn ang="0">
                <a:pos x="connsiteX769" y="connsiteY769"/>
              </a:cxn>
              <a:cxn ang="0">
                <a:pos x="connsiteX770" y="connsiteY770"/>
              </a:cxn>
              <a:cxn ang="0">
                <a:pos x="connsiteX771" y="connsiteY771"/>
              </a:cxn>
              <a:cxn ang="0">
                <a:pos x="connsiteX772" y="connsiteY772"/>
              </a:cxn>
              <a:cxn ang="0">
                <a:pos x="connsiteX773" y="connsiteY773"/>
              </a:cxn>
              <a:cxn ang="0">
                <a:pos x="connsiteX774" y="connsiteY774"/>
              </a:cxn>
              <a:cxn ang="0">
                <a:pos x="connsiteX775" y="connsiteY775"/>
              </a:cxn>
              <a:cxn ang="0">
                <a:pos x="connsiteX776" y="connsiteY776"/>
              </a:cxn>
              <a:cxn ang="0">
                <a:pos x="connsiteX777" y="connsiteY777"/>
              </a:cxn>
              <a:cxn ang="0">
                <a:pos x="connsiteX778" y="connsiteY778"/>
              </a:cxn>
              <a:cxn ang="0">
                <a:pos x="connsiteX779" y="connsiteY779"/>
              </a:cxn>
              <a:cxn ang="0">
                <a:pos x="connsiteX780" y="connsiteY780"/>
              </a:cxn>
              <a:cxn ang="0">
                <a:pos x="connsiteX781" y="connsiteY781"/>
              </a:cxn>
              <a:cxn ang="0">
                <a:pos x="connsiteX782" y="connsiteY782"/>
              </a:cxn>
              <a:cxn ang="0">
                <a:pos x="connsiteX783" y="connsiteY783"/>
              </a:cxn>
              <a:cxn ang="0">
                <a:pos x="connsiteX784" y="connsiteY784"/>
              </a:cxn>
              <a:cxn ang="0">
                <a:pos x="connsiteX785" y="connsiteY785"/>
              </a:cxn>
              <a:cxn ang="0">
                <a:pos x="connsiteX786" y="connsiteY786"/>
              </a:cxn>
              <a:cxn ang="0">
                <a:pos x="connsiteX787" y="connsiteY787"/>
              </a:cxn>
              <a:cxn ang="0">
                <a:pos x="connsiteX788" y="connsiteY788"/>
              </a:cxn>
              <a:cxn ang="0">
                <a:pos x="connsiteX789" y="connsiteY789"/>
              </a:cxn>
              <a:cxn ang="0">
                <a:pos x="connsiteX790" y="connsiteY790"/>
              </a:cxn>
              <a:cxn ang="0">
                <a:pos x="connsiteX791" y="connsiteY791"/>
              </a:cxn>
              <a:cxn ang="0">
                <a:pos x="connsiteX792" y="connsiteY792"/>
              </a:cxn>
              <a:cxn ang="0">
                <a:pos x="connsiteX793" y="connsiteY793"/>
              </a:cxn>
              <a:cxn ang="0">
                <a:pos x="connsiteX794" y="connsiteY794"/>
              </a:cxn>
              <a:cxn ang="0">
                <a:pos x="connsiteX795" y="connsiteY795"/>
              </a:cxn>
              <a:cxn ang="0">
                <a:pos x="connsiteX796" y="connsiteY796"/>
              </a:cxn>
              <a:cxn ang="0">
                <a:pos x="connsiteX797" y="connsiteY797"/>
              </a:cxn>
              <a:cxn ang="0">
                <a:pos x="connsiteX798" y="connsiteY798"/>
              </a:cxn>
              <a:cxn ang="0">
                <a:pos x="connsiteX799" y="connsiteY799"/>
              </a:cxn>
              <a:cxn ang="0">
                <a:pos x="connsiteX800" y="connsiteY800"/>
              </a:cxn>
              <a:cxn ang="0">
                <a:pos x="connsiteX801" y="connsiteY801"/>
              </a:cxn>
              <a:cxn ang="0">
                <a:pos x="connsiteX802" y="connsiteY802"/>
              </a:cxn>
              <a:cxn ang="0">
                <a:pos x="connsiteX803" y="connsiteY803"/>
              </a:cxn>
              <a:cxn ang="0">
                <a:pos x="connsiteX804" y="connsiteY804"/>
              </a:cxn>
              <a:cxn ang="0">
                <a:pos x="connsiteX805" y="connsiteY805"/>
              </a:cxn>
              <a:cxn ang="0">
                <a:pos x="connsiteX806" y="connsiteY806"/>
              </a:cxn>
              <a:cxn ang="0">
                <a:pos x="connsiteX807" y="connsiteY807"/>
              </a:cxn>
              <a:cxn ang="0">
                <a:pos x="connsiteX808" y="connsiteY808"/>
              </a:cxn>
              <a:cxn ang="0">
                <a:pos x="connsiteX809" y="connsiteY809"/>
              </a:cxn>
              <a:cxn ang="0">
                <a:pos x="connsiteX810" y="connsiteY810"/>
              </a:cxn>
              <a:cxn ang="0">
                <a:pos x="connsiteX811" y="connsiteY811"/>
              </a:cxn>
              <a:cxn ang="0">
                <a:pos x="connsiteX812" y="connsiteY812"/>
              </a:cxn>
              <a:cxn ang="0">
                <a:pos x="connsiteX813" y="connsiteY813"/>
              </a:cxn>
              <a:cxn ang="0">
                <a:pos x="connsiteX814" y="connsiteY814"/>
              </a:cxn>
              <a:cxn ang="0">
                <a:pos x="connsiteX815" y="connsiteY815"/>
              </a:cxn>
              <a:cxn ang="0">
                <a:pos x="connsiteX816" y="connsiteY816"/>
              </a:cxn>
              <a:cxn ang="0">
                <a:pos x="connsiteX817" y="connsiteY817"/>
              </a:cxn>
              <a:cxn ang="0">
                <a:pos x="connsiteX818" y="connsiteY818"/>
              </a:cxn>
              <a:cxn ang="0">
                <a:pos x="connsiteX819" y="connsiteY819"/>
              </a:cxn>
              <a:cxn ang="0">
                <a:pos x="connsiteX820" y="connsiteY820"/>
              </a:cxn>
              <a:cxn ang="0">
                <a:pos x="connsiteX821" y="connsiteY821"/>
              </a:cxn>
              <a:cxn ang="0">
                <a:pos x="connsiteX822" y="connsiteY822"/>
              </a:cxn>
              <a:cxn ang="0">
                <a:pos x="connsiteX823" y="connsiteY823"/>
              </a:cxn>
              <a:cxn ang="0">
                <a:pos x="connsiteX824" y="connsiteY824"/>
              </a:cxn>
              <a:cxn ang="0">
                <a:pos x="connsiteX825" y="connsiteY825"/>
              </a:cxn>
              <a:cxn ang="0">
                <a:pos x="connsiteX826" y="connsiteY826"/>
              </a:cxn>
              <a:cxn ang="0">
                <a:pos x="connsiteX827" y="connsiteY827"/>
              </a:cxn>
              <a:cxn ang="0">
                <a:pos x="connsiteX828" y="connsiteY828"/>
              </a:cxn>
              <a:cxn ang="0">
                <a:pos x="connsiteX829" y="connsiteY829"/>
              </a:cxn>
              <a:cxn ang="0">
                <a:pos x="connsiteX830" y="connsiteY830"/>
              </a:cxn>
              <a:cxn ang="0">
                <a:pos x="connsiteX831" y="connsiteY831"/>
              </a:cxn>
              <a:cxn ang="0">
                <a:pos x="connsiteX832" y="connsiteY832"/>
              </a:cxn>
              <a:cxn ang="0">
                <a:pos x="connsiteX833" y="connsiteY833"/>
              </a:cxn>
              <a:cxn ang="0">
                <a:pos x="connsiteX834" y="connsiteY834"/>
              </a:cxn>
              <a:cxn ang="0">
                <a:pos x="connsiteX835" y="connsiteY835"/>
              </a:cxn>
              <a:cxn ang="0">
                <a:pos x="connsiteX836" y="connsiteY836"/>
              </a:cxn>
              <a:cxn ang="0">
                <a:pos x="connsiteX837" y="connsiteY837"/>
              </a:cxn>
              <a:cxn ang="0">
                <a:pos x="connsiteX838" y="connsiteY838"/>
              </a:cxn>
              <a:cxn ang="0">
                <a:pos x="connsiteX839" y="connsiteY839"/>
              </a:cxn>
              <a:cxn ang="0">
                <a:pos x="connsiteX840" y="connsiteY840"/>
              </a:cxn>
              <a:cxn ang="0">
                <a:pos x="connsiteX841" y="connsiteY841"/>
              </a:cxn>
              <a:cxn ang="0">
                <a:pos x="connsiteX842" y="connsiteY842"/>
              </a:cxn>
              <a:cxn ang="0">
                <a:pos x="connsiteX843" y="connsiteY843"/>
              </a:cxn>
              <a:cxn ang="0">
                <a:pos x="connsiteX844" y="connsiteY844"/>
              </a:cxn>
              <a:cxn ang="0">
                <a:pos x="connsiteX845" y="connsiteY845"/>
              </a:cxn>
              <a:cxn ang="0">
                <a:pos x="connsiteX846" y="connsiteY846"/>
              </a:cxn>
              <a:cxn ang="0">
                <a:pos x="connsiteX847" y="connsiteY847"/>
              </a:cxn>
              <a:cxn ang="0">
                <a:pos x="connsiteX848" y="connsiteY848"/>
              </a:cxn>
              <a:cxn ang="0">
                <a:pos x="connsiteX849" y="connsiteY849"/>
              </a:cxn>
              <a:cxn ang="0">
                <a:pos x="connsiteX850" y="connsiteY850"/>
              </a:cxn>
              <a:cxn ang="0">
                <a:pos x="connsiteX851" y="connsiteY851"/>
              </a:cxn>
              <a:cxn ang="0">
                <a:pos x="connsiteX852" y="connsiteY852"/>
              </a:cxn>
              <a:cxn ang="0">
                <a:pos x="connsiteX853" y="connsiteY853"/>
              </a:cxn>
              <a:cxn ang="0">
                <a:pos x="connsiteX854" y="connsiteY854"/>
              </a:cxn>
              <a:cxn ang="0">
                <a:pos x="connsiteX855" y="connsiteY855"/>
              </a:cxn>
              <a:cxn ang="0">
                <a:pos x="connsiteX856" y="connsiteY856"/>
              </a:cxn>
              <a:cxn ang="0">
                <a:pos x="connsiteX857" y="connsiteY857"/>
              </a:cxn>
              <a:cxn ang="0">
                <a:pos x="connsiteX858" y="connsiteY858"/>
              </a:cxn>
              <a:cxn ang="0">
                <a:pos x="connsiteX859" y="connsiteY859"/>
              </a:cxn>
              <a:cxn ang="0">
                <a:pos x="connsiteX860" y="connsiteY860"/>
              </a:cxn>
              <a:cxn ang="0">
                <a:pos x="connsiteX861" y="connsiteY861"/>
              </a:cxn>
              <a:cxn ang="0">
                <a:pos x="connsiteX862" y="connsiteY862"/>
              </a:cxn>
              <a:cxn ang="0">
                <a:pos x="connsiteX863" y="connsiteY863"/>
              </a:cxn>
              <a:cxn ang="0">
                <a:pos x="connsiteX864" y="connsiteY864"/>
              </a:cxn>
              <a:cxn ang="0">
                <a:pos x="connsiteX865" y="connsiteY865"/>
              </a:cxn>
              <a:cxn ang="0">
                <a:pos x="connsiteX866" y="connsiteY866"/>
              </a:cxn>
              <a:cxn ang="0">
                <a:pos x="connsiteX867" y="connsiteY867"/>
              </a:cxn>
              <a:cxn ang="0">
                <a:pos x="connsiteX868" y="connsiteY868"/>
              </a:cxn>
              <a:cxn ang="0">
                <a:pos x="connsiteX869" y="connsiteY869"/>
              </a:cxn>
              <a:cxn ang="0">
                <a:pos x="connsiteX870" y="connsiteY870"/>
              </a:cxn>
              <a:cxn ang="0">
                <a:pos x="connsiteX871" y="connsiteY871"/>
              </a:cxn>
              <a:cxn ang="0">
                <a:pos x="connsiteX872" y="connsiteY872"/>
              </a:cxn>
              <a:cxn ang="0">
                <a:pos x="connsiteX873" y="connsiteY873"/>
              </a:cxn>
              <a:cxn ang="0">
                <a:pos x="connsiteX874" y="connsiteY874"/>
              </a:cxn>
              <a:cxn ang="0">
                <a:pos x="connsiteX875" y="connsiteY875"/>
              </a:cxn>
              <a:cxn ang="0">
                <a:pos x="connsiteX876" y="connsiteY876"/>
              </a:cxn>
              <a:cxn ang="0">
                <a:pos x="connsiteX877" y="connsiteY877"/>
              </a:cxn>
              <a:cxn ang="0">
                <a:pos x="connsiteX878" y="connsiteY878"/>
              </a:cxn>
              <a:cxn ang="0">
                <a:pos x="connsiteX879" y="connsiteY879"/>
              </a:cxn>
              <a:cxn ang="0">
                <a:pos x="connsiteX880" y="connsiteY880"/>
              </a:cxn>
              <a:cxn ang="0">
                <a:pos x="connsiteX881" y="connsiteY881"/>
              </a:cxn>
              <a:cxn ang="0">
                <a:pos x="connsiteX882" y="connsiteY882"/>
              </a:cxn>
              <a:cxn ang="0">
                <a:pos x="connsiteX883" y="connsiteY883"/>
              </a:cxn>
              <a:cxn ang="0">
                <a:pos x="connsiteX884" y="connsiteY884"/>
              </a:cxn>
              <a:cxn ang="0">
                <a:pos x="connsiteX885" y="connsiteY885"/>
              </a:cxn>
              <a:cxn ang="0">
                <a:pos x="connsiteX886" y="connsiteY886"/>
              </a:cxn>
              <a:cxn ang="0">
                <a:pos x="connsiteX887" y="connsiteY887"/>
              </a:cxn>
              <a:cxn ang="0">
                <a:pos x="connsiteX888" y="connsiteY888"/>
              </a:cxn>
              <a:cxn ang="0">
                <a:pos x="connsiteX889" y="connsiteY889"/>
              </a:cxn>
              <a:cxn ang="0">
                <a:pos x="connsiteX890" y="connsiteY890"/>
              </a:cxn>
              <a:cxn ang="0">
                <a:pos x="connsiteX891" y="connsiteY891"/>
              </a:cxn>
              <a:cxn ang="0">
                <a:pos x="connsiteX892" y="connsiteY892"/>
              </a:cxn>
              <a:cxn ang="0">
                <a:pos x="connsiteX893" y="connsiteY893"/>
              </a:cxn>
              <a:cxn ang="0">
                <a:pos x="connsiteX894" y="connsiteY894"/>
              </a:cxn>
              <a:cxn ang="0">
                <a:pos x="connsiteX895" y="connsiteY895"/>
              </a:cxn>
              <a:cxn ang="0">
                <a:pos x="connsiteX896" y="connsiteY896"/>
              </a:cxn>
              <a:cxn ang="0">
                <a:pos x="connsiteX897" y="connsiteY897"/>
              </a:cxn>
              <a:cxn ang="0">
                <a:pos x="connsiteX898" y="connsiteY898"/>
              </a:cxn>
              <a:cxn ang="0">
                <a:pos x="connsiteX899" y="connsiteY899"/>
              </a:cxn>
              <a:cxn ang="0">
                <a:pos x="connsiteX900" y="connsiteY900"/>
              </a:cxn>
              <a:cxn ang="0">
                <a:pos x="connsiteX901" y="connsiteY901"/>
              </a:cxn>
              <a:cxn ang="0">
                <a:pos x="connsiteX902" y="connsiteY902"/>
              </a:cxn>
              <a:cxn ang="0">
                <a:pos x="connsiteX903" y="connsiteY903"/>
              </a:cxn>
              <a:cxn ang="0">
                <a:pos x="connsiteX904" y="connsiteY904"/>
              </a:cxn>
              <a:cxn ang="0">
                <a:pos x="connsiteX905" y="connsiteY905"/>
              </a:cxn>
              <a:cxn ang="0">
                <a:pos x="connsiteX906" y="connsiteY906"/>
              </a:cxn>
              <a:cxn ang="0">
                <a:pos x="connsiteX907" y="connsiteY907"/>
              </a:cxn>
              <a:cxn ang="0">
                <a:pos x="connsiteX908" y="connsiteY908"/>
              </a:cxn>
              <a:cxn ang="0">
                <a:pos x="connsiteX909" y="connsiteY909"/>
              </a:cxn>
              <a:cxn ang="0">
                <a:pos x="connsiteX910" y="connsiteY910"/>
              </a:cxn>
              <a:cxn ang="0">
                <a:pos x="connsiteX911" y="connsiteY911"/>
              </a:cxn>
              <a:cxn ang="0">
                <a:pos x="connsiteX912" y="connsiteY912"/>
              </a:cxn>
              <a:cxn ang="0">
                <a:pos x="connsiteX913" y="connsiteY913"/>
              </a:cxn>
              <a:cxn ang="0">
                <a:pos x="connsiteX914" y="connsiteY914"/>
              </a:cxn>
              <a:cxn ang="0">
                <a:pos x="connsiteX915" y="connsiteY915"/>
              </a:cxn>
              <a:cxn ang="0">
                <a:pos x="connsiteX916" y="connsiteY916"/>
              </a:cxn>
              <a:cxn ang="0">
                <a:pos x="connsiteX917" y="connsiteY917"/>
              </a:cxn>
              <a:cxn ang="0">
                <a:pos x="connsiteX918" y="connsiteY918"/>
              </a:cxn>
              <a:cxn ang="0">
                <a:pos x="connsiteX919" y="connsiteY919"/>
              </a:cxn>
              <a:cxn ang="0">
                <a:pos x="connsiteX920" y="connsiteY920"/>
              </a:cxn>
              <a:cxn ang="0">
                <a:pos x="connsiteX921" y="connsiteY921"/>
              </a:cxn>
              <a:cxn ang="0">
                <a:pos x="connsiteX922" y="connsiteY922"/>
              </a:cxn>
              <a:cxn ang="0">
                <a:pos x="connsiteX923" y="connsiteY923"/>
              </a:cxn>
              <a:cxn ang="0">
                <a:pos x="connsiteX924" y="connsiteY924"/>
              </a:cxn>
              <a:cxn ang="0">
                <a:pos x="connsiteX925" y="connsiteY925"/>
              </a:cxn>
              <a:cxn ang="0">
                <a:pos x="connsiteX926" y="connsiteY926"/>
              </a:cxn>
              <a:cxn ang="0">
                <a:pos x="connsiteX927" y="connsiteY927"/>
              </a:cxn>
              <a:cxn ang="0">
                <a:pos x="connsiteX928" y="connsiteY928"/>
              </a:cxn>
              <a:cxn ang="0">
                <a:pos x="connsiteX929" y="connsiteY929"/>
              </a:cxn>
              <a:cxn ang="0">
                <a:pos x="connsiteX930" y="connsiteY930"/>
              </a:cxn>
              <a:cxn ang="0">
                <a:pos x="connsiteX931" y="connsiteY931"/>
              </a:cxn>
              <a:cxn ang="0">
                <a:pos x="connsiteX932" y="connsiteY932"/>
              </a:cxn>
              <a:cxn ang="0">
                <a:pos x="connsiteX933" y="connsiteY933"/>
              </a:cxn>
              <a:cxn ang="0">
                <a:pos x="connsiteX934" y="connsiteY934"/>
              </a:cxn>
              <a:cxn ang="0">
                <a:pos x="connsiteX935" y="connsiteY935"/>
              </a:cxn>
              <a:cxn ang="0">
                <a:pos x="connsiteX936" y="connsiteY936"/>
              </a:cxn>
              <a:cxn ang="0">
                <a:pos x="connsiteX937" y="connsiteY937"/>
              </a:cxn>
              <a:cxn ang="0">
                <a:pos x="connsiteX938" y="connsiteY938"/>
              </a:cxn>
              <a:cxn ang="0">
                <a:pos x="connsiteX939" y="connsiteY939"/>
              </a:cxn>
              <a:cxn ang="0">
                <a:pos x="connsiteX940" y="connsiteY940"/>
              </a:cxn>
              <a:cxn ang="0">
                <a:pos x="connsiteX941" y="connsiteY941"/>
              </a:cxn>
              <a:cxn ang="0">
                <a:pos x="connsiteX942" y="connsiteY942"/>
              </a:cxn>
              <a:cxn ang="0">
                <a:pos x="connsiteX943" y="connsiteY943"/>
              </a:cxn>
              <a:cxn ang="0">
                <a:pos x="connsiteX944" y="connsiteY944"/>
              </a:cxn>
              <a:cxn ang="0">
                <a:pos x="connsiteX945" y="connsiteY945"/>
              </a:cxn>
              <a:cxn ang="0">
                <a:pos x="connsiteX946" y="connsiteY946"/>
              </a:cxn>
              <a:cxn ang="0">
                <a:pos x="connsiteX947" y="connsiteY947"/>
              </a:cxn>
              <a:cxn ang="0">
                <a:pos x="connsiteX948" y="connsiteY948"/>
              </a:cxn>
              <a:cxn ang="0">
                <a:pos x="connsiteX949" y="connsiteY949"/>
              </a:cxn>
              <a:cxn ang="0">
                <a:pos x="connsiteX950" y="connsiteY950"/>
              </a:cxn>
              <a:cxn ang="0">
                <a:pos x="connsiteX951" y="connsiteY951"/>
              </a:cxn>
              <a:cxn ang="0">
                <a:pos x="connsiteX952" y="connsiteY952"/>
              </a:cxn>
              <a:cxn ang="0">
                <a:pos x="connsiteX953" y="connsiteY953"/>
              </a:cxn>
              <a:cxn ang="0">
                <a:pos x="connsiteX954" y="connsiteY954"/>
              </a:cxn>
              <a:cxn ang="0">
                <a:pos x="connsiteX955" y="connsiteY955"/>
              </a:cxn>
              <a:cxn ang="0">
                <a:pos x="connsiteX956" y="connsiteY956"/>
              </a:cxn>
              <a:cxn ang="0">
                <a:pos x="connsiteX957" y="connsiteY957"/>
              </a:cxn>
              <a:cxn ang="0">
                <a:pos x="connsiteX958" y="connsiteY958"/>
              </a:cxn>
              <a:cxn ang="0">
                <a:pos x="connsiteX959" y="connsiteY959"/>
              </a:cxn>
              <a:cxn ang="0">
                <a:pos x="connsiteX960" y="connsiteY960"/>
              </a:cxn>
              <a:cxn ang="0">
                <a:pos x="connsiteX961" y="connsiteY961"/>
              </a:cxn>
              <a:cxn ang="0">
                <a:pos x="connsiteX962" y="connsiteY962"/>
              </a:cxn>
              <a:cxn ang="0">
                <a:pos x="connsiteX963" y="connsiteY963"/>
              </a:cxn>
              <a:cxn ang="0">
                <a:pos x="connsiteX964" y="connsiteY964"/>
              </a:cxn>
              <a:cxn ang="0">
                <a:pos x="connsiteX965" y="connsiteY965"/>
              </a:cxn>
              <a:cxn ang="0">
                <a:pos x="connsiteX966" y="connsiteY966"/>
              </a:cxn>
              <a:cxn ang="0">
                <a:pos x="connsiteX967" y="connsiteY967"/>
              </a:cxn>
              <a:cxn ang="0">
                <a:pos x="connsiteX968" y="connsiteY968"/>
              </a:cxn>
              <a:cxn ang="0">
                <a:pos x="connsiteX969" y="connsiteY969"/>
              </a:cxn>
              <a:cxn ang="0">
                <a:pos x="connsiteX970" y="connsiteY970"/>
              </a:cxn>
              <a:cxn ang="0">
                <a:pos x="connsiteX971" y="connsiteY971"/>
              </a:cxn>
              <a:cxn ang="0">
                <a:pos x="connsiteX972" y="connsiteY972"/>
              </a:cxn>
              <a:cxn ang="0">
                <a:pos x="connsiteX973" y="connsiteY973"/>
              </a:cxn>
              <a:cxn ang="0">
                <a:pos x="connsiteX974" y="connsiteY974"/>
              </a:cxn>
              <a:cxn ang="0">
                <a:pos x="connsiteX975" y="connsiteY975"/>
              </a:cxn>
              <a:cxn ang="0">
                <a:pos x="connsiteX976" y="connsiteY976"/>
              </a:cxn>
              <a:cxn ang="0">
                <a:pos x="connsiteX977" y="connsiteY977"/>
              </a:cxn>
              <a:cxn ang="0">
                <a:pos x="connsiteX978" y="connsiteY978"/>
              </a:cxn>
              <a:cxn ang="0">
                <a:pos x="connsiteX979" y="connsiteY979"/>
              </a:cxn>
              <a:cxn ang="0">
                <a:pos x="connsiteX980" y="connsiteY980"/>
              </a:cxn>
              <a:cxn ang="0">
                <a:pos x="connsiteX981" y="connsiteY981"/>
              </a:cxn>
              <a:cxn ang="0">
                <a:pos x="connsiteX982" y="connsiteY982"/>
              </a:cxn>
              <a:cxn ang="0">
                <a:pos x="connsiteX983" y="connsiteY983"/>
              </a:cxn>
              <a:cxn ang="0">
                <a:pos x="connsiteX984" y="connsiteY984"/>
              </a:cxn>
              <a:cxn ang="0">
                <a:pos x="connsiteX985" y="connsiteY985"/>
              </a:cxn>
              <a:cxn ang="0">
                <a:pos x="connsiteX986" y="connsiteY986"/>
              </a:cxn>
              <a:cxn ang="0">
                <a:pos x="connsiteX987" y="connsiteY987"/>
              </a:cxn>
              <a:cxn ang="0">
                <a:pos x="connsiteX988" y="connsiteY988"/>
              </a:cxn>
              <a:cxn ang="0">
                <a:pos x="connsiteX989" y="connsiteY989"/>
              </a:cxn>
              <a:cxn ang="0">
                <a:pos x="connsiteX990" y="connsiteY990"/>
              </a:cxn>
              <a:cxn ang="0">
                <a:pos x="connsiteX991" y="connsiteY991"/>
              </a:cxn>
              <a:cxn ang="0">
                <a:pos x="connsiteX992" y="connsiteY992"/>
              </a:cxn>
              <a:cxn ang="0">
                <a:pos x="connsiteX993" y="connsiteY993"/>
              </a:cxn>
              <a:cxn ang="0">
                <a:pos x="connsiteX994" y="connsiteY994"/>
              </a:cxn>
              <a:cxn ang="0">
                <a:pos x="connsiteX995" y="connsiteY995"/>
              </a:cxn>
              <a:cxn ang="0">
                <a:pos x="connsiteX996" y="connsiteY996"/>
              </a:cxn>
              <a:cxn ang="0">
                <a:pos x="connsiteX997" y="connsiteY997"/>
              </a:cxn>
              <a:cxn ang="0">
                <a:pos x="connsiteX998" y="connsiteY998"/>
              </a:cxn>
              <a:cxn ang="0">
                <a:pos x="connsiteX999" y="connsiteY999"/>
              </a:cxn>
              <a:cxn ang="0">
                <a:pos x="connsiteX1000" y="connsiteY1000"/>
              </a:cxn>
              <a:cxn ang="0">
                <a:pos x="connsiteX1001" y="connsiteY1001"/>
              </a:cxn>
              <a:cxn ang="0">
                <a:pos x="connsiteX1002" y="connsiteY1002"/>
              </a:cxn>
              <a:cxn ang="0">
                <a:pos x="connsiteX1003" y="connsiteY1003"/>
              </a:cxn>
              <a:cxn ang="0">
                <a:pos x="connsiteX1004" y="connsiteY1004"/>
              </a:cxn>
              <a:cxn ang="0">
                <a:pos x="connsiteX1005" y="connsiteY1005"/>
              </a:cxn>
              <a:cxn ang="0">
                <a:pos x="connsiteX1006" y="connsiteY1006"/>
              </a:cxn>
              <a:cxn ang="0">
                <a:pos x="connsiteX1007" y="connsiteY1007"/>
              </a:cxn>
              <a:cxn ang="0">
                <a:pos x="connsiteX1008" y="connsiteY1008"/>
              </a:cxn>
              <a:cxn ang="0">
                <a:pos x="connsiteX1009" y="connsiteY1009"/>
              </a:cxn>
              <a:cxn ang="0">
                <a:pos x="connsiteX1010" y="connsiteY1010"/>
              </a:cxn>
              <a:cxn ang="0">
                <a:pos x="connsiteX1011" y="connsiteY1011"/>
              </a:cxn>
              <a:cxn ang="0">
                <a:pos x="connsiteX1012" y="connsiteY1012"/>
              </a:cxn>
              <a:cxn ang="0">
                <a:pos x="connsiteX1013" y="connsiteY1013"/>
              </a:cxn>
              <a:cxn ang="0">
                <a:pos x="connsiteX1014" y="connsiteY1014"/>
              </a:cxn>
              <a:cxn ang="0">
                <a:pos x="connsiteX1015" y="connsiteY1015"/>
              </a:cxn>
              <a:cxn ang="0">
                <a:pos x="connsiteX1016" y="connsiteY1016"/>
              </a:cxn>
              <a:cxn ang="0">
                <a:pos x="connsiteX1017" y="connsiteY1017"/>
              </a:cxn>
              <a:cxn ang="0">
                <a:pos x="connsiteX1018" y="connsiteY1018"/>
              </a:cxn>
              <a:cxn ang="0">
                <a:pos x="connsiteX1019" y="connsiteY1019"/>
              </a:cxn>
              <a:cxn ang="0">
                <a:pos x="connsiteX1020" y="connsiteY1020"/>
              </a:cxn>
              <a:cxn ang="0">
                <a:pos x="connsiteX1021" y="connsiteY1021"/>
              </a:cxn>
              <a:cxn ang="0">
                <a:pos x="connsiteX1022" y="connsiteY1022"/>
              </a:cxn>
              <a:cxn ang="0">
                <a:pos x="connsiteX1023" y="connsiteY1023"/>
              </a:cxn>
              <a:cxn ang="0">
                <a:pos x="connsiteX1024" y="connsiteY1024"/>
              </a:cxn>
              <a:cxn ang="0">
                <a:pos x="connsiteX1025" y="connsiteY1025"/>
              </a:cxn>
              <a:cxn ang="0">
                <a:pos x="connsiteX1026" y="connsiteY1026"/>
              </a:cxn>
              <a:cxn ang="0">
                <a:pos x="connsiteX1027" y="connsiteY1027"/>
              </a:cxn>
              <a:cxn ang="0">
                <a:pos x="connsiteX1028" y="connsiteY1028"/>
              </a:cxn>
              <a:cxn ang="0">
                <a:pos x="connsiteX1029" y="connsiteY1029"/>
              </a:cxn>
              <a:cxn ang="0">
                <a:pos x="connsiteX1030" y="connsiteY1030"/>
              </a:cxn>
              <a:cxn ang="0">
                <a:pos x="connsiteX1031" y="connsiteY1031"/>
              </a:cxn>
              <a:cxn ang="0">
                <a:pos x="connsiteX1032" y="connsiteY1032"/>
              </a:cxn>
              <a:cxn ang="0">
                <a:pos x="connsiteX1033" y="connsiteY1033"/>
              </a:cxn>
              <a:cxn ang="0">
                <a:pos x="connsiteX1034" y="connsiteY1034"/>
              </a:cxn>
              <a:cxn ang="0">
                <a:pos x="connsiteX1035" y="connsiteY1035"/>
              </a:cxn>
              <a:cxn ang="0">
                <a:pos x="connsiteX1036" y="connsiteY1036"/>
              </a:cxn>
              <a:cxn ang="0">
                <a:pos x="connsiteX1037" y="connsiteY1037"/>
              </a:cxn>
              <a:cxn ang="0">
                <a:pos x="connsiteX1038" y="connsiteY1038"/>
              </a:cxn>
              <a:cxn ang="0">
                <a:pos x="connsiteX1039" y="connsiteY1039"/>
              </a:cxn>
              <a:cxn ang="0">
                <a:pos x="connsiteX1040" y="connsiteY1040"/>
              </a:cxn>
              <a:cxn ang="0">
                <a:pos x="connsiteX1041" y="connsiteY1041"/>
              </a:cxn>
              <a:cxn ang="0">
                <a:pos x="connsiteX1042" y="connsiteY1042"/>
              </a:cxn>
              <a:cxn ang="0">
                <a:pos x="connsiteX1043" y="connsiteY1043"/>
              </a:cxn>
              <a:cxn ang="0">
                <a:pos x="connsiteX1044" y="connsiteY1044"/>
              </a:cxn>
              <a:cxn ang="0">
                <a:pos x="connsiteX1045" y="connsiteY1045"/>
              </a:cxn>
              <a:cxn ang="0">
                <a:pos x="connsiteX1046" y="connsiteY1046"/>
              </a:cxn>
              <a:cxn ang="0">
                <a:pos x="connsiteX1047" y="connsiteY1047"/>
              </a:cxn>
              <a:cxn ang="0">
                <a:pos x="connsiteX1048" y="connsiteY1048"/>
              </a:cxn>
              <a:cxn ang="0">
                <a:pos x="connsiteX1049" y="connsiteY1049"/>
              </a:cxn>
              <a:cxn ang="0">
                <a:pos x="connsiteX1050" y="connsiteY1050"/>
              </a:cxn>
              <a:cxn ang="0">
                <a:pos x="connsiteX1051" y="connsiteY1051"/>
              </a:cxn>
              <a:cxn ang="0">
                <a:pos x="connsiteX1052" y="connsiteY1052"/>
              </a:cxn>
              <a:cxn ang="0">
                <a:pos x="connsiteX1053" y="connsiteY1053"/>
              </a:cxn>
              <a:cxn ang="0">
                <a:pos x="connsiteX1054" y="connsiteY1054"/>
              </a:cxn>
              <a:cxn ang="0">
                <a:pos x="connsiteX1055" y="connsiteY1055"/>
              </a:cxn>
              <a:cxn ang="0">
                <a:pos x="connsiteX1056" y="connsiteY1056"/>
              </a:cxn>
              <a:cxn ang="0">
                <a:pos x="connsiteX1057" y="connsiteY1057"/>
              </a:cxn>
              <a:cxn ang="0">
                <a:pos x="connsiteX1058" y="connsiteY1058"/>
              </a:cxn>
              <a:cxn ang="0">
                <a:pos x="connsiteX1059" y="connsiteY1059"/>
              </a:cxn>
              <a:cxn ang="0">
                <a:pos x="connsiteX1060" y="connsiteY1060"/>
              </a:cxn>
              <a:cxn ang="0">
                <a:pos x="connsiteX1061" y="connsiteY1061"/>
              </a:cxn>
              <a:cxn ang="0">
                <a:pos x="connsiteX1062" y="connsiteY1062"/>
              </a:cxn>
              <a:cxn ang="0">
                <a:pos x="connsiteX1063" y="connsiteY1063"/>
              </a:cxn>
              <a:cxn ang="0">
                <a:pos x="connsiteX1064" y="connsiteY1064"/>
              </a:cxn>
              <a:cxn ang="0">
                <a:pos x="connsiteX1065" y="connsiteY1065"/>
              </a:cxn>
              <a:cxn ang="0">
                <a:pos x="connsiteX1066" y="connsiteY1066"/>
              </a:cxn>
              <a:cxn ang="0">
                <a:pos x="connsiteX1067" y="connsiteY1067"/>
              </a:cxn>
              <a:cxn ang="0">
                <a:pos x="connsiteX1068" y="connsiteY1068"/>
              </a:cxn>
              <a:cxn ang="0">
                <a:pos x="connsiteX1069" y="connsiteY1069"/>
              </a:cxn>
              <a:cxn ang="0">
                <a:pos x="connsiteX1070" y="connsiteY1070"/>
              </a:cxn>
              <a:cxn ang="0">
                <a:pos x="connsiteX1071" y="connsiteY1071"/>
              </a:cxn>
              <a:cxn ang="0">
                <a:pos x="connsiteX1072" y="connsiteY1072"/>
              </a:cxn>
              <a:cxn ang="0">
                <a:pos x="connsiteX1073" y="connsiteY1073"/>
              </a:cxn>
              <a:cxn ang="0">
                <a:pos x="connsiteX1074" y="connsiteY1074"/>
              </a:cxn>
              <a:cxn ang="0">
                <a:pos x="connsiteX1075" y="connsiteY1075"/>
              </a:cxn>
              <a:cxn ang="0">
                <a:pos x="connsiteX1076" y="connsiteY1076"/>
              </a:cxn>
              <a:cxn ang="0">
                <a:pos x="connsiteX1077" y="connsiteY1077"/>
              </a:cxn>
              <a:cxn ang="0">
                <a:pos x="connsiteX1078" y="connsiteY1078"/>
              </a:cxn>
              <a:cxn ang="0">
                <a:pos x="connsiteX1079" y="connsiteY1079"/>
              </a:cxn>
              <a:cxn ang="0">
                <a:pos x="connsiteX1080" y="connsiteY1080"/>
              </a:cxn>
              <a:cxn ang="0">
                <a:pos x="connsiteX1081" y="connsiteY1081"/>
              </a:cxn>
              <a:cxn ang="0">
                <a:pos x="connsiteX1082" y="connsiteY1082"/>
              </a:cxn>
              <a:cxn ang="0">
                <a:pos x="connsiteX1083" y="connsiteY1083"/>
              </a:cxn>
              <a:cxn ang="0">
                <a:pos x="connsiteX1084" y="connsiteY1084"/>
              </a:cxn>
              <a:cxn ang="0">
                <a:pos x="connsiteX1085" y="connsiteY1085"/>
              </a:cxn>
              <a:cxn ang="0">
                <a:pos x="connsiteX1086" y="connsiteY1086"/>
              </a:cxn>
              <a:cxn ang="0">
                <a:pos x="connsiteX1087" y="connsiteY1087"/>
              </a:cxn>
              <a:cxn ang="0">
                <a:pos x="connsiteX1088" y="connsiteY1088"/>
              </a:cxn>
              <a:cxn ang="0">
                <a:pos x="connsiteX1089" y="connsiteY1089"/>
              </a:cxn>
              <a:cxn ang="0">
                <a:pos x="connsiteX1090" y="connsiteY1090"/>
              </a:cxn>
              <a:cxn ang="0">
                <a:pos x="connsiteX1091" y="connsiteY1091"/>
              </a:cxn>
              <a:cxn ang="0">
                <a:pos x="connsiteX1092" y="connsiteY1092"/>
              </a:cxn>
              <a:cxn ang="0">
                <a:pos x="connsiteX1093" y="connsiteY1093"/>
              </a:cxn>
              <a:cxn ang="0">
                <a:pos x="connsiteX1094" y="connsiteY1094"/>
              </a:cxn>
              <a:cxn ang="0">
                <a:pos x="connsiteX1095" y="connsiteY1095"/>
              </a:cxn>
              <a:cxn ang="0">
                <a:pos x="connsiteX1096" y="connsiteY1096"/>
              </a:cxn>
              <a:cxn ang="0">
                <a:pos x="connsiteX1097" y="connsiteY1097"/>
              </a:cxn>
              <a:cxn ang="0">
                <a:pos x="connsiteX1098" y="connsiteY1098"/>
              </a:cxn>
              <a:cxn ang="0">
                <a:pos x="connsiteX1099" y="connsiteY1099"/>
              </a:cxn>
              <a:cxn ang="0">
                <a:pos x="connsiteX1100" y="connsiteY1100"/>
              </a:cxn>
              <a:cxn ang="0">
                <a:pos x="connsiteX1101" y="connsiteY1101"/>
              </a:cxn>
              <a:cxn ang="0">
                <a:pos x="connsiteX1102" y="connsiteY1102"/>
              </a:cxn>
              <a:cxn ang="0">
                <a:pos x="connsiteX1103" y="connsiteY1103"/>
              </a:cxn>
              <a:cxn ang="0">
                <a:pos x="connsiteX1104" y="connsiteY1104"/>
              </a:cxn>
              <a:cxn ang="0">
                <a:pos x="connsiteX1105" y="connsiteY1105"/>
              </a:cxn>
              <a:cxn ang="0">
                <a:pos x="connsiteX1106" y="connsiteY1106"/>
              </a:cxn>
              <a:cxn ang="0">
                <a:pos x="connsiteX1107" y="connsiteY1107"/>
              </a:cxn>
              <a:cxn ang="0">
                <a:pos x="connsiteX1108" y="connsiteY1108"/>
              </a:cxn>
              <a:cxn ang="0">
                <a:pos x="connsiteX1109" y="connsiteY1109"/>
              </a:cxn>
              <a:cxn ang="0">
                <a:pos x="connsiteX1110" y="connsiteY1110"/>
              </a:cxn>
              <a:cxn ang="0">
                <a:pos x="connsiteX1111" y="connsiteY1111"/>
              </a:cxn>
              <a:cxn ang="0">
                <a:pos x="connsiteX1112" y="connsiteY1112"/>
              </a:cxn>
              <a:cxn ang="0">
                <a:pos x="connsiteX1113" y="connsiteY1113"/>
              </a:cxn>
              <a:cxn ang="0">
                <a:pos x="connsiteX1114" y="connsiteY1114"/>
              </a:cxn>
              <a:cxn ang="0">
                <a:pos x="connsiteX1115" y="connsiteY1115"/>
              </a:cxn>
              <a:cxn ang="0">
                <a:pos x="connsiteX1116" y="connsiteY1116"/>
              </a:cxn>
              <a:cxn ang="0">
                <a:pos x="connsiteX1117" y="connsiteY1117"/>
              </a:cxn>
              <a:cxn ang="0">
                <a:pos x="connsiteX1118" y="connsiteY1118"/>
              </a:cxn>
              <a:cxn ang="0">
                <a:pos x="connsiteX1119" y="connsiteY1119"/>
              </a:cxn>
              <a:cxn ang="0">
                <a:pos x="connsiteX1120" y="connsiteY1120"/>
              </a:cxn>
              <a:cxn ang="0">
                <a:pos x="connsiteX1121" y="connsiteY1121"/>
              </a:cxn>
              <a:cxn ang="0">
                <a:pos x="connsiteX1122" y="connsiteY1122"/>
              </a:cxn>
              <a:cxn ang="0">
                <a:pos x="connsiteX1123" y="connsiteY1123"/>
              </a:cxn>
              <a:cxn ang="0">
                <a:pos x="connsiteX1124" y="connsiteY1124"/>
              </a:cxn>
              <a:cxn ang="0">
                <a:pos x="connsiteX1125" y="connsiteY1125"/>
              </a:cxn>
              <a:cxn ang="0">
                <a:pos x="connsiteX1126" y="connsiteY1126"/>
              </a:cxn>
              <a:cxn ang="0">
                <a:pos x="connsiteX1127" y="connsiteY1127"/>
              </a:cxn>
              <a:cxn ang="0">
                <a:pos x="connsiteX1128" y="connsiteY1128"/>
              </a:cxn>
              <a:cxn ang="0">
                <a:pos x="connsiteX1129" y="connsiteY1129"/>
              </a:cxn>
              <a:cxn ang="0">
                <a:pos x="connsiteX1130" y="connsiteY1130"/>
              </a:cxn>
              <a:cxn ang="0">
                <a:pos x="connsiteX1131" y="connsiteY1131"/>
              </a:cxn>
              <a:cxn ang="0">
                <a:pos x="connsiteX1132" y="connsiteY1132"/>
              </a:cxn>
              <a:cxn ang="0">
                <a:pos x="connsiteX1133" y="connsiteY1133"/>
              </a:cxn>
              <a:cxn ang="0">
                <a:pos x="connsiteX1134" y="connsiteY1134"/>
              </a:cxn>
              <a:cxn ang="0">
                <a:pos x="connsiteX1135" y="connsiteY1135"/>
              </a:cxn>
              <a:cxn ang="0">
                <a:pos x="connsiteX1136" y="connsiteY1136"/>
              </a:cxn>
              <a:cxn ang="0">
                <a:pos x="connsiteX1137" y="connsiteY1137"/>
              </a:cxn>
              <a:cxn ang="0">
                <a:pos x="connsiteX1138" y="connsiteY1138"/>
              </a:cxn>
              <a:cxn ang="0">
                <a:pos x="connsiteX1139" y="connsiteY1139"/>
              </a:cxn>
              <a:cxn ang="0">
                <a:pos x="connsiteX1140" y="connsiteY1140"/>
              </a:cxn>
              <a:cxn ang="0">
                <a:pos x="connsiteX1141" y="connsiteY1141"/>
              </a:cxn>
              <a:cxn ang="0">
                <a:pos x="connsiteX1142" y="connsiteY1142"/>
              </a:cxn>
              <a:cxn ang="0">
                <a:pos x="connsiteX1143" y="connsiteY1143"/>
              </a:cxn>
              <a:cxn ang="0">
                <a:pos x="connsiteX1144" y="connsiteY1144"/>
              </a:cxn>
              <a:cxn ang="0">
                <a:pos x="connsiteX1145" y="connsiteY1145"/>
              </a:cxn>
              <a:cxn ang="0">
                <a:pos x="connsiteX1146" y="connsiteY1146"/>
              </a:cxn>
              <a:cxn ang="0">
                <a:pos x="connsiteX1147" y="connsiteY1147"/>
              </a:cxn>
              <a:cxn ang="0">
                <a:pos x="connsiteX1148" y="connsiteY1148"/>
              </a:cxn>
              <a:cxn ang="0">
                <a:pos x="connsiteX1149" y="connsiteY1149"/>
              </a:cxn>
              <a:cxn ang="0">
                <a:pos x="connsiteX1150" y="connsiteY1150"/>
              </a:cxn>
              <a:cxn ang="0">
                <a:pos x="connsiteX1151" y="connsiteY1151"/>
              </a:cxn>
              <a:cxn ang="0">
                <a:pos x="connsiteX1152" y="connsiteY1152"/>
              </a:cxn>
              <a:cxn ang="0">
                <a:pos x="connsiteX1153" y="connsiteY1153"/>
              </a:cxn>
              <a:cxn ang="0">
                <a:pos x="connsiteX1154" y="connsiteY1154"/>
              </a:cxn>
              <a:cxn ang="0">
                <a:pos x="connsiteX1155" y="connsiteY1155"/>
              </a:cxn>
              <a:cxn ang="0">
                <a:pos x="connsiteX1156" y="connsiteY1156"/>
              </a:cxn>
              <a:cxn ang="0">
                <a:pos x="connsiteX1157" y="connsiteY1157"/>
              </a:cxn>
              <a:cxn ang="0">
                <a:pos x="connsiteX1158" y="connsiteY1158"/>
              </a:cxn>
              <a:cxn ang="0">
                <a:pos x="connsiteX1159" y="connsiteY1159"/>
              </a:cxn>
              <a:cxn ang="0">
                <a:pos x="connsiteX1160" y="connsiteY1160"/>
              </a:cxn>
              <a:cxn ang="0">
                <a:pos x="connsiteX1161" y="connsiteY1161"/>
              </a:cxn>
              <a:cxn ang="0">
                <a:pos x="connsiteX1162" y="connsiteY1162"/>
              </a:cxn>
              <a:cxn ang="0">
                <a:pos x="connsiteX1163" y="connsiteY1163"/>
              </a:cxn>
              <a:cxn ang="0">
                <a:pos x="connsiteX1164" y="connsiteY1164"/>
              </a:cxn>
              <a:cxn ang="0">
                <a:pos x="connsiteX1165" y="connsiteY1165"/>
              </a:cxn>
              <a:cxn ang="0">
                <a:pos x="connsiteX1166" y="connsiteY1166"/>
              </a:cxn>
              <a:cxn ang="0">
                <a:pos x="connsiteX1167" y="connsiteY1167"/>
              </a:cxn>
              <a:cxn ang="0">
                <a:pos x="connsiteX1168" y="connsiteY1168"/>
              </a:cxn>
              <a:cxn ang="0">
                <a:pos x="connsiteX1169" y="connsiteY1169"/>
              </a:cxn>
              <a:cxn ang="0">
                <a:pos x="connsiteX1170" y="connsiteY1170"/>
              </a:cxn>
              <a:cxn ang="0">
                <a:pos x="connsiteX1171" y="connsiteY1171"/>
              </a:cxn>
              <a:cxn ang="0">
                <a:pos x="connsiteX1172" y="connsiteY1172"/>
              </a:cxn>
              <a:cxn ang="0">
                <a:pos x="connsiteX1173" y="connsiteY1173"/>
              </a:cxn>
              <a:cxn ang="0">
                <a:pos x="connsiteX1174" y="connsiteY1174"/>
              </a:cxn>
              <a:cxn ang="0">
                <a:pos x="connsiteX1175" y="connsiteY1175"/>
              </a:cxn>
              <a:cxn ang="0">
                <a:pos x="connsiteX1176" y="connsiteY1176"/>
              </a:cxn>
              <a:cxn ang="0">
                <a:pos x="connsiteX1177" y="connsiteY1177"/>
              </a:cxn>
              <a:cxn ang="0">
                <a:pos x="connsiteX1178" y="connsiteY1178"/>
              </a:cxn>
              <a:cxn ang="0">
                <a:pos x="connsiteX1179" y="connsiteY1179"/>
              </a:cxn>
              <a:cxn ang="0">
                <a:pos x="connsiteX1180" y="connsiteY1180"/>
              </a:cxn>
              <a:cxn ang="0">
                <a:pos x="connsiteX1181" y="connsiteY1181"/>
              </a:cxn>
              <a:cxn ang="0">
                <a:pos x="connsiteX1182" y="connsiteY1182"/>
              </a:cxn>
              <a:cxn ang="0">
                <a:pos x="connsiteX1183" y="connsiteY1183"/>
              </a:cxn>
              <a:cxn ang="0">
                <a:pos x="connsiteX1184" y="connsiteY1184"/>
              </a:cxn>
              <a:cxn ang="0">
                <a:pos x="connsiteX1185" y="connsiteY1185"/>
              </a:cxn>
              <a:cxn ang="0">
                <a:pos x="connsiteX1186" y="connsiteY1186"/>
              </a:cxn>
              <a:cxn ang="0">
                <a:pos x="connsiteX1187" y="connsiteY1187"/>
              </a:cxn>
              <a:cxn ang="0">
                <a:pos x="connsiteX1188" y="connsiteY1188"/>
              </a:cxn>
              <a:cxn ang="0">
                <a:pos x="connsiteX1189" y="connsiteY1189"/>
              </a:cxn>
              <a:cxn ang="0">
                <a:pos x="connsiteX1190" y="connsiteY1190"/>
              </a:cxn>
              <a:cxn ang="0">
                <a:pos x="connsiteX1191" y="connsiteY1191"/>
              </a:cxn>
              <a:cxn ang="0">
                <a:pos x="connsiteX1192" y="connsiteY1192"/>
              </a:cxn>
              <a:cxn ang="0">
                <a:pos x="connsiteX1193" y="connsiteY1193"/>
              </a:cxn>
              <a:cxn ang="0">
                <a:pos x="connsiteX1194" y="connsiteY1194"/>
              </a:cxn>
              <a:cxn ang="0">
                <a:pos x="connsiteX1195" y="connsiteY1195"/>
              </a:cxn>
              <a:cxn ang="0">
                <a:pos x="connsiteX1196" y="connsiteY1196"/>
              </a:cxn>
              <a:cxn ang="0">
                <a:pos x="connsiteX1197" y="connsiteY1197"/>
              </a:cxn>
              <a:cxn ang="0">
                <a:pos x="connsiteX1198" y="connsiteY1198"/>
              </a:cxn>
              <a:cxn ang="0">
                <a:pos x="connsiteX1199" y="connsiteY1199"/>
              </a:cxn>
              <a:cxn ang="0">
                <a:pos x="connsiteX1200" y="connsiteY1200"/>
              </a:cxn>
              <a:cxn ang="0">
                <a:pos x="connsiteX1201" y="connsiteY1201"/>
              </a:cxn>
              <a:cxn ang="0">
                <a:pos x="connsiteX1202" y="connsiteY1202"/>
              </a:cxn>
              <a:cxn ang="0">
                <a:pos x="connsiteX1203" y="connsiteY1203"/>
              </a:cxn>
              <a:cxn ang="0">
                <a:pos x="connsiteX1204" y="connsiteY1204"/>
              </a:cxn>
              <a:cxn ang="0">
                <a:pos x="connsiteX1205" y="connsiteY1205"/>
              </a:cxn>
              <a:cxn ang="0">
                <a:pos x="connsiteX1206" y="connsiteY1206"/>
              </a:cxn>
              <a:cxn ang="0">
                <a:pos x="connsiteX1207" y="connsiteY1207"/>
              </a:cxn>
              <a:cxn ang="0">
                <a:pos x="connsiteX1208" y="connsiteY1208"/>
              </a:cxn>
              <a:cxn ang="0">
                <a:pos x="connsiteX1209" y="connsiteY1209"/>
              </a:cxn>
              <a:cxn ang="0">
                <a:pos x="connsiteX1210" y="connsiteY1210"/>
              </a:cxn>
              <a:cxn ang="0">
                <a:pos x="connsiteX1211" y="connsiteY1211"/>
              </a:cxn>
              <a:cxn ang="0">
                <a:pos x="connsiteX1212" y="connsiteY1212"/>
              </a:cxn>
              <a:cxn ang="0">
                <a:pos x="connsiteX1213" y="connsiteY1213"/>
              </a:cxn>
              <a:cxn ang="0">
                <a:pos x="connsiteX1214" y="connsiteY1214"/>
              </a:cxn>
              <a:cxn ang="0">
                <a:pos x="connsiteX1215" y="connsiteY1215"/>
              </a:cxn>
              <a:cxn ang="0">
                <a:pos x="connsiteX1216" y="connsiteY1216"/>
              </a:cxn>
              <a:cxn ang="0">
                <a:pos x="connsiteX1217" y="connsiteY1217"/>
              </a:cxn>
              <a:cxn ang="0">
                <a:pos x="connsiteX1218" y="connsiteY1218"/>
              </a:cxn>
              <a:cxn ang="0">
                <a:pos x="connsiteX1219" y="connsiteY1219"/>
              </a:cxn>
              <a:cxn ang="0">
                <a:pos x="connsiteX1220" y="connsiteY1220"/>
              </a:cxn>
              <a:cxn ang="0">
                <a:pos x="connsiteX1221" y="connsiteY1221"/>
              </a:cxn>
              <a:cxn ang="0">
                <a:pos x="connsiteX1222" y="connsiteY1222"/>
              </a:cxn>
              <a:cxn ang="0">
                <a:pos x="connsiteX1223" y="connsiteY1223"/>
              </a:cxn>
              <a:cxn ang="0">
                <a:pos x="connsiteX1224" y="connsiteY1224"/>
              </a:cxn>
              <a:cxn ang="0">
                <a:pos x="connsiteX1225" y="connsiteY1225"/>
              </a:cxn>
              <a:cxn ang="0">
                <a:pos x="connsiteX1226" y="connsiteY1226"/>
              </a:cxn>
              <a:cxn ang="0">
                <a:pos x="connsiteX1227" y="connsiteY1227"/>
              </a:cxn>
              <a:cxn ang="0">
                <a:pos x="connsiteX1228" y="connsiteY1228"/>
              </a:cxn>
              <a:cxn ang="0">
                <a:pos x="connsiteX1229" y="connsiteY1229"/>
              </a:cxn>
              <a:cxn ang="0">
                <a:pos x="connsiteX1230" y="connsiteY1230"/>
              </a:cxn>
              <a:cxn ang="0">
                <a:pos x="connsiteX1231" y="connsiteY1231"/>
              </a:cxn>
              <a:cxn ang="0">
                <a:pos x="connsiteX1232" y="connsiteY1232"/>
              </a:cxn>
              <a:cxn ang="0">
                <a:pos x="connsiteX1233" y="connsiteY1233"/>
              </a:cxn>
              <a:cxn ang="0">
                <a:pos x="connsiteX1234" y="connsiteY1234"/>
              </a:cxn>
              <a:cxn ang="0">
                <a:pos x="connsiteX1235" y="connsiteY1235"/>
              </a:cxn>
              <a:cxn ang="0">
                <a:pos x="connsiteX1236" y="connsiteY1236"/>
              </a:cxn>
              <a:cxn ang="0">
                <a:pos x="connsiteX1237" y="connsiteY1237"/>
              </a:cxn>
              <a:cxn ang="0">
                <a:pos x="connsiteX1238" y="connsiteY1238"/>
              </a:cxn>
              <a:cxn ang="0">
                <a:pos x="connsiteX1239" y="connsiteY1239"/>
              </a:cxn>
              <a:cxn ang="0">
                <a:pos x="connsiteX1240" y="connsiteY1240"/>
              </a:cxn>
              <a:cxn ang="0">
                <a:pos x="connsiteX1241" y="connsiteY1241"/>
              </a:cxn>
              <a:cxn ang="0">
                <a:pos x="connsiteX1242" y="connsiteY1242"/>
              </a:cxn>
              <a:cxn ang="0">
                <a:pos x="connsiteX1243" y="connsiteY1243"/>
              </a:cxn>
              <a:cxn ang="0">
                <a:pos x="connsiteX1244" y="connsiteY1244"/>
              </a:cxn>
              <a:cxn ang="0">
                <a:pos x="connsiteX1245" y="connsiteY1245"/>
              </a:cxn>
              <a:cxn ang="0">
                <a:pos x="connsiteX1246" y="connsiteY1246"/>
              </a:cxn>
              <a:cxn ang="0">
                <a:pos x="connsiteX1247" y="connsiteY1247"/>
              </a:cxn>
              <a:cxn ang="0">
                <a:pos x="connsiteX1248" y="connsiteY1248"/>
              </a:cxn>
              <a:cxn ang="0">
                <a:pos x="connsiteX1249" y="connsiteY1249"/>
              </a:cxn>
              <a:cxn ang="0">
                <a:pos x="connsiteX1250" y="connsiteY1250"/>
              </a:cxn>
              <a:cxn ang="0">
                <a:pos x="connsiteX1251" y="connsiteY1251"/>
              </a:cxn>
              <a:cxn ang="0">
                <a:pos x="connsiteX1252" y="connsiteY1252"/>
              </a:cxn>
              <a:cxn ang="0">
                <a:pos x="connsiteX1253" y="connsiteY1253"/>
              </a:cxn>
              <a:cxn ang="0">
                <a:pos x="connsiteX1254" y="connsiteY1254"/>
              </a:cxn>
              <a:cxn ang="0">
                <a:pos x="connsiteX1255" y="connsiteY1255"/>
              </a:cxn>
              <a:cxn ang="0">
                <a:pos x="connsiteX1256" y="connsiteY1256"/>
              </a:cxn>
              <a:cxn ang="0">
                <a:pos x="connsiteX1257" y="connsiteY1257"/>
              </a:cxn>
              <a:cxn ang="0">
                <a:pos x="connsiteX1258" y="connsiteY1258"/>
              </a:cxn>
              <a:cxn ang="0">
                <a:pos x="connsiteX1259" y="connsiteY1259"/>
              </a:cxn>
              <a:cxn ang="0">
                <a:pos x="connsiteX1260" y="connsiteY1260"/>
              </a:cxn>
              <a:cxn ang="0">
                <a:pos x="connsiteX1261" y="connsiteY1261"/>
              </a:cxn>
              <a:cxn ang="0">
                <a:pos x="connsiteX1262" y="connsiteY1262"/>
              </a:cxn>
              <a:cxn ang="0">
                <a:pos x="connsiteX1263" y="connsiteY1263"/>
              </a:cxn>
              <a:cxn ang="0">
                <a:pos x="connsiteX1264" y="connsiteY1264"/>
              </a:cxn>
              <a:cxn ang="0">
                <a:pos x="connsiteX1265" y="connsiteY1265"/>
              </a:cxn>
              <a:cxn ang="0">
                <a:pos x="connsiteX1266" y="connsiteY1266"/>
              </a:cxn>
              <a:cxn ang="0">
                <a:pos x="connsiteX1267" y="connsiteY1267"/>
              </a:cxn>
              <a:cxn ang="0">
                <a:pos x="connsiteX1268" y="connsiteY1268"/>
              </a:cxn>
              <a:cxn ang="0">
                <a:pos x="connsiteX1269" y="connsiteY1269"/>
              </a:cxn>
              <a:cxn ang="0">
                <a:pos x="connsiteX1270" y="connsiteY1270"/>
              </a:cxn>
              <a:cxn ang="0">
                <a:pos x="connsiteX1271" y="connsiteY1271"/>
              </a:cxn>
              <a:cxn ang="0">
                <a:pos x="connsiteX1272" y="connsiteY1272"/>
              </a:cxn>
              <a:cxn ang="0">
                <a:pos x="connsiteX1273" y="connsiteY1273"/>
              </a:cxn>
              <a:cxn ang="0">
                <a:pos x="connsiteX1274" y="connsiteY1274"/>
              </a:cxn>
              <a:cxn ang="0">
                <a:pos x="connsiteX1275" y="connsiteY1275"/>
              </a:cxn>
              <a:cxn ang="0">
                <a:pos x="connsiteX1276" y="connsiteY1276"/>
              </a:cxn>
              <a:cxn ang="0">
                <a:pos x="connsiteX1277" y="connsiteY1277"/>
              </a:cxn>
              <a:cxn ang="0">
                <a:pos x="connsiteX1278" y="connsiteY1278"/>
              </a:cxn>
              <a:cxn ang="0">
                <a:pos x="connsiteX1279" y="connsiteY1279"/>
              </a:cxn>
              <a:cxn ang="0">
                <a:pos x="connsiteX1280" y="connsiteY1280"/>
              </a:cxn>
              <a:cxn ang="0">
                <a:pos x="connsiteX1281" y="connsiteY1281"/>
              </a:cxn>
              <a:cxn ang="0">
                <a:pos x="connsiteX1282" y="connsiteY1282"/>
              </a:cxn>
              <a:cxn ang="0">
                <a:pos x="connsiteX1283" y="connsiteY1283"/>
              </a:cxn>
              <a:cxn ang="0">
                <a:pos x="connsiteX1284" y="connsiteY1284"/>
              </a:cxn>
              <a:cxn ang="0">
                <a:pos x="connsiteX1285" y="connsiteY1285"/>
              </a:cxn>
              <a:cxn ang="0">
                <a:pos x="connsiteX1286" y="connsiteY1286"/>
              </a:cxn>
              <a:cxn ang="0">
                <a:pos x="connsiteX1287" y="connsiteY1287"/>
              </a:cxn>
              <a:cxn ang="0">
                <a:pos x="connsiteX1288" y="connsiteY1288"/>
              </a:cxn>
              <a:cxn ang="0">
                <a:pos x="connsiteX1289" y="connsiteY1289"/>
              </a:cxn>
              <a:cxn ang="0">
                <a:pos x="connsiteX1290" y="connsiteY1290"/>
              </a:cxn>
              <a:cxn ang="0">
                <a:pos x="connsiteX1291" y="connsiteY1291"/>
              </a:cxn>
              <a:cxn ang="0">
                <a:pos x="connsiteX1292" y="connsiteY1292"/>
              </a:cxn>
              <a:cxn ang="0">
                <a:pos x="connsiteX1293" y="connsiteY1293"/>
              </a:cxn>
              <a:cxn ang="0">
                <a:pos x="connsiteX1294" y="connsiteY1294"/>
              </a:cxn>
              <a:cxn ang="0">
                <a:pos x="connsiteX1295" y="connsiteY1295"/>
              </a:cxn>
              <a:cxn ang="0">
                <a:pos x="connsiteX1296" y="connsiteY1296"/>
              </a:cxn>
              <a:cxn ang="0">
                <a:pos x="connsiteX1297" y="connsiteY1297"/>
              </a:cxn>
              <a:cxn ang="0">
                <a:pos x="connsiteX1298" y="connsiteY1298"/>
              </a:cxn>
              <a:cxn ang="0">
                <a:pos x="connsiteX1299" y="connsiteY1299"/>
              </a:cxn>
              <a:cxn ang="0">
                <a:pos x="connsiteX1300" y="connsiteY1300"/>
              </a:cxn>
              <a:cxn ang="0">
                <a:pos x="connsiteX1301" y="connsiteY1301"/>
              </a:cxn>
              <a:cxn ang="0">
                <a:pos x="connsiteX1302" y="connsiteY1302"/>
              </a:cxn>
              <a:cxn ang="0">
                <a:pos x="connsiteX1303" y="connsiteY1303"/>
              </a:cxn>
              <a:cxn ang="0">
                <a:pos x="connsiteX1304" y="connsiteY1304"/>
              </a:cxn>
              <a:cxn ang="0">
                <a:pos x="connsiteX1305" y="connsiteY1305"/>
              </a:cxn>
              <a:cxn ang="0">
                <a:pos x="connsiteX1306" y="connsiteY1306"/>
              </a:cxn>
              <a:cxn ang="0">
                <a:pos x="connsiteX1307" y="connsiteY1307"/>
              </a:cxn>
              <a:cxn ang="0">
                <a:pos x="connsiteX1308" y="connsiteY1308"/>
              </a:cxn>
              <a:cxn ang="0">
                <a:pos x="connsiteX1309" y="connsiteY1309"/>
              </a:cxn>
              <a:cxn ang="0">
                <a:pos x="connsiteX1310" y="connsiteY1310"/>
              </a:cxn>
              <a:cxn ang="0">
                <a:pos x="connsiteX1311" y="connsiteY1311"/>
              </a:cxn>
              <a:cxn ang="0">
                <a:pos x="connsiteX1312" y="connsiteY1312"/>
              </a:cxn>
              <a:cxn ang="0">
                <a:pos x="connsiteX1313" y="connsiteY1313"/>
              </a:cxn>
              <a:cxn ang="0">
                <a:pos x="connsiteX1314" y="connsiteY1314"/>
              </a:cxn>
              <a:cxn ang="0">
                <a:pos x="connsiteX1315" y="connsiteY1315"/>
              </a:cxn>
              <a:cxn ang="0">
                <a:pos x="connsiteX1316" y="connsiteY1316"/>
              </a:cxn>
              <a:cxn ang="0">
                <a:pos x="connsiteX1317" y="connsiteY1317"/>
              </a:cxn>
              <a:cxn ang="0">
                <a:pos x="connsiteX1318" y="connsiteY1318"/>
              </a:cxn>
              <a:cxn ang="0">
                <a:pos x="connsiteX1319" y="connsiteY1319"/>
              </a:cxn>
              <a:cxn ang="0">
                <a:pos x="connsiteX1320" y="connsiteY1320"/>
              </a:cxn>
              <a:cxn ang="0">
                <a:pos x="connsiteX1321" y="connsiteY1321"/>
              </a:cxn>
              <a:cxn ang="0">
                <a:pos x="connsiteX1322" y="connsiteY1322"/>
              </a:cxn>
              <a:cxn ang="0">
                <a:pos x="connsiteX1323" y="connsiteY1323"/>
              </a:cxn>
              <a:cxn ang="0">
                <a:pos x="connsiteX1324" y="connsiteY1324"/>
              </a:cxn>
              <a:cxn ang="0">
                <a:pos x="connsiteX1325" y="connsiteY1325"/>
              </a:cxn>
              <a:cxn ang="0">
                <a:pos x="connsiteX1326" y="connsiteY1326"/>
              </a:cxn>
              <a:cxn ang="0">
                <a:pos x="connsiteX1327" y="connsiteY1327"/>
              </a:cxn>
              <a:cxn ang="0">
                <a:pos x="connsiteX1328" y="connsiteY1328"/>
              </a:cxn>
              <a:cxn ang="0">
                <a:pos x="connsiteX1329" y="connsiteY1329"/>
              </a:cxn>
              <a:cxn ang="0">
                <a:pos x="connsiteX1330" y="connsiteY1330"/>
              </a:cxn>
              <a:cxn ang="0">
                <a:pos x="connsiteX1331" y="connsiteY1331"/>
              </a:cxn>
              <a:cxn ang="0">
                <a:pos x="connsiteX1332" y="connsiteY1332"/>
              </a:cxn>
              <a:cxn ang="0">
                <a:pos x="connsiteX1333" y="connsiteY1333"/>
              </a:cxn>
              <a:cxn ang="0">
                <a:pos x="connsiteX1334" y="connsiteY1334"/>
              </a:cxn>
              <a:cxn ang="0">
                <a:pos x="connsiteX1335" y="connsiteY1335"/>
              </a:cxn>
              <a:cxn ang="0">
                <a:pos x="connsiteX1336" y="connsiteY1336"/>
              </a:cxn>
              <a:cxn ang="0">
                <a:pos x="connsiteX1337" y="connsiteY1337"/>
              </a:cxn>
              <a:cxn ang="0">
                <a:pos x="connsiteX1338" y="connsiteY1338"/>
              </a:cxn>
              <a:cxn ang="0">
                <a:pos x="connsiteX1339" y="connsiteY1339"/>
              </a:cxn>
              <a:cxn ang="0">
                <a:pos x="connsiteX1340" y="connsiteY1340"/>
              </a:cxn>
              <a:cxn ang="0">
                <a:pos x="connsiteX1341" y="connsiteY1341"/>
              </a:cxn>
              <a:cxn ang="0">
                <a:pos x="connsiteX1342" y="connsiteY1342"/>
              </a:cxn>
              <a:cxn ang="0">
                <a:pos x="connsiteX1343" y="connsiteY1343"/>
              </a:cxn>
              <a:cxn ang="0">
                <a:pos x="connsiteX1344" y="connsiteY1344"/>
              </a:cxn>
              <a:cxn ang="0">
                <a:pos x="connsiteX1345" y="connsiteY1345"/>
              </a:cxn>
              <a:cxn ang="0">
                <a:pos x="connsiteX1346" y="connsiteY1346"/>
              </a:cxn>
              <a:cxn ang="0">
                <a:pos x="connsiteX1347" y="connsiteY1347"/>
              </a:cxn>
              <a:cxn ang="0">
                <a:pos x="connsiteX1348" y="connsiteY1348"/>
              </a:cxn>
              <a:cxn ang="0">
                <a:pos x="connsiteX1349" y="connsiteY1349"/>
              </a:cxn>
              <a:cxn ang="0">
                <a:pos x="connsiteX1350" y="connsiteY1350"/>
              </a:cxn>
              <a:cxn ang="0">
                <a:pos x="connsiteX1351" y="connsiteY1351"/>
              </a:cxn>
              <a:cxn ang="0">
                <a:pos x="connsiteX1352" y="connsiteY1352"/>
              </a:cxn>
              <a:cxn ang="0">
                <a:pos x="connsiteX1353" y="connsiteY1353"/>
              </a:cxn>
              <a:cxn ang="0">
                <a:pos x="connsiteX1354" y="connsiteY1354"/>
              </a:cxn>
              <a:cxn ang="0">
                <a:pos x="connsiteX1355" y="connsiteY1355"/>
              </a:cxn>
              <a:cxn ang="0">
                <a:pos x="connsiteX1356" y="connsiteY1356"/>
              </a:cxn>
              <a:cxn ang="0">
                <a:pos x="connsiteX1357" y="connsiteY1357"/>
              </a:cxn>
              <a:cxn ang="0">
                <a:pos x="connsiteX1358" y="connsiteY1358"/>
              </a:cxn>
              <a:cxn ang="0">
                <a:pos x="connsiteX1359" y="connsiteY1359"/>
              </a:cxn>
              <a:cxn ang="0">
                <a:pos x="connsiteX1360" y="connsiteY1360"/>
              </a:cxn>
              <a:cxn ang="0">
                <a:pos x="connsiteX1361" y="connsiteY1361"/>
              </a:cxn>
              <a:cxn ang="0">
                <a:pos x="connsiteX1362" y="connsiteY1362"/>
              </a:cxn>
              <a:cxn ang="0">
                <a:pos x="connsiteX1363" y="connsiteY1363"/>
              </a:cxn>
              <a:cxn ang="0">
                <a:pos x="connsiteX1364" y="connsiteY1364"/>
              </a:cxn>
              <a:cxn ang="0">
                <a:pos x="connsiteX1365" y="connsiteY1365"/>
              </a:cxn>
              <a:cxn ang="0">
                <a:pos x="connsiteX1366" y="connsiteY1366"/>
              </a:cxn>
              <a:cxn ang="0">
                <a:pos x="connsiteX1367" y="connsiteY1367"/>
              </a:cxn>
              <a:cxn ang="0">
                <a:pos x="connsiteX1368" y="connsiteY1368"/>
              </a:cxn>
              <a:cxn ang="0">
                <a:pos x="connsiteX1369" y="connsiteY1369"/>
              </a:cxn>
              <a:cxn ang="0">
                <a:pos x="connsiteX1370" y="connsiteY1370"/>
              </a:cxn>
              <a:cxn ang="0">
                <a:pos x="connsiteX1371" y="connsiteY1371"/>
              </a:cxn>
              <a:cxn ang="0">
                <a:pos x="connsiteX1372" y="connsiteY1372"/>
              </a:cxn>
              <a:cxn ang="0">
                <a:pos x="connsiteX1373" y="connsiteY1373"/>
              </a:cxn>
              <a:cxn ang="0">
                <a:pos x="connsiteX1374" y="connsiteY1374"/>
              </a:cxn>
              <a:cxn ang="0">
                <a:pos x="connsiteX1375" y="connsiteY1375"/>
              </a:cxn>
              <a:cxn ang="0">
                <a:pos x="connsiteX1376" y="connsiteY1376"/>
              </a:cxn>
              <a:cxn ang="0">
                <a:pos x="connsiteX1377" y="connsiteY1377"/>
              </a:cxn>
              <a:cxn ang="0">
                <a:pos x="connsiteX1378" y="connsiteY1378"/>
              </a:cxn>
              <a:cxn ang="0">
                <a:pos x="connsiteX1379" y="connsiteY1379"/>
              </a:cxn>
              <a:cxn ang="0">
                <a:pos x="connsiteX1380" y="connsiteY1380"/>
              </a:cxn>
              <a:cxn ang="0">
                <a:pos x="connsiteX1381" y="connsiteY1381"/>
              </a:cxn>
              <a:cxn ang="0">
                <a:pos x="connsiteX1382" y="connsiteY1382"/>
              </a:cxn>
              <a:cxn ang="0">
                <a:pos x="connsiteX1383" y="connsiteY1383"/>
              </a:cxn>
              <a:cxn ang="0">
                <a:pos x="connsiteX1384" y="connsiteY1384"/>
              </a:cxn>
              <a:cxn ang="0">
                <a:pos x="connsiteX1385" y="connsiteY1385"/>
              </a:cxn>
              <a:cxn ang="0">
                <a:pos x="connsiteX1386" y="connsiteY1386"/>
              </a:cxn>
              <a:cxn ang="0">
                <a:pos x="connsiteX1387" y="connsiteY1387"/>
              </a:cxn>
              <a:cxn ang="0">
                <a:pos x="connsiteX1388" y="connsiteY1388"/>
              </a:cxn>
              <a:cxn ang="0">
                <a:pos x="connsiteX1389" y="connsiteY1389"/>
              </a:cxn>
              <a:cxn ang="0">
                <a:pos x="connsiteX1390" y="connsiteY1390"/>
              </a:cxn>
              <a:cxn ang="0">
                <a:pos x="connsiteX1391" y="connsiteY1391"/>
              </a:cxn>
              <a:cxn ang="0">
                <a:pos x="connsiteX1392" y="connsiteY1392"/>
              </a:cxn>
              <a:cxn ang="0">
                <a:pos x="connsiteX1393" y="connsiteY1393"/>
              </a:cxn>
              <a:cxn ang="0">
                <a:pos x="connsiteX1394" y="connsiteY1394"/>
              </a:cxn>
              <a:cxn ang="0">
                <a:pos x="connsiteX1395" y="connsiteY1395"/>
              </a:cxn>
              <a:cxn ang="0">
                <a:pos x="connsiteX1396" y="connsiteY1396"/>
              </a:cxn>
              <a:cxn ang="0">
                <a:pos x="connsiteX1397" y="connsiteY1397"/>
              </a:cxn>
              <a:cxn ang="0">
                <a:pos x="connsiteX1398" y="connsiteY1398"/>
              </a:cxn>
              <a:cxn ang="0">
                <a:pos x="connsiteX1399" y="connsiteY1399"/>
              </a:cxn>
              <a:cxn ang="0">
                <a:pos x="connsiteX1400" y="connsiteY1400"/>
              </a:cxn>
              <a:cxn ang="0">
                <a:pos x="connsiteX1401" y="connsiteY1401"/>
              </a:cxn>
              <a:cxn ang="0">
                <a:pos x="connsiteX1402" y="connsiteY1402"/>
              </a:cxn>
              <a:cxn ang="0">
                <a:pos x="connsiteX1403" y="connsiteY1403"/>
              </a:cxn>
              <a:cxn ang="0">
                <a:pos x="connsiteX1404" y="connsiteY1404"/>
              </a:cxn>
              <a:cxn ang="0">
                <a:pos x="connsiteX1405" y="connsiteY1405"/>
              </a:cxn>
              <a:cxn ang="0">
                <a:pos x="connsiteX1406" y="connsiteY1406"/>
              </a:cxn>
              <a:cxn ang="0">
                <a:pos x="connsiteX1407" y="connsiteY1407"/>
              </a:cxn>
              <a:cxn ang="0">
                <a:pos x="connsiteX1408" y="connsiteY1408"/>
              </a:cxn>
              <a:cxn ang="0">
                <a:pos x="connsiteX1409" y="connsiteY1409"/>
              </a:cxn>
              <a:cxn ang="0">
                <a:pos x="connsiteX1410" y="connsiteY1410"/>
              </a:cxn>
              <a:cxn ang="0">
                <a:pos x="connsiteX1411" y="connsiteY1411"/>
              </a:cxn>
              <a:cxn ang="0">
                <a:pos x="connsiteX1412" y="connsiteY1412"/>
              </a:cxn>
              <a:cxn ang="0">
                <a:pos x="connsiteX1413" y="connsiteY1413"/>
              </a:cxn>
              <a:cxn ang="0">
                <a:pos x="connsiteX1414" y="connsiteY1414"/>
              </a:cxn>
              <a:cxn ang="0">
                <a:pos x="connsiteX1415" y="connsiteY1415"/>
              </a:cxn>
              <a:cxn ang="0">
                <a:pos x="connsiteX1416" y="connsiteY1416"/>
              </a:cxn>
              <a:cxn ang="0">
                <a:pos x="connsiteX1417" y="connsiteY1417"/>
              </a:cxn>
              <a:cxn ang="0">
                <a:pos x="connsiteX1418" y="connsiteY1418"/>
              </a:cxn>
              <a:cxn ang="0">
                <a:pos x="connsiteX1419" y="connsiteY1419"/>
              </a:cxn>
              <a:cxn ang="0">
                <a:pos x="connsiteX1420" y="connsiteY1420"/>
              </a:cxn>
              <a:cxn ang="0">
                <a:pos x="connsiteX1421" y="connsiteY1421"/>
              </a:cxn>
              <a:cxn ang="0">
                <a:pos x="connsiteX1422" y="connsiteY1422"/>
              </a:cxn>
              <a:cxn ang="0">
                <a:pos x="connsiteX1423" y="connsiteY1423"/>
              </a:cxn>
              <a:cxn ang="0">
                <a:pos x="connsiteX1424" y="connsiteY1424"/>
              </a:cxn>
              <a:cxn ang="0">
                <a:pos x="connsiteX1425" y="connsiteY1425"/>
              </a:cxn>
              <a:cxn ang="0">
                <a:pos x="connsiteX1426" y="connsiteY1426"/>
              </a:cxn>
              <a:cxn ang="0">
                <a:pos x="connsiteX1427" y="connsiteY1427"/>
              </a:cxn>
              <a:cxn ang="0">
                <a:pos x="connsiteX1428" y="connsiteY1428"/>
              </a:cxn>
              <a:cxn ang="0">
                <a:pos x="connsiteX1429" y="connsiteY1429"/>
              </a:cxn>
              <a:cxn ang="0">
                <a:pos x="connsiteX1430" y="connsiteY1430"/>
              </a:cxn>
              <a:cxn ang="0">
                <a:pos x="connsiteX1431" y="connsiteY1431"/>
              </a:cxn>
              <a:cxn ang="0">
                <a:pos x="connsiteX1432" y="connsiteY1432"/>
              </a:cxn>
              <a:cxn ang="0">
                <a:pos x="connsiteX1433" y="connsiteY1433"/>
              </a:cxn>
              <a:cxn ang="0">
                <a:pos x="connsiteX1434" y="connsiteY1434"/>
              </a:cxn>
              <a:cxn ang="0">
                <a:pos x="connsiteX1435" y="connsiteY1435"/>
              </a:cxn>
              <a:cxn ang="0">
                <a:pos x="connsiteX1436" y="connsiteY1436"/>
              </a:cxn>
              <a:cxn ang="0">
                <a:pos x="connsiteX1437" y="connsiteY1437"/>
              </a:cxn>
              <a:cxn ang="0">
                <a:pos x="connsiteX1438" y="connsiteY1438"/>
              </a:cxn>
              <a:cxn ang="0">
                <a:pos x="connsiteX1439" y="connsiteY1439"/>
              </a:cxn>
              <a:cxn ang="0">
                <a:pos x="connsiteX1440" y="connsiteY1440"/>
              </a:cxn>
              <a:cxn ang="0">
                <a:pos x="connsiteX1441" y="connsiteY1441"/>
              </a:cxn>
              <a:cxn ang="0">
                <a:pos x="connsiteX1442" y="connsiteY1442"/>
              </a:cxn>
              <a:cxn ang="0">
                <a:pos x="connsiteX1443" y="connsiteY1443"/>
              </a:cxn>
              <a:cxn ang="0">
                <a:pos x="connsiteX1444" y="connsiteY1444"/>
              </a:cxn>
              <a:cxn ang="0">
                <a:pos x="connsiteX1445" y="connsiteY1445"/>
              </a:cxn>
              <a:cxn ang="0">
                <a:pos x="connsiteX1446" y="connsiteY1446"/>
              </a:cxn>
              <a:cxn ang="0">
                <a:pos x="connsiteX1447" y="connsiteY1447"/>
              </a:cxn>
              <a:cxn ang="0">
                <a:pos x="connsiteX1448" y="connsiteY1448"/>
              </a:cxn>
              <a:cxn ang="0">
                <a:pos x="connsiteX1449" y="connsiteY1449"/>
              </a:cxn>
              <a:cxn ang="0">
                <a:pos x="connsiteX1450" y="connsiteY1450"/>
              </a:cxn>
              <a:cxn ang="0">
                <a:pos x="connsiteX1451" y="connsiteY1451"/>
              </a:cxn>
              <a:cxn ang="0">
                <a:pos x="connsiteX1452" y="connsiteY1452"/>
              </a:cxn>
              <a:cxn ang="0">
                <a:pos x="connsiteX1453" y="connsiteY1453"/>
              </a:cxn>
              <a:cxn ang="0">
                <a:pos x="connsiteX1454" y="connsiteY1454"/>
              </a:cxn>
              <a:cxn ang="0">
                <a:pos x="connsiteX1455" y="connsiteY1455"/>
              </a:cxn>
              <a:cxn ang="0">
                <a:pos x="connsiteX1456" y="connsiteY1456"/>
              </a:cxn>
              <a:cxn ang="0">
                <a:pos x="connsiteX1457" y="connsiteY1457"/>
              </a:cxn>
              <a:cxn ang="0">
                <a:pos x="connsiteX1458" y="connsiteY1458"/>
              </a:cxn>
              <a:cxn ang="0">
                <a:pos x="connsiteX1459" y="connsiteY1459"/>
              </a:cxn>
              <a:cxn ang="0">
                <a:pos x="connsiteX1460" y="connsiteY1460"/>
              </a:cxn>
              <a:cxn ang="0">
                <a:pos x="connsiteX1461" y="connsiteY1461"/>
              </a:cxn>
              <a:cxn ang="0">
                <a:pos x="connsiteX1462" y="connsiteY1462"/>
              </a:cxn>
              <a:cxn ang="0">
                <a:pos x="connsiteX1463" y="connsiteY1463"/>
              </a:cxn>
              <a:cxn ang="0">
                <a:pos x="connsiteX1464" y="connsiteY1464"/>
              </a:cxn>
              <a:cxn ang="0">
                <a:pos x="connsiteX1465" y="connsiteY1465"/>
              </a:cxn>
              <a:cxn ang="0">
                <a:pos x="connsiteX1466" y="connsiteY1466"/>
              </a:cxn>
              <a:cxn ang="0">
                <a:pos x="connsiteX1467" y="connsiteY1467"/>
              </a:cxn>
              <a:cxn ang="0">
                <a:pos x="connsiteX1468" y="connsiteY1468"/>
              </a:cxn>
              <a:cxn ang="0">
                <a:pos x="connsiteX1469" y="connsiteY1469"/>
              </a:cxn>
              <a:cxn ang="0">
                <a:pos x="connsiteX1470" y="connsiteY1470"/>
              </a:cxn>
              <a:cxn ang="0">
                <a:pos x="connsiteX1471" y="connsiteY1471"/>
              </a:cxn>
              <a:cxn ang="0">
                <a:pos x="connsiteX1472" y="connsiteY1472"/>
              </a:cxn>
              <a:cxn ang="0">
                <a:pos x="connsiteX1473" y="connsiteY1473"/>
              </a:cxn>
              <a:cxn ang="0">
                <a:pos x="connsiteX1474" y="connsiteY1474"/>
              </a:cxn>
              <a:cxn ang="0">
                <a:pos x="connsiteX1475" y="connsiteY1475"/>
              </a:cxn>
              <a:cxn ang="0">
                <a:pos x="connsiteX1476" y="connsiteY1476"/>
              </a:cxn>
              <a:cxn ang="0">
                <a:pos x="connsiteX1477" y="connsiteY1477"/>
              </a:cxn>
              <a:cxn ang="0">
                <a:pos x="connsiteX1478" y="connsiteY1478"/>
              </a:cxn>
              <a:cxn ang="0">
                <a:pos x="connsiteX1479" y="connsiteY1479"/>
              </a:cxn>
              <a:cxn ang="0">
                <a:pos x="connsiteX1480" y="connsiteY1480"/>
              </a:cxn>
              <a:cxn ang="0">
                <a:pos x="connsiteX1481" y="connsiteY1481"/>
              </a:cxn>
              <a:cxn ang="0">
                <a:pos x="connsiteX1482" y="connsiteY1482"/>
              </a:cxn>
              <a:cxn ang="0">
                <a:pos x="connsiteX1483" y="connsiteY1483"/>
              </a:cxn>
              <a:cxn ang="0">
                <a:pos x="connsiteX1484" y="connsiteY1484"/>
              </a:cxn>
              <a:cxn ang="0">
                <a:pos x="connsiteX1485" y="connsiteY1485"/>
              </a:cxn>
              <a:cxn ang="0">
                <a:pos x="connsiteX1486" y="connsiteY1486"/>
              </a:cxn>
              <a:cxn ang="0">
                <a:pos x="connsiteX1487" y="connsiteY1487"/>
              </a:cxn>
              <a:cxn ang="0">
                <a:pos x="connsiteX1488" y="connsiteY1488"/>
              </a:cxn>
              <a:cxn ang="0">
                <a:pos x="connsiteX1489" y="connsiteY1489"/>
              </a:cxn>
              <a:cxn ang="0">
                <a:pos x="connsiteX1490" y="connsiteY1490"/>
              </a:cxn>
              <a:cxn ang="0">
                <a:pos x="connsiteX1491" y="connsiteY1491"/>
              </a:cxn>
              <a:cxn ang="0">
                <a:pos x="connsiteX1492" y="connsiteY1492"/>
              </a:cxn>
              <a:cxn ang="0">
                <a:pos x="connsiteX1493" y="connsiteY1493"/>
              </a:cxn>
              <a:cxn ang="0">
                <a:pos x="connsiteX1494" y="connsiteY1494"/>
              </a:cxn>
              <a:cxn ang="0">
                <a:pos x="connsiteX1495" y="connsiteY1495"/>
              </a:cxn>
              <a:cxn ang="0">
                <a:pos x="connsiteX1496" y="connsiteY1496"/>
              </a:cxn>
              <a:cxn ang="0">
                <a:pos x="connsiteX1497" y="connsiteY1497"/>
              </a:cxn>
              <a:cxn ang="0">
                <a:pos x="connsiteX1498" y="connsiteY1498"/>
              </a:cxn>
              <a:cxn ang="0">
                <a:pos x="connsiteX1499" y="connsiteY1499"/>
              </a:cxn>
              <a:cxn ang="0">
                <a:pos x="connsiteX1500" y="connsiteY1500"/>
              </a:cxn>
              <a:cxn ang="0">
                <a:pos x="connsiteX1501" y="connsiteY1501"/>
              </a:cxn>
              <a:cxn ang="0">
                <a:pos x="connsiteX1502" y="connsiteY1502"/>
              </a:cxn>
              <a:cxn ang="0">
                <a:pos x="connsiteX1503" y="connsiteY1503"/>
              </a:cxn>
              <a:cxn ang="0">
                <a:pos x="connsiteX1504" y="connsiteY1504"/>
              </a:cxn>
              <a:cxn ang="0">
                <a:pos x="connsiteX1505" y="connsiteY1505"/>
              </a:cxn>
              <a:cxn ang="0">
                <a:pos x="connsiteX1506" y="connsiteY1506"/>
              </a:cxn>
              <a:cxn ang="0">
                <a:pos x="connsiteX1507" y="connsiteY1507"/>
              </a:cxn>
              <a:cxn ang="0">
                <a:pos x="connsiteX1508" y="connsiteY1508"/>
              </a:cxn>
              <a:cxn ang="0">
                <a:pos x="connsiteX1509" y="connsiteY1509"/>
              </a:cxn>
              <a:cxn ang="0">
                <a:pos x="connsiteX1510" y="connsiteY1510"/>
              </a:cxn>
              <a:cxn ang="0">
                <a:pos x="connsiteX1511" y="connsiteY1511"/>
              </a:cxn>
              <a:cxn ang="0">
                <a:pos x="connsiteX1512" y="connsiteY1512"/>
              </a:cxn>
              <a:cxn ang="0">
                <a:pos x="connsiteX1513" y="connsiteY1513"/>
              </a:cxn>
              <a:cxn ang="0">
                <a:pos x="connsiteX1514" y="connsiteY1514"/>
              </a:cxn>
              <a:cxn ang="0">
                <a:pos x="connsiteX1515" y="connsiteY1515"/>
              </a:cxn>
              <a:cxn ang="0">
                <a:pos x="connsiteX1516" y="connsiteY1516"/>
              </a:cxn>
              <a:cxn ang="0">
                <a:pos x="connsiteX1517" y="connsiteY1517"/>
              </a:cxn>
              <a:cxn ang="0">
                <a:pos x="connsiteX1518" y="connsiteY1518"/>
              </a:cxn>
              <a:cxn ang="0">
                <a:pos x="connsiteX1519" y="connsiteY1519"/>
              </a:cxn>
              <a:cxn ang="0">
                <a:pos x="connsiteX1520" y="connsiteY1520"/>
              </a:cxn>
              <a:cxn ang="0">
                <a:pos x="connsiteX1521" y="connsiteY1521"/>
              </a:cxn>
              <a:cxn ang="0">
                <a:pos x="connsiteX1522" y="connsiteY1522"/>
              </a:cxn>
              <a:cxn ang="0">
                <a:pos x="connsiteX1523" y="connsiteY1523"/>
              </a:cxn>
              <a:cxn ang="0">
                <a:pos x="connsiteX1524" y="connsiteY1524"/>
              </a:cxn>
              <a:cxn ang="0">
                <a:pos x="connsiteX1525" y="connsiteY1525"/>
              </a:cxn>
              <a:cxn ang="0">
                <a:pos x="connsiteX1526" y="connsiteY1526"/>
              </a:cxn>
              <a:cxn ang="0">
                <a:pos x="connsiteX1527" y="connsiteY1527"/>
              </a:cxn>
              <a:cxn ang="0">
                <a:pos x="connsiteX1528" y="connsiteY1528"/>
              </a:cxn>
              <a:cxn ang="0">
                <a:pos x="connsiteX1529" y="connsiteY1529"/>
              </a:cxn>
              <a:cxn ang="0">
                <a:pos x="connsiteX1530" y="connsiteY1530"/>
              </a:cxn>
              <a:cxn ang="0">
                <a:pos x="connsiteX1531" y="connsiteY1531"/>
              </a:cxn>
              <a:cxn ang="0">
                <a:pos x="connsiteX1532" y="connsiteY1532"/>
              </a:cxn>
              <a:cxn ang="0">
                <a:pos x="connsiteX1533" y="connsiteY1533"/>
              </a:cxn>
              <a:cxn ang="0">
                <a:pos x="connsiteX1534" y="connsiteY1534"/>
              </a:cxn>
              <a:cxn ang="0">
                <a:pos x="connsiteX1535" y="connsiteY1535"/>
              </a:cxn>
              <a:cxn ang="0">
                <a:pos x="connsiteX1536" y="connsiteY1536"/>
              </a:cxn>
              <a:cxn ang="0">
                <a:pos x="connsiteX1537" y="connsiteY1537"/>
              </a:cxn>
              <a:cxn ang="0">
                <a:pos x="connsiteX1538" y="connsiteY1538"/>
              </a:cxn>
              <a:cxn ang="0">
                <a:pos x="connsiteX1539" y="connsiteY1539"/>
              </a:cxn>
              <a:cxn ang="0">
                <a:pos x="connsiteX1540" y="connsiteY1540"/>
              </a:cxn>
              <a:cxn ang="0">
                <a:pos x="connsiteX1541" y="connsiteY1541"/>
              </a:cxn>
              <a:cxn ang="0">
                <a:pos x="connsiteX1542" y="connsiteY1542"/>
              </a:cxn>
              <a:cxn ang="0">
                <a:pos x="connsiteX1543" y="connsiteY1543"/>
              </a:cxn>
              <a:cxn ang="0">
                <a:pos x="connsiteX1544" y="connsiteY1544"/>
              </a:cxn>
              <a:cxn ang="0">
                <a:pos x="connsiteX1545" y="connsiteY1545"/>
              </a:cxn>
              <a:cxn ang="0">
                <a:pos x="connsiteX1546" y="connsiteY1546"/>
              </a:cxn>
              <a:cxn ang="0">
                <a:pos x="connsiteX1547" y="connsiteY1547"/>
              </a:cxn>
              <a:cxn ang="0">
                <a:pos x="connsiteX1548" y="connsiteY1548"/>
              </a:cxn>
              <a:cxn ang="0">
                <a:pos x="connsiteX1549" y="connsiteY1549"/>
              </a:cxn>
              <a:cxn ang="0">
                <a:pos x="connsiteX1550" y="connsiteY1550"/>
              </a:cxn>
              <a:cxn ang="0">
                <a:pos x="connsiteX1551" y="connsiteY1551"/>
              </a:cxn>
              <a:cxn ang="0">
                <a:pos x="connsiteX1552" y="connsiteY1552"/>
              </a:cxn>
              <a:cxn ang="0">
                <a:pos x="connsiteX1553" y="connsiteY1553"/>
              </a:cxn>
              <a:cxn ang="0">
                <a:pos x="connsiteX1554" y="connsiteY1554"/>
              </a:cxn>
              <a:cxn ang="0">
                <a:pos x="connsiteX1555" y="connsiteY1555"/>
              </a:cxn>
              <a:cxn ang="0">
                <a:pos x="connsiteX1556" y="connsiteY1556"/>
              </a:cxn>
              <a:cxn ang="0">
                <a:pos x="connsiteX1557" y="connsiteY1557"/>
              </a:cxn>
              <a:cxn ang="0">
                <a:pos x="connsiteX1558" y="connsiteY1558"/>
              </a:cxn>
              <a:cxn ang="0">
                <a:pos x="connsiteX1559" y="connsiteY1559"/>
              </a:cxn>
              <a:cxn ang="0">
                <a:pos x="connsiteX1560" y="connsiteY1560"/>
              </a:cxn>
              <a:cxn ang="0">
                <a:pos x="connsiteX1561" y="connsiteY1561"/>
              </a:cxn>
              <a:cxn ang="0">
                <a:pos x="connsiteX1562" y="connsiteY1562"/>
              </a:cxn>
              <a:cxn ang="0">
                <a:pos x="connsiteX1563" y="connsiteY1563"/>
              </a:cxn>
              <a:cxn ang="0">
                <a:pos x="connsiteX1564" y="connsiteY1564"/>
              </a:cxn>
              <a:cxn ang="0">
                <a:pos x="connsiteX1565" y="connsiteY1565"/>
              </a:cxn>
              <a:cxn ang="0">
                <a:pos x="connsiteX1566" y="connsiteY1566"/>
              </a:cxn>
              <a:cxn ang="0">
                <a:pos x="connsiteX1567" y="connsiteY1567"/>
              </a:cxn>
              <a:cxn ang="0">
                <a:pos x="connsiteX1568" y="connsiteY1568"/>
              </a:cxn>
              <a:cxn ang="0">
                <a:pos x="connsiteX1569" y="connsiteY1569"/>
              </a:cxn>
              <a:cxn ang="0">
                <a:pos x="connsiteX1570" y="connsiteY1570"/>
              </a:cxn>
              <a:cxn ang="0">
                <a:pos x="connsiteX1571" y="connsiteY1571"/>
              </a:cxn>
              <a:cxn ang="0">
                <a:pos x="connsiteX1572" y="connsiteY1572"/>
              </a:cxn>
              <a:cxn ang="0">
                <a:pos x="connsiteX1573" y="connsiteY1573"/>
              </a:cxn>
              <a:cxn ang="0">
                <a:pos x="connsiteX1574" y="connsiteY1574"/>
              </a:cxn>
              <a:cxn ang="0">
                <a:pos x="connsiteX1575" y="connsiteY1575"/>
              </a:cxn>
              <a:cxn ang="0">
                <a:pos x="connsiteX1576" y="connsiteY1576"/>
              </a:cxn>
              <a:cxn ang="0">
                <a:pos x="connsiteX1577" y="connsiteY1577"/>
              </a:cxn>
              <a:cxn ang="0">
                <a:pos x="connsiteX1578" y="connsiteY1578"/>
              </a:cxn>
              <a:cxn ang="0">
                <a:pos x="connsiteX1579" y="connsiteY1579"/>
              </a:cxn>
              <a:cxn ang="0">
                <a:pos x="connsiteX1580" y="connsiteY1580"/>
              </a:cxn>
              <a:cxn ang="0">
                <a:pos x="connsiteX1581" y="connsiteY1581"/>
              </a:cxn>
              <a:cxn ang="0">
                <a:pos x="connsiteX1582" y="connsiteY1582"/>
              </a:cxn>
              <a:cxn ang="0">
                <a:pos x="connsiteX1583" y="connsiteY1583"/>
              </a:cxn>
              <a:cxn ang="0">
                <a:pos x="connsiteX1584" y="connsiteY1584"/>
              </a:cxn>
              <a:cxn ang="0">
                <a:pos x="connsiteX1585" y="connsiteY1585"/>
              </a:cxn>
              <a:cxn ang="0">
                <a:pos x="connsiteX1586" y="connsiteY1586"/>
              </a:cxn>
              <a:cxn ang="0">
                <a:pos x="connsiteX1587" y="connsiteY1587"/>
              </a:cxn>
              <a:cxn ang="0">
                <a:pos x="connsiteX1588" y="connsiteY1588"/>
              </a:cxn>
              <a:cxn ang="0">
                <a:pos x="connsiteX1589" y="connsiteY1589"/>
              </a:cxn>
              <a:cxn ang="0">
                <a:pos x="connsiteX1590" y="connsiteY1590"/>
              </a:cxn>
              <a:cxn ang="0">
                <a:pos x="connsiteX1591" y="connsiteY1591"/>
              </a:cxn>
              <a:cxn ang="0">
                <a:pos x="connsiteX1592" y="connsiteY1592"/>
              </a:cxn>
              <a:cxn ang="0">
                <a:pos x="connsiteX1593" y="connsiteY1593"/>
              </a:cxn>
              <a:cxn ang="0">
                <a:pos x="connsiteX1594" y="connsiteY1594"/>
              </a:cxn>
              <a:cxn ang="0">
                <a:pos x="connsiteX1595" y="connsiteY1595"/>
              </a:cxn>
              <a:cxn ang="0">
                <a:pos x="connsiteX1596" y="connsiteY1596"/>
              </a:cxn>
              <a:cxn ang="0">
                <a:pos x="connsiteX1597" y="connsiteY1597"/>
              </a:cxn>
              <a:cxn ang="0">
                <a:pos x="connsiteX1598" y="connsiteY1598"/>
              </a:cxn>
              <a:cxn ang="0">
                <a:pos x="connsiteX1599" y="connsiteY1599"/>
              </a:cxn>
              <a:cxn ang="0">
                <a:pos x="connsiteX1600" y="connsiteY1600"/>
              </a:cxn>
              <a:cxn ang="0">
                <a:pos x="connsiteX1601" y="connsiteY1601"/>
              </a:cxn>
              <a:cxn ang="0">
                <a:pos x="connsiteX1602" y="connsiteY1602"/>
              </a:cxn>
              <a:cxn ang="0">
                <a:pos x="connsiteX1603" y="connsiteY1603"/>
              </a:cxn>
              <a:cxn ang="0">
                <a:pos x="connsiteX1604" y="connsiteY1604"/>
              </a:cxn>
              <a:cxn ang="0">
                <a:pos x="connsiteX1605" y="connsiteY1605"/>
              </a:cxn>
              <a:cxn ang="0">
                <a:pos x="connsiteX1606" y="connsiteY1606"/>
              </a:cxn>
              <a:cxn ang="0">
                <a:pos x="connsiteX1607" y="connsiteY1607"/>
              </a:cxn>
              <a:cxn ang="0">
                <a:pos x="connsiteX1608" y="connsiteY1608"/>
              </a:cxn>
              <a:cxn ang="0">
                <a:pos x="connsiteX1609" y="connsiteY1609"/>
              </a:cxn>
              <a:cxn ang="0">
                <a:pos x="connsiteX1610" y="connsiteY1610"/>
              </a:cxn>
              <a:cxn ang="0">
                <a:pos x="connsiteX1611" y="connsiteY1611"/>
              </a:cxn>
              <a:cxn ang="0">
                <a:pos x="connsiteX1612" y="connsiteY1612"/>
              </a:cxn>
              <a:cxn ang="0">
                <a:pos x="connsiteX1613" y="connsiteY1613"/>
              </a:cxn>
              <a:cxn ang="0">
                <a:pos x="connsiteX1614" y="connsiteY1614"/>
              </a:cxn>
              <a:cxn ang="0">
                <a:pos x="connsiteX1615" y="connsiteY1615"/>
              </a:cxn>
              <a:cxn ang="0">
                <a:pos x="connsiteX1616" y="connsiteY1616"/>
              </a:cxn>
              <a:cxn ang="0">
                <a:pos x="connsiteX1617" y="connsiteY1617"/>
              </a:cxn>
              <a:cxn ang="0">
                <a:pos x="connsiteX1618" y="connsiteY1618"/>
              </a:cxn>
              <a:cxn ang="0">
                <a:pos x="connsiteX1619" y="connsiteY1619"/>
              </a:cxn>
              <a:cxn ang="0">
                <a:pos x="connsiteX1620" y="connsiteY1620"/>
              </a:cxn>
              <a:cxn ang="0">
                <a:pos x="connsiteX1621" y="connsiteY1621"/>
              </a:cxn>
              <a:cxn ang="0">
                <a:pos x="connsiteX1622" y="connsiteY1622"/>
              </a:cxn>
              <a:cxn ang="0">
                <a:pos x="connsiteX1623" y="connsiteY1623"/>
              </a:cxn>
              <a:cxn ang="0">
                <a:pos x="connsiteX1624" y="connsiteY1624"/>
              </a:cxn>
              <a:cxn ang="0">
                <a:pos x="connsiteX1625" y="connsiteY1625"/>
              </a:cxn>
              <a:cxn ang="0">
                <a:pos x="connsiteX1626" y="connsiteY1626"/>
              </a:cxn>
              <a:cxn ang="0">
                <a:pos x="connsiteX1627" y="connsiteY1627"/>
              </a:cxn>
              <a:cxn ang="0">
                <a:pos x="connsiteX1628" y="connsiteY1628"/>
              </a:cxn>
              <a:cxn ang="0">
                <a:pos x="connsiteX1629" y="connsiteY1629"/>
              </a:cxn>
              <a:cxn ang="0">
                <a:pos x="connsiteX1630" y="connsiteY1630"/>
              </a:cxn>
              <a:cxn ang="0">
                <a:pos x="connsiteX1631" y="connsiteY1631"/>
              </a:cxn>
              <a:cxn ang="0">
                <a:pos x="connsiteX1632" y="connsiteY1632"/>
              </a:cxn>
              <a:cxn ang="0">
                <a:pos x="connsiteX1633" y="connsiteY1633"/>
              </a:cxn>
              <a:cxn ang="0">
                <a:pos x="connsiteX1634" y="connsiteY1634"/>
              </a:cxn>
              <a:cxn ang="0">
                <a:pos x="connsiteX1635" y="connsiteY1635"/>
              </a:cxn>
              <a:cxn ang="0">
                <a:pos x="connsiteX1636" y="connsiteY1636"/>
              </a:cxn>
              <a:cxn ang="0">
                <a:pos x="connsiteX1637" y="connsiteY1637"/>
              </a:cxn>
              <a:cxn ang="0">
                <a:pos x="connsiteX1638" y="connsiteY1638"/>
              </a:cxn>
              <a:cxn ang="0">
                <a:pos x="connsiteX1639" y="connsiteY1639"/>
              </a:cxn>
              <a:cxn ang="0">
                <a:pos x="connsiteX1640" y="connsiteY1640"/>
              </a:cxn>
              <a:cxn ang="0">
                <a:pos x="connsiteX1641" y="connsiteY1641"/>
              </a:cxn>
              <a:cxn ang="0">
                <a:pos x="connsiteX1642" y="connsiteY1642"/>
              </a:cxn>
              <a:cxn ang="0">
                <a:pos x="connsiteX1643" y="connsiteY1643"/>
              </a:cxn>
              <a:cxn ang="0">
                <a:pos x="connsiteX1644" y="connsiteY1644"/>
              </a:cxn>
              <a:cxn ang="0">
                <a:pos x="connsiteX1645" y="connsiteY1645"/>
              </a:cxn>
              <a:cxn ang="0">
                <a:pos x="connsiteX1646" y="connsiteY1646"/>
              </a:cxn>
              <a:cxn ang="0">
                <a:pos x="connsiteX1647" y="connsiteY1647"/>
              </a:cxn>
              <a:cxn ang="0">
                <a:pos x="connsiteX1648" y="connsiteY1648"/>
              </a:cxn>
              <a:cxn ang="0">
                <a:pos x="connsiteX1649" y="connsiteY1649"/>
              </a:cxn>
              <a:cxn ang="0">
                <a:pos x="connsiteX1650" y="connsiteY1650"/>
              </a:cxn>
              <a:cxn ang="0">
                <a:pos x="connsiteX1651" y="connsiteY1651"/>
              </a:cxn>
              <a:cxn ang="0">
                <a:pos x="connsiteX1652" y="connsiteY1652"/>
              </a:cxn>
              <a:cxn ang="0">
                <a:pos x="connsiteX1653" y="connsiteY1653"/>
              </a:cxn>
              <a:cxn ang="0">
                <a:pos x="connsiteX1654" y="connsiteY1654"/>
              </a:cxn>
              <a:cxn ang="0">
                <a:pos x="connsiteX1655" y="connsiteY1655"/>
              </a:cxn>
              <a:cxn ang="0">
                <a:pos x="connsiteX1656" y="connsiteY1656"/>
              </a:cxn>
              <a:cxn ang="0">
                <a:pos x="connsiteX1657" y="connsiteY1657"/>
              </a:cxn>
              <a:cxn ang="0">
                <a:pos x="connsiteX1658" y="connsiteY1658"/>
              </a:cxn>
              <a:cxn ang="0">
                <a:pos x="connsiteX1659" y="connsiteY1659"/>
              </a:cxn>
              <a:cxn ang="0">
                <a:pos x="connsiteX1660" y="connsiteY1660"/>
              </a:cxn>
              <a:cxn ang="0">
                <a:pos x="connsiteX1661" y="connsiteY1661"/>
              </a:cxn>
              <a:cxn ang="0">
                <a:pos x="connsiteX1662" y="connsiteY1662"/>
              </a:cxn>
              <a:cxn ang="0">
                <a:pos x="connsiteX1663" y="connsiteY1663"/>
              </a:cxn>
              <a:cxn ang="0">
                <a:pos x="connsiteX1664" y="connsiteY1664"/>
              </a:cxn>
              <a:cxn ang="0">
                <a:pos x="connsiteX1665" y="connsiteY1665"/>
              </a:cxn>
              <a:cxn ang="0">
                <a:pos x="connsiteX1666" y="connsiteY1666"/>
              </a:cxn>
              <a:cxn ang="0">
                <a:pos x="connsiteX1667" y="connsiteY1667"/>
              </a:cxn>
              <a:cxn ang="0">
                <a:pos x="connsiteX1668" y="connsiteY1668"/>
              </a:cxn>
              <a:cxn ang="0">
                <a:pos x="connsiteX1669" y="connsiteY1669"/>
              </a:cxn>
              <a:cxn ang="0">
                <a:pos x="connsiteX1670" y="connsiteY1670"/>
              </a:cxn>
              <a:cxn ang="0">
                <a:pos x="connsiteX1671" y="connsiteY1671"/>
              </a:cxn>
              <a:cxn ang="0">
                <a:pos x="connsiteX1672" y="connsiteY1672"/>
              </a:cxn>
              <a:cxn ang="0">
                <a:pos x="connsiteX1673" y="connsiteY1673"/>
              </a:cxn>
              <a:cxn ang="0">
                <a:pos x="connsiteX1674" y="connsiteY1674"/>
              </a:cxn>
              <a:cxn ang="0">
                <a:pos x="connsiteX1675" y="connsiteY1675"/>
              </a:cxn>
              <a:cxn ang="0">
                <a:pos x="connsiteX1676" y="connsiteY1676"/>
              </a:cxn>
              <a:cxn ang="0">
                <a:pos x="connsiteX1677" y="connsiteY1677"/>
              </a:cxn>
              <a:cxn ang="0">
                <a:pos x="connsiteX1678" y="connsiteY1678"/>
              </a:cxn>
              <a:cxn ang="0">
                <a:pos x="connsiteX1679" y="connsiteY1679"/>
              </a:cxn>
              <a:cxn ang="0">
                <a:pos x="connsiteX1680" y="connsiteY1680"/>
              </a:cxn>
              <a:cxn ang="0">
                <a:pos x="connsiteX1681" y="connsiteY1681"/>
              </a:cxn>
              <a:cxn ang="0">
                <a:pos x="connsiteX1682" y="connsiteY1682"/>
              </a:cxn>
              <a:cxn ang="0">
                <a:pos x="connsiteX1683" y="connsiteY1683"/>
              </a:cxn>
              <a:cxn ang="0">
                <a:pos x="connsiteX1684" y="connsiteY1684"/>
              </a:cxn>
              <a:cxn ang="0">
                <a:pos x="connsiteX1685" y="connsiteY1685"/>
              </a:cxn>
              <a:cxn ang="0">
                <a:pos x="connsiteX1686" y="connsiteY1686"/>
              </a:cxn>
              <a:cxn ang="0">
                <a:pos x="connsiteX1687" y="connsiteY1687"/>
              </a:cxn>
              <a:cxn ang="0">
                <a:pos x="connsiteX1688" y="connsiteY1688"/>
              </a:cxn>
              <a:cxn ang="0">
                <a:pos x="connsiteX1689" y="connsiteY1689"/>
              </a:cxn>
              <a:cxn ang="0">
                <a:pos x="connsiteX1690" y="connsiteY1690"/>
              </a:cxn>
              <a:cxn ang="0">
                <a:pos x="connsiteX1691" y="connsiteY1691"/>
              </a:cxn>
              <a:cxn ang="0">
                <a:pos x="connsiteX1692" y="connsiteY1692"/>
              </a:cxn>
              <a:cxn ang="0">
                <a:pos x="connsiteX1693" y="connsiteY1693"/>
              </a:cxn>
              <a:cxn ang="0">
                <a:pos x="connsiteX1694" y="connsiteY1694"/>
              </a:cxn>
              <a:cxn ang="0">
                <a:pos x="connsiteX1695" y="connsiteY1695"/>
              </a:cxn>
              <a:cxn ang="0">
                <a:pos x="connsiteX1696" y="connsiteY1696"/>
              </a:cxn>
              <a:cxn ang="0">
                <a:pos x="connsiteX1697" y="connsiteY1697"/>
              </a:cxn>
              <a:cxn ang="0">
                <a:pos x="connsiteX1698" y="connsiteY1698"/>
              </a:cxn>
              <a:cxn ang="0">
                <a:pos x="connsiteX1699" y="connsiteY1699"/>
              </a:cxn>
              <a:cxn ang="0">
                <a:pos x="connsiteX1700" y="connsiteY1700"/>
              </a:cxn>
              <a:cxn ang="0">
                <a:pos x="connsiteX1701" y="connsiteY1701"/>
              </a:cxn>
              <a:cxn ang="0">
                <a:pos x="connsiteX1702" y="connsiteY1702"/>
              </a:cxn>
              <a:cxn ang="0">
                <a:pos x="connsiteX1703" y="connsiteY1703"/>
              </a:cxn>
              <a:cxn ang="0">
                <a:pos x="connsiteX1704" y="connsiteY1704"/>
              </a:cxn>
              <a:cxn ang="0">
                <a:pos x="connsiteX1705" y="connsiteY1705"/>
              </a:cxn>
              <a:cxn ang="0">
                <a:pos x="connsiteX1706" y="connsiteY1706"/>
              </a:cxn>
              <a:cxn ang="0">
                <a:pos x="connsiteX1707" y="connsiteY1707"/>
              </a:cxn>
              <a:cxn ang="0">
                <a:pos x="connsiteX1708" y="connsiteY1708"/>
              </a:cxn>
              <a:cxn ang="0">
                <a:pos x="connsiteX1709" y="connsiteY1709"/>
              </a:cxn>
              <a:cxn ang="0">
                <a:pos x="connsiteX1710" y="connsiteY1710"/>
              </a:cxn>
              <a:cxn ang="0">
                <a:pos x="connsiteX1711" y="connsiteY1711"/>
              </a:cxn>
              <a:cxn ang="0">
                <a:pos x="connsiteX1712" y="connsiteY1712"/>
              </a:cxn>
              <a:cxn ang="0">
                <a:pos x="connsiteX1713" y="connsiteY1713"/>
              </a:cxn>
              <a:cxn ang="0">
                <a:pos x="connsiteX1714" y="connsiteY1714"/>
              </a:cxn>
              <a:cxn ang="0">
                <a:pos x="connsiteX1715" y="connsiteY1715"/>
              </a:cxn>
              <a:cxn ang="0">
                <a:pos x="connsiteX1716" y="connsiteY1716"/>
              </a:cxn>
              <a:cxn ang="0">
                <a:pos x="connsiteX1717" y="connsiteY1717"/>
              </a:cxn>
              <a:cxn ang="0">
                <a:pos x="connsiteX1718" y="connsiteY1718"/>
              </a:cxn>
              <a:cxn ang="0">
                <a:pos x="connsiteX1719" y="connsiteY1719"/>
              </a:cxn>
              <a:cxn ang="0">
                <a:pos x="connsiteX1720" y="connsiteY1720"/>
              </a:cxn>
              <a:cxn ang="0">
                <a:pos x="connsiteX1721" y="connsiteY1721"/>
              </a:cxn>
              <a:cxn ang="0">
                <a:pos x="connsiteX1722" y="connsiteY1722"/>
              </a:cxn>
              <a:cxn ang="0">
                <a:pos x="connsiteX1723" y="connsiteY1723"/>
              </a:cxn>
              <a:cxn ang="0">
                <a:pos x="connsiteX1724" y="connsiteY1724"/>
              </a:cxn>
              <a:cxn ang="0">
                <a:pos x="connsiteX1725" y="connsiteY1725"/>
              </a:cxn>
              <a:cxn ang="0">
                <a:pos x="connsiteX1726" y="connsiteY1726"/>
              </a:cxn>
              <a:cxn ang="0">
                <a:pos x="connsiteX1727" y="connsiteY1727"/>
              </a:cxn>
              <a:cxn ang="0">
                <a:pos x="connsiteX1728" y="connsiteY1728"/>
              </a:cxn>
              <a:cxn ang="0">
                <a:pos x="connsiteX1729" y="connsiteY1729"/>
              </a:cxn>
              <a:cxn ang="0">
                <a:pos x="connsiteX1730" y="connsiteY1730"/>
              </a:cxn>
              <a:cxn ang="0">
                <a:pos x="connsiteX1731" y="connsiteY1731"/>
              </a:cxn>
              <a:cxn ang="0">
                <a:pos x="connsiteX1732" y="connsiteY1732"/>
              </a:cxn>
              <a:cxn ang="0">
                <a:pos x="connsiteX1733" y="connsiteY1733"/>
              </a:cxn>
              <a:cxn ang="0">
                <a:pos x="connsiteX1734" y="connsiteY1734"/>
              </a:cxn>
              <a:cxn ang="0">
                <a:pos x="connsiteX1735" y="connsiteY1735"/>
              </a:cxn>
              <a:cxn ang="0">
                <a:pos x="connsiteX1736" y="connsiteY1736"/>
              </a:cxn>
              <a:cxn ang="0">
                <a:pos x="connsiteX1737" y="connsiteY1737"/>
              </a:cxn>
              <a:cxn ang="0">
                <a:pos x="connsiteX1738" y="connsiteY1738"/>
              </a:cxn>
              <a:cxn ang="0">
                <a:pos x="connsiteX1739" y="connsiteY1739"/>
              </a:cxn>
              <a:cxn ang="0">
                <a:pos x="connsiteX1740" y="connsiteY1740"/>
              </a:cxn>
              <a:cxn ang="0">
                <a:pos x="connsiteX1741" y="connsiteY1741"/>
              </a:cxn>
              <a:cxn ang="0">
                <a:pos x="connsiteX1742" y="connsiteY1742"/>
              </a:cxn>
              <a:cxn ang="0">
                <a:pos x="connsiteX1743" y="connsiteY1743"/>
              </a:cxn>
              <a:cxn ang="0">
                <a:pos x="connsiteX1744" y="connsiteY1744"/>
              </a:cxn>
              <a:cxn ang="0">
                <a:pos x="connsiteX1745" y="connsiteY1745"/>
              </a:cxn>
              <a:cxn ang="0">
                <a:pos x="connsiteX1746" y="connsiteY1746"/>
              </a:cxn>
              <a:cxn ang="0">
                <a:pos x="connsiteX1747" y="connsiteY1747"/>
              </a:cxn>
              <a:cxn ang="0">
                <a:pos x="connsiteX1748" y="connsiteY1748"/>
              </a:cxn>
              <a:cxn ang="0">
                <a:pos x="connsiteX1749" y="connsiteY1749"/>
              </a:cxn>
              <a:cxn ang="0">
                <a:pos x="connsiteX1750" y="connsiteY1750"/>
              </a:cxn>
              <a:cxn ang="0">
                <a:pos x="connsiteX1751" y="connsiteY1751"/>
              </a:cxn>
              <a:cxn ang="0">
                <a:pos x="connsiteX1752" y="connsiteY1752"/>
              </a:cxn>
              <a:cxn ang="0">
                <a:pos x="connsiteX1753" y="connsiteY1753"/>
              </a:cxn>
              <a:cxn ang="0">
                <a:pos x="connsiteX1754" y="connsiteY1754"/>
              </a:cxn>
              <a:cxn ang="0">
                <a:pos x="connsiteX1755" y="connsiteY1755"/>
              </a:cxn>
              <a:cxn ang="0">
                <a:pos x="connsiteX1756" y="connsiteY1756"/>
              </a:cxn>
              <a:cxn ang="0">
                <a:pos x="connsiteX1757" y="connsiteY1757"/>
              </a:cxn>
              <a:cxn ang="0">
                <a:pos x="connsiteX1758" y="connsiteY1758"/>
              </a:cxn>
              <a:cxn ang="0">
                <a:pos x="connsiteX1759" y="connsiteY1759"/>
              </a:cxn>
              <a:cxn ang="0">
                <a:pos x="connsiteX1760" y="connsiteY1760"/>
              </a:cxn>
              <a:cxn ang="0">
                <a:pos x="connsiteX1761" y="connsiteY1761"/>
              </a:cxn>
              <a:cxn ang="0">
                <a:pos x="connsiteX1762" y="connsiteY1762"/>
              </a:cxn>
              <a:cxn ang="0">
                <a:pos x="connsiteX1763" y="connsiteY1763"/>
              </a:cxn>
              <a:cxn ang="0">
                <a:pos x="connsiteX1764" y="connsiteY1764"/>
              </a:cxn>
              <a:cxn ang="0">
                <a:pos x="connsiteX1765" y="connsiteY1765"/>
              </a:cxn>
              <a:cxn ang="0">
                <a:pos x="connsiteX1766" y="connsiteY1766"/>
              </a:cxn>
              <a:cxn ang="0">
                <a:pos x="connsiteX1767" y="connsiteY1767"/>
              </a:cxn>
              <a:cxn ang="0">
                <a:pos x="connsiteX1768" y="connsiteY1768"/>
              </a:cxn>
              <a:cxn ang="0">
                <a:pos x="connsiteX1769" y="connsiteY1769"/>
              </a:cxn>
              <a:cxn ang="0">
                <a:pos x="connsiteX1770" y="connsiteY1770"/>
              </a:cxn>
              <a:cxn ang="0">
                <a:pos x="connsiteX1771" y="connsiteY1771"/>
              </a:cxn>
              <a:cxn ang="0">
                <a:pos x="connsiteX1772" y="connsiteY1772"/>
              </a:cxn>
              <a:cxn ang="0">
                <a:pos x="connsiteX1773" y="connsiteY1773"/>
              </a:cxn>
              <a:cxn ang="0">
                <a:pos x="connsiteX1774" y="connsiteY1774"/>
              </a:cxn>
              <a:cxn ang="0">
                <a:pos x="connsiteX1775" y="connsiteY1775"/>
              </a:cxn>
              <a:cxn ang="0">
                <a:pos x="connsiteX1776" y="connsiteY1776"/>
              </a:cxn>
              <a:cxn ang="0">
                <a:pos x="connsiteX1777" y="connsiteY1777"/>
              </a:cxn>
              <a:cxn ang="0">
                <a:pos x="connsiteX1778" y="connsiteY1778"/>
              </a:cxn>
              <a:cxn ang="0">
                <a:pos x="connsiteX1779" y="connsiteY1779"/>
              </a:cxn>
              <a:cxn ang="0">
                <a:pos x="connsiteX1780" y="connsiteY1780"/>
              </a:cxn>
              <a:cxn ang="0">
                <a:pos x="connsiteX1781" y="connsiteY1781"/>
              </a:cxn>
              <a:cxn ang="0">
                <a:pos x="connsiteX1782" y="connsiteY1782"/>
              </a:cxn>
              <a:cxn ang="0">
                <a:pos x="connsiteX1783" y="connsiteY1783"/>
              </a:cxn>
              <a:cxn ang="0">
                <a:pos x="connsiteX1784" y="connsiteY1784"/>
              </a:cxn>
              <a:cxn ang="0">
                <a:pos x="connsiteX1785" y="connsiteY1785"/>
              </a:cxn>
              <a:cxn ang="0">
                <a:pos x="connsiteX1786" y="connsiteY1786"/>
              </a:cxn>
              <a:cxn ang="0">
                <a:pos x="connsiteX1787" y="connsiteY1787"/>
              </a:cxn>
              <a:cxn ang="0">
                <a:pos x="connsiteX1788" y="connsiteY1788"/>
              </a:cxn>
              <a:cxn ang="0">
                <a:pos x="connsiteX1789" y="connsiteY1789"/>
              </a:cxn>
              <a:cxn ang="0">
                <a:pos x="connsiteX1790" y="connsiteY1790"/>
              </a:cxn>
              <a:cxn ang="0">
                <a:pos x="connsiteX1791" y="connsiteY1791"/>
              </a:cxn>
              <a:cxn ang="0">
                <a:pos x="connsiteX1792" y="connsiteY1792"/>
              </a:cxn>
              <a:cxn ang="0">
                <a:pos x="connsiteX1793" y="connsiteY1793"/>
              </a:cxn>
              <a:cxn ang="0">
                <a:pos x="connsiteX1794" y="connsiteY1794"/>
              </a:cxn>
              <a:cxn ang="0">
                <a:pos x="connsiteX1795" y="connsiteY1795"/>
              </a:cxn>
              <a:cxn ang="0">
                <a:pos x="connsiteX1796" y="connsiteY1796"/>
              </a:cxn>
              <a:cxn ang="0">
                <a:pos x="connsiteX1797" y="connsiteY1797"/>
              </a:cxn>
              <a:cxn ang="0">
                <a:pos x="connsiteX1798" y="connsiteY1798"/>
              </a:cxn>
              <a:cxn ang="0">
                <a:pos x="connsiteX1799" y="connsiteY1799"/>
              </a:cxn>
              <a:cxn ang="0">
                <a:pos x="connsiteX1800" y="connsiteY1800"/>
              </a:cxn>
              <a:cxn ang="0">
                <a:pos x="connsiteX1801" y="connsiteY1801"/>
              </a:cxn>
              <a:cxn ang="0">
                <a:pos x="connsiteX1802" y="connsiteY1802"/>
              </a:cxn>
              <a:cxn ang="0">
                <a:pos x="connsiteX1803" y="connsiteY1803"/>
              </a:cxn>
              <a:cxn ang="0">
                <a:pos x="connsiteX1804" y="connsiteY1804"/>
              </a:cxn>
              <a:cxn ang="0">
                <a:pos x="connsiteX1805" y="connsiteY1805"/>
              </a:cxn>
              <a:cxn ang="0">
                <a:pos x="connsiteX1806" y="connsiteY1806"/>
              </a:cxn>
              <a:cxn ang="0">
                <a:pos x="connsiteX1807" y="connsiteY1807"/>
              </a:cxn>
              <a:cxn ang="0">
                <a:pos x="connsiteX1808" y="connsiteY1808"/>
              </a:cxn>
              <a:cxn ang="0">
                <a:pos x="connsiteX1809" y="connsiteY1809"/>
              </a:cxn>
              <a:cxn ang="0">
                <a:pos x="connsiteX1810" y="connsiteY1810"/>
              </a:cxn>
              <a:cxn ang="0">
                <a:pos x="connsiteX1811" y="connsiteY1811"/>
              </a:cxn>
              <a:cxn ang="0">
                <a:pos x="connsiteX1812" y="connsiteY1812"/>
              </a:cxn>
              <a:cxn ang="0">
                <a:pos x="connsiteX1813" y="connsiteY1813"/>
              </a:cxn>
              <a:cxn ang="0">
                <a:pos x="connsiteX1814" y="connsiteY1814"/>
              </a:cxn>
              <a:cxn ang="0">
                <a:pos x="connsiteX1815" y="connsiteY1815"/>
              </a:cxn>
              <a:cxn ang="0">
                <a:pos x="connsiteX1816" y="connsiteY1816"/>
              </a:cxn>
              <a:cxn ang="0">
                <a:pos x="connsiteX1817" y="connsiteY1817"/>
              </a:cxn>
              <a:cxn ang="0">
                <a:pos x="connsiteX1818" y="connsiteY1818"/>
              </a:cxn>
              <a:cxn ang="0">
                <a:pos x="connsiteX1819" y="connsiteY1819"/>
              </a:cxn>
              <a:cxn ang="0">
                <a:pos x="connsiteX1820" y="connsiteY1820"/>
              </a:cxn>
              <a:cxn ang="0">
                <a:pos x="connsiteX1821" y="connsiteY1821"/>
              </a:cxn>
              <a:cxn ang="0">
                <a:pos x="connsiteX1822" y="connsiteY1822"/>
              </a:cxn>
              <a:cxn ang="0">
                <a:pos x="connsiteX1823" y="connsiteY1823"/>
              </a:cxn>
              <a:cxn ang="0">
                <a:pos x="connsiteX1824" y="connsiteY1824"/>
              </a:cxn>
              <a:cxn ang="0">
                <a:pos x="connsiteX1825" y="connsiteY1825"/>
              </a:cxn>
              <a:cxn ang="0">
                <a:pos x="connsiteX1826" y="connsiteY1826"/>
              </a:cxn>
              <a:cxn ang="0">
                <a:pos x="connsiteX1827" y="connsiteY1827"/>
              </a:cxn>
              <a:cxn ang="0">
                <a:pos x="connsiteX1828" y="connsiteY1828"/>
              </a:cxn>
              <a:cxn ang="0">
                <a:pos x="connsiteX1829" y="connsiteY1829"/>
              </a:cxn>
              <a:cxn ang="0">
                <a:pos x="connsiteX1830" y="connsiteY1830"/>
              </a:cxn>
              <a:cxn ang="0">
                <a:pos x="connsiteX1831" y="connsiteY1831"/>
              </a:cxn>
              <a:cxn ang="0">
                <a:pos x="connsiteX1832" y="connsiteY1832"/>
              </a:cxn>
              <a:cxn ang="0">
                <a:pos x="connsiteX1833" y="connsiteY1833"/>
              </a:cxn>
              <a:cxn ang="0">
                <a:pos x="connsiteX1834" y="connsiteY1834"/>
              </a:cxn>
              <a:cxn ang="0">
                <a:pos x="connsiteX1835" y="connsiteY1835"/>
              </a:cxn>
              <a:cxn ang="0">
                <a:pos x="connsiteX1836" y="connsiteY1836"/>
              </a:cxn>
              <a:cxn ang="0">
                <a:pos x="connsiteX1837" y="connsiteY1837"/>
              </a:cxn>
              <a:cxn ang="0">
                <a:pos x="connsiteX1838" y="connsiteY1838"/>
              </a:cxn>
              <a:cxn ang="0">
                <a:pos x="connsiteX1839" y="connsiteY1839"/>
              </a:cxn>
              <a:cxn ang="0">
                <a:pos x="connsiteX1840" y="connsiteY1840"/>
              </a:cxn>
              <a:cxn ang="0">
                <a:pos x="connsiteX1841" y="connsiteY1841"/>
              </a:cxn>
              <a:cxn ang="0">
                <a:pos x="connsiteX1842" y="connsiteY1842"/>
              </a:cxn>
              <a:cxn ang="0">
                <a:pos x="connsiteX1843" y="connsiteY1843"/>
              </a:cxn>
              <a:cxn ang="0">
                <a:pos x="connsiteX1844" y="connsiteY1844"/>
              </a:cxn>
              <a:cxn ang="0">
                <a:pos x="connsiteX1845" y="connsiteY1845"/>
              </a:cxn>
              <a:cxn ang="0">
                <a:pos x="connsiteX1846" y="connsiteY1846"/>
              </a:cxn>
              <a:cxn ang="0">
                <a:pos x="connsiteX1847" y="connsiteY1847"/>
              </a:cxn>
              <a:cxn ang="0">
                <a:pos x="connsiteX1848" y="connsiteY1848"/>
              </a:cxn>
              <a:cxn ang="0">
                <a:pos x="connsiteX1849" y="connsiteY1849"/>
              </a:cxn>
              <a:cxn ang="0">
                <a:pos x="connsiteX1850" y="connsiteY1850"/>
              </a:cxn>
              <a:cxn ang="0">
                <a:pos x="connsiteX1851" y="connsiteY1851"/>
              </a:cxn>
              <a:cxn ang="0">
                <a:pos x="connsiteX1852" y="connsiteY1852"/>
              </a:cxn>
              <a:cxn ang="0">
                <a:pos x="connsiteX1853" y="connsiteY1853"/>
              </a:cxn>
              <a:cxn ang="0">
                <a:pos x="connsiteX1854" y="connsiteY1854"/>
              </a:cxn>
              <a:cxn ang="0">
                <a:pos x="connsiteX1855" y="connsiteY1855"/>
              </a:cxn>
              <a:cxn ang="0">
                <a:pos x="connsiteX1856" y="connsiteY1856"/>
              </a:cxn>
              <a:cxn ang="0">
                <a:pos x="connsiteX1857" y="connsiteY1857"/>
              </a:cxn>
              <a:cxn ang="0">
                <a:pos x="connsiteX1858" y="connsiteY1858"/>
              </a:cxn>
              <a:cxn ang="0">
                <a:pos x="connsiteX1859" y="connsiteY1859"/>
              </a:cxn>
              <a:cxn ang="0">
                <a:pos x="connsiteX1860" y="connsiteY1860"/>
              </a:cxn>
              <a:cxn ang="0">
                <a:pos x="connsiteX1861" y="connsiteY1861"/>
              </a:cxn>
              <a:cxn ang="0">
                <a:pos x="connsiteX1862" y="connsiteY1862"/>
              </a:cxn>
              <a:cxn ang="0">
                <a:pos x="connsiteX1863" y="connsiteY1863"/>
              </a:cxn>
              <a:cxn ang="0">
                <a:pos x="connsiteX1864" y="connsiteY1864"/>
              </a:cxn>
              <a:cxn ang="0">
                <a:pos x="connsiteX1865" y="connsiteY1865"/>
              </a:cxn>
              <a:cxn ang="0">
                <a:pos x="connsiteX1866" y="connsiteY1866"/>
              </a:cxn>
              <a:cxn ang="0">
                <a:pos x="connsiteX1867" y="connsiteY1867"/>
              </a:cxn>
              <a:cxn ang="0">
                <a:pos x="connsiteX1868" y="connsiteY1868"/>
              </a:cxn>
              <a:cxn ang="0">
                <a:pos x="connsiteX1869" y="connsiteY1869"/>
              </a:cxn>
              <a:cxn ang="0">
                <a:pos x="connsiteX1870" y="connsiteY1870"/>
              </a:cxn>
              <a:cxn ang="0">
                <a:pos x="connsiteX1871" y="connsiteY1871"/>
              </a:cxn>
              <a:cxn ang="0">
                <a:pos x="connsiteX1872" y="connsiteY1872"/>
              </a:cxn>
              <a:cxn ang="0">
                <a:pos x="connsiteX1873" y="connsiteY1873"/>
              </a:cxn>
              <a:cxn ang="0">
                <a:pos x="connsiteX1874" y="connsiteY1874"/>
              </a:cxn>
              <a:cxn ang="0">
                <a:pos x="connsiteX1875" y="connsiteY1875"/>
              </a:cxn>
              <a:cxn ang="0">
                <a:pos x="connsiteX1876" y="connsiteY1876"/>
              </a:cxn>
              <a:cxn ang="0">
                <a:pos x="connsiteX1877" y="connsiteY1877"/>
              </a:cxn>
              <a:cxn ang="0">
                <a:pos x="connsiteX1878" y="connsiteY1878"/>
              </a:cxn>
              <a:cxn ang="0">
                <a:pos x="connsiteX1879" y="connsiteY1879"/>
              </a:cxn>
              <a:cxn ang="0">
                <a:pos x="connsiteX1880" y="connsiteY1880"/>
              </a:cxn>
              <a:cxn ang="0">
                <a:pos x="connsiteX1881" y="connsiteY1881"/>
              </a:cxn>
              <a:cxn ang="0">
                <a:pos x="connsiteX1882" y="connsiteY1882"/>
              </a:cxn>
              <a:cxn ang="0">
                <a:pos x="connsiteX1883" y="connsiteY1883"/>
              </a:cxn>
              <a:cxn ang="0">
                <a:pos x="connsiteX1884" y="connsiteY1884"/>
              </a:cxn>
              <a:cxn ang="0">
                <a:pos x="connsiteX1885" y="connsiteY1885"/>
              </a:cxn>
              <a:cxn ang="0">
                <a:pos x="connsiteX1886" y="connsiteY1886"/>
              </a:cxn>
              <a:cxn ang="0">
                <a:pos x="connsiteX1887" y="connsiteY1887"/>
              </a:cxn>
              <a:cxn ang="0">
                <a:pos x="connsiteX1888" y="connsiteY1888"/>
              </a:cxn>
              <a:cxn ang="0">
                <a:pos x="connsiteX1889" y="connsiteY1889"/>
              </a:cxn>
              <a:cxn ang="0">
                <a:pos x="connsiteX1890" y="connsiteY1890"/>
              </a:cxn>
              <a:cxn ang="0">
                <a:pos x="connsiteX1891" y="connsiteY1891"/>
              </a:cxn>
              <a:cxn ang="0">
                <a:pos x="connsiteX1892" y="connsiteY1892"/>
              </a:cxn>
              <a:cxn ang="0">
                <a:pos x="connsiteX1893" y="connsiteY1893"/>
              </a:cxn>
              <a:cxn ang="0">
                <a:pos x="connsiteX1894" y="connsiteY1894"/>
              </a:cxn>
              <a:cxn ang="0">
                <a:pos x="connsiteX1895" y="connsiteY1895"/>
              </a:cxn>
              <a:cxn ang="0">
                <a:pos x="connsiteX1896" y="connsiteY1896"/>
              </a:cxn>
              <a:cxn ang="0">
                <a:pos x="connsiteX1897" y="connsiteY1897"/>
              </a:cxn>
              <a:cxn ang="0">
                <a:pos x="connsiteX1898" y="connsiteY1898"/>
              </a:cxn>
              <a:cxn ang="0">
                <a:pos x="connsiteX1899" y="connsiteY1899"/>
              </a:cxn>
              <a:cxn ang="0">
                <a:pos x="connsiteX1900" y="connsiteY1900"/>
              </a:cxn>
              <a:cxn ang="0">
                <a:pos x="connsiteX1901" y="connsiteY1901"/>
              </a:cxn>
              <a:cxn ang="0">
                <a:pos x="connsiteX1902" y="connsiteY1902"/>
              </a:cxn>
              <a:cxn ang="0">
                <a:pos x="connsiteX1903" y="connsiteY1903"/>
              </a:cxn>
              <a:cxn ang="0">
                <a:pos x="connsiteX1904" y="connsiteY1904"/>
              </a:cxn>
              <a:cxn ang="0">
                <a:pos x="connsiteX1905" y="connsiteY1905"/>
              </a:cxn>
              <a:cxn ang="0">
                <a:pos x="connsiteX1906" y="connsiteY1906"/>
              </a:cxn>
              <a:cxn ang="0">
                <a:pos x="connsiteX1907" y="connsiteY1907"/>
              </a:cxn>
              <a:cxn ang="0">
                <a:pos x="connsiteX1908" y="connsiteY1908"/>
              </a:cxn>
              <a:cxn ang="0">
                <a:pos x="connsiteX1909" y="connsiteY1909"/>
              </a:cxn>
            </a:cxnLst>
            <a:rect l="l" t="t" r="r" b="b"/>
            <a:pathLst>
              <a:path w="2280745" h="1308087">
                <a:moveTo>
                  <a:pt x="2280492" y="0"/>
                </a:moveTo>
                <a:lnTo>
                  <a:pt x="2280693" y="1209940"/>
                </a:lnTo>
                <a:lnTo>
                  <a:pt x="2280745" y="1209940"/>
                </a:lnTo>
                <a:lnTo>
                  <a:pt x="2280745" y="1308087"/>
                </a:lnTo>
                <a:lnTo>
                  <a:pt x="0" y="1308087"/>
                </a:lnTo>
                <a:lnTo>
                  <a:pt x="0" y="1209940"/>
                </a:lnTo>
                <a:lnTo>
                  <a:pt x="1497" y="1209940"/>
                </a:lnTo>
                <a:lnTo>
                  <a:pt x="2103" y="757034"/>
                </a:lnTo>
                <a:cubicBezTo>
                  <a:pt x="3729" y="506611"/>
                  <a:pt x="5355" y="256190"/>
                  <a:pt x="3107" y="8436"/>
                </a:cubicBezTo>
                <a:lnTo>
                  <a:pt x="2280492" y="0"/>
                </a:lnTo>
                <a:close/>
                <a:moveTo>
                  <a:pt x="303668" y="96739"/>
                </a:moveTo>
                <a:cubicBezTo>
                  <a:pt x="293205" y="96739"/>
                  <a:pt x="284721" y="104125"/>
                  <a:pt x="284721" y="113235"/>
                </a:cubicBezTo>
                <a:cubicBezTo>
                  <a:pt x="284721" y="122346"/>
                  <a:pt x="293205" y="129731"/>
                  <a:pt x="303668" y="129731"/>
                </a:cubicBezTo>
                <a:cubicBezTo>
                  <a:pt x="314131" y="129731"/>
                  <a:pt x="322614" y="122346"/>
                  <a:pt x="322614" y="113235"/>
                </a:cubicBezTo>
                <a:cubicBezTo>
                  <a:pt x="322614" y="104125"/>
                  <a:pt x="314131" y="96739"/>
                  <a:pt x="303668" y="96739"/>
                </a:cubicBezTo>
                <a:close/>
                <a:moveTo>
                  <a:pt x="503662" y="96739"/>
                </a:moveTo>
                <a:cubicBezTo>
                  <a:pt x="493198" y="96739"/>
                  <a:pt x="484717" y="104125"/>
                  <a:pt x="484717" y="113235"/>
                </a:cubicBezTo>
                <a:cubicBezTo>
                  <a:pt x="484717" y="122346"/>
                  <a:pt x="493198" y="129731"/>
                  <a:pt x="503662" y="129731"/>
                </a:cubicBezTo>
                <a:cubicBezTo>
                  <a:pt x="514126" y="129731"/>
                  <a:pt x="522607" y="122346"/>
                  <a:pt x="522607" y="113235"/>
                </a:cubicBezTo>
                <a:cubicBezTo>
                  <a:pt x="522607" y="104125"/>
                  <a:pt x="514126" y="96739"/>
                  <a:pt x="503662" y="96739"/>
                </a:cubicBezTo>
                <a:close/>
                <a:moveTo>
                  <a:pt x="703653" y="96739"/>
                </a:moveTo>
                <a:cubicBezTo>
                  <a:pt x="693190" y="96739"/>
                  <a:pt x="684709" y="104125"/>
                  <a:pt x="684709" y="113235"/>
                </a:cubicBezTo>
                <a:cubicBezTo>
                  <a:pt x="684709" y="122346"/>
                  <a:pt x="693190" y="129731"/>
                  <a:pt x="703653" y="129731"/>
                </a:cubicBezTo>
                <a:cubicBezTo>
                  <a:pt x="714117" y="129731"/>
                  <a:pt x="722600" y="122346"/>
                  <a:pt x="722600" y="113235"/>
                </a:cubicBezTo>
                <a:cubicBezTo>
                  <a:pt x="722600" y="104125"/>
                  <a:pt x="714117" y="96739"/>
                  <a:pt x="703653" y="96739"/>
                </a:cubicBezTo>
                <a:close/>
                <a:moveTo>
                  <a:pt x="903646" y="96739"/>
                </a:moveTo>
                <a:cubicBezTo>
                  <a:pt x="893183" y="96739"/>
                  <a:pt x="884701" y="104125"/>
                  <a:pt x="884701" y="113235"/>
                </a:cubicBezTo>
                <a:cubicBezTo>
                  <a:pt x="884701" y="122346"/>
                  <a:pt x="893183" y="129731"/>
                  <a:pt x="903646" y="129731"/>
                </a:cubicBezTo>
                <a:cubicBezTo>
                  <a:pt x="914110" y="129731"/>
                  <a:pt x="922591" y="122346"/>
                  <a:pt x="922591" y="113235"/>
                </a:cubicBezTo>
                <a:cubicBezTo>
                  <a:pt x="922591" y="104125"/>
                  <a:pt x="914110" y="96739"/>
                  <a:pt x="903646" y="96739"/>
                </a:cubicBezTo>
                <a:close/>
                <a:moveTo>
                  <a:pt x="1103638" y="96739"/>
                </a:moveTo>
                <a:cubicBezTo>
                  <a:pt x="1093175" y="96739"/>
                  <a:pt x="1084694" y="104125"/>
                  <a:pt x="1084694" y="113235"/>
                </a:cubicBezTo>
                <a:cubicBezTo>
                  <a:pt x="1084694" y="122346"/>
                  <a:pt x="1093175" y="129731"/>
                  <a:pt x="1103638" y="129731"/>
                </a:cubicBezTo>
                <a:cubicBezTo>
                  <a:pt x="1114102" y="129731"/>
                  <a:pt x="1122584" y="122346"/>
                  <a:pt x="1122584" y="113235"/>
                </a:cubicBezTo>
                <a:cubicBezTo>
                  <a:pt x="1122584" y="104125"/>
                  <a:pt x="1114102" y="96739"/>
                  <a:pt x="1103638" y="96739"/>
                </a:cubicBezTo>
                <a:close/>
                <a:moveTo>
                  <a:pt x="1303631" y="96739"/>
                </a:moveTo>
                <a:cubicBezTo>
                  <a:pt x="1293167" y="96739"/>
                  <a:pt x="1284685" y="104125"/>
                  <a:pt x="1284685" y="113235"/>
                </a:cubicBezTo>
                <a:cubicBezTo>
                  <a:pt x="1284685" y="122346"/>
                  <a:pt x="1293167" y="129731"/>
                  <a:pt x="1303631" y="129731"/>
                </a:cubicBezTo>
                <a:cubicBezTo>
                  <a:pt x="1314095" y="129731"/>
                  <a:pt x="1322576" y="122346"/>
                  <a:pt x="1322576" y="113235"/>
                </a:cubicBezTo>
                <a:cubicBezTo>
                  <a:pt x="1322576" y="104125"/>
                  <a:pt x="1314095" y="96739"/>
                  <a:pt x="1303631" y="96739"/>
                </a:cubicBezTo>
                <a:close/>
                <a:moveTo>
                  <a:pt x="1505923" y="96739"/>
                </a:moveTo>
                <a:cubicBezTo>
                  <a:pt x="1495460" y="96739"/>
                  <a:pt x="1486979" y="104125"/>
                  <a:pt x="1486979" y="113235"/>
                </a:cubicBezTo>
                <a:cubicBezTo>
                  <a:pt x="1486979" y="122346"/>
                  <a:pt x="1495460" y="129731"/>
                  <a:pt x="1505923" y="129731"/>
                </a:cubicBezTo>
                <a:cubicBezTo>
                  <a:pt x="1516387" y="129731"/>
                  <a:pt x="1524868" y="122346"/>
                  <a:pt x="1524868" y="113235"/>
                </a:cubicBezTo>
                <a:cubicBezTo>
                  <a:pt x="1524868" y="104125"/>
                  <a:pt x="1516387" y="96739"/>
                  <a:pt x="1505923" y="96739"/>
                </a:cubicBezTo>
                <a:close/>
                <a:moveTo>
                  <a:pt x="1703085" y="96739"/>
                </a:moveTo>
                <a:cubicBezTo>
                  <a:pt x="1692623" y="96739"/>
                  <a:pt x="1684140" y="104125"/>
                  <a:pt x="1684140" y="113235"/>
                </a:cubicBezTo>
                <a:cubicBezTo>
                  <a:pt x="1684140" y="122346"/>
                  <a:pt x="1692623" y="129731"/>
                  <a:pt x="1703085" y="129731"/>
                </a:cubicBezTo>
                <a:cubicBezTo>
                  <a:pt x="1713550" y="129731"/>
                  <a:pt x="1722031" y="122346"/>
                  <a:pt x="1722031" y="113235"/>
                </a:cubicBezTo>
                <a:cubicBezTo>
                  <a:pt x="1722031" y="104125"/>
                  <a:pt x="1713550" y="96739"/>
                  <a:pt x="1703085" y="96739"/>
                </a:cubicBezTo>
                <a:close/>
                <a:moveTo>
                  <a:pt x="1905908" y="96739"/>
                </a:moveTo>
                <a:cubicBezTo>
                  <a:pt x="1895444" y="96739"/>
                  <a:pt x="1886962" y="104125"/>
                  <a:pt x="1886962" y="113235"/>
                </a:cubicBezTo>
                <a:cubicBezTo>
                  <a:pt x="1886962" y="122346"/>
                  <a:pt x="1895444" y="129731"/>
                  <a:pt x="1905908" y="129731"/>
                </a:cubicBezTo>
                <a:cubicBezTo>
                  <a:pt x="1916372" y="129731"/>
                  <a:pt x="1924855" y="122346"/>
                  <a:pt x="1924855" y="113235"/>
                </a:cubicBezTo>
                <a:cubicBezTo>
                  <a:pt x="1924855" y="104125"/>
                  <a:pt x="1916372" y="96739"/>
                  <a:pt x="1905908" y="96739"/>
                </a:cubicBezTo>
                <a:close/>
                <a:moveTo>
                  <a:pt x="2105231" y="96739"/>
                </a:moveTo>
                <a:cubicBezTo>
                  <a:pt x="2094769" y="96739"/>
                  <a:pt x="2086286" y="104125"/>
                  <a:pt x="2086286" y="113235"/>
                </a:cubicBezTo>
                <a:cubicBezTo>
                  <a:pt x="2086286" y="122346"/>
                  <a:pt x="2094769" y="129731"/>
                  <a:pt x="2105231" y="129731"/>
                </a:cubicBezTo>
                <a:cubicBezTo>
                  <a:pt x="2115694" y="129731"/>
                  <a:pt x="2124177" y="122346"/>
                  <a:pt x="2124177" y="113235"/>
                </a:cubicBezTo>
                <a:cubicBezTo>
                  <a:pt x="2124177" y="104125"/>
                  <a:pt x="2115694" y="96739"/>
                  <a:pt x="2105231" y="96739"/>
                </a:cubicBezTo>
                <a:close/>
                <a:moveTo>
                  <a:pt x="280058" y="133396"/>
                </a:moveTo>
                <a:lnTo>
                  <a:pt x="280058" y="133621"/>
                </a:lnTo>
                <a:lnTo>
                  <a:pt x="279441" y="133589"/>
                </a:lnTo>
                <a:cubicBezTo>
                  <a:pt x="276104" y="133992"/>
                  <a:pt x="273205" y="136086"/>
                  <a:pt x="272279" y="139098"/>
                </a:cubicBezTo>
                <a:lnTo>
                  <a:pt x="255797" y="192653"/>
                </a:lnTo>
                <a:cubicBezTo>
                  <a:pt x="254561" y="196670"/>
                  <a:pt x="257298" y="200797"/>
                  <a:pt x="261911" y="201873"/>
                </a:cubicBezTo>
                <a:lnTo>
                  <a:pt x="263944" y="202347"/>
                </a:lnTo>
                <a:cubicBezTo>
                  <a:pt x="268557" y="203423"/>
                  <a:pt x="273297" y="201041"/>
                  <a:pt x="274533" y="197025"/>
                </a:cubicBezTo>
                <a:lnTo>
                  <a:pt x="280058" y="179069"/>
                </a:lnTo>
                <a:lnTo>
                  <a:pt x="280058" y="199255"/>
                </a:lnTo>
                <a:lnTo>
                  <a:pt x="280058" y="205866"/>
                </a:lnTo>
                <a:lnTo>
                  <a:pt x="280058" y="254698"/>
                </a:lnTo>
                <a:cubicBezTo>
                  <a:pt x="280058" y="258855"/>
                  <a:pt x="283930" y="262227"/>
                  <a:pt x="288705" y="262227"/>
                </a:cubicBezTo>
                <a:lnTo>
                  <a:pt x="290809" y="262227"/>
                </a:lnTo>
                <a:cubicBezTo>
                  <a:pt x="295584" y="262227"/>
                  <a:pt x="299455" y="258855"/>
                  <a:pt x="299455" y="254698"/>
                </a:cubicBezTo>
                <a:lnTo>
                  <a:pt x="299455" y="205866"/>
                </a:lnTo>
                <a:lnTo>
                  <a:pt x="306898" y="205866"/>
                </a:lnTo>
                <a:lnTo>
                  <a:pt x="306898" y="254698"/>
                </a:lnTo>
                <a:cubicBezTo>
                  <a:pt x="306898" y="258855"/>
                  <a:pt x="310769" y="262227"/>
                  <a:pt x="315544" y="262227"/>
                </a:cubicBezTo>
                <a:lnTo>
                  <a:pt x="317649" y="262227"/>
                </a:lnTo>
                <a:cubicBezTo>
                  <a:pt x="322423" y="262227"/>
                  <a:pt x="326293" y="258855"/>
                  <a:pt x="326293" y="254698"/>
                </a:cubicBezTo>
                <a:lnTo>
                  <a:pt x="326293" y="205866"/>
                </a:lnTo>
                <a:lnTo>
                  <a:pt x="326293" y="199255"/>
                </a:lnTo>
                <a:lnTo>
                  <a:pt x="326293" y="181262"/>
                </a:lnTo>
                <a:lnTo>
                  <a:pt x="331145" y="197025"/>
                </a:lnTo>
                <a:cubicBezTo>
                  <a:pt x="332381" y="201041"/>
                  <a:pt x="337122" y="203423"/>
                  <a:pt x="341734" y="202347"/>
                </a:cubicBezTo>
                <a:lnTo>
                  <a:pt x="343767" y="201873"/>
                </a:lnTo>
                <a:cubicBezTo>
                  <a:pt x="348380" y="200797"/>
                  <a:pt x="351116" y="196670"/>
                  <a:pt x="349881" y="192653"/>
                </a:cubicBezTo>
                <a:lnTo>
                  <a:pt x="333400" y="139098"/>
                </a:lnTo>
                <a:cubicBezTo>
                  <a:pt x="332936" y="137592"/>
                  <a:pt x="331980" y="136315"/>
                  <a:pt x="330722" y="135365"/>
                </a:cubicBezTo>
                <a:lnTo>
                  <a:pt x="326293" y="133610"/>
                </a:lnTo>
                <a:lnTo>
                  <a:pt x="326293" y="133396"/>
                </a:lnTo>
                <a:lnTo>
                  <a:pt x="280058" y="133396"/>
                </a:lnTo>
                <a:close/>
                <a:moveTo>
                  <a:pt x="480053" y="133396"/>
                </a:moveTo>
                <a:lnTo>
                  <a:pt x="480053" y="133621"/>
                </a:lnTo>
                <a:lnTo>
                  <a:pt x="479436" y="133589"/>
                </a:lnTo>
                <a:cubicBezTo>
                  <a:pt x="476099" y="133992"/>
                  <a:pt x="473200" y="136086"/>
                  <a:pt x="472272" y="139098"/>
                </a:cubicBezTo>
                <a:lnTo>
                  <a:pt x="455791" y="192653"/>
                </a:lnTo>
                <a:cubicBezTo>
                  <a:pt x="454555" y="196670"/>
                  <a:pt x="457292" y="200797"/>
                  <a:pt x="461906" y="201873"/>
                </a:cubicBezTo>
                <a:lnTo>
                  <a:pt x="463938" y="202347"/>
                </a:lnTo>
                <a:cubicBezTo>
                  <a:pt x="468550" y="203423"/>
                  <a:pt x="473292" y="201041"/>
                  <a:pt x="474527" y="197025"/>
                </a:cubicBezTo>
                <a:lnTo>
                  <a:pt x="480053" y="179069"/>
                </a:lnTo>
                <a:lnTo>
                  <a:pt x="480053" y="199255"/>
                </a:lnTo>
                <a:lnTo>
                  <a:pt x="480053" y="205866"/>
                </a:lnTo>
                <a:lnTo>
                  <a:pt x="480053" y="254698"/>
                </a:lnTo>
                <a:cubicBezTo>
                  <a:pt x="480053" y="258855"/>
                  <a:pt x="483924" y="262227"/>
                  <a:pt x="488698" y="262227"/>
                </a:cubicBezTo>
                <a:lnTo>
                  <a:pt x="490804" y="262227"/>
                </a:lnTo>
                <a:cubicBezTo>
                  <a:pt x="495578" y="262227"/>
                  <a:pt x="499450" y="258855"/>
                  <a:pt x="499450" y="254698"/>
                </a:cubicBezTo>
                <a:lnTo>
                  <a:pt x="499450" y="205866"/>
                </a:lnTo>
                <a:lnTo>
                  <a:pt x="506892" y="205866"/>
                </a:lnTo>
                <a:lnTo>
                  <a:pt x="506892" y="254698"/>
                </a:lnTo>
                <a:cubicBezTo>
                  <a:pt x="506892" y="258855"/>
                  <a:pt x="510763" y="262227"/>
                  <a:pt x="515538" y="262227"/>
                </a:cubicBezTo>
                <a:lnTo>
                  <a:pt x="517643" y="262227"/>
                </a:lnTo>
                <a:cubicBezTo>
                  <a:pt x="522418" y="262227"/>
                  <a:pt x="526287" y="258855"/>
                  <a:pt x="526287" y="254698"/>
                </a:cubicBezTo>
                <a:lnTo>
                  <a:pt x="526287" y="205866"/>
                </a:lnTo>
                <a:lnTo>
                  <a:pt x="526287" y="199255"/>
                </a:lnTo>
                <a:lnTo>
                  <a:pt x="526287" y="181262"/>
                </a:lnTo>
                <a:lnTo>
                  <a:pt x="531139" y="197025"/>
                </a:lnTo>
                <a:cubicBezTo>
                  <a:pt x="532375" y="201041"/>
                  <a:pt x="537116" y="203423"/>
                  <a:pt x="541727" y="202347"/>
                </a:cubicBezTo>
                <a:lnTo>
                  <a:pt x="543761" y="201873"/>
                </a:lnTo>
                <a:cubicBezTo>
                  <a:pt x="548373" y="200797"/>
                  <a:pt x="551110" y="196670"/>
                  <a:pt x="549875" y="192653"/>
                </a:cubicBezTo>
                <a:lnTo>
                  <a:pt x="533394" y="139098"/>
                </a:lnTo>
                <a:cubicBezTo>
                  <a:pt x="532930" y="137592"/>
                  <a:pt x="531974" y="136315"/>
                  <a:pt x="530716" y="135365"/>
                </a:cubicBezTo>
                <a:lnTo>
                  <a:pt x="526287" y="133610"/>
                </a:lnTo>
                <a:lnTo>
                  <a:pt x="526287" y="133396"/>
                </a:lnTo>
                <a:lnTo>
                  <a:pt x="480053" y="133396"/>
                </a:lnTo>
                <a:close/>
                <a:moveTo>
                  <a:pt x="680045" y="133396"/>
                </a:moveTo>
                <a:lnTo>
                  <a:pt x="680045" y="133621"/>
                </a:lnTo>
                <a:lnTo>
                  <a:pt x="679427" y="133589"/>
                </a:lnTo>
                <a:cubicBezTo>
                  <a:pt x="676090" y="133992"/>
                  <a:pt x="673192" y="136086"/>
                  <a:pt x="672265" y="139098"/>
                </a:cubicBezTo>
                <a:lnTo>
                  <a:pt x="655783" y="192653"/>
                </a:lnTo>
                <a:cubicBezTo>
                  <a:pt x="654547" y="196670"/>
                  <a:pt x="657285" y="200797"/>
                  <a:pt x="661899" y="201873"/>
                </a:cubicBezTo>
                <a:lnTo>
                  <a:pt x="663930" y="202347"/>
                </a:lnTo>
                <a:cubicBezTo>
                  <a:pt x="668542" y="203423"/>
                  <a:pt x="673282" y="201041"/>
                  <a:pt x="674518" y="197025"/>
                </a:cubicBezTo>
                <a:lnTo>
                  <a:pt x="680045" y="179069"/>
                </a:lnTo>
                <a:lnTo>
                  <a:pt x="680045" y="199255"/>
                </a:lnTo>
                <a:lnTo>
                  <a:pt x="680045" y="205866"/>
                </a:lnTo>
                <a:lnTo>
                  <a:pt x="680045" y="254698"/>
                </a:lnTo>
                <a:cubicBezTo>
                  <a:pt x="680045" y="258855"/>
                  <a:pt x="683916" y="262227"/>
                  <a:pt x="688691" y="262227"/>
                </a:cubicBezTo>
                <a:lnTo>
                  <a:pt x="690797" y="262227"/>
                </a:lnTo>
                <a:cubicBezTo>
                  <a:pt x="695570" y="262227"/>
                  <a:pt x="699443" y="258855"/>
                  <a:pt x="699443" y="254698"/>
                </a:cubicBezTo>
                <a:lnTo>
                  <a:pt x="699443" y="205866"/>
                </a:lnTo>
                <a:lnTo>
                  <a:pt x="706884" y="205866"/>
                </a:lnTo>
                <a:lnTo>
                  <a:pt x="706884" y="254698"/>
                </a:lnTo>
                <a:cubicBezTo>
                  <a:pt x="706884" y="258855"/>
                  <a:pt x="710754" y="262227"/>
                  <a:pt x="715530" y="262227"/>
                </a:cubicBezTo>
                <a:lnTo>
                  <a:pt x="717635" y="262227"/>
                </a:lnTo>
                <a:cubicBezTo>
                  <a:pt x="722411" y="262227"/>
                  <a:pt x="726280" y="258855"/>
                  <a:pt x="726280" y="254698"/>
                </a:cubicBezTo>
                <a:lnTo>
                  <a:pt x="726280" y="205866"/>
                </a:lnTo>
                <a:lnTo>
                  <a:pt x="726280" y="199255"/>
                </a:lnTo>
                <a:lnTo>
                  <a:pt x="726280" y="181262"/>
                </a:lnTo>
                <a:lnTo>
                  <a:pt x="731132" y="197025"/>
                </a:lnTo>
                <a:cubicBezTo>
                  <a:pt x="732368" y="201041"/>
                  <a:pt x="737108" y="203423"/>
                  <a:pt x="741720" y="202347"/>
                </a:cubicBezTo>
                <a:lnTo>
                  <a:pt x="743753" y="201873"/>
                </a:lnTo>
                <a:cubicBezTo>
                  <a:pt x="748365" y="200797"/>
                  <a:pt x="751103" y="196670"/>
                  <a:pt x="749868" y="192653"/>
                </a:cubicBezTo>
                <a:lnTo>
                  <a:pt x="733385" y="139098"/>
                </a:lnTo>
                <a:cubicBezTo>
                  <a:pt x="732923" y="137592"/>
                  <a:pt x="731967" y="136315"/>
                  <a:pt x="730709" y="135365"/>
                </a:cubicBezTo>
                <a:lnTo>
                  <a:pt x="726280" y="133610"/>
                </a:lnTo>
                <a:lnTo>
                  <a:pt x="726280" y="133396"/>
                </a:lnTo>
                <a:lnTo>
                  <a:pt x="680045" y="133396"/>
                </a:lnTo>
                <a:close/>
                <a:moveTo>
                  <a:pt x="880037" y="133396"/>
                </a:moveTo>
                <a:lnTo>
                  <a:pt x="880037" y="133621"/>
                </a:lnTo>
                <a:lnTo>
                  <a:pt x="879420" y="133589"/>
                </a:lnTo>
                <a:cubicBezTo>
                  <a:pt x="876083" y="133992"/>
                  <a:pt x="873184" y="136086"/>
                  <a:pt x="872256" y="139098"/>
                </a:cubicBezTo>
                <a:lnTo>
                  <a:pt x="855776" y="192653"/>
                </a:lnTo>
                <a:cubicBezTo>
                  <a:pt x="854540" y="196670"/>
                  <a:pt x="857277" y="200797"/>
                  <a:pt x="861890" y="201873"/>
                </a:cubicBezTo>
                <a:lnTo>
                  <a:pt x="863923" y="202347"/>
                </a:lnTo>
                <a:cubicBezTo>
                  <a:pt x="868534" y="203423"/>
                  <a:pt x="873275" y="201041"/>
                  <a:pt x="874511" y="197025"/>
                </a:cubicBezTo>
                <a:lnTo>
                  <a:pt x="880037" y="179069"/>
                </a:lnTo>
                <a:lnTo>
                  <a:pt x="880037" y="199255"/>
                </a:lnTo>
                <a:lnTo>
                  <a:pt x="880037" y="205866"/>
                </a:lnTo>
                <a:lnTo>
                  <a:pt x="880037" y="254698"/>
                </a:lnTo>
                <a:cubicBezTo>
                  <a:pt x="880037" y="258855"/>
                  <a:pt x="883909" y="262227"/>
                  <a:pt x="888683" y="262227"/>
                </a:cubicBezTo>
                <a:lnTo>
                  <a:pt x="890788" y="262227"/>
                </a:lnTo>
                <a:cubicBezTo>
                  <a:pt x="895563" y="262227"/>
                  <a:pt x="899434" y="258855"/>
                  <a:pt x="899434" y="254698"/>
                </a:cubicBezTo>
                <a:lnTo>
                  <a:pt x="899434" y="205866"/>
                </a:lnTo>
                <a:lnTo>
                  <a:pt x="906877" y="205866"/>
                </a:lnTo>
                <a:lnTo>
                  <a:pt x="906877" y="254698"/>
                </a:lnTo>
                <a:cubicBezTo>
                  <a:pt x="906877" y="258855"/>
                  <a:pt x="910747" y="262227"/>
                  <a:pt x="915521" y="262227"/>
                </a:cubicBezTo>
                <a:lnTo>
                  <a:pt x="917628" y="262227"/>
                </a:lnTo>
                <a:cubicBezTo>
                  <a:pt x="922402" y="262227"/>
                  <a:pt x="926272" y="258855"/>
                  <a:pt x="926272" y="254698"/>
                </a:cubicBezTo>
                <a:lnTo>
                  <a:pt x="926272" y="205866"/>
                </a:lnTo>
                <a:lnTo>
                  <a:pt x="926272" y="199255"/>
                </a:lnTo>
                <a:lnTo>
                  <a:pt x="926272" y="181262"/>
                </a:lnTo>
                <a:lnTo>
                  <a:pt x="931123" y="197025"/>
                </a:lnTo>
                <a:cubicBezTo>
                  <a:pt x="932359" y="201041"/>
                  <a:pt x="937100" y="203423"/>
                  <a:pt x="941712" y="202347"/>
                </a:cubicBezTo>
                <a:lnTo>
                  <a:pt x="943745" y="201873"/>
                </a:lnTo>
                <a:cubicBezTo>
                  <a:pt x="948358" y="200797"/>
                  <a:pt x="951095" y="196670"/>
                  <a:pt x="949860" y="192653"/>
                </a:cubicBezTo>
                <a:lnTo>
                  <a:pt x="933378" y="139098"/>
                </a:lnTo>
                <a:cubicBezTo>
                  <a:pt x="932915" y="137592"/>
                  <a:pt x="931958" y="136315"/>
                  <a:pt x="930701" y="135365"/>
                </a:cubicBezTo>
                <a:lnTo>
                  <a:pt x="926272" y="133610"/>
                </a:lnTo>
                <a:lnTo>
                  <a:pt x="926272" y="133396"/>
                </a:lnTo>
                <a:lnTo>
                  <a:pt x="880037" y="133396"/>
                </a:lnTo>
                <a:close/>
                <a:moveTo>
                  <a:pt x="1080030" y="133396"/>
                </a:moveTo>
                <a:lnTo>
                  <a:pt x="1080030" y="133621"/>
                </a:lnTo>
                <a:lnTo>
                  <a:pt x="1079412" y="133589"/>
                </a:lnTo>
                <a:cubicBezTo>
                  <a:pt x="1076075" y="133992"/>
                  <a:pt x="1073176" y="136086"/>
                  <a:pt x="1072249" y="139098"/>
                </a:cubicBezTo>
                <a:lnTo>
                  <a:pt x="1055767" y="192653"/>
                </a:lnTo>
                <a:cubicBezTo>
                  <a:pt x="1054531" y="196670"/>
                  <a:pt x="1057269" y="200797"/>
                  <a:pt x="1061881" y="201873"/>
                </a:cubicBezTo>
                <a:lnTo>
                  <a:pt x="1063914" y="202347"/>
                </a:lnTo>
                <a:cubicBezTo>
                  <a:pt x="1068527" y="203423"/>
                  <a:pt x="1073267" y="201041"/>
                  <a:pt x="1074503" y="197025"/>
                </a:cubicBezTo>
                <a:lnTo>
                  <a:pt x="1080030" y="179069"/>
                </a:lnTo>
                <a:lnTo>
                  <a:pt x="1080030" y="199255"/>
                </a:lnTo>
                <a:lnTo>
                  <a:pt x="1080030" y="205866"/>
                </a:lnTo>
                <a:lnTo>
                  <a:pt x="1080030" y="254698"/>
                </a:lnTo>
                <a:cubicBezTo>
                  <a:pt x="1080030" y="258855"/>
                  <a:pt x="1083900" y="262227"/>
                  <a:pt x="1088676" y="262227"/>
                </a:cubicBezTo>
                <a:lnTo>
                  <a:pt x="1090781" y="262227"/>
                </a:lnTo>
                <a:cubicBezTo>
                  <a:pt x="1095554" y="262227"/>
                  <a:pt x="1099427" y="258855"/>
                  <a:pt x="1099427" y="254698"/>
                </a:cubicBezTo>
                <a:lnTo>
                  <a:pt x="1099427" y="205866"/>
                </a:lnTo>
                <a:lnTo>
                  <a:pt x="1106868" y="205866"/>
                </a:lnTo>
                <a:lnTo>
                  <a:pt x="1106868" y="254698"/>
                </a:lnTo>
                <a:cubicBezTo>
                  <a:pt x="1106868" y="258855"/>
                  <a:pt x="1110739" y="262227"/>
                  <a:pt x="1115514" y="262227"/>
                </a:cubicBezTo>
                <a:lnTo>
                  <a:pt x="1117619" y="262227"/>
                </a:lnTo>
                <a:cubicBezTo>
                  <a:pt x="1122395" y="262227"/>
                  <a:pt x="1126264" y="258855"/>
                  <a:pt x="1126264" y="254698"/>
                </a:cubicBezTo>
                <a:lnTo>
                  <a:pt x="1126264" y="205866"/>
                </a:lnTo>
                <a:lnTo>
                  <a:pt x="1126264" y="199255"/>
                </a:lnTo>
                <a:lnTo>
                  <a:pt x="1126264" y="181262"/>
                </a:lnTo>
                <a:lnTo>
                  <a:pt x="1131115" y="197025"/>
                </a:lnTo>
                <a:cubicBezTo>
                  <a:pt x="1132352" y="201041"/>
                  <a:pt x="1137092" y="203423"/>
                  <a:pt x="1141704" y="202347"/>
                </a:cubicBezTo>
                <a:lnTo>
                  <a:pt x="1143738" y="201873"/>
                </a:lnTo>
                <a:cubicBezTo>
                  <a:pt x="1148350" y="200797"/>
                  <a:pt x="1151086" y="196670"/>
                  <a:pt x="1149853" y="192653"/>
                </a:cubicBezTo>
                <a:lnTo>
                  <a:pt x="1133370" y="139098"/>
                </a:lnTo>
                <a:cubicBezTo>
                  <a:pt x="1132906" y="137592"/>
                  <a:pt x="1131950" y="136315"/>
                  <a:pt x="1130693" y="135365"/>
                </a:cubicBezTo>
                <a:lnTo>
                  <a:pt x="1126264" y="133610"/>
                </a:lnTo>
                <a:lnTo>
                  <a:pt x="1126264" y="133396"/>
                </a:lnTo>
                <a:lnTo>
                  <a:pt x="1080030" y="133396"/>
                </a:lnTo>
                <a:close/>
                <a:moveTo>
                  <a:pt x="1280022" y="133396"/>
                </a:moveTo>
                <a:lnTo>
                  <a:pt x="1280022" y="133621"/>
                </a:lnTo>
                <a:lnTo>
                  <a:pt x="1279405" y="133589"/>
                </a:lnTo>
                <a:cubicBezTo>
                  <a:pt x="1276068" y="133992"/>
                  <a:pt x="1273169" y="136086"/>
                  <a:pt x="1272241" y="139098"/>
                </a:cubicBezTo>
                <a:lnTo>
                  <a:pt x="1255760" y="192653"/>
                </a:lnTo>
                <a:cubicBezTo>
                  <a:pt x="1254524" y="196670"/>
                  <a:pt x="1257261" y="200797"/>
                  <a:pt x="1261874" y="201873"/>
                </a:cubicBezTo>
                <a:lnTo>
                  <a:pt x="1263907" y="202347"/>
                </a:lnTo>
                <a:cubicBezTo>
                  <a:pt x="1268519" y="203423"/>
                  <a:pt x="1273260" y="201041"/>
                  <a:pt x="1274496" y="197025"/>
                </a:cubicBezTo>
                <a:lnTo>
                  <a:pt x="1280022" y="179069"/>
                </a:lnTo>
                <a:lnTo>
                  <a:pt x="1280022" y="199255"/>
                </a:lnTo>
                <a:lnTo>
                  <a:pt x="1280022" y="205866"/>
                </a:lnTo>
                <a:lnTo>
                  <a:pt x="1280022" y="254698"/>
                </a:lnTo>
                <a:cubicBezTo>
                  <a:pt x="1280022" y="258855"/>
                  <a:pt x="1283892" y="262227"/>
                  <a:pt x="1288667" y="262227"/>
                </a:cubicBezTo>
                <a:lnTo>
                  <a:pt x="1290773" y="262227"/>
                </a:lnTo>
                <a:cubicBezTo>
                  <a:pt x="1295546" y="262227"/>
                  <a:pt x="1299419" y="258855"/>
                  <a:pt x="1299419" y="254698"/>
                </a:cubicBezTo>
                <a:lnTo>
                  <a:pt x="1299419" y="205866"/>
                </a:lnTo>
                <a:lnTo>
                  <a:pt x="1306860" y="205866"/>
                </a:lnTo>
                <a:lnTo>
                  <a:pt x="1306860" y="254698"/>
                </a:lnTo>
                <a:cubicBezTo>
                  <a:pt x="1306860" y="258855"/>
                  <a:pt x="1310732" y="262227"/>
                  <a:pt x="1315506" y="262227"/>
                </a:cubicBezTo>
                <a:lnTo>
                  <a:pt x="1317610" y="262227"/>
                </a:lnTo>
                <a:cubicBezTo>
                  <a:pt x="1322387" y="262227"/>
                  <a:pt x="1326256" y="258855"/>
                  <a:pt x="1326256" y="254698"/>
                </a:cubicBezTo>
                <a:lnTo>
                  <a:pt x="1326256" y="205866"/>
                </a:lnTo>
                <a:lnTo>
                  <a:pt x="1326256" y="199255"/>
                </a:lnTo>
                <a:lnTo>
                  <a:pt x="1326256" y="181262"/>
                </a:lnTo>
                <a:lnTo>
                  <a:pt x="1331108" y="197025"/>
                </a:lnTo>
                <a:cubicBezTo>
                  <a:pt x="1332344" y="201041"/>
                  <a:pt x="1337084" y="203423"/>
                  <a:pt x="1341696" y="202347"/>
                </a:cubicBezTo>
                <a:lnTo>
                  <a:pt x="1343730" y="201873"/>
                </a:lnTo>
                <a:cubicBezTo>
                  <a:pt x="1348342" y="200797"/>
                  <a:pt x="1351079" y="196670"/>
                  <a:pt x="1349844" y="192653"/>
                </a:cubicBezTo>
                <a:lnTo>
                  <a:pt x="1333361" y="139098"/>
                </a:lnTo>
                <a:cubicBezTo>
                  <a:pt x="1332899" y="137592"/>
                  <a:pt x="1331943" y="136315"/>
                  <a:pt x="1330685" y="135365"/>
                </a:cubicBezTo>
                <a:lnTo>
                  <a:pt x="1326256" y="133610"/>
                </a:lnTo>
                <a:lnTo>
                  <a:pt x="1326256" y="133396"/>
                </a:lnTo>
                <a:lnTo>
                  <a:pt x="1280022" y="133396"/>
                </a:lnTo>
                <a:close/>
                <a:moveTo>
                  <a:pt x="1482314" y="133396"/>
                </a:moveTo>
                <a:lnTo>
                  <a:pt x="1482314" y="133621"/>
                </a:lnTo>
                <a:lnTo>
                  <a:pt x="1481697" y="133589"/>
                </a:lnTo>
                <a:cubicBezTo>
                  <a:pt x="1478360" y="133992"/>
                  <a:pt x="1475461" y="136086"/>
                  <a:pt x="1474533" y="139098"/>
                </a:cubicBezTo>
                <a:lnTo>
                  <a:pt x="1458052" y="192653"/>
                </a:lnTo>
                <a:cubicBezTo>
                  <a:pt x="1456817" y="196670"/>
                  <a:pt x="1459553" y="200797"/>
                  <a:pt x="1464166" y="201873"/>
                </a:cubicBezTo>
                <a:lnTo>
                  <a:pt x="1466199" y="202347"/>
                </a:lnTo>
                <a:cubicBezTo>
                  <a:pt x="1470811" y="203423"/>
                  <a:pt x="1475552" y="201041"/>
                  <a:pt x="1476788" y="197025"/>
                </a:cubicBezTo>
                <a:lnTo>
                  <a:pt x="1482314" y="179069"/>
                </a:lnTo>
                <a:lnTo>
                  <a:pt x="1482314" y="199255"/>
                </a:lnTo>
                <a:lnTo>
                  <a:pt x="1482314" y="205866"/>
                </a:lnTo>
                <a:lnTo>
                  <a:pt x="1482314" y="254698"/>
                </a:lnTo>
                <a:cubicBezTo>
                  <a:pt x="1482314" y="258855"/>
                  <a:pt x="1486185" y="262227"/>
                  <a:pt x="1490960" y="262227"/>
                </a:cubicBezTo>
                <a:lnTo>
                  <a:pt x="1493064" y="262227"/>
                </a:lnTo>
                <a:cubicBezTo>
                  <a:pt x="1497840" y="262227"/>
                  <a:pt x="1501710" y="258855"/>
                  <a:pt x="1501710" y="254698"/>
                </a:cubicBezTo>
                <a:lnTo>
                  <a:pt x="1501710" y="205866"/>
                </a:lnTo>
                <a:lnTo>
                  <a:pt x="1509153" y="205866"/>
                </a:lnTo>
                <a:lnTo>
                  <a:pt x="1509153" y="254698"/>
                </a:lnTo>
                <a:cubicBezTo>
                  <a:pt x="1509153" y="258855"/>
                  <a:pt x="1513024" y="262227"/>
                  <a:pt x="1517799" y="262227"/>
                </a:cubicBezTo>
                <a:lnTo>
                  <a:pt x="1519903" y="262227"/>
                </a:lnTo>
                <a:cubicBezTo>
                  <a:pt x="1524678" y="262227"/>
                  <a:pt x="1528549" y="258855"/>
                  <a:pt x="1528549" y="254698"/>
                </a:cubicBezTo>
                <a:lnTo>
                  <a:pt x="1528549" y="205866"/>
                </a:lnTo>
                <a:lnTo>
                  <a:pt x="1528549" y="199255"/>
                </a:lnTo>
                <a:lnTo>
                  <a:pt x="1528549" y="181262"/>
                </a:lnTo>
                <a:lnTo>
                  <a:pt x="1533400" y="197025"/>
                </a:lnTo>
                <a:cubicBezTo>
                  <a:pt x="1534636" y="201041"/>
                  <a:pt x="1539377" y="203423"/>
                  <a:pt x="1543989" y="202347"/>
                </a:cubicBezTo>
                <a:lnTo>
                  <a:pt x="1546022" y="201873"/>
                </a:lnTo>
                <a:cubicBezTo>
                  <a:pt x="1550635" y="200797"/>
                  <a:pt x="1553371" y="196670"/>
                  <a:pt x="1552136" y="192653"/>
                </a:cubicBezTo>
                <a:lnTo>
                  <a:pt x="1535655" y="139098"/>
                </a:lnTo>
                <a:cubicBezTo>
                  <a:pt x="1535191" y="137592"/>
                  <a:pt x="1534235" y="136315"/>
                  <a:pt x="1532977" y="135365"/>
                </a:cubicBezTo>
                <a:lnTo>
                  <a:pt x="1528549" y="133610"/>
                </a:lnTo>
                <a:lnTo>
                  <a:pt x="1528549" y="133396"/>
                </a:lnTo>
                <a:lnTo>
                  <a:pt x="1482314" y="133396"/>
                </a:lnTo>
                <a:close/>
                <a:moveTo>
                  <a:pt x="1679477" y="133396"/>
                </a:moveTo>
                <a:lnTo>
                  <a:pt x="1679477" y="133621"/>
                </a:lnTo>
                <a:lnTo>
                  <a:pt x="1678860" y="133589"/>
                </a:lnTo>
                <a:cubicBezTo>
                  <a:pt x="1675521" y="133992"/>
                  <a:pt x="1672623" y="136086"/>
                  <a:pt x="1671696" y="139098"/>
                </a:cubicBezTo>
                <a:lnTo>
                  <a:pt x="1655215" y="192653"/>
                </a:lnTo>
                <a:cubicBezTo>
                  <a:pt x="1653980" y="196670"/>
                  <a:pt x="1656716" y="200797"/>
                  <a:pt x="1661328" y="201873"/>
                </a:cubicBezTo>
                <a:lnTo>
                  <a:pt x="1663362" y="202347"/>
                </a:lnTo>
                <a:cubicBezTo>
                  <a:pt x="1667974" y="203423"/>
                  <a:pt x="1672715" y="201041"/>
                  <a:pt x="1673951" y="197025"/>
                </a:cubicBezTo>
                <a:lnTo>
                  <a:pt x="1679477" y="179069"/>
                </a:lnTo>
                <a:lnTo>
                  <a:pt x="1679477" y="199255"/>
                </a:lnTo>
                <a:lnTo>
                  <a:pt x="1679477" y="205866"/>
                </a:lnTo>
                <a:lnTo>
                  <a:pt x="1679477" y="254698"/>
                </a:lnTo>
                <a:cubicBezTo>
                  <a:pt x="1679477" y="258855"/>
                  <a:pt x="1683346" y="262227"/>
                  <a:pt x="1688123" y="262227"/>
                </a:cubicBezTo>
                <a:lnTo>
                  <a:pt x="1690227" y="262227"/>
                </a:lnTo>
                <a:cubicBezTo>
                  <a:pt x="1695001" y="262227"/>
                  <a:pt x="1698873" y="258855"/>
                  <a:pt x="1698873" y="254698"/>
                </a:cubicBezTo>
                <a:lnTo>
                  <a:pt x="1698873" y="205866"/>
                </a:lnTo>
                <a:lnTo>
                  <a:pt x="1706314" y="205866"/>
                </a:lnTo>
                <a:lnTo>
                  <a:pt x="1706314" y="254698"/>
                </a:lnTo>
                <a:cubicBezTo>
                  <a:pt x="1706314" y="258855"/>
                  <a:pt x="1710187" y="262227"/>
                  <a:pt x="1714961" y="262227"/>
                </a:cubicBezTo>
                <a:lnTo>
                  <a:pt x="1717066" y="262227"/>
                </a:lnTo>
                <a:cubicBezTo>
                  <a:pt x="1721841" y="262227"/>
                  <a:pt x="1725712" y="258855"/>
                  <a:pt x="1725712" y="254698"/>
                </a:cubicBezTo>
                <a:lnTo>
                  <a:pt x="1725712" y="205866"/>
                </a:lnTo>
                <a:lnTo>
                  <a:pt x="1725712" y="199255"/>
                </a:lnTo>
                <a:lnTo>
                  <a:pt x="1725712" y="181262"/>
                </a:lnTo>
                <a:lnTo>
                  <a:pt x="1730563" y="197025"/>
                </a:lnTo>
                <a:cubicBezTo>
                  <a:pt x="1731799" y="201041"/>
                  <a:pt x="1736539" y="203423"/>
                  <a:pt x="1741152" y="202347"/>
                </a:cubicBezTo>
                <a:lnTo>
                  <a:pt x="1743185" y="201873"/>
                </a:lnTo>
                <a:cubicBezTo>
                  <a:pt x="1747797" y="200797"/>
                  <a:pt x="1750534" y="196670"/>
                  <a:pt x="1749299" y="192653"/>
                </a:cubicBezTo>
                <a:lnTo>
                  <a:pt x="1732817" y="139098"/>
                </a:lnTo>
                <a:cubicBezTo>
                  <a:pt x="1732354" y="137592"/>
                  <a:pt x="1731398" y="136315"/>
                  <a:pt x="1730140" y="135365"/>
                </a:cubicBezTo>
                <a:lnTo>
                  <a:pt x="1725712" y="133610"/>
                </a:lnTo>
                <a:lnTo>
                  <a:pt x="1725712" y="133396"/>
                </a:lnTo>
                <a:lnTo>
                  <a:pt x="1679477" y="133396"/>
                </a:lnTo>
                <a:close/>
                <a:moveTo>
                  <a:pt x="1882298" y="133396"/>
                </a:moveTo>
                <a:lnTo>
                  <a:pt x="1882298" y="133621"/>
                </a:lnTo>
                <a:lnTo>
                  <a:pt x="1881681" y="133589"/>
                </a:lnTo>
                <a:cubicBezTo>
                  <a:pt x="1878344" y="133992"/>
                  <a:pt x="1875446" y="136086"/>
                  <a:pt x="1874518" y="139098"/>
                </a:cubicBezTo>
                <a:lnTo>
                  <a:pt x="1858037" y="192653"/>
                </a:lnTo>
                <a:cubicBezTo>
                  <a:pt x="1856802" y="196670"/>
                  <a:pt x="1859540" y="200797"/>
                  <a:pt x="1864152" y="201873"/>
                </a:cubicBezTo>
                <a:lnTo>
                  <a:pt x="1866184" y="202347"/>
                </a:lnTo>
                <a:cubicBezTo>
                  <a:pt x="1870795" y="203423"/>
                  <a:pt x="1875538" y="201041"/>
                  <a:pt x="1876773" y="197025"/>
                </a:cubicBezTo>
                <a:lnTo>
                  <a:pt x="1882298" y="179069"/>
                </a:lnTo>
                <a:lnTo>
                  <a:pt x="1882298" y="199255"/>
                </a:lnTo>
                <a:lnTo>
                  <a:pt x="1882298" y="205866"/>
                </a:lnTo>
                <a:lnTo>
                  <a:pt x="1882298" y="254698"/>
                </a:lnTo>
                <a:cubicBezTo>
                  <a:pt x="1882298" y="258855"/>
                  <a:pt x="1886170" y="262227"/>
                  <a:pt x="1890944" y="262227"/>
                </a:cubicBezTo>
                <a:lnTo>
                  <a:pt x="1893050" y="262227"/>
                </a:lnTo>
                <a:cubicBezTo>
                  <a:pt x="1897824" y="262227"/>
                  <a:pt x="1901696" y="258855"/>
                  <a:pt x="1901696" y="254698"/>
                </a:cubicBezTo>
                <a:lnTo>
                  <a:pt x="1901696" y="205866"/>
                </a:lnTo>
                <a:lnTo>
                  <a:pt x="1909138" y="205866"/>
                </a:lnTo>
                <a:lnTo>
                  <a:pt x="1909138" y="254698"/>
                </a:lnTo>
                <a:cubicBezTo>
                  <a:pt x="1909138" y="258855"/>
                  <a:pt x="1913008" y="262227"/>
                  <a:pt x="1917783" y="262227"/>
                </a:cubicBezTo>
                <a:lnTo>
                  <a:pt x="1919889" y="262227"/>
                </a:lnTo>
                <a:cubicBezTo>
                  <a:pt x="1924664" y="262227"/>
                  <a:pt x="1928535" y="258855"/>
                  <a:pt x="1928535" y="254698"/>
                </a:cubicBezTo>
                <a:lnTo>
                  <a:pt x="1928535" y="205866"/>
                </a:lnTo>
                <a:lnTo>
                  <a:pt x="1928535" y="199255"/>
                </a:lnTo>
                <a:lnTo>
                  <a:pt x="1928535" y="181262"/>
                </a:lnTo>
                <a:lnTo>
                  <a:pt x="1933385" y="197025"/>
                </a:lnTo>
                <a:cubicBezTo>
                  <a:pt x="1934622" y="201041"/>
                  <a:pt x="1939363" y="203423"/>
                  <a:pt x="1943974" y="202347"/>
                </a:cubicBezTo>
                <a:lnTo>
                  <a:pt x="1946009" y="201873"/>
                </a:lnTo>
                <a:cubicBezTo>
                  <a:pt x="1950620" y="200797"/>
                  <a:pt x="1953357" y="196670"/>
                  <a:pt x="1952121" y="192653"/>
                </a:cubicBezTo>
                <a:lnTo>
                  <a:pt x="1935640" y="139098"/>
                </a:lnTo>
                <a:cubicBezTo>
                  <a:pt x="1935177" y="137592"/>
                  <a:pt x="1934220" y="136315"/>
                  <a:pt x="1932962" y="135365"/>
                </a:cubicBezTo>
                <a:lnTo>
                  <a:pt x="1928535" y="133610"/>
                </a:lnTo>
                <a:lnTo>
                  <a:pt x="1928535" y="133396"/>
                </a:lnTo>
                <a:lnTo>
                  <a:pt x="1882298" y="133396"/>
                </a:lnTo>
                <a:close/>
                <a:moveTo>
                  <a:pt x="2081622" y="133396"/>
                </a:moveTo>
                <a:lnTo>
                  <a:pt x="2081622" y="133621"/>
                </a:lnTo>
                <a:lnTo>
                  <a:pt x="2081004" y="133589"/>
                </a:lnTo>
                <a:cubicBezTo>
                  <a:pt x="2077667" y="133992"/>
                  <a:pt x="2074768" y="136086"/>
                  <a:pt x="2073841" y="139098"/>
                </a:cubicBezTo>
                <a:lnTo>
                  <a:pt x="2057362" y="192653"/>
                </a:lnTo>
                <a:cubicBezTo>
                  <a:pt x="2056126" y="196670"/>
                  <a:pt x="2058863" y="200797"/>
                  <a:pt x="2063474" y="201873"/>
                </a:cubicBezTo>
                <a:lnTo>
                  <a:pt x="2065507" y="202347"/>
                </a:lnTo>
                <a:cubicBezTo>
                  <a:pt x="2070119" y="203423"/>
                  <a:pt x="2074860" y="201041"/>
                  <a:pt x="2076097" y="197025"/>
                </a:cubicBezTo>
                <a:lnTo>
                  <a:pt x="2081622" y="179069"/>
                </a:lnTo>
                <a:lnTo>
                  <a:pt x="2081622" y="199255"/>
                </a:lnTo>
                <a:lnTo>
                  <a:pt x="2081622" y="205866"/>
                </a:lnTo>
                <a:lnTo>
                  <a:pt x="2081622" y="254698"/>
                </a:lnTo>
                <a:cubicBezTo>
                  <a:pt x="2081622" y="258855"/>
                  <a:pt x="2085492" y="262227"/>
                  <a:pt x="2090268" y="262227"/>
                </a:cubicBezTo>
                <a:lnTo>
                  <a:pt x="2092373" y="262227"/>
                </a:lnTo>
                <a:cubicBezTo>
                  <a:pt x="2097148" y="262227"/>
                  <a:pt x="2101019" y="258855"/>
                  <a:pt x="2101019" y="254698"/>
                </a:cubicBezTo>
                <a:lnTo>
                  <a:pt x="2101019" y="205866"/>
                </a:lnTo>
                <a:lnTo>
                  <a:pt x="2108461" y="205866"/>
                </a:lnTo>
                <a:lnTo>
                  <a:pt x="2108461" y="254698"/>
                </a:lnTo>
                <a:cubicBezTo>
                  <a:pt x="2108461" y="258855"/>
                  <a:pt x="2112333" y="262227"/>
                  <a:pt x="2117107" y="262227"/>
                </a:cubicBezTo>
                <a:lnTo>
                  <a:pt x="2119212" y="262227"/>
                </a:lnTo>
                <a:cubicBezTo>
                  <a:pt x="2123987" y="262227"/>
                  <a:pt x="2127858" y="258855"/>
                  <a:pt x="2127858" y="254698"/>
                </a:cubicBezTo>
                <a:lnTo>
                  <a:pt x="2127858" y="205866"/>
                </a:lnTo>
                <a:lnTo>
                  <a:pt x="2127858" y="199255"/>
                </a:lnTo>
                <a:lnTo>
                  <a:pt x="2127858" y="181262"/>
                </a:lnTo>
                <a:lnTo>
                  <a:pt x="2132707" y="197025"/>
                </a:lnTo>
                <a:cubicBezTo>
                  <a:pt x="2133945" y="201041"/>
                  <a:pt x="2138685" y="203423"/>
                  <a:pt x="2143298" y="202347"/>
                </a:cubicBezTo>
                <a:lnTo>
                  <a:pt x="2145331" y="201873"/>
                </a:lnTo>
                <a:cubicBezTo>
                  <a:pt x="2149943" y="200797"/>
                  <a:pt x="2152681" y="196670"/>
                  <a:pt x="2151445" y="192653"/>
                </a:cubicBezTo>
                <a:lnTo>
                  <a:pt x="2134963" y="139098"/>
                </a:lnTo>
                <a:cubicBezTo>
                  <a:pt x="2134501" y="137592"/>
                  <a:pt x="2133542" y="136315"/>
                  <a:pt x="2132286" y="135365"/>
                </a:cubicBezTo>
                <a:lnTo>
                  <a:pt x="2127858" y="133610"/>
                </a:lnTo>
                <a:lnTo>
                  <a:pt x="2127858" y="133396"/>
                </a:lnTo>
                <a:lnTo>
                  <a:pt x="2081622" y="133396"/>
                </a:lnTo>
                <a:close/>
                <a:moveTo>
                  <a:pt x="303668" y="315528"/>
                </a:moveTo>
                <a:cubicBezTo>
                  <a:pt x="293205" y="315528"/>
                  <a:pt x="284721" y="322914"/>
                  <a:pt x="284721" y="332024"/>
                </a:cubicBezTo>
                <a:cubicBezTo>
                  <a:pt x="284721" y="341135"/>
                  <a:pt x="293205" y="348520"/>
                  <a:pt x="303668" y="348520"/>
                </a:cubicBezTo>
                <a:cubicBezTo>
                  <a:pt x="314131" y="348520"/>
                  <a:pt x="322614" y="341135"/>
                  <a:pt x="322614" y="332024"/>
                </a:cubicBezTo>
                <a:cubicBezTo>
                  <a:pt x="322614" y="322914"/>
                  <a:pt x="314131" y="315528"/>
                  <a:pt x="303668" y="315528"/>
                </a:cubicBezTo>
                <a:close/>
                <a:moveTo>
                  <a:pt x="503662" y="315528"/>
                </a:moveTo>
                <a:cubicBezTo>
                  <a:pt x="493198" y="315528"/>
                  <a:pt x="484717" y="322914"/>
                  <a:pt x="484717" y="332024"/>
                </a:cubicBezTo>
                <a:cubicBezTo>
                  <a:pt x="484717" y="341135"/>
                  <a:pt x="493198" y="348520"/>
                  <a:pt x="503662" y="348520"/>
                </a:cubicBezTo>
                <a:cubicBezTo>
                  <a:pt x="514126" y="348520"/>
                  <a:pt x="522607" y="341135"/>
                  <a:pt x="522607" y="332024"/>
                </a:cubicBezTo>
                <a:cubicBezTo>
                  <a:pt x="522607" y="322914"/>
                  <a:pt x="514126" y="315528"/>
                  <a:pt x="503662" y="315528"/>
                </a:cubicBezTo>
                <a:close/>
                <a:moveTo>
                  <a:pt x="703653" y="315528"/>
                </a:moveTo>
                <a:cubicBezTo>
                  <a:pt x="693190" y="315528"/>
                  <a:pt x="684709" y="322914"/>
                  <a:pt x="684709" y="332024"/>
                </a:cubicBezTo>
                <a:cubicBezTo>
                  <a:pt x="684709" y="341135"/>
                  <a:pt x="693190" y="348520"/>
                  <a:pt x="703653" y="348520"/>
                </a:cubicBezTo>
                <a:cubicBezTo>
                  <a:pt x="714117" y="348520"/>
                  <a:pt x="722600" y="341135"/>
                  <a:pt x="722600" y="332024"/>
                </a:cubicBezTo>
                <a:cubicBezTo>
                  <a:pt x="722600" y="322914"/>
                  <a:pt x="714117" y="315528"/>
                  <a:pt x="703653" y="315528"/>
                </a:cubicBezTo>
                <a:close/>
                <a:moveTo>
                  <a:pt x="903646" y="315528"/>
                </a:moveTo>
                <a:cubicBezTo>
                  <a:pt x="893183" y="315528"/>
                  <a:pt x="884701" y="322914"/>
                  <a:pt x="884701" y="332024"/>
                </a:cubicBezTo>
                <a:cubicBezTo>
                  <a:pt x="884701" y="341135"/>
                  <a:pt x="893183" y="348520"/>
                  <a:pt x="903646" y="348520"/>
                </a:cubicBezTo>
                <a:cubicBezTo>
                  <a:pt x="914110" y="348520"/>
                  <a:pt x="922591" y="341135"/>
                  <a:pt x="922591" y="332024"/>
                </a:cubicBezTo>
                <a:cubicBezTo>
                  <a:pt x="922591" y="322914"/>
                  <a:pt x="914110" y="315528"/>
                  <a:pt x="903646" y="315528"/>
                </a:cubicBezTo>
                <a:close/>
                <a:moveTo>
                  <a:pt x="1103638" y="315528"/>
                </a:moveTo>
                <a:cubicBezTo>
                  <a:pt x="1093175" y="315528"/>
                  <a:pt x="1084694" y="322914"/>
                  <a:pt x="1084694" y="332024"/>
                </a:cubicBezTo>
                <a:cubicBezTo>
                  <a:pt x="1084694" y="341135"/>
                  <a:pt x="1093175" y="348520"/>
                  <a:pt x="1103638" y="348520"/>
                </a:cubicBezTo>
                <a:cubicBezTo>
                  <a:pt x="1114102" y="348520"/>
                  <a:pt x="1122584" y="341135"/>
                  <a:pt x="1122584" y="332024"/>
                </a:cubicBezTo>
                <a:cubicBezTo>
                  <a:pt x="1122584" y="322914"/>
                  <a:pt x="1114102" y="315528"/>
                  <a:pt x="1103638" y="315528"/>
                </a:cubicBezTo>
                <a:close/>
                <a:moveTo>
                  <a:pt x="1303631" y="315528"/>
                </a:moveTo>
                <a:cubicBezTo>
                  <a:pt x="1293167" y="315528"/>
                  <a:pt x="1284685" y="322914"/>
                  <a:pt x="1284685" y="332024"/>
                </a:cubicBezTo>
                <a:cubicBezTo>
                  <a:pt x="1284685" y="341135"/>
                  <a:pt x="1293167" y="348520"/>
                  <a:pt x="1303631" y="348520"/>
                </a:cubicBezTo>
                <a:cubicBezTo>
                  <a:pt x="1314095" y="348520"/>
                  <a:pt x="1322576" y="341135"/>
                  <a:pt x="1322576" y="332024"/>
                </a:cubicBezTo>
                <a:cubicBezTo>
                  <a:pt x="1322576" y="322914"/>
                  <a:pt x="1314095" y="315528"/>
                  <a:pt x="1303631" y="315528"/>
                </a:cubicBezTo>
                <a:close/>
                <a:moveTo>
                  <a:pt x="1505923" y="315528"/>
                </a:moveTo>
                <a:cubicBezTo>
                  <a:pt x="1495460" y="315528"/>
                  <a:pt x="1486979" y="322914"/>
                  <a:pt x="1486979" y="332024"/>
                </a:cubicBezTo>
                <a:cubicBezTo>
                  <a:pt x="1486979" y="341135"/>
                  <a:pt x="1495460" y="348520"/>
                  <a:pt x="1505923" y="348520"/>
                </a:cubicBezTo>
                <a:cubicBezTo>
                  <a:pt x="1516387" y="348520"/>
                  <a:pt x="1524868" y="341135"/>
                  <a:pt x="1524868" y="332024"/>
                </a:cubicBezTo>
                <a:cubicBezTo>
                  <a:pt x="1524868" y="322914"/>
                  <a:pt x="1516387" y="315528"/>
                  <a:pt x="1505923" y="315528"/>
                </a:cubicBezTo>
                <a:close/>
                <a:moveTo>
                  <a:pt x="1703085" y="315528"/>
                </a:moveTo>
                <a:cubicBezTo>
                  <a:pt x="1692623" y="315528"/>
                  <a:pt x="1684140" y="322914"/>
                  <a:pt x="1684140" y="332024"/>
                </a:cubicBezTo>
                <a:cubicBezTo>
                  <a:pt x="1684140" y="341135"/>
                  <a:pt x="1692623" y="348520"/>
                  <a:pt x="1703085" y="348520"/>
                </a:cubicBezTo>
                <a:cubicBezTo>
                  <a:pt x="1713550" y="348520"/>
                  <a:pt x="1722031" y="341135"/>
                  <a:pt x="1722031" y="332024"/>
                </a:cubicBezTo>
                <a:cubicBezTo>
                  <a:pt x="1722031" y="322914"/>
                  <a:pt x="1713550" y="315528"/>
                  <a:pt x="1703085" y="315528"/>
                </a:cubicBezTo>
                <a:close/>
                <a:moveTo>
                  <a:pt x="1905908" y="315528"/>
                </a:moveTo>
                <a:cubicBezTo>
                  <a:pt x="1895444" y="315528"/>
                  <a:pt x="1886962" y="322914"/>
                  <a:pt x="1886962" y="332024"/>
                </a:cubicBezTo>
                <a:cubicBezTo>
                  <a:pt x="1886962" y="341135"/>
                  <a:pt x="1895444" y="348520"/>
                  <a:pt x="1905908" y="348520"/>
                </a:cubicBezTo>
                <a:cubicBezTo>
                  <a:pt x="1916372" y="348520"/>
                  <a:pt x="1924855" y="341135"/>
                  <a:pt x="1924855" y="332024"/>
                </a:cubicBezTo>
                <a:cubicBezTo>
                  <a:pt x="1924855" y="322914"/>
                  <a:pt x="1916372" y="315528"/>
                  <a:pt x="1905908" y="315528"/>
                </a:cubicBezTo>
                <a:close/>
                <a:moveTo>
                  <a:pt x="2105231" y="315528"/>
                </a:moveTo>
                <a:cubicBezTo>
                  <a:pt x="2094769" y="315528"/>
                  <a:pt x="2086286" y="322914"/>
                  <a:pt x="2086286" y="332024"/>
                </a:cubicBezTo>
                <a:cubicBezTo>
                  <a:pt x="2086286" y="341135"/>
                  <a:pt x="2094769" y="348520"/>
                  <a:pt x="2105231" y="348520"/>
                </a:cubicBezTo>
                <a:cubicBezTo>
                  <a:pt x="2115694" y="348520"/>
                  <a:pt x="2124177" y="341135"/>
                  <a:pt x="2124177" y="332024"/>
                </a:cubicBezTo>
                <a:cubicBezTo>
                  <a:pt x="2124177" y="322914"/>
                  <a:pt x="2115694" y="315528"/>
                  <a:pt x="2105231" y="315528"/>
                </a:cubicBezTo>
                <a:close/>
                <a:moveTo>
                  <a:pt x="280058" y="352185"/>
                </a:moveTo>
                <a:lnTo>
                  <a:pt x="280058" y="352410"/>
                </a:lnTo>
                <a:lnTo>
                  <a:pt x="279441" y="352375"/>
                </a:lnTo>
                <a:cubicBezTo>
                  <a:pt x="276104" y="352781"/>
                  <a:pt x="273205" y="354874"/>
                  <a:pt x="272279" y="357886"/>
                </a:cubicBezTo>
                <a:lnTo>
                  <a:pt x="255797" y="411442"/>
                </a:lnTo>
                <a:cubicBezTo>
                  <a:pt x="254561" y="415458"/>
                  <a:pt x="257298" y="419586"/>
                  <a:pt x="261911" y="420662"/>
                </a:cubicBezTo>
                <a:lnTo>
                  <a:pt x="263944" y="421136"/>
                </a:lnTo>
                <a:cubicBezTo>
                  <a:pt x="268557" y="422212"/>
                  <a:pt x="273297" y="419828"/>
                  <a:pt x="274533" y="415813"/>
                </a:cubicBezTo>
                <a:lnTo>
                  <a:pt x="280058" y="397857"/>
                </a:lnTo>
                <a:lnTo>
                  <a:pt x="280058" y="418041"/>
                </a:lnTo>
                <a:lnTo>
                  <a:pt x="280058" y="424655"/>
                </a:lnTo>
                <a:lnTo>
                  <a:pt x="280058" y="473487"/>
                </a:lnTo>
                <a:cubicBezTo>
                  <a:pt x="280058" y="477644"/>
                  <a:pt x="283930" y="481014"/>
                  <a:pt x="288705" y="481014"/>
                </a:cubicBezTo>
                <a:lnTo>
                  <a:pt x="290809" y="481014"/>
                </a:lnTo>
                <a:cubicBezTo>
                  <a:pt x="295584" y="481014"/>
                  <a:pt x="299455" y="477644"/>
                  <a:pt x="299455" y="473487"/>
                </a:cubicBezTo>
                <a:lnTo>
                  <a:pt x="299455" y="424655"/>
                </a:lnTo>
                <a:lnTo>
                  <a:pt x="306898" y="424655"/>
                </a:lnTo>
                <a:lnTo>
                  <a:pt x="306898" y="473487"/>
                </a:lnTo>
                <a:cubicBezTo>
                  <a:pt x="306898" y="477644"/>
                  <a:pt x="310769" y="481014"/>
                  <a:pt x="315544" y="481014"/>
                </a:cubicBezTo>
                <a:lnTo>
                  <a:pt x="317649" y="481014"/>
                </a:lnTo>
                <a:cubicBezTo>
                  <a:pt x="322423" y="481014"/>
                  <a:pt x="326293" y="477644"/>
                  <a:pt x="326293" y="473487"/>
                </a:cubicBezTo>
                <a:lnTo>
                  <a:pt x="326293" y="424655"/>
                </a:lnTo>
                <a:lnTo>
                  <a:pt x="326293" y="418041"/>
                </a:lnTo>
                <a:lnTo>
                  <a:pt x="326293" y="400049"/>
                </a:lnTo>
                <a:lnTo>
                  <a:pt x="331145" y="415813"/>
                </a:lnTo>
                <a:cubicBezTo>
                  <a:pt x="332381" y="419828"/>
                  <a:pt x="337122" y="422212"/>
                  <a:pt x="341734" y="421136"/>
                </a:cubicBezTo>
                <a:lnTo>
                  <a:pt x="343767" y="420662"/>
                </a:lnTo>
                <a:cubicBezTo>
                  <a:pt x="348380" y="419586"/>
                  <a:pt x="351116" y="415458"/>
                  <a:pt x="349881" y="411442"/>
                </a:cubicBezTo>
                <a:lnTo>
                  <a:pt x="333400" y="357886"/>
                </a:lnTo>
                <a:cubicBezTo>
                  <a:pt x="332936" y="356380"/>
                  <a:pt x="331980" y="355103"/>
                  <a:pt x="330722" y="354153"/>
                </a:cubicBezTo>
                <a:lnTo>
                  <a:pt x="326293" y="352399"/>
                </a:lnTo>
                <a:lnTo>
                  <a:pt x="326293" y="352185"/>
                </a:lnTo>
                <a:lnTo>
                  <a:pt x="280058" y="352185"/>
                </a:lnTo>
                <a:close/>
                <a:moveTo>
                  <a:pt x="480053" y="352185"/>
                </a:moveTo>
                <a:lnTo>
                  <a:pt x="480053" y="352410"/>
                </a:lnTo>
                <a:lnTo>
                  <a:pt x="479436" y="352375"/>
                </a:lnTo>
                <a:cubicBezTo>
                  <a:pt x="476099" y="352781"/>
                  <a:pt x="473200" y="354874"/>
                  <a:pt x="472272" y="357886"/>
                </a:cubicBezTo>
                <a:lnTo>
                  <a:pt x="455791" y="411442"/>
                </a:lnTo>
                <a:cubicBezTo>
                  <a:pt x="454555" y="415458"/>
                  <a:pt x="457292" y="419586"/>
                  <a:pt x="461906" y="420662"/>
                </a:cubicBezTo>
                <a:lnTo>
                  <a:pt x="463938" y="421136"/>
                </a:lnTo>
                <a:cubicBezTo>
                  <a:pt x="468550" y="422212"/>
                  <a:pt x="473292" y="419828"/>
                  <a:pt x="474527" y="415813"/>
                </a:cubicBezTo>
                <a:lnTo>
                  <a:pt x="480053" y="397857"/>
                </a:lnTo>
                <a:lnTo>
                  <a:pt x="480053" y="418041"/>
                </a:lnTo>
                <a:lnTo>
                  <a:pt x="480053" y="424655"/>
                </a:lnTo>
                <a:lnTo>
                  <a:pt x="480053" y="473487"/>
                </a:lnTo>
                <a:cubicBezTo>
                  <a:pt x="480053" y="477644"/>
                  <a:pt x="483924" y="481014"/>
                  <a:pt x="488698" y="481014"/>
                </a:cubicBezTo>
                <a:lnTo>
                  <a:pt x="490804" y="481014"/>
                </a:lnTo>
                <a:cubicBezTo>
                  <a:pt x="495578" y="481014"/>
                  <a:pt x="499450" y="477644"/>
                  <a:pt x="499450" y="473487"/>
                </a:cubicBezTo>
                <a:lnTo>
                  <a:pt x="499450" y="424655"/>
                </a:lnTo>
                <a:lnTo>
                  <a:pt x="506892" y="424655"/>
                </a:lnTo>
                <a:lnTo>
                  <a:pt x="506892" y="473487"/>
                </a:lnTo>
                <a:cubicBezTo>
                  <a:pt x="506892" y="477644"/>
                  <a:pt x="510763" y="481014"/>
                  <a:pt x="515538" y="481014"/>
                </a:cubicBezTo>
                <a:lnTo>
                  <a:pt x="517643" y="481014"/>
                </a:lnTo>
                <a:cubicBezTo>
                  <a:pt x="522418" y="481014"/>
                  <a:pt x="526287" y="477644"/>
                  <a:pt x="526287" y="473487"/>
                </a:cubicBezTo>
                <a:lnTo>
                  <a:pt x="526287" y="424655"/>
                </a:lnTo>
                <a:lnTo>
                  <a:pt x="526287" y="418041"/>
                </a:lnTo>
                <a:lnTo>
                  <a:pt x="526287" y="400049"/>
                </a:lnTo>
                <a:lnTo>
                  <a:pt x="531139" y="415813"/>
                </a:lnTo>
                <a:cubicBezTo>
                  <a:pt x="532375" y="419828"/>
                  <a:pt x="537116" y="422212"/>
                  <a:pt x="541727" y="421136"/>
                </a:cubicBezTo>
                <a:lnTo>
                  <a:pt x="543761" y="420662"/>
                </a:lnTo>
                <a:cubicBezTo>
                  <a:pt x="548373" y="419586"/>
                  <a:pt x="551110" y="415458"/>
                  <a:pt x="549875" y="411442"/>
                </a:cubicBezTo>
                <a:lnTo>
                  <a:pt x="533394" y="357886"/>
                </a:lnTo>
                <a:cubicBezTo>
                  <a:pt x="532930" y="356380"/>
                  <a:pt x="531974" y="355103"/>
                  <a:pt x="530716" y="354153"/>
                </a:cubicBezTo>
                <a:lnTo>
                  <a:pt x="526287" y="352399"/>
                </a:lnTo>
                <a:lnTo>
                  <a:pt x="526287" y="352185"/>
                </a:lnTo>
                <a:lnTo>
                  <a:pt x="480053" y="352185"/>
                </a:lnTo>
                <a:close/>
                <a:moveTo>
                  <a:pt x="680045" y="352185"/>
                </a:moveTo>
                <a:lnTo>
                  <a:pt x="680045" y="352410"/>
                </a:lnTo>
                <a:lnTo>
                  <a:pt x="679427" y="352375"/>
                </a:lnTo>
                <a:cubicBezTo>
                  <a:pt x="676090" y="352781"/>
                  <a:pt x="673192" y="354874"/>
                  <a:pt x="672265" y="357886"/>
                </a:cubicBezTo>
                <a:lnTo>
                  <a:pt x="655783" y="411442"/>
                </a:lnTo>
                <a:cubicBezTo>
                  <a:pt x="654547" y="415458"/>
                  <a:pt x="657285" y="419586"/>
                  <a:pt x="661899" y="420662"/>
                </a:cubicBezTo>
                <a:lnTo>
                  <a:pt x="663930" y="421136"/>
                </a:lnTo>
                <a:cubicBezTo>
                  <a:pt x="668542" y="422212"/>
                  <a:pt x="673282" y="419828"/>
                  <a:pt x="674518" y="415813"/>
                </a:cubicBezTo>
                <a:lnTo>
                  <a:pt x="680045" y="397857"/>
                </a:lnTo>
                <a:lnTo>
                  <a:pt x="680045" y="418041"/>
                </a:lnTo>
                <a:lnTo>
                  <a:pt x="680045" y="424655"/>
                </a:lnTo>
                <a:lnTo>
                  <a:pt x="680045" y="473487"/>
                </a:lnTo>
                <a:cubicBezTo>
                  <a:pt x="680045" y="477644"/>
                  <a:pt x="683916" y="481014"/>
                  <a:pt x="688691" y="481014"/>
                </a:cubicBezTo>
                <a:lnTo>
                  <a:pt x="690797" y="481014"/>
                </a:lnTo>
                <a:cubicBezTo>
                  <a:pt x="695570" y="481014"/>
                  <a:pt x="699443" y="477644"/>
                  <a:pt x="699443" y="473487"/>
                </a:cubicBezTo>
                <a:lnTo>
                  <a:pt x="699443" y="424655"/>
                </a:lnTo>
                <a:lnTo>
                  <a:pt x="706884" y="424655"/>
                </a:lnTo>
                <a:lnTo>
                  <a:pt x="706884" y="473487"/>
                </a:lnTo>
                <a:cubicBezTo>
                  <a:pt x="706884" y="477644"/>
                  <a:pt x="710754" y="481014"/>
                  <a:pt x="715530" y="481014"/>
                </a:cubicBezTo>
                <a:lnTo>
                  <a:pt x="717635" y="481014"/>
                </a:lnTo>
                <a:cubicBezTo>
                  <a:pt x="722411" y="481014"/>
                  <a:pt x="726280" y="477644"/>
                  <a:pt x="726280" y="473487"/>
                </a:cubicBezTo>
                <a:lnTo>
                  <a:pt x="726280" y="424655"/>
                </a:lnTo>
                <a:lnTo>
                  <a:pt x="726280" y="418041"/>
                </a:lnTo>
                <a:lnTo>
                  <a:pt x="726280" y="400049"/>
                </a:lnTo>
                <a:lnTo>
                  <a:pt x="731132" y="415813"/>
                </a:lnTo>
                <a:cubicBezTo>
                  <a:pt x="732368" y="419828"/>
                  <a:pt x="737108" y="422212"/>
                  <a:pt x="741720" y="421136"/>
                </a:cubicBezTo>
                <a:lnTo>
                  <a:pt x="743753" y="420662"/>
                </a:lnTo>
                <a:cubicBezTo>
                  <a:pt x="748365" y="419586"/>
                  <a:pt x="751103" y="415458"/>
                  <a:pt x="749868" y="411442"/>
                </a:cubicBezTo>
                <a:lnTo>
                  <a:pt x="733385" y="357886"/>
                </a:lnTo>
                <a:cubicBezTo>
                  <a:pt x="732923" y="356380"/>
                  <a:pt x="731967" y="355103"/>
                  <a:pt x="730709" y="354153"/>
                </a:cubicBezTo>
                <a:lnTo>
                  <a:pt x="726280" y="352399"/>
                </a:lnTo>
                <a:lnTo>
                  <a:pt x="726280" y="352185"/>
                </a:lnTo>
                <a:lnTo>
                  <a:pt x="680045" y="352185"/>
                </a:lnTo>
                <a:close/>
                <a:moveTo>
                  <a:pt x="880037" y="352185"/>
                </a:moveTo>
                <a:lnTo>
                  <a:pt x="880037" y="352410"/>
                </a:lnTo>
                <a:lnTo>
                  <a:pt x="879420" y="352375"/>
                </a:lnTo>
                <a:cubicBezTo>
                  <a:pt x="876083" y="352781"/>
                  <a:pt x="873184" y="354874"/>
                  <a:pt x="872256" y="357886"/>
                </a:cubicBezTo>
                <a:lnTo>
                  <a:pt x="855776" y="411442"/>
                </a:lnTo>
                <a:cubicBezTo>
                  <a:pt x="854540" y="415458"/>
                  <a:pt x="857277" y="419586"/>
                  <a:pt x="861890" y="420662"/>
                </a:cubicBezTo>
                <a:lnTo>
                  <a:pt x="863923" y="421136"/>
                </a:lnTo>
                <a:cubicBezTo>
                  <a:pt x="868534" y="422212"/>
                  <a:pt x="873275" y="419828"/>
                  <a:pt x="874511" y="415813"/>
                </a:cubicBezTo>
                <a:lnTo>
                  <a:pt x="880037" y="397857"/>
                </a:lnTo>
                <a:lnTo>
                  <a:pt x="880037" y="418041"/>
                </a:lnTo>
                <a:lnTo>
                  <a:pt x="880037" y="424655"/>
                </a:lnTo>
                <a:lnTo>
                  <a:pt x="880037" y="473487"/>
                </a:lnTo>
                <a:cubicBezTo>
                  <a:pt x="880037" y="477644"/>
                  <a:pt x="883909" y="481014"/>
                  <a:pt x="888683" y="481014"/>
                </a:cubicBezTo>
                <a:lnTo>
                  <a:pt x="890788" y="481014"/>
                </a:lnTo>
                <a:cubicBezTo>
                  <a:pt x="895563" y="481014"/>
                  <a:pt x="899434" y="477644"/>
                  <a:pt x="899434" y="473487"/>
                </a:cubicBezTo>
                <a:lnTo>
                  <a:pt x="899434" y="424655"/>
                </a:lnTo>
                <a:lnTo>
                  <a:pt x="906877" y="424655"/>
                </a:lnTo>
                <a:lnTo>
                  <a:pt x="906877" y="473487"/>
                </a:lnTo>
                <a:cubicBezTo>
                  <a:pt x="906877" y="477644"/>
                  <a:pt x="910747" y="481014"/>
                  <a:pt x="915521" y="481014"/>
                </a:cubicBezTo>
                <a:lnTo>
                  <a:pt x="917628" y="481014"/>
                </a:lnTo>
                <a:cubicBezTo>
                  <a:pt x="922402" y="481014"/>
                  <a:pt x="926272" y="477644"/>
                  <a:pt x="926272" y="473487"/>
                </a:cubicBezTo>
                <a:lnTo>
                  <a:pt x="926272" y="424655"/>
                </a:lnTo>
                <a:lnTo>
                  <a:pt x="926272" y="418041"/>
                </a:lnTo>
                <a:lnTo>
                  <a:pt x="926272" y="400049"/>
                </a:lnTo>
                <a:lnTo>
                  <a:pt x="931123" y="415813"/>
                </a:lnTo>
                <a:cubicBezTo>
                  <a:pt x="932359" y="419828"/>
                  <a:pt x="937100" y="422212"/>
                  <a:pt x="941712" y="421136"/>
                </a:cubicBezTo>
                <a:lnTo>
                  <a:pt x="943745" y="420662"/>
                </a:lnTo>
                <a:cubicBezTo>
                  <a:pt x="948358" y="419586"/>
                  <a:pt x="951095" y="415458"/>
                  <a:pt x="949860" y="411442"/>
                </a:cubicBezTo>
                <a:lnTo>
                  <a:pt x="933378" y="357886"/>
                </a:lnTo>
                <a:cubicBezTo>
                  <a:pt x="932915" y="356380"/>
                  <a:pt x="931958" y="355103"/>
                  <a:pt x="930701" y="354153"/>
                </a:cubicBezTo>
                <a:lnTo>
                  <a:pt x="926272" y="352399"/>
                </a:lnTo>
                <a:lnTo>
                  <a:pt x="926272" y="352185"/>
                </a:lnTo>
                <a:lnTo>
                  <a:pt x="880037" y="352185"/>
                </a:lnTo>
                <a:close/>
                <a:moveTo>
                  <a:pt x="1080030" y="352185"/>
                </a:moveTo>
                <a:lnTo>
                  <a:pt x="1080030" y="352410"/>
                </a:lnTo>
                <a:lnTo>
                  <a:pt x="1079412" y="352375"/>
                </a:lnTo>
                <a:cubicBezTo>
                  <a:pt x="1076075" y="352781"/>
                  <a:pt x="1073176" y="354874"/>
                  <a:pt x="1072249" y="357886"/>
                </a:cubicBezTo>
                <a:lnTo>
                  <a:pt x="1055767" y="411442"/>
                </a:lnTo>
                <a:cubicBezTo>
                  <a:pt x="1054531" y="415458"/>
                  <a:pt x="1057269" y="419586"/>
                  <a:pt x="1061881" y="420662"/>
                </a:cubicBezTo>
                <a:lnTo>
                  <a:pt x="1063914" y="421136"/>
                </a:lnTo>
                <a:cubicBezTo>
                  <a:pt x="1068527" y="422212"/>
                  <a:pt x="1073267" y="419828"/>
                  <a:pt x="1074503" y="415813"/>
                </a:cubicBezTo>
                <a:lnTo>
                  <a:pt x="1080030" y="397857"/>
                </a:lnTo>
                <a:lnTo>
                  <a:pt x="1080030" y="418041"/>
                </a:lnTo>
                <a:lnTo>
                  <a:pt x="1080030" y="424655"/>
                </a:lnTo>
                <a:lnTo>
                  <a:pt x="1080030" y="473487"/>
                </a:lnTo>
                <a:cubicBezTo>
                  <a:pt x="1080030" y="477644"/>
                  <a:pt x="1083900" y="481014"/>
                  <a:pt x="1088676" y="481014"/>
                </a:cubicBezTo>
                <a:lnTo>
                  <a:pt x="1090781" y="481014"/>
                </a:lnTo>
                <a:cubicBezTo>
                  <a:pt x="1095554" y="481014"/>
                  <a:pt x="1099427" y="477644"/>
                  <a:pt x="1099427" y="473487"/>
                </a:cubicBezTo>
                <a:lnTo>
                  <a:pt x="1099427" y="424655"/>
                </a:lnTo>
                <a:lnTo>
                  <a:pt x="1106868" y="424655"/>
                </a:lnTo>
                <a:lnTo>
                  <a:pt x="1106868" y="473487"/>
                </a:lnTo>
                <a:cubicBezTo>
                  <a:pt x="1106868" y="477644"/>
                  <a:pt x="1110739" y="481014"/>
                  <a:pt x="1115514" y="481014"/>
                </a:cubicBezTo>
                <a:lnTo>
                  <a:pt x="1117619" y="481014"/>
                </a:lnTo>
                <a:cubicBezTo>
                  <a:pt x="1122395" y="481014"/>
                  <a:pt x="1126264" y="477644"/>
                  <a:pt x="1126264" y="473487"/>
                </a:cubicBezTo>
                <a:lnTo>
                  <a:pt x="1126264" y="424655"/>
                </a:lnTo>
                <a:lnTo>
                  <a:pt x="1126264" y="418041"/>
                </a:lnTo>
                <a:lnTo>
                  <a:pt x="1126264" y="400049"/>
                </a:lnTo>
                <a:lnTo>
                  <a:pt x="1131115" y="415813"/>
                </a:lnTo>
                <a:cubicBezTo>
                  <a:pt x="1132352" y="419828"/>
                  <a:pt x="1137092" y="422212"/>
                  <a:pt x="1141704" y="421136"/>
                </a:cubicBezTo>
                <a:lnTo>
                  <a:pt x="1143738" y="420662"/>
                </a:lnTo>
                <a:cubicBezTo>
                  <a:pt x="1148350" y="419586"/>
                  <a:pt x="1151086" y="415458"/>
                  <a:pt x="1149853" y="411442"/>
                </a:cubicBezTo>
                <a:lnTo>
                  <a:pt x="1133370" y="357886"/>
                </a:lnTo>
                <a:cubicBezTo>
                  <a:pt x="1132906" y="356380"/>
                  <a:pt x="1131950" y="355103"/>
                  <a:pt x="1130693" y="354153"/>
                </a:cubicBezTo>
                <a:lnTo>
                  <a:pt x="1126264" y="352399"/>
                </a:lnTo>
                <a:lnTo>
                  <a:pt x="1126264" y="352185"/>
                </a:lnTo>
                <a:lnTo>
                  <a:pt x="1080030" y="352185"/>
                </a:lnTo>
                <a:close/>
                <a:moveTo>
                  <a:pt x="1280022" y="352185"/>
                </a:moveTo>
                <a:lnTo>
                  <a:pt x="1280022" y="352410"/>
                </a:lnTo>
                <a:lnTo>
                  <a:pt x="1279405" y="352375"/>
                </a:lnTo>
                <a:cubicBezTo>
                  <a:pt x="1276068" y="352781"/>
                  <a:pt x="1273169" y="354874"/>
                  <a:pt x="1272241" y="357886"/>
                </a:cubicBezTo>
                <a:lnTo>
                  <a:pt x="1255760" y="411442"/>
                </a:lnTo>
                <a:cubicBezTo>
                  <a:pt x="1254524" y="415458"/>
                  <a:pt x="1257261" y="419586"/>
                  <a:pt x="1261874" y="420662"/>
                </a:cubicBezTo>
                <a:lnTo>
                  <a:pt x="1263907" y="421136"/>
                </a:lnTo>
                <a:cubicBezTo>
                  <a:pt x="1268519" y="422212"/>
                  <a:pt x="1273260" y="419828"/>
                  <a:pt x="1274496" y="415813"/>
                </a:cubicBezTo>
                <a:lnTo>
                  <a:pt x="1280022" y="397857"/>
                </a:lnTo>
                <a:lnTo>
                  <a:pt x="1280022" y="418041"/>
                </a:lnTo>
                <a:lnTo>
                  <a:pt x="1280022" y="424655"/>
                </a:lnTo>
                <a:lnTo>
                  <a:pt x="1280022" y="473487"/>
                </a:lnTo>
                <a:cubicBezTo>
                  <a:pt x="1280022" y="477644"/>
                  <a:pt x="1283892" y="481014"/>
                  <a:pt x="1288667" y="481014"/>
                </a:cubicBezTo>
                <a:lnTo>
                  <a:pt x="1290773" y="481014"/>
                </a:lnTo>
                <a:cubicBezTo>
                  <a:pt x="1295546" y="481014"/>
                  <a:pt x="1299419" y="477644"/>
                  <a:pt x="1299419" y="473487"/>
                </a:cubicBezTo>
                <a:lnTo>
                  <a:pt x="1299419" y="424655"/>
                </a:lnTo>
                <a:lnTo>
                  <a:pt x="1306860" y="424655"/>
                </a:lnTo>
                <a:lnTo>
                  <a:pt x="1306860" y="473487"/>
                </a:lnTo>
                <a:cubicBezTo>
                  <a:pt x="1306860" y="477644"/>
                  <a:pt x="1310732" y="481014"/>
                  <a:pt x="1315506" y="481014"/>
                </a:cubicBezTo>
                <a:lnTo>
                  <a:pt x="1317610" y="481014"/>
                </a:lnTo>
                <a:cubicBezTo>
                  <a:pt x="1322387" y="481014"/>
                  <a:pt x="1326256" y="477644"/>
                  <a:pt x="1326256" y="473487"/>
                </a:cubicBezTo>
                <a:lnTo>
                  <a:pt x="1326256" y="424655"/>
                </a:lnTo>
                <a:lnTo>
                  <a:pt x="1326256" y="418041"/>
                </a:lnTo>
                <a:lnTo>
                  <a:pt x="1326256" y="400049"/>
                </a:lnTo>
                <a:lnTo>
                  <a:pt x="1331108" y="415813"/>
                </a:lnTo>
                <a:cubicBezTo>
                  <a:pt x="1332344" y="419828"/>
                  <a:pt x="1337084" y="422212"/>
                  <a:pt x="1341696" y="421136"/>
                </a:cubicBezTo>
                <a:lnTo>
                  <a:pt x="1343730" y="420662"/>
                </a:lnTo>
                <a:cubicBezTo>
                  <a:pt x="1348342" y="419586"/>
                  <a:pt x="1351079" y="415458"/>
                  <a:pt x="1349844" y="411442"/>
                </a:cubicBezTo>
                <a:lnTo>
                  <a:pt x="1333361" y="357886"/>
                </a:lnTo>
                <a:cubicBezTo>
                  <a:pt x="1332899" y="356380"/>
                  <a:pt x="1331943" y="355103"/>
                  <a:pt x="1330685" y="354153"/>
                </a:cubicBezTo>
                <a:lnTo>
                  <a:pt x="1326256" y="352399"/>
                </a:lnTo>
                <a:lnTo>
                  <a:pt x="1326256" y="352185"/>
                </a:lnTo>
                <a:lnTo>
                  <a:pt x="1280022" y="352185"/>
                </a:lnTo>
                <a:close/>
                <a:moveTo>
                  <a:pt x="1482314" y="352185"/>
                </a:moveTo>
                <a:lnTo>
                  <a:pt x="1482314" y="352410"/>
                </a:lnTo>
                <a:lnTo>
                  <a:pt x="1481697" y="352375"/>
                </a:lnTo>
                <a:cubicBezTo>
                  <a:pt x="1478360" y="352781"/>
                  <a:pt x="1475461" y="354874"/>
                  <a:pt x="1474533" y="357886"/>
                </a:cubicBezTo>
                <a:lnTo>
                  <a:pt x="1458052" y="411442"/>
                </a:lnTo>
                <a:cubicBezTo>
                  <a:pt x="1456817" y="415458"/>
                  <a:pt x="1459553" y="419586"/>
                  <a:pt x="1464166" y="420662"/>
                </a:cubicBezTo>
                <a:lnTo>
                  <a:pt x="1466199" y="421136"/>
                </a:lnTo>
                <a:cubicBezTo>
                  <a:pt x="1470811" y="422212"/>
                  <a:pt x="1475552" y="419828"/>
                  <a:pt x="1476788" y="415813"/>
                </a:cubicBezTo>
                <a:lnTo>
                  <a:pt x="1482314" y="397857"/>
                </a:lnTo>
                <a:lnTo>
                  <a:pt x="1482314" y="418041"/>
                </a:lnTo>
                <a:lnTo>
                  <a:pt x="1482314" y="424655"/>
                </a:lnTo>
                <a:lnTo>
                  <a:pt x="1482314" y="473487"/>
                </a:lnTo>
                <a:cubicBezTo>
                  <a:pt x="1482314" y="477644"/>
                  <a:pt x="1486185" y="481014"/>
                  <a:pt x="1490960" y="481014"/>
                </a:cubicBezTo>
                <a:lnTo>
                  <a:pt x="1493064" y="481014"/>
                </a:lnTo>
                <a:cubicBezTo>
                  <a:pt x="1497840" y="481014"/>
                  <a:pt x="1501710" y="477644"/>
                  <a:pt x="1501710" y="473487"/>
                </a:cubicBezTo>
                <a:lnTo>
                  <a:pt x="1501710" y="424655"/>
                </a:lnTo>
                <a:lnTo>
                  <a:pt x="1509153" y="424655"/>
                </a:lnTo>
                <a:lnTo>
                  <a:pt x="1509153" y="473487"/>
                </a:lnTo>
                <a:cubicBezTo>
                  <a:pt x="1509153" y="477644"/>
                  <a:pt x="1513024" y="481014"/>
                  <a:pt x="1517799" y="481014"/>
                </a:cubicBezTo>
                <a:lnTo>
                  <a:pt x="1519903" y="481014"/>
                </a:lnTo>
                <a:cubicBezTo>
                  <a:pt x="1524678" y="481014"/>
                  <a:pt x="1528549" y="477644"/>
                  <a:pt x="1528549" y="473487"/>
                </a:cubicBezTo>
                <a:lnTo>
                  <a:pt x="1528549" y="424655"/>
                </a:lnTo>
                <a:lnTo>
                  <a:pt x="1528549" y="418041"/>
                </a:lnTo>
                <a:lnTo>
                  <a:pt x="1528549" y="400049"/>
                </a:lnTo>
                <a:lnTo>
                  <a:pt x="1533400" y="415813"/>
                </a:lnTo>
                <a:cubicBezTo>
                  <a:pt x="1534636" y="419828"/>
                  <a:pt x="1539377" y="422212"/>
                  <a:pt x="1543989" y="421136"/>
                </a:cubicBezTo>
                <a:lnTo>
                  <a:pt x="1546022" y="420662"/>
                </a:lnTo>
                <a:cubicBezTo>
                  <a:pt x="1550635" y="419586"/>
                  <a:pt x="1553371" y="415458"/>
                  <a:pt x="1552136" y="411442"/>
                </a:cubicBezTo>
                <a:lnTo>
                  <a:pt x="1535655" y="357886"/>
                </a:lnTo>
                <a:cubicBezTo>
                  <a:pt x="1535191" y="356380"/>
                  <a:pt x="1534235" y="355103"/>
                  <a:pt x="1532977" y="354153"/>
                </a:cubicBezTo>
                <a:lnTo>
                  <a:pt x="1528549" y="352399"/>
                </a:lnTo>
                <a:lnTo>
                  <a:pt x="1528549" y="352185"/>
                </a:lnTo>
                <a:lnTo>
                  <a:pt x="1482314" y="352185"/>
                </a:lnTo>
                <a:close/>
                <a:moveTo>
                  <a:pt x="1679477" y="352185"/>
                </a:moveTo>
                <a:lnTo>
                  <a:pt x="1679477" y="352410"/>
                </a:lnTo>
                <a:lnTo>
                  <a:pt x="1678860" y="352375"/>
                </a:lnTo>
                <a:cubicBezTo>
                  <a:pt x="1675521" y="352781"/>
                  <a:pt x="1672623" y="354874"/>
                  <a:pt x="1671696" y="357886"/>
                </a:cubicBezTo>
                <a:lnTo>
                  <a:pt x="1655215" y="411442"/>
                </a:lnTo>
                <a:cubicBezTo>
                  <a:pt x="1653980" y="415458"/>
                  <a:pt x="1656716" y="419586"/>
                  <a:pt x="1661328" y="420662"/>
                </a:cubicBezTo>
                <a:lnTo>
                  <a:pt x="1663362" y="421136"/>
                </a:lnTo>
                <a:cubicBezTo>
                  <a:pt x="1667974" y="422212"/>
                  <a:pt x="1672715" y="419828"/>
                  <a:pt x="1673951" y="415813"/>
                </a:cubicBezTo>
                <a:lnTo>
                  <a:pt x="1679477" y="397857"/>
                </a:lnTo>
                <a:lnTo>
                  <a:pt x="1679477" y="418041"/>
                </a:lnTo>
                <a:lnTo>
                  <a:pt x="1679477" y="424655"/>
                </a:lnTo>
                <a:lnTo>
                  <a:pt x="1679477" y="473487"/>
                </a:lnTo>
                <a:cubicBezTo>
                  <a:pt x="1679477" y="477644"/>
                  <a:pt x="1683346" y="481014"/>
                  <a:pt x="1688123" y="481014"/>
                </a:cubicBezTo>
                <a:lnTo>
                  <a:pt x="1690227" y="481014"/>
                </a:lnTo>
                <a:cubicBezTo>
                  <a:pt x="1695001" y="481014"/>
                  <a:pt x="1698873" y="477644"/>
                  <a:pt x="1698873" y="473487"/>
                </a:cubicBezTo>
                <a:lnTo>
                  <a:pt x="1698873" y="424655"/>
                </a:lnTo>
                <a:lnTo>
                  <a:pt x="1706314" y="424655"/>
                </a:lnTo>
                <a:lnTo>
                  <a:pt x="1706314" y="473487"/>
                </a:lnTo>
                <a:cubicBezTo>
                  <a:pt x="1706314" y="477644"/>
                  <a:pt x="1710187" y="481014"/>
                  <a:pt x="1714961" y="481014"/>
                </a:cubicBezTo>
                <a:lnTo>
                  <a:pt x="1717066" y="481014"/>
                </a:lnTo>
                <a:cubicBezTo>
                  <a:pt x="1721841" y="481014"/>
                  <a:pt x="1725712" y="477644"/>
                  <a:pt x="1725712" y="473487"/>
                </a:cubicBezTo>
                <a:lnTo>
                  <a:pt x="1725712" y="424655"/>
                </a:lnTo>
                <a:lnTo>
                  <a:pt x="1725712" y="418041"/>
                </a:lnTo>
                <a:lnTo>
                  <a:pt x="1725712" y="400049"/>
                </a:lnTo>
                <a:lnTo>
                  <a:pt x="1730563" y="415813"/>
                </a:lnTo>
                <a:cubicBezTo>
                  <a:pt x="1731799" y="419828"/>
                  <a:pt x="1736539" y="422212"/>
                  <a:pt x="1741152" y="421136"/>
                </a:cubicBezTo>
                <a:lnTo>
                  <a:pt x="1743185" y="420662"/>
                </a:lnTo>
                <a:cubicBezTo>
                  <a:pt x="1747797" y="419586"/>
                  <a:pt x="1750534" y="415458"/>
                  <a:pt x="1749299" y="411442"/>
                </a:cubicBezTo>
                <a:lnTo>
                  <a:pt x="1732817" y="357886"/>
                </a:lnTo>
                <a:cubicBezTo>
                  <a:pt x="1732354" y="356380"/>
                  <a:pt x="1731398" y="355103"/>
                  <a:pt x="1730140" y="354153"/>
                </a:cubicBezTo>
                <a:lnTo>
                  <a:pt x="1725712" y="352399"/>
                </a:lnTo>
                <a:lnTo>
                  <a:pt x="1725712" y="352185"/>
                </a:lnTo>
                <a:lnTo>
                  <a:pt x="1679477" y="352185"/>
                </a:lnTo>
                <a:close/>
                <a:moveTo>
                  <a:pt x="1882298" y="352185"/>
                </a:moveTo>
                <a:lnTo>
                  <a:pt x="1882298" y="352410"/>
                </a:lnTo>
                <a:lnTo>
                  <a:pt x="1881681" y="352375"/>
                </a:lnTo>
                <a:cubicBezTo>
                  <a:pt x="1878344" y="352781"/>
                  <a:pt x="1875446" y="354874"/>
                  <a:pt x="1874518" y="357886"/>
                </a:cubicBezTo>
                <a:lnTo>
                  <a:pt x="1858037" y="411442"/>
                </a:lnTo>
                <a:cubicBezTo>
                  <a:pt x="1856802" y="415458"/>
                  <a:pt x="1859540" y="419586"/>
                  <a:pt x="1864152" y="420662"/>
                </a:cubicBezTo>
                <a:lnTo>
                  <a:pt x="1866184" y="421136"/>
                </a:lnTo>
                <a:cubicBezTo>
                  <a:pt x="1870795" y="422212"/>
                  <a:pt x="1875538" y="419828"/>
                  <a:pt x="1876773" y="415813"/>
                </a:cubicBezTo>
                <a:lnTo>
                  <a:pt x="1882298" y="397857"/>
                </a:lnTo>
                <a:lnTo>
                  <a:pt x="1882298" y="418041"/>
                </a:lnTo>
                <a:lnTo>
                  <a:pt x="1882298" y="424655"/>
                </a:lnTo>
                <a:lnTo>
                  <a:pt x="1882298" y="473487"/>
                </a:lnTo>
                <a:cubicBezTo>
                  <a:pt x="1882298" y="477644"/>
                  <a:pt x="1886170" y="481014"/>
                  <a:pt x="1890944" y="481014"/>
                </a:cubicBezTo>
                <a:lnTo>
                  <a:pt x="1893050" y="481014"/>
                </a:lnTo>
                <a:cubicBezTo>
                  <a:pt x="1897824" y="481014"/>
                  <a:pt x="1901696" y="477644"/>
                  <a:pt x="1901696" y="473487"/>
                </a:cubicBezTo>
                <a:lnTo>
                  <a:pt x="1901696" y="424655"/>
                </a:lnTo>
                <a:lnTo>
                  <a:pt x="1909138" y="424655"/>
                </a:lnTo>
                <a:lnTo>
                  <a:pt x="1909138" y="473487"/>
                </a:lnTo>
                <a:cubicBezTo>
                  <a:pt x="1909138" y="477644"/>
                  <a:pt x="1913008" y="481014"/>
                  <a:pt x="1917783" y="481014"/>
                </a:cubicBezTo>
                <a:lnTo>
                  <a:pt x="1919889" y="481014"/>
                </a:lnTo>
                <a:cubicBezTo>
                  <a:pt x="1924664" y="481014"/>
                  <a:pt x="1928535" y="477644"/>
                  <a:pt x="1928535" y="473487"/>
                </a:cubicBezTo>
                <a:lnTo>
                  <a:pt x="1928535" y="424655"/>
                </a:lnTo>
                <a:lnTo>
                  <a:pt x="1928535" y="418041"/>
                </a:lnTo>
                <a:lnTo>
                  <a:pt x="1928535" y="400049"/>
                </a:lnTo>
                <a:lnTo>
                  <a:pt x="1933385" y="415813"/>
                </a:lnTo>
                <a:cubicBezTo>
                  <a:pt x="1934622" y="419828"/>
                  <a:pt x="1939363" y="422212"/>
                  <a:pt x="1943974" y="421136"/>
                </a:cubicBezTo>
                <a:lnTo>
                  <a:pt x="1946009" y="420662"/>
                </a:lnTo>
                <a:cubicBezTo>
                  <a:pt x="1950620" y="419586"/>
                  <a:pt x="1953357" y="415458"/>
                  <a:pt x="1952121" y="411442"/>
                </a:cubicBezTo>
                <a:lnTo>
                  <a:pt x="1935640" y="357886"/>
                </a:lnTo>
                <a:cubicBezTo>
                  <a:pt x="1935177" y="356380"/>
                  <a:pt x="1934220" y="355103"/>
                  <a:pt x="1932962" y="354153"/>
                </a:cubicBezTo>
                <a:lnTo>
                  <a:pt x="1928535" y="352399"/>
                </a:lnTo>
                <a:lnTo>
                  <a:pt x="1928535" y="352185"/>
                </a:lnTo>
                <a:lnTo>
                  <a:pt x="1882298" y="352185"/>
                </a:lnTo>
                <a:close/>
                <a:moveTo>
                  <a:pt x="2081622" y="352185"/>
                </a:moveTo>
                <a:lnTo>
                  <a:pt x="2081622" y="352410"/>
                </a:lnTo>
                <a:lnTo>
                  <a:pt x="2081004" y="352375"/>
                </a:lnTo>
                <a:cubicBezTo>
                  <a:pt x="2077667" y="352781"/>
                  <a:pt x="2074768" y="354874"/>
                  <a:pt x="2073841" y="357886"/>
                </a:cubicBezTo>
                <a:lnTo>
                  <a:pt x="2057362" y="411442"/>
                </a:lnTo>
                <a:cubicBezTo>
                  <a:pt x="2056126" y="415458"/>
                  <a:pt x="2058863" y="419586"/>
                  <a:pt x="2063474" y="420662"/>
                </a:cubicBezTo>
                <a:lnTo>
                  <a:pt x="2065507" y="421136"/>
                </a:lnTo>
                <a:cubicBezTo>
                  <a:pt x="2070119" y="422212"/>
                  <a:pt x="2074860" y="419828"/>
                  <a:pt x="2076097" y="415813"/>
                </a:cubicBezTo>
                <a:lnTo>
                  <a:pt x="2081622" y="397857"/>
                </a:lnTo>
                <a:lnTo>
                  <a:pt x="2081622" y="418041"/>
                </a:lnTo>
                <a:lnTo>
                  <a:pt x="2081622" y="424655"/>
                </a:lnTo>
                <a:lnTo>
                  <a:pt x="2081622" y="473487"/>
                </a:lnTo>
                <a:cubicBezTo>
                  <a:pt x="2081622" y="477644"/>
                  <a:pt x="2085492" y="481014"/>
                  <a:pt x="2090268" y="481014"/>
                </a:cubicBezTo>
                <a:lnTo>
                  <a:pt x="2092373" y="481014"/>
                </a:lnTo>
                <a:cubicBezTo>
                  <a:pt x="2097148" y="481014"/>
                  <a:pt x="2101019" y="477644"/>
                  <a:pt x="2101019" y="473487"/>
                </a:cubicBezTo>
                <a:lnTo>
                  <a:pt x="2101019" y="424655"/>
                </a:lnTo>
                <a:lnTo>
                  <a:pt x="2108461" y="424655"/>
                </a:lnTo>
                <a:lnTo>
                  <a:pt x="2108461" y="473487"/>
                </a:lnTo>
                <a:cubicBezTo>
                  <a:pt x="2108461" y="477644"/>
                  <a:pt x="2112333" y="481014"/>
                  <a:pt x="2117107" y="481014"/>
                </a:cubicBezTo>
                <a:lnTo>
                  <a:pt x="2119212" y="481014"/>
                </a:lnTo>
                <a:cubicBezTo>
                  <a:pt x="2123987" y="481014"/>
                  <a:pt x="2127858" y="477644"/>
                  <a:pt x="2127858" y="473487"/>
                </a:cubicBezTo>
                <a:lnTo>
                  <a:pt x="2127858" y="424655"/>
                </a:lnTo>
                <a:lnTo>
                  <a:pt x="2127858" y="418041"/>
                </a:lnTo>
                <a:lnTo>
                  <a:pt x="2127858" y="400049"/>
                </a:lnTo>
                <a:lnTo>
                  <a:pt x="2132707" y="415813"/>
                </a:lnTo>
                <a:cubicBezTo>
                  <a:pt x="2133945" y="419828"/>
                  <a:pt x="2138685" y="422212"/>
                  <a:pt x="2143298" y="421136"/>
                </a:cubicBezTo>
                <a:lnTo>
                  <a:pt x="2145331" y="420662"/>
                </a:lnTo>
                <a:cubicBezTo>
                  <a:pt x="2149943" y="419586"/>
                  <a:pt x="2152681" y="415458"/>
                  <a:pt x="2151445" y="411442"/>
                </a:cubicBezTo>
                <a:lnTo>
                  <a:pt x="2134963" y="357886"/>
                </a:lnTo>
                <a:cubicBezTo>
                  <a:pt x="2134501" y="356380"/>
                  <a:pt x="2133542" y="355103"/>
                  <a:pt x="2132286" y="354153"/>
                </a:cubicBezTo>
                <a:lnTo>
                  <a:pt x="2127858" y="352399"/>
                </a:lnTo>
                <a:lnTo>
                  <a:pt x="2127858" y="352185"/>
                </a:lnTo>
                <a:lnTo>
                  <a:pt x="2081622" y="352185"/>
                </a:lnTo>
                <a:close/>
                <a:moveTo>
                  <a:pt x="303668" y="560173"/>
                </a:moveTo>
                <a:cubicBezTo>
                  <a:pt x="293205" y="560173"/>
                  <a:pt x="284721" y="567558"/>
                  <a:pt x="284721" y="576669"/>
                </a:cubicBezTo>
                <a:cubicBezTo>
                  <a:pt x="284721" y="585780"/>
                  <a:pt x="293205" y="593165"/>
                  <a:pt x="303668" y="593165"/>
                </a:cubicBezTo>
                <a:cubicBezTo>
                  <a:pt x="314131" y="593165"/>
                  <a:pt x="322614" y="585780"/>
                  <a:pt x="322614" y="576669"/>
                </a:cubicBezTo>
                <a:cubicBezTo>
                  <a:pt x="322614" y="567558"/>
                  <a:pt x="314131" y="560173"/>
                  <a:pt x="303668" y="560173"/>
                </a:cubicBezTo>
                <a:close/>
                <a:moveTo>
                  <a:pt x="503662" y="560173"/>
                </a:moveTo>
                <a:cubicBezTo>
                  <a:pt x="493198" y="560173"/>
                  <a:pt x="484717" y="567558"/>
                  <a:pt x="484717" y="576669"/>
                </a:cubicBezTo>
                <a:cubicBezTo>
                  <a:pt x="484717" y="585780"/>
                  <a:pt x="493198" y="593165"/>
                  <a:pt x="503662" y="593165"/>
                </a:cubicBezTo>
                <a:cubicBezTo>
                  <a:pt x="514126" y="593165"/>
                  <a:pt x="522607" y="585780"/>
                  <a:pt x="522607" y="576669"/>
                </a:cubicBezTo>
                <a:cubicBezTo>
                  <a:pt x="522607" y="567558"/>
                  <a:pt x="514126" y="560173"/>
                  <a:pt x="503662" y="560173"/>
                </a:cubicBezTo>
                <a:close/>
                <a:moveTo>
                  <a:pt x="703653" y="560173"/>
                </a:moveTo>
                <a:cubicBezTo>
                  <a:pt x="693190" y="560173"/>
                  <a:pt x="684709" y="567558"/>
                  <a:pt x="684709" y="576669"/>
                </a:cubicBezTo>
                <a:cubicBezTo>
                  <a:pt x="684709" y="585780"/>
                  <a:pt x="693190" y="593165"/>
                  <a:pt x="703653" y="593165"/>
                </a:cubicBezTo>
                <a:cubicBezTo>
                  <a:pt x="714117" y="593165"/>
                  <a:pt x="722600" y="585780"/>
                  <a:pt x="722600" y="576669"/>
                </a:cubicBezTo>
                <a:cubicBezTo>
                  <a:pt x="722600" y="567558"/>
                  <a:pt x="714117" y="560173"/>
                  <a:pt x="703653" y="560173"/>
                </a:cubicBezTo>
                <a:close/>
                <a:moveTo>
                  <a:pt x="903646" y="560173"/>
                </a:moveTo>
                <a:cubicBezTo>
                  <a:pt x="893183" y="560173"/>
                  <a:pt x="884701" y="567558"/>
                  <a:pt x="884701" y="576669"/>
                </a:cubicBezTo>
                <a:cubicBezTo>
                  <a:pt x="884701" y="585780"/>
                  <a:pt x="893183" y="593165"/>
                  <a:pt x="903646" y="593165"/>
                </a:cubicBezTo>
                <a:cubicBezTo>
                  <a:pt x="914110" y="593165"/>
                  <a:pt x="922591" y="585780"/>
                  <a:pt x="922591" y="576669"/>
                </a:cubicBezTo>
                <a:cubicBezTo>
                  <a:pt x="922591" y="567558"/>
                  <a:pt x="914110" y="560173"/>
                  <a:pt x="903646" y="560173"/>
                </a:cubicBezTo>
                <a:close/>
                <a:moveTo>
                  <a:pt x="1103638" y="560173"/>
                </a:moveTo>
                <a:cubicBezTo>
                  <a:pt x="1093175" y="560173"/>
                  <a:pt x="1084694" y="567558"/>
                  <a:pt x="1084694" y="576669"/>
                </a:cubicBezTo>
                <a:cubicBezTo>
                  <a:pt x="1084694" y="585780"/>
                  <a:pt x="1093175" y="593165"/>
                  <a:pt x="1103638" y="593165"/>
                </a:cubicBezTo>
                <a:cubicBezTo>
                  <a:pt x="1114102" y="593165"/>
                  <a:pt x="1122584" y="585780"/>
                  <a:pt x="1122584" y="576669"/>
                </a:cubicBezTo>
                <a:cubicBezTo>
                  <a:pt x="1122584" y="567558"/>
                  <a:pt x="1114102" y="560173"/>
                  <a:pt x="1103638" y="560173"/>
                </a:cubicBezTo>
                <a:close/>
                <a:moveTo>
                  <a:pt x="1303631" y="560173"/>
                </a:moveTo>
                <a:cubicBezTo>
                  <a:pt x="1293167" y="560173"/>
                  <a:pt x="1284685" y="567558"/>
                  <a:pt x="1284685" y="576669"/>
                </a:cubicBezTo>
                <a:cubicBezTo>
                  <a:pt x="1284685" y="585780"/>
                  <a:pt x="1293167" y="593165"/>
                  <a:pt x="1303631" y="593165"/>
                </a:cubicBezTo>
                <a:cubicBezTo>
                  <a:pt x="1314095" y="593165"/>
                  <a:pt x="1322576" y="585780"/>
                  <a:pt x="1322576" y="576669"/>
                </a:cubicBezTo>
                <a:cubicBezTo>
                  <a:pt x="1322576" y="567558"/>
                  <a:pt x="1314095" y="560173"/>
                  <a:pt x="1303631" y="560173"/>
                </a:cubicBezTo>
                <a:close/>
                <a:moveTo>
                  <a:pt x="1505923" y="560173"/>
                </a:moveTo>
                <a:cubicBezTo>
                  <a:pt x="1495460" y="560173"/>
                  <a:pt x="1486979" y="567558"/>
                  <a:pt x="1486979" y="576669"/>
                </a:cubicBezTo>
                <a:cubicBezTo>
                  <a:pt x="1486979" y="585780"/>
                  <a:pt x="1495460" y="593165"/>
                  <a:pt x="1505923" y="593165"/>
                </a:cubicBezTo>
                <a:cubicBezTo>
                  <a:pt x="1516387" y="593165"/>
                  <a:pt x="1524868" y="585780"/>
                  <a:pt x="1524868" y="576669"/>
                </a:cubicBezTo>
                <a:cubicBezTo>
                  <a:pt x="1524868" y="567558"/>
                  <a:pt x="1516387" y="560173"/>
                  <a:pt x="1505923" y="560173"/>
                </a:cubicBezTo>
                <a:close/>
                <a:moveTo>
                  <a:pt x="1703085" y="560173"/>
                </a:moveTo>
                <a:cubicBezTo>
                  <a:pt x="1692623" y="560173"/>
                  <a:pt x="1684140" y="567558"/>
                  <a:pt x="1684140" y="576669"/>
                </a:cubicBezTo>
                <a:cubicBezTo>
                  <a:pt x="1684140" y="585780"/>
                  <a:pt x="1692623" y="593165"/>
                  <a:pt x="1703085" y="593165"/>
                </a:cubicBezTo>
                <a:cubicBezTo>
                  <a:pt x="1713550" y="593165"/>
                  <a:pt x="1722031" y="585780"/>
                  <a:pt x="1722031" y="576669"/>
                </a:cubicBezTo>
                <a:cubicBezTo>
                  <a:pt x="1722031" y="567558"/>
                  <a:pt x="1713550" y="560173"/>
                  <a:pt x="1703085" y="560173"/>
                </a:cubicBezTo>
                <a:close/>
                <a:moveTo>
                  <a:pt x="1905908" y="560173"/>
                </a:moveTo>
                <a:cubicBezTo>
                  <a:pt x="1895444" y="560173"/>
                  <a:pt x="1886962" y="567558"/>
                  <a:pt x="1886962" y="576669"/>
                </a:cubicBezTo>
                <a:cubicBezTo>
                  <a:pt x="1886962" y="585780"/>
                  <a:pt x="1895444" y="593165"/>
                  <a:pt x="1905908" y="593165"/>
                </a:cubicBezTo>
                <a:cubicBezTo>
                  <a:pt x="1916372" y="593165"/>
                  <a:pt x="1924855" y="585780"/>
                  <a:pt x="1924855" y="576669"/>
                </a:cubicBezTo>
                <a:cubicBezTo>
                  <a:pt x="1924855" y="567558"/>
                  <a:pt x="1916372" y="560173"/>
                  <a:pt x="1905908" y="560173"/>
                </a:cubicBezTo>
                <a:close/>
                <a:moveTo>
                  <a:pt x="2105231" y="560173"/>
                </a:moveTo>
                <a:cubicBezTo>
                  <a:pt x="2094769" y="560173"/>
                  <a:pt x="2086286" y="567558"/>
                  <a:pt x="2086286" y="576669"/>
                </a:cubicBezTo>
                <a:cubicBezTo>
                  <a:pt x="2086286" y="585780"/>
                  <a:pt x="2094769" y="593165"/>
                  <a:pt x="2105231" y="593165"/>
                </a:cubicBezTo>
                <a:cubicBezTo>
                  <a:pt x="2115694" y="593165"/>
                  <a:pt x="2124177" y="585780"/>
                  <a:pt x="2124177" y="576669"/>
                </a:cubicBezTo>
                <a:cubicBezTo>
                  <a:pt x="2124177" y="567558"/>
                  <a:pt x="2115694" y="560173"/>
                  <a:pt x="2105231" y="560173"/>
                </a:cubicBezTo>
                <a:close/>
                <a:moveTo>
                  <a:pt x="280058" y="596830"/>
                </a:moveTo>
                <a:lnTo>
                  <a:pt x="280058" y="597055"/>
                </a:lnTo>
                <a:lnTo>
                  <a:pt x="279441" y="597020"/>
                </a:lnTo>
                <a:cubicBezTo>
                  <a:pt x="276104" y="597426"/>
                  <a:pt x="273205" y="599519"/>
                  <a:pt x="272279" y="602531"/>
                </a:cubicBezTo>
                <a:lnTo>
                  <a:pt x="255797" y="656086"/>
                </a:lnTo>
                <a:cubicBezTo>
                  <a:pt x="254561" y="660102"/>
                  <a:pt x="257298" y="664229"/>
                  <a:pt x="261911" y="665305"/>
                </a:cubicBezTo>
                <a:lnTo>
                  <a:pt x="263944" y="665780"/>
                </a:lnTo>
                <a:cubicBezTo>
                  <a:pt x="268557" y="666857"/>
                  <a:pt x="273297" y="664473"/>
                  <a:pt x="274533" y="660457"/>
                </a:cubicBezTo>
                <a:lnTo>
                  <a:pt x="280058" y="642502"/>
                </a:lnTo>
                <a:lnTo>
                  <a:pt x="280058" y="662686"/>
                </a:lnTo>
                <a:lnTo>
                  <a:pt x="280058" y="669300"/>
                </a:lnTo>
                <a:lnTo>
                  <a:pt x="280058" y="718130"/>
                </a:lnTo>
                <a:cubicBezTo>
                  <a:pt x="280058" y="722288"/>
                  <a:pt x="283930" y="725658"/>
                  <a:pt x="288705" y="725658"/>
                </a:cubicBezTo>
                <a:lnTo>
                  <a:pt x="290809" y="725658"/>
                </a:lnTo>
                <a:cubicBezTo>
                  <a:pt x="295584" y="725658"/>
                  <a:pt x="299455" y="722288"/>
                  <a:pt x="299455" y="718130"/>
                </a:cubicBezTo>
                <a:lnTo>
                  <a:pt x="299455" y="669300"/>
                </a:lnTo>
                <a:lnTo>
                  <a:pt x="306898" y="669300"/>
                </a:lnTo>
                <a:lnTo>
                  <a:pt x="306898" y="718130"/>
                </a:lnTo>
                <a:cubicBezTo>
                  <a:pt x="306898" y="722288"/>
                  <a:pt x="310769" y="725658"/>
                  <a:pt x="315544" y="725658"/>
                </a:cubicBezTo>
                <a:lnTo>
                  <a:pt x="317649" y="725658"/>
                </a:lnTo>
                <a:cubicBezTo>
                  <a:pt x="322423" y="725658"/>
                  <a:pt x="326293" y="722288"/>
                  <a:pt x="326293" y="718130"/>
                </a:cubicBezTo>
                <a:lnTo>
                  <a:pt x="326293" y="669300"/>
                </a:lnTo>
                <a:lnTo>
                  <a:pt x="326293" y="662686"/>
                </a:lnTo>
                <a:lnTo>
                  <a:pt x="326293" y="644694"/>
                </a:lnTo>
                <a:lnTo>
                  <a:pt x="331145" y="660457"/>
                </a:lnTo>
                <a:cubicBezTo>
                  <a:pt x="332381" y="664473"/>
                  <a:pt x="337122" y="666857"/>
                  <a:pt x="341734" y="665780"/>
                </a:cubicBezTo>
                <a:lnTo>
                  <a:pt x="343767" y="665305"/>
                </a:lnTo>
                <a:cubicBezTo>
                  <a:pt x="348380" y="664229"/>
                  <a:pt x="351116" y="660102"/>
                  <a:pt x="349881" y="656086"/>
                </a:cubicBezTo>
                <a:lnTo>
                  <a:pt x="333400" y="602531"/>
                </a:lnTo>
                <a:cubicBezTo>
                  <a:pt x="332936" y="601025"/>
                  <a:pt x="331980" y="599749"/>
                  <a:pt x="330722" y="598798"/>
                </a:cubicBezTo>
                <a:lnTo>
                  <a:pt x="326293" y="597043"/>
                </a:lnTo>
                <a:lnTo>
                  <a:pt x="326293" y="596830"/>
                </a:lnTo>
                <a:lnTo>
                  <a:pt x="280058" y="596830"/>
                </a:lnTo>
                <a:close/>
                <a:moveTo>
                  <a:pt x="480053" y="596830"/>
                </a:moveTo>
                <a:lnTo>
                  <a:pt x="480053" y="597055"/>
                </a:lnTo>
                <a:lnTo>
                  <a:pt x="479436" y="597020"/>
                </a:lnTo>
                <a:cubicBezTo>
                  <a:pt x="476099" y="597426"/>
                  <a:pt x="473200" y="599519"/>
                  <a:pt x="472272" y="602531"/>
                </a:cubicBezTo>
                <a:lnTo>
                  <a:pt x="455791" y="656086"/>
                </a:lnTo>
                <a:cubicBezTo>
                  <a:pt x="454555" y="660102"/>
                  <a:pt x="457292" y="664229"/>
                  <a:pt x="461906" y="665305"/>
                </a:cubicBezTo>
                <a:lnTo>
                  <a:pt x="463938" y="665780"/>
                </a:lnTo>
                <a:cubicBezTo>
                  <a:pt x="468550" y="666857"/>
                  <a:pt x="473292" y="664473"/>
                  <a:pt x="474527" y="660457"/>
                </a:cubicBezTo>
                <a:lnTo>
                  <a:pt x="480053" y="642502"/>
                </a:lnTo>
                <a:lnTo>
                  <a:pt x="480053" y="662686"/>
                </a:lnTo>
                <a:lnTo>
                  <a:pt x="480053" y="669300"/>
                </a:lnTo>
                <a:lnTo>
                  <a:pt x="480053" y="718130"/>
                </a:lnTo>
                <a:cubicBezTo>
                  <a:pt x="480053" y="722288"/>
                  <a:pt x="483924" y="725658"/>
                  <a:pt x="488698" y="725658"/>
                </a:cubicBezTo>
                <a:lnTo>
                  <a:pt x="490804" y="725658"/>
                </a:lnTo>
                <a:cubicBezTo>
                  <a:pt x="495578" y="725658"/>
                  <a:pt x="499450" y="722288"/>
                  <a:pt x="499450" y="718130"/>
                </a:cubicBezTo>
                <a:lnTo>
                  <a:pt x="499450" y="669300"/>
                </a:lnTo>
                <a:lnTo>
                  <a:pt x="506892" y="669300"/>
                </a:lnTo>
                <a:lnTo>
                  <a:pt x="506892" y="718130"/>
                </a:lnTo>
                <a:cubicBezTo>
                  <a:pt x="506892" y="722288"/>
                  <a:pt x="510763" y="725658"/>
                  <a:pt x="515538" y="725658"/>
                </a:cubicBezTo>
                <a:lnTo>
                  <a:pt x="517643" y="725658"/>
                </a:lnTo>
                <a:cubicBezTo>
                  <a:pt x="522418" y="725658"/>
                  <a:pt x="526287" y="722288"/>
                  <a:pt x="526287" y="718130"/>
                </a:cubicBezTo>
                <a:lnTo>
                  <a:pt x="526287" y="669300"/>
                </a:lnTo>
                <a:lnTo>
                  <a:pt x="526287" y="662686"/>
                </a:lnTo>
                <a:lnTo>
                  <a:pt x="526287" y="644694"/>
                </a:lnTo>
                <a:lnTo>
                  <a:pt x="531139" y="660457"/>
                </a:lnTo>
                <a:cubicBezTo>
                  <a:pt x="532375" y="664473"/>
                  <a:pt x="537116" y="666857"/>
                  <a:pt x="541727" y="665780"/>
                </a:cubicBezTo>
                <a:lnTo>
                  <a:pt x="543761" y="665305"/>
                </a:lnTo>
                <a:cubicBezTo>
                  <a:pt x="548373" y="664229"/>
                  <a:pt x="551110" y="660102"/>
                  <a:pt x="549875" y="656086"/>
                </a:cubicBezTo>
                <a:lnTo>
                  <a:pt x="533394" y="602531"/>
                </a:lnTo>
                <a:cubicBezTo>
                  <a:pt x="532930" y="601025"/>
                  <a:pt x="531974" y="599749"/>
                  <a:pt x="530716" y="598798"/>
                </a:cubicBezTo>
                <a:lnTo>
                  <a:pt x="526287" y="597043"/>
                </a:lnTo>
                <a:lnTo>
                  <a:pt x="526287" y="596830"/>
                </a:lnTo>
                <a:lnTo>
                  <a:pt x="480053" y="596830"/>
                </a:lnTo>
                <a:close/>
                <a:moveTo>
                  <a:pt x="680045" y="596830"/>
                </a:moveTo>
                <a:lnTo>
                  <a:pt x="680045" y="597055"/>
                </a:lnTo>
                <a:lnTo>
                  <a:pt x="679427" y="597020"/>
                </a:lnTo>
                <a:cubicBezTo>
                  <a:pt x="676090" y="597426"/>
                  <a:pt x="673192" y="599519"/>
                  <a:pt x="672265" y="602531"/>
                </a:cubicBezTo>
                <a:lnTo>
                  <a:pt x="655783" y="656086"/>
                </a:lnTo>
                <a:cubicBezTo>
                  <a:pt x="654547" y="660102"/>
                  <a:pt x="657285" y="664229"/>
                  <a:pt x="661899" y="665305"/>
                </a:cubicBezTo>
                <a:lnTo>
                  <a:pt x="663930" y="665780"/>
                </a:lnTo>
                <a:cubicBezTo>
                  <a:pt x="668542" y="666857"/>
                  <a:pt x="673282" y="664473"/>
                  <a:pt x="674518" y="660457"/>
                </a:cubicBezTo>
                <a:lnTo>
                  <a:pt x="680045" y="642502"/>
                </a:lnTo>
                <a:lnTo>
                  <a:pt x="680045" y="662686"/>
                </a:lnTo>
                <a:lnTo>
                  <a:pt x="680045" y="669300"/>
                </a:lnTo>
                <a:lnTo>
                  <a:pt x="680045" y="718130"/>
                </a:lnTo>
                <a:cubicBezTo>
                  <a:pt x="680045" y="722288"/>
                  <a:pt x="683916" y="725658"/>
                  <a:pt x="688691" y="725658"/>
                </a:cubicBezTo>
                <a:lnTo>
                  <a:pt x="690797" y="725658"/>
                </a:lnTo>
                <a:cubicBezTo>
                  <a:pt x="695570" y="725658"/>
                  <a:pt x="699443" y="722288"/>
                  <a:pt x="699443" y="718130"/>
                </a:cubicBezTo>
                <a:lnTo>
                  <a:pt x="699443" y="669300"/>
                </a:lnTo>
                <a:lnTo>
                  <a:pt x="706884" y="669300"/>
                </a:lnTo>
                <a:lnTo>
                  <a:pt x="706884" y="718130"/>
                </a:lnTo>
                <a:cubicBezTo>
                  <a:pt x="706884" y="722288"/>
                  <a:pt x="710754" y="725658"/>
                  <a:pt x="715530" y="725658"/>
                </a:cubicBezTo>
                <a:lnTo>
                  <a:pt x="717635" y="725658"/>
                </a:lnTo>
                <a:cubicBezTo>
                  <a:pt x="722411" y="725658"/>
                  <a:pt x="726280" y="722288"/>
                  <a:pt x="726280" y="718130"/>
                </a:cubicBezTo>
                <a:lnTo>
                  <a:pt x="726280" y="669300"/>
                </a:lnTo>
                <a:lnTo>
                  <a:pt x="726280" y="662686"/>
                </a:lnTo>
                <a:lnTo>
                  <a:pt x="726280" y="644694"/>
                </a:lnTo>
                <a:lnTo>
                  <a:pt x="731132" y="660457"/>
                </a:lnTo>
                <a:cubicBezTo>
                  <a:pt x="732368" y="664473"/>
                  <a:pt x="737108" y="666857"/>
                  <a:pt x="741720" y="665780"/>
                </a:cubicBezTo>
                <a:lnTo>
                  <a:pt x="743753" y="665305"/>
                </a:lnTo>
                <a:cubicBezTo>
                  <a:pt x="748365" y="664229"/>
                  <a:pt x="751103" y="660102"/>
                  <a:pt x="749868" y="656086"/>
                </a:cubicBezTo>
                <a:lnTo>
                  <a:pt x="733385" y="602531"/>
                </a:lnTo>
                <a:cubicBezTo>
                  <a:pt x="732923" y="601025"/>
                  <a:pt x="731967" y="599749"/>
                  <a:pt x="730709" y="598798"/>
                </a:cubicBezTo>
                <a:lnTo>
                  <a:pt x="726280" y="597043"/>
                </a:lnTo>
                <a:lnTo>
                  <a:pt x="726280" y="596830"/>
                </a:lnTo>
                <a:lnTo>
                  <a:pt x="680045" y="596830"/>
                </a:lnTo>
                <a:close/>
                <a:moveTo>
                  <a:pt x="880037" y="596830"/>
                </a:moveTo>
                <a:lnTo>
                  <a:pt x="880037" y="597055"/>
                </a:lnTo>
                <a:lnTo>
                  <a:pt x="879420" y="597020"/>
                </a:lnTo>
                <a:cubicBezTo>
                  <a:pt x="876083" y="597426"/>
                  <a:pt x="873184" y="599519"/>
                  <a:pt x="872256" y="602531"/>
                </a:cubicBezTo>
                <a:lnTo>
                  <a:pt x="855776" y="656086"/>
                </a:lnTo>
                <a:cubicBezTo>
                  <a:pt x="854540" y="660102"/>
                  <a:pt x="857277" y="664229"/>
                  <a:pt x="861890" y="665305"/>
                </a:cubicBezTo>
                <a:lnTo>
                  <a:pt x="863923" y="665780"/>
                </a:lnTo>
                <a:cubicBezTo>
                  <a:pt x="868534" y="666857"/>
                  <a:pt x="873275" y="664473"/>
                  <a:pt x="874511" y="660457"/>
                </a:cubicBezTo>
                <a:lnTo>
                  <a:pt x="880037" y="642502"/>
                </a:lnTo>
                <a:lnTo>
                  <a:pt x="880037" y="662686"/>
                </a:lnTo>
                <a:lnTo>
                  <a:pt x="880037" y="669300"/>
                </a:lnTo>
                <a:lnTo>
                  <a:pt x="880037" y="718130"/>
                </a:lnTo>
                <a:cubicBezTo>
                  <a:pt x="880037" y="722288"/>
                  <a:pt x="883909" y="725658"/>
                  <a:pt x="888683" y="725658"/>
                </a:cubicBezTo>
                <a:lnTo>
                  <a:pt x="890788" y="725658"/>
                </a:lnTo>
                <a:cubicBezTo>
                  <a:pt x="895563" y="725658"/>
                  <a:pt x="899434" y="722288"/>
                  <a:pt x="899434" y="718130"/>
                </a:cubicBezTo>
                <a:lnTo>
                  <a:pt x="899434" y="669300"/>
                </a:lnTo>
                <a:lnTo>
                  <a:pt x="906877" y="669300"/>
                </a:lnTo>
                <a:lnTo>
                  <a:pt x="906877" y="718130"/>
                </a:lnTo>
                <a:cubicBezTo>
                  <a:pt x="906877" y="722288"/>
                  <a:pt x="910747" y="725658"/>
                  <a:pt x="915521" y="725658"/>
                </a:cubicBezTo>
                <a:lnTo>
                  <a:pt x="917628" y="725658"/>
                </a:lnTo>
                <a:cubicBezTo>
                  <a:pt x="922402" y="725658"/>
                  <a:pt x="926272" y="722288"/>
                  <a:pt x="926272" y="718130"/>
                </a:cubicBezTo>
                <a:lnTo>
                  <a:pt x="926272" y="669300"/>
                </a:lnTo>
                <a:lnTo>
                  <a:pt x="926272" y="662686"/>
                </a:lnTo>
                <a:lnTo>
                  <a:pt x="926272" y="644694"/>
                </a:lnTo>
                <a:lnTo>
                  <a:pt x="931123" y="660457"/>
                </a:lnTo>
                <a:cubicBezTo>
                  <a:pt x="932359" y="664473"/>
                  <a:pt x="937100" y="666857"/>
                  <a:pt x="941712" y="665780"/>
                </a:cubicBezTo>
                <a:lnTo>
                  <a:pt x="943745" y="665305"/>
                </a:lnTo>
                <a:cubicBezTo>
                  <a:pt x="948358" y="664229"/>
                  <a:pt x="951095" y="660102"/>
                  <a:pt x="949860" y="656086"/>
                </a:cubicBezTo>
                <a:lnTo>
                  <a:pt x="933378" y="602531"/>
                </a:lnTo>
                <a:cubicBezTo>
                  <a:pt x="932915" y="601025"/>
                  <a:pt x="931958" y="599749"/>
                  <a:pt x="930701" y="598798"/>
                </a:cubicBezTo>
                <a:lnTo>
                  <a:pt x="926272" y="597043"/>
                </a:lnTo>
                <a:lnTo>
                  <a:pt x="926272" y="596830"/>
                </a:lnTo>
                <a:lnTo>
                  <a:pt x="880037" y="596830"/>
                </a:lnTo>
                <a:close/>
                <a:moveTo>
                  <a:pt x="1080030" y="596830"/>
                </a:moveTo>
                <a:lnTo>
                  <a:pt x="1080030" y="597055"/>
                </a:lnTo>
                <a:lnTo>
                  <a:pt x="1079412" y="597020"/>
                </a:lnTo>
                <a:cubicBezTo>
                  <a:pt x="1076075" y="597426"/>
                  <a:pt x="1073176" y="599519"/>
                  <a:pt x="1072249" y="602531"/>
                </a:cubicBezTo>
                <a:lnTo>
                  <a:pt x="1055767" y="656086"/>
                </a:lnTo>
                <a:cubicBezTo>
                  <a:pt x="1054531" y="660102"/>
                  <a:pt x="1057269" y="664229"/>
                  <a:pt x="1061881" y="665305"/>
                </a:cubicBezTo>
                <a:lnTo>
                  <a:pt x="1063914" y="665780"/>
                </a:lnTo>
                <a:cubicBezTo>
                  <a:pt x="1068527" y="666857"/>
                  <a:pt x="1073267" y="664473"/>
                  <a:pt x="1074503" y="660457"/>
                </a:cubicBezTo>
                <a:lnTo>
                  <a:pt x="1080030" y="642502"/>
                </a:lnTo>
                <a:lnTo>
                  <a:pt x="1080030" y="662686"/>
                </a:lnTo>
                <a:lnTo>
                  <a:pt x="1080030" y="669300"/>
                </a:lnTo>
                <a:lnTo>
                  <a:pt x="1080030" y="718130"/>
                </a:lnTo>
                <a:cubicBezTo>
                  <a:pt x="1080030" y="722288"/>
                  <a:pt x="1083900" y="725658"/>
                  <a:pt x="1088676" y="725658"/>
                </a:cubicBezTo>
                <a:lnTo>
                  <a:pt x="1090781" y="725658"/>
                </a:lnTo>
                <a:cubicBezTo>
                  <a:pt x="1095554" y="725658"/>
                  <a:pt x="1099427" y="722288"/>
                  <a:pt x="1099427" y="718130"/>
                </a:cubicBezTo>
                <a:lnTo>
                  <a:pt x="1099427" y="669300"/>
                </a:lnTo>
                <a:lnTo>
                  <a:pt x="1106868" y="669300"/>
                </a:lnTo>
                <a:lnTo>
                  <a:pt x="1106868" y="718130"/>
                </a:lnTo>
                <a:cubicBezTo>
                  <a:pt x="1106868" y="722288"/>
                  <a:pt x="1110739" y="725658"/>
                  <a:pt x="1115514" y="725658"/>
                </a:cubicBezTo>
                <a:lnTo>
                  <a:pt x="1117619" y="725658"/>
                </a:lnTo>
                <a:cubicBezTo>
                  <a:pt x="1122395" y="725658"/>
                  <a:pt x="1126264" y="722288"/>
                  <a:pt x="1126264" y="718130"/>
                </a:cubicBezTo>
                <a:lnTo>
                  <a:pt x="1126264" y="669300"/>
                </a:lnTo>
                <a:lnTo>
                  <a:pt x="1126264" y="662686"/>
                </a:lnTo>
                <a:lnTo>
                  <a:pt x="1126264" y="644694"/>
                </a:lnTo>
                <a:lnTo>
                  <a:pt x="1131115" y="660457"/>
                </a:lnTo>
                <a:cubicBezTo>
                  <a:pt x="1132352" y="664473"/>
                  <a:pt x="1137092" y="666857"/>
                  <a:pt x="1141704" y="665780"/>
                </a:cubicBezTo>
                <a:lnTo>
                  <a:pt x="1143738" y="665305"/>
                </a:lnTo>
                <a:cubicBezTo>
                  <a:pt x="1148350" y="664229"/>
                  <a:pt x="1151086" y="660102"/>
                  <a:pt x="1149853" y="656086"/>
                </a:cubicBezTo>
                <a:lnTo>
                  <a:pt x="1133370" y="602531"/>
                </a:lnTo>
                <a:cubicBezTo>
                  <a:pt x="1132906" y="601025"/>
                  <a:pt x="1131950" y="599749"/>
                  <a:pt x="1130693" y="598798"/>
                </a:cubicBezTo>
                <a:lnTo>
                  <a:pt x="1126264" y="597043"/>
                </a:lnTo>
                <a:lnTo>
                  <a:pt x="1126264" y="596830"/>
                </a:lnTo>
                <a:lnTo>
                  <a:pt x="1080030" y="596830"/>
                </a:lnTo>
                <a:close/>
                <a:moveTo>
                  <a:pt x="1280022" y="596830"/>
                </a:moveTo>
                <a:lnTo>
                  <a:pt x="1280022" y="597055"/>
                </a:lnTo>
                <a:lnTo>
                  <a:pt x="1279405" y="597020"/>
                </a:lnTo>
                <a:cubicBezTo>
                  <a:pt x="1276068" y="597426"/>
                  <a:pt x="1273169" y="599519"/>
                  <a:pt x="1272241" y="602531"/>
                </a:cubicBezTo>
                <a:lnTo>
                  <a:pt x="1255760" y="656086"/>
                </a:lnTo>
                <a:cubicBezTo>
                  <a:pt x="1254524" y="660102"/>
                  <a:pt x="1257261" y="664229"/>
                  <a:pt x="1261874" y="665305"/>
                </a:cubicBezTo>
                <a:lnTo>
                  <a:pt x="1263907" y="665780"/>
                </a:lnTo>
                <a:cubicBezTo>
                  <a:pt x="1268519" y="666857"/>
                  <a:pt x="1273260" y="664473"/>
                  <a:pt x="1274496" y="660457"/>
                </a:cubicBezTo>
                <a:lnTo>
                  <a:pt x="1280022" y="642502"/>
                </a:lnTo>
                <a:lnTo>
                  <a:pt x="1280022" y="662686"/>
                </a:lnTo>
                <a:lnTo>
                  <a:pt x="1280022" y="669300"/>
                </a:lnTo>
                <a:lnTo>
                  <a:pt x="1280022" y="718130"/>
                </a:lnTo>
                <a:cubicBezTo>
                  <a:pt x="1280022" y="722288"/>
                  <a:pt x="1283892" y="725658"/>
                  <a:pt x="1288667" y="725658"/>
                </a:cubicBezTo>
                <a:lnTo>
                  <a:pt x="1290773" y="725658"/>
                </a:lnTo>
                <a:cubicBezTo>
                  <a:pt x="1295546" y="725658"/>
                  <a:pt x="1299419" y="722288"/>
                  <a:pt x="1299419" y="718130"/>
                </a:cubicBezTo>
                <a:lnTo>
                  <a:pt x="1299419" y="669300"/>
                </a:lnTo>
                <a:lnTo>
                  <a:pt x="1306860" y="669300"/>
                </a:lnTo>
                <a:lnTo>
                  <a:pt x="1306860" y="718130"/>
                </a:lnTo>
                <a:cubicBezTo>
                  <a:pt x="1306860" y="722288"/>
                  <a:pt x="1310732" y="725658"/>
                  <a:pt x="1315506" y="725658"/>
                </a:cubicBezTo>
                <a:lnTo>
                  <a:pt x="1317610" y="725658"/>
                </a:lnTo>
                <a:cubicBezTo>
                  <a:pt x="1322387" y="725658"/>
                  <a:pt x="1326256" y="722288"/>
                  <a:pt x="1326256" y="718130"/>
                </a:cubicBezTo>
                <a:lnTo>
                  <a:pt x="1326256" y="669300"/>
                </a:lnTo>
                <a:lnTo>
                  <a:pt x="1326256" y="662686"/>
                </a:lnTo>
                <a:lnTo>
                  <a:pt x="1326256" y="644694"/>
                </a:lnTo>
                <a:lnTo>
                  <a:pt x="1331108" y="660457"/>
                </a:lnTo>
                <a:cubicBezTo>
                  <a:pt x="1332344" y="664473"/>
                  <a:pt x="1337084" y="666857"/>
                  <a:pt x="1341696" y="665780"/>
                </a:cubicBezTo>
                <a:lnTo>
                  <a:pt x="1343730" y="665305"/>
                </a:lnTo>
                <a:cubicBezTo>
                  <a:pt x="1348342" y="664229"/>
                  <a:pt x="1351079" y="660102"/>
                  <a:pt x="1349844" y="656086"/>
                </a:cubicBezTo>
                <a:lnTo>
                  <a:pt x="1333361" y="602531"/>
                </a:lnTo>
                <a:cubicBezTo>
                  <a:pt x="1332899" y="601025"/>
                  <a:pt x="1331943" y="599749"/>
                  <a:pt x="1330685" y="598798"/>
                </a:cubicBezTo>
                <a:lnTo>
                  <a:pt x="1326256" y="597043"/>
                </a:lnTo>
                <a:lnTo>
                  <a:pt x="1326256" y="596830"/>
                </a:lnTo>
                <a:lnTo>
                  <a:pt x="1280022" y="596830"/>
                </a:lnTo>
                <a:close/>
                <a:moveTo>
                  <a:pt x="1482314" y="596830"/>
                </a:moveTo>
                <a:lnTo>
                  <a:pt x="1482314" y="597055"/>
                </a:lnTo>
                <a:lnTo>
                  <a:pt x="1481697" y="597020"/>
                </a:lnTo>
                <a:cubicBezTo>
                  <a:pt x="1478360" y="597426"/>
                  <a:pt x="1475461" y="599519"/>
                  <a:pt x="1474533" y="602531"/>
                </a:cubicBezTo>
                <a:lnTo>
                  <a:pt x="1458052" y="656086"/>
                </a:lnTo>
                <a:cubicBezTo>
                  <a:pt x="1456817" y="660102"/>
                  <a:pt x="1459553" y="664229"/>
                  <a:pt x="1464166" y="665305"/>
                </a:cubicBezTo>
                <a:lnTo>
                  <a:pt x="1466199" y="665780"/>
                </a:lnTo>
                <a:cubicBezTo>
                  <a:pt x="1470811" y="666857"/>
                  <a:pt x="1475552" y="664473"/>
                  <a:pt x="1476788" y="660457"/>
                </a:cubicBezTo>
                <a:lnTo>
                  <a:pt x="1482314" y="642502"/>
                </a:lnTo>
                <a:lnTo>
                  <a:pt x="1482314" y="662686"/>
                </a:lnTo>
                <a:lnTo>
                  <a:pt x="1482314" y="669300"/>
                </a:lnTo>
                <a:lnTo>
                  <a:pt x="1482314" y="718130"/>
                </a:lnTo>
                <a:cubicBezTo>
                  <a:pt x="1482314" y="722288"/>
                  <a:pt x="1486185" y="725658"/>
                  <a:pt x="1490960" y="725658"/>
                </a:cubicBezTo>
                <a:lnTo>
                  <a:pt x="1493064" y="725658"/>
                </a:lnTo>
                <a:cubicBezTo>
                  <a:pt x="1497840" y="725658"/>
                  <a:pt x="1501710" y="722288"/>
                  <a:pt x="1501710" y="718130"/>
                </a:cubicBezTo>
                <a:lnTo>
                  <a:pt x="1501710" y="669300"/>
                </a:lnTo>
                <a:lnTo>
                  <a:pt x="1509153" y="669300"/>
                </a:lnTo>
                <a:lnTo>
                  <a:pt x="1509153" y="718130"/>
                </a:lnTo>
                <a:cubicBezTo>
                  <a:pt x="1509153" y="722288"/>
                  <a:pt x="1513024" y="725658"/>
                  <a:pt x="1517799" y="725658"/>
                </a:cubicBezTo>
                <a:lnTo>
                  <a:pt x="1519903" y="725658"/>
                </a:lnTo>
                <a:cubicBezTo>
                  <a:pt x="1524678" y="725658"/>
                  <a:pt x="1528549" y="722288"/>
                  <a:pt x="1528549" y="718130"/>
                </a:cubicBezTo>
                <a:lnTo>
                  <a:pt x="1528549" y="669300"/>
                </a:lnTo>
                <a:lnTo>
                  <a:pt x="1528549" y="662686"/>
                </a:lnTo>
                <a:lnTo>
                  <a:pt x="1528549" y="644694"/>
                </a:lnTo>
                <a:lnTo>
                  <a:pt x="1533400" y="660457"/>
                </a:lnTo>
                <a:cubicBezTo>
                  <a:pt x="1534636" y="664473"/>
                  <a:pt x="1539377" y="666857"/>
                  <a:pt x="1543989" y="665780"/>
                </a:cubicBezTo>
                <a:lnTo>
                  <a:pt x="1546022" y="665305"/>
                </a:lnTo>
                <a:cubicBezTo>
                  <a:pt x="1550635" y="664229"/>
                  <a:pt x="1553371" y="660102"/>
                  <a:pt x="1552136" y="656086"/>
                </a:cubicBezTo>
                <a:lnTo>
                  <a:pt x="1535655" y="602531"/>
                </a:lnTo>
                <a:cubicBezTo>
                  <a:pt x="1535191" y="601025"/>
                  <a:pt x="1534235" y="599749"/>
                  <a:pt x="1532977" y="598798"/>
                </a:cubicBezTo>
                <a:lnTo>
                  <a:pt x="1528549" y="597043"/>
                </a:lnTo>
                <a:lnTo>
                  <a:pt x="1528549" y="596830"/>
                </a:lnTo>
                <a:lnTo>
                  <a:pt x="1482314" y="596830"/>
                </a:lnTo>
                <a:close/>
                <a:moveTo>
                  <a:pt x="1679477" y="596830"/>
                </a:moveTo>
                <a:lnTo>
                  <a:pt x="1679477" y="597055"/>
                </a:lnTo>
                <a:lnTo>
                  <a:pt x="1678860" y="597020"/>
                </a:lnTo>
                <a:cubicBezTo>
                  <a:pt x="1675521" y="597426"/>
                  <a:pt x="1672623" y="599519"/>
                  <a:pt x="1671696" y="602531"/>
                </a:cubicBezTo>
                <a:lnTo>
                  <a:pt x="1655215" y="656086"/>
                </a:lnTo>
                <a:cubicBezTo>
                  <a:pt x="1653980" y="660102"/>
                  <a:pt x="1656716" y="664229"/>
                  <a:pt x="1661328" y="665305"/>
                </a:cubicBezTo>
                <a:lnTo>
                  <a:pt x="1663362" y="665780"/>
                </a:lnTo>
                <a:cubicBezTo>
                  <a:pt x="1667974" y="666857"/>
                  <a:pt x="1672715" y="664473"/>
                  <a:pt x="1673951" y="660457"/>
                </a:cubicBezTo>
                <a:lnTo>
                  <a:pt x="1679477" y="642502"/>
                </a:lnTo>
                <a:lnTo>
                  <a:pt x="1679477" y="662686"/>
                </a:lnTo>
                <a:lnTo>
                  <a:pt x="1679477" y="669300"/>
                </a:lnTo>
                <a:lnTo>
                  <a:pt x="1679477" y="718130"/>
                </a:lnTo>
                <a:cubicBezTo>
                  <a:pt x="1679477" y="722288"/>
                  <a:pt x="1683346" y="725658"/>
                  <a:pt x="1688123" y="725658"/>
                </a:cubicBezTo>
                <a:lnTo>
                  <a:pt x="1690227" y="725658"/>
                </a:lnTo>
                <a:cubicBezTo>
                  <a:pt x="1695001" y="725658"/>
                  <a:pt x="1698873" y="722288"/>
                  <a:pt x="1698873" y="718130"/>
                </a:cubicBezTo>
                <a:lnTo>
                  <a:pt x="1698873" y="669300"/>
                </a:lnTo>
                <a:lnTo>
                  <a:pt x="1706314" y="669300"/>
                </a:lnTo>
                <a:lnTo>
                  <a:pt x="1706314" y="718130"/>
                </a:lnTo>
                <a:cubicBezTo>
                  <a:pt x="1706314" y="722288"/>
                  <a:pt x="1710187" y="725658"/>
                  <a:pt x="1714961" y="725658"/>
                </a:cubicBezTo>
                <a:lnTo>
                  <a:pt x="1717066" y="725658"/>
                </a:lnTo>
                <a:cubicBezTo>
                  <a:pt x="1721841" y="725658"/>
                  <a:pt x="1725712" y="722288"/>
                  <a:pt x="1725712" y="718130"/>
                </a:cubicBezTo>
                <a:lnTo>
                  <a:pt x="1725712" y="669300"/>
                </a:lnTo>
                <a:lnTo>
                  <a:pt x="1725712" y="662686"/>
                </a:lnTo>
                <a:lnTo>
                  <a:pt x="1725712" y="644694"/>
                </a:lnTo>
                <a:lnTo>
                  <a:pt x="1730563" y="660457"/>
                </a:lnTo>
                <a:cubicBezTo>
                  <a:pt x="1731799" y="664473"/>
                  <a:pt x="1736539" y="666857"/>
                  <a:pt x="1741152" y="665780"/>
                </a:cubicBezTo>
                <a:lnTo>
                  <a:pt x="1743185" y="665305"/>
                </a:lnTo>
                <a:cubicBezTo>
                  <a:pt x="1747797" y="664229"/>
                  <a:pt x="1750534" y="660102"/>
                  <a:pt x="1749299" y="656086"/>
                </a:cubicBezTo>
                <a:lnTo>
                  <a:pt x="1732817" y="602531"/>
                </a:lnTo>
                <a:cubicBezTo>
                  <a:pt x="1732354" y="601025"/>
                  <a:pt x="1731398" y="599749"/>
                  <a:pt x="1730140" y="598798"/>
                </a:cubicBezTo>
                <a:lnTo>
                  <a:pt x="1725712" y="597043"/>
                </a:lnTo>
                <a:lnTo>
                  <a:pt x="1725712" y="596830"/>
                </a:lnTo>
                <a:lnTo>
                  <a:pt x="1679477" y="596830"/>
                </a:lnTo>
                <a:close/>
                <a:moveTo>
                  <a:pt x="1882298" y="596830"/>
                </a:moveTo>
                <a:lnTo>
                  <a:pt x="1882298" y="597055"/>
                </a:lnTo>
                <a:lnTo>
                  <a:pt x="1881681" y="597020"/>
                </a:lnTo>
                <a:cubicBezTo>
                  <a:pt x="1878344" y="597426"/>
                  <a:pt x="1875446" y="599519"/>
                  <a:pt x="1874518" y="602531"/>
                </a:cubicBezTo>
                <a:lnTo>
                  <a:pt x="1858037" y="656086"/>
                </a:lnTo>
                <a:cubicBezTo>
                  <a:pt x="1856802" y="660102"/>
                  <a:pt x="1859540" y="664229"/>
                  <a:pt x="1864152" y="665305"/>
                </a:cubicBezTo>
                <a:lnTo>
                  <a:pt x="1866184" y="665780"/>
                </a:lnTo>
                <a:cubicBezTo>
                  <a:pt x="1870795" y="666857"/>
                  <a:pt x="1875538" y="664473"/>
                  <a:pt x="1876773" y="660457"/>
                </a:cubicBezTo>
                <a:lnTo>
                  <a:pt x="1882298" y="642502"/>
                </a:lnTo>
                <a:lnTo>
                  <a:pt x="1882298" y="662686"/>
                </a:lnTo>
                <a:lnTo>
                  <a:pt x="1882298" y="669300"/>
                </a:lnTo>
                <a:lnTo>
                  <a:pt x="1882298" y="718130"/>
                </a:lnTo>
                <a:cubicBezTo>
                  <a:pt x="1882298" y="722288"/>
                  <a:pt x="1886170" y="725658"/>
                  <a:pt x="1890944" y="725658"/>
                </a:cubicBezTo>
                <a:lnTo>
                  <a:pt x="1893050" y="725658"/>
                </a:lnTo>
                <a:cubicBezTo>
                  <a:pt x="1897824" y="725658"/>
                  <a:pt x="1901696" y="722288"/>
                  <a:pt x="1901696" y="718130"/>
                </a:cubicBezTo>
                <a:lnTo>
                  <a:pt x="1901696" y="669300"/>
                </a:lnTo>
                <a:lnTo>
                  <a:pt x="1909138" y="669300"/>
                </a:lnTo>
                <a:lnTo>
                  <a:pt x="1909138" y="718130"/>
                </a:lnTo>
                <a:cubicBezTo>
                  <a:pt x="1909138" y="722288"/>
                  <a:pt x="1913008" y="725658"/>
                  <a:pt x="1917783" y="725658"/>
                </a:cubicBezTo>
                <a:lnTo>
                  <a:pt x="1919889" y="725658"/>
                </a:lnTo>
                <a:cubicBezTo>
                  <a:pt x="1924664" y="725658"/>
                  <a:pt x="1928535" y="722288"/>
                  <a:pt x="1928535" y="718130"/>
                </a:cubicBezTo>
                <a:lnTo>
                  <a:pt x="1928535" y="669300"/>
                </a:lnTo>
                <a:lnTo>
                  <a:pt x="1928535" y="662686"/>
                </a:lnTo>
                <a:lnTo>
                  <a:pt x="1928535" y="644694"/>
                </a:lnTo>
                <a:lnTo>
                  <a:pt x="1933385" y="660457"/>
                </a:lnTo>
                <a:cubicBezTo>
                  <a:pt x="1934622" y="664473"/>
                  <a:pt x="1939363" y="666857"/>
                  <a:pt x="1943974" y="665780"/>
                </a:cubicBezTo>
                <a:lnTo>
                  <a:pt x="1946009" y="665305"/>
                </a:lnTo>
                <a:cubicBezTo>
                  <a:pt x="1950620" y="664229"/>
                  <a:pt x="1953357" y="660102"/>
                  <a:pt x="1952121" y="656086"/>
                </a:cubicBezTo>
                <a:lnTo>
                  <a:pt x="1935640" y="602531"/>
                </a:lnTo>
                <a:cubicBezTo>
                  <a:pt x="1935177" y="601025"/>
                  <a:pt x="1934220" y="599749"/>
                  <a:pt x="1932962" y="598798"/>
                </a:cubicBezTo>
                <a:lnTo>
                  <a:pt x="1928535" y="597043"/>
                </a:lnTo>
                <a:lnTo>
                  <a:pt x="1928535" y="596830"/>
                </a:lnTo>
                <a:lnTo>
                  <a:pt x="1882298" y="596830"/>
                </a:lnTo>
                <a:close/>
                <a:moveTo>
                  <a:pt x="2081622" y="596830"/>
                </a:moveTo>
                <a:lnTo>
                  <a:pt x="2081622" y="597055"/>
                </a:lnTo>
                <a:lnTo>
                  <a:pt x="2081004" y="597020"/>
                </a:lnTo>
                <a:cubicBezTo>
                  <a:pt x="2077667" y="597426"/>
                  <a:pt x="2074768" y="599519"/>
                  <a:pt x="2073841" y="602531"/>
                </a:cubicBezTo>
                <a:lnTo>
                  <a:pt x="2057362" y="656086"/>
                </a:lnTo>
                <a:cubicBezTo>
                  <a:pt x="2056126" y="660102"/>
                  <a:pt x="2058863" y="664229"/>
                  <a:pt x="2063474" y="665305"/>
                </a:cubicBezTo>
                <a:lnTo>
                  <a:pt x="2065507" y="665780"/>
                </a:lnTo>
                <a:cubicBezTo>
                  <a:pt x="2070119" y="666857"/>
                  <a:pt x="2074860" y="664473"/>
                  <a:pt x="2076097" y="660457"/>
                </a:cubicBezTo>
                <a:lnTo>
                  <a:pt x="2081622" y="642502"/>
                </a:lnTo>
                <a:lnTo>
                  <a:pt x="2081622" y="662686"/>
                </a:lnTo>
                <a:lnTo>
                  <a:pt x="2081622" y="669300"/>
                </a:lnTo>
                <a:lnTo>
                  <a:pt x="2081622" y="718130"/>
                </a:lnTo>
                <a:cubicBezTo>
                  <a:pt x="2081622" y="722288"/>
                  <a:pt x="2085492" y="725658"/>
                  <a:pt x="2090268" y="725658"/>
                </a:cubicBezTo>
                <a:lnTo>
                  <a:pt x="2092373" y="725658"/>
                </a:lnTo>
                <a:cubicBezTo>
                  <a:pt x="2097148" y="725658"/>
                  <a:pt x="2101019" y="722288"/>
                  <a:pt x="2101019" y="718130"/>
                </a:cubicBezTo>
                <a:lnTo>
                  <a:pt x="2101019" y="669300"/>
                </a:lnTo>
                <a:lnTo>
                  <a:pt x="2108461" y="669300"/>
                </a:lnTo>
                <a:lnTo>
                  <a:pt x="2108461" y="718130"/>
                </a:lnTo>
                <a:cubicBezTo>
                  <a:pt x="2108461" y="722288"/>
                  <a:pt x="2112333" y="725658"/>
                  <a:pt x="2117107" y="725658"/>
                </a:cubicBezTo>
                <a:lnTo>
                  <a:pt x="2119212" y="725658"/>
                </a:lnTo>
                <a:cubicBezTo>
                  <a:pt x="2123987" y="725658"/>
                  <a:pt x="2127858" y="722288"/>
                  <a:pt x="2127858" y="718130"/>
                </a:cubicBezTo>
                <a:lnTo>
                  <a:pt x="2127858" y="669300"/>
                </a:lnTo>
                <a:lnTo>
                  <a:pt x="2127858" y="662686"/>
                </a:lnTo>
                <a:lnTo>
                  <a:pt x="2127858" y="644694"/>
                </a:lnTo>
                <a:lnTo>
                  <a:pt x="2132707" y="660457"/>
                </a:lnTo>
                <a:cubicBezTo>
                  <a:pt x="2133945" y="664473"/>
                  <a:pt x="2138685" y="666857"/>
                  <a:pt x="2143298" y="665780"/>
                </a:cubicBezTo>
                <a:lnTo>
                  <a:pt x="2145331" y="665305"/>
                </a:lnTo>
                <a:cubicBezTo>
                  <a:pt x="2149943" y="664229"/>
                  <a:pt x="2152681" y="660102"/>
                  <a:pt x="2151445" y="656086"/>
                </a:cubicBezTo>
                <a:lnTo>
                  <a:pt x="2134963" y="602531"/>
                </a:lnTo>
                <a:cubicBezTo>
                  <a:pt x="2134501" y="601025"/>
                  <a:pt x="2133542" y="599749"/>
                  <a:pt x="2132286" y="598798"/>
                </a:cubicBezTo>
                <a:lnTo>
                  <a:pt x="2127858" y="597043"/>
                </a:lnTo>
                <a:lnTo>
                  <a:pt x="2127858" y="596830"/>
                </a:lnTo>
                <a:lnTo>
                  <a:pt x="2081622" y="596830"/>
                </a:lnTo>
                <a:close/>
                <a:moveTo>
                  <a:pt x="303668" y="787580"/>
                </a:moveTo>
                <a:cubicBezTo>
                  <a:pt x="293205" y="787580"/>
                  <a:pt x="284721" y="794965"/>
                  <a:pt x="284721" y="804077"/>
                </a:cubicBezTo>
                <a:cubicBezTo>
                  <a:pt x="284721" y="813186"/>
                  <a:pt x="293205" y="820573"/>
                  <a:pt x="303668" y="820573"/>
                </a:cubicBezTo>
                <a:cubicBezTo>
                  <a:pt x="314131" y="820573"/>
                  <a:pt x="322614" y="813186"/>
                  <a:pt x="322614" y="804077"/>
                </a:cubicBezTo>
                <a:cubicBezTo>
                  <a:pt x="322614" y="794965"/>
                  <a:pt x="314131" y="787580"/>
                  <a:pt x="303668" y="787580"/>
                </a:cubicBezTo>
                <a:close/>
                <a:moveTo>
                  <a:pt x="503662" y="787580"/>
                </a:moveTo>
                <a:cubicBezTo>
                  <a:pt x="493198" y="787580"/>
                  <a:pt x="484717" y="794965"/>
                  <a:pt x="484717" y="804077"/>
                </a:cubicBezTo>
                <a:cubicBezTo>
                  <a:pt x="484717" y="813186"/>
                  <a:pt x="493198" y="820573"/>
                  <a:pt x="503662" y="820573"/>
                </a:cubicBezTo>
                <a:cubicBezTo>
                  <a:pt x="514126" y="820573"/>
                  <a:pt x="522607" y="813186"/>
                  <a:pt x="522607" y="804077"/>
                </a:cubicBezTo>
                <a:cubicBezTo>
                  <a:pt x="522607" y="794965"/>
                  <a:pt x="514126" y="787580"/>
                  <a:pt x="503662" y="787580"/>
                </a:cubicBezTo>
                <a:close/>
                <a:moveTo>
                  <a:pt x="703653" y="787580"/>
                </a:moveTo>
                <a:cubicBezTo>
                  <a:pt x="693190" y="787580"/>
                  <a:pt x="684709" y="794965"/>
                  <a:pt x="684709" y="804077"/>
                </a:cubicBezTo>
                <a:cubicBezTo>
                  <a:pt x="684709" y="813186"/>
                  <a:pt x="693190" y="820573"/>
                  <a:pt x="703653" y="820573"/>
                </a:cubicBezTo>
                <a:cubicBezTo>
                  <a:pt x="714117" y="820573"/>
                  <a:pt x="722600" y="813186"/>
                  <a:pt x="722600" y="804077"/>
                </a:cubicBezTo>
                <a:cubicBezTo>
                  <a:pt x="722600" y="794965"/>
                  <a:pt x="714117" y="787580"/>
                  <a:pt x="703653" y="787580"/>
                </a:cubicBezTo>
                <a:close/>
                <a:moveTo>
                  <a:pt x="903646" y="787580"/>
                </a:moveTo>
                <a:cubicBezTo>
                  <a:pt x="893183" y="787580"/>
                  <a:pt x="884701" y="794965"/>
                  <a:pt x="884701" y="804077"/>
                </a:cubicBezTo>
                <a:cubicBezTo>
                  <a:pt x="884701" y="813186"/>
                  <a:pt x="893183" y="820573"/>
                  <a:pt x="903646" y="820573"/>
                </a:cubicBezTo>
                <a:cubicBezTo>
                  <a:pt x="914110" y="820573"/>
                  <a:pt x="922591" y="813186"/>
                  <a:pt x="922591" y="804077"/>
                </a:cubicBezTo>
                <a:cubicBezTo>
                  <a:pt x="922591" y="794965"/>
                  <a:pt x="914110" y="787580"/>
                  <a:pt x="903646" y="787580"/>
                </a:cubicBezTo>
                <a:close/>
                <a:moveTo>
                  <a:pt x="1103638" y="787580"/>
                </a:moveTo>
                <a:cubicBezTo>
                  <a:pt x="1093175" y="787580"/>
                  <a:pt x="1084694" y="794965"/>
                  <a:pt x="1084694" y="804077"/>
                </a:cubicBezTo>
                <a:cubicBezTo>
                  <a:pt x="1084694" y="813186"/>
                  <a:pt x="1093175" y="820573"/>
                  <a:pt x="1103638" y="820573"/>
                </a:cubicBezTo>
                <a:cubicBezTo>
                  <a:pt x="1114102" y="820573"/>
                  <a:pt x="1122584" y="813186"/>
                  <a:pt x="1122584" y="804077"/>
                </a:cubicBezTo>
                <a:cubicBezTo>
                  <a:pt x="1122584" y="794965"/>
                  <a:pt x="1114102" y="787580"/>
                  <a:pt x="1103638" y="787580"/>
                </a:cubicBezTo>
                <a:close/>
                <a:moveTo>
                  <a:pt x="1303631" y="787580"/>
                </a:moveTo>
                <a:cubicBezTo>
                  <a:pt x="1293167" y="787580"/>
                  <a:pt x="1284685" y="794965"/>
                  <a:pt x="1284685" y="804077"/>
                </a:cubicBezTo>
                <a:cubicBezTo>
                  <a:pt x="1284685" y="813186"/>
                  <a:pt x="1293167" y="820573"/>
                  <a:pt x="1303631" y="820573"/>
                </a:cubicBezTo>
                <a:cubicBezTo>
                  <a:pt x="1314095" y="820573"/>
                  <a:pt x="1322576" y="813186"/>
                  <a:pt x="1322576" y="804077"/>
                </a:cubicBezTo>
                <a:cubicBezTo>
                  <a:pt x="1322576" y="794965"/>
                  <a:pt x="1314095" y="787580"/>
                  <a:pt x="1303631" y="787580"/>
                </a:cubicBezTo>
                <a:close/>
                <a:moveTo>
                  <a:pt x="1505923" y="787580"/>
                </a:moveTo>
                <a:cubicBezTo>
                  <a:pt x="1495460" y="787580"/>
                  <a:pt x="1486979" y="794965"/>
                  <a:pt x="1486979" y="804077"/>
                </a:cubicBezTo>
                <a:cubicBezTo>
                  <a:pt x="1486979" y="813186"/>
                  <a:pt x="1495460" y="820573"/>
                  <a:pt x="1505923" y="820573"/>
                </a:cubicBezTo>
                <a:cubicBezTo>
                  <a:pt x="1516387" y="820573"/>
                  <a:pt x="1524868" y="813186"/>
                  <a:pt x="1524868" y="804077"/>
                </a:cubicBezTo>
                <a:cubicBezTo>
                  <a:pt x="1524868" y="794965"/>
                  <a:pt x="1516387" y="787580"/>
                  <a:pt x="1505923" y="787580"/>
                </a:cubicBezTo>
                <a:close/>
                <a:moveTo>
                  <a:pt x="1703085" y="787580"/>
                </a:moveTo>
                <a:cubicBezTo>
                  <a:pt x="1692623" y="787580"/>
                  <a:pt x="1684140" y="794965"/>
                  <a:pt x="1684140" y="804077"/>
                </a:cubicBezTo>
                <a:cubicBezTo>
                  <a:pt x="1684140" y="813186"/>
                  <a:pt x="1692623" y="820573"/>
                  <a:pt x="1703085" y="820573"/>
                </a:cubicBezTo>
                <a:cubicBezTo>
                  <a:pt x="1713550" y="820573"/>
                  <a:pt x="1722031" y="813186"/>
                  <a:pt x="1722031" y="804077"/>
                </a:cubicBezTo>
                <a:cubicBezTo>
                  <a:pt x="1722031" y="794965"/>
                  <a:pt x="1713550" y="787580"/>
                  <a:pt x="1703085" y="787580"/>
                </a:cubicBezTo>
                <a:close/>
                <a:moveTo>
                  <a:pt x="1905908" y="787580"/>
                </a:moveTo>
                <a:cubicBezTo>
                  <a:pt x="1895444" y="787580"/>
                  <a:pt x="1886962" y="794965"/>
                  <a:pt x="1886962" y="804077"/>
                </a:cubicBezTo>
                <a:cubicBezTo>
                  <a:pt x="1886962" y="813186"/>
                  <a:pt x="1895444" y="820573"/>
                  <a:pt x="1905908" y="820573"/>
                </a:cubicBezTo>
                <a:cubicBezTo>
                  <a:pt x="1916372" y="820573"/>
                  <a:pt x="1924855" y="813186"/>
                  <a:pt x="1924855" y="804077"/>
                </a:cubicBezTo>
                <a:cubicBezTo>
                  <a:pt x="1924855" y="794965"/>
                  <a:pt x="1916372" y="787580"/>
                  <a:pt x="1905908" y="787580"/>
                </a:cubicBezTo>
                <a:close/>
                <a:moveTo>
                  <a:pt x="2105231" y="787580"/>
                </a:moveTo>
                <a:cubicBezTo>
                  <a:pt x="2094769" y="787580"/>
                  <a:pt x="2086286" y="794965"/>
                  <a:pt x="2086286" y="804077"/>
                </a:cubicBezTo>
                <a:cubicBezTo>
                  <a:pt x="2086286" y="813186"/>
                  <a:pt x="2094769" y="820573"/>
                  <a:pt x="2105231" y="820573"/>
                </a:cubicBezTo>
                <a:cubicBezTo>
                  <a:pt x="2115694" y="820573"/>
                  <a:pt x="2124177" y="813186"/>
                  <a:pt x="2124177" y="804077"/>
                </a:cubicBezTo>
                <a:cubicBezTo>
                  <a:pt x="2124177" y="794965"/>
                  <a:pt x="2115694" y="787580"/>
                  <a:pt x="2105231" y="787580"/>
                </a:cubicBezTo>
                <a:close/>
                <a:moveTo>
                  <a:pt x="280058" y="824238"/>
                </a:moveTo>
                <a:lnTo>
                  <a:pt x="280058" y="824463"/>
                </a:lnTo>
                <a:lnTo>
                  <a:pt x="279441" y="824428"/>
                </a:lnTo>
                <a:cubicBezTo>
                  <a:pt x="276104" y="824833"/>
                  <a:pt x="273205" y="826926"/>
                  <a:pt x="272279" y="829938"/>
                </a:cubicBezTo>
                <a:lnTo>
                  <a:pt x="255797" y="883493"/>
                </a:lnTo>
                <a:cubicBezTo>
                  <a:pt x="254561" y="887509"/>
                  <a:pt x="257298" y="891636"/>
                  <a:pt x="261911" y="892712"/>
                </a:cubicBezTo>
                <a:lnTo>
                  <a:pt x="263944" y="893188"/>
                </a:lnTo>
                <a:cubicBezTo>
                  <a:pt x="268557" y="894264"/>
                  <a:pt x="273297" y="891880"/>
                  <a:pt x="274533" y="887865"/>
                </a:cubicBezTo>
                <a:lnTo>
                  <a:pt x="280058" y="869910"/>
                </a:lnTo>
                <a:lnTo>
                  <a:pt x="280058" y="890094"/>
                </a:lnTo>
                <a:lnTo>
                  <a:pt x="280058" y="896707"/>
                </a:lnTo>
                <a:lnTo>
                  <a:pt x="280058" y="945537"/>
                </a:lnTo>
                <a:cubicBezTo>
                  <a:pt x="280058" y="949695"/>
                  <a:pt x="283930" y="953066"/>
                  <a:pt x="288705" y="953066"/>
                </a:cubicBezTo>
                <a:lnTo>
                  <a:pt x="290809" y="953066"/>
                </a:lnTo>
                <a:cubicBezTo>
                  <a:pt x="295584" y="953066"/>
                  <a:pt x="299455" y="949695"/>
                  <a:pt x="299455" y="945537"/>
                </a:cubicBezTo>
                <a:lnTo>
                  <a:pt x="299455" y="896707"/>
                </a:lnTo>
                <a:lnTo>
                  <a:pt x="306898" y="896707"/>
                </a:lnTo>
                <a:lnTo>
                  <a:pt x="306898" y="945537"/>
                </a:lnTo>
                <a:cubicBezTo>
                  <a:pt x="306898" y="949695"/>
                  <a:pt x="310769" y="953066"/>
                  <a:pt x="315544" y="953066"/>
                </a:cubicBezTo>
                <a:lnTo>
                  <a:pt x="317649" y="953066"/>
                </a:lnTo>
                <a:cubicBezTo>
                  <a:pt x="322423" y="953066"/>
                  <a:pt x="326293" y="949695"/>
                  <a:pt x="326293" y="945537"/>
                </a:cubicBezTo>
                <a:lnTo>
                  <a:pt x="326293" y="896707"/>
                </a:lnTo>
                <a:lnTo>
                  <a:pt x="326293" y="890094"/>
                </a:lnTo>
                <a:lnTo>
                  <a:pt x="326293" y="872102"/>
                </a:lnTo>
                <a:lnTo>
                  <a:pt x="331145" y="887865"/>
                </a:lnTo>
                <a:cubicBezTo>
                  <a:pt x="332381" y="891880"/>
                  <a:pt x="337122" y="894264"/>
                  <a:pt x="341734" y="893188"/>
                </a:cubicBezTo>
                <a:lnTo>
                  <a:pt x="343767" y="892712"/>
                </a:lnTo>
                <a:cubicBezTo>
                  <a:pt x="348380" y="891636"/>
                  <a:pt x="351116" y="887509"/>
                  <a:pt x="349881" y="883493"/>
                </a:cubicBezTo>
                <a:lnTo>
                  <a:pt x="333400" y="829938"/>
                </a:lnTo>
                <a:cubicBezTo>
                  <a:pt x="332936" y="828432"/>
                  <a:pt x="331980" y="827156"/>
                  <a:pt x="330722" y="826205"/>
                </a:cubicBezTo>
                <a:lnTo>
                  <a:pt x="326293" y="824451"/>
                </a:lnTo>
                <a:lnTo>
                  <a:pt x="326293" y="824238"/>
                </a:lnTo>
                <a:lnTo>
                  <a:pt x="280058" y="824238"/>
                </a:lnTo>
                <a:close/>
                <a:moveTo>
                  <a:pt x="480053" y="824238"/>
                </a:moveTo>
                <a:lnTo>
                  <a:pt x="480053" y="824463"/>
                </a:lnTo>
                <a:lnTo>
                  <a:pt x="479436" y="824428"/>
                </a:lnTo>
                <a:cubicBezTo>
                  <a:pt x="476099" y="824833"/>
                  <a:pt x="473200" y="826926"/>
                  <a:pt x="472272" y="829938"/>
                </a:cubicBezTo>
                <a:lnTo>
                  <a:pt x="455791" y="883493"/>
                </a:lnTo>
                <a:cubicBezTo>
                  <a:pt x="454555" y="887509"/>
                  <a:pt x="457292" y="891636"/>
                  <a:pt x="461906" y="892712"/>
                </a:cubicBezTo>
                <a:lnTo>
                  <a:pt x="463938" y="893188"/>
                </a:lnTo>
                <a:cubicBezTo>
                  <a:pt x="468550" y="894264"/>
                  <a:pt x="473292" y="891880"/>
                  <a:pt x="474527" y="887865"/>
                </a:cubicBezTo>
                <a:lnTo>
                  <a:pt x="480053" y="869910"/>
                </a:lnTo>
                <a:lnTo>
                  <a:pt x="480053" y="890094"/>
                </a:lnTo>
                <a:lnTo>
                  <a:pt x="480053" y="896707"/>
                </a:lnTo>
                <a:lnTo>
                  <a:pt x="480053" y="945537"/>
                </a:lnTo>
                <a:cubicBezTo>
                  <a:pt x="480053" y="949695"/>
                  <a:pt x="483924" y="953066"/>
                  <a:pt x="488698" y="953066"/>
                </a:cubicBezTo>
                <a:lnTo>
                  <a:pt x="490804" y="953066"/>
                </a:lnTo>
                <a:cubicBezTo>
                  <a:pt x="495578" y="953066"/>
                  <a:pt x="499450" y="949695"/>
                  <a:pt x="499450" y="945537"/>
                </a:cubicBezTo>
                <a:lnTo>
                  <a:pt x="499450" y="896707"/>
                </a:lnTo>
                <a:lnTo>
                  <a:pt x="506892" y="896707"/>
                </a:lnTo>
                <a:lnTo>
                  <a:pt x="506892" y="945537"/>
                </a:lnTo>
                <a:cubicBezTo>
                  <a:pt x="506892" y="949695"/>
                  <a:pt x="510763" y="953066"/>
                  <a:pt x="515538" y="953066"/>
                </a:cubicBezTo>
                <a:lnTo>
                  <a:pt x="517643" y="953066"/>
                </a:lnTo>
                <a:cubicBezTo>
                  <a:pt x="522418" y="953066"/>
                  <a:pt x="526287" y="949695"/>
                  <a:pt x="526287" y="945537"/>
                </a:cubicBezTo>
                <a:lnTo>
                  <a:pt x="526287" y="896707"/>
                </a:lnTo>
                <a:lnTo>
                  <a:pt x="526287" y="890094"/>
                </a:lnTo>
                <a:lnTo>
                  <a:pt x="526287" y="872102"/>
                </a:lnTo>
                <a:lnTo>
                  <a:pt x="531139" y="887865"/>
                </a:lnTo>
                <a:cubicBezTo>
                  <a:pt x="532375" y="891880"/>
                  <a:pt x="537116" y="894264"/>
                  <a:pt x="541727" y="893188"/>
                </a:cubicBezTo>
                <a:lnTo>
                  <a:pt x="543761" y="892712"/>
                </a:lnTo>
                <a:cubicBezTo>
                  <a:pt x="548373" y="891636"/>
                  <a:pt x="551110" y="887509"/>
                  <a:pt x="549875" y="883493"/>
                </a:cubicBezTo>
                <a:lnTo>
                  <a:pt x="533394" y="829938"/>
                </a:lnTo>
                <a:cubicBezTo>
                  <a:pt x="532930" y="828432"/>
                  <a:pt x="531974" y="827156"/>
                  <a:pt x="530716" y="826205"/>
                </a:cubicBezTo>
                <a:lnTo>
                  <a:pt x="526287" y="824451"/>
                </a:lnTo>
                <a:lnTo>
                  <a:pt x="526287" y="824238"/>
                </a:lnTo>
                <a:lnTo>
                  <a:pt x="480053" y="824238"/>
                </a:lnTo>
                <a:close/>
                <a:moveTo>
                  <a:pt x="680045" y="824238"/>
                </a:moveTo>
                <a:lnTo>
                  <a:pt x="680045" y="824463"/>
                </a:lnTo>
                <a:lnTo>
                  <a:pt x="679427" y="824428"/>
                </a:lnTo>
                <a:cubicBezTo>
                  <a:pt x="676090" y="824833"/>
                  <a:pt x="673192" y="826926"/>
                  <a:pt x="672265" y="829938"/>
                </a:cubicBezTo>
                <a:lnTo>
                  <a:pt x="655783" y="883493"/>
                </a:lnTo>
                <a:cubicBezTo>
                  <a:pt x="654547" y="887509"/>
                  <a:pt x="657285" y="891636"/>
                  <a:pt x="661899" y="892712"/>
                </a:cubicBezTo>
                <a:lnTo>
                  <a:pt x="663930" y="893188"/>
                </a:lnTo>
                <a:cubicBezTo>
                  <a:pt x="668542" y="894264"/>
                  <a:pt x="673282" y="891880"/>
                  <a:pt x="674518" y="887865"/>
                </a:cubicBezTo>
                <a:lnTo>
                  <a:pt x="680045" y="869910"/>
                </a:lnTo>
                <a:lnTo>
                  <a:pt x="680045" y="890094"/>
                </a:lnTo>
                <a:lnTo>
                  <a:pt x="680045" y="896707"/>
                </a:lnTo>
                <a:lnTo>
                  <a:pt x="680045" y="945537"/>
                </a:lnTo>
                <a:cubicBezTo>
                  <a:pt x="680045" y="949695"/>
                  <a:pt x="683916" y="953066"/>
                  <a:pt x="688691" y="953066"/>
                </a:cubicBezTo>
                <a:lnTo>
                  <a:pt x="690797" y="953066"/>
                </a:lnTo>
                <a:cubicBezTo>
                  <a:pt x="695570" y="953066"/>
                  <a:pt x="699443" y="949695"/>
                  <a:pt x="699443" y="945537"/>
                </a:cubicBezTo>
                <a:lnTo>
                  <a:pt x="699443" y="896707"/>
                </a:lnTo>
                <a:lnTo>
                  <a:pt x="706884" y="896707"/>
                </a:lnTo>
                <a:lnTo>
                  <a:pt x="706884" y="945537"/>
                </a:lnTo>
                <a:cubicBezTo>
                  <a:pt x="706884" y="949695"/>
                  <a:pt x="710754" y="953066"/>
                  <a:pt x="715530" y="953066"/>
                </a:cubicBezTo>
                <a:lnTo>
                  <a:pt x="717635" y="953066"/>
                </a:lnTo>
                <a:cubicBezTo>
                  <a:pt x="722411" y="953066"/>
                  <a:pt x="726280" y="949695"/>
                  <a:pt x="726280" y="945537"/>
                </a:cubicBezTo>
                <a:lnTo>
                  <a:pt x="726280" y="896707"/>
                </a:lnTo>
                <a:lnTo>
                  <a:pt x="726280" y="890094"/>
                </a:lnTo>
                <a:lnTo>
                  <a:pt x="726280" y="872102"/>
                </a:lnTo>
                <a:lnTo>
                  <a:pt x="731132" y="887865"/>
                </a:lnTo>
                <a:cubicBezTo>
                  <a:pt x="732368" y="891880"/>
                  <a:pt x="737108" y="894264"/>
                  <a:pt x="741720" y="893188"/>
                </a:cubicBezTo>
                <a:lnTo>
                  <a:pt x="743753" y="892712"/>
                </a:lnTo>
                <a:cubicBezTo>
                  <a:pt x="748365" y="891636"/>
                  <a:pt x="751103" y="887509"/>
                  <a:pt x="749868" y="883493"/>
                </a:cubicBezTo>
                <a:lnTo>
                  <a:pt x="733385" y="829938"/>
                </a:lnTo>
                <a:cubicBezTo>
                  <a:pt x="732923" y="828432"/>
                  <a:pt x="731967" y="827156"/>
                  <a:pt x="730709" y="826205"/>
                </a:cubicBezTo>
                <a:lnTo>
                  <a:pt x="726280" y="824451"/>
                </a:lnTo>
                <a:lnTo>
                  <a:pt x="726280" y="824238"/>
                </a:lnTo>
                <a:lnTo>
                  <a:pt x="680045" y="824238"/>
                </a:lnTo>
                <a:close/>
                <a:moveTo>
                  <a:pt x="880037" y="824238"/>
                </a:moveTo>
                <a:lnTo>
                  <a:pt x="880037" y="824463"/>
                </a:lnTo>
                <a:lnTo>
                  <a:pt x="879420" y="824428"/>
                </a:lnTo>
                <a:cubicBezTo>
                  <a:pt x="876083" y="824833"/>
                  <a:pt x="873184" y="826926"/>
                  <a:pt x="872256" y="829938"/>
                </a:cubicBezTo>
                <a:lnTo>
                  <a:pt x="855776" y="883493"/>
                </a:lnTo>
                <a:cubicBezTo>
                  <a:pt x="854540" y="887509"/>
                  <a:pt x="857277" y="891636"/>
                  <a:pt x="861890" y="892712"/>
                </a:cubicBezTo>
                <a:lnTo>
                  <a:pt x="863923" y="893188"/>
                </a:lnTo>
                <a:cubicBezTo>
                  <a:pt x="868534" y="894264"/>
                  <a:pt x="873275" y="891880"/>
                  <a:pt x="874511" y="887865"/>
                </a:cubicBezTo>
                <a:lnTo>
                  <a:pt x="880037" y="869910"/>
                </a:lnTo>
                <a:lnTo>
                  <a:pt x="880037" y="890094"/>
                </a:lnTo>
                <a:lnTo>
                  <a:pt x="880037" y="896707"/>
                </a:lnTo>
                <a:lnTo>
                  <a:pt x="880037" y="945537"/>
                </a:lnTo>
                <a:cubicBezTo>
                  <a:pt x="880037" y="949695"/>
                  <a:pt x="883909" y="953066"/>
                  <a:pt x="888683" y="953066"/>
                </a:cubicBezTo>
                <a:lnTo>
                  <a:pt x="890788" y="953066"/>
                </a:lnTo>
                <a:cubicBezTo>
                  <a:pt x="895563" y="953066"/>
                  <a:pt x="899434" y="949695"/>
                  <a:pt x="899434" y="945537"/>
                </a:cubicBezTo>
                <a:lnTo>
                  <a:pt x="899434" y="896707"/>
                </a:lnTo>
                <a:lnTo>
                  <a:pt x="906877" y="896707"/>
                </a:lnTo>
                <a:lnTo>
                  <a:pt x="906877" y="945537"/>
                </a:lnTo>
                <a:cubicBezTo>
                  <a:pt x="906877" y="949695"/>
                  <a:pt x="910747" y="953066"/>
                  <a:pt x="915521" y="953066"/>
                </a:cubicBezTo>
                <a:lnTo>
                  <a:pt x="917628" y="953066"/>
                </a:lnTo>
                <a:cubicBezTo>
                  <a:pt x="922402" y="953066"/>
                  <a:pt x="926272" y="949695"/>
                  <a:pt x="926272" y="945537"/>
                </a:cubicBezTo>
                <a:lnTo>
                  <a:pt x="926272" y="896707"/>
                </a:lnTo>
                <a:lnTo>
                  <a:pt x="926272" y="890094"/>
                </a:lnTo>
                <a:lnTo>
                  <a:pt x="926272" y="872102"/>
                </a:lnTo>
                <a:lnTo>
                  <a:pt x="931123" y="887865"/>
                </a:lnTo>
                <a:cubicBezTo>
                  <a:pt x="932359" y="891880"/>
                  <a:pt x="937100" y="894264"/>
                  <a:pt x="941712" y="893188"/>
                </a:cubicBezTo>
                <a:lnTo>
                  <a:pt x="943745" y="892712"/>
                </a:lnTo>
                <a:cubicBezTo>
                  <a:pt x="948358" y="891636"/>
                  <a:pt x="951095" y="887509"/>
                  <a:pt x="949860" y="883493"/>
                </a:cubicBezTo>
                <a:lnTo>
                  <a:pt x="933378" y="829938"/>
                </a:lnTo>
                <a:cubicBezTo>
                  <a:pt x="932915" y="828432"/>
                  <a:pt x="931958" y="827156"/>
                  <a:pt x="930701" y="826205"/>
                </a:cubicBezTo>
                <a:lnTo>
                  <a:pt x="926272" y="824451"/>
                </a:lnTo>
                <a:lnTo>
                  <a:pt x="926272" y="824238"/>
                </a:lnTo>
                <a:lnTo>
                  <a:pt x="880037" y="824238"/>
                </a:lnTo>
                <a:close/>
                <a:moveTo>
                  <a:pt x="1080030" y="824238"/>
                </a:moveTo>
                <a:lnTo>
                  <a:pt x="1080030" y="824463"/>
                </a:lnTo>
                <a:lnTo>
                  <a:pt x="1079412" y="824428"/>
                </a:lnTo>
                <a:cubicBezTo>
                  <a:pt x="1076075" y="824833"/>
                  <a:pt x="1073176" y="826926"/>
                  <a:pt x="1072249" y="829938"/>
                </a:cubicBezTo>
                <a:lnTo>
                  <a:pt x="1055767" y="883493"/>
                </a:lnTo>
                <a:cubicBezTo>
                  <a:pt x="1054531" y="887509"/>
                  <a:pt x="1057269" y="891636"/>
                  <a:pt x="1061881" y="892712"/>
                </a:cubicBezTo>
                <a:lnTo>
                  <a:pt x="1063914" y="893188"/>
                </a:lnTo>
                <a:cubicBezTo>
                  <a:pt x="1068527" y="894264"/>
                  <a:pt x="1073267" y="891880"/>
                  <a:pt x="1074503" y="887865"/>
                </a:cubicBezTo>
                <a:lnTo>
                  <a:pt x="1080030" y="869910"/>
                </a:lnTo>
                <a:lnTo>
                  <a:pt x="1080030" y="890094"/>
                </a:lnTo>
                <a:lnTo>
                  <a:pt x="1080030" y="896707"/>
                </a:lnTo>
                <a:lnTo>
                  <a:pt x="1080030" y="945537"/>
                </a:lnTo>
                <a:cubicBezTo>
                  <a:pt x="1080030" y="949695"/>
                  <a:pt x="1083900" y="953066"/>
                  <a:pt x="1088676" y="953066"/>
                </a:cubicBezTo>
                <a:lnTo>
                  <a:pt x="1090781" y="953066"/>
                </a:lnTo>
                <a:cubicBezTo>
                  <a:pt x="1095554" y="953066"/>
                  <a:pt x="1099427" y="949695"/>
                  <a:pt x="1099427" y="945537"/>
                </a:cubicBezTo>
                <a:lnTo>
                  <a:pt x="1099427" y="896707"/>
                </a:lnTo>
                <a:lnTo>
                  <a:pt x="1106868" y="896707"/>
                </a:lnTo>
                <a:lnTo>
                  <a:pt x="1106868" y="945537"/>
                </a:lnTo>
                <a:cubicBezTo>
                  <a:pt x="1106868" y="949695"/>
                  <a:pt x="1110739" y="953066"/>
                  <a:pt x="1115514" y="953066"/>
                </a:cubicBezTo>
                <a:lnTo>
                  <a:pt x="1117619" y="953066"/>
                </a:lnTo>
                <a:cubicBezTo>
                  <a:pt x="1122395" y="953066"/>
                  <a:pt x="1126264" y="949695"/>
                  <a:pt x="1126264" y="945537"/>
                </a:cubicBezTo>
                <a:lnTo>
                  <a:pt x="1126264" y="896707"/>
                </a:lnTo>
                <a:lnTo>
                  <a:pt x="1126264" y="890094"/>
                </a:lnTo>
                <a:lnTo>
                  <a:pt x="1126264" y="872102"/>
                </a:lnTo>
                <a:lnTo>
                  <a:pt x="1131115" y="887865"/>
                </a:lnTo>
                <a:cubicBezTo>
                  <a:pt x="1132352" y="891880"/>
                  <a:pt x="1137092" y="894264"/>
                  <a:pt x="1141704" y="893188"/>
                </a:cubicBezTo>
                <a:lnTo>
                  <a:pt x="1143738" y="892712"/>
                </a:lnTo>
                <a:cubicBezTo>
                  <a:pt x="1148350" y="891636"/>
                  <a:pt x="1151086" y="887509"/>
                  <a:pt x="1149853" y="883493"/>
                </a:cubicBezTo>
                <a:lnTo>
                  <a:pt x="1133370" y="829938"/>
                </a:lnTo>
                <a:cubicBezTo>
                  <a:pt x="1132906" y="828432"/>
                  <a:pt x="1131950" y="827156"/>
                  <a:pt x="1130693" y="826205"/>
                </a:cubicBezTo>
                <a:lnTo>
                  <a:pt x="1126264" y="824451"/>
                </a:lnTo>
                <a:lnTo>
                  <a:pt x="1126264" y="824238"/>
                </a:lnTo>
                <a:lnTo>
                  <a:pt x="1080030" y="824238"/>
                </a:lnTo>
                <a:close/>
                <a:moveTo>
                  <a:pt x="1280022" y="824238"/>
                </a:moveTo>
                <a:lnTo>
                  <a:pt x="1280022" y="824463"/>
                </a:lnTo>
                <a:lnTo>
                  <a:pt x="1279405" y="824428"/>
                </a:lnTo>
                <a:cubicBezTo>
                  <a:pt x="1276068" y="824833"/>
                  <a:pt x="1273169" y="826926"/>
                  <a:pt x="1272241" y="829938"/>
                </a:cubicBezTo>
                <a:lnTo>
                  <a:pt x="1255760" y="883493"/>
                </a:lnTo>
                <a:cubicBezTo>
                  <a:pt x="1254524" y="887509"/>
                  <a:pt x="1257261" y="891636"/>
                  <a:pt x="1261874" y="892712"/>
                </a:cubicBezTo>
                <a:lnTo>
                  <a:pt x="1263907" y="893188"/>
                </a:lnTo>
                <a:cubicBezTo>
                  <a:pt x="1268519" y="894264"/>
                  <a:pt x="1273260" y="891880"/>
                  <a:pt x="1274496" y="887865"/>
                </a:cubicBezTo>
                <a:lnTo>
                  <a:pt x="1280022" y="869910"/>
                </a:lnTo>
                <a:lnTo>
                  <a:pt x="1280022" y="890094"/>
                </a:lnTo>
                <a:lnTo>
                  <a:pt x="1280022" y="896707"/>
                </a:lnTo>
                <a:lnTo>
                  <a:pt x="1280022" y="945537"/>
                </a:lnTo>
                <a:cubicBezTo>
                  <a:pt x="1280022" y="949695"/>
                  <a:pt x="1283892" y="953066"/>
                  <a:pt x="1288667" y="953066"/>
                </a:cubicBezTo>
                <a:lnTo>
                  <a:pt x="1290773" y="953066"/>
                </a:lnTo>
                <a:cubicBezTo>
                  <a:pt x="1295546" y="953066"/>
                  <a:pt x="1299419" y="949695"/>
                  <a:pt x="1299419" y="945537"/>
                </a:cubicBezTo>
                <a:lnTo>
                  <a:pt x="1299419" y="896707"/>
                </a:lnTo>
                <a:lnTo>
                  <a:pt x="1306860" y="896707"/>
                </a:lnTo>
                <a:lnTo>
                  <a:pt x="1306860" y="945537"/>
                </a:lnTo>
                <a:cubicBezTo>
                  <a:pt x="1306860" y="949695"/>
                  <a:pt x="1310732" y="953066"/>
                  <a:pt x="1315506" y="953066"/>
                </a:cubicBezTo>
                <a:lnTo>
                  <a:pt x="1317610" y="953066"/>
                </a:lnTo>
                <a:cubicBezTo>
                  <a:pt x="1322387" y="953066"/>
                  <a:pt x="1326256" y="949695"/>
                  <a:pt x="1326256" y="945537"/>
                </a:cubicBezTo>
                <a:lnTo>
                  <a:pt x="1326256" y="896707"/>
                </a:lnTo>
                <a:lnTo>
                  <a:pt x="1326256" y="890094"/>
                </a:lnTo>
                <a:lnTo>
                  <a:pt x="1326256" y="872102"/>
                </a:lnTo>
                <a:lnTo>
                  <a:pt x="1331108" y="887865"/>
                </a:lnTo>
                <a:cubicBezTo>
                  <a:pt x="1332344" y="891880"/>
                  <a:pt x="1337084" y="894264"/>
                  <a:pt x="1341696" y="893188"/>
                </a:cubicBezTo>
                <a:lnTo>
                  <a:pt x="1343730" y="892712"/>
                </a:lnTo>
                <a:cubicBezTo>
                  <a:pt x="1348342" y="891636"/>
                  <a:pt x="1351079" y="887509"/>
                  <a:pt x="1349844" y="883493"/>
                </a:cubicBezTo>
                <a:lnTo>
                  <a:pt x="1333361" y="829938"/>
                </a:lnTo>
                <a:cubicBezTo>
                  <a:pt x="1332899" y="828432"/>
                  <a:pt x="1331943" y="827156"/>
                  <a:pt x="1330685" y="826205"/>
                </a:cubicBezTo>
                <a:lnTo>
                  <a:pt x="1326256" y="824451"/>
                </a:lnTo>
                <a:lnTo>
                  <a:pt x="1326256" y="824238"/>
                </a:lnTo>
                <a:lnTo>
                  <a:pt x="1280022" y="824238"/>
                </a:lnTo>
                <a:close/>
                <a:moveTo>
                  <a:pt x="1482314" y="824238"/>
                </a:moveTo>
                <a:lnTo>
                  <a:pt x="1482314" y="824463"/>
                </a:lnTo>
                <a:lnTo>
                  <a:pt x="1481697" y="824428"/>
                </a:lnTo>
                <a:cubicBezTo>
                  <a:pt x="1478360" y="824833"/>
                  <a:pt x="1475461" y="826926"/>
                  <a:pt x="1474533" y="829938"/>
                </a:cubicBezTo>
                <a:lnTo>
                  <a:pt x="1458052" y="883493"/>
                </a:lnTo>
                <a:cubicBezTo>
                  <a:pt x="1456817" y="887509"/>
                  <a:pt x="1459553" y="891636"/>
                  <a:pt x="1464166" y="892712"/>
                </a:cubicBezTo>
                <a:lnTo>
                  <a:pt x="1466199" y="893188"/>
                </a:lnTo>
                <a:cubicBezTo>
                  <a:pt x="1470811" y="894264"/>
                  <a:pt x="1475552" y="891880"/>
                  <a:pt x="1476788" y="887865"/>
                </a:cubicBezTo>
                <a:lnTo>
                  <a:pt x="1482314" y="869910"/>
                </a:lnTo>
                <a:lnTo>
                  <a:pt x="1482314" y="890094"/>
                </a:lnTo>
                <a:lnTo>
                  <a:pt x="1482314" y="896707"/>
                </a:lnTo>
                <a:lnTo>
                  <a:pt x="1482314" y="945537"/>
                </a:lnTo>
                <a:cubicBezTo>
                  <a:pt x="1482314" y="949695"/>
                  <a:pt x="1486185" y="953066"/>
                  <a:pt x="1490960" y="953066"/>
                </a:cubicBezTo>
                <a:lnTo>
                  <a:pt x="1493064" y="953066"/>
                </a:lnTo>
                <a:cubicBezTo>
                  <a:pt x="1497840" y="953066"/>
                  <a:pt x="1501710" y="949695"/>
                  <a:pt x="1501710" y="945537"/>
                </a:cubicBezTo>
                <a:lnTo>
                  <a:pt x="1501710" y="896707"/>
                </a:lnTo>
                <a:lnTo>
                  <a:pt x="1509153" y="896707"/>
                </a:lnTo>
                <a:lnTo>
                  <a:pt x="1509153" y="945537"/>
                </a:lnTo>
                <a:cubicBezTo>
                  <a:pt x="1509153" y="949695"/>
                  <a:pt x="1513024" y="953066"/>
                  <a:pt x="1517799" y="953066"/>
                </a:cubicBezTo>
                <a:lnTo>
                  <a:pt x="1519903" y="953066"/>
                </a:lnTo>
                <a:cubicBezTo>
                  <a:pt x="1524678" y="953066"/>
                  <a:pt x="1528549" y="949695"/>
                  <a:pt x="1528549" y="945537"/>
                </a:cubicBezTo>
                <a:lnTo>
                  <a:pt x="1528549" y="896707"/>
                </a:lnTo>
                <a:lnTo>
                  <a:pt x="1528549" y="890094"/>
                </a:lnTo>
                <a:lnTo>
                  <a:pt x="1528549" y="872102"/>
                </a:lnTo>
                <a:lnTo>
                  <a:pt x="1533400" y="887865"/>
                </a:lnTo>
                <a:cubicBezTo>
                  <a:pt x="1534636" y="891880"/>
                  <a:pt x="1539377" y="894264"/>
                  <a:pt x="1543989" y="893188"/>
                </a:cubicBezTo>
                <a:lnTo>
                  <a:pt x="1546022" y="892712"/>
                </a:lnTo>
                <a:cubicBezTo>
                  <a:pt x="1550635" y="891636"/>
                  <a:pt x="1553371" y="887509"/>
                  <a:pt x="1552136" y="883493"/>
                </a:cubicBezTo>
                <a:lnTo>
                  <a:pt x="1535655" y="829938"/>
                </a:lnTo>
                <a:cubicBezTo>
                  <a:pt x="1535191" y="828432"/>
                  <a:pt x="1534235" y="827156"/>
                  <a:pt x="1532977" y="826205"/>
                </a:cubicBezTo>
                <a:lnTo>
                  <a:pt x="1528549" y="824451"/>
                </a:lnTo>
                <a:lnTo>
                  <a:pt x="1528549" y="824238"/>
                </a:lnTo>
                <a:lnTo>
                  <a:pt x="1482314" y="824238"/>
                </a:lnTo>
                <a:close/>
                <a:moveTo>
                  <a:pt x="1679477" y="824238"/>
                </a:moveTo>
                <a:lnTo>
                  <a:pt x="1679477" y="824463"/>
                </a:lnTo>
                <a:lnTo>
                  <a:pt x="1678860" y="824428"/>
                </a:lnTo>
                <a:cubicBezTo>
                  <a:pt x="1675521" y="824833"/>
                  <a:pt x="1672623" y="826926"/>
                  <a:pt x="1671696" y="829938"/>
                </a:cubicBezTo>
                <a:lnTo>
                  <a:pt x="1655215" y="883493"/>
                </a:lnTo>
                <a:cubicBezTo>
                  <a:pt x="1653980" y="887509"/>
                  <a:pt x="1656716" y="891636"/>
                  <a:pt x="1661328" y="892712"/>
                </a:cubicBezTo>
                <a:lnTo>
                  <a:pt x="1663362" y="893188"/>
                </a:lnTo>
                <a:cubicBezTo>
                  <a:pt x="1667974" y="894264"/>
                  <a:pt x="1672715" y="891880"/>
                  <a:pt x="1673951" y="887865"/>
                </a:cubicBezTo>
                <a:lnTo>
                  <a:pt x="1679477" y="869910"/>
                </a:lnTo>
                <a:lnTo>
                  <a:pt x="1679477" y="890094"/>
                </a:lnTo>
                <a:lnTo>
                  <a:pt x="1679477" y="896707"/>
                </a:lnTo>
                <a:lnTo>
                  <a:pt x="1679477" y="945537"/>
                </a:lnTo>
                <a:cubicBezTo>
                  <a:pt x="1679477" y="949695"/>
                  <a:pt x="1683346" y="953066"/>
                  <a:pt x="1688123" y="953066"/>
                </a:cubicBezTo>
                <a:lnTo>
                  <a:pt x="1690227" y="953066"/>
                </a:lnTo>
                <a:cubicBezTo>
                  <a:pt x="1695001" y="953066"/>
                  <a:pt x="1698873" y="949695"/>
                  <a:pt x="1698873" y="945537"/>
                </a:cubicBezTo>
                <a:lnTo>
                  <a:pt x="1698873" y="896707"/>
                </a:lnTo>
                <a:lnTo>
                  <a:pt x="1706314" y="896707"/>
                </a:lnTo>
                <a:lnTo>
                  <a:pt x="1706314" y="945537"/>
                </a:lnTo>
                <a:cubicBezTo>
                  <a:pt x="1706314" y="949695"/>
                  <a:pt x="1710187" y="953066"/>
                  <a:pt x="1714961" y="953066"/>
                </a:cubicBezTo>
                <a:lnTo>
                  <a:pt x="1717066" y="953066"/>
                </a:lnTo>
                <a:cubicBezTo>
                  <a:pt x="1721841" y="953066"/>
                  <a:pt x="1725712" y="949695"/>
                  <a:pt x="1725712" y="945537"/>
                </a:cubicBezTo>
                <a:lnTo>
                  <a:pt x="1725712" y="896707"/>
                </a:lnTo>
                <a:lnTo>
                  <a:pt x="1725712" y="890094"/>
                </a:lnTo>
                <a:lnTo>
                  <a:pt x="1725712" y="872102"/>
                </a:lnTo>
                <a:lnTo>
                  <a:pt x="1730563" y="887865"/>
                </a:lnTo>
                <a:cubicBezTo>
                  <a:pt x="1731799" y="891880"/>
                  <a:pt x="1736539" y="894264"/>
                  <a:pt x="1741152" y="893188"/>
                </a:cubicBezTo>
                <a:lnTo>
                  <a:pt x="1743185" y="892712"/>
                </a:lnTo>
                <a:cubicBezTo>
                  <a:pt x="1747797" y="891636"/>
                  <a:pt x="1750534" y="887509"/>
                  <a:pt x="1749299" y="883493"/>
                </a:cubicBezTo>
                <a:lnTo>
                  <a:pt x="1732817" y="829938"/>
                </a:lnTo>
                <a:cubicBezTo>
                  <a:pt x="1732354" y="828432"/>
                  <a:pt x="1731398" y="827156"/>
                  <a:pt x="1730140" y="826205"/>
                </a:cubicBezTo>
                <a:lnTo>
                  <a:pt x="1725712" y="824451"/>
                </a:lnTo>
                <a:lnTo>
                  <a:pt x="1725712" y="824238"/>
                </a:lnTo>
                <a:lnTo>
                  <a:pt x="1679477" y="824238"/>
                </a:lnTo>
                <a:close/>
                <a:moveTo>
                  <a:pt x="1882298" y="824238"/>
                </a:moveTo>
                <a:lnTo>
                  <a:pt x="1882298" y="824463"/>
                </a:lnTo>
                <a:lnTo>
                  <a:pt x="1881681" y="824428"/>
                </a:lnTo>
                <a:cubicBezTo>
                  <a:pt x="1878344" y="824833"/>
                  <a:pt x="1875446" y="826926"/>
                  <a:pt x="1874518" y="829938"/>
                </a:cubicBezTo>
                <a:lnTo>
                  <a:pt x="1858037" y="883493"/>
                </a:lnTo>
                <a:cubicBezTo>
                  <a:pt x="1856802" y="887509"/>
                  <a:pt x="1859540" y="891636"/>
                  <a:pt x="1864152" y="892712"/>
                </a:cubicBezTo>
                <a:lnTo>
                  <a:pt x="1866184" y="893188"/>
                </a:lnTo>
                <a:cubicBezTo>
                  <a:pt x="1870795" y="894264"/>
                  <a:pt x="1875538" y="891880"/>
                  <a:pt x="1876773" y="887865"/>
                </a:cubicBezTo>
                <a:lnTo>
                  <a:pt x="1882298" y="869910"/>
                </a:lnTo>
                <a:lnTo>
                  <a:pt x="1882298" y="890094"/>
                </a:lnTo>
                <a:lnTo>
                  <a:pt x="1882298" y="896707"/>
                </a:lnTo>
                <a:lnTo>
                  <a:pt x="1882298" y="945537"/>
                </a:lnTo>
                <a:cubicBezTo>
                  <a:pt x="1882298" y="949695"/>
                  <a:pt x="1886170" y="953066"/>
                  <a:pt x="1890944" y="953066"/>
                </a:cubicBezTo>
                <a:lnTo>
                  <a:pt x="1893050" y="953066"/>
                </a:lnTo>
                <a:cubicBezTo>
                  <a:pt x="1897824" y="953066"/>
                  <a:pt x="1901696" y="949695"/>
                  <a:pt x="1901696" y="945537"/>
                </a:cubicBezTo>
                <a:lnTo>
                  <a:pt x="1901696" y="896707"/>
                </a:lnTo>
                <a:lnTo>
                  <a:pt x="1909138" y="896707"/>
                </a:lnTo>
                <a:lnTo>
                  <a:pt x="1909138" y="945537"/>
                </a:lnTo>
                <a:cubicBezTo>
                  <a:pt x="1909138" y="949695"/>
                  <a:pt x="1913008" y="953066"/>
                  <a:pt x="1917783" y="953066"/>
                </a:cubicBezTo>
                <a:lnTo>
                  <a:pt x="1919889" y="953066"/>
                </a:lnTo>
                <a:cubicBezTo>
                  <a:pt x="1924664" y="953066"/>
                  <a:pt x="1928535" y="949695"/>
                  <a:pt x="1928535" y="945537"/>
                </a:cubicBezTo>
                <a:lnTo>
                  <a:pt x="1928535" y="896707"/>
                </a:lnTo>
                <a:lnTo>
                  <a:pt x="1928535" y="890094"/>
                </a:lnTo>
                <a:lnTo>
                  <a:pt x="1928535" y="872102"/>
                </a:lnTo>
                <a:lnTo>
                  <a:pt x="1933385" y="887865"/>
                </a:lnTo>
                <a:cubicBezTo>
                  <a:pt x="1934622" y="891880"/>
                  <a:pt x="1939363" y="894264"/>
                  <a:pt x="1943974" y="893188"/>
                </a:cubicBezTo>
                <a:lnTo>
                  <a:pt x="1946009" y="892712"/>
                </a:lnTo>
                <a:cubicBezTo>
                  <a:pt x="1950620" y="891636"/>
                  <a:pt x="1953357" y="887509"/>
                  <a:pt x="1952121" y="883493"/>
                </a:cubicBezTo>
                <a:lnTo>
                  <a:pt x="1935640" y="829938"/>
                </a:lnTo>
                <a:cubicBezTo>
                  <a:pt x="1935177" y="828432"/>
                  <a:pt x="1934220" y="827156"/>
                  <a:pt x="1932962" y="826205"/>
                </a:cubicBezTo>
                <a:lnTo>
                  <a:pt x="1928535" y="824451"/>
                </a:lnTo>
                <a:lnTo>
                  <a:pt x="1928535" y="824238"/>
                </a:lnTo>
                <a:lnTo>
                  <a:pt x="1882298" y="824238"/>
                </a:lnTo>
                <a:close/>
                <a:moveTo>
                  <a:pt x="2081622" y="824238"/>
                </a:moveTo>
                <a:lnTo>
                  <a:pt x="2081622" y="824463"/>
                </a:lnTo>
                <a:lnTo>
                  <a:pt x="2081004" y="824428"/>
                </a:lnTo>
                <a:cubicBezTo>
                  <a:pt x="2077667" y="824833"/>
                  <a:pt x="2074768" y="826926"/>
                  <a:pt x="2073841" y="829938"/>
                </a:cubicBezTo>
                <a:lnTo>
                  <a:pt x="2057362" y="883493"/>
                </a:lnTo>
                <a:cubicBezTo>
                  <a:pt x="2056126" y="887509"/>
                  <a:pt x="2058863" y="891636"/>
                  <a:pt x="2063474" y="892712"/>
                </a:cubicBezTo>
                <a:lnTo>
                  <a:pt x="2065507" y="893188"/>
                </a:lnTo>
                <a:cubicBezTo>
                  <a:pt x="2070119" y="894264"/>
                  <a:pt x="2074860" y="891880"/>
                  <a:pt x="2076097" y="887865"/>
                </a:cubicBezTo>
                <a:lnTo>
                  <a:pt x="2081622" y="869910"/>
                </a:lnTo>
                <a:lnTo>
                  <a:pt x="2081622" y="890094"/>
                </a:lnTo>
                <a:lnTo>
                  <a:pt x="2081622" y="896707"/>
                </a:lnTo>
                <a:lnTo>
                  <a:pt x="2081622" y="945537"/>
                </a:lnTo>
                <a:cubicBezTo>
                  <a:pt x="2081622" y="949695"/>
                  <a:pt x="2085492" y="953066"/>
                  <a:pt x="2090268" y="953066"/>
                </a:cubicBezTo>
                <a:lnTo>
                  <a:pt x="2092373" y="953066"/>
                </a:lnTo>
                <a:cubicBezTo>
                  <a:pt x="2097148" y="953066"/>
                  <a:pt x="2101019" y="949695"/>
                  <a:pt x="2101019" y="945537"/>
                </a:cubicBezTo>
                <a:lnTo>
                  <a:pt x="2101019" y="896707"/>
                </a:lnTo>
                <a:lnTo>
                  <a:pt x="2108461" y="896707"/>
                </a:lnTo>
                <a:lnTo>
                  <a:pt x="2108461" y="945537"/>
                </a:lnTo>
                <a:cubicBezTo>
                  <a:pt x="2108461" y="949695"/>
                  <a:pt x="2112333" y="953066"/>
                  <a:pt x="2117107" y="953066"/>
                </a:cubicBezTo>
                <a:lnTo>
                  <a:pt x="2119212" y="953066"/>
                </a:lnTo>
                <a:cubicBezTo>
                  <a:pt x="2123987" y="953066"/>
                  <a:pt x="2127858" y="949695"/>
                  <a:pt x="2127858" y="945537"/>
                </a:cubicBezTo>
                <a:lnTo>
                  <a:pt x="2127858" y="896707"/>
                </a:lnTo>
                <a:lnTo>
                  <a:pt x="2127858" y="890094"/>
                </a:lnTo>
                <a:lnTo>
                  <a:pt x="2127858" y="872102"/>
                </a:lnTo>
                <a:lnTo>
                  <a:pt x="2132707" y="887865"/>
                </a:lnTo>
                <a:cubicBezTo>
                  <a:pt x="2133945" y="891880"/>
                  <a:pt x="2138685" y="894264"/>
                  <a:pt x="2143298" y="893188"/>
                </a:cubicBezTo>
                <a:lnTo>
                  <a:pt x="2145331" y="892712"/>
                </a:lnTo>
                <a:cubicBezTo>
                  <a:pt x="2149943" y="891636"/>
                  <a:pt x="2152681" y="887509"/>
                  <a:pt x="2151445" y="883493"/>
                </a:cubicBezTo>
                <a:lnTo>
                  <a:pt x="2134963" y="829938"/>
                </a:lnTo>
                <a:cubicBezTo>
                  <a:pt x="2134501" y="828432"/>
                  <a:pt x="2133542" y="827156"/>
                  <a:pt x="2132286" y="826205"/>
                </a:cubicBezTo>
                <a:lnTo>
                  <a:pt x="2127858" y="824451"/>
                </a:lnTo>
                <a:lnTo>
                  <a:pt x="2127858" y="824238"/>
                </a:lnTo>
                <a:lnTo>
                  <a:pt x="2081622" y="824238"/>
                </a:lnTo>
                <a:close/>
                <a:moveTo>
                  <a:pt x="303668" y="1023606"/>
                </a:moveTo>
                <a:cubicBezTo>
                  <a:pt x="293205" y="1023606"/>
                  <a:pt x="284721" y="1030991"/>
                  <a:pt x="284721" y="1040102"/>
                </a:cubicBezTo>
                <a:cubicBezTo>
                  <a:pt x="284721" y="1049212"/>
                  <a:pt x="293205" y="1056599"/>
                  <a:pt x="303668" y="1056599"/>
                </a:cubicBezTo>
                <a:cubicBezTo>
                  <a:pt x="314131" y="1056599"/>
                  <a:pt x="322614" y="1049212"/>
                  <a:pt x="322614" y="1040102"/>
                </a:cubicBezTo>
                <a:cubicBezTo>
                  <a:pt x="322614" y="1030991"/>
                  <a:pt x="314131" y="1023606"/>
                  <a:pt x="303668" y="1023606"/>
                </a:cubicBezTo>
                <a:close/>
                <a:moveTo>
                  <a:pt x="503662" y="1023606"/>
                </a:moveTo>
                <a:cubicBezTo>
                  <a:pt x="493198" y="1023606"/>
                  <a:pt x="484717" y="1030991"/>
                  <a:pt x="484717" y="1040102"/>
                </a:cubicBezTo>
                <a:cubicBezTo>
                  <a:pt x="484717" y="1049212"/>
                  <a:pt x="493198" y="1056599"/>
                  <a:pt x="503662" y="1056599"/>
                </a:cubicBezTo>
                <a:cubicBezTo>
                  <a:pt x="514126" y="1056599"/>
                  <a:pt x="522607" y="1049212"/>
                  <a:pt x="522607" y="1040102"/>
                </a:cubicBezTo>
                <a:cubicBezTo>
                  <a:pt x="522607" y="1030991"/>
                  <a:pt x="514126" y="1023606"/>
                  <a:pt x="503662" y="1023606"/>
                </a:cubicBezTo>
                <a:close/>
                <a:moveTo>
                  <a:pt x="703653" y="1023606"/>
                </a:moveTo>
                <a:cubicBezTo>
                  <a:pt x="693190" y="1023606"/>
                  <a:pt x="684709" y="1030991"/>
                  <a:pt x="684709" y="1040102"/>
                </a:cubicBezTo>
                <a:cubicBezTo>
                  <a:pt x="684709" y="1049212"/>
                  <a:pt x="693190" y="1056599"/>
                  <a:pt x="703653" y="1056599"/>
                </a:cubicBezTo>
                <a:cubicBezTo>
                  <a:pt x="714117" y="1056599"/>
                  <a:pt x="722600" y="1049212"/>
                  <a:pt x="722600" y="1040102"/>
                </a:cubicBezTo>
                <a:cubicBezTo>
                  <a:pt x="722600" y="1030991"/>
                  <a:pt x="714117" y="1023606"/>
                  <a:pt x="703653" y="1023606"/>
                </a:cubicBezTo>
                <a:close/>
                <a:moveTo>
                  <a:pt x="903646" y="1023606"/>
                </a:moveTo>
                <a:cubicBezTo>
                  <a:pt x="893183" y="1023606"/>
                  <a:pt x="884701" y="1030991"/>
                  <a:pt x="884701" y="1040102"/>
                </a:cubicBezTo>
                <a:cubicBezTo>
                  <a:pt x="884701" y="1049212"/>
                  <a:pt x="893183" y="1056599"/>
                  <a:pt x="903646" y="1056599"/>
                </a:cubicBezTo>
                <a:cubicBezTo>
                  <a:pt x="914110" y="1056599"/>
                  <a:pt x="922591" y="1049212"/>
                  <a:pt x="922591" y="1040102"/>
                </a:cubicBezTo>
                <a:cubicBezTo>
                  <a:pt x="922591" y="1030991"/>
                  <a:pt x="914110" y="1023606"/>
                  <a:pt x="903646" y="1023606"/>
                </a:cubicBezTo>
                <a:close/>
                <a:moveTo>
                  <a:pt x="1103638" y="1023606"/>
                </a:moveTo>
                <a:cubicBezTo>
                  <a:pt x="1093175" y="1023606"/>
                  <a:pt x="1084694" y="1030991"/>
                  <a:pt x="1084694" y="1040102"/>
                </a:cubicBezTo>
                <a:cubicBezTo>
                  <a:pt x="1084694" y="1049212"/>
                  <a:pt x="1093175" y="1056599"/>
                  <a:pt x="1103638" y="1056599"/>
                </a:cubicBezTo>
                <a:cubicBezTo>
                  <a:pt x="1114102" y="1056599"/>
                  <a:pt x="1122584" y="1049212"/>
                  <a:pt x="1122584" y="1040102"/>
                </a:cubicBezTo>
                <a:cubicBezTo>
                  <a:pt x="1122584" y="1030991"/>
                  <a:pt x="1114102" y="1023606"/>
                  <a:pt x="1103638" y="1023606"/>
                </a:cubicBezTo>
                <a:close/>
                <a:moveTo>
                  <a:pt x="1303631" y="1023606"/>
                </a:moveTo>
                <a:cubicBezTo>
                  <a:pt x="1293167" y="1023606"/>
                  <a:pt x="1284685" y="1030991"/>
                  <a:pt x="1284685" y="1040102"/>
                </a:cubicBezTo>
                <a:cubicBezTo>
                  <a:pt x="1284685" y="1049212"/>
                  <a:pt x="1293167" y="1056599"/>
                  <a:pt x="1303631" y="1056599"/>
                </a:cubicBezTo>
                <a:cubicBezTo>
                  <a:pt x="1314095" y="1056599"/>
                  <a:pt x="1322576" y="1049212"/>
                  <a:pt x="1322576" y="1040102"/>
                </a:cubicBezTo>
                <a:cubicBezTo>
                  <a:pt x="1322576" y="1030991"/>
                  <a:pt x="1314095" y="1023606"/>
                  <a:pt x="1303631" y="1023606"/>
                </a:cubicBezTo>
                <a:close/>
                <a:moveTo>
                  <a:pt x="1505923" y="1023606"/>
                </a:moveTo>
                <a:cubicBezTo>
                  <a:pt x="1495460" y="1023606"/>
                  <a:pt x="1486979" y="1030991"/>
                  <a:pt x="1486979" y="1040102"/>
                </a:cubicBezTo>
                <a:cubicBezTo>
                  <a:pt x="1486979" y="1049212"/>
                  <a:pt x="1495460" y="1056599"/>
                  <a:pt x="1505923" y="1056599"/>
                </a:cubicBezTo>
                <a:cubicBezTo>
                  <a:pt x="1516387" y="1056599"/>
                  <a:pt x="1524868" y="1049212"/>
                  <a:pt x="1524868" y="1040102"/>
                </a:cubicBezTo>
                <a:cubicBezTo>
                  <a:pt x="1524868" y="1030991"/>
                  <a:pt x="1516387" y="1023606"/>
                  <a:pt x="1505923" y="1023606"/>
                </a:cubicBezTo>
                <a:close/>
                <a:moveTo>
                  <a:pt x="1703085" y="1023606"/>
                </a:moveTo>
                <a:cubicBezTo>
                  <a:pt x="1692623" y="1023606"/>
                  <a:pt x="1684140" y="1030991"/>
                  <a:pt x="1684140" y="1040102"/>
                </a:cubicBezTo>
                <a:cubicBezTo>
                  <a:pt x="1684140" y="1049212"/>
                  <a:pt x="1692623" y="1056599"/>
                  <a:pt x="1703085" y="1056599"/>
                </a:cubicBezTo>
                <a:cubicBezTo>
                  <a:pt x="1713550" y="1056599"/>
                  <a:pt x="1722031" y="1049212"/>
                  <a:pt x="1722031" y="1040102"/>
                </a:cubicBezTo>
                <a:cubicBezTo>
                  <a:pt x="1722031" y="1030991"/>
                  <a:pt x="1713550" y="1023606"/>
                  <a:pt x="1703085" y="1023606"/>
                </a:cubicBezTo>
                <a:close/>
                <a:moveTo>
                  <a:pt x="1905908" y="1023606"/>
                </a:moveTo>
                <a:cubicBezTo>
                  <a:pt x="1895444" y="1023606"/>
                  <a:pt x="1886962" y="1030991"/>
                  <a:pt x="1886962" y="1040102"/>
                </a:cubicBezTo>
                <a:cubicBezTo>
                  <a:pt x="1886962" y="1049212"/>
                  <a:pt x="1895444" y="1056599"/>
                  <a:pt x="1905908" y="1056599"/>
                </a:cubicBezTo>
                <a:cubicBezTo>
                  <a:pt x="1916372" y="1056599"/>
                  <a:pt x="1924855" y="1049212"/>
                  <a:pt x="1924855" y="1040102"/>
                </a:cubicBezTo>
                <a:cubicBezTo>
                  <a:pt x="1924855" y="1030991"/>
                  <a:pt x="1916372" y="1023606"/>
                  <a:pt x="1905908" y="1023606"/>
                </a:cubicBezTo>
                <a:close/>
                <a:moveTo>
                  <a:pt x="2105231" y="1023606"/>
                </a:moveTo>
                <a:cubicBezTo>
                  <a:pt x="2094769" y="1023606"/>
                  <a:pt x="2086286" y="1030991"/>
                  <a:pt x="2086286" y="1040102"/>
                </a:cubicBezTo>
                <a:cubicBezTo>
                  <a:pt x="2086286" y="1049212"/>
                  <a:pt x="2094769" y="1056599"/>
                  <a:pt x="2105231" y="1056599"/>
                </a:cubicBezTo>
                <a:cubicBezTo>
                  <a:pt x="2115694" y="1056599"/>
                  <a:pt x="2124177" y="1049212"/>
                  <a:pt x="2124177" y="1040102"/>
                </a:cubicBezTo>
                <a:cubicBezTo>
                  <a:pt x="2124177" y="1030991"/>
                  <a:pt x="2115694" y="1023606"/>
                  <a:pt x="2105231" y="1023606"/>
                </a:cubicBezTo>
                <a:close/>
                <a:moveTo>
                  <a:pt x="280058" y="1060264"/>
                </a:moveTo>
                <a:lnTo>
                  <a:pt x="280058" y="1060489"/>
                </a:lnTo>
                <a:lnTo>
                  <a:pt x="279441" y="1060454"/>
                </a:lnTo>
                <a:cubicBezTo>
                  <a:pt x="276104" y="1060859"/>
                  <a:pt x="273205" y="1062952"/>
                  <a:pt x="272279" y="1065964"/>
                </a:cubicBezTo>
                <a:lnTo>
                  <a:pt x="255797" y="1119520"/>
                </a:lnTo>
                <a:cubicBezTo>
                  <a:pt x="254561" y="1123535"/>
                  <a:pt x="257298" y="1127663"/>
                  <a:pt x="261911" y="1128739"/>
                </a:cubicBezTo>
                <a:lnTo>
                  <a:pt x="263944" y="1129214"/>
                </a:lnTo>
                <a:cubicBezTo>
                  <a:pt x="268557" y="1130290"/>
                  <a:pt x="273297" y="1127906"/>
                  <a:pt x="274533" y="1123891"/>
                </a:cubicBezTo>
                <a:lnTo>
                  <a:pt x="280058" y="1105936"/>
                </a:lnTo>
                <a:lnTo>
                  <a:pt x="280058" y="1126120"/>
                </a:lnTo>
                <a:lnTo>
                  <a:pt x="280058" y="1132734"/>
                </a:lnTo>
                <a:lnTo>
                  <a:pt x="280058" y="1181563"/>
                </a:lnTo>
                <a:cubicBezTo>
                  <a:pt x="280058" y="1185721"/>
                  <a:pt x="283930" y="1189092"/>
                  <a:pt x="288705" y="1189092"/>
                </a:cubicBezTo>
                <a:lnTo>
                  <a:pt x="290809" y="1189092"/>
                </a:lnTo>
                <a:cubicBezTo>
                  <a:pt x="295584" y="1189092"/>
                  <a:pt x="299455" y="1185721"/>
                  <a:pt x="299455" y="1181563"/>
                </a:cubicBezTo>
                <a:lnTo>
                  <a:pt x="299455" y="1132734"/>
                </a:lnTo>
                <a:lnTo>
                  <a:pt x="306898" y="1132734"/>
                </a:lnTo>
                <a:lnTo>
                  <a:pt x="306898" y="1181563"/>
                </a:lnTo>
                <a:cubicBezTo>
                  <a:pt x="306898" y="1185721"/>
                  <a:pt x="310769" y="1189092"/>
                  <a:pt x="315544" y="1189092"/>
                </a:cubicBezTo>
                <a:lnTo>
                  <a:pt x="317649" y="1189092"/>
                </a:lnTo>
                <a:cubicBezTo>
                  <a:pt x="322423" y="1189092"/>
                  <a:pt x="326293" y="1185721"/>
                  <a:pt x="326293" y="1181563"/>
                </a:cubicBezTo>
                <a:lnTo>
                  <a:pt x="326293" y="1132734"/>
                </a:lnTo>
                <a:lnTo>
                  <a:pt x="326293" y="1126120"/>
                </a:lnTo>
                <a:lnTo>
                  <a:pt x="326293" y="1108128"/>
                </a:lnTo>
                <a:lnTo>
                  <a:pt x="331145" y="1123891"/>
                </a:lnTo>
                <a:cubicBezTo>
                  <a:pt x="332381" y="1127906"/>
                  <a:pt x="337122" y="1130290"/>
                  <a:pt x="341734" y="1129214"/>
                </a:cubicBezTo>
                <a:lnTo>
                  <a:pt x="343767" y="1128739"/>
                </a:lnTo>
                <a:cubicBezTo>
                  <a:pt x="348380" y="1127663"/>
                  <a:pt x="351116" y="1123535"/>
                  <a:pt x="349881" y="1119520"/>
                </a:cubicBezTo>
                <a:lnTo>
                  <a:pt x="333400" y="1065964"/>
                </a:lnTo>
                <a:cubicBezTo>
                  <a:pt x="332936" y="1064459"/>
                  <a:pt x="331980" y="1063182"/>
                  <a:pt x="330722" y="1062232"/>
                </a:cubicBezTo>
                <a:lnTo>
                  <a:pt x="326293" y="1060477"/>
                </a:lnTo>
                <a:lnTo>
                  <a:pt x="326293" y="1060264"/>
                </a:lnTo>
                <a:lnTo>
                  <a:pt x="280058" y="1060264"/>
                </a:lnTo>
                <a:close/>
                <a:moveTo>
                  <a:pt x="480053" y="1060264"/>
                </a:moveTo>
                <a:lnTo>
                  <a:pt x="480053" y="1060489"/>
                </a:lnTo>
                <a:lnTo>
                  <a:pt x="479436" y="1060454"/>
                </a:lnTo>
                <a:cubicBezTo>
                  <a:pt x="476099" y="1060859"/>
                  <a:pt x="473200" y="1062952"/>
                  <a:pt x="472272" y="1065964"/>
                </a:cubicBezTo>
                <a:lnTo>
                  <a:pt x="455791" y="1119520"/>
                </a:lnTo>
                <a:cubicBezTo>
                  <a:pt x="454555" y="1123535"/>
                  <a:pt x="457292" y="1127663"/>
                  <a:pt x="461906" y="1128739"/>
                </a:cubicBezTo>
                <a:lnTo>
                  <a:pt x="463938" y="1129214"/>
                </a:lnTo>
                <a:cubicBezTo>
                  <a:pt x="468550" y="1130290"/>
                  <a:pt x="473292" y="1127906"/>
                  <a:pt x="474527" y="1123891"/>
                </a:cubicBezTo>
                <a:lnTo>
                  <a:pt x="480053" y="1105936"/>
                </a:lnTo>
                <a:lnTo>
                  <a:pt x="480053" y="1126120"/>
                </a:lnTo>
                <a:lnTo>
                  <a:pt x="480053" y="1132734"/>
                </a:lnTo>
                <a:lnTo>
                  <a:pt x="480053" y="1181563"/>
                </a:lnTo>
                <a:cubicBezTo>
                  <a:pt x="480053" y="1185721"/>
                  <a:pt x="483924" y="1189092"/>
                  <a:pt x="488698" y="1189092"/>
                </a:cubicBezTo>
                <a:lnTo>
                  <a:pt x="490804" y="1189092"/>
                </a:lnTo>
                <a:cubicBezTo>
                  <a:pt x="495578" y="1189092"/>
                  <a:pt x="499450" y="1185721"/>
                  <a:pt x="499450" y="1181563"/>
                </a:cubicBezTo>
                <a:lnTo>
                  <a:pt x="499450" y="1132734"/>
                </a:lnTo>
                <a:lnTo>
                  <a:pt x="506892" y="1132734"/>
                </a:lnTo>
                <a:lnTo>
                  <a:pt x="506892" y="1181563"/>
                </a:lnTo>
                <a:cubicBezTo>
                  <a:pt x="506892" y="1185721"/>
                  <a:pt x="510763" y="1189092"/>
                  <a:pt x="515538" y="1189092"/>
                </a:cubicBezTo>
                <a:lnTo>
                  <a:pt x="517643" y="1189092"/>
                </a:lnTo>
                <a:cubicBezTo>
                  <a:pt x="522418" y="1189092"/>
                  <a:pt x="526287" y="1185721"/>
                  <a:pt x="526287" y="1181563"/>
                </a:cubicBezTo>
                <a:lnTo>
                  <a:pt x="526287" y="1132734"/>
                </a:lnTo>
                <a:lnTo>
                  <a:pt x="526287" y="1126120"/>
                </a:lnTo>
                <a:lnTo>
                  <a:pt x="526287" y="1108128"/>
                </a:lnTo>
                <a:lnTo>
                  <a:pt x="531139" y="1123891"/>
                </a:lnTo>
                <a:cubicBezTo>
                  <a:pt x="532375" y="1127906"/>
                  <a:pt x="537116" y="1130290"/>
                  <a:pt x="541727" y="1129214"/>
                </a:cubicBezTo>
                <a:lnTo>
                  <a:pt x="543761" y="1128739"/>
                </a:lnTo>
                <a:cubicBezTo>
                  <a:pt x="548373" y="1127663"/>
                  <a:pt x="551110" y="1123535"/>
                  <a:pt x="549875" y="1119520"/>
                </a:cubicBezTo>
                <a:lnTo>
                  <a:pt x="533394" y="1065964"/>
                </a:lnTo>
                <a:cubicBezTo>
                  <a:pt x="532930" y="1064459"/>
                  <a:pt x="531974" y="1063182"/>
                  <a:pt x="530716" y="1062232"/>
                </a:cubicBezTo>
                <a:lnTo>
                  <a:pt x="526287" y="1060477"/>
                </a:lnTo>
                <a:lnTo>
                  <a:pt x="526287" y="1060264"/>
                </a:lnTo>
                <a:lnTo>
                  <a:pt x="480053" y="1060264"/>
                </a:lnTo>
                <a:close/>
                <a:moveTo>
                  <a:pt x="680045" y="1060264"/>
                </a:moveTo>
                <a:lnTo>
                  <a:pt x="680045" y="1060489"/>
                </a:lnTo>
                <a:lnTo>
                  <a:pt x="679427" y="1060454"/>
                </a:lnTo>
                <a:cubicBezTo>
                  <a:pt x="676090" y="1060859"/>
                  <a:pt x="673192" y="1062952"/>
                  <a:pt x="672265" y="1065964"/>
                </a:cubicBezTo>
                <a:lnTo>
                  <a:pt x="655783" y="1119520"/>
                </a:lnTo>
                <a:cubicBezTo>
                  <a:pt x="654547" y="1123535"/>
                  <a:pt x="657285" y="1127663"/>
                  <a:pt x="661899" y="1128739"/>
                </a:cubicBezTo>
                <a:lnTo>
                  <a:pt x="663930" y="1129214"/>
                </a:lnTo>
                <a:cubicBezTo>
                  <a:pt x="668542" y="1130290"/>
                  <a:pt x="673282" y="1127906"/>
                  <a:pt x="674518" y="1123891"/>
                </a:cubicBezTo>
                <a:lnTo>
                  <a:pt x="680045" y="1105936"/>
                </a:lnTo>
                <a:lnTo>
                  <a:pt x="680045" y="1126120"/>
                </a:lnTo>
                <a:lnTo>
                  <a:pt x="680045" y="1132734"/>
                </a:lnTo>
                <a:lnTo>
                  <a:pt x="680045" y="1181563"/>
                </a:lnTo>
                <a:cubicBezTo>
                  <a:pt x="680045" y="1185721"/>
                  <a:pt x="683916" y="1189092"/>
                  <a:pt x="688691" y="1189092"/>
                </a:cubicBezTo>
                <a:lnTo>
                  <a:pt x="690797" y="1189092"/>
                </a:lnTo>
                <a:cubicBezTo>
                  <a:pt x="695570" y="1189092"/>
                  <a:pt x="699443" y="1185721"/>
                  <a:pt x="699443" y="1181563"/>
                </a:cubicBezTo>
                <a:lnTo>
                  <a:pt x="699443" y="1132734"/>
                </a:lnTo>
                <a:lnTo>
                  <a:pt x="706884" y="1132734"/>
                </a:lnTo>
                <a:lnTo>
                  <a:pt x="706884" y="1181563"/>
                </a:lnTo>
                <a:cubicBezTo>
                  <a:pt x="706884" y="1185721"/>
                  <a:pt x="710754" y="1189092"/>
                  <a:pt x="715530" y="1189092"/>
                </a:cubicBezTo>
                <a:lnTo>
                  <a:pt x="717635" y="1189092"/>
                </a:lnTo>
                <a:cubicBezTo>
                  <a:pt x="722411" y="1189092"/>
                  <a:pt x="726280" y="1185721"/>
                  <a:pt x="726280" y="1181563"/>
                </a:cubicBezTo>
                <a:lnTo>
                  <a:pt x="726280" y="1132734"/>
                </a:lnTo>
                <a:lnTo>
                  <a:pt x="726280" y="1126120"/>
                </a:lnTo>
                <a:lnTo>
                  <a:pt x="726280" y="1108128"/>
                </a:lnTo>
                <a:lnTo>
                  <a:pt x="731132" y="1123891"/>
                </a:lnTo>
                <a:cubicBezTo>
                  <a:pt x="732368" y="1127906"/>
                  <a:pt x="737108" y="1130290"/>
                  <a:pt x="741720" y="1129214"/>
                </a:cubicBezTo>
                <a:lnTo>
                  <a:pt x="743753" y="1128739"/>
                </a:lnTo>
                <a:cubicBezTo>
                  <a:pt x="748365" y="1127663"/>
                  <a:pt x="751103" y="1123535"/>
                  <a:pt x="749868" y="1119520"/>
                </a:cubicBezTo>
                <a:lnTo>
                  <a:pt x="733385" y="1065964"/>
                </a:lnTo>
                <a:cubicBezTo>
                  <a:pt x="732923" y="1064459"/>
                  <a:pt x="731967" y="1063182"/>
                  <a:pt x="730709" y="1062232"/>
                </a:cubicBezTo>
                <a:lnTo>
                  <a:pt x="726280" y="1060477"/>
                </a:lnTo>
                <a:lnTo>
                  <a:pt x="726280" y="1060264"/>
                </a:lnTo>
                <a:lnTo>
                  <a:pt x="680045" y="1060264"/>
                </a:lnTo>
                <a:close/>
                <a:moveTo>
                  <a:pt x="880037" y="1060264"/>
                </a:moveTo>
                <a:lnTo>
                  <a:pt x="880037" y="1060489"/>
                </a:lnTo>
                <a:lnTo>
                  <a:pt x="879420" y="1060454"/>
                </a:lnTo>
                <a:cubicBezTo>
                  <a:pt x="876083" y="1060859"/>
                  <a:pt x="873184" y="1062952"/>
                  <a:pt x="872256" y="1065964"/>
                </a:cubicBezTo>
                <a:lnTo>
                  <a:pt x="855776" y="1119520"/>
                </a:lnTo>
                <a:cubicBezTo>
                  <a:pt x="854540" y="1123535"/>
                  <a:pt x="857277" y="1127663"/>
                  <a:pt x="861890" y="1128739"/>
                </a:cubicBezTo>
                <a:lnTo>
                  <a:pt x="863923" y="1129214"/>
                </a:lnTo>
                <a:cubicBezTo>
                  <a:pt x="868534" y="1130290"/>
                  <a:pt x="873275" y="1127906"/>
                  <a:pt x="874511" y="1123891"/>
                </a:cubicBezTo>
                <a:lnTo>
                  <a:pt x="880037" y="1105936"/>
                </a:lnTo>
                <a:lnTo>
                  <a:pt x="880037" y="1126120"/>
                </a:lnTo>
                <a:lnTo>
                  <a:pt x="880037" y="1132734"/>
                </a:lnTo>
                <a:lnTo>
                  <a:pt x="880037" y="1181563"/>
                </a:lnTo>
                <a:cubicBezTo>
                  <a:pt x="880037" y="1185721"/>
                  <a:pt x="883909" y="1189092"/>
                  <a:pt x="888683" y="1189092"/>
                </a:cubicBezTo>
                <a:lnTo>
                  <a:pt x="890788" y="1189092"/>
                </a:lnTo>
                <a:cubicBezTo>
                  <a:pt x="895563" y="1189092"/>
                  <a:pt x="899434" y="1185721"/>
                  <a:pt x="899434" y="1181563"/>
                </a:cubicBezTo>
                <a:lnTo>
                  <a:pt x="899434" y="1132734"/>
                </a:lnTo>
                <a:lnTo>
                  <a:pt x="906877" y="1132734"/>
                </a:lnTo>
                <a:lnTo>
                  <a:pt x="906877" y="1181563"/>
                </a:lnTo>
                <a:cubicBezTo>
                  <a:pt x="906877" y="1185721"/>
                  <a:pt x="910747" y="1189092"/>
                  <a:pt x="915521" y="1189092"/>
                </a:cubicBezTo>
                <a:lnTo>
                  <a:pt x="917628" y="1189092"/>
                </a:lnTo>
                <a:cubicBezTo>
                  <a:pt x="922402" y="1189092"/>
                  <a:pt x="926272" y="1185721"/>
                  <a:pt x="926272" y="1181563"/>
                </a:cubicBezTo>
                <a:lnTo>
                  <a:pt x="926272" y="1132734"/>
                </a:lnTo>
                <a:lnTo>
                  <a:pt x="926272" y="1126120"/>
                </a:lnTo>
                <a:lnTo>
                  <a:pt x="926272" y="1108128"/>
                </a:lnTo>
                <a:lnTo>
                  <a:pt x="931123" y="1123891"/>
                </a:lnTo>
                <a:cubicBezTo>
                  <a:pt x="932359" y="1127906"/>
                  <a:pt x="937100" y="1130290"/>
                  <a:pt x="941712" y="1129214"/>
                </a:cubicBezTo>
                <a:lnTo>
                  <a:pt x="943745" y="1128739"/>
                </a:lnTo>
                <a:cubicBezTo>
                  <a:pt x="948358" y="1127663"/>
                  <a:pt x="951095" y="1123535"/>
                  <a:pt x="949860" y="1119520"/>
                </a:cubicBezTo>
                <a:lnTo>
                  <a:pt x="933378" y="1065964"/>
                </a:lnTo>
                <a:cubicBezTo>
                  <a:pt x="932915" y="1064459"/>
                  <a:pt x="931958" y="1063182"/>
                  <a:pt x="930701" y="1062232"/>
                </a:cubicBezTo>
                <a:lnTo>
                  <a:pt x="926272" y="1060477"/>
                </a:lnTo>
                <a:lnTo>
                  <a:pt x="926272" y="1060264"/>
                </a:lnTo>
                <a:lnTo>
                  <a:pt x="880037" y="1060264"/>
                </a:lnTo>
                <a:close/>
                <a:moveTo>
                  <a:pt x="1080030" y="1060264"/>
                </a:moveTo>
                <a:lnTo>
                  <a:pt x="1080030" y="1060489"/>
                </a:lnTo>
                <a:lnTo>
                  <a:pt x="1079412" y="1060454"/>
                </a:lnTo>
                <a:cubicBezTo>
                  <a:pt x="1076075" y="1060859"/>
                  <a:pt x="1073176" y="1062952"/>
                  <a:pt x="1072249" y="1065964"/>
                </a:cubicBezTo>
                <a:lnTo>
                  <a:pt x="1055767" y="1119520"/>
                </a:lnTo>
                <a:cubicBezTo>
                  <a:pt x="1054531" y="1123535"/>
                  <a:pt x="1057269" y="1127663"/>
                  <a:pt x="1061881" y="1128739"/>
                </a:cubicBezTo>
                <a:lnTo>
                  <a:pt x="1063914" y="1129214"/>
                </a:lnTo>
                <a:cubicBezTo>
                  <a:pt x="1068527" y="1130290"/>
                  <a:pt x="1073267" y="1127906"/>
                  <a:pt x="1074503" y="1123891"/>
                </a:cubicBezTo>
                <a:lnTo>
                  <a:pt x="1080030" y="1105936"/>
                </a:lnTo>
                <a:lnTo>
                  <a:pt x="1080030" y="1126120"/>
                </a:lnTo>
                <a:lnTo>
                  <a:pt x="1080030" y="1132734"/>
                </a:lnTo>
                <a:lnTo>
                  <a:pt x="1080030" y="1181563"/>
                </a:lnTo>
                <a:cubicBezTo>
                  <a:pt x="1080030" y="1185721"/>
                  <a:pt x="1083900" y="1189092"/>
                  <a:pt x="1088676" y="1189092"/>
                </a:cubicBezTo>
                <a:lnTo>
                  <a:pt x="1090781" y="1189092"/>
                </a:lnTo>
                <a:cubicBezTo>
                  <a:pt x="1095554" y="1189092"/>
                  <a:pt x="1099427" y="1185721"/>
                  <a:pt x="1099427" y="1181563"/>
                </a:cubicBezTo>
                <a:lnTo>
                  <a:pt x="1099427" y="1132734"/>
                </a:lnTo>
                <a:lnTo>
                  <a:pt x="1106868" y="1132734"/>
                </a:lnTo>
                <a:lnTo>
                  <a:pt x="1106868" y="1181563"/>
                </a:lnTo>
                <a:cubicBezTo>
                  <a:pt x="1106868" y="1185721"/>
                  <a:pt x="1110739" y="1189092"/>
                  <a:pt x="1115514" y="1189092"/>
                </a:cubicBezTo>
                <a:lnTo>
                  <a:pt x="1117619" y="1189092"/>
                </a:lnTo>
                <a:cubicBezTo>
                  <a:pt x="1122395" y="1189092"/>
                  <a:pt x="1126264" y="1185721"/>
                  <a:pt x="1126264" y="1181563"/>
                </a:cubicBezTo>
                <a:lnTo>
                  <a:pt x="1126264" y="1132734"/>
                </a:lnTo>
                <a:lnTo>
                  <a:pt x="1126264" y="1126120"/>
                </a:lnTo>
                <a:lnTo>
                  <a:pt x="1126264" y="1108128"/>
                </a:lnTo>
                <a:lnTo>
                  <a:pt x="1131115" y="1123891"/>
                </a:lnTo>
                <a:cubicBezTo>
                  <a:pt x="1132352" y="1127906"/>
                  <a:pt x="1137092" y="1130290"/>
                  <a:pt x="1141704" y="1129214"/>
                </a:cubicBezTo>
                <a:lnTo>
                  <a:pt x="1143738" y="1128739"/>
                </a:lnTo>
                <a:cubicBezTo>
                  <a:pt x="1148350" y="1127663"/>
                  <a:pt x="1151086" y="1123535"/>
                  <a:pt x="1149853" y="1119520"/>
                </a:cubicBezTo>
                <a:lnTo>
                  <a:pt x="1133370" y="1065964"/>
                </a:lnTo>
                <a:cubicBezTo>
                  <a:pt x="1132906" y="1064459"/>
                  <a:pt x="1131950" y="1063182"/>
                  <a:pt x="1130693" y="1062232"/>
                </a:cubicBezTo>
                <a:lnTo>
                  <a:pt x="1126264" y="1060477"/>
                </a:lnTo>
                <a:lnTo>
                  <a:pt x="1126264" y="1060264"/>
                </a:lnTo>
                <a:lnTo>
                  <a:pt x="1080030" y="1060264"/>
                </a:lnTo>
                <a:close/>
                <a:moveTo>
                  <a:pt x="1280022" y="1060264"/>
                </a:moveTo>
                <a:lnTo>
                  <a:pt x="1280022" y="1060489"/>
                </a:lnTo>
                <a:lnTo>
                  <a:pt x="1279405" y="1060454"/>
                </a:lnTo>
                <a:cubicBezTo>
                  <a:pt x="1276068" y="1060859"/>
                  <a:pt x="1273169" y="1062952"/>
                  <a:pt x="1272241" y="1065964"/>
                </a:cubicBezTo>
                <a:lnTo>
                  <a:pt x="1255760" y="1119520"/>
                </a:lnTo>
                <a:cubicBezTo>
                  <a:pt x="1254524" y="1123535"/>
                  <a:pt x="1257261" y="1127663"/>
                  <a:pt x="1261874" y="1128739"/>
                </a:cubicBezTo>
                <a:lnTo>
                  <a:pt x="1263907" y="1129214"/>
                </a:lnTo>
                <a:cubicBezTo>
                  <a:pt x="1268519" y="1130290"/>
                  <a:pt x="1273260" y="1127906"/>
                  <a:pt x="1274496" y="1123891"/>
                </a:cubicBezTo>
                <a:lnTo>
                  <a:pt x="1280022" y="1105936"/>
                </a:lnTo>
                <a:lnTo>
                  <a:pt x="1280022" y="1126120"/>
                </a:lnTo>
                <a:lnTo>
                  <a:pt x="1280022" y="1132734"/>
                </a:lnTo>
                <a:lnTo>
                  <a:pt x="1280022" y="1181563"/>
                </a:lnTo>
                <a:cubicBezTo>
                  <a:pt x="1280022" y="1185721"/>
                  <a:pt x="1283892" y="1189092"/>
                  <a:pt x="1288667" y="1189092"/>
                </a:cubicBezTo>
                <a:lnTo>
                  <a:pt x="1290773" y="1189092"/>
                </a:lnTo>
                <a:cubicBezTo>
                  <a:pt x="1295546" y="1189092"/>
                  <a:pt x="1299419" y="1185721"/>
                  <a:pt x="1299419" y="1181563"/>
                </a:cubicBezTo>
                <a:lnTo>
                  <a:pt x="1299419" y="1132734"/>
                </a:lnTo>
                <a:lnTo>
                  <a:pt x="1306860" y="1132734"/>
                </a:lnTo>
                <a:lnTo>
                  <a:pt x="1306860" y="1181563"/>
                </a:lnTo>
                <a:cubicBezTo>
                  <a:pt x="1306860" y="1185721"/>
                  <a:pt x="1310732" y="1189092"/>
                  <a:pt x="1315506" y="1189092"/>
                </a:cubicBezTo>
                <a:lnTo>
                  <a:pt x="1317610" y="1189092"/>
                </a:lnTo>
                <a:cubicBezTo>
                  <a:pt x="1322387" y="1189092"/>
                  <a:pt x="1326256" y="1185721"/>
                  <a:pt x="1326256" y="1181563"/>
                </a:cubicBezTo>
                <a:lnTo>
                  <a:pt x="1326256" y="1132734"/>
                </a:lnTo>
                <a:lnTo>
                  <a:pt x="1326256" y="1126120"/>
                </a:lnTo>
                <a:lnTo>
                  <a:pt x="1326256" y="1108128"/>
                </a:lnTo>
                <a:lnTo>
                  <a:pt x="1331108" y="1123891"/>
                </a:lnTo>
                <a:cubicBezTo>
                  <a:pt x="1332344" y="1127906"/>
                  <a:pt x="1337084" y="1130290"/>
                  <a:pt x="1341696" y="1129214"/>
                </a:cubicBezTo>
                <a:lnTo>
                  <a:pt x="1343730" y="1128739"/>
                </a:lnTo>
                <a:cubicBezTo>
                  <a:pt x="1348342" y="1127663"/>
                  <a:pt x="1351079" y="1123535"/>
                  <a:pt x="1349844" y="1119520"/>
                </a:cubicBezTo>
                <a:lnTo>
                  <a:pt x="1333361" y="1065964"/>
                </a:lnTo>
                <a:cubicBezTo>
                  <a:pt x="1332899" y="1064459"/>
                  <a:pt x="1331943" y="1063182"/>
                  <a:pt x="1330685" y="1062232"/>
                </a:cubicBezTo>
                <a:lnTo>
                  <a:pt x="1326256" y="1060477"/>
                </a:lnTo>
                <a:lnTo>
                  <a:pt x="1326256" y="1060264"/>
                </a:lnTo>
                <a:lnTo>
                  <a:pt x="1280022" y="1060264"/>
                </a:lnTo>
                <a:close/>
                <a:moveTo>
                  <a:pt x="1482314" y="1060264"/>
                </a:moveTo>
                <a:lnTo>
                  <a:pt x="1482314" y="1060489"/>
                </a:lnTo>
                <a:lnTo>
                  <a:pt x="1481697" y="1060454"/>
                </a:lnTo>
                <a:cubicBezTo>
                  <a:pt x="1478360" y="1060859"/>
                  <a:pt x="1475461" y="1062952"/>
                  <a:pt x="1474533" y="1065964"/>
                </a:cubicBezTo>
                <a:lnTo>
                  <a:pt x="1458052" y="1119520"/>
                </a:lnTo>
                <a:cubicBezTo>
                  <a:pt x="1456817" y="1123535"/>
                  <a:pt x="1459553" y="1127663"/>
                  <a:pt x="1464166" y="1128739"/>
                </a:cubicBezTo>
                <a:lnTo>
                  <a:pt x="1466199" y="1129214"/>
                </a:lnTo>
                <a:cubicBezTo>
                  <a:pt x="1470811" y="1130290"/>
                  <a:pt x="1475552" y="1127906"/>
                  <a:pt x="1476788" y="1123891"/>
                </a:cubicBezTo>
                <a:lnTo>
                  <a:pt x="1482314" y="1105936"/>
                </a:lnTo>
                <a:lnTo>
                  <a:pt x="1482314" y="1126120"/>
                </a:lnTo>
                <a:lnTo>
                  <a:pt x="1482314" y="1132734"/>
                </a:lnTo>
                <a:lnTo>
                  <a:pt x="1482314" y="1181563"/>
                </a:lnTo>
                <a:cubicBezTo>
                  <a:pt x="1482314" y="1185721"/>
                  <a:pt x="1486185" y="1189092"/>
                  <a:pt x="1490960" y="1189092"/>
                </a:cubicBezTo>
                <a:lnTo>
                  <a:pt x="1493064" y="1189092"/>
                </a:lnTo>
                <a:cubicBezTo>
                  <a:pt x="1497840" y="1189092"/>
                  <a:pt x="1501710" y="1185721"/>
                  <a:pt x="1501710" y="1181563"/>
                </a:cubicBezTo>
                <a:lnTo>
                  <a:pt x="1501710" y="1132734"/>
                </a:lnTo>
                <a:lnTo>
                  <a:pt x="1509153" y="1132734"/>
                </a:lnTo>
                <a:lnTo>
                  <a:pt x="1509153" y="1181563"/>
                </a:lnTo>
                <a:cubicBezTo>
                  <a:pt x="1509153" y="1185721"/>
                  <a:pt x="1513024" y="1189092"/>
                  <a:pt x="1517799" y="1189092"/>
                </a:cubicBezTo>
                <a:lnTo>
                  <a:pt x="1519903" y="1189092"/>
                </a:lnTo>
                <a:cubicBezTo>
                  <a:pt x="1524678" y="1189092"/>
                  <a:pt x="1528549" y="1185721"/>
                  <a:pt x="1528549" y="1181563"/>
                </a:cubicBezTo>
                <a:lnTo>
                  <a:pt x="1528549" y="1132734"/>
                </a:lnTo>
                <a:lnTo>
                  <a:pt x="1528549" y="1126120"/>
                </a:lnTo>
                <a:lnTo>
                  <a:pt x="1528549" y="1108128"/>
                </a:lnTo>
                <a:lnTo>
                  <a:pt x="1533400" y="1123891"/>
                </a:lnTo>
                <a:cubicBezTo>
                  <a:pt x="1534636" y="1127906"/>
                  <a:pt x="1539377" y="1130290"/>
                  <a:pt x="1543989" y="1129214"/>
                </a:cubicBezTo>
                <a:lnTo>
                  <a:pt x="1546022" y="1128739"/>
                </a:lnTo>
                <a:cubicBezTo>
                  <a:pt x="1550635" y="1127663"/>
                  <a:pt x="1553371" y="1123535"/>
                  <a:pt x="1552136" y="1119520"/>
                </a:cubicBezTo>
                <a:lnTo>
                  <a:pt x="1535655" y="1065964"/>
                </a:lnTo>
                <a:cubicBezTo>
                  <a:pt x="1535191" y="1064459"/>
                  <a:pt x="1534235" y="1063182"/>
                  <a:pt x="1532977" y="1062232"/>
                </a:cubicBezTo>
                <a:lnTo>
                  <a:pt x="1528549" y="1060477"/>
                </a:lnTo>
                <a:lnTo>
                  <a:pt x="1528549" y="1060264"/>
                </a:lnTo>
                <a:lnTo>
                  <a:pt x="1482314" y="1060264"/>
                </a:lnTo>
                <a:close/>
                <a:moveTo>
                  <a:pt x="1679477" y="1060264"/>
                </a:moveTo>
                <a:lnTo>
                  <a:pt x="1679477" y="1060489"/>
                </a:lnTo>
                <a:lnTo>
                  <a:pt x="1678860" y="1060454"/>
                </a:lnTo>
                <a:cubicBezTo>
                  <a:pt x="1675521" y="1060859"/>
                  <a:pt x="1672623" y="1062952"/>
                  <a:pt x="1671696" y="1065964"/>
                </a:cubicBezTo>
                <a:lnTo>
                  <a:pt x="1655215" y="1119520"/>
                </a:lnTo>
                <a:cubicBezTo>
                  <a:pt x="1653980" y="1123535"/>
                  <a:pt x="1656716" y="1127663"/>
                  <a:pt x="1661328" y="1128739"/>
                </a:cubicBezTo>
                <a:lnTo>
                  <a:pt x="1663362" y="1129214"/>
                </a:lnTo>
                <a:cubicBezTo>
                  <a:pt x="1667974" y="1130290"/>
                  <a:pt x="1672715" y="1127906"/>
                  <a:pt x="1673951" y="1123891"/>
                </a:cubicBezTo>
                <a:lnTo>
                  <a:pt x="1679477" y="1105936"/>
                </a:lnTo>
                <a:lnTo>
                  <a:pt x="1679477" y="1126120"/>
                </a:lnTo>
                <a:lnTo>
                  <a:pt x="1679477" y="1132734"/>
                </a:lnTo>
                <a:lnTo>
                  <a:pt x="1679477" y="1181563"/>
                </a:lnTo>
                <a:cubicBezTo>
                  <a:pt x="1679477" y="1185721"/>
                  <a:pt x="1683346" y="1189092"/>
                  <a:pt x="1688123" y="1189092"/>
                </a:cubicBezTo>
                <a:lnTo>
                  <a:pt x="1690227" y="1189092"/>
                </a:lnTo>
                <a:cubicBezTo>
                  <a:pt x="1695001" y="1189092"/>
                  <a:pt x="1698873" y="1185721"/>
                  <a:pt x="1698873" y="1181563"/>
                </a:cubicBezTo>
                <a:lnTo>
                  <a:pt x="1698873" y="1132734"/>
                </a:lnTo>
                <a:lnTo>
                  <a:pt x="1706314" y="1132734"/>
                </a:lnTo>
                <a:lnTo>
                  <a:pt x="1706314" y="1181563"/>
                </a:lnTo>
                <a:cubicBezTo>
                  <a:pt x="1706314" y="1185721"/>
                  <a:pt x="1710187" y="1189092"/>
                  <a:pt x="1714961" y="1189092"/>
                </a:cubicBezTo>
                <a:lnTo>
                  <a:pt x="1717066" y="1189092"/>
                </a:lnTo>
                <a:cubicBezTo>
                  <a:pt x="1721841" y="1189092"/>
                  <a:pt x="1725712" y="1185721"/>
                  <a:pt x="1725712" y="1181563"/>
                </a:cubicBezTo>
                <a:lnTo>
                  <a:pt x="1725712" y="1132734"/>
                </a:lnTo>
                <a:lnTo>
                  <a:pt x="1725712" y="1126120"/>
                </a:lnTo>
                <a:lnTo>
                  <a:pt x="1725712" y="1108128"/>
                </a:lnTo>
                <a:lnTo>
                  <a:pt x="1730563" y="1123891"/>
                </a:lnTo>
                <a:cubicBezTo>
                  <a:pt x="1731799" y="1127906"/>
                  <a:pt x="1736539" y="1130290"/>
                  <a:pt x="1741152" y="1129214"/>
                </a:cubicBezTo>
                <a:lnTo>
                  <a:pt x="1743185" y="1128739"/>
                </a:lnTo>
                <a:cubicBezTo>
                  <a:pt x="1747797" y="1127663"/>
                  <a:pt x="1750534" y="1123535"/>
                  <a:pt x="1749299" y="1119520"/>
                </a:cubicBezTo>
                <a:lnTo>
                  <a:pt x="1732817" y="1065964"/>
                </a:lnTo>
                <a:cubicBezTo>
                  <a:pt x="1732354" y="1064459"/>
                  <a:pt x="1731398" y="1063182"/>
                  <a:pt x="1730140" y="1062232"/>
                </a:cubicBezTo>
                <a:lnTo>
                  <a:pt x="1725712" y="1060477"/>
                </a:lnTo>
                <a:lnTo>
                  <a:pt x="1725712" y="1060264"/>
                </a:lnTo>
                <a:lnTo>
                  <a:pt x="1679477" y="1060264"/>
                </a:lnTo>
                <a:close/>
                <a:moveTo>
                  <a:pt x="1882298" y="1060264"/>
                </a:moveTo>
                <a:lnTo>
                  <a:pt x="1882298" y="1060489"/>
                </a:lnTo>
                <a:lnTo>
                  <a:pt x="1881681" y="1060454"/>
                </a:lnTo>
                <a:cubicBezTo>
                  <a:pt x="1878344" y="1060859"/>
                  <a:pt x="1875446" y="1062952"/>
                  <a:pt x="1874518" y="1065964"/>
                </a:cubicBezTo>
                <a:lnTo>
                  <a:pt x="1858037" y="1119520"/>
                </a:lnTo>
                <a:cubicBezTo>
                  <a:pt x="1856802" y="1123535"/>
                  <a:pt x="1859540" y="1127663"/>
                  <a:pt x="1864152" y="1128739"/>
                </a:cubicBezTo>
                <a:lnTo>
                  <a:pt x="1866184" y="1129214"/>
                </a:lnTo>
                <a:cubicBezTo>
                  <a:pt x="1870795" y="1130290"/>
                  <a:pt x="1875538" y="1127906"/>
                  <a:pt x="1876773" y="1123891"/>
                </a:cubicBezTo>
                <a:lnTo>
                  <a:pt x="1882298" y="1105936"/>
                </a:lnTo>
                <a:lnTo>
                  <a:pt x="1882298" y="1126120"/>
                </a:lnTo>
                <a:lnTo>
                  <a:pt x="1882298" y="1132734"/>
                </a:lnTo>
                <a:lnTo>
                  <a:pt x="1882298" y="1181563"/>
                </a:lnTo>
                <a:cubicBezTo>
                  <a:pt x="1882298" y="1185721"/>
                  <a:pt x="1886170" y="1189092"/>
                  <a:pt x="1890944" y="1189092"/>
                </a:cubicBezTo>
                <a:lnTo>
                  <a:pt x="1893050" y="1189092"/>
                </a:lnTo>
                <a:cubicBezTo>
                  <a:pt x="1897824" y="1189092"/>
                  <a:pt x="1901696" y="1185721"/>
                  <a:pt x="1901696" y="1181563"/>
                </a:cubicBezTo>
                <a:lnTo>
                  <a:pt x="1901696" y="1132734"/>
                </a:lnTo>
                <a:lnTo>
                  <a:pt x="1909138" y="1132734"/>
                </a:lnTo>
                <a:lnTo>
                  <a:pt x="1909138" y="1181563"/>
                </a:lnTo>
                <a:cubicBezTo>
                  <a:pt x="1909138" y="1185721"/>
                  <a:pt x="1913008" y="1189092"/>
                  <a:pt x="1917783" y="1189092"/>
                </a:cubicBezTo>
                <a:lnTo>
                  <a:pt x="1919889" y="1189092"/>
                </a:lnTo>
                <a:cubicBezTo>
                  <a:pt x="1924664" y="1189092"/>
                  <a:pt x="1928535" y="1185721"/>
                  <a:pt x="1928535" y="1181563"/>
                </a:cubicBezTo>
                <a:lnTo>
                  <a:pt x="1928535" y="1132734"/>
                </a:lnTo>
                <a:lnTo>
                  <a:pt x="1928535" y="1126120"/>
                </a:lnTo>
                <a:lnTo>
                  <a:pt x="1928535" y="1108128"/>
                </a:lnTo>
                <a:lnTo>
                  <a:pt x="1933385" y="1123891"/>
                </a:lnTo>
                <a:cubicBezTo>
                  <a:pt x="1934622" y="1127906"/>
                  <a:pt x="1939363" y="1130290"/>
                  <a:pt x="1943974" y="1129214"/>
                </a:cubicBezTo>
                <a:lnTo>
                  <a:pt x="1946009" y="1128739"/>
                </a:lnTo>
                <a:cubicBezTo>
                  <a:pt x="1950620" y="1127663"/>
                  <a:pt x="1953357" y="1123535"/>
                  <a:pt x="1952121" y="1119520"/>
                </a:cubicBezTo>
                <a:lnTo>
                  <a:pt x="1935640" y="1065964"/>
                </a:lnTo>
                <a:cubicBezTo>
                  <a:pt x="1935177" y="1064459"/>
                  <a:pt x="1934220" y="1063182"/>
                  <a:pt x="1932962" y="1062232"/>
                </a:cubicBezTo>
                <a:lnTo>
                  <a:pt x="1928535" y="1060477"/>
                </a:lnTo>
                <a:lnTo>
                  <a:pt x="1928535" y="1060264"/>
                </a:lnTo>
                <a:lnTo>
                  <a:pt x="1882298" y="1060264"/>
                </a:lnTo>
                <a:close/>
                <a:moveTo>
                  <a:pt x="2081622" y="1060264"/>
                </a:moveTo>
                <a:lnTo>
                  <a:pt x="2081622" y="1060489"/>
                </a:lnTo>
                <a:lnTo>
                  <a:pt x="2081004" y="1060454"/>
                </a:lnTo>
                <a:cubicBezTo>
                  <a:pt x="2077667" y="1060859"/>
                  <a:pt x="2074768" y="1062952"/>
                  <a:pt x="2073841" y="1065964"/>
                </a:cubicBezTo>
                <a:lnTo>
                  <a:pt x="2057362" y="1119520"/>
                </a:lnTo>
                <a:cubicBezTo>
                  <a:pt x="2056126" y="1123535"/>
                  <a:pt x="2058863" y="1127663"/>
                  <a:pt x="2063474" y="1128739"/>
                </a:cubicBezTo>
                <a:lnTo>
                  <a:pt x="2065507" y="1129214"/>
                </a:lnTo>
                <a:cubicBezTo>
                  <a:pt x="2070119" y="1130290"/>
                  <a:pt x="2074860" y="1127906"/>
                  <a:pt x="2076097" y="1123891"/>
                </a:cubicBezTo>
                <a:lnTo>
                  <a:pt x="2081622" y="1105936"/>
                </a:lnTo>
                <a:lnTo>
                  <a:pt x="2081622" y="1126120"/>
                </a:lnTo>
                <a:lnTo>
                  <a:pt x="2081622" y="1132734"/>
                </a:lnTo>
                <a:lnTo>
                  <a:pt x="2081622" y="1181563"/>
                </a:lnTo>
                <a:cubicBezTo>
                  <a:pt x="2081622" y="1185721"/>
                  <a:pt x="2085492" y="1189092"/>
                  <a:pt x="2090268" y="1189092"/>
                </a:cubicBezTo>
                <a:lnTo>
                  <a:pt x="2092373" y="1189092"/>
                </a:lnTo>
                <a:cubicBezTo>
                  <a:pt x="2097148" y="1189092"/>
                  <a:pt x="2101019" y="1185721"/>
                  <a:pt x="2101019" y="1181563"/>
                </a:cubicBezTo>
                <a:lnTo>
                  <a:pt x="2101019" y="1132734"/>
                </a:lnTo>
                <a:lnTo>
                  <a:pt x="2108461" y="1132734"/>
                </a:lnTo>
                <a:lnTo>
                  <a:pt x="2108461" y="1181563"/>
                </a:lnTo>
                <a:cubicBezTo>
                  <a:pt x="2108461" y="1185721"/>
                  <a:pt x="2112333" y="1189092"/>
                  <a:pt x="2117107" y="1189092"/>
                </a:cubicBezTo>
                <a:lnTo>
                  <a:pt x="2119212" y="1189092"/>
                </a:lnTo>
                <a:cubicBezTo>
                  <a:pt x="2123987" y="1189092"/>
                  <a:pt x="2127858" y="1185721"/>
                  <a:pt x="2127858" y="1181563"/>
                </a:cubicBezTo>
                <a:lnTo>
                  <a:pt x="2127858" y="1132734"/>
                </a:lnTo>
                <a:lnTo>
                  <a:pt x="2127858" y="1126120"/>
                </a:lnTo>
                <a:lnTo>
                  <a:pt x="2127858" y="1108128"/>
                </a:lnTo>
                <a:lnTo>
                  <a:pt x="2132707" y="1123891"/>
                </a:lnTo>
                <a:cubicBezTo>
                  <a:pt x="2133945" y="1127906"/>
                  <a:pt x="2138685" y="1130290"/>
                  <a:pt x="2143298" y="1129214"/>
                </a:cubicBezTo>
                <a:lnTo>
                  <a:pt x="2145331" y="1128739"/>
                </a:lnTo>
                <a:cubicBezTo>
                  <a:pt x="2149943" y="1127663"/>
                  <a:pt x="2152681" y="1123535"/>
                  <a:pt x="2151445" y="1119520"/>
                </a:cubicBezTo>
                <a:lnTo>
                  <a:pt x="2134963" y="1065964"/>
                </a:lnTo>
                <a:cubicBezTo>
                  <a:pt x="2134501" y="1064459"/>
                  <a:pt x="2133542" y="1063182"/>
                  <a:pt x="2132286" y="1062232"/>
                </a:cubicBezTo>
                <a:lnTo>
                  <a:pt x="2127858" y="1060477"/>
                </a:lnTo>
                <a:lnTo>
                  <a:pt x="2127858" y="1060264"/>
                </a:lnTo>
                <a:lnTo>
                  <a:pt x="2081622" y="1060264"/>
                </a:lnTo>
                <a:close/>
              </a:path>
            </a:pathLst>
          </a:cu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Processing!I8">
        <xdr:nvSpPr>
          <xdr:cNvPr id="55" name="TextBox 54">
            <a:extLst>
              <a:ext uri="{FF2B5EF4-FFF2-40B4-BE49-F238E27FC236}">
                <a16:creationId xmlns:a16="http://schemas.microsoft.com/office/drawing/2014/main" id="{226F197E-BB8B-4293-AB29-741F98ECC139}"/>
              </a:ext>
            </a:extLst>
          </xdr:cNvPr>
          <xdr:cNvSpPr txBox="1"/>
        </xdr:nvSpPr>
        <xdr:spPr>
          <a:xfrm>
            <a:off x="5654040" y="4975860"/>
            <a:ext cx="146304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A27AB29-265C-4EC7-B4D6-24576541C68F}" type="TxLink">
              <a:rPr lang="en-US" sz="1400" b="0" i="0" u="none" strike="noStrike">
                <a:solidFill>
                  <a:schemeClr val="bg1"/>
                </a:solidFill>
                <a:latin typeface="Aptos Narrow"/>
                <a:ea typeface="+mn-ea"/>
                <a:cs typeface="+mn-cs"/>
              </a:rPr>
              <a:pPr marL="0" indent="0" algn="l"/>
              <a:t>HR Team Activity</a:t>
            </a:fld>
            <a:endParaRPr lang="ru-RU" sz="2800" b="0" i="0" u="none" strike="noStrike">
              <a:solidFill>
                <a:schemeClr val="bg1"/>
              </a:solidFill>
              <a:latin typeface="Aptos Narrow"/>
              <a:ea typeface="+mn-ea"/>
              <a:cs typeface="+mn-cs"/>
            </a:endParaRPr>
          </a:p>
        </xdr:txBody>
      </xdr:sp>
      <xdr:sp macro="" textlink="Processing!H14">
        <xdr:nvSpPr>
          <xdr:cNvPr id="56" name="TextBox 55">
            <a:extLst>
              <a:ext uri="{FF2B5EF4-FFF2-40B4-BE49-F238E27FC236}">
                <a16:creationId xmlns:a16="http://schemas.microsoft.com/office/drawing/2014/main" id="{D32E8E42-5D04-436B-9062-C56F63A42BEB}"/>
              </a:ext>
            </a:extLst>
          </xdr:cNvPr>
          <xdr:cNvSpPr txBox="1"/>
        </xdr:nvSpPr>
        <xdr:spPr>
          <a:xfrm>
            <a:off x="7010400" y="4975860"/>
            <a:ext cx="7924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AED0A37C-EE94-4930-9E31-06D5E3D2674F}" type="TxLink">
              <a:rPr lang="en-US" sz="1800" b="0" i="0" u="none" strike="noStrike">
                <a:solidFill>
                  <a:schemeClr val="tx2">
                    <a:lumMod val="25000"/>
                    <a:lumOff val="75000"/>
                  </a:schemeClr>
                </a:solidFill>
                <a:latin typeface="Aptos Narrow"/>
                <a:ea typeface="+mn-ea"/>
                <a:cs typeface="+mn-cs"/>
              </a:rPr>
              <a:pPr marL="0" indent="0" algn="r"/>
              <a:t>46%</a:t>
            </a:fld>
            <a:endParaRPr lang="ru-RU" sz="4400" b="0" i="0" u="none" strike="noStrike">
              <a:solidFill>
                <a:schemeClr val="tx2">
                  <a:lumMod val="25000"/>
                  <a:lumOff val="75000"/>
                </a:schemeClr>
              </a:solidFill>
              <a:latin typeface="Aptos Narrow"/>
              <a:ea typeface="+mn-ea"/>
              <a:cs typeface="+mn-cs"/>
            </a:endParaRPr>
          </a:p>
        </xdr:txBody>
      </xdr:sp>
      <xdr:grpSp>
        <xdr:nvGrpSpPr>
          <xdr:cNvPr id="62" name="Group 61">
            <a:extLst>
              <a:ext uri="{FF2B5EF4-FFF2-40B4-BE49-F238E27FC236}">
                <a16:creationId xmlns:a16="http://schemas.microsoft.com/office/drawing/2014/main" id="{AC4E66B4-5047-406B-8E3B-FBE9E2BA3388}"/>
              </a:ext>
            </a:extLst>
          </xdr:cNvPr>
          <xdr:cNvGrpSpPr/>
        </xdr:nvGrpSpPr>
        <xdr:grpSpPr>
          <a:xfrm>
            <a:off x="5585460" y="5463540"/>
            <a:ext cx="358140" cy="1287780"/>
            <a:chOff x="5562600" y="5463540"/>
            <a:chExt cx="358140" cy="1287780"/>
          </a:xfrm>
        </xdr:grpSpPr>
        <xdr:sp macro="" textlink="Processing!I9">
          <xdr:nvSpPr>
            <xdr:cNvPr id="63" name="TextBox 62">
              <a:extLst>
                <a:ext uri="{FF2B5EF4-FFF2-40B4-BE49-F238E27FC236}">
                  <a16:creationId xmlns:a16="http://schemas.microsoft.com/office/drawing/2014/main" id="{47339154-8E3D-4FC0-C27D-750F83DC9329}"/>
                </a:ext>
              </a:extLst>
            </xdr:cNvPr>
            <xdr:cNvSpPr txBox="1"/>
          </xdr:nvSpPr>
          <xdr:spPr>
            <a:xfrm>
              <a:off x="5562600" y="546354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0DB33AF7-6C89-4014-B942-F254AECBFEBA}" type="TxLink">
                <a:rPr lang="en-US" sz="1200" b="0" i="0" u="none" strike="noStrike">
                  <a:solidFill>
                    <a:schemeClr val="tx2">
                      <a:lumMod val="10000"/>
                      <a:lumOff val="90000"/>
                    </a:schemeClr>
                  </a:solidFill>
                  <a:latin typeface="Aptos Narrow"/>
                  <a:ea typeface="+mn-ea"/>
                  <a:cs typeface="+mn-cs"/>
                </a:rPr>
                <a:pPr marL="0" indent="0" algn="l"/>
                <a:t>P</a:t>
              </a:fld>
              <a:endParaRPr lang="ru-RU" sz="3200" b="0" i="0" u="none" strike="noStrike">
                <a:solidFill>
                  <a:schemeClr val="tx2">
                    <a:lumMod val="10000"/>
                    <a:lumOff val="90000"/>
                  </a:schemeClr>
                </a:solidFill>
                <a:latin typeface="Aptos Narrow"/>
                <a:ea typeface="+mn-ea"/>
                <a:cs typeface="+mn-cs"/>
              </a:endParaRPr>
            </a:p>
          </xdr:txBody>
        </xdr:sp>
        <xdr:sp macro="" textlink="Processing!I10">
          <xdr:nvSpPr>
            <xdr:cNvPr id="64" name="TextBox 63">
              <a:extLst>
                <a:ext uri="{FF2B5EF4-FFF2-40B4-BE49-F238E27FC236}">
                  <a16:creationId xmlns:a16="http://schemas.microsoft.com/office/drawing/2014/main" id="{791414DA-62B9-0DEA-5B00-9EEA7BE820CC}"/>
                </a:ext>
              </a:extLst>
            </xdr:cNvPr>
            <xdr:cNvSpPr txBox="1"/>
          </xdr:nvSpPr>
          <xdr:spPr>
            <a:xfrm>
              <a:off x="5562600" y="5701665"/>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4B9D4FB7-25BC-4029-8FF1-6BA4B394329D}" type="TxLink">
                <a:rPr lang="en-US" sz="1100" b="0" i="0" u="none" strike="noStrike">
                  <a:solidFill>
                    <a:schemeClr val="tx2">
                      <a:lumMod val="10000"/>
                      <a:lumOff val="90000"/>
                    </a:schemeClr>
                  </a:solidFill>
                  <a:latin typeface="Aptos Narrow"/>
                  <a:ea typeface="+mn-ea"/>
                  <a:cs typeface="+mn-cs"/>
                </a:rPr>
                <a:pPr marL="0" indent="0" algn="l"/>
                <a:t>D</a:t>
              </a:fld>
              <a:endParaRPr lang="ru-RU" sz="3200" b="0" i="0" u="none" strike="noStrike">
                <a:solidFill>
                  <a:schemeClr val="tx2">
                    <a:lumMod val="10000"/>
                    <a:lumOff val="90000"/>
                  </a:schemeClr>
                </a:solidFill>
                <a:latin typeface="Aptos Narrow"/>
                <a:ea typeface="+mn-ea"/>
                <a:cs typeface="+mn-cs"/>
              </a:endParaRPr>
            </a:p>
          </xdr:txBody>
        </xdr:sp>
        <xdr:sp macro="" textlink="Processing!I11">
          <xdr:nvSpPr>
            <xdr:cNvPr id="65" name="TextBox 64">
              <a:extLst>
                <a:ext uri="{FF2B5EF4-FFF2-40B4-BE49-F238E27FC236}">
                  <a16:creationId xmlns:a16="http://schemas.microsoft.com/office/drawing/2014/main" id="{A8D08B81-2A4E-C349-CFE6-8FF23F2AEB66}"/>
                </a:ext>
              </a:extLst>
            </xdr:cNvPr>
            <xdr:cNvSpPr txBox="1"/>
          </xdr:nvSpPr>
          <xdr:spPr>
            <a:xfrm>
              <a:off x="5585460" y="593979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A299E48F-B4B6-4773-A85D-20D65311A4E2}" type="TxLink">
                <a:rPr lang="en-US" sz="1100" b="0" i="0" u="none" strike="noStrike">
                  <a:solidFill>
                    <a:schemeClr val="tx2">
                      <a:lumMod val="10000"/>
                      <a:lumOff val="90000"/>
                    </a:schemeClr>
                  </a:solidFill>
                  <a:latin typeface="Aptos Narrow"/>
                  <a:ea typeface="+mn-ea"/>
                  <a:cs typeface="+mn-cs"/>
                </a:rPr>
                <a:pPr marL="0" indent="0" algn="l"/>
                <a:t>С</a:t>
              </a:fld>
              <a:endParaRPr lang="ru-RU" sz="3200" b="0" i="0" u="none" strike="noStrike">
                <a:solidFill>
                  <a:schemeClr val="tx2">
                    <a:lumMod val="10000"/>
                    <a:lumOff val="90000"/>
                  </a:schemeClr>
                </a:solidFill>
                <a:latin typeface="Aptos Narrow"/>
                <a:ea typeface="+mn-ea"/>
                <a:cs typeface="+mn-cs"/>
              </a:endParaRPr>
            </a:p>
          </xdr:txBody>
        </xdr:sp>
        <xdr:sp macro="" textlink="Processing!I12">
          <xdr:nvSpPr>
            <xdr:cNvPr id="66" name="TextBox 65">
              <a:extLst>
                <a:ext uri="{FF2B5EF4-FFF2-40B4-BE49-F238E27FC236}">
                  <a16:creationId xmlns:a16="http://schemas.microsoft.com/office/drawing/2014/main" id="{BE9BE89C-EB86-BAED-78EC-B832C4A668D2}"/>
                </a:ext>
              </a:extLst>
            </xdr:cNvPr>
            <xdr:cNvSpPr txBox="1"/>
          </xdr:nvSpPr>
          <xdr:spPr>
            <a:xfrm>
              <a:off x="5562600" y="6177915"/>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FFE326BD-2F8E-420D-9EE2-C2F572317075}" type="TxLink">
                <a:rPr lang="en-US" sz="1100" b="0" i="0" u="none" strike="noStrike">
                  <a:solidFill>
                    <a:schemeClr val="tx2">
                      <a:lumMod val="10000"/>
                      <a:lumOff val="90000"/>
                    </a:schemeClr>
                  </a:solidFill>
                  <a:latin typeface="Aptos Narrow"/>
                  <a:ea typeface="+mn-ea"/>
                  <a:cs typeface="+mn-cs"/>
                </a:rPr>
                <a:pPr marL="0" indent="0" algn="l"/>
                <a:t>P</a:t>
              </a:fld>
              <a:endParaRPr lang="ru-RU" sz="3200" b="0" i="0" u="none" strike="noStrike">
                <a:solidFill>
                  <a:schemeClr val="tx2">
                    <a:lumMod val="10000"/>
                    <a:lumOff val="90000"/>
                  </a:schemeClr>
                </a:solidFill>
                <a:latin typeface="Aptos Narrow"/>
                <a:ea typeface="+mn-ea"/>
                <a:cs typeface="+mn-cs"/>
              </a:endParaRPr>
            </a:p>
          </xdr:txBody>
        </xdr:sp>
        <xdr:sp macro="" textlink="Processing!I13">
          <xdr:nvSpPr>
            <xdr:cNvPr id="67" name="TextBox 66">
              <a:extLst>
                <a:ext uri="{FF2B5EF4-FFF2-40B4-BE49-F238E27FC236}">
                  <a16:creationId xmlns:a16="http://schemas.microsoft.com/office/drawing/2014/main" id="{368E8F9B-1999-BA05-EBDB-B99436048D18}"/>
                </a:ext>
              </a:extLst>
            </xdr:cNvPr>
            <xdr:cNvSpPr txBox="1"/>
          </xdr:nvSpPr>
          <xdr:spPr>
            <a:xfrm>
              <a:off x="5562600" y="6416040"/>
              <a:ext cx="335280" cy="3352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l"/>
              <a:fld id="{CBF2717A-1A6A-4193-9B1D-DD7C5DC20699}" type="TxLink">
                <a:rPr lang="en-US" sz="1100" b="0" i="0" u="none" strike="noStrike">
                  <a:solidFill>
                    <a:schemeClr val="tx2">
                      <a:lumMod val="10000"/>
                      <a:lumOff val="90000"/>
                    </a:schemeClr>
                  </a:solidFill>
                  <a:latin typeface="Aptos Narrow"/>
                  <a:ea typeface="+mn-ea"/>
                  <a:cs typeface="+mn-cs"/>
                </a:rPr>
                <a:pPr marL="0" indent="0" algn="l"/>
                <a:t>R</a:t>
              </a:fld>
              <a:endParaRPr lang="ru-RU" sz="3200" b="0" i="0" u="none" strike="noStrike">
                <a:solidFill>
                  <a:schemeClr val="tx2">
                    <a:lumMod val="10000"/>
                    <a:lumOff val="90000"/>
                  </a:schemeClr>
                </a:solidFill>
                <a:latin typeface="Aptos Narrow"/>
                <a:ea typeface="+mn-ea"/>
                <a:cs typeface="+mn-cs"/>
              </a:endParaRPr>
            </a:p>
          </xdr:txBody>
        </xdr:sp>
      </xdr:grpSp>
    </xdr:grpSp>
    <xdr:clientData/>
  </xdr:twoCellAnchor>
  <xdr:twoCellAnchor>
    <xdr:from>
      <xdr:col>4</xdr:col>
      <xdr:colOff>515243</xdr:colOff>
      <xdr:row>20</xdr:row>
      <xdr:rowOff>91440</xdr:rowOff>
    </xdr:from>
    <xdr:to>
      <xdr:col>9</xdr:col>
      <xdr:colOff>393323</xdr:colOff>
      <xdr:row>36</xdr:row>
      <xdr:rowOff>0</xdr:rowOff>
    </xdr:to>
    <xdr:grpSp>
      <xdr:nvGrpSpPr>
        <xdr:cNvPr id="21" name="Group 20">
          <a:extLst>
            <a:ext uri="{FF2B5EF4-FFF2-40B4-BE49-F238E27FC236}">
              <a16:creationId xmlns:a16="http://schemas.microsoft.com/office/drawing/2014/main" id="{B29709F4-536A-489E-8906-B103E99F5C5A}"/>
            </a:ext>
          </a:extLst>
        </xdr:cNvPr>
        <xdr:cNvGrpSpPr/>
      </xdr:nvGrpSpPr>
      <xdr:grpSpPr>
        <a:xfrm>
          <a:off x="2885910" y="3901440"/>
          <a:ext cx="2841413" cy="2956560"/>
          <a:chOff x="10207883" y="3116580"/>
          <a:chExt cx="1423317" cy="1393487"/>
        </a:xfrm>
      </xdr:grpSpPr>
      <xdr:cxnSp macro="">
        <xdr:nvCxnSpPr>
          <xdr:cNvPr id="22" name="Straight Connector 21">
            <a:extLst>
              <a:ext uri="{FF2B5EF4-FFF2-40B4-BE49-F238E27FC236}">
                <a16:creationId xmlns:a16="http://schemas.microsoft.com/office/drawing/2014/main" id="{90E71D93-9DBF-776F-3FEA-BD0858E9B007}"/>
              </a:ext>
            </a:extLst>
          </xdr:cNvPr>
          <xdr:cNvCxnSpPr/>
        </xdr:nvCxnSpPr>
        <xdr:spPr>
          <a:xfrm>
            <a:off x="10911840" y="31165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3" name="Straight Connector 22">
            <a:extLst>
              <a:ext uri="{FF2B5EF4-FFF2-40B4-BE49-F238E27FC236}">
                <a16:creationId xmlns:a16="http://schemas.microsoft.com/office/drawing/2014/main" id="{EF04943E-29A5-4E77-D921-E0BF8B7035DC}"/>
              </a:ext>
            </a:extLst>
          </xdr:cNvPr>
          <xdr:cNvCxnSpPr/>
        </xdr:nvCxnSpPr>
        <xdr:spPr>
          <a:xfrm rot="17280000">
            <a:off x="10573643" y="3369175"/>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3E74F139-D50E-28BB-CA32-243C49C37B18}"/>
              </a:ext>
            </a:extLst>
          </xdr:cNvPr>
          <xdr:cNvCxnSpPr/>
        </xdr:nvCxnSpPr>
        <xdr:spPr>
          <a:xfrm rot="4320000">
            <a:off x="11265440" y="3365932"/>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C063A4E1-72B4-B617-97B2-F9A5E82EA74A}"/>
              </a:ext>
            </a:extLst>
          </xdr:cNvPr>
          <xdr:cNvCxnSpPr/>
        </xdr:nvCxnSpPr>
        <xdr:spPr>
          <a:xfrm rot="8640000">
            <a:off x="11128548" y="3778547"/>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9B136506-1A04-EC49-8DF2-F882222D583C}"/>
              </a:ext>
            </a:extLst>
          </xdr:cNvPr>
          <xdr:cNvCxnSpPr/>
        </xdr:nvCxnSpPr>
        <xdr:spPr>
          <a:xfrm rot="12960000">
            <a:off x="10698376" y="3764280"/>
            <a:ext cx="0" cy="731520"/>
          </a:xfrm>
          <a:prstGeom prst="line">
            <a:avLst/>
          </a:prstGeom>
          <a:ln w="9525">
            <a:solidFill>
              <a:srgbClr val="5B08A0"/>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xdr:from>
      <xdr:col>3</xdr:col>
      <xdr:colOff>114537</xdr:colOff>
      <xdr:row>17</xdr:row>
      <xdr:rowOff>157277</xdr:rowOff>
    </xdr:from>
    <xdr:to>
      <xdr:col>11</xdr:col>
      <xdr:colOff>175497</xdr:colOff>
      <xdr:row>39</xdr:row>
      <xdr:rowOff>65837</xdr:rowOff>
    </xdr:to>
    <xdr:graphicFrame macro="">
      <xdr:nvGraphicFramePr>
        <xdr:cNvPr id="70" name="Chart 69">
          <a:extLst>
            <a:ext uri="{FF2B5EF4-FFF2-40B4-BE49-F238E27FC236}">
              <a16:creationId xmlns:a16="http://schemas.microsoft.com/office/drawing/2014/main" id="{BDECD301-7209-47B2-91F7-393066B9D8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342900</xdr:colOff>
      <xdr:row>18</xdr:row>
      <xdr:rowOff>129540</xdr:rowOff>
    </xdr:from>
    <xdr:to>
      <xdr:col>9</xdr:col>
      <xdr:colOff>38100</xdr:colOff>
      <xdr:row>20</xdr:row>
      <xdr:rowOff>91440</xdr:rowOff>
    </xdr:to>
    <xdr:sp macro="" textlink="Processing!K2">
      <xdr:nvSpPr>
        <xdr:cNvPr id="16" name="TextBox 15">
          <a:extLst>
            <a:ext uri="{FF2B5EF4-FFF2-40B4-BE49-F238E27FC236}">
              <a16:creationId xmlns:a16="http://schemas.microsoft.com/office/drawing/2014/main" id="{ADEED955-FAB0-E3A5-C06D-9A1BE320FAF7}"/>
            </a:ext>
          </a:extLst>
        </xdr:cNvPr>
        <xdr:cNvSpPr txBox="1"/>
      </xdr:nvSpPr>
      <xdr:spPr>
        <a:xfrm>
          <a:off x="4610100" y="3421380"/>
          <a:ext cx="91440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371A482E-9EA9-4678-AD9F-717F9B3D755C}" type="TxLink">
            <a:rPr lang="en-US" sz="1400" b="0" i="0" u="none" strike="noStrike">
              <a:solidFill>
                <a:schemeClr val="bg1"/>
              </a:solidFill>
              <a:latin typeface="Aptos Narrow"/>
              <a:ea typeface="+mn-ea"/>
              <a:cs typeface="+mn-cs"/>
            </a:rPr>
            <a:pPr marL="0" indent="0"/>
            <a:t> $2,413 </a:t>
          </a:fld>
          <a:endParaRPr lang="ru-RU" sz="2000" b="0" i="0" u="none" strike="noStrike">
            <a:solidFill>
              <a:schemeClr val="bg1"/>
            </a:solidFill>
            <a:latin typeface="Aptos Narrow"/>
            <a:ea typeface="+mn-ea"/>
            <a:cs typeface="+mn-cs"/>
          </a:endParaRPr>
        </a:p>
      </xdr:txBody>
    </xdr:sp>
    <xdr:clientData/>
  </xdr:twoCellAnchor>
  <xdr:twoCellAnchor>
    <xdr:from>
      <xdr:col>9</xdr:col>
      <xdr:colOff>365760</xdr:colOff>
      <xdr:row>23</xdr:row>
      <xdr:rowOff>137160</xdr:rowOff>
    </xdr:from>
    <xdr:to>
      <xdr:col>11</xdr:col>
      <xdr:colOff>243840</xdr:colOff>
      <xdr:row>25</xdr:row>
      <xdr:rowOff>99060</xdr:rowOff>
    </xdr:to>
    <xdr:sp macro="" textlink="Processing!K3">
      <xdr:nvSpPr>
        <xdr:cNvPr id="17" name="TextBox 16">
          <a:extLst>
            <a:ext uri="{FF2B5EF4-FFF2-40B4-BE49-F238E27FC236}">
              <a16:creationId xmlns:a16="http://schemas.microsoft.com/office/drawing/2014/main" id="{EB47329E-BCBA-2E74-3AFA-0B167F385A1E}"/>
            </a:ext>
          </a:extLst>
        </xdr:cNvPr>
        <xdr:cNvSpPr txBox="1"/>
      </xdr:nvSpPr>
      <xdr:spPr>
        <a:xfrm>
          <a:off x="5852160" y="4343400"/>
          <a:ext cx="1097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5D313274-0B95-4C98-9BB6-0F3FD2BD89F7}" type="TxLink">
            <a:rPr lang="en-US" sz="1400" b="0" i="0" u="none" strike="noStrike">
              <a:solidFill>
                <a:schemeClr val="bg1"/>
              </a:solidFill>
              <a:latin typeface="Aptos Narrow"/>
              <a:ea typeface="+mn-ea"/>
              <a:cs typeface="+mn-cs"/>
            </a:rPr>
            <a:pPr marL="0" indent="0"/>
            <a:t> $3,819 </a:t>
          </a:fld>
          <a:endParaRPr lang="ru-RU" sz="2800" b="0" i="0" u="none" strike="noStrike">
            <a:solidFill>
              <a:schemeClr val="bg1"/>
            </a:solidFill>
            <a:latin typeface="Aptos Narrow"/>
            <a:ea typeface="+mn-ea"/>
            <a:cs typeface="+mn-cs"/>
          </a:endParaRPr>
        </a:p>
      </xdr:txBody>
    </xdr:sp>
    <xdr:clientData/>
  </xdr:twoCellAnchor>
  <xdr:twoCellAnchor>
    <xdr:from>
      <xdr:col>9</xdr:col>
      <xdr:colOff>320040</xdr:colOff>
      <xdr:row>34</xdr:row>
      <xdr:rowOff>129540</xdr:rowOff>
    </xdr:from>
    <xdr:to>
      <xdr:col>11</xdr:col>
      <xdr:colOff>198120</xdr:colOff>
      <xdr:row>36</xdr:row>
      <xdr:rowOff>91440</xdr:rowOff>
    </xdr:to>
    <xdr:sp macro="" textlink="Processing!K4">
      <xdr:nvSpPr>
        <xdr:cNvPr id="19" name="TextBox 18">
          <a:extLst>
            <a:ext uri="{FF2B5EF4-FFF2-40B4-BE49-F238E27FC236}">
              <a16:creationId xmlns:a16="http://schemas.microsoft.com/office/drawing/2014/main" id="{9BD23855-3A76-1DB5-2641-339E9C752A0A}"/>
            </a:ext>
          </a:extLst>
        </xdr:cNvPr>
        <xdr:cNvSpPr txBox="1"/>
      </xdr:nvSpPr>
      <xdr:spPr>
        <a:xfrm>
          <a:off x="5806440" y="6347460"/>
          <a:ext cx="1097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fld id="{81F1ECF9-766F-4DCD-BB73-41B1D21048D3}" type="TxLink">
            <a:rPr lang="en-US" sz="1400" b="0" i="0" u="none" strike="noStrike">
              <a:solidFill>
                <a:schemeClr val="bg1"/>
              </a:solidFill>
              <a:latin typeface="Aptos Narrow"/>
              <a:ea typeface="+mn-ea"/>
              <a:cs typeface="+mn-cs"/>
            </a:rPr>
            <a:pPr marL="0" indent="0"/>
            <a:t> $4,950 </a:t>
          </a:fld>
          <a:endParaRPr lang="ru-RU" sz="2800" b="0" i="0" u="none" strike="noStrike">
            <a:solidFill>
              <a:schemeClr val="bg1"/>
            </a:solidFill>
            <a:latin typeface="Aptos Narrow"/>
            <a:ea typeface="+mn-ea"/>
            <a:cs typeface="+mn-cs"/>
          </a:endParaRPr>
        </a:p>
      </xdr:txBody>
    </xdr:sp>
    <xdr:clientData/>
  </xdr:twoCellAnchor>
  <xdr:twoCellAnchor>
    <xdr:from>
      <xdr:col>3</xdr:col>
      <xdr:colOff>236220</xdr:colOff>
      <xdr:row>34</xdr:row>
      <xdr:rowOff>121920</xdr:rowOff>
    </xdr:from>
    <xdr:to>
      <xdr:col>5</xdr:col>
      <xdr:colOff>114300</xdr:colOff>
      <xdr:row>36</xdr:row>
      <xdr:rowOff>83820</xdr:rowOff>
    </xdr:to>
    <xdr:sp macro="" textlink="Processing!K5">
      <xdr:nvSpPr>
        <xdr:cNvPr id="27" name="TextBox 26">
          <a:extLst>
            <a:ext uri="{FF2B5EF4-FFF2-40B4-BE49-F238E27FC236}">
              <a16:creationId xmlns:a16="http://schemas.microsoft.com/office/drawing/2014/main" id="{03FB5627-B85C-EAE2-D7D3-95E4BC25CBCB}"/>
            </a:ext>
          </a:extLst>
        </xdr:cNvPr>
        <xdr:cNvSpPr txBox="1"/>
      </xdr:nvSpPr>
      <xdr:spPr>
        <a:xfrm>
          <a:off x="2065020" y="6339840"/>
          <a:ext cx="1097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389574DE-E751-4C36-ADB0-2C46E9E2DCA6}" type="TxLink">
            <a:rPr lang="en-US" sz="1400" b="0" i="0" u="none" strike="noStrike">
              <a:solidFill>
                <a:schemeClr val="bg1"/>
              </a:solidFill>
              <a:latin typeface="Aptos Narrow"/>
              <a:ea typeface="+mn-ea"/>
              <a:cs typeface="+mn-cs"/>
            </a:rPr>
            <a:pPr marL="0" indent="0" algn="r"/>
            <a:t> $2,520 </a:t>
          </a:fld>
          <a:endParaRPr lang="ru-RU" sz="2800" b="0" i="0" u="none" strike="noStrike">
            <a:solidFill>
              <a:schemeClr val="bg1"/>
            </a:solidFill>
            <a:latin typeface="Aptos Narrow"/>
            <a:ea typeface="+mn-ea"/>
            <a:cs typeface="+mn-cs"/>
          </a:endParaRPr>
        </a:p>
      </xdr:txBody>
    </xdr:sp>
    <xdr:clientData/>
  </xdr:twoCellAnchor>
  <xdr:twoCellAnchor>
    <xdr:from>
      <xdr:col>2</xdr:col>
      <xdr:colOff>601980</xdr:colOff>
      <xdr:row>23</xdr:row>
      <xdr:rowOff>137160</xdr:rowOff>
    </xdr:from>
    <xdr:to>
      <xdr:col>4</xdr:col>
      <xdr:colOff>480060</xdr:colOff>
      <xdr:row>25</xdr:row>
      <xdr:rowOff>99060</xdr:rowOff>
    </xdr:to>
    <xdr:sp macro="" textlink="Processing!K6">
      <xdr:nvSpPr>
        <xdr:cNvPr id="31" name="TextBox 30">
          <a:extLst>
            <a:ext uri="{FF2B5EF4-FFF2-40B4-BE49-F238E27FC236}">
              <a16:creationId xmlns:a16="http://schemas.microsoft.com/office/drawing/2014/main" id="{BB97FAE0-E5A9-5AE9-8711-79A9E72EE956}"/>
            </a:ext>
          </a:extLst>
        </xdr:cNvPr>
        <xdr:cNvSpPr txBox="1"/>
      </xdr:nvSpPr>
      <xdr:spPr>
        <a:xfrm>
          <a:off x="1821180" y="4343400"/>
          <a:ext cx="1097280" cy="3276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r"/>
          <a:fld id="{C9F170C3-A59D-451B-A707-6817A649C98D}" type="TxLink">
            <a:rPr lang="en-US" sz="1400" b="0" i="0" u="none" strike="noStrike">
              <a:solidFill>
                <a:schemeClr val="bg1"/>
              </a:solidFill>
              <a:latin typeface="Aptos Narrow"/>
              <a:ea typeface="+mn-ea"/>
              <a:cs typeface="+mn-cs"/>
            </a:rPr>
            <a:pPr marL="0" indent="0" algn="r"/>
            <a:t> $2,118 </a:t>
          </a:fld>
          <a:endParaRPr lang="ru-RU" sz="2800" b="0" i="0" u="none" strike="noStrike">
            <a:solidFill>
              <a:schemeClr val="bg1"/>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32" name="Graphic 31" descr="Home with solid fill">
          <a:hlinkClick xmlns:r="http://schemas.openxmlformats.org/officeDocument/2006/relationships" r:id="rId8"/>
          <a:extLst>
            <a:ext uri="{FF2B5EF4-FFF2-40B4-BE49-F238E27FC236}">
              <a16:creationId xmlns:a16="http://schemas.microsoft.com/office/drawing/2014/main" id="{18918C95-0541-4681-8AF2-17129E628323}"/>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609600" y="182880"/>
          <a:ext cx="274320" cy="274320"/>
        </a:xfrm>
        <a:prstGeom prst="rect">
          <a:avLst/>
        </a:prstGeom>
        <a:effectLst/>
      </xdr:spPr>
    </xdr:pic>
    <xdr:clientData/>
  </xdr:twoCellAnchor>
  <xdr:twoCellAnchor>
    <xdr:from>
      <xdr:col>0</xdr:col>
      <xdr:colOff>0</xdr:colOff>
      <xdr:row>0</xdr:row>
      <xdr:rowOff>0</xdr:rowOff>
    </xdr:from>
    <xdr:to>
      <xdr:col>1</xdr:col>
      <xdr:colOff>30480</xdr:colOff>
      <xdr:row>1</xdr:row>
      <xdr:rowOff>152400</xdr:rowOff>
    </xdr:to>
    <xdr:sp macro="" textlink="">
      <xdr:nvSpPr>
        <xdr:cNvPr id="51" name="Rectangle 50">
          <a:extLst>
            <a:ext uri="{FF2B5EF4-FFF2-40B4-BE49-F238E27FC236}">
              <a16:creationId xmlns:a16="http://schemas.microsoft.com/office/drawing/2014/main" id="{F54ADBFF-AD82-4265-BC52-08D836F3179E}"/>
            </a:ext>
          </a:extLst>
        </xdr:cNvPr>
        <xdr:cNvSpPr/>
      </xdr:nvSpPr>
      <xdr:spPr>
        <a:xfrm>
          <a:off x="0" y="0"/>
          <a:ext cx="640080" cy="335280"/>
        </a:xfrm>
        <a:prstGeom prst="rect">
          <a:avLst/>
        </a:prstGeom>
        <a:solidFill>
          <a:srgbClr val="0A002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220980</xdr:colOff>
      <xdr:row>6</xdr:row>
      <xdr:rowOff>114300</xdr:rowOff>
    </xdr:from>
    <xdr:to>
      <xdr:col>7</xdr:col>
      <xdr:colOff>129540</xdr:colOff>
      <xdr:row>14</xdr:row>
      <xdr:rowOff>0</xdr:rowOff>
    </xdr:to>
    <xdr:sp macro="" textlink="">
      <xdr:nvSpPr>
        <xdr:cNvPr id="54" name="Rectangle: Rounded Corners 53">
          <a:hlinkClick xmlns:r="http://schemas.openxmlformats.org/officeDocument/2006/relationships" r:id="rId11"/>
          <a:extLst>
            <a:ext uri="{FF2B5EF4-FFF2-40B4-BE49-F238E27FC236}">
              <a16:creationId xmlns:a16="http://schemas.microsoft.com/office/drawing/2014/main" id="{21C1528B-6F63-4F9B-969D-FE7FE7B024FD}"/>
            </a:ext>
          </a:extLst>
        </xdr:cNvPr>
        <xdr:cNvSpPr/>
      </xdr:nvSpPr>
      <xdr:spPr>
        <a:xfrm>
          <a:off x="2049780" y="121158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342900</xdr:colOff>
      <xdr:row>6</xdr:row>
      <xdr:rowOff>114300</xdr:rowOff>
    </xdr:from>
    <xdr:to>
      <xdr:col>11</xdr:col>
      <xdr:colOff>251460</xdr:colOff>
      <xdr:row>14</xdr:row>
      <xdr:rowOff>0</xdr:rowOff>
    </xdr:to>
    <xdr:sp macro="" textlink="">
      <xdr:nvSpPr>
        <xdr:cNvPr id="58" name="Rectangle: Rounded Corners 57">
          <a:hlinkClick xmlns:r="http://schemas.openxmlformats.org/officeDocument/2006/relationships" r:id="rId12"/>
          <a:extLst>
            <a:ext uri="{FF2B5EF4-FFF2-40B4-BE49-F238E27FC236}">
              <a16:creationId xmlns:a16="http://schemas.microsoft.com/office/drawing/2014/main" id="{B520AEB9-650D-496E-806F-5E28BCF29835}"/>
            </a:ext>
          </a:extLst>
        </xdr:cNvPr>
        <xdr:cNvSpPr/>
      </xdr:nvSpPr>
      <xdr:spPr>
        <a:xfrm>
          <a:off x="4610100" y="121158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11</xdr:col>
      <xdr:colOff>472440</xdr:colOff>
      <xdr:row>6</xdr:row>
      <xdr:rowOff>114300</xdr:rowOff>
    </xdr:from>
    <xdr:to>
      <xdr:col>15</xdr:col>
      <xdr:colOff>381000</xdr:colOff>
      <xdr:row>14</xdr:row>
      <xdr:rowOff>0</xdr:rowOff>
    </xdr:to>
    <xdr:sp macro="" textlink="">
      <xdr:nvSpPr>
        <xdr:cNvPr id="59" name="Rectangle: Rounded Corners 58">
          <a:hlinkClick xmlns:r="http://schemas.openxmlformats.org/officeDocument/2006/relationships" r:id="rId13"/>
          <a:extLst>
            <a:ext uri="{FF2B5EF4-FFF2-40B4-BE49-F238E27FC236}">
              <a16:creationId xmlns:a16="http://schemas.microsoft.com/office/drawing/2014/main" id="{C7EB0BE5-7F1A-4705-BE93-FCB40F564804}"/>
            </a:ext>
          </a:extLst>
        </xdr:cNvPr>
        <xdr:cNvSpPr/>
      </xdr:nvSpPr>
      <xdr:spPr>
        <a:xfrm>
          <a:off x="7178040" y="1211580"/>
          <a:ext cx="2346960" cy="1348740"/>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7</xdr:col>
      <xdr:colOff>320040</xdr:colOff>
      <xdr:row>3</xdr:row>
      <xdr:rowOff>34080</xdr:rowOff>
    </xdr:from>
    <xdr:to>
      <xdr:col>11</xdr:col>
      <xdr:colOff>274320</xdr:colOff>
      <xdr:row>6</xdr:row>
      <xdr:rowOff>110709</xdr:rowOff>
    </xdr:to>
    <xdr:graphicFrame macro="">
      <xdr:nvGraphicFramePr>
        <xdr:cNvPr id="68" name="Chart 67">
          <a:extLst>
            <a:ext uri="{FF2B5EF4-FFF2-40B4-BE49-F238E27FC236}">
              <a16:creationId xmlns:a16="http://schemas.microsoft.com/office/drawing/2014/main" id="{8CB4392B-9167-4A8E-A0A4-6C86509529F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7</xdr:col>
      <xdr:colOff>398596</xdr:colOff>
      <xdr:row>2</xdr:row>
      <xdr:rowOff>137160</xdr:rowOff>
    </xdr:from>
    <xdr:to>
      <xdr:col>9</xdr:col>
      <xdr:colOff>35744</xdr:colOff>
      <xdr:row>4</xdr:row>
      <xdr:rowOff>23301</xdr:rowOff>
    </xdr:to>
    <xdr:sp macro="" textlink="Processing!L25">
      <xdr:nvSpPr>
        <xdr:cNvPr id="71" name="TextBox 70">
          <a:extLst>
            <a:ext uri="{FF2B5EF4-FFF2-40B4-BE49-F238E27FC236}">
              <a16:creationId xmlns:a16="http://schemas.microsoft.com/office/drawing/2014/main" id="{CFAA56AA-BDD3-42C4-BB0F-2A50656DACD6}"/>
            </a:ext>
          </a:extLst>
        </xdr:cNvPr>
        <xdr:cNvSpPr txBox="1"/>
      </xdr:nvSpPr>
      <xdr:spPr>
        <a:xfrm>
          <a:off x="466579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DE048EC1-626B-4535-9795-15527FBB8A18}" type="TxLink">
            <a:rPr lang="en-US" sz="1000" b="0" i="0" u="none" strike="noStrike">
              <a:solidFill>
                <a:schemeClr val="tx2">
                  <a:lumMod val="10000"/>
                  <a:lumOff val="90000"/>
                </a:schemeClr>
              </a:solidFill>
              <a:latin typeface="Aptos Narrow"/>
              <a:ea typeface="+mn-ea"/>
              <a:cs typeface="+mn-cs"/>
            </a:rPr>
            <a:pPr marL="0" indent="0" algn="ctr"/>
            <a:t>Prototype 1</a:t>
          </a:fld>
          <a:endParaRPr lang="ru-RU" sz="2000" b="0" i="0" u="none" strike="noStrike">
            <a:solidFill>
              <a:schemeClr val="tx2">
                <a:lumMod val="10000"/>
                <a:lumOff val="90000"/>
              </a:schemeClr>
            </a:solidFill>
            <a:latin typeface="Aptos Narrow"/>
            <a:ea typeface="+mn-ea"/>
            <a:cs typeface="+mn-cs"/>
          </a:endParaRPr>
        </a:p>
      </xdr:txBody>
    </xdr:sp>
    <xdr:clientData/>
  </xdr:twoCellAnchor>
  <xdr:twoCellAnchor>
    <xdr:from>
      <xdr:col>8</xdr:col>
      <xdr:colOff>490036</xdr:colOff>
      <xdr:row>2</xdr:row>
      <xdr:rowOff>137160</xdr:rowOff>
    </xdr:from>
    <xdr:to>
      <xdr:col>10</xdr:col>
      <xdr:colOff>127184</xdr:colOff>
      <xdr:row>4</xdr:row>
      <xdr:rowOff>23301</xdr:rowOff>
    </xdr:to>
    <xdr:sp macro="" textlink="Processing!L26">
      <xdr:nvSpPr>
        <xdr:cNvPr id="72" name="TextBox 71">
          <a:extLst>
            <a:ext uri="{FF2B5EF4-FFF2-40B4-BE49-F238E27FC236}">
              <a16:creationId xmlns:a16="http://schemas.microsoft.com/office/drawing/2014/main" id="{B981CF60-AFB1-49F1-B13A-1A839F7D885C}"/>
            </a:ext>
          </a:extLst>
        </xdr:cNvPr>
        <xdr:cNvSpPr txBox="1"/>
      </xdr:nvSpPr>
      <xdr:spPr>
        <a:xfrm>
          <a:off x="536683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A97BA16A-346B-48D7-B984-8F33C8C861EB}"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9</xdr:col>
      <xdr:colOff>581476</xdr:colOff>
      <xdr:row>2</xdr:row>
      <xdr:rowOff>137160</xdr:rowOff>
    </xdr:from>
    <xdr:to>
      <xdr:col>11</xdr:col>
      <xdr:colOff>218624</xdr:colOff>
      <xdr:row>4</xdr:row>
      <xdr:rowOff>23301</xdr:rowOff>
    </xdr:to>
    <xdr:sp macro="" textlink="Processing!L27">
      <xdr:nvSpPr>
        <xdr:cNvPr id="73" name="TextBox 72">
          <a:extLst>
            <a:ext uri="{FF2B5EF4-FFF2-40B4-BE49-F238E27FC236}">
              <a16:creationId xmlns:a16="http://schemas.microsoft.com/office/drawing/2014/main" id="{0D55FA18-91D7-47C9-A675-A0FAC55EA45D}"/>
            </a:ext>
          </a:extLst>
        </xdr:cNvPr>
        <xdr:cNvSpPr txBox="1"/>
      </xdr:nvSpPr>
      <xdr:spPr>
        <a:xfrm>
          <a:off x="6067876" y="502920"/>
          <a:ext cx="856348" cy="251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92F1CCF5-A163-49E2-878C-369D12AA2B85}" type="TxLink">
            <a:rPr lang="en-US" sz="1000" b="0" i="0" u="none" strike="noStrike">
              <a:solidFill>
                <a:schemeClr val="tx2">
                  <a:lumMod val="10000"/>
                  <a:lumOff val="90000"/>
                </a:schemeClr>
              </a:solidFill>
              <a:latin typeface="Aptos Narrow"/>
              <a:ea typeface="+mn-ea"/>
              <a:cs typeface="+mn-cs"/>
            </a:rPr>
            <a:pPr marL="0" indent="0" algn="ctr"/>
            <a:t> </a:t>
          </a:fld>
          <a:endParaRPr lang="ru-RU" sz="1000" b="0" i="0" u="none" strike="noStrike">
            <a:solidFill>
              <a:schemeClr val="tx2">
                <a:lumMod val="10000"/>
                <a:lumOff val="90000"/>
              </a:schemeClr>
            </a:solidFill>
            <a:latin typeface="Aptos Narrow"/>
            <a:ea typeface="+mn-ea"/>
            <a:cs typeface="+mn-cs"/>
          </a:endParaRPr>
        </a:p>
      </xdr:txBody>
    </xdr:sp>
    <xdr:clientData/>
  </xdr:twoCellAnchor>
  <xdr:twoCellAnchor>
    <xdr:from>
      <xdr:col>7</xdr:col>
      <xdr:colOff>566998</xdr:colOff>
      <xdr:row>3</xdr:row>
      <xdr:rowOff>10958</xdr:rowOff>
    </xdr:from>
    <xdr:to>
      <xdr:col>8</xdr:col>
      <xdr:colOff>476943</xdr:colOff>
      <xdr:row>5</xdr:row>
      <xdr:rowOff>88543</xdr:rowOff>
    </xdr:to>
    <xdr:sp macro="" textlink="">
      <xdr:nvSpPr>
        <xdr:cNvPr id="74" name="Rectangle: Rounded Corners 73">
          <a:hlinkClick xmlns:r="http://schemas.openxmlformats.org/officeDocument/2006/relationships" r:id="rId15"/>
          <a:extLst>
            <a:ext uri="{FF2B5EF4-FFF2-40B4-BE49-F238E27FC236}">
              <a16:creationId xmlns:a16="http://schemas.microsoft.com/office/drawing/2014/main" id="{EFFA0922-80D4-492A-B4A2-93033C071086}"/>
            </a:ext>
          </a:extLst>
        </xdr:cNvPr>
        <xdr:cNvSpPr/>
      </xdr:nvSpPr>
      <xdr:spPr>
        <a:xfrm>
          <a:off x="483419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9</xdr:col>
      <xdr:colOff>41218</xdr:colOff>
      <xdr:row>3</xdr:row>
      <xdr:rowOff>10958</xdr:rowOff>
    </xdr:from>
    <xdr:to>
      <xdr:col>9</xdr:col>
      <xdr:colOff>560763</xdr:colOff>
      <xdr:row>5</xdr:row>
      <xdr:rowOff>88543</xdr:rowOff>
    </xdr:to>
    <xdr:sp macro="" textlink="">
      <xdr:nvSpPr>
        <xdr:cNvPr id="75" name="Rectangle: Rounded Corners 74">
          <a:hlinkClick xmlns:r="http://schemas.openxmlformats.org/officeDocument/2006/relationships" r:id="rId16"/>
          <a:extLst>
            <a:ext uri="{FF2B5EF4-FFF2-40B4-BE49-F238E27FC236}">
              <a16:creationId xmlns:a16="http://schemas.microsoft.com/office/drawing/2014/main" id="{1BF18CDB-55CF-445E-A1F1-0F141F889664}"/>
            </a:ext>
          </a:extLst>
        </xdr:cNvPr>
        <xdr:cNvSpPr/>
      </xdr:nvSpPr>
      <xdr:spPr>
        <a:xfrm>
          <a:off x="552761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10</xdr:col>
      <xdr:colOff>125038</xdr:colOff>
      <xdr:row>3</xdr:row>
      <xdr:rowOff>10958</xdr:rowOff>
    </xdr:from>
    <xdr:to>
      <xdr:col>11</xdr:col>
      <xdr:colOff>34983</xdr:colOff>
      <xdr:row>5</xdr:row>
      <xdr:rowOff>88543</xdr:rowOff>
    </xdr:to>
    <xdr:sp macro="" textlink="">
      <xdr:nvSpPr>
        <xdr:cNvPr id="76" name="Rectangle: Rounded Corners 75">
          <a:hlinkClick xmlns:r="http://schemas.openxmlformats.org/officeDocument/2006/relationships" r:id="rId17"/>
          <a:extLst>
            <a:ext uri="{FF2B5EF4-FFF2-40B4-BE49-F238E27FC236}">
              <a16:creationId xmlns:a16="http://schemas.microsoft.com/office/drawing/2014/main" id="{1139EF07-7FC9-4575-B965-EA77FB68CA34}"/>
            </a:ext>
          </a:extLst>
        </xdr:cNvPr>
        <xdr:cNvSpPr/>
      </xdr:nvSpPr>
      <xdr:spPr>
        <a:xfrm>
          <a:off x="6221038" y="559598"/>
          <a:ext cx="519545" cy="443345"/>
        </a:xfrm>
        <a:prstGeom prst="roundRect">
          <a:avLst/>
        </a:prstGeom>
        <a:no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0</xdr:col>
      <xdr:colOff>0</xdr:colOff>
      <xdr:row>0</xdr:row>
      <xdr:rowOff>0</xdr:rowOff>
    </xdr:from>
    <xdr:to>
      <xdr:col>19</xdr:col>
      <xdr:colOff>289560</xdr:colOff>
      <xdr:row>42</xdr:row>
      <xdr:rowOff>91440</xdr:rowOff>
    </xdr:to>
    <xdr:grpSp>
      <xdr:nvGrpSpPr>
        <xdr:cNvPr id="2" name="Group 1">
          <a:extLst>
            <a:ext uri="{FF2B5EF4-FFF2-40B4-BE49-F238E27FC236}">
              <a16:creationId xmlns:a16="http://schemas.microsoft.com/office/drawing/2014/main" id="{7ADA79B4-4E88-EBF7-FBE0-EBB948454D1F}"/>
            </a:ext>
          </a:extLst>
        </xdr:cNvPr>
        <xdr:cNvGrpSpPr/>
      </xdr:nvGrpSpPr>
      <xdr:grpSpPr>
        <a:xfrm>
          <a:off x="0" y="0"/>
          <a:ext cx="15021560" cy="8092440"/>
          <a:chOff x="-868424" y="1145690"/>
          <a:chExt cx="8799756" cy="5712310"/>
        </a:xfrm>
      </xdr:grpSpPr>
      <xdr:sp macro="" textlink="">
        <xdr:nvSpPr>
          <xdr:cNvPr id="3" name="Rectangle 2">
            <a:extLst>
              <a:ext uri="{FF2B5EF4-FFF2-40B4-BE49-F238E27FC236}">
                <a16:creationId xmlns:a16="http://schemas.microsoft.com/office/drawing/2014/main" id="{EA922210-43B9-F122-01FE-B87DC003C02B}"/>
              </a:ext>
            </a:extLst>
          </xdr:cNvPr>
          <xdr:cNvSpPr/>
        </xdr:nvSpPr>
        <xdr:spPr>
          <a:xfrm>
            <a:off x="-868424" y="1145690"/>
            <a:ext cx="8799756" cy="5712310"/>
          </a:xfrm>
          <a:prstGeom prst="rect">
            <a:avLst/>
          </a:prstGeom>
          <a:gradFill>
            <a:gsLst>
              <a:gs pos="28000">
                <a:srgbClr val="19185C"/>
              </a:gs>
              <a:gs pos="100000">
                <a:srgbClr val="22398F"/>
              </a:gs>
            </a:gsLst>
            <a:lin ang="0" scaled="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 name="Rectangle 3">
            <a:extLst>
              <a:ext uri="{FF2B5EF4-FFF2-40B4-BE49-F238E27FC236}">
                <a16:creationId xmlns:a16="http://schemas.microsoft.com/office/drawing/2014/main" id="{6F00E4A1-2DCC-C583-E207-13D73BCFE1FB}"/>
              </a:ext>
            </a:extLst>
          </xdr:cNvPr>
          <xdr:cNvSpPr/>
        </xdr:nvSpPr>
        <xdr:spPr>
          <a:xfrm>
            <a:off x="-868424" y="1145690"/>
            <a:ext cx="8799756" cy="5712310"/>
          </a:xfrm>
          <a:prstGeom prst="rect">
            <a:avLst/>
          </a:prstGeom>
          <a:gradFill flip="none" rotWithShape="1">
            <a:gsLst>
              <a:gs pos="0">
                <a:srgbClr val="7556C5"/>
              </a:gs>
              <a:gs pos="60000">
                <a:srgbClr val="19185C">
                  <a:alpha val="0"/>
                </a:srgbClr>
              </a:gs>
            </a:gsLst>
            <a:path path="circle">
              <a:fillToRect l="100000" b="100000"/>
            </a:path>
            <a:tileRect t="-100000" r="-100000"/>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clientData/>
  </xdr:twoCellAnchor>
  <xdr:twoCellAnchor editAs="absolute">
    <xdr:from>
      <xdr:col>3</xdr:col>
      <xdr:colOff>586740</xdr:colOff>
      <xdr:row>2</xdr:row>
      <xdr:rowOff>28302</xdr:rowOff>
    </xdr:from>
    <xdr:to>
      <xdr:col>14</xdr:col>
      <xdr:colOff>2117</xdr:colOff>
      <xdr:row>35</xdr:row>
      <xdr:rowOff>119742</xdr:rowOff>
    </xdr:to>
    <xdr:sp macro="" textlink="">
      <xdr:nvSpPr>
        <xdr:cNvPr id="5" name="Rectangle: Rounded Corners 4">
          <a:extLst>
            <a:ext uri="{FF2B5EF4-FFF2-40B4-BE49-F238E27FC236}">
              <a16:creationId xmlns:a16="http://schemas.microsoft.com/office/drawing/2014/main" id="{5FE15DBB-D648-E04C-23D0-053321BD1EEB}"/>
            </a:ext>
          </a:extLst>
        </xdr:cNvPr>
        <xdr:cNvSpPr/>
      </xdr:nvSpPr>
      <xdr:spPr>
        <a:xfrm>
          <a:off x="2362200" y="394062"/>
          <a:ext cx="8961120" cy="6126480"/>
        </a:xfrm>
        <a:prstGeom prst="roundRect">
          <a:avLst>
            <a:gd name="adj" fmla="val 8143"/>
          </a:avLst>
        </a:prstGeom>
        <a:gradFill flip="none" rotWithShape="1">
          <a:gsLst>
            <a:gs pos="5000">
              <a:srgbClr val="4040A5"/>
            </a:gs>
            <a:gs pos="34264">
              <a:srgbClr val="1F2163"/>
            </a:gs>
            <a:gs pos="74000">
              <a:srgbClr val="110F3D"/>
            </a:gs>
          </a:gsLst>
          <a:lin ang="8100000" scaled="1"/>
          <a:tileRect/>
        </a:gradFill>
        <a:ln w="12700">
          <a:gradFill flip="none" rotWithShape="1">
            <a:gsLst>
              <a:gs pos="37000">
                <a:srgbClr val="4858C4"/>
              </a:gs>
              <a:gs pos="0">
                <a:srgbClr val="5658C7"/>
              </a:gs>
              <a:gs pos="74000">
                <a:srgbClr val="3F297B"/>
              </a:gs>
            </a:gsLst>
            <a:lin ang="8100000" scaled="1"/>
            <a:tileRect/>
          </a:gradFill>
        </a:ln>
        <a:effectLst>
          <a:outerShdw blurRad="571500" dist="190500" dir="8100000" algn="tr" rotWithShape="0">
            <a:prstClr val="black">
              <a:alpha val="6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editAs="absolute">
    <xdr:from>
      <xdr:col>4</xdr:col>
      <xdr:colOff>197125</xdr:colOff>
      <xdr:row>4</xdr:row>
      <xdr:rowOff>32710</xdr:rowOff>
    </xdr:from>
    <xdr:to>
      <xdr:col>13</xdr:col>
      <xdr:colOff>534742</xdr:colOff>
      <xdr:row>33</xdr:row>
      <xdr:rowOff>62418</xdr:rowOff>
    </xdr:to>
    <xdr:grpSp>
      <xdr:nvGrpSpPr>
        <xdr:cNvPr id="14" name="Group 13">
          <a:extLst>
            <a:ext uri="{FF2B5EF4-FFF2-40B4-BE49-F238E27FC236}">
              <a16:creationId xmlns:a16="http://schemas.microsoft.com/office/drawing/2014/main" id="{8F50B4F1-5250-8C02-C327-8923007A857D}"/>
            </a:ext>
          </a:extLst>
        </xdr:cNvPr>
        <xdr:cNvGrpSpPr/>
      </xdr:nvGrpSpPr>
      <xdr:grpSpPr>
        <a:xfrm>
          <a:off x="3276875" y="794710"/>
          <a:ext cx="7703617" cy="5554208"/>
          <a:chOff x="5086021" y="3257611"/>
          <a:chExt cx="8104699" cy="5396460"/>
        </a:xfrm>
      </xdr:grpSpPr>
      <xdr:sp macro="" textlink="$H$49">
        <xdr:nvSpPr>
          <xdr:cNvPr id="7" name="Rectangle: Rounded Corners 6">
            <a:extLst>
              <a:ext uri="{FF2B5EF4-FFF2-40B4-BE49-F238E27FC236}">
                <a16:creationId xmlns:a16="http://schemas.microsoft.com/office/drawing/2014/main" id="{38729834-6665-0C49-5998-BE1DE7DEDAE2}"/>
              </a:ext>
            </a:extLst>
          </xdr:cNvPr>
          <xdr:cNvSpPr/>
        </xdr:nvSpPr>
        <xdr:spPr>
          <a:xfrm>
            <a:off x="8398578" y="3273333"/>
            <a:ext cx="2286000" cy="2560320"/>
          </a:xfrm>
          <a:prstGeom prst="roundRect">
            <a:avLst>
              <a:gd name="adj" fmla="val 11582"/>
            </a:avLst>
          </a:prstGeom>
          <a:gradFill>
            <a:gsLst>
              <a:gs pos="0">
                <a:srgbClr val="2D2F89"/>
              </a:gs>
              <a:gs pos="66000">
                <a:srgbClr val="11174E"/>
              </a:gs>
            </a:gsLst>
            <a:lin ang="6900000" scaled="0"/>
          </a:gradFill>
          <a:ln w="12700">
            <a:gradFill>
              <a:gsLst>
                <a:gs pos="0">
                  <a:srgbClr val="5C6FC0"/>
                </a:gs>
                <a:gs pos="77000">
                  <a:srgbClr val="1C257E"/>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170A3D23-C836-4DB0-8D5D-B800D99A7EF1}" type="TxLink">
              <a:rPr lang="en-US" sz="1400" b="0" i="0" u="none" strike="noStrike">
                <a:solidFill>
                  <a:schemeClr val="tx2">
                    <a:lumMod val="25000"/>
                    <a:lumOff val="75000"/>
                  </a:schemeClr>
                </a:solidFill>
                <a:latin typeface="Aptos Narrow"/>
              </a:rPr>
              <a:pPr algn="ctr"/>
              <a:t>Budget</a:t>
            </a:fld>
            <a:endParaRPr lang="ru-RU" sz="2400" b="0">
              <a:solidFill>
                <a:schemeClr val="tx2">
                  <a:lumMod val="25000"/>
                  <a:lumOff val="75000"/>
                </a:schemeClr>
              </a:solidFill>
            </a:endParaRPr>
          </a:p>
        </xdr:txBody>
      </xdr:sp>
      <xdr:sp macro="" textlink="$K$49">
        <xdr:nvSpPr>
          <xdr:cNvPr id="6" name="Rectangle: Rounded Corners 5">
            <a:extLst>
              <a:ext uri="{FF2B5EF4-FFF2-40B4-BE49-F238E27FC236}">
                <a16:creationId xmlns:a16="http://schemas.microsoft.com/office/drawing/2014/main" id="{2646461A-1E8F-D639-36CB-FED49DAA8B5B}"/>
              </a:ext>
            </a:extLst>
          </xdr:cNvPr>
          <xdr:cNvSpPr/>
        </xdr:nvSpPr>
        <xdr:spPr>
          <a:xfrm>
            <a:off x="10904720" y="3273333"/>
            <a:ext cx="2286000" cy="2560320"/>
          </a:xfrm>
          <a:prstGeom prst="roundRect">
            <a:avLst>
              <a:gd name="adj" fmla="val 11582"/>
            </a:avLst>
          </a:prstGeom>
          <a:gradFill>
            <a:gsLst>
              <a:gs pos="0">
                <a:srgbClr val="4040A5"/>
              </a:gs>
              <a:gs pos="75000">
                <a:srgbClr val="141A54"/>
              </a:gs>
            </a:gsLst>
            <a:lin ang="7500000" scaled="0"/>
          </a:gradFill>
          <a:ln w="12700">
            <a:gradFill>
              <a:gsLst>
                <a:gs pos="0">
                  <a:srgbClr val="5C6FC0"/>
                </a:gs>
                <a:gs pos="77000">
                  <a:srgbClr val="1C257E"/>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EDE1A3A1-9BAD-43F2-B158-A30C5B0C86D6}" type="TxLink">
              <a:rPr lang="en-US" sz="1400" b="0" i="0" u="none" strike="noStrike">
                <a:solidFill>
                  <a:schemeClr val="tx2">
                    <a:lumMod val="25000"/>
                    <a:lumOff val="75000"/>
                  </a:schemeClr>
                </a:solidFill>
                <a:latin typeface="Aptos Narrow"/>
              </a:rPr>
              <a:pPr algn="ctr"/>
              <a:t>Sources</a:t>
            </a:fld>
            <a:endParaRPr lang="ru-RU" sz="2400">
              <a:solidFill>
                <a:schemeClr val="tx2">
                  <a:lumMod val="25000"/>
                  <a:lumOff val="75000"/>
                </a:schemeClr>
              </a:solidFill>
            </a:endParaRPr>
          </a:p>
        </xdr:txBody>
      </xdr:sp>
      <xdr:sp macro="" textlink="$A$48">
        <xdr:nvSpPr>
          <xdr:cNvPr id="10" name="Rectangle: Rounded Corners 9">
            <a:extLst>
              <a:ext uri="{FF2B5EF4-FFF2-40B4-BE49-F238E27FC236}">
                <a16:creationId xmlns:a16="http://schemas.microsoft.com/office/drawing/2014/main" id="{034B063D-6233-8747-FCC0-2E4EF4B2523F}"/>
              </a:ext>
            </a:extLst>
          </xdr:cNvPr>
          <xdr:cNvSpPr/>
        </xdr:nvSpPr>
        <xdr:spPr>
          <a:xfrm>
            <a:off x="5086021" y="5123124"/>
            <a:ext cx="3109843" cy="1850483"/>
          </a:xfrm>
          <a:prstGeom prst="roundRect">
            <a:avLst>
              <a:gd name="adj" fmla="val 13822"/>
            </a:avLst>
          </a:prstGeom>
          <a:gradFill>
            <a:gsLst>
              <a:gs pos="0">
                <a:srgbClr val="121750"/>
              </a:gs>
              <a:gs pos="66000">
                <a:srgbClr val="11184D"/>
              </a:gs>
            </a:gsLst>
            <a:lin ang="5400000" scaled="0"/>
          </a:gradFill>
          <a:ln w="12700">
            <a:gradFill>
              <a:gsLst>
                <a:gs pos="0">
                  <a:srgbClr val="2B3289"/>
                </a:gs>
                <a:gs pos="54000">
                  <a:srgbClr val="181D67"/>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57EA1287-A469-4DC6-B507-2E950C58BAB2}" type="TxLink">
              <a:rPr lang="en-US" sz="1400" b="0" i="0" u="none" strike="noStrike">
                <a:solidFill>
                  <a:schemeClr val="tx2">
                    <a:lumMod val="25000"/>
                    <a:lumOff val="75000"/>
                  </a:schemeClr>
                </a:solidFill>
                <a:latin typeface="Aptos Narrow"/>
              </a:rPr>
              <a:pPr algn="ctr"/>
              <a:t>Weekly Essential Expenses</a:t>
            </a:fld>
            <a:endParaRPr lang="ru-RU" sz="2400">
              <a:solidFill>
                <a:schemeClr val="tx2">
                  <a:lumMod val="25000"/>
                  <a:lumOff val="75000"/>
                </a:schemeClr>
              </a:solidFill>
            </a:endParaRPr>
          </a:p>
        </xdr:txBody>
      </xdr:sp>
      <xdr:sp macro="" textlink="$A$59">
        <xdr:nvSpPr>
          <xdr:cNvPr id="12" name="Rectangle: Rounded Corners 11">
            <a:extLst>
              <a:ext uri="{FF2B5EF4-FFF2-40B4-BE49-F238E27FC236}">
                <a16:creationId xmlns:a16="http://schemas.microsoft.com/office/drawing/2014/main" id="{A6B0E0E1-E578-1B3F-E696-BEDF11178E03}"/>
              </a:ext>
            </a:extLst>
          </xdr:cNvPr>
          <xdr:cNvSpPr/>
        </xdr:nvSpPr>
        <xdr:spPr>
          <a:xfrm>
            <a:off x="5086021" y="7173685"/>
            <a:ext cx="3109843" cy="1480386"/>
          </a:xfrm>
          <a:prstGeom prst="roundRect">
            <a:avLst>
              <a:gd name="adj" fmla="val 14707"/>
            </a:avLst>
          </a:prstGeom>
          <a:gradFill>
            <a:gsLst>
              <a:gs pos="0">
                <a:srgbClr val="121750"/>
              </a:gs>
              <a:gs pos="66000">
                <a:srgbClr val="11184D"/>
              </a:gs>
            </a:gsLst>
            <a:lin ang="5400000" scaled="0"/>
          </a:gradFill>
          <a:ln w="12700">
            <a:gradFill>
              <a:gsLst>
                <a:gs pos="0">
                  <a:srgbClr val="2B3289"/>
                </a:gs>
                <a:gs pos="54000">
                  <a:srgbClr val="181D67"/>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6B868553-970F-45B7-98CE-D0F0FD980017}" type="TxLink">
              <a:rPr lang="en-US" sz="1400" b="0" i="0" u="none" strike="noStrike">
                <a:solidFill>
                  <a:schemeClr val="tx2">
                    <a:lumMod val="25000"/>
                    <a:lumOff val="75000"/>
                  </a:schemeClr>
                </a:solidFill>
                <a:latin typeface="Aptos Narrow"/>
              </a:rPr>
              <a:pPr algn="ctr"/>
              <a:t>Total Expenses</a:t>
            </a:fld>
            <a:endParaRPr lang="ru-RU" sz="2400">
              <a:solidFill>
                <a:schemeClr val="tx2">
                  <a:lumMod val="25000"/>
                  <a:lumOff val="75000"/>
                </a:schemeClr>
              </a:solidFill>
            </a:endParaRPr>
          </a:p>
        </xdr:txBody>
      </xdr:sp>
      <xdr:sp macro="" textlink="$E$55">
        <xdr:nvSpPr>
          <xdr:cNvPr id="8" name="Rectangle: Rounded Corners 7">
            <a:extLst>
              <a:ext uri="{FF2B5EF4-FFF2-40B4-BE49-F238E27FC236}">
                <a16:creationId xmlns:a16="http://schemas.microsoft.com/office/drawing/2014/main" id="{2F8FD5CC-340A-BBD2-CFB5-6D7E9432FF4C}"/>
              </a:ext>
            </a:extLst>
          </xdr:cNvPr>
          <xdr:cNvSpPr/>
        </xdr:nvSpPr>
        <xdr:spPr>
          <a:xfrm>
            <a:off x="10904720" y="6085610"/>
            <a:ext cx="2286000" cy="2560320"/>
          </a:xfrm>
          <a:prstGeom prst="roundRect">
            <a:avLst>
              <a:gd name="adj" fmla="val 11582"/>
            </a:avLst>
          </a:prstGeom>
          <a:gradFill>
            <a:gsLst>
              <a:gs pos="0">
                <a:srgbClr val="1C2367"/>
              </a:gs>
              <a:gs pos="66000">
                <a:srgbClr val="11184D"/>
              </a:gs>
            </a:gsLst>
            <a:lin ang="8100000" scaled="1"/>
          </a:gradFill>
          <a:ln w="12700">
            <a:gradFill>
              <a:gsLst>
                <a:gs pos="0">
                  <a:srgbClr val="303798"/>
                </a:gs>
                <a:gs pos="69000">
                  <a:srgbClr val="181D67"/>
                </a:gs>
              </a:gsLst>
              <a:lin ang="6600000" scaled="0"/>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4326F336-41C1-45A5-A6B4-0D4361E24E8B}" type="TxLink">
              <a:rPr lang="en-US" sz="1400" b="0" i="0" u="none" strike="noStrike">
                <a:solidFill>
                  <a:schemeClr val="tx2">
                    <a:lumMod val="25000"/>
                    <a:lumOff val="75000"/>
                  </a:schemeClr>
                </a:solidFill>
                <a:latin typeface="Aptos Narrow"/>
              </a:rPr>
              <a:pPr algn="ctr"/>
              <a:t>Essential Costs</a:t>
            </a:fld>
            <a:endParaRPr lang="ru-RU" sz="2400" b="0">
              <a:solidFill>
                <a:schemeClr val="tx2">
                  <a:lumMod val="25000"/>
                  <a:lumOff val="75000"/>
                </a:schemeClr>
              </a:solidFill>
            </a:endParaRPr>
          </a:p>
        </xdr:txBody>
      </xdr:sp>
      <xdr:sp macro="" textlink="$H$55">
        <xdr:nvSpPr>
          <xdr:cNvPr id="11" name="Rectangle: Rounded Corners 10">
            <a:extLst>
              <a:ext uri="{FF2B5EF4-FFF2-40B4-BE49-F238E27FC236}">
                <a16:creationId xmlns:a16="http://schemas.microsoft.com/office/drawing/2014/main" id="{3DAD3309-06F5-3AD2-237E-513B9B0C32BB}"/>
              </a:ext>
            </a:extLst>
          </xdr:cNvPr>
          <xdr:cNvSpPr/>
        </xdr:nvSpPr>
        <xdr:spPr>
          <a:xfrm>
            <a:off x="8398578" y="6085610"/>
            <a:ext cx="2286000" cy="2560320"/>
          </a:xfrm>
          <a:prstGeom prst="roundRect">
            <a:avLst>
              <a:gd name="adj" fmla="val 11582"/>
            </a:avLst>
          </a:prstGeom>
          <a:gradFill>
            <a:gsLst>
              <a:gs pos="0">
                <a:srgbClr val="1C2367"/>
              </a:gs>
              <a:gs pos="66000">
                <a:srgbClr val="11184D"/>
              </a:gs>
            </a:gsLst>
            <a:lin ang="8100000" scaled="1"/>
          </a:gradFill>
          <a:ln w="12700">
            <a:gradFill>
              <a:gsLst>
                <a:gs pos="0">
                  <a:srgbClr val="2B3289"/>
                </a:gs>
                <a:gs pos="54000">
                  <a:srgbClr val="181D67"/>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b"/>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536994A3-D623-4D90-8C2C-E5A56634DF06}" type="TxLink">
              <a:rPr lang="en-US" sz="1400" b="0" i="0" u="none" strike="noStrike">
                <a:solidFill>
                  <a:schemeClr val="tx2">
                    <a:lumMod val="25000"/>
                    <a:lumOff val="75000"/>
                  </a:schemeClr>
                </a:solidFill>
                <a:latin typeface="Aptos Narrow"/>
              </a:rPr>
              <a:pPr algn="ctr"/>
              <a:t>Personal Investments</a:t>
            </a:fld>
            <a:endParaRPr lang="ru-RU" sz="2400" b="0">
              <a:solidFill>
                <a:schemeClr val="tx2">
                  <a:lumMod val="25000"/>
                  <a:lumOff val="75000"/>
                </a:schemeClr>
              </a:solidFill>
            </a:endParaRPr>
          </a:p>
        </xdr:txBody>
      </xdr:sp>
      <xdr:sp macro="" textlink="$A$58">
        <xdr:nvSpPr>
          <xdr:cNvPr id="9" name="Rectangle: Rounded Corners 8">
            <a:extLst>
              <a:ext uri="{FF2B5EF4-FFF2-40B4-BE49-F238E27FC236}">
                <a16:creationId xmlns:a16="http://schemas.microsoft.com/office/drawing/2014/main" id="{71947AEE-09C0-E254-AA2C-A7312DCCCCB0}"/>
              </a:ext>
            </a:extLst>
          </xdr:cNvPr>
          <xdr:cNvSpPr/>
        </xdr:nvSpPr>
        <xdr:spPr>
          <a:xfrm>
            <a:off x="5086021" y="3257611"/>
            <a:ext cx="3109843" cy="1665434"/>
          </a:xfrm>
          <a:prstGeom prst="roundRect">
            <a:avLst>
              <a:gd name="adj" fmla="val 14965"/>
            </a:avLst>
          </a:prstGeom>
          <a:gradFill>
            <a:gsLst>
              <a:gs pos="0">
                <a:srgbClr val="27287D"/>
              </a:gs>
              <a:gs pos="56000">
                <a:srgbClr val="11184D"/>
              </a:gs>
            </a:gsLst>
            <a:lin ang="6000000" scaled="0"/>
          </a:gradFill>
          <a:ln w="12700">
            <a:gradFill>
              <a:gsLst>
                <a:gs pos="0">
                  <a:srgbClr val="5C6FC0"/>
                </a:gs>
                <a:gs pos="54000">
                  <a:srgbClr val="181D67"/>
                </a:gs>
              </a:gsLst>
              <a:lin ang="5400000" scaled="1"/>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0C02E1A7-7A8B-4359-8545-8F94B2085D3C}" type="TxLink">
              <a:rPr lang="en-US" sz="1400" b="0" i="0" u="none" strike="noStrike">
                <a:solidFill>
                  <a:schemeClr val="tx2">
                    <a:lumMod val="25000"/>
                    <a:lumOff val="75000"/>
                  </a:schemeClr>
                </a:solidFill>
                <a:latin typeface="Aptos Narrow"/>
              </a:rPr>
              <a:pPr algn="ctr"/>
              <a:t>Total Income</a:t>
            </a:fld>
            <a:endParaRPr lang="ru-RU" sz="2400">
              <a:solidFill>
                <a:schemeClr val="tx2">
                  <a:lumMod val="25000"/>
                  <a:lumOff val="75000"/>
                </a:schemeClr>
              </a:solidFill>
            </a:endParaRPr>
          </a:p>
        </xdr:txBody>
      </xdr:sp>
    </xdr:grpSp>
    <xdr:clientData/>
  </xdr:twoCellAnchor>
  <xdr:twoCellAnchor editAs="absolute">
    <xdr:from>
      <xdr:col>4</xdr:col>
      <xdr:colOff>190500</xdr:colOff>
      <xdr:row>15</xdr:row>
      <xdr:rowOff>30480</xdr:rowOff>
    </xdr:from>
    <xdr:to>
      <xdr:col>7</xdr:col>
      <xdr:colOff>563880</xdr:colOff>
      <xdr:row>23</xdr:row>
      <xdr:rowOff>148590</xdr:rowOff>
    </xdr:to>
    <xdr:graphicFrame macro="">
      <xdr:nvGraphicFramePr>
        <xdr:cNvPr id="15" name="Chart 14">
          <a:extLst>
            <a:ext uri="{FF2B5EF4-FFF2-40B4-BE49-F238E27FC236}">
              <a16:creationId xmlns:a16="http://schemas.microsoft.com/office/drawing/2014/main" id="{2A7791A1-5E12-CEDA-017D-81F0552630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absolute">
    <xdr:from>
      <xdr:col>4</xdr:col>
      <xdr:colOff>251460</xdr:colOff>
      <xdr:row>21</xdr:row>
      <xdr:rowOff>114300</xdr:rowOff>
    </xdr:from>
    <xdr:to>
      <xdr:col>7</xdr:col>
      <xdr:colOff>533400</xdr:colOff>
      <xdr:row>23</xdr:row>
      <xdr:rowOff>160020</xdr:rowOff>
    </xdr:to>
    <mc:AlternateContent xmlns:mc="http://schemas.openxmlformats.org/markup-compatibility/2006" xmlns:a14="http://schemas.microsoft.com/office/drawing/2010/main">
      <mc:Choice Requires="a14">
        <xdr:graphicFrame macro="">
          <xdr:nvGraphicFramePr>
            <xdr:cNvPr id="16" name="Week Day">
              <a:extLst>
                <a:ext uri="{FF2B5EF4-FFF2-40B4-BE49-F238E27FC236}">
                  <a16:creationId xmlns:a16="http://schemas.microsoft.com/office/drawing/2014/main" id="{9C2EE1E6-B9B1-078C-223F-039772D2D273}"/>
                </a:ext>
              </a:extLst>
            </xdr:cNvPr>
            <xdr:cNvGraphicFramePr/>
          </xdr:nvGraphicFramePr>
          <xdr:xfrm>
            <a:off x="0" y="0"/>
            <a:ext cx="0" cy="0"/>
          </xdr:xfrm>
          <a:graphic>
            <a:graphicData uri="http://schemas.microsoft.com/office/drawing/2010/slicer">
              <sle:slicer xmlns:sle="http://schemas.microsoft.com/office/drawing/2010/slicer" name="Week Day"/>
            </a:graphicData>
          </a:graphic>
        </xdr:graphicFrame>
      </mc:Choice>
      <mc:Fallback xmlns="">
        <xdr:sp macro="" textlink="">
          <xdr:nvSpPr>
            <xdr:cNvPr id="0" name=""/>
            <xdr:cNvSpPr>
              <a:spLocks noTextEdit="1"/>
            </xdr:cNvSpPr>
          </xdr:nvSpPr>
          <xdr:spPr>
            <a:xfrm>
              <a:off x="3413760" y="3954780"/>
              <a:ext cx="29260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4</xdr:col>
      <xdr:colOff>274320</xdr:colOff>
      <xdr:row>10</xdr:row>
      <xdr:rowOff>114301</xdr:rowOff>
    </xdr:from>
    <xdr:to>
      <xdr:col>7</xdr:col>
      <xdr:colOff>480060</xdr:colOff>
      <xdr:row>12</xdr:row>
      <xdr:rowOff>160021</xdr:rowOff>
    </xdr:to>
    <mc:AlternateContent xmlns:mc="http://schemas.openxmlformats.org/markup-compatibility/2006" xmlns:a14="http://schemas.microsoft.com/office/drawing/2010/main">
      <mc:Choice Requires="a14">
        <xdr:graphicFrame macro="">
          <xdr:nvGraphicFramePr>
            <xdr:cNvPr id="17" name="Week Num">
              <a:extLst>
                <a:ext uri="{FF2B5EF4-FFF2-40B4-BE49-F238E27FC236}">
                  <a16:creationId xmlns:a16="http://schemas.microsoft.com/office/drawing/2014/main" id="{88774EA6-9FA0-9AA3-E30E-955689D267AB}"/>
                </a:ext>
              </a:extLst>
            </xdr:cNvPr>
            <xdr:cNvGraphicFramePr/>
          </xdr:nvGraphicFramePr>
          <xdr:xfrm>
            <a:off x="0" y="0"/>
            <a:ext cx="0" cy="0"/>
          </xdr:xfrm>
          <a:graphic>
            <a:graphicData uri="http://schemas.microsoft.com/office/drawing/2010/slicer">
              <sle:slicer xmlns:sle="http://schemas.microsoft.com/office/drawing/2010/slicer" name="Week Num"/>
            </a:graphicData>
          </a:graphic>
        </xdr:graphicFrame>
      </mc:Choice>
      <mc:Fallback xmlns="">
        <xdr:sp macro="" textlink="">
          <xdr:nvSpPr>
            <xdr:cNvPr id="0" name=""/>
            <xdr:cNvSpPr>
              <a:spLocks noTextEdit="1"/>
            </xdr:cNvSpPr>
          </xdr:nvSpPr>
          <xdr:spPr>
            <a:xfrm>
              <a:off x="3436620" y="1943101"/>
              <a:ext cx="28498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7</xdr:col>
      <xdr:colOff>807664</xdr:colOff>
      <xdr:row>4</xdr:row>
      <xdr:rowOff>28956</xdr:rowOff>
    </xdr:from>
    <xdr:to>
      <xdr:col>10</xdr:col>
      <xdr:colOff>452572</xdr:colOff>
      <xdr:row>16</xdr:row>
      <xdr:rowOff>47244</xdr:rowOff>
    </xdr:to>
    <xdr:graphicFrame macro="">
      <xdr:nvGraphicFramePr>
        <xdr:cNvPr id="18" name="Chart 17">
          <a:extLst>
            <a:ext uri="{FF2B5EF4-FFF2-40B4-BE49-F238E27FC236}">
              <a16:creationId xmlns:a16="http://schemas.microsoft.com/office/drawing/2014/main" id="{0D90DD4E-29DF-D7A3-74A7-D9A6B3BC57D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absolute">
    <xdr:from>
      <xdr:col>8</xdr:col>
      <xdr:colOff>502920</xdr:colOff>
      <xdr:row>9</xdr:row>
      <xdr:rowOff>15240</xdr:rowOff>
    </xdr:from>
    <xdr:to>
      <xdr:col>9</xdr:col>
      <xdr:colOff>624840</xdr:colOff>
      <xdr:row>11</xdr:row>
      <xdr:rowOff>45720</xdr:rowOff>
    </xdr:to>
    <xdr:sp macro="" textlink="'Prototype 1'!$H$51">
      <xdr:nvSpPr>
        <xdr:cNvPr id="23" name="TextBox 22">
          <a:extLst>
            <a:ext uri="{FF2B5EF4-FFF2-40B4-BE49-F238E27FC236}">
              <a16:creationId xmlns:a16="http://schemas.microsoft.com/office/drawing/2014/main" id="{6594934C-FECA-D966-B5C8-F9ED7FF1606E}"/>
            </a:ext>
          </a:extLst>
        </xdr:cNvPr>
        <xdr:cNvSpPr txBox="1"/>
      </xdr:nvSpPr>
      <xdr:spPr>
        <a:xfrm>
          <a:off x="7277100" y="1661160"/>
          <a:ext cx="899160" cy="3962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303F2F9-2F59-40F3-AEBA-F93E2CAE0EE5}" type="TxLink">
            <a:rPr lang="en-US" sz="2400" b="0" i="0" u="none" strike="noStrike">
              <a:solidFill>
                <a:schemeClr val="tx2">
                  <a:lumMod val="10000"/>
                  <a:lumOff val="90000"/>
                </a:schemeClr>
              </a:solidFill>
              <a:latin typeface="Aptos Narrow"/>
            </a:rPr>
            <a:pPr algn="ctr"/>
            <a:t>50%</a:t>
          </a:fld>
          <a:endParaRPr lang="ru-RU" sz="2400">
            <a:solidFill>
              <a:schemeClr val="tx2">
                <a:lumMod val="10000"/>
                <a:lumOff val="90000"/>
              </a:schemeClr>
            </a:solidFill>
          </a:endParaRPr>
        </a:p>
      </xdr:txBody>
    </xdr:sp>
    <xdr:clientData/>
  </xdr:twoCellAnchor>
  <xdr:twoCellAnchor editAs="absolute">
    <xdr:from>
      <xdr:col>11</xdr:col>
      <xdr:colOff>83820</xdr:colOff>
      <xdr:row>5</xdr:row>
      <xdr:rowOff>7620</xdr:rowOff>
    </xdr:from>
    <xdr:to>
      <xdr:col>13</xdr:col>
      <xdr:colOff>320040</xdr:colOff>
      <xdr:row>16</xdr:row>
      <xdr:rowOff>7620</xdr:rowOff>
    </xdr:to>
    <xdr:graphicFrame macro="">
      <xdr:nvGraphicFramePr>
        <xdr:cNvPr id="13" name="Chart 12">
          <a:extLst>
            <a:ext uri="{FF2B5EF4-FFF2-40B4-BE49-F238E27FC236}">
              <a16:creationId xmlns:a16="http://schemas.microsoft.com/office/drawing/2014/main" id="{8185F434-90D4-884A-9CF5-53D3867234F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absolute">
    <xdr:from>
      <xdr:col>11</xdr:col>
      <xdr:colOff>297180</xdr:colOff>
      <xdr:row>21</xdr:row>
      <xdr:rowOff>114300</xdr:rowOff>
    </xdr:from>
    <xdr:to>
      <xdr:col>13</xdr:col>
      <xdr:colOff>204117</xdr:colOff>
      <xdr:row>29</xdr:row>
      <xdr:rowOff>44747</xdr:rowOff>
    </xdr:to>
    <xdr:grpSp>
      <xdr:nvGrpSpPr>
        <xdr:cNvPr id="19" name="Group 18">
          <a:extLst>
            <a:ext uri="{FF2B5EF4-FFF2-40B4-BE49-F238E27FC236}">
              <a16:creationId xmlns:a16="http://schemas.microsoft.com/office/drawing/2014/main" id="{69F43F7D-3ADE-4F9F-A1AB-738A012AAE04}"/>
            </a:ext>
          </a:extLst>
        </xdr:cNvPr>
        <xdr:cNvGrpSpPr/>
      </xdr:nvGrpSpPr>
      <xdr:grpSpPr>
        <a:xfrm>
          <a:off x="9197763" y="4114800"/>
          <a:ext cx="1452104" cy="1454447"/>
          <a:chOff x="10207883" y="3116580"/>
          <a:chExt cx="1423317" cy="1393487"/>
        </a:xfrm>
      </xdr:grpSpPr>
      <xdr:cxnSp macro="">
        <xdr:nvCxnSpPr>
          <xdr:cNvPr id="20" name="Straight Connector 19">
            <a:extLst>
              <a:ext uri="{FF2B5EF4-FFF2-40B4-BE49-F238E27FC236}">
                <a16:creationId xmlns:a16="http://schemas.microsoft.com/office/drawing/2014/main" id="{F7656A4E-BBD5-BF5E-9440-E86B523D2F96}"/>
              </a:ext>
            </a:extLst>
          </xdr:cNvPr>
          <xdr:cNvCxnSpPr/>
        </xdr:nvCxnSpPr>
        <xdr:spPr>
          <a:xfrm>
            <a:off x="10911840" y="3116580"/>
            <a:ext cx="0" cy="731520"/>
          </a:xfrm>
          <a:prstGeom prst="line">
            <a:avLst/>
          </a:prstGeom>
          <a:ln w="9525">
            <a:solidFill>
              <a:srgbClr val="6457E3"/>
            </a:solidFill>
          </a:ln>
        </xdr:spPr>
        <xdr:style>
          <a:lnRef idx="2">
            <a:schemeClr val="accent1"/>
          </a:lnRef>
          <a:fillRef idx="0">
            <a:schemeClr val="accent1"/>
          </a:fillRef>
          <a:effectRef idx="1">
            <a:schemeClr val="accent1"/>
          </a:effectRef>
          <a:fontRef idx="minor">
            <a:schemeClr val="tx1"/>
          </a:fontRef>
        </xdr:style>
      </xdr:cxnSp>
      <xdr:cxnSp macro="">
        <xdr:nvCxnSpPr>
          <xdr:cNvPr id="21" name="Straight Connector 20">
            <a:extLst>
              <a:ext uri="{FF2B5EF4-FFF2-40B4-BE49-F238E27FC236}">
                <a16:creationId xmlns:a16="http://schemas.microsoft.com/office/drawing/2014/main" id="{FCF811D4-23C5-DB5C-8A2B-256BB91A8100}"/>
              </a:ext>
            </a:extLst>
          </xdr:cNvPr>
          <xdr:cNvCxnSpPr/>
        </xdr:nvCxnSpPr>
        <xdr:spPr>
          <a:xfrm rot="17280000">
            <a:off x="10573643" y="3369175"/>
            <a:ext cx="0" cy="731520"/>
          </a:xfrm>
          <a:prstGeom prst="line">
            <a:avLst/>
          </a:prstGeom>
          <a:ln w="9525">
            <a:solidFill>
              <a:srgbClr val="6457E3"/>
            </a:solidFill>
          </a:ln>
        </xdr:spPr>
        <xdr:style>
          <a:lnRef idx="2">
            <a:schemeClr val="accent1"/>
          </a:lnRef>
          <a:fillRef idx="0">
            <a:schemeClr val="accent1"/>
          </a:fillRef>
          <a:effectRef idx="1">
            <a:schemeClr val="accent1"/>
          </a:effectRef>
          <a:fontRef idx="minor">
            <a:schemeClr val="tx1"/>
          </a:fontRef>
        </xdr:style>
      </xdr:cxnSp>
      <xdr:cxnSp macro="">
        <xdr:nvCxnSpPr>
          <xdr:cNvPr id="24" name="Straight Connector 23">
            <a:extLst>
              <a:ext uri="{FF2B5EF4-FFF2-40B4-BE49-F238E27FC236}">
                <a16:creationId xmlns:a16="http://schemas.microsoft.com/office/drawing/2014/main" id="{1B22ABD8-921D-7CF0-115C-DDA6F679D9B0}"/>
              </a:ext>
            </a:extLst>
          </xdr:cNvPr>
          <xdr:cNvCxnSpPr/>
        </xdr:nvCxnSpPr>
        <xdr:spPr>
          <a:xfrm rot="4320000">
            <a:off x="11265440" y="3365932"/>
            <a:ext cx="0" cy="731520"/>
          </a:xfrm>
          <a:prstGeom prst="line">
            <a:avLst/>
          </a:prstGeom>
          <a:ln w="9525">
            <a:solidFill>
              <a:srgbClr val="6457E3"/>
            </a:solidFill>
          </a:ln>
        </xdr:spPr>
        <xdr:style>
          <a:lnRef idx="2">
            <a:schemeClr val="accent1"/>
          </a:lnRef>
          <a:fillRef idx="0">
            <a:schemeClr val="accent1"/>
          </a:fillRef>
          <a:effectRef idx="1">
            <a:schemeClr val="accent1"/>
          </a:effectRef>
          <a:fontRef idx="minor">
            <a:schemeClr val="tx1"/>
          </a:fontRef>
        </xdr:style>
      </xdr:cxnSp>
      <xdr:cxnSp macro="">
        <xdr:nvCxnSpPr>
          <xdr:cNvPr id="25" name="Straight Connector 24">
            <a:extLst>
              <a:ext uri="{FF2B5EF4-FFF2-40B4-BE49-F238E27FC236}">
                <a16:creationId xmlns:a16="http://schemas.microsoft.com/office/drawing/2014/main" id="{01F5DB95-81BF-9174-2B6B-9732A3192C1D}"/>
              </a:ext>
            </a:extLst>
          </xdr:cNvPr>
          <xdr:cNvCxnSpPr/>
        </xdr:nvCxnSpPr>
        <xdr:spPr>
          <a:xfrm rot="8640000">
            <a:off x="11128548" y="3778547"/>
            <a:ext cx="0" cy="731520"/>
          </a:xfrm>
          <a:prstGeom prst="line">
            <a:avLst/>
          </a:prstGeom>
          <a:ln w="9525">
            <a:solidFill>
              <a:srgbClr val="6457E3"/>
            </a:solidFill>
          </a:ln>
        </xdr:spPr>
        <xdr:style>
          <a:lnRef idx="2">
            <a:schemeClr val="accent1"/>
          </a:lnRef>
          <a:fillRef idx="0">
            <a:schemeClr val="accent1"/>
          </a:fillRef>
          <a:effectRef idx="1">
            <a:schemeClr val="accent1"/>
          </a:effectRef>
          <a:fontRef idx="minor">
            <a:schemeClr val="tx1"/>
          </a:fontRef>
        </xdr:style>
      </xdr:cxnSp>
      <xdr:cxnSp macro="">
        <xdr:nvCxnSpPr>
          <xdr:cNvPr id="26" name="Straight Connector 25">
            <a:extLst>
              <a:ext uri="{FF2B5EF4-FFF2-40B4-BE49-F238E27FC236}">
                <a16:creationId xmlns:a16="http://schemas.microsoft.com/office/drawing/2014/main" id="{1C728BA5-72BB-A923-A293-7725F27782EC}"/>
              </a:ext>
            </a:extLst>
          </xdr:cNvPr>
          <xdr:cNvCxnSpPr/>
        </xdr:nvCxnSpPr>
        <xdr:spPr>
          <a:xfrm rot="12960000">
            <a:off x="10698376" y="3764280"/>
            <a:ext cx="0" cy="731520"/>
          </a:xfrm>
          <a:prstGeom prst="line">
            <a:avLst/>
          </a:prstGeom>
          <a:ln w="9525">
            <a:solidFill>
              <a:srgbClr val="6457E3"/>
            </a:solidFill>
          </a:ln>
        </xdr:spPr>
        <xdr:style>
          <a:lnRef idx="2">
            <a:schemeClr val="accent1"/>
          </a:lnRef>
          <a:fillRef idx="0">
            <a:schemeClr val="accent1"/>
          </a:fillRef>
          <a:effectRef idx="1">
            <a:schemeClr val="accent1"/>
          </a:effectRef>
          <a:fontRef idx="minor">
            <a:schemeClr val="tx1"/>
          </a:fontRef>
        </xdr:style>
      </xdr:cxnSp>
    </xdr:grpSp>
    <xdr:clientData/>
  </xdr:twoCellAnchor>
  <xdr:twoCellAnchor editAs="absolute">
    <xdr:from>
      <xdr:col>11</xdr:col>
      <xdr:colOff>6498</xdr:colOff>
      <xdr:row>20</xdr:row>
      <xdr:rowOff>22860</xdr:rowOff>
    </xdr:from>
    <xdr:to>
      <xdr:col>13</xdr:col>
      <xdr:colOff>490156</xdr:colOff>
      <xdr:row>31</xdr:row>
      <xdr:rowOff>22860</xdr:rowOff>
    </xdr:to>
    <xdr:graphicFrame macro="">
      <xdr:nvGraphicFramePr>
        <xdr:cNvPr id="22" name="Chart 21">
          <a:extLst>
            <a:ext uri="{FF2B5EF4-FFF2-40B4-BE49-F238E27FC236}">
              <a16:creationId xmlns:a16="http://schemas.microsoft.com/office/drawing/2014/main" id="{BBE53843-9D1F-C0DF-7BC6-D70D00AC0F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absolute">
    <xdr:from>
      <xdr:col>7</xdr:col>
      <xdr:colOff>853440</xdr:colOff>
      <xdr:row>20</xdr:row>
      <xdr:rowOff>76200</xdr:rowOff>
    </xdr:from>
    <xdr:to>
      <xdr:col>10</xdr:col>
      <xdr:colOff>480060</xdr:colOff>
      <xdr:row>29</xdr:row>
      <xdr:rowOff>110490</xdr:rowOff>
    </xdr:to>
    <xdr:graphicFrame macro="">
      <xdr:nvGraphicFramePr>
        <xdr:cNvPr id="28" name="Chart 27">
          <a:extLst>
            <a:ext uri="{FF2B5EF4-FFF2-40B4-BE49-F238E27FC236}">
              <a16:creationId xmlns:a16="http://schemas.microsoft.com/office/drawing/2014/main" id="{28C7DA78-B66D-9043-7621-965A25367E7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absolute">
    <xdr:from>
      <xdr:col>4</xdr:col>
      <xdr:colOff>441960</xdr:colOff>
      <xdr:row>27</xdr:row>
      <xdr:rowOff>60960</xdr:rowOff>
    </xdr:from>
    <xdr:to>
      <xdr:col>7</xdr:col>
      <xdr:colOff>289560</xdr:colOff>
      <xdr:row>31</xdr:row>
      <xdr:rowOff>152400</xdr:rowOff>
    </xdr:to>
    <xdr:sp macro="" textlink="$B$59">
      <xdr:nvSpPr>
        <xdr:cNvPr id="29" name="TextBox 28">
          <a:extLst>
            <a:ext uri="{FF2B5EF4-FFF2-40B4-BE49-F238E27FC236}">
              <a16:creationId xmlns:a16="http://schemas.microsoft.com/office/drawing/2014/main" id="{5B317855-E987-9956-1303-7E87E90AF7E9}"/>
            </a:ext>
          </a:extLst>
        </xdr:cNvPr>
        <xdr:cNvSpPr txBox="1"/>
      </xdr:nvSpPr>
      <xdr:spPr>
        <a:xfrm>
          <a:off x="3604260" y="4998720"/>
          <a:ext cx="249174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4084F99-7953-4A65-A8C8-FD0D5E70B9DC}" type="TxLink">
            <a:rPr lang="en-US" sz="4800" b="0" i="0" u="none" strike="noStrike">
              <a:solidFill>
                <a:schemeClr val="bg1"/>
              </a:solidFill>
              <a:latin typeface="Aptos Narrow"/>
            </a:rPr>
            <a:pPr algn="ctr"/>
            <a:t>-$ 303</a:t>
          </a:fld>
          <a:endParaRPr lang="ru-RU" sz="4800">
            <a:solidFill>
              <a:schemeClr val="bg1"/>
            </a:solidFill>
          </a:endParaRPr>
        </a:p>
      </xdr:txBody>
    </xdr:sp>
    <xdr:clientData/>
  </xdr:twoCellAnchor>
  <xdr:twoCellAnchor editAs="absolute">
    <xdr:from>
      <xdr:col>4</xdr:col>
      <xdr:colOff>441960</xdr:colOff>
      <xdr:row>5</xdr:row>
      <xdr:rowOff>175260</xdr:rowOff>
    </xdr:from>
    <xdr:to>
      <xdr:col>7</xdr:col>
      <xdr:colOff>289560</xdr:colOff>
      <xdr:row>10</xdr:row>
      <xdr:rowOff>83820</xdr:rowOff>
    </xdr:to>
    <xdr:sp macro="" textlink="$B$58">
      <xdr:nvSpPr>
        <xdr:cNvPr id="30" name="TextBox 29">
          <a:extLst>
            <a:ext uri="{FF2B5EF4-FFF2-40B4-BE49-F238E27FC236}">
              <a16:creationId xmlns:a16="http://schemas.microsoft.com/office/drawing/2014/main" id="{0FB8FC6D-3564-F7EF-18C1-30F4B7429EF8}"/>
            </a:ext>
          </a:extLst>
        </xdr:cNvPr>
        <xdr:cNvSpPr txBox="1"/>
      </xdr:nvSpPr>
      <xdr:spPr>
        <a:xfrm>
          <a:off x="3604260" y="1089660"/>
          <a:ext cx="2491740" cy="8229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4F4C5DAF-D9F5-4ECD-A7B5-9124D5D186C2}" type="TxLink">
            <a:rPr lang="en-US" sz="4800" b="0" i="0" u="none" strike="noStrike">
              <a:solidFill>
                <a:schemeClr val="bg1"/>
              </a:solidFill>
              <a:latin typeface="Aptos Narrow"/>
              <a:ea typeface="+mn-ea"/>
              <a:cs typeface="+mn-cs"/>
            </a:rPr>
            <a:pPr marL="0" indent="0" algn="ctr"/>
            <a:t>$ 453</a:t>
          </a:fld>
          <a:endParaRPr lang="ru-RU" sz="4800" b="0" i="0" u="none" strike="noStrike">
            <a:solidFill>
              <a:schemeClr val="bg1"/>
            </a:solidFill>
            <a:latin typeface="Aptos Narrow"/>
            <a:ea typeface="+mn-ea"/>
            <a:cs typeface="+mn-cs"/>
          </a:endParaRPr>
        </a:p>
      </xdr:txBody>
    </xdr:sp>
    <xdr:clientData/>
  </xdr:twoCellAnchor>
  <xdr:twoCellAnchor editAs="absolute">
    <xdr:from>
      <xdr:col>11</xdr:col>
      <xdr:colOff>283529</xdr:colOff>
      <xdr:row>29</xdr:row>
      <xdr:rowOff>72410</xdr:rowOff>
    </xdr:from>
    <xdr:to>
      <xdr:col>13</xdr:col>
      <xdr:colOff>97472</xdr:colOff>
      <xdr:row>31</xdr:row>
      <xdr:rowOff>19031</xdr:rowOff>
    </xdr:to>
    <xdr:sp macro="" textlink="$F$61">
      <xdr:nvSpPr>
        <xdr:cNvPr id="31" name="TextBox 30">
          <a:extLst>
            <a:ext uri="{FF2B5EF4-FFF2-40B4-BE49-F238E27FC236}">
              <a16:creationId xmlns:a16="http://schemas.microsoft.com/office/drawing/2014/main" id="{0ED03DF0-F546-586F-5FAD-97491C23F676}"/>
            </a:ext>
          </a:extLst>
        </xdr:cNvPr>
        <xdr:cNvSpPr txBox="1"/>
      </xdr:nvSpPr>
      <xdr:spPr>
        <a:xfrm>
          <a:off x="9419909" y="5375930"/>
          <a:ext cx="1406523" cy="31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AC21AE7-223C-4051-8BC3-402C1146711F}" type="TxLink">
            <a:rPr lang="en-US" sz="2000" b="0" i="0" u="none" strike="noStrike">
              <a:solidFill>
                <a:schemeClr val="bg1"/>
              </a:solidFill>
              <a:latin typeface="Aptos Narrow"/>
            </a:rPr>
            <a:pPr algn="ctr"/>
            <a:t> $121 </a:t>
          </a:fld>
          <a:endParaRPr lang="ru-RU" sz="7200">
            <a:solidFill>
              <a:schemeClr val="bg1"/>
            </a:solidFill>
          </a:endParaRPr>
        </a:p>
      </xdr:txBody>
    </xdr:sp>
    <xdr:clientData/>
  </xdr:twoCellAnchor>
  <xdr:twoCellAnchor editAs="absolute">
    <xdr:from>
      <xdr:col>8</xdr:col>
      <xdr:colOff>207329</xdr:colOff>
      <xdr:row>29</xdr:row>
      <xdr:rowOff>72410</xdr:rowOff>
    </xdr:from>
    <xdr:to>
      <xdr:col>10</xdr:col>
      <xdr:colOff>13652</xdr:colOff>
      <xdr:row>31</xdr:row>
      <xdr:rowOff>19031</xdr:rowOff>
    </xdr:to>
    <xdr:sp macro="" textlink="$L$60">
      <xdr:nvSpPr>
        <xdr:cNvPr id="32" name="TextBox 31">
          <a:extLst>
            <a:ext uri="{FF2B5EF4-FFF2-40B4-BE49-F238E27FC236}">
              <a16:creationId xmlns:a16="http://schemas.microsoft.com/office/drawing/2014/main" id="{1A74FC98-FDBC-5157-CF40-9B9918A87150}"/>
            </a:ext>
          </a:extLst>
        </xdr:cNvPr>
        <xdr:cNvSpPr txBox="1"/>
      </xdr:nvSpPr>
      <xdr:spPr>
        <a:xfrm>
          <a:off x="6981509" y="5375930"/>
          <a:ext cx="1406523" cy="3123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fld id="{760D04D3-503F-4F00-95FA-88DBD7071D1D}" type="TxLink">
            <a:rPr lang="en-US" sz="2000" b="0" i="0" u="none" strike="noStrike">
              <a:solidFill>
                <a:schemeClr val="bg1"/>
              </a:solidFill>
              <a:latin typeface="Aptos Narrow"/>
              <a:ea typeface="+mn-ea"/>
              <a:cs typeface="+mn-cs"/>
            </a:rPr>
            <a:pPr marL="0" indent="0" algn="ctr"/>
            <a:t> $182 </a:t>
          </a:fld>
          <a:endParaRPr lang="ru-RU" sz="2000" b="0" i="0" u="none" strike="noStrike">
            <a:solidFill>
              <a:schemeClr val="bg1"/>
            </a:solidFill>
            <a:latin typeface="Aptos Narrow"/>
            <a:ea typeface="+mn-ea"/>
            <a:cs typeface="+mn-cs"/>
          </a:endParaRPr>
        </a:p>
      </xdr:txBody>
    </xdr:sp>
    <xdr:clientData/>
  </xdr:twoCellAnchor>
  <xdr:twoCellAnchor editAs="oneCell">
    <xdr:from>
      <xdr:col>1</xdr:col>
      <xdr:colOff>0</xdr:colOff>
      <xdr:row>1</xdr:row>
      <xdr:rowOff>0</xdr:rowOff>
    </xdr:from>
    <xdr:to>
      <xdr:col>1</xdr:col>
      <xdr:colOff>274320</xdr:colOff>
      <xdr:row>2</xdr:row>
      <xdr:rowOff>91440</xdr:rowOff>
    </xdr:to>
    <xdr:pic>
      <xdr:nvPicPr>
        <xdr:cNvPr id="27" name="Graphic 26" descr="Home with solid fill">
          <a:hlinkClick xmlns:r="http://schemas.openxmlformats.org/officeDocument/2006/relationships" r:id="rId6"/>
          <a:extLst>
            <a:ext uri="{FF2B5EF4-FFF2-40B4-BE49-F238E27FC236}">
              <a16:creationId xmlns:a16="http://schemas.microsoft.com/office/drawing/2014/main" id="{846386EF-E0F1-4798-A0DD-9CDCBD3914B4}"/>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853440" y="182880"/>
          <a:ext cx="274320" cy="274320"/>
        </a:xfrm>
        <a:prstGeom prst="rect">
          <a:avLst/>
        </a:prstGeom>
        <a:effectLst/>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7620</xdr:colOff>
      <xdr:row>0</xdr:row>
      <xdr:rowOff>0</xdr:rowOff>
    </xdr:from>
    <xdr:to>
      <xdr:col>24</xdr:col>
      <xdr:colOff>7620</xdr:colOff>
      <xdr:row>45</xdr:row>
      <xdr:rowOff>0</xdr:rowOff>
    </xdr:to>
    <xdr:sp macro="" textlink="">
      <xdr:nvSpPr>
        <xdr:cNvPr id="2" name="Rectangle 1">
          <a:extLst>
            <a:ext uri="{FF2B5EF4-FFF2-40B4-BE49-F238E27FC236}">
              <a16:creationId xmlns:a16="http://schemas.microsoft.com/office/drawing/2014/main" id="{08772BDE-4F36-6360-8846-B6520CDA0D60}"/>
            </a:ext>
          </a:extLst>
        </xdr:cNvPr>
        <xdr:cNvSpPr/>
      </xdr:nvSpPr>
      <xdr:spPr>
        <a:xfrm>
          <a:off x="7620" y="0"/>
          <a:ext cx="15057120" cy="8229600"/>
        </a:xfrm>
        <a:prstGeom prst="rect">
          <a:avLst/>
        </a:prstGeom>
        <a:gradFill flip="none" rotWithShape="1">
          <a:gsLst>
            <a:gs pos="0">
              <a:srgbClr val="3883D4"/>
            </a:gs>
            <a:gs pos="84000">
              <a:srgbClr val="224192"/>
            </a:gs>
          </a:gsLst>
          <a:lin ang="4200000" scaled="0"/>
          <a:tileRect/>
        </a:gra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53340</xdr:colOff>
      <xdr:row>1</xdr:row>
      <xdr:rowOff>91440</xdr:rowOff>
    </xdr:from>
    <xdr:to>
      <xdr:col>19</xdr:col>
      <xdr:colOff>205740</xdr:colOff>
      <xdr:row>38</xdr:row>
      <xdr:rowOff>91440</xdr:rowOff>
    </xdr:to>
    <xdr:sp macro="" textlink="">
      <xdr:nvSpPr>
        <xdr:cNvPr id="4" name="Rectangle: Rounded Corners 3">
          <a:extLst>
            <a:ext uri="{FF2B5EF4-FFF2-40B4-BE49-F238E27FC236}">
              <a16:creationId xmlns:a16="http://schemas.microsoft.com/office/drawing/2014/main" id="{063159E2-F790-2D30-C3EC-B8CB03469ACB}"/>
            </a:ext>
          </a:extLst>
        </xdr:cNvPr>
        <xdr:cNvSpPr/>
      </xdr:nvSpPr>
      <xdr:spPr>
        <a:xfrm>
          <a:off x="1706880" y="274320"/>
          <a:ext cx="10942320" cy="6766560"/>
        </a:xfrm>
        <a:prstGeom prst="roundRect">
          <a:avLst>
            <a:gd name="adj" fmla="val 4034"/>
          </a:avLst>
        </a:prstGeom>
        <a:gradFill>
          <a:gsLst>
            <a:gs pos="0">
              <a:srgbClr val="21509A"/>
            </a:gs>
            <a:gs pos="52000">
              <a:srgbClr val="0F2453"/>
            </a:gs>
          </a:gsLst>
          <a:lin ang="4200000" scaled="0"/>
        </a:gradFill>
        <a:ln w="9525">
          <a:gradFill>
            <a:gsLst>
              <a:gs pos="50384">
                <a:srgbClr val="BCC6FF"/>
              </a:gs>
              <a:gs pos="0">
                <a:srgbClr val="6494DA"/>
              </a:gs>
              <a:gs pos="94000">
                <a:srgbClr val="2F6EC7"/>
              </a:gs>
            </a:gsLst>
            <a:lin ang="5400000" scaled="1"/>
          </a:gradFill>
        </a:ln>
        <a:effectLst>
          <a:outerShdw blurRad="508000" dist="190500" dir="8100000" algn="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6</xdr:col>
      <xdr:colOff>716280</xdr:colOff>
      <xdr:row>3</xdr:row>
      <xdr:rowOff>91440</xdr:rowOff>
    </xdr:from>
    <xdr:to>
      <xdr:col>10</xdr:col>
      <xdr:colOff>350520</xdr:colOff>
      <xdr:row>10</xdr:row>
      <xdr:rowOff>91440</xdr:rowOff>
    </xdr:to>
    <xdr:sp macro="" textlink="$X$68">
      <xdr:nvSpPr>
        <xdr:cNvPr id="6" name="Rectangle: Rounded Corners 5">
          <a:extLst>
            <a:ext uri="{FF2B5EF4-FFF2-40B4-BE49-F238E27FC236}">
              <a16:creationId xmlns:a16="http://schemas.microsoft.com/office/drawing/2014/main" id="{D8D97AAC-2624-46F1-0502-14F04D01FA9F}"/>
            </a:ext>
          </a:extLst>
        </xdr:cNvPr>
        <xdr:cNvSpPr/>
      </xdr:nvSpPr>
      <xdr:spPr>
        <a:xfrm>
          <a:off x="4808220" y="640080"/>
          <a:ext cx="2499360" cy="1280160"/>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761BA179-E7C8-4109-9A1E-FCB58C926E64}" type="TxLink">
            <a:rPr lang="en-US" sz="4000" b="0" i="0" u="none" strike="noStrike">
              <a:solidFill>
                <a:schemeClr val="bg1"/>
              </a:solidFill>
              <a:latin typeface="Aptos Narrow"/>
            </a:rPr>
            <a:pPr algn="ctr"/>
            <a:t> $2,527 </a:t>
          </a:fld>
          <a:endParaRPr lang="ru-RU" sz="4000">
            <a:solidFill>
              <a:schemeClr val="bg1"/>
            </a:solidFill>
          </a:endParaRPr>
        </a:p>
      </xdr:txBody>
    </xdr:sp>
    <xdr:clientData/>
  </xdr:twoCellAnchor>
  <xdr:twoCellAnchor>
    <xdr:from>
      <xdr:col>2</xdr:col>
      <xdr:colOff>472440</xdr:colOff>
      <xdr:row>11</xdr:row>
      <xdr:rowOff>96590</xdr:rowOff>
    </xdr:from>
    <xdr:to>
      <xdr:col>10</xdr:col>
      <xdr:colOff>350520</xdr:colOff>
      <xdr:row>24</xdr:row>
      <xdr:rowOff>96590</xdr:rowOff>
    </xdr:to>
    <xdr:sp macro="" textlink="">
      <xdr:nvSpPr>
        <xdr:cNvPr id="7" name="Rectangle: Rounded Corners 6">
          <a:extLst>
            <a:ext uri="{FF2B5EF4-FFF2-40B4-BE49-F238E27FC236}">
              <a16:creationId xmlns:a16="http://schemas.microsoft.com/office/drawing/2014/main" id="{6502129D-6A2F-9F35-3C4B-EEB37727D624}"/>
            </a:ext>
          </a:extLst>
        </xdr:cNvPr>
        <xdr:cNvSpPr/>
      </xdr:nvSpPr>
      <xdr:spPr>
        <a:xfrm>
          <a:off x="2125980" y="2108270"/>
          <a:ext cx="5181600" cy="2377440"/>
        </a:xfrm>
        <a:prstGeom prst="roundRect">
          <a:avLst>
            <a:gd name="adj" fmla="val 6794"/>
          </a:avLst>
        </a:prstGeom>
        <a:gradFill flip="none" rotWithShape="1">
          <a:gsLst>
            <a:gs pos="0">
              <a:srgbClr val="1C4285"/>
            </a:gs>
            <a:gs pos="84000">
              <a:srgbClr val="132D64"/>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449580</xdr:colOff>
      <xdr:row>25</xdr:row>
      <xdr:rowOff>94119</xdr:rowOff>
    </xdr:from>
    <xdr:to>
      <xdr:col>10</xdr:col>
      <xdr:colOff>327660</xdr:colOff>
      <xdr:row>36</xdr:row>
      <xdr:rowOff>79742</xdr:rowOff>
    </xdr:to>
    <xdr:sp macro="" textlink="">
      <xdr:nvSpPr>
        <xdr:cNvPr id="8" name="Rectangle: Rounded Corners 7">
          <a:extLst>
            <a:ext uri="{FF2B5EF4-FFF2-40B4-BE49-F238E27FC236}">
              <a16:creationId xmlns:a16="http://schemas.microsoft.com/office/drawing/2014/main" id="{44D75189-B7A9-D3F0-3ECB-30549B8C02F6}"/>
            </a:ext>
          </a:extLst>
        </xdr:cNvPr>
        <xdr:cNvSpPr/>
      </xdr:nvSpPr>
      <xdr:spPr>
        <a:xfrm>
          <a:off x="2103120" y="4666119"/>
          <a:ext cx="5181600" cy="1997303"/>
        </a:xfrm>
        <a:prstGeom prst="roundRect">
          <a:avLst>
            <a:gd name="adj" fmla="val 7756"/>
          </a:avLst>
        </a:prstGeom>
        <a:gradFill flip="none" rotWithShape="1">
          <a:gsLst>
            <a:gs pos="0">
              <a:srgbClr val="15306A"/>
            </a:gs>
            <a:gs pos="60000">
              <a:srgbClr val="13295E"/>
            </a:gs>
          </a:gsLst>
          <a:lin ang="4200000" scaled="0"/>
          <a:tileRect/>
        </a:gradFill>
        <a:ln w="9525">
          <a:gradFill flip="none" rotWithShape="1">
            <a:gsLst>
              <a:gs pos="0">
                <a:srgbClr val="6494DA"/>
              </a:gs>
              <a:gs pos="100000">
                <a:srgbClr val="2F6EC7"/>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10</xdr:col>
      <xdr:colOff>543316</xdr:colOff>
      <xdr:row>16</xdr:row>
      <xdr:rowOff>178802</xdr:rowOff>
    </xdr:from>
    <xdr:to>
      <xdr:col>14</xdr:col>
      <xdr:colOff>390916</xdr:colOff>
      <xdr:row>36</xdr:row>
      <xdr:rowOff>87362</xdr:rowOff>
    </xdr:to>
    <xdr:sp macro="" textlink="$T$77">
      <xdr:nvSpPr>
        <xdr:cNvPr id="9" name="Rectangle: Rounded Corners 8">
          <a:extLst>
            <a:ext uri="{FF2B5EF4-FFF2-40B4-BE49-F238E27FC236}">
              <a16:creationId xmlns:a16="http://schemas.microsoft.com/office/drawing/2014/main" id="{3FD996E0-C58E-5FD1-4293-B42AD35A0AF8}"/>
            </a:ext>
          </a:extLst>
        </xdr:cNvPr>
        <xdr:cNvSpPr/>
      </xdr:nvSpPr>
      <xdr:spPr>
        <a:xfrm>
          <a:off x="7500376" y="3104882"/>
          <a:ext cx="2286000" cy="3566160"/>
        </a:xfrm>
        <a:prstGeom prst="roundRect">
          <a:avLst>
            <a:gd name="adj" fmla="val 6756"/>
          </a:avLst>
        </a:prstGeom>
        <a:gradFill flip="none" rotWithShape="1">
          <a:gsLst>
            <a:gs pos="0">
              <a:srgbClr val="15306A"/>
            </a:gs>
            <a:gs pos="84000">
              <a:srgbClr val="13295E"/>
            </a:gs>
          </a:gsLst>
          <a:lin ang="4200000" scaled="0"/>
          <a:tileRect/>
        </a:gradFill>
        <a:ln w="9525">
          <a:gradFill flip="none" rotWithShape="1">
            <a:gsLst>
              <a:gs pos="0">
                <a:srgbClr val="6494DA"/>
              </a:gs>
              <a:gs pos="62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A752AB2C-4562-4704-8F0A-C336EA304DAC}" type="TxLink">
            <a:rPr lang="en-US" sz="1200" b="0" i="0" u="none" strike="noStrike">
              <a:solidFill>
                <a:schemeClr val="tx2">
                  <a:lumMod val="25000"/>
                  <a:lumOff val="75000"/>
                </a:schemeClr>
              </a:solidFill>
              <a:latin typeface="Aptos Narrow"/>
            </a:rPr>
            <a:pPr algn="ctr"/>
            <a:t>Source Rating</a:t>
          </a:fld>
          <a:endParaRPr lang="ru-RU" sz="2000">
            <a:solidFill>
              <a:schemeClr val="tx2">
                <a:lumMod val="25000"/>
                <a:lumOff val="75000"/>
              </a:schemeClr>
            </a:solidFill>
          </a:endParaRPr>
        </a:p>
      </xdr:txBody>
    </xdr:sp>
    <xdr:clientData/>
  </xdr:twoCellAnchor>
  <xdr:twoCellAnchor>
    <xdr:from>
      <xdr:col>10</xdr:col>
      <xdr:colOff>543316</xdr:colOff>
      <xdr:row>3</xdr:row>
      <xdr:rowOff>91440</xdr:rowOff>
    </xdr:from>
    <xdr:to>
      <xdr:col>18</xdr:col>
      <xdr:colOff>421396</xdr:colOff>
      <xdr:row>16</xdr:row>
      <xdr:rowOff>0</xdr:rowOff>
    </xdr:to>
    <xdr:sp macro="" textlink="">
      <xdr:nvSpPr>
        <xdr:cNvPr id="10" name="Rectangle: Rounded Corners 9">
          <a:extLst>
            <a:ext uri="{FF2B5EF4-FFF2-40B4-BE49-F238E27FC236}">
              <a16:creationId xmlns:a16="http://schemas.microsoft.com/office/drawing/2014/main" id="{893B916E-B186-680A-386A-5CA5A6FEA838}"/>
            </a:ext>
          </a:extLst>
        </xdr:cNvPr>
        <xdr:cNvSpPr/>
      </xdr:nvSpPr>
      <xdr:spPr>
        <a:xfrm>
          <a:off x="7500376" y="640080"/>
          <a:ext cx="4754880" cy="2286000"/>
        </a:xfrm>
        <a:prstGeom prst="roundRect">
          <a:avLst>
            <a:gd name="adj" fmla="val 7756"/>
          </a:avLst>
        </a:prstGeom>
        <a:gradFill flip="none" rotWithShape="1">
          <a:gsLst>
            <a:gs pos="0">
              <a:srgbClr val="1C4285"/>
            </a:gs>
            <a:gs pos="84000">
              <a:srgbClr val="132D64"/>
            </a:gs>
          </a:gsLst>
          <a:lin ang="2700000" scaled="1"/>
          <a:tileRect/>
        </a:gradFill>
        <a:ln w="9525">
          <a:gradFill>
            <a:gsLst>
              <a:gs pos="49000">
                <a:srgbClr val="BCC6FF"/>
              </a:gs>
              <a:gs pos="0">
                <a:srgbClr val="6494DA"/>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14</xdr:col>
      <xdr:colOff>573796</xdr:colOff>
      <xdr:row>16</xdr:row>
      <xdr:rowOff>178802</xdr:rowOff>
    </xdr:from>
    <xdr:to>
      <xdr:col>18</xdr:col>
      <xdr:colOff>421396</xdr:colOff>
      <xdr:row>36</xdr:row>
      <xdr:rowOff>87362</xdr:rowOff>
    </xdr:to>
    <xdr:sp macro="" textlink="">
      <xdr:nvSpPr>
        <xdr:cNvPr id="12" name="Rectangle: Rounded Corners 11">
          <a:extLst>
            <a:ext uri="{FF2B5EF4-FFF2-40B4-BE49-F238E27FC236}">
              <a16:creationId xmlns:a16="http://schemas.microsoft.com/office/drawing/2014/main" id="{1FC0AF5E-EA17-46A9-5056-6AA0C7718939}"/>
            </a:ext>
          </a:extLst>
        </xdr:cNvPr>
        <xdr:cNvSpPr/>
      </xdr:nvSpPr>
      <xdr:spPr>
        <a:xfrm>
          <a:off x="9969256" y="3104882"/>
          <a:ext cx="2286000" cy="3566160"/>
        </a:xfrm>
        <a:prstGeom prst="roundRect">
          <a:avLst>
            <a:gd name="adj" fmla="val 6756"/>
          </a:avLst>
        </a:prstGeom>
        <a:gradFill flip="none" rotWithShape="1">
          <a:gsLst>
            <a:gs pos="0">
              <a:srgbClr val="15306A"/>
            </a:gs>
            <a:gs pos="70000">
              <a:srgbClr val="13295E"/>
            </a:gs>
          </a:gsLst>
          <a:lin ang="4200000" scaled="0"/>
          <a:tileRect/>
        </a:gradFill>
        <a:ln w="9525">
          <a:gradFill flip="none" rotWithShape="1">
            <a:gsLst>
              <a:gs pos="0">
                <a:srgbClr val="6494DA"/>
              </a:gs>
              <a:gs pos="59000">
                <a:srgbClr val="4F62B8"/>
              </a:gs>
            </a:gsLst>
            <a:lin ang="8100000" scaled="1"/>
            <a:tileRect/>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472440</xdr:colOff>
      <xdr:row>3</xdr:row>
      <xdr:rowOff>91440</xdr:rowOff>
    </xdr:from>
    <xdr:to>
      <xdr:col>6</xdr:col>
      <xdr:colOff>533400</xdr:colOff>
      <xdr:row>10</xdr:row>
      <xdr:rowOff>91440</xdr:rowOff>
    </xdr:to>
    <xdr:sp macro="" textlink="$W$68">
      <xdr:nvSpPr>
        <xdr:cNvPr id="13" name="Rectangle: Rounded Corners 12">
          <a:extLst>
            <a:ext uri="{FF2B5EF4-FFF2-40B4-BE49-F238E27FC236}">
              <a16:creationId xmlns:a16="http://schemas.microsoft.com/office/drawing/2014/main" id="{974A5437-4A0D-42AD-D528-5726D4859383}"/>
            </a:ext>
          </a:extLst>
        </xdr:cNvPr>
        <xdr:cNvSpPr/>
      </xdr:nvSpPr>
      <xdr:spPr>
        <a:xfrm>
          <a:off x="2125980" y="640080"/>
          <a:ext cx="2499360" cy="1280160"/>
        </a:xfrm>
        <a:prstGeom prst="roundRect">
          <a:avLst>
            <a:gd name="adj" fmla="val 12518"/>
          </a:avLst>
        </a:prstGeom>
        <a:gradFill flip="none" rotWithShape="1">
          <a:gsLst>
            <a:gs pos="0">
              <a:srgbClr val="2F6EC7"/>
            </a:gs>
            <a:gs pos="84000">
              <a:srgbClr val="224E9F"/>
            </a:gs>
          </a:gsLst>
          <a:lin ang="2700000" scaled="1"/>
          <a:tileRect/>
        </a:gradFill>
        <a:ln w="9525">
          <a:gradFill>
            <a:gsLst>
              <a:gs pos="0">
                <a:srgbClr val="6494DA"/>
              </a:gs>
              <a:gs pos="74000">
                <a:srgbClr val="BCC6FF"/>
              </a:gs>
              <a:gs pos="100000">
                <a:srgbClr val="2F6EC7"/>
              </a:gs>
            </a:gsLst>
            <a:lin ang="5400000" scaled="1"/>
          </a:gradFill>
        </a:ln>
        <a:effectLst>
          <a:outerShdw blurRad="1905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t"/>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fld id="{F2D5E083-B406-4DD0-B4B7-F07B5D647114}" type="TxLink">
            <a:rPr lang="en-US" sz="4000" b="0" i="0" u="none" strike="noStrike">
              <a:solidFill>
                <a:schemeClr val="bg1"/>
              </a:solidFill>
              <a:latin typeface="Aptos Narrow"/>
            </a:rPr>
            <a:pPr algn="ctr"/>
            <a:t> $3,445 </a:t>
          </a:fld>
          <a:endParaRPr lang="ru-RU" sz="6000">
            <a:solidFill>
              <a:schemeClr val="bg1"/>
            </a:solidFill>
          </a:endParaRPr>
        </a:p>
      </xdr:txBody>
    </xdr:sp>
    <xdr:clientData/>
  </xdr:twoCellAnchor>
  <xdr:twoCellAnchor>
    <xdr:from>
      <xdr:col>14</xdr:col>
      <xdr:colOff>220980</xdr:colOff>
      <xdr:row>4</xdr:row>
      <xdr:rowOff>45720</xdr:rowOff>
    </xdr:from>
    <xdr:to>
      <xdr:col>18</xdr:col>
      <xdr:colOff>304800</xdr:colOff>
      <xdr:row>14</xdr:row>
      <xdr:rowOff>91440</xdr:rowOff>
    </xdr:to>
    <xdr:sp macro="" textlink="">
      <xdr:nvSpPr>
        <xdr:cNvPr id="11" name="Rectangle: Rounded Corners 10">
          <a:extLst>
            <a:ext uri="{FF2B5EF4-FFF2-40B4-BE49-F238E27FC236}">
              <a16:creationId xmlns:a16="http://schemas.microsoft.com/office/drawing/2014/main" id="{1C8BCB64-C0A6-702A-C49D-A7E1955A8317}"/>
            </a:ext>
          </a:extLst>
        </xdr:cNvPr>
        <xdr:cNvSpPr/>
      </xdr:nvSpPr>
      <xdr:spPr>
        <a:xfrm>
          <a:off x="9616440" y="777240"/>
          <a:ext cx="2522220" cy="1874520"/>
        </a:xfrm>
        <a:prstGeom prst="roundRect">
          <a:avLst>
            <a:gd name="adj" fmla="val 6303"/>
          </a:avLst>
        </a:prstGeom>
        <a:solidFill>
          <a:srgbClr val="00103E"/>
        </a:solidFill>
        <a:ln w="9525"/>
        <a:effectLst>
          <a:innerShdw blurRad="3937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247838</xdr:colOff>
      <xdr:row>5</xdr:row>
      <xdr:rowOff>175260</xdr:rowOff>
    </xdr:from>
    <xdr:to>
      <xdr:col>18</xdr:col>
      <xdr:colOff>278318</xdr:colOff>
      <xdr:row>16</xdr:row>
      <xdr:rowOff>175260</xdr:rowOff>
    </xdr:to>
    <xdr:graphicFrame macro="">
      <xdr:nvGraphicFramePr>
        <xdr:cNvPr id="5" name="Chart 4">
          <a:extLst>
            <a:ext uri="{FF2B5EF4-FFF2-40B4-BE49-F238E27FC236}">
              <a16:creationId xmlns:a16="http://schemas.microsoft.com/office/drawing/2014/main" id="{B3FFC72C-2A6F-CD83-4628-D7B69D4B1E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304800</xdr:colOff>
      <xdr:row>5</xdr:row>
      <xdr:rowOff>15240</xdr:rowOff>
    </xdr:from>
    <xdr:to>
      <xdr:col>18</xdr:col>
      <xdr:colOff>251460</xdr:colOff>
      <xdr:row>6</xdr:row>
      <xdr:rowOff>106680</xdr:rowOff>
    </xdr:to>
    <xdr:sp macro="" textlink="">
      <xdr:nvSpPr>
        <xdr:cNvPr id="14" name="TextBox 13">
          <a:extLst>
            <a:ext uri="{FF2B5EF4-FFF2-40B4-BE49-F238E27FC236}">
              <a16:creationId xmlns:a16="http://schemas.microsoft.com/office/drawing/2014/main" id="{428430A1-8EEE-4748-81C6-070EDABD9EB0}"/>
            </a:ext>
          </a:extLst>
        </xdr:cNvPr>
        <xdr:cNvSpPr txBox="1"/>
      </xdr:nvSpPr>
      <xdr:spPr>
        <a:xfrm>
          <a:off x="9700260" y="929640"/>
          <a:ext cx="2385060" cy="2743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US" sz="1100">
              <a:solidFill>
                <a:srgbClr val="FF6CFF"/>
              </a:solidFill>
            </a:rPr>
            <a:t>SU  </a:t>
          </a:r>
          <a:r>
            <a:rPr lang="en-US" sz="1100">
              <a:solidFill>
                <a:srgbClr val="0062C4"/>
              </a:solidFill>
            </a:rPr>
            <a:t>     MO       TU      WE      TH       FR       </a:t>
          </a:r>
          <a:r>
            <a:rPr lang="en-US" sz="1100">
              <a:solidFill>
                <a:srgbClr val="FF6CFF"/>
              </a:solidFill>
            </a:rPr>
            <a:t>SA</a:t>
          </a:r>
        </a:p>
      </xdr:txBody>
    </xdr:sp>
    <xdr:clientData/>
  </xdr:twoCellAnchor>
  <xdr:twoCellAnchor>
    <xdr:from>
      <xdr:col>14</xdr:col>
      <xdr:colOff>327660</xdr:colOff>
      <xdr:row>6</xdr:row>
      <xdr:rowOff>99060</xdr:rowOff>
    </xdr:from>
    <xdr:to>
      <xdr:col>18</xdr:col>
      <xdr:colOff>175260</xdr:colOff>
      <xdr:row>13</xdr:row>
      <xdr:rowOff>99060</xdr:rowOff>
    </xdr:to>
    <xdr:grpSp>
      <xdr:nvGrpSpPr>
        <xdr:cNvPr id="45" name="Group 44">
          <a:extLst>
            <a:ext uri="{FF2B5EF4-FFF2-40B4-BE49-F238E27FC236}">
              <a16:creationId xmlns:a16="http://schemas.microsoft.com/office/drawing/2014/main" id="{FA2ECEA9-A5C9-6D3F-31D7-2335984C18DA}"/>
            </a:ext>
          </a:extLst>
        </xdr:cNvPr>
        <xdr:cNvGrpSpPr/>
      </xdr:nvGrpSpPr>
      <xdr:grpSpPr>
        <a:xfrm>
          <a:off x="9683327" y="1242060"/>
          <a:ext cx="2302933" cy="1333500"/>
          <a:chOff x="0" y="0"/>
          <a:chExt cx="2968934" cy="1386840"/>
        </a:xfrm>
      </xdr:grpSpPr>
      <xdr:sp macro="" textlink="">
        <xdr:nvSpPr>
          <xdr:cNvPr id="15" name="TextBox 14">
            <a:extLst>
              <a:ext uri="{FF2B5EF4-FFF2-40B4-BE49-F238E27FC236}">
                <a16:creationId xmlns:a16="http://schemas.microsoft.com/office/drawing/2014/main" id="{DFCD2F0B-C687-49E8-B399-74672E3E1FA2}"/>
              </a:ext>
            </a:extLst>
          </xdr:cNvPr>
          <xdr:cNvSpPr txBox="1"/>
        </xdr:nvSpPr>
        <xdr:spPr>
          <a:xfrm>
            <a:off x="426720" y="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58FBDB-033B-4535-B309-4513E52224F1}" type="TxLink">
              <a:rPr lang="en-US" sz="1000" b="0" i="0" u="none" strike="noStrike">
                <a:solidFill>
                  <a:schemeClr val="bg1"/>
                </a:solidFill>
                <a:latin typeface="Aptos Narrow"/>
              </a:rPr>
              <a:pPr algn="ctr"/>
              <a:t>1</a:t>
            </a:fld>
            <a:endParaRPr lang="ru-RU" sz="1100">
              <a:solidFill>
                <a:schemeClr val="bg1"/>
              </a:solidFill>
            </a:endParaRPr>
          </a:p>
        </xdr:txBody>
      </xdr:sp>
      <xdr:sp macro="" textlink="">
        <xdr:nvSpPr>
          <xdr:cNvPr id="16" name="TextBox 15">
            <a:extLst>
              <a:ext uri="{FF2B5EF4-FFF2-40B4-BE49-F238E27FC236}">
                <a16:creationId xmlns:a16="http://schemas.microsoft.com/office/drawing/2014/main" id="{55231E09-245D-4B1D-BA88-82F51D8F70BD}"/>
              </a:ext>
            </a:extLst>
          </xdr:cNvPr>
          <xdr:cNvSpPr txBox="1"/>
        </xdr:nvSpPr>
        <xdr:spPr>
          <a:xfrm>
            <a:off x="853440" y="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F574D0C-F969-4CA1-AE4E-EABB663C6878}" type="TxLink">
              <a:rPr lang="en-US" sz="1000" b="0" i="0" u="none" strike="noStrike">
                <a:solidFill>
                  <a:schemeClr val="bg1"/>
                </a:solidFill>
                <a:latin typeface="Aptos Narrow"/>
              </a:rPr>
              <a:pPr algn="ctr"/>
              <a:t>2</a:t>
            </a:fld>
            <a:endParaRPr lang="ru-RU" sz="1100">
              <a:solidFill>
                <a:schemeClr val="bg1"/>
              </a:solidFill>
            </a:endParaRPr>
          </a:p>
        </xdr:txBody>
      </xdr:sp>
      <xdr:sp macro="" textlink="">
        <xdr:nvSpPr>
          <xdr:cNvPr id="17" name="TextBox 16">
            <a:extLst>
              <a:ext uri="{FF2B5EF4-FFF2-40B4-BE49-F238E27FC236}">
                <a16:creationId xmlns:a16="http://schemas.microsoft.com/office/drawing/2014/main" id="{46C5AE48-6162-4BB9-AB90-7C752C48D4A6}"/>
              </a:ext>
            </a:extLst>
          </xdr:cNvPr>
          <xdr:cNvSpPr txBox="1"/>
        </xdr:nvSpPr>
        <xdr:spPr>
          <a:xfrm>
            <a:off x="1280160" y="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D034893-5468-4F01-B51C-A73927085041}" type="TxLink">
              <a:rPr lang="en-US" sz="1000" b="0" i="0" u="none" strike="noStrike">
                <a:solidFill>
                  <a:schemeClr val="bg1"/>
                </a:solidFill>
                <a:latin typeface="Aptos Narrow"/>
              </a:rPr>
              <a:pPr algn="ctr"/>
              <a:t>3</a:t>
            </a:fld>
            <a:endParaRPr lang="ru-RU" sz="1100">
              <a:solidFill>
                <a:schemeClr val="bg1"/>
              </a:solidFill>
            </a:endParaRPr>
          </a:p>
        </xdr:txBody>
      </xdr:sp>
      <xdr:sp macro="" textlink="">
        <xdr:nvSpPr>
          <xdr:cNvPr id="18" name="TextBox 17">
            <a:extLst>
              <a:ext uri="{FF2B5EF4-FFF2-40B4-BE49-F238E27FC236}">
                <a16:creationId xmlns:a16="http://schemas.microsoft.com/office/drawing/2014/main" id="{3A362578-550D-436B-BF9D-5F5ED02C72F3}"/>
              </a:ext>
            </a:extLst>
          </xdr:cNvPr>
          <xdr:cNvSpPr txBox="1"/>
        </xdr:nvSpPr>
        <xdr:spPr>
          <a:xfrm>
            <a:off x="1706880" y="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03DF19B8-A7FF-4F45-BBF6-73F53095E723}" type="TxLink">
              <a:rPr lang="en-US" sz="1000" b="0" i="0" u="none" strike="noStrike">
                <a:solidFill>
                  <a:schemeClr val="bg1"/>
                </a:solidFill>
                <a:latin typeface="Aptos Narrow"/>
              </a:rPr>
              <a:pPr algn="ctr"/>
              <a:t>4</a:t>
            </a:fld>
            <a:endParaRPr lang="ru-RU" sz="1100">
              <a:solidFill>
                <a:schemeClr val="bg1"/>
              </a:solidFill>
            </a:endParaRPr>
          </a:p>
        </xdr:txBody>
      </xdr:sp>
      <xdr:sp macro="" textlink="">
        <xdr:nvSpPr>
          <xdr:cNvPr id="19" name="TextBox 18">
            <a:extLst>
              <a:ext uri="{FF2B5EF4-FFF2-40B4-BE49-F238E27FC236}">
                <a16:creationId xmlns:a16="http://schemas.microsoft.com/office/drawing/2014/main" id="{9E218592-870E-488F-B589-264FF830B688}"/>
              </a:ext>
            </a:extLst>
          </xdr:cNvPr>
          <xdr:cNvSpPr txBox="1"/>
        </xdr:nvSpPr>
        <xdr:spPr>
          <a:xfrm>
            <a:off x="2133600" y="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8EA8C5C-E635-4A5D-BBA7-5CD0515767D5}" type="TxLink">
              <a:rPr lang="en-US" sz="1000" b="0" i="0" u="none" strike="noStrike">
                <a:solidFill>
                  <a:schemeClr val="bg1"/>
                </a:solidFill>
                <a:latin typeface="Aptos Narrow"/>
              </a:rPr>
              <a:pPr algn="ctr"/>
              <a:t>5</a:t>
            </a:fld>
            <a:endParaRPr lang="ru-RU" sz="1100">
              <a:solidFill>
                <a:schemeClr val="bg1"/>
              </a:solidFill>
            </a:endParaRPr>
          </a:p>
        </xdr:txBody>
      </xdr:sp>
      <xdr:sp macro="" textlink="">
        <xdr:nvSpPr>
          <xdr:cNvPr id="20" name="TextBox 19">
            <a:extLst>
              <a:ext uri="{FF2B5EF4-FFF2-40B4-BE49-F238E27FC236}">
                <a16:creationId xmlns:a16="http://schemas.microsoft.com/office/drawing/2014/main" id="{B596D585-4D74-4045-9175-34A9299D02D2}"/>
              </a:ext>
            </a:extLst>
          </xdr:cNvPr>
          <xdr:cNvSpPr txBox="1"/>
        </xdr:nvSpPr>
        <xdr:spPr>
          <a:xfrm>
            <a:off x="2560320" y="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8722E44-8ECD-4402-A71C-D3325E7F17A9}" type="TxLink">
              <a:rPr lang="en-US" sz="1000" b="0" i="0" u="none" strike="noStrike">
                <a:solidFill>
                  <a:schemeClr val="bg1"/>
                </a:solidFill>
                <a:latin typeface="Aptos Narrow"/>
              </a:rPr>
              <a:pPr algn="ctr"/>
              <a:t>6</a:t>
            </a:fld>
            <a:endParaRPr lang="ru-RU" sz="1100">
              <a:solidFill>
                <a:schemeClr val="bg1"/>
              </a:solidFill>
            </a:endParaRPr>
          </a:p>
        </xdr:txBody>
      </xdr:sp>
      <xdr:sp macro="" textlink="">
        <xdr:nvSpPr>
          <xdr:cNvPr id="21" name="TextBox 20">
            <a:extLst>
              <a:ext uri="{FF2B5EF4-FFF2-40B4-BE49-F238E27FC236}">
                <a16:creationId xmlns:a16="http://schemas.microsoft.com/office/drawing/2014/main" id="{DB872318-B3A0-48D3-B320-5A007967C976}"/>
              </a:ext>
            </a:extLst>
          </xdr:cNvPr>
          <xdr:cNvSpPr txBox="1"/>
        </xdr:nvSpPr>
        <xdr:spPr>
          <a:xfrm>
            <a:off x="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D9722707-F91C-4DCA-B6AA-C30BFCAE5B38}" type="TxLink">
              <a:rPr lang="en-US" sz="1000" b="0" i="0" u="none" strike="noStrike">
                <a:solidFill>
                  <a:schemeClr val="bg1"/>
                </a:solidFill>
                <a:latin typeface="Aptos Narrow"/>
              </a:rPr>
              <a:pPr algn="ctr"/>
              <a:t>7</a:t>
            </a:fld>
            <a:endParaRPr lang="ru-RU" sz="1100">
              <a:solidFill>
                <a:schemeClr val="bg1"/>
              </a:solidFill>
            </a:endParaRPr>
          </a:p>
        </xdr:txBody>
      </xdr:sp>
      <xdr:sp macro="" textlink="">
        <xdr:nvSpPr>
          <xdr:cNvPr id="22" name="TextBox 21">
            <a:extLst>
              <a:ext uri="{FF2B5EF4-FFF2-40B4-BE49-F238E27FC236}">
                <a16:creationId xmlns:a16="http://schemas.microsoft.com/office/drawing/2014/main" id="{C7950329-606C-4552-A515-8C84E39E03EB}"/>
              </a:ext>
            </a:extLst>
          </xdr:cNvPr>
          <xdr:cNvSpPr txBox="1"/>
        </xdr:nvSpPr>
        <xdr:spPr>
          <a:xfrm>
            <a:off x="42672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A893445B-7404-4234-823B-EA5EE4955079}" type="TxLink">
              <a:rPr lang="en-US" sz="1000" b="0" i="0" u="none" strike="noStrike">
                <a:solidFill>
                  <a:schemeClr val="bg1"/>
                </a:solidFill>
                <a:latin typeface="Aptos Narrow"/>
              </a:rPr>
              <a:pPr algn="ctr"/>
              <a:t>8</a:t>
            </a:fld>
            <a:endParaRPr lang="ru-RU" sz="1100">
              <a:solidFill>
                <a:schemeClr val="bg1"/>
              </a:solidFill>
            </a:endParaRPr>
          </a:p>
        </xdr:txBody>
      </xdr:sp>
      <xdr:sp macro="" textlink="">
        <xdr:nvSpPr>
          <xdr:cNvPr id="23" name="TextBox 22">
            <a:extLst>
              <a:ext uri="{FF2B5EF4-FFF2-40B4-BE49-F238E27FC236}">
                <a16:creationId xmlns:a16="http://schemas.microsoft.com/office/drawing/2014/main" id="{5773ADF8-FD2E-4E44-88DF-BA7E02D05499}"/>
              </a:ext>
            </a:extLst>
          </xdr:cNvPr>
          <xdr:cNvSpPr txBox="1"/>
        </xdr:nvSpPr>
        <xdr:spPr>
          <a:xfrm>
            <a:off x="85344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337486E-4CE5-482A-A991-D0C8FD54B6A6}" type="TxLink">
              <a:rPr lang="en-US" sz="1000" b="0" i="0" u="none" strike="noStrike">
                <a:solidFill>
                  <a:schemeClr val="bg1"/>
                </a:solidFill>
                <a:latin typeface="Aptos Narrow"/>
              </a:rPr>
              <a:pPr algn="ctr"/>
              <a:t>9</a:t>
            </a:fld>
            <a:endParaRPr lang="ru-RU" sz="1100">
              <a:solidFill>
                <a:schemeClr val="bg1"/>
              </a:solidFill>
            </a:endParaRPr>
          </a:p>
        </xdr:txBody>
      </xdr:sp>
      <xdr:sp macro="" textlink="">
        <xdr:nvSpPr>
          <xdr:cNvPr id="24" name="TextBox 23">
            <a:extLst>
              <a:ext uri="{FF2B5EF4-FFF2-40B4-BE49-F238E27FC236}">
                <a16:creationId xmlns:a16="http://schemas.microsoft.com/office/drawing/2014/main" id="{C39A5548-AF0E-4BCB-8B46-84D626FC0B3C}"/>
              </a:ext>
            </a:extLst>
          </xdr:cNvPr>
          <xdr:cNvSpPr txBox="1"/>
        </xdr:nvSpPr>
        <xdr:spPr>
          <a:xfrm>
            <a:off x="128016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87A46E-2367-413D-A81F-DE2A423B10EE}" type="TxLink">
              <a:rPr lang="en-US" sz="1000" b="0" i="0" u="none" strike="noStrike">
                <a:solidFill>
                  <a:schemeClr val="bg1"/>
                </a:solidFill>
                <a:latin typeface="Aptos Narrow"/>
              </a:rPr>
              <a:pPr algn="ctr"/>
              <a:t>10</a:t>
            </a:fld>
            <a:endParaRPr lang="ru-RU" sz="1100">
              <a:solidFill>
                <a:schemeClr val="bg1"/>
              </a:solidFill>
            </a:endParaRPr>
          </a:p>
        </xdr:txBody>
      </xdr:sp>
      <xdr:sp macro="" textlink="">
        <xdr:nvSpPr>
          <xdr:cNvPr id="25" name="TextBox 24">
            <a:extLst>
              <a:ext uri="{FF2B5EF4-FFF2-40B4-BE49-F238E27FC236}">
                <a16:creationId xmlns:a16="http://schemas.microsoft.com/office/drawing/2014/main" id="{8EE7FC39-C4AD-438C-9E9C-DCB9A3AD7D8C}"/>
              </a:ext>
            </a:extLst>
          </xdr:cNvPr>
          <xdr:cNvSpPr txBox="1"/>
        </xdr:nvSpPr>
        <xdr:spPr>
          <a:xfrm>
            <a:off x="170688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F9ADFFE-583A-4055-9672-269CC265B714}" type="TxLink">
              <a:rPr lang="en-US" sz="1000" b="0" i="0" u="none" strike="noStrike">
                <a:solidFill>
                  <a:schemeClr val="bg1"/>
                </a:solidFill>
                <a:latin typeface="Aptos Narrow"/>
              </a:rPr>
              <a:pPr algn="ctr"/>
              <a:t>11</a:t>
            </a:fld>
            <a:endParaRPr lang="ru-RU" sz="1100">
              <a:solidFill>
                <a:schemeClr val="bg1"/>
              </a:solidFill>
            </a:endParaRPr>
          </a:p>
        </xdr:txBody>
      </xdr:sp>
      <xdr:sp macro="" textlink="">
        <xdr:nvSpPr>
          <xdr:cNvPr id="26" name="TextBox 25">
            <a:extLst>
              <a:ext uri="{FF2B5EF4-FFF2-40B4-BE49-F238E27FC236}">
                <a16:creationId xmlns:a16="http://schemas.microsoft.com/office/drawing/2014/main" id="{D0FD7CF6-6789-4985-AA5C-AE2913EDE286}"/>
              </a:ext>
            </a:extLst>
          </xdr:cNvPr>
          <xdr:cNvSpPr txBox="1"/>
        </xdr:nvSpPr>
        <xdr:spPr>
          <a:xfrm>
            <a:off x="213360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DC5C61B-FFFE-4DC7-8303-22F35C24184F}" type="TxLink">
              <a:rPr lang="en-US" sz="1000" b="0" i="0" u="none" strike="noStrike">
                <a:solidFill>
                  <a:schemeClr val="bg1"/>
                </a:solidFill>
                <a:latin typeface="Aptos Narrow"/>
              </a:rPr>
              <a:pPr algn="ctr"/>
              <a:t>12</a:t>
            </a:fld>
            <a:endParaRPr lang="ru-RU" sz="1100">
              <a:solidFill>
                <a:schemeClr val="bg1"/>
              </a:solidFill>
            </a:endParaRPr>
          </a:p>
        </xdr:txBody>
      </xdr:sp>
      <xdr:sp macro="" textlink="">
        <xdr:nvSpPr>
          <xdr:cNvPr id="27" name="TextBox 26">
            <a:extLst>
              <a:ext uri="{FF2B5EF4-FFF2-40B4-BE49-F238E27FC236}">
                <a16:creationId xmlns:a16="http://schemas.microsoft.com/office/drawing/2014/main" id="{1086AC6D-3CB3-4837-9270-02E505D9BB50}"/>
              </a:ext>
            </a:extLst>
          </xdr:cNvPr>
          <xdr:cNvSpPr txBox="1"/>
        </xdr:nvSpPr>
        <xdr:spPr>
          <a:xfrm>
            <a:off x="2560320" y="29718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A2DAEAB-4E44-437C-85A6-DBDDEF909922}" type="TxLink">
              <a:rPr lang="en-US" sz="1000" b="0" i="0" u="none" strike="noStrike">
                <a:solidFill>
                  <a:schemeClr val="bg1"/>
                </a:solidFill>
                <a:latin typeface="Aptos Narrow"/>
              </a:rPr>
              <a:pPr algn="ctr"/>
              <a:t>13</a:t>
            </a:fld>
            <a:endParaRPr lang="ru-RU" sz="1100">
              <a:solidFill>
                <a:schemeClr val="bg1"/>
              </a:solidFill>
            </a:endParaRPr>
          </a:p>
        </xdr:txBody>
      </xdr:sp>
      <xdr:sp macro="" textlink="">
        <xdr:nvSpPr>
          <xdr:cNvPr id="28" name="TextBox 27">
            <a:extLst>
              <a:ext uri="{FF2B5EF4-FFF2-40B4-BE49-F238E27FC236}">
                <a16:creationId xmlns:a16="http://schemas.microsoft.com/office/drawing/2014/main" id="{4E6A4931-20B7-4935-9E20-E57DB1D5FBB2}"/>
              </a:ext>
            </a:extLst>
          </xdr:cNvPr>
          <xdr:cNvSpPr txBox="1"/>
        </xdr:nvSpPr>
        <xdr:spPr>
          <a:xfrm>
            <a:off x="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50799B7-EDD3-4F34-AC64-20AFD4C5D140}" type="TxLink">
              <a:rPr lang="en-US" sz="1000" b="0" i="0" u="none" strike="noStrike">
                <a:solidFill>
                  <a:schemeClr val="bg1"/>
                </a:solidFill>
                <a:latin typeface="Aptos Narrow"/>
              </a:rPr>
              <a:pPr algn="ctr"/>
              <a:t>14</a:t>
            </a:fld>
            <a:endParaRPr lang="ru-RU" sz="1100">
              <a:solidFill>
                <a:schemeClr val="bg1"/>
              </a:solidFill>
            </a:endParaRPr>
          </a:p>
        </xdr:txBody>
      </xdr:sp>
      <xdr:sp macro="" textlink="">
        <xdr:nvSpPr>
          <xdr:cNvPr id="29" name="TextBox 28">
            <a:extLst>
              <a:ext uri="{FF2B5EF4-FFF2-40B4-BE49-F238E27FC236}">
                <a16:creationId xmlns:a16="http://schemas.microsoft.com/office/drawing/2014/main" id="{25EBA2DE-1984-43C9-845F-C9039E75F4FF}"/>
              </a:ext>
            </a:extLst>
          </xdr:cNvPr>
          <xdr:cNvSpPr txBox="1"/>
        </xdr:nvSpPr>
        <xdr:spPr>
          <a:xfrm>
            <a:off x="42672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AC153A3-AE06-4D3F-A7D7-FACC03621EA5}" type="TxLink">
              <a:rPr lang="en-US" sz="1000" b="0" i="0" u="none" strike="noStrike">
                <a:solidFill>
                  <a:schemeClr val="bg1"/>
                </a:solidFill>
                <a:latin typeface="Aptos Narrow"/>
              </a:rPr>
              <a:pPr algn="ctr"/>
              <a:t>15</a:t>
            </a:fld>
            <a:endParaRPr lang="ru-RU" sz="1100">
              <a:solidFill>
                <a:schemeClr val="bg1"/>
              </a:solidFill>
            </a:endParaRPr>
          </a:p>
        </xdr:txBody>
      </xdr:sp>
      <xdr:sp macro="" textlink="">
        <xdr:nvSpPr>
          <xdr:cNvPr id="30" name="TextBox 29">
            <a:extLst>
              <a:ext uri="{FF2B5EF4-FFF2-40B4-BE49-F238E27FC236}">
                <a16:creationId xmlns:a16="http://schemas.microsoft.com/office/drawing/2014/main" id="{F225D140-23DF-4562-B345-47E8A0BE1C37}"/>
              </a:ext>
            </a:extLst>
          </xdr:cNvPr>
          <xdr:cNvSpPr txBox="1"/>
        </xdr:nvSpPr>
        <xdr:spPr>
          <a:xfrm>
            <a:off x="85344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9180FDD7-16D9-4DF7-BE67-0EB0EECC1AD0}" type="TxLink">
              <a:rPr lang="en-US" sz="1000" b="0" i="0" u="none" strike="noStrike">
                <a:solidFill>
                  <a:schemeClr val="bg1"/>
                </a:solidFill>
                <a:latin typeface="Aptos Narrow"/>
              </a:rPr>
              <a:pPr algn="ctr"/>
              <a:t>16</a:t>
            </a:fld>
            <a:endParaRPr lang="ru-RU" sz="1100">
              <a:solidFill>
                <a:schemeClr val="bg1"/>
              </a:solidFill>
            </a:endParaRPr>
          </a:p>
        </xdr:txBody>
      </xdr:sp>
      <xdr:sp macro="" textlink="">
        <xdr:nvSpPr>
          <xdr:cNvPr id="31" name="TextBox 30">
            <a:extLst>
              <a:ext uri="{FF2B5EF4-FFF2-40B4-BE49-F238E27FC236}">
                <a16:creationId xmlns:a16="http://schemas.microsoft.com/office/drawing/2014/main" id="{10626906-7E08-4111-A5E7-92D38E51EE24}"/>
              </a:ext>
            </a:extLst>
          </xdr:cNvPr>
          <xdr:cNvSpPr txBox="1"/>
        </xdr:nvSpPr>
        <xdr:spPr>
          <a:xfrm>
            <a:off x="128016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73E1771-0ED0-4305-BA96-9DC0CD9FD323}" type="TxLink">
              <a:rPr lang="en-US" sz="1000" b="0" i="0" u="none" strike="noStrike">
                <a:solidFill>
                  <a:schemeClr val="bg1"/>
                </a:solidFill>
                <a:latin typeface="Aptos Narrow"/>
              </a:rPr>
              <a:pPr algn="ctr"/>
              <a:t>17</a:t>
            </a:fld>
            <a:endParaRPr lang="ru-RU" sz="1100">
              <a:solidFill>
                <a:schemeClr val="bg1"/>
              </a:solidFill>
            </a:endParaRPr>
          </a:p>
        </xdr:txBody>
      </xdr:sp>
      <xdr:sp macro="" textlink="">
        <xdr:nvSpPr>
          <xdr:cNvPr id="32" name="TextBox 31">
            <a:extLst>
              <a:ext uri="{FF2B5EF4-FFF2-40B4-BE49-F238E27FC236}">
                <a16:creationId xmlns:a16="http://schemas.microsoft.com/office/drawing/2014/main" id="{38C2C0CA-F584-4A21-B6D7-1F41F7ABEBAB}"/>
              </a:ext>
            </a:extLst>
          </xdr:cNvPr>
          <xdr:cNvSpPr txBox="1"/>
        </xdr:nvSpPr>
        <xdr:spPr>
          <a:xfrm>
            <a:off x="170688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970586A-51AB-4934-9F05-E05582EE98E1}" type="TxLink">
              <a:rPr lang="en-US" sz="1000" b="0" i="0" u="none" strike="noStrike">
                <a:solidFill>
                  <a:schemeClr val="bg1"/>
                </a:solidFill>
                <a:latin typeface="Aptos Narrow"/>
              </a:rPr>
              <a:pPr algn="ctr"/>
              <a:t>18</a:t>
            </a:fld>
            <a:endParaRPr lang="ru-RU" sz="1100">
              <a:solidFill>
                <a:schemeClr val="bg1"/>
              </a:solidFill>
            </a:endParaRPr>
          </a:p>
        </xdr:txBody>
      </xdr:sp>
      <xdr:sp macro="" textlink="">
        <xdr:nvSpPr>
          <xdr:cNvPr id="33" name="TextBox 32">
            <a:extLst>
              <a:ext uri="{FF2B5EF4-FFF2-40B4-BE49-F238E27FC236}">
                <a16:creationId xmlns:a16="http://schemas.microsoft.com/office/drawing/2014/main" id="{4E674F78-EB37-4B30-AC4F-6E6642A346F9}"/>
              </a:ext>
            </a:extLst>
          </xdr:cNvPr>
          <xdr:cNvSpPr txBox="1"/>
        </xdr:nvSpPr>
        <xdr:spPr>
          <a:xfrm>
            <a:off x="213360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F53A2E11-5BAB-42BD-8DF1-25778D63E85D}" type="TxLink">
              <a:rPr lang="en-US" sz="1000" b="0" i="0" u="none" strike="noStrike">
                <a:solidFill>
                  <a:schemeClr val="bg1"/>
                </a:solidFill>
                <a:latin typeface="Aptos Narrow"/>
              </a:rPr>
              <a:pPr algn="ctr"/>
              <a:t>19</a:t>
            </a:fld>
            <a:endParaRPr lang="ru-RU" sz="1100">
              <a:solidFill>
                <a:schemeClr val="bg1"/>
              </a:solidFill>
            </a:endParaRPr>
          </a:p>
        </xdr:txBody>
      </xdr:sp>
      <xdr:sp macro="" textlink="">
        <xdr:nvSpPr>
          <xdr:cNvPr id="34" name="TextBox 33">
            <a:extLst>
              <a:ext uri="{FF2B5EF4-FFF2-40B4-BE49-F238E27FC236}">
                <a16:creationId xmlns:a16="http://schemas.microsoft.com/office/drawing/2014/main" id="{A9A28C84-D5AA-4032-BD90-38B0EB0F0823}"/>
              </a:ext>
            </a:extLst>
          </xdr:cNvPr>
          <xdr:cNvSpPr txBox="1"/>
        </xdr:nvSpPr>
        <xdr:spPr>
          <a:xfrm>
            <a:off x="2560320" y="5562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44E22D46-BFDC-4152-822E-284DBA3EFC2F}" type="TxLink">
              <a:rPr lang="en-US" sz="1000" b="0" i="0" u="none" strike="noStrike">
                <a:solidFill>
                  <a:schemeClr val="bg1"/>
                </a:solidFill>
                <a:latin typeface="Aptos Narrow"/>
              </a:rPr>
              <a:pPr algn="ctr"/>
              <a:t>20</a:t>
            </a:fld>
            <a:endParaRPr lang="ru-RU" sz="1100">
              <a:solidFill>
                <a:schemeClr val="bg1"/>
              </a:solidFill>
            </a:endParaRPr>
          </a:p>
        </xdr:txBody>
      </xdr:sp>
      <xdr:sp macro="" textlink="">
        <xdr:nvSpPr>
          <xdr:cNvPr id="35" name="TextBox 34">
            <a:extLst>
              <a:ext uri="{FF2B5EF4-FFF2-40B4-BE49-F238E27FC236}">
                <a16:creationId xmlns:a16="http://schemas.microsoft.com/office/drawing/2014/main" id="{032A7338-9E1E-450F-9EC0-534E5899FFE3}"/>
              </a:ext>
            </a:extLst>
          </xdr:cNvPr>
          <xdr:cNvSpPr txBox="1"/>
        </xdr:nvSpPr>
        <xdr:spPr>
          <a:xfrm>
            <a:off x="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3F766938-B2F6-4977-9D88-A4CB534807A7}" type="TxLink">
              <a:rPr lang="en-US" sz="1000" b="0" i="0" u="none" strike="noStrike">
                <a:solidFill>
                  <a:schemeClr val="bg1"/>
                </a:solidFill>
                <a:latin typeface="Aptos Narrow"/>
              </a:rPr>
              <a:pPr algn="ctr"/>
              <a:t>21</a:t>
            </a:fld>
            <a:endParaRPr lang="ru-RU" sz="1100">
              <a:solidFill>
                <a:schemeClr val="bg1"/>
              </a:solidFill>
            </a:endParaRPr>
          </a:p>
        </xdr:txBody>
      </xdr:sp>
      <xdr:sp macro="" textlink="">
        <xdr:nvSpPr>
          <xdr:cNvPr id="36" name="TextBox 35">
            <a:extLst>
              <a:ext uri="{FF2B5EF4-FFF2-40B4-BE49-F238E27FC236}">
                <a16:creationId xmlns:a16="http://schemas.microsoft.com/office/drawing/2014/main" id="{70BAE4F3-3D77-4684-A60A-21F698522D54}"/>
              </a:ext>
            </a:extLst>
          </xdr:cNvPr>
          <xdr:cNvSpPr txBox="1"/>
        </xdr:nvSpPr>
        <xdr:spPr>
          <a:xfrm>
            <a:off x="42672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9A2DAC9-41B3-47DF-839A-546A49F4D46A}" type="TxLink">
              <a:rPr lang="en-US" sz="1000" b="0" i="0" u="none" strike="noStrike">
                <a:solidFill>
                  <a:schemeClr val="bg1"/>
                </a:solidFill>
                <a:latin typeface="Aptos Narrow"/>
              </a:rPr>
              <a:pPr algn="ctr"/>
              <a:t>22</a:t>
            </a:fld>
            <a:endParaRPr lang="ru-RU" sz="1100">
              <a:solidFill>
                <a:schemeClr val="bg1"/>
              </a:solidFill>
            </a:endParaRPr>
          </a:p>
        </xdr:txBody>
      </xdr:sp>
      <xdr:sp macro="" textlink="">
        <xdr:nvSpPr>
          <xdr:cNvPr id="37" name="TextBox 36">
            <a:extLst>
              <a:ext uri="{FF2B5EF4-FFF2-40B4-BE49-F238E27FC236}">
                <a16:creationId xmlns:a16="http://schemas.microsoft.com/office/drawing/2014/main" id="{124CF19A-8F0A-4C41-AD4A-571DC2213BA8}"/>
              </a:ext>
            </a:extLst>
          </xdr:cNvPr>
          <xdr:cNvSpPr txBox="1"/>
        </xdr:nvSpPr>
        <xdr:spPr>
          <a:xfrm>
            <a:off x="85344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0736563-8988-4524-9F81-F83E6D82317A}" type="TxLink">
              <a:rPr lang="en-US" sz="1000" b="0" i="0" u="none" strike="noStrike">
                <a:solidFill>
                  <a:schemeClr val="bg1"/>
                </a:solidFill>
                <a:latin typeface="Aptos Narrow"/>
              </a:rPr>
              <a:pPr algn="ctr"/>
              <a:t>23</a:t>
            </a:fld>
            <a:endParaRPr lang="ru-RU" sz="1100">
              <a:solidFill>
                <a:schemeClr val="bg1"/>
              </a:solidFill>
            </a:endParaRPr>
          </a:p>
        </xdr:txBody>
      </xdr:sp>
      <xdr:sp macro="" textlink="">
        <xdr:nvSpPr>
          <xdr:cNvPr id="38" name="TextBox 37">
            <a:extLst>
              <a:ext uri="{FF2B5EF4-FFF2-40B4-BE49-F238E27FC236}">
                <a16:creationId xmlns:a16="http://schemas.microsoft.com/office/drawing/2014/main" id="{49420164-F8B0-49BD-9486-04C6807978DA}"/>
              </a:ext>
            </a:extLst>
          </xdr:cNvPr>
          <xdr:cNvSpPr txBox="1"/>
        </xdr:nvSpPr>
        <xdr:spPr>
          <a:xfrm>
            <a:off x="128016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7EB6D69-E9B3-4AC4-8AA8-E250B333AA9A}" type="TxLink">
              <a:rPr lang="en-US" sz="1000" b="0" i="0" u="none" strike="noStrike">
                <a:solidFill>
                  <a:schemeClr val="bg1"/>
                </a:solidFill>
                <a:latin typeface="Aptos Narrow"/>
              </a:rPr>
              <a:pPr algn="ctr"/>
              <a:t>24</a:t>
            </a:fld>
            <a:endParaRPr lang="ru-RU" sz="1100">
              <a:solidFill>
                <a:schemeClr val="bg1"/>
              </a:solidFill>
            </a:endParaRPr>
          </a:p>
        </xdr:txBody>
      </xdr:sp>
      <xdr:sp macro="" textlink="">
        <xdr:nvSpPr>
          <xdr:cNvPr id="39" name="TextBox 38">
            <a:extLst>
              <a:ext uri="{FF2B5EF4-FFF2-40B4-BE49-F238E27FC236}">
                <a16:creationId xmlns:a16="http://schemas.microsoft.com/office/drawing/2014/main" id="{50E1514D-039B-4745-9D80-BE8BE3033A58}"/>
              </a:ext>
            </a:extLst>
          </xdr:cNvPr>
          <xdr:cNvSpPr txBox="1"/>
        </xdr:nvSpPr>
        <xdr:spPr>
          <a:xfrm>
            <a:off x="170688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2F7742F-2A28-404D-BA1E-560A5B7EE32D}" type="TxLink">
              <a:rPr lang="en-US" sz="1000" b="0" i="0" u="none" strike="noStrike">
                <a:solidFill>
                  <a:schemeClr val="bg1"/>
                </a:solidFill>
                <a:latin typeface="Aptos Narrow"/>
              </a:rPr>
              <a:pPr algn="ctr"/>
              <a:t>25</a:t>
            </a:fld>
            <a:endParaRPr lang="ru-RU" sz="1100">
              <a:solidFill>
                <a:schemeClr val="bg1"/>
              </a:solidFill>
            </a:endParaRPr>
          </a:p>
        </xdr:txBody>
      </xdr:sp>
      <xdr:sp macro="" textlink="">
        <xdr:nvSpPr>
          <xdr:cNvPr id="40" name="TextBox 39">
            <a:extLst>
              <a:ext uri="{FF2B5EF4-FFF2-40B4-BE49-F238E27FC236}">
                <a16:creationId xmlns:a16="http://schemas.microsoft.com/office/drawing/2014/main" id="{27B8CD7B-B22D-438A-AE74-CC6BC1A410B5}"/>
              </a:ext>
            </a:extLst>
          </xdr:cNvPr>
          <xdr:cNvSpPr txBox="1"/>
        </xdr:nvSpPr>
        <xdr:spPr>
          <a:xfrm>
            <a:off x="213360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76A5FC2E-2B19-4898-8EB5-916279A0A073}" type="TxLink">
              <a:rPr lang="en-US" sz="1000" b="0" i="0" u="none" strike="noStrike">
                <a:solidFill>
                  <a:schemeClr val="bg1"/>
                </a:solidFill>
                <a:latin typeface="Aptos Narrow"/>
              </a:rPr>
              <a:pPr algn="ctr"/>
              <a:t>26</a:t>
            </a:fld>
            <a:endParaRPr lang="ru-RU" sz="1100">
              <a:solidFill>
                <a:schemeClr val="bg1"/>
              </a:solidFill>
            </a:endParaRPr>
          </a:p>
        </xdr:txBody>
      </xdr:sp>
      <xdr:sp macro="" textlink="">
        <xdr:nvSpPr>
          <xdr:cNvPr id="41" name="TextBox 40">
            <a:extLst>
              <a:ext uri="{FF2B5EF4-FFF2-40B4-BE49-F238E27FC236}">
                <a16:creationId xmlns:a16="http://schemas.microsoft.com/office/drawing/2014/main" id="{4D3BAFCA-EA69-414D-9F6F-FADF64095643}"/>
              </a:ext>
            </a:extLst>
          </xdr:cNvPr>
          <xdr:cNvSpPr txBox="1"/>
        </xdr:nvSpPr>
        <xdr:spPr>
          <a:xfrm>
            <a:off x="2560320" y="84582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66F2379B-C7BE-469D-B48B-234C1BE40466}" type="TxLink">
              <a:rPr lang="en-US" sz="1000" b="0" i="0" u="none" strike="noStrike">
                <a:solidFill>
                  <a:schemeClr val="bg1"/>
                </a:solidFill>
                <a:latin typeface="Aptos Narrow"/>
              </a:rPr>
              <a:pPr algn="ctr"/>
              <a:t>27</a:t>
            </a:fld>
            <a:endParaRPr lang="ru-RU" sz="1100">
              <a:solidFill>
                <a:schemeClr val="bg1"/>
              </a:solidFill>
            </a:endParaRPr>
          </a:p>
        </xdr:txBody>
      </xdr:sp>
      <xdr:sp macro="" textlink="">
        <xdr:nvSpPr>
          <xdr:cNvPr id="42" name="TextBox 41">
            <a:extLst>
              <a:ext uri="{FF2B5EF4-FFF2-40B4-BE49-F238E27FC236}">
                <a16:creationId xmlns:a16="http://schemas.microsoft.com/office/drawing/2014/main" id="{8395917A-5EA2-4D8E-AC3D-15CCC5BFA2BA}"/>
              </a:ext>
            </a:extLst>
          </xdr:cNvPr>
          <xdr:cNvSpPr txBox="1"/>
        </xdr:nvSpPr>
        <xdr:spPr>
          <a:xfrm>
            <a:off x="0" y="11277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8D2E73A6-D68D-4399-AADA-47812B3D4AEB}" type="TxLink">
              <a:rPr lang="en-US" sz="1000" b="0" i="0" u="none" strike="noStrike">
                <a:solidFill>
                  <a:schemeClr val="bg1"/>
                </a:solidFill>
                <a:latin typeface="Aptos Narrow"/>
              </a:rPr>
              <a:pPr algn="ctr"/>
              <a:t>28</a:t>
            </a:fld>
            <a:endParaRPr lang="ru-RU" sz="1100">
              <a:solidFill>
                <a:schemeClr val="bg1"/>
              </a:solidFill>
            </a:endParaRPr>
          </a:p>
        </xdr:txBody>
      </xdr:sp>
      <xdr:sp macro="" textlink="">
        <xdr:nvSpPr>
          <xdr:cNvPr id="43" name="TextBox 42">
            <a:extLst>
              <a:ext uri="{FF2B5EF4-FFF2-40B4-BE49-F238E27FC236}">
                <a16:creationId xmlns:a16="http://schemas.microsoft.com/office/drawing/2014/main" id="{1AF32700-6993-4F18-817E-B2307AE2ADF0}"/>
              </a:ext>
            </a:extLst>
          </xdr:cNvPr>
          <xdr:cNvSpPr txBox="1"/>
        </xdr:nvSpPr>
        <xdr:spPr>
          <a:xfrm>
            <a:off x="426720" y="11277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16E3E74C-0B9A-48AA-B25F-B643C392F462}" type="TxLink">
              <a:rPr lang="en-US" sz="1000" b="0" i="0" u="none" strike="noStrike">
                <a:solidFill>
                  <a:schemeClr val="bg1"/>
                </a:solidFill>
                <a:latin typeface="Aptos Narrow"/>
              </a:rPr>
              <a:pPr algn="ctr"/>
              <a:t>29</a:t>
            </a:fld>
            <a:endParaRPr lang="ru-RU" sz="1100">
              <a:solidFill>
                <a:schemeClr val="bg1"/>
              </a:solidFill>
            </a:endParaRPr>
          </a:p>
        </xdr:txBody>
      </xdr:sp>
      <xdr:sp macro="" textlink="">
        <xdr:nvSpPr>
          <xdr:cNvPr id="44" name="TextBox 43">
            <a:extLst>
              <a:ext uri="{FF2B5EF4-FFF2-40B4-BE49-F238E27FC236}">
                <a16:creationId xmlns:a16="http://schemas.microsoft.com/office/drawing/2014/main" id="{9BA910B0-2C13-47FC-AAB8-C68D435D720D}"/>
              </a:ext>
            </a:extLst>
          </xdr:cNvPr>
          <xdr:cNvSpPr txBox="1"/>
        </xdr:nvSpPr>
        <xdr:spPr>
          <a:xfrm>
            <a:off x="853440" y="1127760"/>
            <a:ext cx="408614" cy="259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B91B7F7-C6B0-4CDA-836D-462361D5689B}" type="TxLink">
              <a:rPr lang="en-US" sz="1000" b="0" i="0" u="none" strike="noStrike">
                <a:solidFill>
                  <a:schemeClr val="bg1"/>
                </a:solidFill>
                <a:latin typeface="Aptos Narrow"/>
              </a:rPr>
              <a:pPr algn="ctr"/>
              <a:t>30</a:t>
            </a:fld>
            <a:endParaRPr lang="ru-RU" sz="1100">
              <a:solidFill>
                <a:schemeClr val="bg1"/>
              </a:solidFill>
            </a:endParaRPr>
          </a:p>
        </xdr:txBody>
      </xdr:sp>
    </xdr:grpSp>
    <xdr:clientData/>
  </xdr:twoCellAnchor>
  <xdr:twoCellAnchor>
    <xdr:from>
      <xdr:col>11</xdr:col>
      <xdr:colOff>16091</xdr:colOff>
      <xdr:row>4</xdr:row>
      <xdr:rowOff>47682</xdr:rowOff>
    </xdr:from>
    <xdr:to>
      <xdr:col>14</xdr:col>
      <xdr:colOff>198971</xdr:colOff>
      <xdr:row>15</xdr:row>
      <xdr:rowOff>36121</xdr:rowOff>
    </xdr:to>
    <xdr:graphicFrame macro="">
      <xdr:nvGraphicFramePr>
        <xdr:cNvPr id="46" name="Chart 45">
          <a:extLst>
            <a:ext uri="{FF2B5EF4-FFF2-40B4-BE49-F238E27FC236}">
              <a16:creationId xmlns:a16="http://schemas.microsoft.com/office/drawing/2014/main" id="{2C6FE105-C059-9963-403B-F15B86ED05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3138</xdr:colOff>
      <xdr:row>8</xdr:row>
      <xdr:rowOff>8965</xdr:rowOff>
    </xdr:from>
    <xdr:to>
      <xdr:col>13</xdr:col>
      <xdr:colOff>236220</xdr:colOff>
      <xdr:row>11</xdr:row>
      <xdr:rowOff>35859</xdr:rowOff>
    </xdr:to>
    <xdr:sp macro="" textlink="'Prototype 2'!$S$48">
      <xdr:nvSpPr>
        <xdr:cNvPr id="47" name="TextBox 46">
          <a:extLst>
            <a:ext uri="{FF2B5EF4-FFF2-40B4-BE49-F238E27FC236}">
              <a16:creationId xmlns:a16="http://schemas.microsoft.com/office/drawing/2014/main" id="{5105914B-74D5-DF28-26D8-CEC4F1BB363D}"/>
            </a:ext>
          </a:extLst>
        </xdr:cNvPr>
        <xdr:cNvSpPr txBox="1"/>
      </xdr:nvSpPr>
      <xdr:spPr>
        <a:xfrm>
          <a:off x="8179398" y="1472005"/>
          <a:ext cx="842682"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D4BEF9-4F2D-4842-A6C1-32A6DA01090E}" type="TxLink">
            <a:rPr lang="en-US" sz="2800" b="0" i="0" u="none" strike="noStrike">
              <a:solidFill>
                <a:schemeClr val="bg1"/>
              </a:solidFill>
              <a:latin typeface="Aptos Narrow"/>
            </a:rPr>
            <a:pPr algn="ctr"/>
            <a:t>75%</a:t>
          </a:fld>
          <a:endParaRPr lang="ru-RU" sz="2800">
            <a:solidFill>
              <a:schemeClr val="bg1"/>
            </a:solidFill>
          </a:endParaRPr>
        </a:p>
      </xdr:txBody>
    </xdr:sp>
    <xdr:clientData/>
  </xdr:twoCellAnchor>
  <xdr:twoCellAnchor>
    <xdr:from>
      <xdr:col>12</xdr:col>
      <xdr:colOff>12103</xdr:colOff>
      <xdr:row>9</xdr:row>
      <xdr:rowOff>98613</xdr:rowOff>
    </xdr:from>
    <xdr:to>
      <xdr:col>13</xdr:col>
      <xdr:colOff>245185</xdr:colOff>
      <xdr:row>12</xdr:row>
      <xdr:rowOff>125507</xdr:rowOff>
    </xdr:to>
    <xdr:sp macro="" textlink="'Prototype 2'!$S$47">
      <xdr:nvSpPr>
        <xdr:cNvPr id="48" name="TextBox 47">
          <a:extLst>
            <a:ext uri="{FF2B5EF4-FFF2-40B4-BE49-F238E27FC236}">
              <a16:creationId xmlns:a16="http://schemas.microsoft.com/office/drawing/2014/main" id="{F1F95BF1-0610-939D-3E67-2BA92249B3B2}"/>
            </a:ext>
          </a:extLst>
        </xdr:cNvPr>
        <xdr:cNvSpPr txBox="1"/>
      </xdr:nvSpPr>
      <xdr:spPr>
        <a:xfrm>
          <a:off x="8188363" y="1744533"/>
          <a:ext cx="842682"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BA6EA13-251A-4330-B0D0-280D05A74FE6}" type="TxLink">
            <a:rPr lang="en-US" sz="1400" b="0" i="0" u="none" strike="noStrike">
              <a:solidFill>
                <a:schemeClr val="tx2">
                  <a:lumMod val="25000"/>
                  <a:lumOff val="75000"/>
                </a:schemeClr>
              </a:solidFill>
              <a:latin typeface="Aptos Narrow"/>
            </a:rPr>
            <a:pPr algn="ctr"/>
            <a:t>Budget</a:t>
          </a:fld>
          <a:endParaRPr lang="ru-RU" sz="3600">
            <a:solidFill>
              <a:schemeClr val="tx2">
                <a:lumMod val="25000"/>
                <a:lumOff val="75000"/>
              </a:schemeClr>
            </a:solidFill>
          </a:endParaRPr>
        </a:p>
      </xdr:txBody>
    </xdr:sp>
    <xdr:clientData/>
  </xdr:twoCellAnchor>
  <xdr:twoCellAnchor>
    <xdr:from>
      <xdr:col>3</xdr:col>
      <xdr:colOff>571500</xdr:colOff>
      <xdr:row>13</xdr:row>
      <xdr:rowOff>106680</xdr:rowOff>
    </xdr:from>
    <xdr:to>
      <xdr:col>9</xdr:col>
      <xdr:colOff>601980</xdr:colOff>
      <xdr:row>23</xdr:row>
      <xdr:rowOff>106680</xdr:rowOff>
    </xdr:to>
    <xdr:sp macro="" textlink="">
      <xdr:nvSpPr>
        <xdr:cNvPr id="50" name="Rectangle: Rounded Corners 49">
          <a:extLst>
            <a:ext uri="{FF2B5EF4-FFF2-40B4-BE49-F238E27FC236}">
              <a16:creationId xmlns:a16="http://schemas.microsoft.com/office/drawing/2014/main" id="{0E3FAFC3-1EF6-66C8-9A85-80D06A564B21}"/>
            </a:ext>
          </a:extLst>
        </xdr:cNvPr>
        <xdr:cNvSpPr/>
      </xdr:nvSpPr>
      <xdr:spPr>
        <a:xfrm>
          <a:off x="2834640" y="2484120"/>
          <a:ext cx="4114800" cy="1828800"/>
        </a:xfrm>
        <a:prstGeom prst="roundRect">
          <a:avLst>
            <a:gd name="adj" fmla="val 5788"/>
          </a:avLst>
        </a:prstGeom>
        <a:solidFill>
          <a:srgbClr val="0F2659"/>
        </a:solidFill>
        <a:effectLst>
          <a:innerShdw blurRad="127000">
            <a:prstClr val="black"/>
          </a:inn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3</xdr:col>
      <xdr:colOff>464820</xdr:colOff>
      <xdr:row>12</xdr:row>
      <xdr:rowOff>0</xdr:rowOff>
    </xdr:from>
    <xdr:to>
      <xdr:col>10</xdr:col>
      <xdr:colOff>114300</xdr:colOff>
      <xdr:row>24</xdr:row>
      <xdr:rowOff>45720</xdr:rowOff>
    </xdr:to>
    <xdr:graphicFrame macro="">
      <xdr:nvGraphicFramePr>
        <xdr:cNvPr id="52" name="Chart 51">
          <a:extLst>
            <a:ext uri="{FF2B5EF4-FFF2-40B4-BE49-F238E27FC236}">
              <a16:creationId xmlns:a16="http://schemas.microsoft.com/office/drawing/2014/main" id="{104408BA-5811-43E4-9485-9D1F875D4E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83820</xdr:colOff>
      <xdr:row>13</xdr:row>
      <xdr:rowOff>8517</xdr:rowOff>
    </xdr:from>
    <xdr:to>
      <xdr:col>10</xdr:col>
      <xdr:colOff>99060</xdr:colOff>
      <xdr:row>24</xdr:row>
      <xdr:rowOff>54237</xdr:rowOff>
    </xdr:to>
    <xdr:graphicFrame macro="">
      <xdr:nvGraphicFramePr>
        <xdr:cNvPr id="49" name="Chart 48">
          <a:extLst>
            <a:ext uri="{FF2B5EF4-FFF2-40B4-BE49-F238E27FC236}">
              <a16:creationId xmlns:a16="http://schemas.microsoft.com/office/drawing/2014/main" id="{17F96ED4-4A0F-978F-E878-B5E7B8D804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525780</xdr:colOff>
      <xdr:row>26</xdr:row>
      <xdr:rowOff>118110</xdr:rowOff>
    </xdr:from>
    <xdr:to>
      <xdr:col>10</xdr:col>
      <xdr:colOff>342900</xdr:colOff>
      <xdr:row>35</xdr:row>
      <xdr:rowOff>118110</xdr:rowOff>
    </xdr:to>
    <xdr:graphicFrame macro="">
      <xdr:nvGraphicFramePr>
        <xdr:cNvPr id="54" name="Chart 53">
          <a:extLst>
            <a:ext uri="{FF2B5EF4-FFF2-40B4-BE49-F238E27FC236}">
              <a16:creationId xmlns:a16="http://schemas.microsoft.com/office/drawing/2014/main" id="{8F73EA52-00A1-C0F5-DADF-2ADA0273F3E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476923</xdr:colOff>
      <xdr:row>11</xdr:row>
      <xdr:rowOff>45273</xdr:rowOff>
    </xdr:from>
    <xdr:to>
      <xdr:col>4</xdr:col>
      <xdr:colOff>100405</xdr:colOff>
      <xdr:row>14</xdr:row>
      <xdr:rowOff>72167</xdr:rowOff>
    </xdr:to>
    <xdr:sp macro="" textlink="$B$73">
      <xdr:nvSpPr>
        <xdr:cNvPr id="55" name="TextBox 54">
          <a:extLst>
            <a:ext uri="{FF2B5EF4-FFF2-40B4-BE49-F238E27FC236}">
              <a16:creationId xmlns:a16="http://schemas.microsoft.com/office/drawing/2014/main" id="{7B825F4F-1EE6-5998-66DB-8BA95BF99DBF}"/>
            </a:ext>
          </a:extLst>
        </xdr:cNvPr>
        <xdr:cNvSpPr txBox="1"/>
      </xdr:nvSpPr>
      <xdr:spPr>
        <a:xfrm>
          <a:off x="2130463" y="2056953"/>
          <a:ext cx="842682"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1356190-F174-435A-9CF6-823192BEFC0B}" type="TxLink">
            <a:rPr lang="en-US" sz="1200" b="0" i="0" u="none" strike="noStrike">
              <a:solidFill>
                <a:schemeClr val="bg1"/>
              </a:solidFill>
              <a:latin typeface="Aptos Narrow"/>
            </a:rPr>
            <a:pPr algn="ctr"/>
            <a:t>FinPlan</a:t>
          </a:fld>
          <a:endParaRPr lang="ru-RU" sz="4000">
            <a:solidFill>
              <a:schemeClr val="bg1"/>
            </a:solidFill>
          </a:endParaRPr>
        </a:p>
      </xdr:txBody>
    </xdr:sp>
    <xdr:clientData/>
  </xdr:twoCellAnchor>
  <xdr:twoCellAnchor>
    <xdr:from>
      <xdr:col>5</xdr:col>
      <xdr:colOff>519150</xdr:colOff>
      <xdr:row>25</xdr:row>
      <xdr:rowOff>123880</xdr:rowOff>
    </xdr:from>
    <xdr:to>
      <xdr:col>7</xdr:col>
      <xdr:colOff>728739</xdr:colOff>
      <xdr:row>27</xdr:row>
      <xdr:rowOff>115481</xdr:rowOff>
    </xdr:to>
    <xdr:sp macro="" textlink="$S$54">
      <xdr:nvSpPr>
        <xdr:cNvPr id="56" name="TextBox 55">
          <a:extLst>
            <a:ext uri="{FF2B5EF4-FFF2-40B4-BE49-F238E27FC236}">
              <a16:creationId xmlns:a16="http://schemas.microsoft.com/office/drawing/2014/main" id="{9DCA65C7-022E-AD7B-0A20-C0A52682AD77}"/>
            </a:ext>
          </a:extLst>
        </xdr:cNvPr>
        <xdr:cNvSpPr txBox="1"/>
      </xdr:nvSpPr>
      <xdr:spPr>
        <a:xfrm>
          <a:off x="4001490" y="4695880"/>
          <a:ext cx="1642149" cy="35736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A78D413-2B87-4EF0-993D-6270CFBBBAA0}" type="TxLink">
            <a:rPr lang="en-US" sz="1200" b="0" i="0" u="none" strike="noStrike">
              <a:solidFill>
                <a:schemeClr val="tx2">
                  <a:lumMod val="25000"/>
                  <a:lumOff val="75000"/>
                </a:schemeClr>
              </a:solidFill>
              <a:latin typeface="Aptos Narrow"/>
              <a:ea typeface="+mn-ea"/>
              <a:cs typeface="+mn-cs"/>
            </a:rPr>
            <a:pPr marL="0" indent="0" algn="ctr"/>
            <a:t>Income &amp; Expenses</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editAs="oneCell">
    <xdr:from>
      <xdr:col>3</xdr:col>
      <xdr:colOff>297180</xdr:colOff>
      <xdr:row>34</xdr:row>
      <xdr:rowOff>15240</xdr:rowOff>
    </xdr:from>
    <xdr:to>
      <xdr:col>10</xdr:col>
      <xdr:colOff>266700</xdr:colOff>
      <xdr:row>36</xdr:row>
      <xdr:rowOff>51816</xdr:rowOff>
    </xdr:to>
    <mc:AlternateContent xmlns:mc="http://schemas.openxmlformats.org/markup-compatibility/2006" xmlns:a14="http://schemas.microsoft.com/office/drawing/2010/main">
      <mc:Choice Requires="a14">
        <xdr:graphicFrame macro="">
          <xdr:nvGraphicFramePr>
            <xdr:cNvPr id="57" name="Month 4">
              <a:extLst>
                <a:ext uri="{FF2B5EF4-FFF2-40B4-BE49-F238E27FC236}">
                  <a16:creationId xmlns:a16="http://schemas.microsoft.com/office/drawing/2014/main" id="{AE82DE9C-3F27-4736-A033-1CF21D86D338}"/>
                </a:ext>
              </a:extLst>
            </xdr:cNvPr>
            <xdr:cNvGraphicFramePr/>
          </xdr:nvGraphicFramePr>
          <xdr:xfrm>
            <a:off x="0" y="0"/>
            <a:ext cx="0" cy="0"/>
          </xdr:xfrm>
          <a:graphic>
            <a:graphicData uri="http://schemas.microsoft.com/office/drawing/2010/slicer">
              <sle:slicer xmlns:sle="http://schemas.microsoft.com/office/drawing/2010/slicer" name="Month 4"/>
            </a:graphicData>
          </a:graphic>
        </xdr:graphicFrame>
      </mc:Choice>
      <mc:Fallback xmlns="">
        <xdr:sp macro="" textlink="">
          <xdr:nvSpPr>
            <xdr:cNvPr id="0" name=""/>
            <xdr:cNvSpPr>
              <a:spLocks noTextEdit="1"/>
            </xdr:cNvSpPr>
          </xdr:nvSpPr>
          <xdr:spPr>
            <a:xfrm>
              <a:off x="2560320" y="6233160"/>
              <a:ext cx="4663440" cy="402336"/>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248513</xdr:colOff>
      <xdr:row>18</xdr:row>
      <xdr:rowOff>46583</xdr:rowOff>
    </xdr:from>
    <xdr:to>
      <xdr:col>18</xdr:col>
      <xdr:colOff>157073</xdr:colOff>
      <xdr:row>27</xdr:row>
      <xdr:rowOff>138023</xdr:rowOff>
    </xdr:to>
    <xdr:graphicFrame macro="">
      <xdr:nvGraphicFramePr>
        <xdr:cNvPr id="60" name="Chart 59">
          <a:extLst>
            <a:ext uri="{FF2B5EF4-FFF2-40B4-BE49-F238E27FC236}">
              <a16:creationId xmlns:a16="http://schemas.microsoft.com/office/drawing/2014/main" id="{CA2B3548-BB67-0F8C-2FB7-1C42430EB78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15</xdr:col>
      <xdr:colOff>114664</xdr:colOff>
      <xdr:row>17</xdr:row>
      <xdr:rowOff>116307</xdr:rowOff>
    </xdr:from>
    <xdr:to>
      <xdr:col>18</xdr:col>
      <xdr:colOff>297544</xdr:colOff>
      <xdr:row>28</xdr:row>
      <xdr:rowOff>116307</xdr:rowOff>
    </xdr:to>
    <xdr:graphicFrame macro="">
      <xdr:nvGraphicFramePr>
        <xdr:cNvPr id="59" name="Chart 58">
          <a:extLst>
            <a:ext uri="{FF2B5EF4-FFF2-40B4-BE49-F238E27FC236}">
              <a16:creationId xmlns:a16="http://schemas.microsoft.com/office/drawing/2014/main" id="{6CF66477-26B6-5002-BB02-06B58AED2CD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15</xdr:col>
      <xdr:colOff>192796</xdr:colOff>
      <xdr:row>26</xdr:row>
      <xdr:rowOff>129540</xdr:rowOff>
    </xdr:from>
    <xdr:to>
      <xdr:col>18</xdr:col>
      <xdr:colOff>192796</xdr:colOff>
      <xdr:row>34</xdr:row>
      <xdr:rowOff>129540</xdr:rowOff>
    </xdr:to>
    <xdr:graphicFrame macro="">
      <xdr:nvGraphicFramePr>
        <xdr:cNvPr id="61" name="Chart 60">
          <a:extLst>
            <a:ext uri="{FF2B5EF4-FFF2-40B4-BE49-F238E27FC236}">
              <a16:creationId xmlns:a16="http://schemas.microsoft.com/office/drawing/2014/main" id="{E33E1CD3-9EAD-B1C4-B963-FE5DA4302FB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15</xdr:col>
      <xdr:colOff>261376</xdr:colOff>
      <xdr:row>34</xdr:row>
      <xdr:rowOff>6096</xdr:rowOff>
    </xdr:from>
    <xdr:to>
      <xdr:col>18</xdr:col>
      <xdr:colOff>124216</xdr:colOff>
      <xdr:row>36</xdr:row>
      <xdr:rowOff>51816</xdr:rowOff>
    </xdr:to>
    <mc:AlternateContent xmlns:mc="http://schemas.openxmlformats.org/markup-compatibility/2006" xmlns:a14="http://schemas.microsoft.com/office/drawing/2010/main">
      <mc:Choice Requires="a14">
        <xdr:graphicFrame macro="">
          <xdr:nvGraphicFramePr>
            <xdr:cNvPr id="62" name="Buttons">
              <a:extLst>
                <a:ext uri="{FF2B5EF4-FFF2-40B4-BE49-F238E27FC236}">
                  <a16:creationId xmlns:a16="http://schemas.microsoft.com/office/drawing/2014/main" id="{9C39F190-FBE6-DABC-A8A6-2357D099FC83}"/>
                </a:ext>
              </a:extLst>
            </xdr:cNvPr>
            <xdr:cNvGraphicFramePr/>
          </xdr:nvGraphicFramePr>
          <xdr:xfrm>
            <a:off x="0" y="0"/>
            <a:ext cx="0" cy="0"/>
          </xdr:xfrm>
          <a:graphic>
            <a:graphicData uri="http://schemas.microsoft.com/office/drawing/2010/slicer">
              <sle:slicer xmlns:sle="http://schemas.microsoft.com/office/drawing/2010/slicer" name="Buttons"/>
            </a:graphicData>
          </a:graphic>
        </xdr:graphicFrame>
      </mc:Choice>
      <mc:Fallback xmlns="">
        <xdr:sp macro="" textlink="">
          <xdr:nvSpPr>
            <xdr:cNvPr id="0" name=""/>
            <xdr:cNvSpPr>
              <a:spLocks noTextEdit="1"/>
            </xdr:cNvSpPr>
          </xdr:nvSpPr>
          <xdr:spPr>
            <a:xfrm>
              <a:off x="10266436" y="6224016"/>
              <a:ext cx="169164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11</xdr:col>
      <xdr:colOff>53340</xdr:colOff>
      <xdr:row>18</xdr:row>
      <xdr:rowOff>91440</xdr:rowOff>
    </xdr:from>
    <xdr:to>
      <xdr:col>14</xdr:col>
      <xdr:colOff>335280</xdr:colOff>
      <xdr:row>27</xdr:row>
      <xdr:rowOff>0</xdr:rowOff>
    </xdr:to>
    <xdr:graphicFrame macro="">
      <xdr:nvGraphicFramePr>
        <xdr:cNvPr id="65" name="Chart 64">
          <a:extLst>
            <a:ext uri="{FF2B5EF4-FFF2-40B4-BE49-F238E27FC236}">
              <a16:creationId xmlns:a16="http://schemas.microsoft.com/office/drawing/2014/main" id="{67E2097B-E411-BDB7-177F-00433707715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10</xdr:col>
      <xdr:colOff>525780</xdr:colOff>
      <xdr:row>27</xdr:row>
      <xdr:rowOff>152400</xdr:rowOff>
    </xdr:from>
    <xdr:to>
      <xdr:col>14</xdr:col>
      <xdr:colOff>373380</xdr:colOff>
      <xdr:row>35</xdr:row>
      <xdr:rowOff>60960</xdr:rowOff>
    </xdr:to>
    <xdr:graphicFrame macro="">
      <xdr:nvGraphicFramePr>
        <xdr:cNvPr id="71" name="Chart 70">
          <a:extLst>
            <a:ext uri="{FF2B5EF4-FFF2-40B4-BE49-F238E27FC236}">
              <a16:creationId xmlns:a16="http://schemas.microsoft.com/office/drawing/2014/main" id="{983EA0F7-78A8-95B7-8A6F-3DAE2EEC1D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38100</xdr:colOff>
      <xdr:row>34</xdr:row>
      <xdr:rowOff>6096</xdr:rowOff>
    </xdr:from>
    <xdr:to>
      <xdr:col>14</xdr:col>
      <xdr:colOff>312420</xdr:colOff>
      <xdr:row>36</xdr:row>
      <xdr:rowOff>51816</xdr:rowOff>
    </xdr:to>
    <mc:AlternateContent xmlns:mc="http://schemas.openxmlformats.org/markup-compatibility/2006" xmlns:a14="http://schemas.microsoft.com/office/drawing/2010/main">
      <mc:Choice Requires="a14">
        <xdr:graphicFrame macro="">
          <xdr:nvGraphicFramePr>
            <xdr:cNvPr id="66" name="Year 4">
              <a:extLst>
                <a:ext uri="{FF2B5EF4-FFF2-40B4-BE49-F238E27FC236}">
                  <a16:creationId xmlns:a16="http://schemas.microsoft.com/office/drawing/2014/main" id="{892F77F4-19E9-07F7-E62B-511A541B0C12}"/>
                </a:ext>
              </a:extLst>
            </xdr:cNvPr>
            <xdr:cNvGraphicFramePr/>
          </xdr:nvGraphicFramePr>
          <xdr:xfrm>
            <a:off x="0" y="0"/>
            <a:ext cx="0" cy="0"/>
          </xdr:xfrm>
          <a:graphic>
            <a:graphicData uri="http://schemas.microsoft.com/office/drawing/2010/slicer">
              <sle:slicer xmlns:sle="http://schemas.microsoft.com/office/drawing/2010/slicer" name="Year 4"/>
            </a:graphicData>
          </a:graphic>
        </xdr:graphicFrame>
      </mc:Choice>
      <mc:Fallback xmlns="">
        <xdr:sp macro="" textlink="">
          <xdr:nvSpPr>
            <xdr:cNvPr id="0" name=""/>
            <xdr:cNvSpPr>
              <a:spLocks noTextEdit="1"/>
            </xdr:cNvSpPr>
          </xdr:nvSpPr>
          <xdr:spPr>
            <a:xfrm>
              <a:off x="7604760" y="6224016"/>
              <a:ext cx="210312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579120</xdr:colOff>
      <xdr:row>26</xdr:row>
      <xdr:rowOff>45720</xdr:rowOff>
    </xdr:from>
    <xdr:to>
      <xdr:col>14</xdr:col>
      <xdr:colOff>335280</xdr:colOff>
      <xdr:row>34</xdr:row>
      <xdr:rowOff>137160</xdr:rowOff>
    </xdr:to>
    <xdr:graphicFrame macro="">
      <xdr:nvGraphicFramePr>
        <xdr:cNvPr id="70" name="Chart 69" hidden="1">
          <a:extLst>
            <a:ext uri="{FF2B5EF4-FFF2-40B4-BE49-F238E27FC236}">
              <a16:creationId xmlns:a16="http://schemas.microsoft.com/office/drawing/2014/main" id="{089CDD6D-E680-4B4D-2215-C2B67430EA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15</xdr:col>
      <xdr:colOff>82377</xdr:colOff>
      <xdr:row>16</xdr:row>
      <xdr:rowOff>146015</xdr:rowOff>
    </xdr:from>
    <xdr:to>
      <xdr:col>16</xdr:col>
      <xdr:colOff>315459</xdr:colOff>
      <xdr:row>20</xdr:row>
      <xdr:rowOff>20319</xdr:rowOff>
    </xdr:to>
    <xdr:sp macro="" textlink="$H$46">
      <xdr:nvSpPr>
        <xdr:cNvPr id="3" name="TextBox 2">
          <a:extLst>
            <a:ext uri="{FF2B5EF4-FFF2-40B4-BE49-F238E27FC236}">
              <a16:creationId xmlns:a16="http://schemas.microsoft.com/office/drawing/2014/main" id="{081333A4-509C-D540-3FD2-662330F0B8A9}"/>
            </a:ext>
          </a:extLst>
        </xdr:cNvPr>
        <xdr:cNvSpPr txBox="1"/>
      </xdr:nvSpPr>
      <xdr:spPr>
        <a:xfrm>
          <a:off x="10089977" y="3126282"/>
          <a:ext cx="842682" cy="6193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8A25CC2-455B-4EBC-843B-5F035D63331D}" type="TxLink">
            <a:rPr lang="en-US" sz="1200" b="0" i="0" u="none" strike="noStrike">
              <a:solidFill>
                <a:schemeClr val="tx2">
                  <a:lumMod val="25000"/>
                  <a:lumOff val="75000"/>
                </a:schemeClr>
              </a:solidFill>
              <a:latin typeface="Aptos Narrow"/>
              <a:ea typeface="+mn-ea"/>
              <a:cs typeface="+mn-cs"/>
            </a:rPr>
            <a:pPr marL="0" indent="0" algn="l"/>
            <a:t>Essential Costs</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3</xdr:col>
      <xdr:colOff>495635</xdr:colOff>
      <xdr:row>6</xdr:row>
      <xdr:rowOff>159573</xdr:rowOff>
    </xdr:from>
    <xdr:to>
      <xdr:col>5</xdr:col>
      <xdr:colOff>510206</xdr:colOff>
      <xdr:row>10</xdr:row>
      <xdr:rowOff>3587</xdr:rowOff>
    </xdr:to>
    <xdr:sp macro="" textlink="$W$69">
      <xdr:nvSpPr>
        <xdr:cNvPr id="51" name="TextBox 50">
          <a:extLst>
            <a:ext uri="{FF2B5EF4-FFF2-40B4-BE49-F238E27FC236}">
              <a16:creationId xmlns:a16="http://schemas.microsoft.com/office/drawing/2014/main" id="{BB34935A-9197-B8A7-113C-5EB3FEEDF510}"/>
            </a:ext>
          </a:extLst>
        </xdr:cNvPr>
        <xdr:cNvSpPr txBox="1"/>
      </xdr:nvSpPr>
      <xdr:spPr>
        <a:xfrm>
          <a:off x="2758775" y="1256853"/>
          <a:ext cx="1233771"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869DB37-CFDD-4822-8494-D34A57D399FD}" type="TxLink">
            <a:rPr lang="en-US" sz="1800" b="0" i="0" u="none" strike="noStrike">
              <a:solidFill>
                <a:schemeClr val="tx2">
                  <a:lumMod val="25000"/>
                  <a:lumOff val="75000"/>
                </a:schemeClr>
              </a:solidFill>
              <a:latin typeface="Aptos Narrow"/>
            </a:rPr>
            <a:pPr algn="ctr"/>
            <a:t>Income</a:t>
          </a:fld>
          <a:endParaRPr lang="ru-RU" sz="5400">
            <a:solidFill>
              <a:schemeClr val="tx2">
                <a:lumMod val="25000"/>
                <a:lumOff val="75000"/>
              </a:schemeClr>
            </a:solidFill>
          </a:endParaRPr>
        </a:p>
      </xdr:txBody>
    </xdr:sp>
    <xdr:clientData/>
  </xdr:twoCellAnchor>
  <xdr:twoCellAnchor>
    <xdr:from>
      <xdr:col>7</xdr:col>
      <xdr:colOff>526115</xdr:colOff>
      <xdr:row>6</xdr:row>
      <xdr:rowOff>159573</xdr:rowOff>
    </xdr:from>
    <xdr:to>
      <xdr:col>9</xdr:col>
      <xdr:colOff>327326</xdr:colOff>
      <xdr:row>10</xdr:row>
      <xdr:rowOff>3587</xdr:rowOff>
    </xdr:to>
    <xdr:sp macro="" textlink="$X$69">
      <xdr:nvSpPr>
        <xdr:cNvPr id="63" name="TextBox 62">
          <a:extLst>
            <a:ext uri="{FF2B5EF4-FFF2-40B4-BE49-F238E27FC236}">
              <a16:creationId xmlns:a16="http://schemas.microsoft.com/office/drawing/2014/main" id="{245E901D-7F3A-9EAD-9226-8EB39C8A9ECB}"/>
            </a:ext>
          </a:extLst>
        </xdr:cNvPr>
        <xdr:cNvSpPr txBox="1"/>
      </xdr:nvSpPr>
      <xdr:spPr>
        <a:xfrm>
          <a:off x="5441015" y="1256853"/>
          <a:ext cx="1233771" cy="5755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E1EC819-B8FE-4821-95FF-508ECDC0DFD7}" type="TxLink">
            <a:rPr lang="en-US" sz="1800" b="0" i="0" u="none" strike="noStrike">
              <a:solidFill>
                <a:schemeClr val="tx2">
                  <a:lumMod val="25000"/>
                  <a:lumOff val="75000"/>
                </a:schemeClr>
              </a:solidFill>
              <a:latin typeface="Aptos Narrow"/>
              <a:ea typeface="+mn-ea"/>
              <a:cs typeface="+mn-cs"/>
            </a:rPr>
            <a:pPr marL="0" indent="0" algn="ctr"/>
            <a:t>Expenses</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7</xdr:col>
      <xdr:colOff>175260</xdr:colOff>
      <xdr:row>7</xdr:row>
      <xdr:rowOff>76396</xdr:rowOff>
    </xdr:from>
    <xdr:to>
      <xdr:col>7</xdr:col>
      <xdr:colOff>541020</xdr:colOff>
      <xdr:row>9</xdr:row>
      <xdr:rowOff>96847</xdr:rowOff>
    </xdr:to>
    <xdr:grpSp>
      <xdr:nvGrpSpPr>
        <xdr:cNvPr id="77" name="Group 76">
          <a:extLst>
            <a:ext uri="{FF2B5EF4-FFF2-40B4-BE49-F238E27FC236}">
              <a16:creationId xmlns:a16="http://schemas.microsoft.com/office/drawing/2014/main" id="{0D7277FB-19BD-3FF6-2648-CD629D7AB93F}"/>
            </a:ext>
          </a:extLst>
        </xdr:cNvPr>
        <xdr:cNvGrpSpPr/>
      </xdr:nvGrpSpPr>
      <xdr:grpSpPr>
        <a:xfrm>
          <a:off x="5043593" y="1409896"/>
          <a:ext cx="365760" cy="401451"/>
          <a:chOff x="18036540" y="13411200"/>
          <a:chExt cx="914400" cy="965528"/>
        </a:xfrm>
      </xdr:grpSpPr>
      <xdr:pic>
        <xdr:nvPicPr>
          <xdr:cNvPr id="75" name="Graphic 74" descr="Wallet outline">
            <a:extLst>
              <a:ext uri="{FF2B5EF4-FFF2-40B4-BE49-F238E27FC236}">
                <a16:creationId xmlns:a16="http://schemas.microsoft.com/office/drawing/2014/main" id="{4C3888FA-66E7-690A-04E4-12500B95B8B2}"/>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8036540" y="13411200"/>
            <a:ext cx="914400" cy="914400"/>
          </a:xfrm>
          <a:prstGeom prst="rect">
            <a:avLst/>
          </a:prstGeom>
        </xdr:spPr>
      </xdr:pic>
      <xdr:sp macro="" textlink="">
        <xdr:nvSpPr>
          <xdr:cNvPr id="76" name="Arrow: Down 75">
            <a:extLst>
              <a:ext uri="{FF2B5EF4-FFF2-40B4-BE49-F238E27FC236}">
                <a16:creationId xmlns:a16="http://schemas.microsoft.com/office/drawing/2014/main" id="{0C1629BC-5980-C418-B869-75226D95CE88}"/>
              </a:ext>
            </a:extLst>
          </xdr:cNvPr>
          <xdr:cNvSpPr/>
        </xdr:nvSpPr>
        <xdr:spPr>
          <a:xfrm>
            <a:off x="18242280" y="13822680"/>
            <a:ext cx="350520" cy="554048"/>
          </a:xfrm>
          <a:prstGeom prst="downArrow">
            <a:avLst/>
          </a:prstGeom>
          <a:solidFill>
            <a:srgbClr val="B9C1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3</xdr:col>
      <xdr:colOff>220980</xdr:colOff>
      <xdr:row>7</xdr:row>
      <xdr:rowOff>99060</xdr:rowOff>
    </xdr:from>
    <xdr:to>
      <xdr:col>3</xdr:col>
      <xdr:colOff>586740</xdr:colOff>
      <xdr:row>9</xdr:row>
      <xdr:rowOff>99060</xdr:rowOff>
    </xdr:to>
    <xdr:pic>
      <xdr:nvPicPr>
        <xdr:cNvPr id="67" name="Graphic 66" descr="Treasure chest outline">
          <a:extLst>
            <a:ext uri="{FF2B5EF4-FFF2-40B4-BE49-F238E27FC236}">
              <a16:creationId xmlns:a16="http://schemas.microsoft.com/office/drawing/2014/main" id="{4E6C3DC6-E194-1BAA-CBFD-2F1AAECE83B1}"/>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2484120" y="1379220"/>
          <a:ext cx="365760" cy="365760"/>
        </a:xfrm>
        <a:prstGeom prst="rect">
          <a:avLst/>
        </a:prstGeom>
      </xdr:spPr>
    </xdr:pic>
    <xdr:clientData/>
  </xdr:twoCellAnchor>
  <xdr:twoCellAnchor editAs="oneCell">
    <xdr:from>
      <xdr:col>1</xdr:col>
      <xdr:colOff>0</xdr:colOff>
      <xdr:row>1</xdr:row>
      <xdr:rowOff>0</xdr:rowOff>
    </xdr:from>
    <xdr:to>
      <xdr:col>1</xdr:col>
      <xdr:colOff>274320</xdr:colOff>
      <xdr:row>2</xdr:row>
      <xdr:rowOff>91440</xdr:rowOff>
    </xdr:to>
    <xdr:pic>
      <xdr:nvPicPr>
        <xdr:cNvPr id="53" name="Graphic 52" descr="Home with solid fill">
          <a:hlinkClick xmlns:r="http://schemas.openxmlformats.org/officeDocument/2006/relationships" r:id="rId16"/>
          <a:extLst>
            <a:ext uri="{FF2B5EF4-FFF2-40B4-BE49-F238E27FC236}">
              <a16:creationId xmlns:a16="http://schemas.microsoft.com/office/drawing/2014/main" id="{007F15D3-59E5-4041-81EE-B0B7A35A1374}"/>
            </a:ext>
          </a:extLst>
        </xdr:cNvPr>
        <xdr:cNvPicPr>
          <a:picLocks noChangeAspect="1"/>
        </xdr:cNvPicPr>
      </xdr:nvPicPr>
      <xdr:blipFill>
        <a:blip xmlns:r="http://schemas.openxmlformats.org/officeDocument/2006/relationships" r:embed="rId17">
          <a:extLst>
            <a:ext uri="{96DAC541-7B7A-43D3-8B79-37D633B846F1}">
              <asvg:svgBlip xmlns:asvg="http://schemas.microsoft.com/office/drawing/2016/SVG/main" r:embed="rId18"/>
            </a:ext>
          </a:extLst>
        </a:blip>
        <a:stretch>
          <a:fillRect/>
        </a:stretch>
      </xdr:blipFill>
      <xdr:spPr>
        <a:xfrm>
          <a:off x="853440" y="182880"/>
          <a:ext cx="274320" cy="274320"/>
        </a:xfrm>
        <a:prstGeom prst="rect">
          <a:avLst/>
        </a:prstGeom>
        <a:effectLst/>
      </xdr:spPr>
    </xdr:pic>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30480</xdr:colOff>
      <xdr:row>1</xdr:row>
      <xdr:rowOff>152400</xdr:rowOff>
    </xdr:to>
    <xdr:sp macro="" textlink="">
      <xdr:nvSpPr>
        <xdr:cNvPr id="135" name="Rectangle 134">
          <a:extLst>
            <a:ext uri="{FF2B5EF4-FFF2-40B4-BE49-F238E27FC236}">
              <a16:creationId xmlns:a16="http://schemas.microsoft.com/office/drawing/2014/main" id="{C14EA41D-6B04-4874-B631-9A66C37AB76B}"/>
            </a:ext>
          </a:extLst>
        </xdr:cNvPr>
        <xdr:cNvSpPr/>
      </xdr:nvSpPr>
      <xdr:spPr>
        <a:xfrm>
          <a:off x="0" y="0"/>
          <a:ext cx="640080" cy="335280"/>
        </a:xfrm>
        <a:prstGeom prst="rect">
          <a:avLst/>
        </a:prstGeom>
        <a:solidFill>
          <a:srgbClr val="12143D"/>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0</xdr:col>
      <xdr:colOff>392238</xdr:colOff>
      <xdr:row>0</xdr:row>
      <xdr:rowOff>167640</xdr:rowOff>
    </xdr:from>
    <xdr:to>
      <xdr:col>23</xdr:col>
      <xdr:colOff>87438</xdr:colOff>
      <xdr:row>40</xdr:row>
      <xdr:rowOff>167640</xdr:rowOff>
    </xdr:to>
    <xdr:sp macro="" textlink="">
      <xdr:nvSpPr>
        <xdr:cNvPr id="3" name="Rectangle: Rounded Corners 2">
          <a:extLst>
            <a:ext uri="{FF2B5EF4-FFF2-40B4-BE49-F238E27FC236}">
              <a16:creationId xmlns:a16="http://schemas.microsoft.com/office/drawing/2014/main" id="{62939101-5062-49C1-0D66-35D94E758732}"/>
            </a:ext>
          </a:extLst>
        </xdr:cNvPr>
        <xdr:cNvSpPr/>
      </xdr:nvSpPr>
      <xdr:spPr>
        <a:xfrm>
          <a:off x="392238" y="167640"/>
          <a:ext cx="13716000" cy="7315200"/>
        </a:xfrm>
        <a:prstGeom prst="roundRect">
          <a:avLst>
            <a:gd name="adj" fmla="val 6581"/>
          </a:avLst>
        </a:prstGeom>
        <a:gradFill flip="none" rotWithShape="1">
          <a:gsLst>
            <a:gs pos="0">
              <a:srgbClr val="1F2357"/>
            </a:gs>
            <a:gs pos="75000">
              <a:srgbClr val="10123B"/>
            </a:gs>
          </a:gsLst>
          <a:lin ang="8100000" scaled="1"/>
          <a:tileRect/>
        </a:gradFill>
        <a:ln w="9525">
          <a:gradFill flip="none" rotWithShape="1">
            <a:gsLst>
              <a:gs pos="0">
                <a:srgbClr val="4647A6"/>
              </a:gs>
              <a:gs pos="100000">
                <a:srgbClr val="333787"/>
              </a:gs>
            </a:gsLst>
            <a:lin ang="8100000" scaled="1"/>
            <a:tileRect/>
          </a:gradFill>
        </a:ln>
        <a:effectLst>
          <a:outerShdw blurRad="444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r>
            <a:rPr lang="ru-RU"/>
            <a:t> </a:t>
          </a:r>
        </a:p>
      </xdr:txBody>
    </xdr:sp>
    <xdr:clientData/>
  </xdr:twoCellAnchor>
  <xdr:twoCellAnchor>
    <xdr:from>
      <xdr:col>1</xdr:col>
      <xdr:colOff>130384</xdr:colOff>
      <xdr:row>2</xdr:row>
      <xdr:rowOff>100665</xdr:rowOff>
    </xdr:from>
    <xdr:to>
      <xdr:col>22</xdr:col>
      <xdr:colOff>404704</xdr:colOff>
      <xdr:row>39</xdr:row>
      <xdr:rowOff>9225</xdr:rowOff>
    </xdr:to>
    <xdr:sp macro="" textlink="">
      <xdr:nvSpPr>
        <xdr:cNvPr id="5" name="Rectangle: Rounded Corners 4">
          <a:extLst>
            <a:ext uri="{FF2B5EF4-FFF2-40B4-BE49-F238E27FC236}">
              <a16:creationId xmlns:a16="http://schemas.microsoft.com/office/drawing/2014/main" id="{8E2EF3F7-45F8-35AD-B45F-7C0FEE87C5F5}"/>
            </a:ext>
          </a:extLst>
        </xdr:cNvPr>
        <xdr:cNvSpPr/>
      </xdr:nvSpPr>
      <xdr:spPr>
        <a:xfrm>
          <a:off x="739984" y="466425"/>
          <a:ext cx="13075920" cy="6675120"/>
        </a:xfrm>
        <a:prstGeom prst="roundRect">
          <a:avLst>
            <a:gd name="adj" fmla="val 5042"/>
          </a:avLst>
        </a:prstGeom>
        <a:gradFill flip="none" rotWithShape="1">
          <a:gsLst>
            <a:gs pos="0">
              <a:srgbClr val="20245A"/>
            </a:gs>
            <a:gs pos="75000">
              <a:srgbClr val="10123B"/>
            </a:gs>
          </a:gsLst>
          <a:lin ang="8100000" scaled="1"/>
          <a:tileRect/>
        </a:gradFill>
        <a:ln w="9525">
          <a:gradFill flip="none" rotWithShape="1">
            <a:gsLst>
              <a:gs pos="0">
                <a:srgbClr val="B9C1FF"/>
              </a:gs>
              <a:gs pos="33000">
                <a:srgbClr val="3D4098"/>
              </a:gs>
              <a:gs pos="100000">
                <a:srgbClr val="333787"/>
              </a:gs>
            </a:gsLst>
            <a:lin ang="9000000" scaled="0"/>
            <a:tileRect/>
          </a:gradFill>
        </a:ln>
        <a:effectLst>
          <a:outerShdw blurRad="254000" dist="1016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99060</xdr:colOff>
      <xdr:row>4</xdr:row>
      <xdr:rowOff>23019</xdr:rowOff>
    </xdr:from>
    <xdr:to>
      <xdr:col>22</xdr:col>
      <xdr:colOff>114910</xdr:colOff>
      <xdr:row>6</xdr:row>
      <xdr:rowOff>91402</xdr:rowOff>
    </xdr:to>
    <xdr:sp macro="" textlink="">
      <xdr:nvSpPr>
        <xdr:cNvPr id="7" name="Rectangle: Rounded Corners 6">
          <a:extLst>
            <a:ext uri="{FF2B5EF4-FFF2-40B4-BE49-F238E27FC236}">
              <a16:creationId xmlns:a16="http://schemas.microsoft.com/office/drawing/2014/main" id="{E24C78E7-5241-EBA4-5D46-194DB09E0202}"/>
            </a:ext>
          </a:extLst>
        </xdr:cNvPr>
        <xdr:cNvSpPr/>
      </xdr:nvSpPr>
      <xdr:spPr>
        <a:xfrm>
          <a:off x="2537460" y="754539"/>
          <a:ext cx="11026750" cy="434143"/>
        </a:xfrm>
        <a:prstGeom prst="roundRect">
          <a:avLst>
            <a:gd name="adj" fmla="val 42714"/>
          </a:avLst>
        </a:prstGeom>
        <a:gradFill>
          <a:gsLst>
            <a:gs pos="97000">
              <a:srgbClr val="2C3076"/>
            </a:gs>
            <a:gs pos="5000">
              <a:srgbClr val="2C3076"/>
            </a:gs>
            <a:gs pos="0">
              <a:srgbClr val="323687"/>
            </a:gs>
            <a:gs pos="100000">
              <a:srgbClr val="22255C"/>
            </a:gs>
          </a:gsLst>
          <a:lin ang="108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114263</xdr:colOff>
      <xdr:row>7</xdr:row>
      <xdr:rowOff>140948</xdr:rowOff>
    </xdr:from>
    <xdr:to>
      <xdr:col>13</xdr:col>
      <xdr:colOff>205703</xdr:colOff>
      <xdr:row>21</xdr:row>
      <xdr:rowOff>178167</xdr:rowOff>
    </xdr:to>
    <xdr:sp macro="" textlink="">
      <xdr:nvSpPr>
        <xdr:cNvPr id="8" name="Rectangle: Rounded Corners 7">
          <a:extLst>
            <a:ext uri="{FF2B5EF4-FFF2-40B4-BE49-F238E27FC236}">
              <a16:creationId xmlns:a16="http://schemas.microsoft.com/office/drawing/2014/main" id="{1198AAC8-43B6-2A89-5EE7-E4BF19C0842F}"/>
            </a:ext>
          </a:extLst>
        </xdr:cNvPr>
        <xdr:cNvSpPr/>
      </xdr:nvSpPr>
      <xdr:spPr>
        <a:xfrm>
          <a:off x="2552663" y="1421108"/>
          <a:ext cx="5935980" cy="2597539"/>
        </a:xfrm>
        <a:prstGeom prst="roundRect">
          <a:avLst>
            <a:gd name="adj" fmla="val 7935"/>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13</xdr:col>
      <xdr:colOff>430816</xdr:colOff>
      <xdr:row>7</xdr:row>
      <xdr:rowOff>140948</xdr:rowOff>
    </xdr:from>
    <xdr:to>
      <xdr:col>17</xdr:col>
      <xdr:colOff>369856</xdr:colOff>
      <xdr:row>21</xdr:row>
      <xdr:rowOff>178167</xdr:rowOff>
    </xdr:to>
    <xdr:sp macro="" textlink="">
      <xdr:nvSpPr>
        <xdr:cNvPr id="9" name="Rectangle: Rounded Corners 8">
          <a:extLst>
            <a:ext uri="{FF2B5EF4-FFF2-40B4-BE49-F238E27FC236}">
              <a16:creationId xmlns:a16="http://schemas.microsoft.com/office/drawing/2014/main" id="{71C3F710-F2C9-7504-885A-E9148B4447E2}"/>
            </a:ext>
          </a:extLst>
        </xdr:cNvPr>
        <xdr:cNvSpPr/>
      </xdr:nvSpPr>
      <xdr:spPr>
        <a:xfrm>
          <a:off x="8393716" y="1421108"/>
          <a:ext cx="2377440" cy="2597539"/>
        </a:xfrm>
        <a:prstGeom prst="roundRect">
          <a:avLst>
            <a:gd name="adj" fmla="val 8584"/>
          </a:avLst>
        </a:prstGeom>
        <a:gradFill>
          <a:gsLst>
            <a:gs pos="0">
              <a:srgbClr val="323687"/>
            </a:gs>
            <a:gs pos="75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602590</xdr:colOff>
      <xdr:row>7</xdr:row>
      <xdr:rowOff>140948</xdr:rowOff>
    </xdr:from>
    <xdr:to>
      <xdr:col>22</xdr:col>
      <xdr:colOff>114910</xdr:colOff>
      <xdr:row>20</xdr:row>
      <xdr:rowOff>53732</xdr:rowOff>
    </xdr:to>
    <xdr:sp macro="" textlink="">
      <xdr:nvSpPr>
        <xdr:cNvPr id="10" name="Rectangle: Rounded Corners 9">
          <a:extLst>
            <a:ext uri="{FF2B5EF4-FFF2-40B4-BE49-F238E27FC236}">
              <a16:creationId xmlns:a16="http://schemas.microsoft.com/office/drawing/2014/main" id="{23DB412C-A8BB-6B2B-8A56-4024CE5D64AF}"/>
            </a:ext>
          </a:extLst>
        </xdr:cNvPr>
        <xdr:cNvSpPr/>
      </xdr:nvSpPr>
      <xdr:spPr>
        <a:xfrm>
          <a:off x="10965790" y="1421108"/>
          <a:ext cx="2560320" cy="2290224"/>
        </a:xfrm>
        <a:prstGeom prst="roundRect">
          <a:avLst>
            <a:gd name="adj" fmla="val 7394"/>
          </a:avLst>
        </a:prstGeom>
        <a:gradFill>
          <a:gsLst>
            <a:gs pos="0">
              <a:srgbClr val="323687"/>
            </a:gs>
            <a:gs pos="88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4</xdr:col>
      <xdr:colOff>114263</xdr:colOff>
      <xdr:row>23</xdr:row>
      <xdr:rowOff>76951</xdr:rowOff>
    </xdr:from>
    <xdr:to>
      <xdr:col>8</xdr:col>
      <xdr:colOff>53303</xdr:colOff>
      <xdr:row>37</xdr:row>
      <xdr:rowOff>76951</xdr:rowOff>
    </xdr:to>
    <xdr:sp macro="" textlink="">
      <xdr:nvSpPr>
        <xdr:cNvPr id="11" name="Rectangle: Rounded Corners 10">
          <a:extLst>
            <a:ext uri="{FF2B5EF4-FFF2-40B4-BE49-F238E27FC236}">
              <a16:creationId xmlns:a16="http://schemas.microsoft.com/office/drawing/2014/main" id="{1CFECFEB-B0D8-249D-01F7-A0EA1B6AF70D}"/>
            </a:ext>
          </a:extLst>
        </xdr:cNvPr>
        <xdr:cNvSpPr/>
      </xdr:nvSpPr>
      <xdr:spPr>
        <a:xfrm>
          <a:off x="2552663" y="4283191"/>
          <a:ext cx="2415540" cy="2560320"/>
        </a:xfrm>
        <a:prstGeom prst="roundRect">
          <a:avLst>
            <a:gd name="adj" fmla="val 7935"/>
          </a:avLst>
        </a:prstGeom>
        <a:gradFill>
          <a:gsLst>
            <a:gs pos="0">
              <a:srgbClr val="2E317C"/>
            </a:gs>
            <a:gs pos="25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12</xdr:col>
      <xdr:colOff>491776</xdr:colOff>
      <xdr:row>23</xdr:row>
      <xdr:rowOff>76951</xdr:rowOff>
    </xdr:from>
    <xdr:to>
      <xdr:col>17</xdr:col>
      <xdr:colOff>369856</xdr:colOff>
      <xdr:row>37</xdr:row>
      <xdr:rowOff>76951</xdr:rowOff>
    </xdr:to>
    <xdr:sp macro="" textlink="">
      <xdr:nvSpPr>
        <xdr:cNvPr id="12" name="Rectangle: Rounded Corners 11">
          <a:extLst>
            <a:ext uri="{FF2B5EF4-FFF2-40B4-BE49-F238E27FC236}">
              <a16:creationId xmlns:a16="http://schemas.microsoft.com/office/drawing/2014/main" id="{9031F876-B91F-E25A-F4A5-1D1D46BCDEB8}"/>
            </a:ext>
          </a:extLst>
        </xdr:cNvPr>
        <xdr:cNvSpPr/>
      </xdr:nvSpPr>
      <xdr:spPr>
        <a:xfrm>
          <a:off x="7845076" y="4283191"/>
          <a:ext cx="2956560" cy="2560320"/>
        </a:xfrm>
        <a:prstGeom prst="roundRect">
          <a:avLst>
            <a:gd name="adj" fmla="val 6885"/>
          </a:avLst>
        </a:prstGeom>
        <a:gradFill>
          <a:gsLst>
            <a:gs pos="0">
              <a:srgbClr val="2E317C"/>
            </a:gs>
            <a:gs pos="50000">
              <a:srgbClr val="10123A"/>
            </a:gs>
          </a:gsLst>
          <a:lin ang="60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17</xdr:col>
      <xdr:colOff>602590</xdr:colOff>
      <xdr:row>21</xdr:row>
      <xdr:rowOff>122671</xdr:rowOff>
    </xdr:from>
    <xdr:to>
      <xdr:col>22</xdr:col>
      <xdr:colOff>114910</xdr:colOff>
      <xdr:row>37</xdr:row>
      <xdr:rowOff>76951</xdr:rowOff>
    </xdr:to>
    <xdr:sp macro="" textlink="">
      <xdr:nvSpPr>
        <xdr:cNvPr id="13" name="Rectangle: Rounded Corners 12">
          <a:extLst>
            <a:ext uri="{FF2B5EF4-FFF2-40B4-BE49-F238E27FC236}">
              <a16:creationId xmlns:a16="http://schemas.microsoft.com/office/drawing/2014/main" id="{078703AE-7DE5-2EFB-9A71-DE02EE0B364F}"/>
            </a:ext>
          </a:extLst>
        </xdr:cNvPr>
        <xdr:cNvSpPr/>
      </xdr:nvSpPr>
      <xdr:spPr>
        <a:xfrm>
          <a:off x="10965790" y="3963151"/>
          <a:ext cx="2560320" cy="2880360"/>
        </a:xfrm>
        <a:prstGeom prst="roundRect">
          <a:avLst>
            <a:gd name="adj" fmla="val 7394"/>
          </a:avLst>
        </a:prstGeom>
        <a:gradFill>
          <a:gsLst>
            <a:gs pos="0">
              <a:srgbClr val="2E317C"/>
            </a:gs>
            <a:gs pos="75000">
              <a:srgbClr val="10123A"/>
            </a:gs>
          </a:gsLst>
          <a:lin ang="63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1</xdr:col>
      <xdr:colOff>428669</xdr:colOff>
      <xdr:row>7</xdr:row>
      <xdr:rowOff>140948</xdr:rowOff>
    </xdr:from>
    <xdr:to>
      <xdr:col>3</xdr:col>
      <xdr:colOff>491130</xdr:colOff>
      <xdr:row>37</xdr:row>
      <xdr:rowOff>95228</xdr:rowOff>
    </xdr:to>
    <xdr:sp macro="" textlink="">
      <xdr:nvSpPr>
        <xdr:cNvPr id="14" name="Rectangle: Rounded Corners 13">
          <a:extLst>
            <a:ext uri="{FF2B5EF4-FFF2-40B4-BE49-F238E27FC236}">
              <a16:creationId xmlns:a16="http://schemas.microsoft.com/office/drawing/2014/main" id="{C6E2F6A1-3894-A25E-CE27-6FD70E8DAC09}"/>
            </a:ext>
          </a:extLst>
        </xdr:cNvPr>
        <xdr:cNvSpPr/>
      </xdr:nvSpPr>
      <xdr:spPr>
        <a:xfrm>
          <a:off x="1038269" y="1421108"/>
          <a:ext cx="1281661" cy="5440680"/>
        </a:xfrm>
        <a:prstGeom prst="roundRect">
          <a:avLst>
            <a:gd name="adj" fmla="val 18817"/>
          </a:avLst>
        </a:prstGeom>
        <a:gradFill>
          <a:gsLst>
            <a:gs pos="0">
              <a:srgbClr val="2E317C"/>
            </a:gs>
            <a:gs pos="23000">
              <a:srgbClr val="10123A"/>
            </a:gs>
          </a:gsLst>
          <a:lin ang="66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261110</xdr:colOff>
      <xdr:row>23</xdr:row>
      <xdr:rowOff>76951</xdr:rowOff>
    </xdr:from>
    <xdr:to>
      <xdr:col>12</xdr:col>
      <xdr:colOff>291590</xdr:colOff>
      <xdr:row>29</xdr:row>
      <xdr:rowOff>168391</xdr:rowOff>
    </xdr:to>
    <xdr:sp macro="" textlink="">
      <xdr:nvSpPr>
        <xdr:cNvPr id="22" name="Rectangle: Rounded Corners 21">
          <a:extLst>
            <a:ext uri="{FF2B5EF4-FFF2-40B4-BE49-F238E27FC236}">
              <a16:creationId xmlns:a16="http://schemas.microsoft.com/office/drawing/2014/main" id="{C930FD20-5421-BB94-54C3-24445B258CDC}"/>
            </a:ext>
          </a:extLst>
        </xdr:cNvPr>
        <xdr:cNvSpPr/>
      </xdr:nvSpPr>
      <xdr:spPr>
        <a:xfrm>
          <a:off x="5137910" y="4283191"/>
          <a:ext cx="2468880" cy="1188720"/>
        </a:xfrm>
        <a:prstGeom prst="roundRect">
          <a:avLst>
            <a:gd name="adj" fmla="val 15574"/>
          </a:avLst>
        </a:prstGeom>
        <a:gradFill>
          <a:gsLst>
            <a:gs pos="0">
              <a:srgbClr val="2E317C"/>
            </a:gs>
            <a:gs pos="67000">
              <a:srgbClr val="10123A"/>
            </a:gs>
          </a:gsLst>
          <a:lin ang="558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xdr:from>
      <xdr:col>8</xdr:col>
      <xdr:colOff>261110</xdr:colOff>
      <xdr:row>31</xdr:row>
      <xdr:rowOff>31231</xdr:rowOff>
    </xdr:from>
    <xdr:to>
      <xdr:col>12</xdr:col>
      <xdr:colOff>291590</xdr:colOff>
      <xdr:row>37</xdr:row>
      <xdr:rowOff>122671</xdr:rowOff>
    </xdr:to>
    <xdr:sp macro="" textlink="">
      <xdr:nvSpPr>
        <xdr:cNvPr id="26" name="Rectangle: Rounded Corners 25">
          <a:extLst>
            <a:ext uri="{FF2B5EF4-FFF2-40B4-BE49-F238E27FC236}">
              <a16:creationId xmlns:a16="http://schemas.microsoft.com/office/drawing/2014/main" id="{47534077-7ACB-070E-43E5-468D23118696}"/>
            </a:ext>
          </a:extLst>
        </xdr:cNvPr>
        <xdr:cNvSpPr/>
      </xdr:nvSpPr>
      <xdr:spPr>
        <a:xfrm>
          <a:off x="5137910" y="5700511"/>
          <a:ext cx="2468880" cy="1188720"/>
        </a:xfrm>
        <a:prstGeom prst="roundRect">
          <a:avLst>
            <a:gd name="adj" fmla="val 15574"/>
          </a:avLst>
        </a:prstGeom>
        <a:gradFill>
          <a:gsLst>
            <a:gs pos="0">
              <a:srgbClr val="202356"/>
            </a:gs>
            <a:gs pos="40000">
              <a:srgbClr val="10123A"/>
            </a:gs>
          </a:gsLst>
          <a:lin ang="5700000" scaled="0"/>
        </a:gradFill>
        <a:ln w="9525">
          <a:gradFill flip="none" rotWithShape="1">
            <a:gsLst>
              <a:gs pos="38000">
                <a:srgbClr val="5D63D1"/>
              </a:gs>
              <a:gs pos="100000">
                <a:srgbClr val="2E327A"/>
              </a:gs>
              <a:gs pos="0">
                <a:schemeClr val="accent1">
                  <a:lumMod val="30000"/>
                  <a:lumOff val="70000"/>
                </a:schemeClr>
              </a:gs>
            </a:gsLst>
            <a:lin ang="8100000" scaled="1"/>
            <a:tileRect/>
          </a:gradFill>
        </a:ln>
        <a:effectLst>
          <a:outerShdw blurRad="1905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marL="0" indent="0" algn="ctr" defTabSz="914400" rtl="0" eaLnBrk="1" latinLnBrk="0" hangingPunct="1"/>
          <a:endParaRPr lang="ru-RU" sz="1800" kern="1200">
            <a:solidFill>
              <a:schemeClr val="lt1"/>
            </a:solidFill>
            <a:latin typeface="+mn-lt"/>
            <a:ea typeface="+mn-ea"/>
            <a:cs typeface="+mn-cs"/>
          </a:endParaRPr>
        </a:p>
      </xdr:txBody>
    </xdr:sp>
    <xdr:clientData/>
  </xdr:twoCellAnchor>
  <xdr:twoCellAnchor editAs="oneCell">
    <xdr:from>
      <xdr:col>2</xdr:col>
      <xdr:colOff>243840</xdr:colOff>
      <xdr:row>9</xdr:row>
      <xdr:rowOff>83820</xdr:rowOff>
    </xdr:from>
    <xdr:to>
      <xdr:col>3</xdr:col>
      <xdr:colOff>60960</xdr:colOff>
      <xdr:row>11</xdr:row>
      <xdr:rowOff>144780</xdr:rowOff>
    </xdr:to>
    <xdr:pic>
      <xdr:nvPicPr>
        <xdr:cNvPr id="28" name="Graphic 27" descr="Home with solid fill">
          <a:hlinkClick xmlns:r="http://schemas.openxmlformats.org/officeDocument/2006/relationships" r:id="rId1"/>
          <a:extLst>
            <a:ext uri="{FF2B5EF4-FFF2-40B4-BE49-F238E27FC236}">
              <a16:creationId xmlns:a16="http://schemas.microsoft.com/office/drawing/2014/main" id="{07D708B7-2E43-D153-E282-E0A93461DC4F}"/>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463040" y="1729740"/>
          <a:ext cx="426720" cy="426720"/>
        </a:xfrm>
        <a:prstGeom prst="rect">
          <a:avLst/>
        </a:prstGeom>
        <a:effectLst>
          <a:glow rad="101600">
            <a:srgbClr val="0575F1">
              <a:alpha val="40000"/>
            </a:srgbClr>
          </a:glow>
        </a:effectLst>
      </xdr:spPr>
    </xdr:pic>
    <xdr:clientData/>
  </xdr:twoCellAnchor>
  <xdr:twoCellAnchor>
    <xdr:from>
      <xdr:col>1</xdr:col>
      <xdr:colOff>507067</xdr:colOff>
      <xdr:row>11</xdr:row>
      <xdr:rowOff>99517</xdr:rowOff>
    </xdr:from>
    <xdr:to>
      <xdr:col>3</xdr:col>
      <xdr:colOff>412731</xdr:colOff>
      <xdr:row>12</xdr:row>
      <xdr:rowOff>174803</xdr:rowOff>
    </xdr:to>
    <xdr:sp macro="" textlink="$A$52">
      <xdr:nvSpPr>
        <xdr:cNvPr id="29" name="TextBox 28">
          <a:extLst>
            <a:ext uri="{FF2B5EF4-FFF2-40B4-BE49-F238E27FC236}">
              <a16:creationId xmlns:a16="http://schemas.microsoft.com/office/drawing/2014/main" id="{9984B8B9-EA27-1D41-B572-CEBE5E1F8DEF}"/>
            </a:ext>
          </a:extLst>
        </xdr:cNvPr>
        <xdr:cNvSpPr txBox="1"/>
      </xdr:nvSpPr>
      <xdr:spPr>
        <a:xfrm>
          <a:off x="1116667" y="2111197"/>
          <a:ext cx="112486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4B13316-2DEE-4F28-8FEE-2AE57751FE29}" type="TxLink">
            <a:rPr lang="en-US" sz="1400" b="0" i="0" u="none" strike="noStrike">
              <a:solidFill>
                <a:schemeClr val="bg1"/>
              </a:solidFill>
              <a:latin typeface="Aptos Narrow"/>
            </a:rPr>
            <a:pPr algn="ctr"/>
            <a:t>Dashboard</a:t>
          </a:fld>
          <a:endParaRPr lang="ru-RU" sz="1400">
            <a:solidFill>
              <a:schemeClr val="bg1"/>
            </a:solidFill>
          </a:endParaRPr>
        </a:p>
      </xdr:txBody>
    </xdr:sp>
    <xdr:clientData/>
  </xdr:twoCellAnchor>
  <xdr:twoCellAnchor>
    <xdr:from>
      <xdr:col>2</xdr:col>
      <xdr:colOff>304800</xdr:colOff>
      <xdr:row>17</xdr:row>
      <xdr:rowOff>177501</xdr:rowOff>
    </xdr:from>
    <xdr:to>
      <xdr:col>2</xdr:col>
      <xdr:colOff>579120</xdr:colOff>
      <xdr:row>19</xdr:row>
      <xdr:rowOff>86061</xdr:rowOff>
    </xdr:to>
    <xdr:sp macro="" textlink="">
      <xdr:nvSpPr>
        <xdr:cNvPr id="30" name="Freeform: Shape 29">
          <a:extLst>
            <a:ext uri="{FF2B5EF4-FFF2-40B4-BE49-F238E27FC236}">
              <a16:creationId xmlns:a16="http://schemas.microsoft.com/office/drawing/2014/main" id="{FC5D2093-8DDA-402A-B96F-E98EB7DB7794}"/>
            </a:ext>
          </a:extLst>
        </xdr:cNvPr>
        <xdr:cNvSpPr/>
      </xdr:nvSpPr>
      <xdr:spPr>
        <a:xfrm>
          <a:off x="1524000" y="3286461"/>
          <a:ext cx="274320" cy="274320"/>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558197</xdr:colOff>
      <xdr:row>19</xdr:row>
      <xdr:rowOff>46177</xdr:rowOff>
    </xdr:from>
    <xdr:to>
      <xdr:col>3</xdr:col>
      <xdr:colOff>361601</xdr:colOff>
      <xdr:row>20</xdr:row>
      <xdr:rowOff>121463</xdr:rowOff>
    </xdr:to>
    <xdr:sp macro="" textlink="$A$54">
      <xdr:nvSpPr>
        <xdr:cNvPr id="31" name="TextBox 30">
          <a:extLst>
            <a:ext uri="{FF2B5EF4-FFF2-40B4-BE49-F238E27FC236}">
              <a16:creationId xmlns:a16="http://schemas.microsoft.com/office/drawing/2014/main" id="{265E506C-D469-709F-C9D8-5B7BB77567AF}"/>
            </a:ext>
          </a:extLst>
        </xdr:cNvPr>
        <xdr:cNvSpPr txBox="1"/>
      </xdr:nvSpPr>
      <xdr:spPr>
        <a:xfrm>
          <a:off x="1167797" y="352089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132016-B00B-4926-87EE-A0F664231BBC}" type="TxLink">
            <a:rPr lang="en-US" sz="1400" b="0" i="0" u="none" strike="noStrike">
              <a:solidFill>
                <a:srgbClr val="6372A4"/>
              </a:solidFill>
              <a:latin typeface="Aptos Narrow"/>
            </a:rPr>
            <a:pPr algn="ctr"/>
            <a:t>Income</a:t>
          </a:fld>
          <a:endParaRPr lang="ru-RU" sz="1600">
            <a:solidFill>
              <a:srgbClr val="6372A4"/>
            </a:solidFill>
          </a:endParaRPr>
        </a:p>
      </xdr:txBody>
    </xdr:sp>
    <xdr:clientData/>
  </xdr:twoCellAnchor>
  <xdr:twoCellAnchor>
    <xdr:from>
      <xdr:col>2</xdr:col>
      <xdr:colOff>304800</xdr:colOff>
      <xdr:row>13</xdr:row>
      <xdr:rowOff>160020</xdr:rowOff>
    </xdr:from>
    <xdr:to>
      <xdr:col>2</xdr:col>
      <xdr:colOff>579120</xdr:colOff>
      <xdr:row>15</xdr:row>
      <xdr:rowOff>114300</xdr:rowOff>
    </xdr:to>
    <xdr:sp macro="" textlink="">
      <xdr:nvSpPr>
        <xdr:cNvPr id="32" name="Freeform: Shape 31">
          <a:extLst>
            <a:ext uri="{FF2B5EF4-FFF2-40B4-BE49-F238E27FC236}">
              <a16:creationId xmlns:a16="http://schemas.microsoft.com/office/drawing/2014/main" id="{BAF0B6F4-11BE-46C0-A62C-038E8A702DA6}"/>
            </a:ext>
          </a:extLst>
        </xdr:cNvPr>
        <xdr:cNvSpPr/>
      </xdr:nvSpPr>
      <xdr:spPr>
        <a:xfrm>
          <a:off x="1524000" y="2537460"/>
          <a:ext cx="274320" cy="320040"/>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rgbClr val="6372A4"/>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558197</xdr:colOff>
      <xdr:row>15</xdr:row>
      <xdr:rowOff>84277</xdr:rowOff>
    </xdr:from>
    <xdr:to>
      <xdr:col>3</xdr:col>
      <xdr:colOff>361601</xdr:colOff>
      <xdr:row>16</xdr:row>
      <xdr:rowOff>159563</xdr:rowOff>
    </xdr:to>
    <xdr:sp macro="" textlink="$A$53">
      <xdr:nvSpPr>
        <xdr:cNvPr id="33" name="TextBox 32">
          <a:extLst>
            <a:ext uri="{FF2B5EF4-FFF2-40B4-BE49-F238E27FC236}">
              <a16:creationId xmlns:a16="http://schemas.microsoft.com/office/drawing/2014/main" id="{57EC035D-FEDD-FF4E-987B-1513F8BD3095}"/>
            </a:ext>
          </a:extLst>
        </xdr:cNvPr>
        <xdr:cNvSpPr txBox="1"/>
      </xdr:nvSpPr>
      <xdr:spPr>
        <a:xfrm>
          <a:off x="1167797" y="28274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1732DB7-45E1-47AD-8A64-12C1477C1F51}" type="TxLink">
            <a:rPr lang="en-US" sz="1400" b="0" i="0" u="none" strike="noStrike">
              <a:solidFill>
                <a:srgbClr val="6372A4"/>
              </a:solidFill>
              <a:latin typeface="Aptos Narrow"/>
            </a:rPr>
            <a:pPr algn="ctr"/>
            <a:t>Budgeting</a:t>
          </a:fld>
          <a:endParaRPr lang="ru-RU" sz="2000">
            <a:solidFill>
              <a:srgbClr val="6372A4"/>
            </a:solidFill>
          </a:endParaRPr>
        </a:p>
      </xdr:txBody>
    </xdr:sp>
    <xdr:clientData/>
  </xdr:twoCellAnchor>
  <xdr:twoCellAnchor>
    <xdr:from>
      <xdr:col>2</xdr:col>
      <xdr:colOff>304800</xdr:colOff>
      <xdr:row>21</xdr:row>
      <xdr:rowOff>141642</xdr:rowOff>
    </xdr:from>
    <xdr:to>
      <xdr:col>2</xdr:col>
      <xdr:colOff>579120</xdr:colOff>
      <xdr:row>23</xdr:row>
      <xdr:rowOff>50202</xdr:rowOff>
    </xdr:to>
    <xdr:sp macro="" textlink="">
      <xdr:nvSpPr>
        <xdr:cNvPr id="34" name="Freeform: Shape 33">
          <a:extLst>
            <a:ext uri="{FF2B5EF4-FFF2-40B4-BE49-F238E27FC236}">
              <a16:creationId xmlns:a16="http://schemas.microsoft.com/office/drawing/2014/main" id="{1CF29CE7-1ACB-47A0-8198-8B73808C7E6D}"/>
            </a:ext>
          </a:extLst>
        </xdr:cNvPr>
        <xdr:cNvSpPr/>
      </xdr:nvSpPr>
      <xdr:spPr>
        <a:xfrm>
          <a:off x="1524000" y="3982122"/>
          <a:ext cx="274320" cy="274320"/>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rgbClr val="6372A4"/>
        </a:solidFill>
        <a:ln w="6350" cap="flat">
          <a:solidFill>
            <a:schemeClr val="tx1"/>
          </a:solid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xdr:col>
      <xdr:colOff>558197</xdr:colOff>
      <xdr:row>23</xdr:row>
      <xdr:rowOff>23317</xdr:rowOff>
    </xdr:from>
    <xdr:to>
      <xdr:col>3</xdr:col>
      <xdr:colOff>361601</xdr:colOff>
      <xdr:row>24</xdr:row>
      <xdr:rowOff>98603</xdr:rowOff>
    </xdr:to>
    <xdr:sp macro="" textlink="$A$55">
      <xdr:nvSpPr>
        <xdr:cNvPr id="35" name="TextBox 34">
          <a:extLst>
            <a:ext uri="{FF2B5EF4-FFF2-40B4-BE49-F238E27FC236}">
              <a16:creationId xmlns:a16="http://schemas.microsoft.com/office/drawing/2014/main" id="{9B9AF43C-E113-4F4C-C286-30C84815355F}"/>
            </a:ext>
          </a:extLst>
        </xdr:cNvPr>
        <xdr:cNvSpPr txBox="1"/>
      </xdr:nvSpPr>
      <xdr:spPr>
        <a:xfrm>
          <a:off x="1167797" y="422955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7800EC6F-4F9A-4655-982C-0D43CE89D16F}" type="TxLink">
            <a:rPr lang="en-US" sz="1400" b="0" i="0" u="none" strike="noStrike">
              <a:solidFill>
                <a:srgbClr val="6372A4"/>
              </a:solidFill>
              <a:latin typeface="Aptos Narrow"/>
            </a:rPr>
            <a:pPr algn="ctr"/>
            <a:t>Expenses</a:t>
          </a:fld>
          <a:endParaRPr lang="ru-RU" sz="2000">
            <a:solidFill>
              <a:srgbClr val="6372A4"/>
            </a:solidFill>
          </a:endParaRPr>
        </a:p>
      </xdr:txBody>
    </xdr:sp>
    <xdr:clientData/>
  </xdr:twoCellAnchor>
  <xdr:twoCellAnchor>
    <xdr:from>
      <xdr:col>1</xdr:col>
      <xdr:colOff>558197</xdr:colOff>
      <xdr:row>27</xdr:row>
      <xdr:rowOff>457</xdr:rowOff>
    </xdr:from>
    <xdr:to>
      <xdr:col>3</xdr:col>
      <xdr:colOff>361601</xdr:colOff>
      <xdr:row>28</xdr:row>
      <xdr:rowOff>75743</xdr:rowOff>
    </xdr:to>
    <xdr:sp macro="" textlink="$A$56">
      <xdr:nvSpPr>
        <xdr:cNvPr id="36" name="TextBox 35">
          <a:extLst>
            <a:ext uri="{FF2B5EF4-FFF2-40B4-BE49-F238E27FC236}">
              <a16:creationId xmlns:a16="http://schemas.microsoft.com/office/drawing/2014/main" id="{BFB62D5A-7795-C53E-9915-DAA7A4DD8574}"/>
            </a:ext>
          </a:extLst>
        </xdr:cNvPr>
        <xdr:cNvSpPr txBox="1"/>
      </xdr:nvSpPr>
      <xdr:spPr>
        <a:xfrm>
          <a:off x="1167797" y="493821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C8C18B09-F15C-49A8-BDC9-19B94F66EBF7}" type="TxLink">
            <a:rPr lang="en-US" sz="1400" b="0" i="0" u="none" strike="noStrike">
              <a:solidFill>
                <a:srgbClr val="6372A4"/>
              </a:solidFill>
              <a:latin typeface="Aptos Narrow"/>
              <a:ea typeface="+mn-ea"/>
              <a:cs typeface="+mn-cs"/>
            </a:rPr>
            <a:pPr marL="0" indent="0" algn="ctr"/>
            <a:t>Investments</a:t>
          </a:fld>
          <a:endParaRPr lang="ru-RU" sz="1400" b="0" i="0" u="none" strike="noStrike">
            <a:solidFill>
              <a:srgbClr val="6372A4"/>
            </a:solidFill>
            <a:latin typeface="Aptos Narrow"/>
            <a:ea typeface="+mn-ea"/>
            <a:cs typeface="+mn-cs"/>
          </a:endParaRPr>
        </a:p>
      </xdr:txBody>
    </xdr:sp>
    <xdr:clientData/>
  </xdr:twoCellAnchor>
  <xdr:twoCellAnchor>
    <xdr:from>
      <xdr:col>1</xdr:col>
      <xdr:colOff>558197</xdr:colOff>
      <xdr:row>30</xdr:row>
      <xdr:rowOff>160477</xdr:rowOff>
    </xdr:from>
    <xdr:to>
      <xdr:col>3</xdr:col>
      <xdr:colOff>361601</xdr:colOff>
      <xdr:row>32</xdr:row>
      <xdr:rowOff>52883</xdr:rowOff>
    </xdr:to>
    <xdr:sp macro="" textlink="$A$57">
      <xdr:nvSpPr>
        <xdr:cNvPr id="37" name="TextBox 36">
          <a:extLst>
            <a:ext uri="{FF2B5EF4-FFF2-40B4-BE49-F238E27FC236}">
              <a16:creationId xmlns:a16="http://schemas.microsoft.com/office/drawing/2014/main" id="{1D599F2F-332B-AF5C-AE66-0707E49CFC44}"/>
            </a:ext>
          </a:extLst>
        </xdr:cNvPr>
        <xdr:cNvSpPr txBox="1"/>
      </xdr:nvSpPr>
      <xdr:spPr>
        <a:xfrm>
          <a:off x="1167797" y="56468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587A0513-D997-46CB-8032-21308B8C281E}" type="TxLink">
            <a:rPr lang="en-US" sz="1400" b="0" i="0" u="none" strike="noStrike">
              <a:solidFill>
                <a:srgbClr val="6372A4"/>
              </a:solidFill>
              <a:latin typeface="Aptos Narrow"/>
              <a:ea typeface="+mn-ea"/>
              <a:cs typeface="+mn-cs"/>
            </a:rPr>
            <a:pPr marL="0" indent="0" algn="ctr"/>
            <a:t>Debts</a:t>
          </a:fld>
          <a:endParaRPr lang="ru-RU" sz="1400" b="0" i="0" u="none" strike="noStrike">
            <a:solidFill>
              <a:srgbClr val="6372A4"/>
            </a:solidFill>
            <a:latin typeface="Aptos Narrow"/>
            <a:ea typeface="+mn-ea"/>
            <a:cs typeface="+mn-cs"/>
          </a:endParaRPr>
        </a:p>
      </xdr:txBody>
    </xdr:sp>
    <xdr:clientData/>
  </xdr:twoCellAnchor>
  <xdr:twoCellAnchor>
    <xdr:from>
      <xdr:col>1</xdr:col>
      <xdr:colOff>558197</xdr:colOff>
      <xdr:row>34</xdr:row>
      <xdr:rowOff>137617</xdr:rowOff>
    </xdr:from>
    <xdr:to>
      <xdr:col>3</xdr:col>
      <xdr:colOff>361601</xdr:colOff>
      <xdr:row>36</xdr:row>
      <xdr:rowOff>30023</xdr:rowOff>
    </xdr:to>
    <xdr:sp macro="" textlink="$A$58">
      <xdr:nvSpPr>
        <xdr:cNvPr id="38" name="TextBox 37">
          <a:extLst>
            <a:ext uri="{FF2B5EF4-FFF2-40B4-BE49-F238E27FC236}">
              <a16:creationId xmlns:a16="http://schemas.microsoft.com/office/drawing/2014/main" id="{D2D9EAD0-2D40-195B-C73D-C7CA4FC72064}"/>
            </a:ext>
          </a:extLst>
        </xdr:cNvPr>
        <xdr:cNvSpPr txBox="1"/>
      </xdr:nvSpPr>
      <xdr:spPr>
        <a:xfrm>
          <a:off x="1167797" y="635553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AE7C95A-2DEB-4E73-B7F4-C84BF26C0AEF}" type="TxLink">
            <a:rPr lang="en-US" sz="1400" b="0" i="0" u="none" strike="noStrike">
              <a:solidFill>
                <a:srgbClr val="6372A4"/>
              </a:solidFill>
              <a:latin typeface="Aptos Narrow"/>
              <a:ea typeface="+mn-ea"/>
              <a:cs typeface="+mn-cs"/>
            </a:rPr>
            <a:pPr marL="0" indent="0" algn="ctr"/>
            <a:t>Fin Goals</a:t>
          </a:fld>
          <a:endParaRPr lang="ru-RU" sz="1400" b="0" i="0" u="none" strike="noStrike">
            <a:solidFill>
              <a:srgbClr val="6372A4"/>
            </a:solidFill>
            <a:latin typeface="Aptos Narrow"/>
            <a:ea typeface="+mn-ea"/>
            <a:cs typeface="+mn-cs"/>
          </a:endParaRPr>
        </a:p>
      </xdr:txBody>
    </xdr:sp>
    <xdr:clientData/>
  </xdr:twoCellAnchor>
  <xdr:twoCellAnchor>
    <xdr:from>
      <xdr:col>2</xdr:col>
      <xdr:colOff>304800</xdr:colOff>
      <xdr:row>25</xdr:row>
      <xdr:rowOff>98163</xdr:rowOff>
    </xdr:from>
    <xdr:to>
      <xdr:col>2</xdr:col>
      <xdr:colOff>579120</xdr:colOff>
      <xdr:row>27</xdr:row>
      <xdr:rowOff>6723</xdr:rowOff>
    </xdr:to>
    <xdr:sp macro="" textlink="">
      <xdr:nvSpPr>
        <xdr:cNvPr id="39" name="Freeform: Shape 38">
          <a:extLst>
            <a:ext uri="{FF2B5EF4-FFF2-40B4-BE49-F238E27FC236}">
              <a16:creationId xmlns:a16="http://schemas.microsoft.com/office/drawing/2014/main" id="{E12CD088-4DEB-4882-AFF1-6D98732020FA}"/>
            </a:ext>
          </a:extLst>
        </xdr:cNvPr>
        <xdr:cNvSpPr/>
      </xdr:nvSpPr>
      <xdr:spPr>
        <a:xfrm>
          <a:off x="1524000" y="4670163"/>
          <a:ext cx="274320" cy="274320"/>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rgbClr val="6372A4"/>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2</xdr:col>
      <xdr:colOff>313944</xdr:colOff>
      <xdr:row>29</xdr:row>
      <xdr:rowOff>31824</xdr:rowOff>
    </xdr:from>
    <xdr:to>
      <xdr:col>2</xdr:col>
      <xdr:colOff>569976</xdr:colOff>
      <xdr:row>30</xdr:row>
      <xdr:rowOff>168984</xdr:rowOff>
    </xdr:to>
    <xdr:sp macro="" textlink="">
      <xdr:nvSpPr>
        <xdr:cNvPr id="40" name="Freeform: Shape 39">
          <a:extLst>
            <a:ext uri="{FF2B5EF4-FFF2-40B4-BE49-F238E27FC236}">
              <a16:creationId xmlns:a16="http://schemas.microsoft.com/office/drawing/2014/main" id="{B6DE48CD-7CB5-430E-BC3F-F0AF45B413F0}"/>
            </a:ext>
          </a:extLst>
        </xdr:cNvPr>
        <xdr:cNvSpPr/>
      </xdr:nvSpPr>
      <xdr:spPr>
        <a:xfrm>
          <a:off x="1533144" y="5335344"/>
          <a:ext cx="256032" cy="320040"/>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rgbClr val="6372A4"/>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2</xdr:col>
      <xdr:colOff>304800</xdr:colOff>
      <xdr:row>33</xdr:row>
      <xdr:rowOff>41685</xdr:rowOff>
    </xdr:from>
    <xdr:to>
      <xdr:col>2</xdr:col>
      <xdr:colOff>579120</xdr:colOff>
      <xdr:row>34</xdr:row>
      <xdr:rowOff>133125</xdr:rowOff>
    </xdr:to>
    <xdr:sp macro="" textlink="">
      <xdr:nvSpPr>
        <xdr:cNvPr id="41" name="Freeform: Shape 40">
          <a:extLst>
            <a:ext uri="{FF2B5EF4-FFF2-40B4-BE49-F238E27FC236}">
              <a16:creationId xmlns:a16="http://schemas.microsoft.com/office/drawing/2014/main" id="{2D03747C-5949-481E-9623-694FD3942095}"/>
            </a:ext>
          </a:extLst>
        </xdr:cNvPr>
        <xdr:cNvSpPr/>
      </xdr:nvSpPr>
      <xdr:spPr>
        <a:xfrm>
          <a:off x="1524000" y="6076725"/>
          <a:ext cx="274320" cy="274320"/>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rgbClr val="6372A4"/>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328437</xdr:colOff>
      <xdr:row>9</xdr:row>
      <xdr:rowOff>96011</xdr:rowOff>
    </xdr:from>
    <xdr:to>
      <xdr:col>21</xdr:col>
      <xdr:colOff>419877</xdr:colOff>
      <xdr:row>15</xdr:row>
      <xdr:rowOff>155447</xdr:rowOff>
    </xdr:to>
    <xdr:grpSp>
      <xdr:nvGrpSpPr>
        <xdr:cNvPr id="61" name="Group 60">
          <a:extLst>
            <a:ext uri="{FF2B5EF4-FFF2-40B4-BE49-F238E27FC236}">
              <a16:creationId xmlns:a16="http://schemas.microsoft.com/office/drawing/2014/main" id="{61284743-0303-CC8B-8660-47BDDF9C0B1B}"/>
            </a:ext>
          </a:extLst>
        </xdr:cNvPr>
        <xdr:cNvGrpSpPr/>
      </xdr:nvGrpSpPr>
      <xdr:grpSpPr>
        <a:xfrm>
          <a:off x="11313937" y="1810511"/>
          <a:ext cx="1932940" cy="1202436"/>
          <a:chOff x="11312910" y="1741931"/>
          <a:chExt cx="1920240" cy="1156716"/>
        </a:xfrm>
      </xdr:grpSpPr>
      <xdr:sp macro="" textlink="">
        <xdr:nvSpPr>
          <xdr:cNvPr id="20" name="Rectangle: Rounded Corners 19">
            <a:extLst>
              <a:ext uri="{FF2B5EF4-FFF2-40B4-BE49-F238E27FC236}">
                <a16:creationId xmlns:a16="http://schemas.microsoft.com/office/drawing/2014/main" id="{71EFA8D9-489C-403C-F447-00094D32F7FB}"/>
              </a:ext>
            </a:extLst>
          </xdr:cNvPr>
          <xdr:cNvSpPr/>
        </xdr:nvSpPr>
        <xdr:spPr>
          <a:xfrm>
            <a:off x="11312910" y="1741931"/>
            <a:ext cx="1920240" cy="1156716"/>
          </a:xfrm>
          <a:prstGeom prst="roundRect">
            <a:avLst>
              <a:gd name="adj" fmla="val 9324"/>
            </a:avLst>
          </a:prstGeom>
          <a:gradFill>
            <a:gsLst>
              <a:gs pos="66000">
                <a:srgbClr val="060839"/>
              </a:gs>
              <a:gs pos="10000">
                <a:srgbClr val="22248D"/>
              </a:gs>
            </a:gsLst>
            <a:lin ang="8100000" scaled="1"/>
          </a:gradFill>
          <a:ln w="12700">
            <a:gradFill flip="none" rotWithShape="1">
              <a:gsLst>
                <a:gs pos="25000">
                  <a:srgbClr val="7079FF"/>
                </a:gs>
                <a:gs pos="100000">
                  <a:srgbClr val="1C1D86"/>
                </a:gs>
              </a:gsLst>
              <a:lin ang="8100000" scaled="1"/>
              <a:tileRect/>
            </a:gradFill>
          </a:ln>
          <a:effectLst>
            <a:outerShdw blurRad="508000" dist="190500" dir="8100000" algn="tr" rotWithShape="0">
              <a:prstClr val="black">
                <a:alpha val="8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nvGrpSpPr>
          <xdr:cNvPr id="42" name="Group 41">
            <a:extLst>
              <a:ext uri="{FF2B5EF4-FFF2-40B4-BE49-F238E27FC236}">
                <a16:creationId xmlns:a16="http://schemas.microsoft.com/office/drawing/2014/main" id="{9B47BBA7-B1AA-41F3-A519-B8ADC3BAD53F}"/>
              </a:ext>
            </a:extLst>
          </xdr:cNvPr>
          <xdr:cNvGrpSpPr/>
        </xdr:nvGrpSpPr>
        <xdr:grpSpPr>
          <a:xfrm>
            <a:off x="11551920" y="2210873"/>
            <a:ext cx="311804" cy="218833"/>
            <a:chOff x="2716066" y="2011251"/>
            <a:chExt cx="710550" cy="501799"/>
          </a:xfrm>
          <a:solidFill>
            <a:srgbClr val="FBF1BD"/>
          </a:solidFill>
        </xdr:grpSpPr>
        <xdr:sp macro="" textlink="">
          <xdr:nvSpPr>
            <xdr:cNvPr id="43" name="Freeform: Shape 42">
              <a:extLst>
                <a:ext uri="{FF2B5EF4-FFF2-40B4-BE49-F238E27FC236}">
                  <a16:creationId xmlns:a16="http://schemas.microsoft.com/office/drawing/2014/main" id="{593A7B6D-8259-C2F3-D6FF-B3ED5EA035CE}"/>
                </a:ext>
              </a:extLst>
            </xdr:cNvPr>
            <xdr:cNvSpPr/>
          </xdr:nvSpPr>
          <xdr:spPr>
            <a:xfrm>
              <a:off x="2716066" y="2011251"/>
              <a:ext cx="710548" cy="102310"/>
            </a:xfrm>
            <a:custGeom>
              <a:avLst/>
              <a:gdLst>
                <a:gd name="connsiteX0" fmla="*/ 80328 w 710548"/>
                <a:gd name="connsiteY0" fmla="*/ 0 h 102310"/>
                <a:gd name="connsiteX1" fmla="*/ 630220 w 710548"/>
                <a:gd name="connsiteY1" fmla="*/ 0 h 102310"/>
                <a:gd name="connsiteX2" fmla="*/ 710548 w 710548"/>
                <a:gd name="connsiteY2" fmla="*/ 80328 h 102310"/>
                <a:gd name="connsiteX3" fmla="*/ 710548 w 710548"/>
                <a:gd name="connsiteY3" fmla="*/ 102310 h 102310"/>
                <a:gd name="connsiteX4" fmla="*/ 426341 w 710548"/>
                <a:gd name="connsiteY4" fmla="*/ 102310 h 102310"/>
                <a:gd name="connsiteX5" fmla="*/ 417706 w 710548"/>
                <a:gd name="connsiteY5" fmla="*/ 89503 h 102310"/>
                <a:gd name="connsiteX6" fmla="*/ 379637 w 710548"/>
                <a:gd name="connsiteY6" fmla="*/ 73734 h 102310"/>
                <a:gd name="connsiteX7" fmla="*/ 330912 w 710548"/>
                <a:gd name="connsiteY7" fmla="*/ 73734 h 102310"/>
                <a:gd name="connsiteX8" fmla="*/ 292843 w 710548"/>
                <a:gd name="connsiteY8" fmla="*/ 89503 h 102310"/>
                <a:gd name="connsiteX9" fmla="*/ 284208 w 710548"/>
                <a:gd name="connsiteY9" fmla="*/ 102310 h 102310"/>
                <a:gd name="connsiteX10" fmla="*/ 0 w 710548"/>
                <a:gd name="connsiteY10" fmla="*/ 102310 h 102310"/>
                <a:gd name="connsiteX11" fmla="*/ 0 w 710548"/>
                <a:gd name="connsiteY11" fmla="*/ 80328 h 102310"/>
                <a:gd name="connsiteX12" fmla="*/ 80328 w 710548"/>
                <a:gd name="connsiteY12" fmla="*/ 0 h 10231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0">
                  <a:moveTo>
                    <a:pt x="80328" y="0"/>
                  </a:moveTo>
                  <a:lnTo>
                    <a:pt x="630220" y="0"/>
                  </a:lnTo>
                  <a:cubicBezTo>
                    <a:pt x="674584" y="0"/>
                    <a:pt x="710548" y="35964"/>
                    <a:pt x="710548" y="80328"/>
                  </a:cubicBezTo>
                  <a:lnTo>
                    <a:pt x="710548" y="102310"/>
                  </a:lnTo>
                  <a:lnTo>
                    <a:pt x="426341" y="102310"/>
                  </a:lnTo>
                  <a:lnTo>
                    <a:pt x="417706" y="89503"/>
                  </a:lnTo>
                  <a:cubicBezTo>
                    <a:pt x="407964" y="79760"/>
                    <a:pt x="394504" y="73734"/>
                    <a:pt x="379637" y="73734"/>
                  </a:cubicBezTo>
                  <a:lnTo>
                    <a:pt x="330912" y="73734"/>
                  </a:lnTo>
                  <a:cubicBezTo>
                    <a:pt x="316045" y="73734"/>
                    <a:pt x="302586" y="79760"/>
                    <a:pt x="292843" y="89503"/>
                  </a:cubicBezTo>
                  <a:lnTo>
                    <a:pt x="284208" y="102310"/>
                  </a:lnTo>
                  <a:lnTo>
                    <a:pt x="0" y="102310"/>
                  </a:lnTo>
                  <a:lnTo>
                    <a:pt x="0" y="80328"/>
                  </a:lnTo>
                  <a:cubicBezTo>
                    <a:pt x="0" y="35964"/>
                    <a:pt x="35964" y="0"/>
                    <a:pt x="80328" y="0"/>
                  </a:cubicBez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4" name="Freeform: Shape 43">
              <a:extLst>
                <a:ext uri="{FF2B5EF4-FFF2-40B4-BE49-F238E27FC236}">
                  <a16:creationId xmlns:a16="http://schemas.microsoft.com/office/drawing/2014/main" id="{0C7307F3-1820-9F92-FD48-8D36A9472340}"/>
                </a:ext>
              </a:extLst>
            </xdr:cNvPr>
            <xdr:cNvSpPr/>
          </xdr:nvSpPr>
          <xdr:spPr>
            <a:xfrm>
              <a:off x="2716066" y="2410739"/>
              <a:ext cx="710548" cy="102311"/>
            </a:xfrm>
            <a:custGeom>
              <a:avLst/>
              <a:gdLst>
                <a:gd name="connsiteX0" fmla="*/ 0 w 710548"/>
                <a:gd name="connsiteY0" fmla="*/ 0 h 102311"/>
                <a:gd name="connsiteX1" fmla="*/ 284208 w 710548"/>
                <a:gd name="connsiteY1" fmla="*/ 0 h 102311"/>
                <a:gd name="connsiteX2" fmla="*/ 292843 w 710548"/>
                <a:gd name="connsiteY2" fmla="*/ 12807 h 102311"/>
                <a:gd name="connsiteX3" fmla="*/ 330912 w 710548"/>
                <a:gd name="connsiteY3" fmla="*/ 28576 h 102311"/>
                <a:gd name="connsiteX4" fmla="*/ 379637 w 710548"/>
                <a:gd name="connsiteY4" fmla="*/ 28576 h 102311"/>
                <a:gd name="connsiteX5" fmla="*/ 417706 w 710548"/>
                <a:gd name="connsiteY5" fmla="*/ 12807 h 102311"/>
                <a:gd name="connsiteX6" fmla="*/ 426341 w 710548"/>
                <a:gd name="connsiteY6" fmla="*/ 0 h 102311"/>
                <a:gd name="connsiteX7" fmla="*/ 710548 w 710548"/>
                <a:gd name="connsiteY7" fmla="*/ 0 h 102311"/>
                <a:gd name="connsiteX8" fmla="*/ 710548 w 710548"/>
                <a:gd name="connsiteY8" fmla="*/ 21983 h 102311"/>
                <a:gd name="connsiteX9" fmla="*/ 630220 w 710548"/>
                <a:gd name="connsiteY9" fmla="*/ 102311 h 102311"/>
                <a:gd name="connsiteX10" fmla="*/ 80328 w 710548"/>
                <a:gd name="connsiteY10" fmla="*/ 102311 h 102311"/>
                <a:gd name="connsiteX11" fmla="*/ 0 w 710548"/>
                <a:gd name="connsiteY11" fmla="*/ 21983 h 102311"/>
                <a:gd name="connsiteX12" fmla="*/ 0 w 710548"/>
                <a:gd name="connsiteY12" fmla="*/ 0 h 10231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Lst>
              <a:rect l="l" t="t" r="r" b="b"/>
              <a:pathLst>
                <a:path w="710548" h="102311">
                  <a:moveTo>
                    <a:pt x="0" y="0"/>
                  </a:moveTo>
                  <a:lnTo>
                    <a:pt x="284208" y="0"/>
                  </a:lnTo>
                  <a:lnTo>
                    <a:pt x="292843" y="12807"/>
                  </a:lnTo>
                  <a:cubicBezTo>
                    <a:pt x="302586" y="22550"/>
                    <a:pt x="316045" y="28576"/>
                    <a:pt x="330912" y="28576"/>
                  </a:cubicBezTo>
                  <a:lnTo>
                    <a:pt x="379637" y="28576"/>
                  </a:lnTo>
                  <a:cubicBezTo>
                    <a:pt x="394504" y="28576"/>
                    <a:pt x="407964" y="22550"/>
                    <a:pt x="417706" y="12807"/>
                  </a:cubicBezTo>
                  <a:lnTo>
                    <a:pt x="426341" y="0"/>
                  </a:lnTo>
                  <a:lnTo>
                    <a:pt x="710548" y="0"/>
                  </a:lnTo>
                  <a:lnTo>
                    <a:pt x="710548" y="21983"/>
                  </a:lnTo>
                  <a:cubicBezTo>
                    <a:pt x="710548" y="66347"/>
                    <a:pt x="674584" y="102311"/>
                    <a:pt x="630220" y="102311"/>
                  </a:cubicBezTo>
                  <a:lnTo>
                    <a:pt x="80328" y="102311"/>
                  </a:lnTo>
                  <a:cubicBezTo>
                    <a:pt x="35964" y="102311"/>
                    <a:pt x="0" y="66347"/>
                    <a:pt x="0" y="21983"/>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5" name="Freeform: Shape 44">
              <a:extLst>
                <a:ext uri="{FF2B5EF4-FFF2-40B4-BE49-F238E27FC236}">
                  <a16:creationId xmlns:a16="http://schemas.microsoft.com/office/drawing/2014/main" id="{D558306B-F65F-EC8D-082D-4BA766F4414B}"/>
                </a:ext>
              </a:extLst>
            </xdr:cNvPr>
            <xdr:cNvSpPr/>
          </xdr:nvSpPr>
          <xdr:spPr>
            <a:xfrm>
              <a:off x="2716066" y="2113561"/>
              <a:ext cx="284208" cy="148588"/>
            </a:xfrm>
            <a:custGeom>
              <a:avLst/>
              <a:gdLst>
                <a:gd name="connsiteX0" fmla="*/ 0 w 284208"/>
                <a:gd name="connsiteY0" fmla="*/ 0 h 148588"/>
                <a:gd name="connsiteX1" fmla="*/ 284208 w 284208"/>
                <a:gd name="connsiteY1" fmla="*/ 0 h 148588"/>
                <a:gd name="connsiteX2" fmla="*/ 281305 w 284208"/>
                <a:gd name="connsiteY2" fmla="*/ 4306 h 148588"/>
                <a:gd name="connsiteX3" fmla="*/ 277074 w 284208"/>
                <a:gd name="connsiteY3" fmla="*/ 25262 h 148588"/>
                <a:gd name="connsiteX4" fmla="*/ 277074 w 284208"/>
                <a:gd name="connsiteY4" fmla="*/ 148588 h 148588"/>
                <a:gd name="connsiteX5" fmla="*/ 0 w 284208"/>
                <a:gd name="connsiteY5" fmla="*/ 148588 h 148588"/>
                <a:gd name="connsiteX6" fmla="*/ 0 w 284208"/>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8">
                  <a:moveTo>
                    <a:pt x="0" y="0"/>
                  </a:moveTo>
                  <a:lnTo>
                    <a:pt x="284208" y="0"/>
                  </a:lnTo>
                  <a:lnTo>
                    <a:pt x="281305" y="4306"/>
                  </a:lnTo>
                  <a:cubicBezTo>
                    <a:pt x="278581" y="10747"/>
                    <a:pt x="277074" y="17829"/>
                    <a:pt x="277074" y="25262"/>
                  </a:cubicBezTo>
                  <a:lnTo>
                    <a:pt x="277074" y="148588"/>
                  </a:lnTo>
                  <a:lnTo>
                    <a:pt x="0" y="148588"/>
                  </a:ln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6" name="Freeform: Shape 45">
              <a:extLst>
                <a:ext uri="{FF2B5EF4-FFF2-40B4-BE49-F238E27FC236}">
                  <a16:creationId xmlns:a16="http://schemas.microsoft.com/office/drawing/2014/main" id="{A331FDBE-57F3-E05B-336A-15D2912744B0}"/>
                </a:ext>
              </a:extLst>
            </xdr:cNvPr>
            <xdr:cNvSpPr/>
          </xdr:nvSpPr>
          <xdr:spPr>
            <a:xfrm>
              <a:off x="3142409" y="2113561"/>
              <a:ext cx="284207" cy="148588"/>
            </a:xfrm>
            <a:custGeom>
              <a:avLst/>
              <a:gdLst>
                <a:gd name="connsiteX0" fmla="*/ 0 w 284207"/>
                <a:gd name="connsiteY0" fmla="*/ 0 h 148588"/>
                <a:gd name="connsiteX1" fmla="*/ 284207 w 284207"/>
                <a:gd name="connsiteY1" fmla="*/ 0 h 148588"/>
                <a:gd name="connsiteX2" fmla="*/ 284207 w 284207"/>
                <a:gd name="connsiteY2" fmla="*/ 148588 h 148588"/>
                <a:gd name="connsiteX3" fmla="*/ 7134 w 284207"/>
                <a:gd name="connsiteY3" fmla="*/ 148588 h 148588"/>
                <a:gd name="connsiteX4" fmla="*/ 7134 w 284207"/>
                <a:gd name="connsiteY4" fmla="*/ 25262 h 148588"/>
                <a:gd name="connsiteX5" fmla="*/ 2903 w 284207"/>
                <a:gd name="connsiteY5" fmla="*/ 4306 h 148588"/>
                <a:gd name="connsiteX6" fmla="*/ 0 w 284207"/>
                <a:gd name="connsiteY6" fmla="*/ 0 h 14858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8">
                  <a:moveTo>
                    <a:pt x="0" y="0"/>
                  </a:moveTo>
                  <a:lnTo>
                    <a:pt x="284207" y="0"/>
                  </a:lnTo>
                  <a:lnTo>
                    <a:pt x="284207" y="148588"/>
                  </a:lnTo>
                  <a:lnTo>
                    <a:pt x="7134" y="148588"/>
                  </a:lnTo>
                  <a:lnTo>
                    <a:pt x="7134" y="25262"/>
                  </a:lnTo>
                  <a:cubicBezTo>
                    <a:pt x="7134" y="17829"/>
                    <a:pt x="5628" y="10747"/>
                    <a:pt x="2903" y="4306"/>
                  </a:cubicBezTo>
                  <a:lnTo>
                    <a:pt x="0"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7" name="Freeform: Shape 46">
              <a:extLst>
                <a:ext uri="{FF2B5EF4-FFF2-40B4-BE49-F238E27FC236}">
                  <a16:creationId xmlns:a16="http://schemas.microsoft.com/office/drawing/2014/main" id="{48D472E0-E4ED-9CD2-F99B-45834075EDC8}"/>
                </a:ext>
              </a:extLst>
            </xdr:cNvPr>
            <xdr:cNvSpPr/>
          </xdr:nvSpPr>
          <xdr:spPr>
            <a:xfrm>
              <a:off x="2716066" y="2262150"/>
              <a:ext cx="284208" cy="148589"/>
            </a:xfrm>
            <a:custGeom>
              <a:avLst/>
              <a:gdLst>
                <a:gd name="connsiteX0" fmla="*/ 0 w 284208"/>
                <a:gd name="connsiteY0" fmla="*/ 0 h 148589"/>
                <a:gd name="connsiteX1" fmla="*/ 277074 w 284208"/>
                <a:gd name="connsiteY1" fmla="*/ 0 h 148589"/>
                <a:gd name="connsiteX2" fmla="*/ 277074 w 284208"/>
                <a:gd name="connsiteY2" fmla="*/ 123327 h 148589"/>
                <a:gd name="connsiteX3" fmla="*/ 281305 w 284208"/>
                <a:gd name="connsiteY3" fmla="*/ 144283 h 148589"/>
                <a:gd name="connsiteX4" fmla="*/ 284208 w 284208"/>
                <a:gd name="connsiteY4" fmla="*/ 148589 h 148589"/>
                <a:gd name="connsiteX5" fmla="*/ 0 w 284208"/>
                <a:gd name="connsiteY5" fmla="*/ 148589 h 148589"/>
                <a:gd name="connsiteX6" fmla="*/ 0 w 284208"/>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8" h="148589">
                  <a:moveTo>
                    <a:pt x="0" y="0"/>
                  </a:moveTo>
                  <a:lnTo>
                    <a:pt x="277074" y="0"/>
                  </a:lnTo>
                  <a:lnTo>
                    <a:pt x="277074" y="123327"/>
                  </a:lnTo>
                  <a:cubicBezTo>
                    <a:pt x="277074" y="130761"/>
                    <a:pt x="278581" y="137842"/>
                    <a:pt x="281305" y="144283"/>
                  </a:cubicBezTo>
                  <a:lnTo>
                    <a:pt x="284208" y="148589"/>
                  </a:lnTo>
                  <a:lnTo>
                    <a:pt x="0" y="148589"/>
                  </a:lnTo>
                  <a:lnTo>
                    <a:pt x="0" y="0"/>
                  </a:lnTo>
                  <a:close/>
                </a:path>
              </a:pathLst>
            </a:custGeom>
            <a:grpFill/>
            <a:ln w="6350"/>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8" name="Freeform: Shape 47">
              <a:extLst>
                <a:ext uri="{FF2B5EF4-FFF2-40B4-BE49-F238E27FC236}">
                  <a16:creationId xmlns:a16="http://schemas.microsoft.com/office/drawing/2014/main" id="{413A41D4-DB98-8221-0837-30DAF7FE6F37}"/>
                </a:ext>
              </a:extLst>
            </xdr:cNvPr>
            <xdr:cNvSpPr/>
          </xdr:nvSpPr>
          <xdr:spPr>
            <a:xfrm>
              <a:off x="3142409" y="2262150"/>
              <a:ext cx="284207" cy="148589"/>
            </a:xfrm>
            <a:custGeom>
              <a:avLst/>
              <a:gdLst>
                <a:gd name="connsiteX0" fmla="*/ 7134 w 284207"/>
                <a:gd name="connsiteY0" fmla="*/ 0 h 148589"/>
                <a:gd name="connsiteX1" fmla="*/ 284207 w 284207"/>
                <a:gd name="connsiteY1" fmla="*/ 0 h 148589"/>
                <a:gd name="connsiteX2" fmla="*/ 284207 w 284207"/>
                <a:gd name="connsiteY2" fmla="*/ 148589 h 148589"/>
                <a:gd name="connsiteX3" fmla="*/ 0 w 284207"/>
                <a:gd name="connsiteY3" fmla="*/ 148589 h 148589"/>
                <a:gd name="connsiteX4" fmla="*/ 2903 w 284207"/>
                <a:gd name="connsiteY4" fmla="*/ 144283 h 148589"/>
                <a:gd name="connsiteX5" fmla="*/ 7134 w 284207"/>
                <a:gd name="connsiteY5" fmla="*/ 123327 h 148589"/>
                <a:gd name="connsiteX6" fmla="*/ 7134 w 284207"/>
                <a:gd name="connsiteY6" fmla="*/ 0 h 14858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Lst>
              <a:rect l="l" t="t" r="r" b="b"/>
              <a:pathLst>
                <a:path w="284207" h="148589">
                  <a:moveTo>
                    <a:pt x="7134" y="0"/>
                  </a:moveTo>
                  <a:lnTo>
                    <a:pt x="284207" y="0"/>
                  </a:lnTo>
                  <a:lnTo>
                    <a:pt x="284207" y="148589"/>
                  </a:lnTo>
                  <a:lnTo>
                    <a:pt x="0" y="148589"/>
                  </a:lnTo>
                  <a:lnTo>
                    <a:pt x="2903" y="144283"/>
                  </a:lnTo>
                  <a:cubicBezTo>
                    <a:pt x="5628" y="137842"/>
                    <a:pt x="7134" y="130761"/>
                    <a:pt x="7134" y="123327"/>
                  </a:cubicBezTo>
                  <a:lnTo>
                    <a:pt x="7134" y="0"/>
                  </a:lnTo>
                  <a:close/>
                </a:path>
              </a:pathLst>
            </a:cu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sp macro="" textlink="">
          <xdr:nvSpPr>
            <xdr:cNvPr id="49" name="Rectangle: Rounded Corners 48">
              <a:extLst>
                <a:ext uri="{FF2B5EF4-FFF2-40B4-BE49-F238E27FC236}">
                  <a16:creationId xmlns:a16="http://schemas.microsoft.com/office/drawing/2014/main" id="{F27855AC-3388-E681-DC28-550C92CDA274}"/>
                </a:ext>
              </a:extLst>
            </xdr:cNvPr>
            <xdr:cNvSpPr/>
          </xdr:nvSpPr>
          <xdr:spPr>
            <a:xfrm>
              <a:off x="2993139" y="2084984"/>
              <a:ext cx="156401" cy="354330"/>
            </a:xfrm>
            <a:prstGeom prst="roundRect">
              <a:avLst>
                <a:gd name="adj" fmla="val 34423"/>
              </a:avLst>
            </a:prstGeom>
            <a:grpFill/>
            <a:ln w="6350">
              <a:solidFill>
                <a:schemeClr val="tx1"/>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pSp>
      <xdr:pic>
        <xdr:nvPicPr>
          <xdr:cNvPr id="60" name="Graphic 59" descr="Wi-Fi with solid fill">
            <a:extLst>
              <a:ext uri="{FF2B5EF4-FFF2-40B4-BE49-F238E27FC236}">
                <a16:creationId xmlns:a16="http://schemas.microsoft.com/office/drawing/2014/main" id="{4C1D7867-3F29-4FF1-7105-F3702C48C868}"/>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rot="5400000">
            <a:off x="12873160" y="1867232"/>
            <a:ext cx="271669" cy="274320"/>
          </a:xfrm>
          <a:prstGeom prst="rect">
            <a:avLst/>
          </a:prstGeom>
        </xdr:spPr>
      </xdr:pic>
    </xdr:grpSp>
    <xdr:clientData/>
  </xdr:twoCellAnchor>
  <xdr:twoCellAnchor>
    <xdr:from>
      <xdr:col>4</xdr:col>
      <xdr:colOff>335280</xdr:colOff>
      <xdr:row>10</xdr:row>
      <xdr:rowOff>144780</xdr:rowOff>
    </xdr:from>
    <xdr:to>
      <xdr:col>13</xdr:col>
      <xdr:colOff>68580</xdr:colOff>
      <xdr:row>21</xdr:row>
      <xdr:rowOff>53340</xdr:rowOff>
    </xdr:to>
    <xdr:graphicFrame macro="">
      <xdr:nvGraphicFramePr>
        <xdr:cNvPr id="2" name="Chart 1">
          <a:extLst>
            <a:ext uri="{FF2B5EF4-FFF2-40B4-BE49-F238E27FC236}">
              <a16:creationId xmlns:a16="http://schemas.microsoft.com/office/drawing/2014/main" id="{5A1B336B-CF96-2AD6-0DA1-89179FD57AC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5</xdr:col>
      <xdr:colOff>74427</xdr:colOff>
      <xdr:row>8</xdr:row>
      <xdr:rowOff>129997</xdr:rowOff>
    </xdr:from>
    <xdr:to>
      <xdr:col>10</xdr:col>
      <xdr:colOff>314120</xdr:colOff>
      <xdr:row>10</xdr:row>
      <xdr:rowOff>22403</xdr:rowOff>
    </xdr:to>
    <xdr:grpSp>
      <xdr:nvGrpSpPr>
        <xdr:cNvPr id="17" name="Group 16">
          <a:extLst>
            <a:ext uri="{FF2B5EF4-FFF2-40B4-BE49-F238E27FC236}">
              <a16:creationId xmlns:a16="http://schemas.microsoft.com/office/drawing/2014/main" id="{41260E03-D578-B012-0248-050F562D3C75}"/>
            </a:ext>
          </a:extLst>
        </xdr:cNvPr>
        <xdr:cNvGrpSpPr/>
      </xdr:nvGrpSpPr>
      <xdr:grpSpPr>
        <a:xfrm>
          <a:off x="3101260" y="1653997"/>
          <a:ext cx="3277110" cy="273406"/>
          <a:chOff x="3806527" y="1593037"/>
          <a:chExt cx="3562013" cy="258166"/>
        </a:xfrm>
      </xdr:grpSpPr>
      <xdr:sp macro="" textlink="$C$60">
        <xdr:nvSpPr>
          <xdr:cNvPr id="4" name="TextBox 3">
            <a:extLst>
              <a:ext uri="{FF2B5EF4-FFF2-40B4-BE49-F238E27FC236}">
                <a16:creationId xmlns:a16="http://schemas.microsoft.com/office/drawing/2014/main" id="{2DE2B488-4EDF-6548-3FCF-1E0B2DD0957E}"/>
              </a:ext>
            </a:extLst>
          </xdr:cNvPr>
          <xdr:cNvSpPr txBox="1"/>
        </xdr:nvSpPr>
        <xdr:spPr>
          <a:xfrm>
            <a:off x="38065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5A33B9D-F834-4294-BE87-29F6752F0B43}" type="TxLink">
              <a:rPr lang="en-US" sz="1400" b="0" i="0" u="none" strike="noStrike">
                <a:solidFill>
                  <a:schemeClr val="bg1"/>
                </a:solidFill>
                <a:latin typeface="Aptos Narrow"/>
              </a:rPr>
              <a:pPr algn="l"/>
              <a:t>Income</a:t>
            </a:fld>
            <a:endParaRPr lang="ru-RU" sz="1800" b="0">
              <a:solidFill>
                <a:schemeClr val="bg1"/>
              </a:solidFill>
            </a:endParaRPr>
          </a:p>
        </xdr:txBody>
      </xdr:sp>
      <xdr:sp macro="" textlink="'Prototype 3'!$F$73">
        <xdr:nvSpPr>
          <xdr:cNvPr id="6" name="TextBox 5">
            <a:extLst>
              <a:ext uri="{FF2B5EF4-FFF2-40B4-BE49-F238E27FC236}">
                <a16:creationId xmlns:a16="http://schemas.microsoft.com/office/drawing/2014/main" id="{E9924FCF-146B-1AAA-E044-A697C3F501DC}"/>
              </a:ext>
            </a:extLst>
          </xdr:cNvPr>
          <xdr:cNvSpPr txBox="1"/>
        </xdr:nvSpPr>
        <xdr:spPr>
          <a:xfrm>
            <a:off x="44618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6C3DC02-BA63-4DDB-892F-3CA06441CCF3}" type="TxLink">
              <a:rPr lang="en-US" sz="1400" b="0" i="0" u="none" strike="noStrike">
                <a:solidFill>
                  <a:srgbClr val="A3C1F9"/>
                </a:solidFill>
                <a:latin typeface="Aptos Narrow"/>
              </a:rPr>
              <a:pPr algn="l"/>
              <a:t> $35,296 </a:t>
            </a:fld>
            <a:endParaRPr lang="ru-RU" sz="1800">
              <a:solidFill>
                <a:srgbClr val="A3C1F9"/>
              </a:solidFill>
            </a:endParaRPr>
          </a:p>
        </xdr:txBody>
      </xdr:sp>
      <xdr:sp macro="" textlink="$D$60">
        <xdr:nvSpPr>
          <xdr:cNvPr id="15" name="TextBox 14">
            <a:extLst>
              <a:ext uri="{FF2B5EF4-FFF2-40B4-BE49-F238E27FC236}">
                <a16:creationId xmlns:a16="http://schemas.microsoft.com/office/drawing/2014/main" id="{D198BD78-AB9C-21B7-39EE-5D177C34E1FB}"/>
              </a:ext>
            </a:extLst>
          </xdr:cNvPr>
          <xdr:cNvSpPr txBox="1"/>
        </xdr:nvSpPr>
        <xdr:spPr>
          <a:xfrm>
            <a:off x="552864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882E35-FDE5-4185-94BD-F9DA066851F1}" type="TxLink">
              <a:rPr lang="en-US" sz="1400" b="0" i="0" u="none" strike="noStrike">
                <a:solidFill>
                  <a:schemeClr val="bg1"/>
                </a:solidFill>
                <a:latin typeface="Aptos Narrow"/>
              </a:rPr>
              <a:pPr algn="l"/>
              <a:t>Expenses</a:t>
            </a:fld>
            <a:endParaRPr lang="ru-RU" sz="2400" b="0">
              <a:solidFill>
                <a:schemeClr val="bg1"/>
              </a:solidFill>
            </a:endParaRPr>
          </a:p>
        </xdr:txBody>
      </xdr:sp>
      <xdr:sp macro="" textlink="$G$73">
        <xdr:nvSpPr>
          <xdr:cNvPr id="16" name="TextBox 15">
            <a:extLst>
              <a:ext uri="{FF2B5EF4-FFF2-40B4-BE49-F238E27FC236}">
                <a16:creationId xmlns:a16="http://schemas.microsoft.com/office/drawing/2014/main" id="{2BE13E5F-3853-AA80-5289-AE3FC1D948F7}"/>
              </a:ext>
            </a:extLst>
          </xdr:cNvPr>
          <xdr:cNvSpPr txBox="1"/>
        </xdr:nvSpPr>
        <xdr:spPr>
          <a:xfrm>
            <a:off x="6321127" y="1593037"/>
            <a:ext cx="1047413"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4585E935-8C2B-4E96-9BF6-7B49AAC29FCE}" type="TxLink">
              <a:rPr lang="en-US" sz="1400" b="0" i="0" u="none" strike="noStrike">
                <a:solidFill>
                  <a:srgbClr val="FF00FF"/>
                </a:solidFill>
                <a:latin typeface="Aptos Narrow"/>
              </a:rPr>
              <a:pPr algn="l"/>
              <a:t> $25,507 </a:t>
            </a:fld>
            <a:endParaRPr lang="ru-RU" sz="2400">
              <a:solidFill>
                <a:srgbClr val="FF00FF"/>
              </a:solidFill>
            </a:endParaRPr>
          </a:p>
        </xdr:txBody>
      </xdr:sp>
    </xdr:grpSp>
    <xdr:clientData/>
  </xdr:twoCellAnchor>
  <xdr:twoCellAnchor editAs="oneCell">
    <xdr:from>
      <xdr:col>4</xdr:col>
      <xdr:colOff>468935</xdr:colOff>
      <xdr:row>4</xdr:row>
      <xdr:rowOff>30480</xdr:rowOff>
    </xdr:from>
    <xdr:to>
      <xdr:col>21</xdr:col>
      <xdr:colOff>278435</xdr:colOff>
      <xdr:row>6</xdr:row>
      <xdr:rowOff>76200</xdr:rowOff>
    </xdr:to>
    <mc:AlternateContent xmlns:mc="http://schemas.openxmlformats.org/markup-compatibility/2006" xmlns:a14="http://schemas.microsoft.com/office/drawing/2010/main">
      <mc:Choice Requires="a14">
        <xdr:graphicFrame macro="">
          <xdr:nvGraphicFramePr>
            <xdr:cNvPr id="19" name="Buttons 1">
              <a:extLst>
                <a:ext uri="{FF2B5EF4-FFF2-40B4-BE49-F238E27FC236}">
                  <a16:creationId xmlns:a16="http://schemas.microsoft.com/office/drawing/2014/main" id="{38ACDE4E-03F4-3EC2-1A5C-88717AC485FB}"/>
                </a:ext>
              </a:extLst>
            </xdr:cNvPr>
            <xdr:cNvGraphicFramePr/>
          </xdr:nvGraphicFramePr>
          <xdr:xfrm>
            <a:off x="0" y="0"/>
            <a:ext cx="0" cy="0"/>
          </xdr:xfrm>
          <a:graphic>
            <a:graphicData uri="http://schemas.microsoft.com/office/drawing/2010/slicer">
              <sle:slicer xmlns:sle="http://schemas.microsoft.com/office/drawing/2010/slicer" name="Buttons 1"/>
            </a:graphicData>
          </a:graphic>
        </xdr:graphicFrame>
      </mc:Choice>
      <mc:Fallback xmlns="">
        <xdr:sp macro="" textlink="">
          <xdr:nvSpPr>
            <xdr:cNvPr id="0" name=""/>
            <xdr:cNvSpPr>
              <a:spLocks noTextEdit="1"/>
            </xdr:cNvSpPr>
          </xdr:nvSpPr>
          <xdr:spPr>
            <a:xfrm>
              <a:off x="2907335" y="762000"/>
              <a:ext cx="10241280" cy="411480"/>
            </a:xfrm>
            <a:prstGeom prst="rect">
              <a:avLst/>
            </a:prstGeom>
            <a:solidFill>
              <a:prstClr val="white"/>
            </a:solidFill>
            <a:ln w="1">
              <a:solidFill>
                <a:prstClr val="green"/>
              </a:solidFill>
            </a:ln>
          </xdr:spPr>
          <xdr:txBody>
            <a:bodyPr vertOverflow="clip" horzOverflow="clip"/>
            <a:lstStyle/>
            <a:p>
              <a:r>
                <a:rPr lang="ru-RU"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536200</xdr:colOff>
      <xdr:row>13</xdr:row>
      <xdr:rowOff>7620</xdr:rowOff>
    </xdr:from>
    <xdr:to>
      <xdr:col>16</xdr:col>
      <xdr:colOff>294952</xdr:colOff>
      <xdr:row>14</xdr:row>
      <xdr:rowOff>82906</xdr:rowOff>
    </xdr:to>
    <xdr:sp macro="" textlink="$C$60">
      <xdr:nvSpPr>
        <xdr:cNvPr id="24" name="TextBox 23">
          <a:extLst>
            <a:ext uri="{FF2B5EF4-FFF2-40B4-BE49-F238E27FC236}">
              <a16:creationId xmlns:a16="http://schemas.microsoft.com/office/drawing/2014/main" id="{E786FC71-40EA-49A1-A24F-4113CE573B4D}"/>
            </a:ext>
          </a:extLst>
        </xdr:cNvPr>
        <xdr:cNvSpPr txBox="1"/>
      </xdr:nvSpPr>
      <xdr:spPr>
        <a:xfrm>
          <a:off x="9108700" y="23850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5A33B9D-F834-4294-BE87-29F6752F0B43}" type="TxLink">
            <a:rPr lang="en-US" sz="1200" b="0" i="0" u="none" strike="noStrike">
              <a:solidFill>
                <a:schemeClr val="tx2">
                  <a:lumMod val="25000"/>
                  <a:lumOff val="75000"/>
                </a:schemeClr>
              </a:solidFill>
              <a:latin typeface="Aptos Narrow"/>
            </a:rPr>
            <a:pPr algn="ctr"/>
            <a:t>Income</a:t>
          </a:fld>
          <a:endParaRPr lang="ru-RU" sz="1600" b="0">
            <a:solidFill>
              <a:schemeClr val="tx2">
                <a:lumMod val="25000"/>
                <a:lumOff val="75000"/>
              </a:schemeClr>
            </a:solidFill>
          </a:endParaRPr>
        </a:p>
      </xdr:txBody>
    </xdr:sp>
    <xdr:clientData/>
  </xdr:twoCellAnchor>
  <xdr:twoCellAnchor>
    <xdr:from>
      <xdr:col>14</xdr:col>
      <xdr:colOff>536200</xdr:colOff>
      <xdr:row>14</xdr:row>
      <xdr:rowOff>63292</xdr:rowOff>
    </xdr:from>
    <xdr:to>
      <xdr:col>16</xdr:col>
      <xdr:colOff>294952</xdr:colOff>
      <xdr:row>15</xdr:row>
      <xdr:rowOff>164395</xdr:rowOff>
    </xdr:to>
    <xdr:sp macro="" textlink="$D$55">
      <xdr:nvSpPr>
        <xdr:cNvPr id="25" name="TextBox 24">
          <a:extLst>
            <a:ext uri="{FF2B5EF4-FFF2-40B4-BE49-F238E27FC236}">
              <a16:creationId xmlns:a16="http://schemas.microsoft.com/office/drawing/2014/main" id="{6EB596A7-7D86-E9D8-3D37-1E5BA2397920}"/>
            </a:ext>
          </a:extLst>
        </xdr:cNvPr>
        <xdr:cNvSpPr txBox="1"/>
      </xdr:nvSpPr>
      <xdr:spPr>
        <a:xfrm>
          <a:off x="9108700" y="2623612"/>
          <a:ext cx="977952" cy="28398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1CC2A362-1984-4E0F-B2F1-1722CB1B7A1B}" type="TxLink">
            <a:rPr lang="en-US" sz="2400" b="0" i="0" u="none" strike="noStrike">
              <a:solidFill>
                <a:schemeClr val="bg1"/>
              </a:solidFill>
              <a:latin typeface="Aptos Narrow"/>
            </a:rPr>
            <a:pPr algn="ctr"/>
            <a:t>58%</a:t>
          </a:fld>
          <a:endParaRPr lang="ru-RU" sz="2400" b="0">
            <a:solidFill>
              <a:schemeClr val="bg1"/>
            </a:solidFill>
          </a:endParaRPr>
        </a:p>
      </xdr:txBody>
    </xdr:sp>
    <xdr:clientData/>
  </xdr:twoCellAnchor>
  <xdr:twoCellAnchor>
    <xdr:from>
      <xdr:col>14</xdr:col>
      <xdr:colOff>49816</xdr:colOff>
      <xdr:row>6</xdr:row>
      <xdr:rowOff>179070</xdr:rowOff>
    </xdr:from>
    <xdr:to>
      <xdr:col>17</xdr:col>
      <xdr:colOff>141256</xdr:colOff>
      <xdr:row>20</xdr:row>
      <xdr:rowOff>179070</xdr:rowOff>
    </xdr:to>
    <xdr:graphicFrame macro="">
      <xdr:nvGraphicFramePr>
        <xdr:cNvPr id="23" name="Chart 22">
          <a:extLst>
            <a:ext uri="{FF2B5EF4-FFF2-40B4-BE49-F238E27FC236}">
              <a16:creationId xmlns:a16="http://schemas.microsoft.com/office/drawing/2014/main" id="{7F8BDAC7-1C7A-9888-7F5D-549485337D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16</xdr:col>
      <xdr:colOff>0</xdr:colOff>
      <xdr:row>19</xdr:row>
      <xdr:rowOff>129540</xdr:rowOff>
    </xdr:from>
    <xdr:to>
      <xdr:col>17</xdr:col>
      <xdr:colOff>368352</xdr:colOff>
      <xdr:row>21</xdr:row>
      <xdr:rowOff>21946</xdr:rowOff>
    </xdr:to>
    <xdr:sp macro="" textlink="$D$60">
      <xdr:nvSpPr>
        <xdr:cNvPr id="27" name="TextBox 26">
          <a:extLst>
            <a:ext uri="{FF2B5EF4-FFF2-40B4-BE49-F238E27FC236}">
              <a16:creationId xmlns:a16="http://schemas.microsoft.com/office/drawing/2014/main" id="{060C3DF8-AFFA-4BAA-8D27-51A1EE48F606}"/>
            </a:ext>
          </a:extLst>
        </xdr:cNvPr>
        <xdr:cNvSpPr txBox="1"/>
      </xdr:nvSpPr>
      <xdr:spPr>
        <a:xfrm>
          <a:off x="9791700" y="36042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C3882E35-FDE5-4185-94BD-F9DA066851F1}" type="TxLink">
            <a:rPr lang="en-US" sz="1100" b="0" i="0" u="none" strike="noStrike">
              <a:solidFill>
                <a:schemeClr val="tx2">
                  <a:lumMod val="25000"/>
                  <a:lumOff val="75000"/>
                </a:schemeClr>
              </a:solidFill>
              <a:latin typeface="Aptos Narrow"/>
            </a:rPr>
            <a:pPr algn="l"/>
            <a:t>Expenses</a:t>
          </a:fld>
          <a:endParaRPr lang="ru-RU" sz="1800" b="0">
            <a:solidFill>
              <a:schemeClr val="tx2">
                <a:lumMod val="25000"/>
                <a:lumOff val="75000"/>
              </a:schemeClr>
            </a:solidFill>
          </a:endParaRPr>
        </a:p>
      </xdr:txBody>
    </xdr:sp>
    <xdr:clientData/>
  </xdr:twoCellAnchor>
  <xdr:twoCellAnchor>
    <xdr:from>
      <xdr:col>14</xdr:col>
      <xdr:colOff>198120</xdr:colOff>
      <xdr:row>19</xdr:row>
      <xdr:rowOff>129540</xdr:rowOff>
    </xdr:from>
    <xdr:to>
      <xdr:col>15</xdr:col>
      <xdr:colOff>566472</xdr:colOff>
      <xdr:row>21</xdr:row>
      <xdr:rowOff>21946</xdr:rowOff>
    </xdr:to>
    <xdr:sp macro="" textlink="$C$60">
      <xdr:nvSpPr>
        <xdr:cNvPr id="50" name="TextBox 49">
          <a:extLst>
            <a:ext uri="{FF2B5EF4-FFF2-40B4-BE49-F238E27FC236}">
              <a16:creationId xmlns:a16="http://schemas.microsoft.com/office/drawing/2014/main" id="{57022744-12BD-459B-9921-B7775C87F362}"/>
            </a:ext>
          </a:extLst>
        </xdr:cNvPr>
        <xdr:cNvSpPr txBox="1"/>
      </xdr:nvSpPr>
      <xdr:spPr>
        <a:xfrm>
          <a:off x="8770620" y="3604260"/>
          <a:ext cx="977952"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5A33B9D-F834-4294-BE87-29F6752F0B43}" type="TxLink">
            <a:rPr lang="en-US" sz="1100" b="0" i="0" u="none" strike="noStrike">
              <a:solidFill>
                <a:schemeClr val="tx2">
                  <a:lumMod val="25000"/>
                  <a:lumOff val="75000"/>
                </a:schemeClr>
              </a:solidFill>
              <a:latin typeface="Aptos Narrow"/>
            </a:rPr>
            <a:pPr algn="l"/>
            <a:t>Income</a:t>
          </a:fld>
          <a:endParaRPr lang="ru-RU" sz="1400" b="0">
            <a:solidFill>
              <a:schemeClr val="tx2">
                <a:lumMod val="25000"/>
                <a:lumOff val="75000"/>
              </a:schemeClr>
            </a:solidFill>
          </a:endParaRPr>
        </a:p>
      </xdr:txBody>
    </xdr:sp>
    <xdr:clientData/>
  </xdr:twoCellAnchor>
  <xdr:twoCellAnchor>
    <xdr:from>
      <xdr:col>14</xdr:col>
      <xdr:colOff>99060</xdr:colOff>
      <xdr:row>20</xdr:row>
      <xdr:rowOff>38100</xdr:rowOff>
    </xdr:from>
    <xdr:to>
      <xdr:col>14</xdr:col>
      <xdr:colOff>190500</xdr:colOff>
      <xdr:row>20</xdr:row>
      <xdr:rowOff>129540</xdr:rowOff>
    </xdr:to>
    <xdr:sp macro="" textlink="">
      <xdr:nvSpPr>
        <xdr:cNvPr id="51" name="Oval 50">
          <a:extLst>
            <a:ext uri="{FF2B5EF4-FFF2-40B4-BE49-F238E27FC236}">
              <a16:creationId xmlns:a16="http://schemas.microsoft.com/office/drawing/2014/main" id="{EE3B5826-BDC5-9E74-F56D-134307B53A04}"/>
            </a:ext>
          </a:extLst>
        </xdr:cNvPr>
        <xdr:cNvSpPr/>
      </xdr:nvSpPr>
      <xdr:spPr>
        <a:xfrm>
          <a:off x="8671560" y="3695700"/>
          <a:ext cx="91440" cy="91440"/>
        </a:xfrm>
        <a:prstGeom prst="ellipse">
          <a:avLst/>
        </a:prstGeom>
        <a:solidFill>
          <a:srgbClr val="6672E8"/>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15</xdr:col>
      <xdr:colOff>518160</xdr:colOff>
      <xdr:row>20</xdr:row>
      <xdr:rowOff>38100</xdr:rowOff>
    </xdr:from>
    <xdr:to>
      <xdr:col>16</xdr:col>
      <xdr:colOff>0</xdr:colOff>
      <xdr:row>20</xdr:row>
      <xdr:rowOff>129540</xdr:rowOff>
    </xdr:to>
    <xdr:sp macro="" textlink="">
      <xdr:nvSpPr>
        <xdr:cNvPr id="52" name="Oval 51">
          <a:extLst>
            <a:ext uri="{FF2B5EF4-FFF2-40B4-BE49-F238E27FC236}">
              <a16:creationId xmlns:a16="http://schemas.microsoft.com/office/drawing/2014/main" id="{6DB2A482-2CBA-16A8-88F8-FF0BD07FB06B}"/>
            </a:ext>
          </a:extLst>
        </xdr:cNvPr>
        <xdr:cNvSpPr/>
      </xdr:nvSpPr>
      <xdr:spPr>
        <a:xfrm>
          <a:off x="9700260" y="3695700"/>
          <a:ext cx="91440" cy="91440"/>
        </a:xfrm>
        <a:prstGeom prst="ellipse">
          <a:avLst/>
        </a:prstGeom>
        <a:solidFill>
          <a:srgbClr val="FF00FF">
            <a:alpha val="50000"/>
          </a:srgb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320040</xdr:colOff>
      <xdr:row>17</xdr:row>
      <xdr:rowOff>76200</xdr:rowOff>
    </xdr:from>
    <xdr:to>
      <xdr:col>20</xdr:col>
      <xdr:colOff>259080</xdr:colOff>
      <xdr:row>18</xdr:row>
      <xdr:rowOff>151486</xdr:rowOff>
    </xdr:to>
    <xdr:sp macro="" textlink="$I$53">
      <xdr:nvSpPr>
        <xdr:cNvPr id="53" name="TextBox 52">
          <a:extLst>
            <a:ext uri="{FF2B5EF4-FFF2-40B4-BE49-F238E27FC236}">
              <a16:creationId xmlns:a16="http://schemas.microsoft.com/office/drawing/2014/main" id="{BC53B6DE-567B-4292-ACCD-B5D9BAC07676}"/>
            </a:ext>
          </a:extLst>
        </xdr:cNvPr>
        <xdr:cNvSpPr txBox="1"/>
      </xdr:nvSpPr>
      <xdr:spPr>
        <a:xfrm>
          <a:off x="1133094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AB70342-A040-4020-BA98-AFD03C70FB7D}" type="TxLink">
            <a:rPr lang="en-US" sz="1800" b="0" i="0" u="none" strike="noStrike">
              <a:solidFill>
                <a:schemeClr val="tx2">
                  <a:lumMod val="25000"/>
                  <a:lumOff val="75000"/>
                </a:schemeClr>
              </a:solidFill>
              <a:latin typeface="Aptos Narrow"/>
            </a:rPr>
            <a:pPr algn="l"/>
            <a:t>Balance:</a:t>
          </a:fld>
          <a:endParaRPr lang="ru-RU" sz="3200" b="0">
            <a:solidFill>
              <a:schemeClr val="tx2">
                <a:lumMod val="25000"/>
                <a:lumOff val="75000"/>
              </a:schemeClr>
            </a:solidFill>
          </a:endParaRPr>
        </a:p>
      </xdr:txBody>
    </xdr:sp>
    <xdr:clientData/>
  </xdr:twoCellAnchor>
  <xdr:twoCellAnchor>
    <xdr:from>
      <xdr:col>19</xdr:col>
      <xdr:colOff>449580</xdr:colOff>
      <xdr:row>17</xdr:row>
      <xdr:rowOff>76200</xdr:rowOff>
    </xdr:from>
    <xdr:to>
      <xdr:col>21</xdr:col>
      <xdr:colOff>388620</xdr:colOff>
      <xdr:row>18</xdr:row>
      <xdr:rowOff>151486</xdr:rowOff>
    </xdr:to>
    <xdr:sp macro="" textlink="'Prototype 3'!$J$53">
      <xdr:nvSpPr>
        <xdr:cNvPr id="54" name="TextBox 53">
          <a:extLst>
            <a:ext uri="{FF2B5EF4-FFF2-40B4-BE49-F238E27FC236}">
              <a16:creationId xmlns:a16="http://schemas.microsoft.com/office/drawing/2014/main" id="{C7A743B3-441D-3EBD-DE6B-C11F25C6E612}"/>
            </a:ext>
          </a:extLst>
        </xdr:cNvPr>
        <xdr:cNvSpPr txBox="1"/>
      </xdr:nvSpPr>
      <xdr:spPr>
        <a:xfrm>
          <a:off x="12070080" y="3185160"/>
          <a:ext cx="1158240"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DEB0E9DE-72C7-4F67-864D-300FA6CEC557}" type="TxLink">
            <a:rPr lang="en-US" sz="2000" b="0" i="0" u="none" strike="noStrike">
              <a:solidFill>
                <a:schemeClr val="bg1"/>
              </a:solidFill>
              <a:latin typeface="Aptos Narrow"/>
            </a:rPr>
            <a:pPr algn="r"/>
            <a:t> $6,146 </a:t>
          </a:fld>
          <a:endParaRPr lang="ru-RU" sz="5400" b="0">
            <a:solidFill>
              <a:schemeClr val="bg1"/>
            </a:solidFill>
          </a:endParaRPr>
        </a:p>
      </xdr:txBody>
    </xdr:sp>
    <xdr:clientData/>
  </xdr:twoCellAnchor>
  <xdr:twoCellAnchor>
    <xdr:from>
      <xdr:col>18</xdr:col>
      <xdr:colOff>320345</xdr:colOff>
      <xdr:row>13</xdr:row>
      <xdr:rowOff>144780</xdr:rowOff>
    </xdr:from>
    <xdr:to>
      <xdr:col>21</xdr:col>
      <xdr:colOff>427969</xdr:colOff>
      <xdr:row>15</xdr:row>
      <xdr:rowOff>153161</xdr:rowOff>
    </xdr:to>
    <xdr:sp macro="" textlink="">
      <xdr:nvSpPr>
        <xdr:cNvPr id="55" name="TextBox 55">
          <a:extLst>
            <a:ext uri="{FF2B5EF4-FFF2-40B4-BE49-F238E27FC236}">
              <a16:creationId xmlns:a16="http://schemas.microsoft.com/office/drawing/2014/main" id="{3F0E3A72-4C8C-490B-8FF1-F3900D715D72}"/>
            </a:ext>
          </a:extLst>
        </xdr:cNvPr>
        <xdr:cNvSpPr txBox="1"/>
      </xdr:nvSpPr>
      <xdr:spPr>
        <a:xfrm>
          <a:off x="11331245" y="2522220"/>
          <a:ext cx="1936424" cy="374141"/>
        </a:xfrm>
        <a:prstGeom prst="rect">
          <a:avLst/>
        </a:prstGeom>
        <a:noFill/>
      </xdr:spPr>
      <xdr:txBody>
        <a:bodyPr wrap="square" rtlCol="0">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r>
            <a:rPr lang="en-US" sz="1400" b="0">
              <a:solidFill>
                <a:schemeClr val="tx2">
                  <a:lumMod val="25000"/>
                  <a:lumOff val="75000"/>
                </a:schemeClr>
              </a:solidFill>
            </a:rPr>
            <a:t>**** **** **** ****</a:t>
          </a:r>
          <a:endParaRPr lang="ru-RU" sz="1400" b="0">
            <a:solidFill>
              <a:schemeClr val="tx2">
                <a:lumMod val="25000"/>
                <a:lumOff val="75000"/>
              </a:schemeClr>
            </a:solidFill>
          </a:endParaRPr>
        </a:p>
      </xdr:txBody>
    </xdr:sp>
    <xdr:clientData/>
  </xdr:twoCellAnchor>
  <xdr:twoCellAnchor>
    <xdr:from>
      <xdr:col>3</xdr:col>
      <xdr:colOff>361088</xdr:colOff>
      <xdr:row>25</xdr:row>
      <xdr:rowOff>160020</xdr:rowOff>
    </xdr:from>
    <xdr:to>
      <xdr:col>8</xdr:col>
      <xdr:colOff>477541</xdr:colOff>
      <xdr:row>37</xdr:row>
      <xdr:rowOff>91440</xdr:rowOff>
    </xdr:to>
    <xdr:grpSp>
      <xdr:nvGrpSpPr>
        <xdr:cNvPr id="73" name="Group 72">
          <a:extLst>
            <a:ext uri="{FF2B5EF4-FFF2-40B4-BE49-F238E27FC236}">
              <a16:creationId xmlns:a16="http://schemas.microsoft.com/office/drawing/2014/main" id="{FBB53D34-40D6-0433-5BB6-1ED029569196}"/>
            </a:ext>
          </a:extLst>
        </xdr:cNvPr>
        <xdr:cNvGrpSpPr/>
      </xdr:nvGrpSpPr>
      <xdr:grpSpPr>
        <a:xfrm>
          <a:off x="2160255" y="4922520"/>
          <a:ext cx="3153869" cy="2217420"/>
          <a:chOff x="2342815" y="4830913"/>
          <a:chExt cx="2822434" cy="1873642"/>
        </a:xfrm>
      </xdr:grpSpPr>
      <xdr:grpSp>
        <xdr:nvGrpSpPr>
          <xdr:cNvPr id="65" name="Group 64">
            <a:extLst>
              <a:ext uri="{FF2B5EF4-FFF2-40B4-BE49-F238E27FC236}">
                <a16:creationId xmlns:a16="http://schemas.microsoft.com/office/drawing/2014/main" id="{9F33A637-29C9-0B99-6429-68586CD2BD6F}"/>
              </a:ext>
            </a:extLst>
          </xdr:cNvPr>
          <xdr:cNvGrpSpPr/>
        </xdr:nvGrpSpPr>
        <xdr:grpSpPr>
          <a:xfrm>
            <a:off x="2342815" y="4830913"/>
            <a:ext cx="2822434" cy="1873642"/>
            <a:chOff x="2365675" y="4617553"/>
            <a:chExt cx="2822434" cy="1873642"/>
          </a:xfrm>
        </xdr:grpSpPr>
        <xdr:sp macro="" textlink="">
          <xdr:nvSpPr>
            <xdr:cNvPr id="63" name="Oval 62">
              <a:extLst>
                <a:ext uri="{FF2B5EF4-FFF2-40B4-BE49-F238E27FC236}">
                  <a16:creationId xmlns:a16="http://schemas.microsoft.com/office/drawing/2014/main" id="{05290BBB-16CB-57F2-E0B0-FC42ED324213}"/>
                </a:ext>
              </a:extLst>
            </xdr:cNvPr>
            <xdr:cNvSpPr/>
          </xdr:nvSpPr>
          <xdr:spPr>
            <a:xfrm>
              <a:off x="3033942" y="4811424"/>
              <a:ext cx="1485900" cy="1485900"/>
            </a:xfrm>
            <a:prstGeom prst="ellipse">
              <a:avLst/>
            </a:prstGeom>
            <a:solidFill>
              <a:schemeClr val="tx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57" name="Oval 56">
              <a:extLst>
                <a:ext uri="{FF2B5EF4-FFF2-40B4-BE49-F238E27FC236}">
                  <a16:creationId xmlns:a16="http://schemas.microsoft.com/office/drawing/2014/main" id="{5965A56C-64FE-36FF-5EF0-CC96809940DD}"/>
                </a:ext>
              </a:extLst>
            </xdr:cNvPr>
            <xdr:cNvSpPr/>
          </xdr:nvSpPr>
          <xdr:spPr>
            <a:xfrm>
              <a:off x="3266316" y="5043798"/>
              <a:ext cx="1021152" cy="1021152"/>
            </a:xfrm>
            <a:prstGeom prst="ellipse">
              <a:avLst/>
            </a:prstGeom>
            <a:gradFill>
              <a:gsLst>
                <a:gs pos="0">
                  <a:srgbClr val="34349E"/>
                </a:gs>
                <a:gs pos="100000">
                  <a:srgbClr val="212469"/>
                </a:gs>
              </a:gsLst>
              <a:lin ang="5400000" scaled="1"/>
            </a:gradFill>
            <a:ln w="9525">
              <a:solidFill>
                <a:srgbClr val="595EFA"/>
              </a:solid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graphicFrame macro="">
          <xdr:nvGraphicFramePr>
            <xdr:cNvPr id="56" name="Chart 55">
              <a:extLst>
                <a:ext uri="{FF2B5EF4-FFF2-40B4-BE49-F238E27FC236}">
                  <a16:creationId xmlns:a16="http://schemas.microsoft.com/office/drawing/2014/main" id="{8D5CD9E3-D1C4-5BD9-36B1-DB2C1E29E8D8}"/>
                </a:ext>
              </a:extLst>
            </xdr:cNvPr>
            <xdr:cNvGraphicFramePr/>
          </xdr:nvGraphicFramePr>
          <xdr:xfrm>
            <a:off x="2365675" y="4617553"/>
            <a:ext cx="2822434" cy="1873642"/>
          </xdr:xfrm>
          <a:graphic>
            <a:graphicData uri="http://schemas.openxmlformats.org/drawingml/2006/chart">
              <c:chart xmlns:c="http://schemas.openxmlformats.org/drawingml/2006/chart" xmlns:r="http://schemas.openxmlformats.org/officeDocument/2006/relationships" r:id="rId8"/>
            </a:graphicData>
          </a:graphic>
        </xdr:graphicFrame>
        <xdr:sp macro="" textlink="">
          <xdr:nvSpPr>
            <xdr:cNvPr id="62" name="Circle: Hollow 61">
              <a:extLst>
                <a:ext uri="{FF2B5EF4-FFF2-40B4-BE49-F238E27FC236}">
                  <a16:creationId xmlns:a16="http://schemas.microsoft.com/office/drawing/2014/main" id="{392DFD22-0C61-C1D5-D658-BED6CFC30CEA}"/>
                </a:ext>
              </a:extLst>
            </xdr:cNvPr>
            <xdr:cNvSpPr/>
          </xdr:nvSpPr>
          <xdr:spPr>
            <a:xfrm>
              <a:off x="2854872" y="4632354"/>
              <a:ext cx="1844040" cy="1844040"/>
            </a:xfrm>
            <a:prstGeom prst="donut">
              <a:avLst>
                <a:gd name="adj" fmla="val 13016"/>
              </a:avLst>
            </a:prstGeom>
            <a:solidFill>
              <a:srgbClr val="10123A"/>
            </a:solidFill>
            <a:ln>
              <a:noFill/>
            </a:ln>
            <a:effectLst>
              <a:outerShdw blurRad="63500" sx="95000" sy="95000" algn="ctr" rotWithShape="0">
                <a:prstClr val="black">
                  <a:alpha val="5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solidFill>
                  <a:schemeClr val="tx1"/>
                </a:solidFill>
              </a:endParaRPr>
            </a:p>
          </xdr:txBody>
        </xdr:sp>
        <xdr:sp macro="" textlink="">
          <xdr:nvSpPr>
            <xdr:cNvPr id="64" name="Oval 63">
              <a:extLst>
                <a:ext uri="{FF2B5EF4-FFF2-40B4-BE49-F238E27FC236}">
                  <a16:creationId xmlns:a16="http://schemas.microsoft.com/office/drawing/2014/main" id="{C428F7F0-2517-5074-BCD0-6759FD70F9A6}"/>
                </a:ext>
              </a:extLst>
            </xdr:cNvPr>
            <xdr:cNvSpPr/>
          </xdr:nvSpPr>
          <xdr:spPr>
            <a:xfrm>
              <a:off x="3390558" y="5168040"/>
              <a:ext cx="777240" cy="777240"/>
            </a:xfrm>
            <a:prstGeom prst="ellipse">
              <a:avLst/>
            </a:prstGeom>
            <a:solidFill>
              <a:srgbClr val="10123A"/>
            </a:soli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graphicFrame macro="">
        <xdr:nvGraphicFramePr>
          <xdr:cNvPr id="66" name="Chart 65">
            <a:extLst>
              <a:ext uri="{FF2B5EF4-FFF2-40B4-BE49-F238E27FC236}">
                <a16:creationId xmlns:a16="http://schemas.microsoft.com/office/drawing/2014/main" id="{4CC9B675-C68A-7987-8CCD-980D542BE7F0}"/>
              </a:ext>
            </a:extLst>
          </xdr:cNvPr>
          <xdr:cNvGraphicFramePr/>
        </xdr:nvGraphicFramePr>
        <xdr:xfrm>
          <a:off x="3303270" y="5318760"/>
          <a:ext cx="914400" cy="914400"/>
        </xdr:xfrm>
        <a:graphic>
          <a:graphicData uri="http://schemas.openxmlformats.org/drawingml/2006/chart">
            <c:chart xmlns:c="http://schemas.openxmlformats.org/drawingml/2006/chart" xmlns:r="http://schemas.openxmlformats.org/officeDocument/2006/relationships" r:id="rId9"/>
          </a:graphicData>
        </a:graphic>
      </xdr:graphicFrame>
      <xdr:sp macro="" textlink="$I$56">
        <xdr:nvSpPr>
          <xdr:cNvPr id="67" name="TextBox 66">
            <a:extLst>
              <a:ext uri="{FF2B5EF4-FFF2-40B4-BE49-F238E27FC236}">
                <a16:creationId xmlns:a16="http://schemas.microsoft.com/office/drawing/2014/main" id="{6C23971B-38E6-4E90-A286-A16031B159A8}"/>
              </a:ext>
            </a:extLst>
          </xdr:cNvPr>
          <xdr:cNvSpPr txBox="1"/>
        </xdr:nvSpPr>
        <xdr:spPr>
          <a:xfrm>
            <a:off x="3321054" y="5634174"/>
            <a:ext cx="889046" cy="34361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67D393F7-2927-4E02-856A-FC58F4D850C3}" type="TxLink">
              <a:rPr lang="en-US" sz="1800" b="0" i="0" u="none" strike="noStrike">
                <a:solidFill>
                  <a:schemeClr val="tx2">
                    <a:lumMod val="10000"/>
                    <a:lumOff val="90000"/>
                  </a:schemeClr>
                </a:solidFill>
                <a:latin typeface="Aptos Narrow"/>
              </a:rPr>
              <a:pPr algn="ctr"/>
              <a:t>72%</a:t>
            </a:fld>
            <a:endParaRPr lang="ru-RU" sz="3200" b="0">
              <a:solidFill>
                <a:schemeClr val="tx2">
                  <a:lumMod val="10000"/>
                  <a:lumOff val="90000"/>
                </a:schemeClr>
              </a:solidFill>
            </a:endParaRPr>
          </a:p>
        </xdr:txBody>
      </xdr:sp>
      <xdr:sp macro="" textlink="'Prototype 3'!$I$55">
        <xdr:nvSpPr>
          <xdr:cNvPr id="68" name="TextBox 67">
            <a:extLst>
              <a:ext uri="{FF2B5EF4-FFF2-40B4-BE49-F238E27FC236}">
                <a16:creationId xmlns:a16="http://schemas.microsoft.com/office/drawing/2014/main" id="{EF94A0C3-A3CE-1C13-147F-40D5BE1102AA}"/>
              </a:ext>
            </a:extLst>
          </xdr:cNvPr>
          <xdr:cNvSpPr txBox="1"/>
        </xdr:nvSpPr>
        <xdr:spPr>
          <a:xfrm>
            <a:off x="3423074" y="5491204"/>
            <a:ext cx="6679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D4527E42-EC7D-4F3C-9E96-FCB0BB2FCCFA}" type="TxLink">
              <a:rPr lang="en-US" sz="900" b="0" i="0" u="none" strike="noStrike">
                <a:solidFill>
                  <a:schemeClr val="tx2">
                    <a:lumMod val="10000"/>
                    <a:lumOff val="90000"/>
                  </a:schemeClr>
                </a:solidFill>
                <a:latin typeface="Aptos Narrow"/>
              </a:rPr>
              <a:pPr algn="ctr"/>
              <a:t>Used Budget</a:t>
            </a:fld>
            <a:endParaRPr lang="ru-RU" sz="1600" b="0">
              <a:solidFill>
                <a:schemeClr val="tx2">
                  <a:lumMod val="10000"/>
                  <a:lumOff val="90000"/>
                </a:schemeClr>
              </a:solidFill>
            </a:endParaRPr>
          </a:p>
        </xdr:txBody>
      </xdr:sp>
    </xdr:grpSp>
    <xdr:clientData/>
  </xdr:twoCellAnchor>
  <xdr:twoCellAnchor>
    <xdr:from>
      <xdr:col>4</xdr:col>
      <xdr:colOff>186874</xdr:colOff>
      <xdr:row>24</xdr:row>
      <xdr:rowOff>41095</xdr:rowOff>
    </xdr:from>
    <xdr:to>
      <xdr:col>6</xdr:col>
      <xdr:colOff>150998</xdr:colOff>
      <xdr:row>25</xdr:row>
      <xdr:rowOff>121921</xdr:rowOff>
    </xdr:to>
    <xdr:sp macro="" textlink="$L$53">
      <xdr:nvSpPr>
        <xdr:cNvPr id="69" name="TextBox 68">
          <a:extLst>
            <a:ext uri="{FF2B5EF4-FFF2-40B4-BE49-F238E27FC236}">
              <a16:creationId xmlns:a16="http://schemas.microsoft.com/office/drawing/2014/main" id="{3ABE1E4E-A5C2-5BAE-11D7-1E016FA652AA}"/>
            </a:ext>
          </a:extLst>
        </xdr:cNvPr>
        <xdr:cNvSpPr txBox="1"/>
      </xdr:nvSpPr>
      <xdr:spPr>
        <a:xfrm>
          <a:off x="2625274" y="4430215"/>
          <a:ext cx="118332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4834FC9-28FB-4280-A044-09A7C1CE9F0E}" type="TxLink">
            <a:rPr lang="en-US" sz="1400" b="0" i="0" u="none" strike="noStrike">
              <a:solidFill>
                <a:schemeClr val="tx2">
                  <a:lumMod val="25000"/>
                  <a:lumOff val="75000"/>
                </a:schemeClr>
              </a:solidFill>
              <a:latin typeface="Aptos Narrow"/>
            </a:rPr>
            <a:pPr algn="ctr"/>
            <a:t>Budget Plan</a:t>
          </a:fld>
          <a:endParaRPr lang="ru-RU" sz="2000" b="0">
            <a:solidFill>
              <a:schemeClr val="tx2">
                <a:lumMod val="25000"/>
                <a:lumOff val="75000"/>
              </a:schemeClr>
            </a:solidFill>
          </a:endParaRPr>
        </a:p>
      </xdr:txBody>
    </xdr:sp>
    <xdr:clientData/>
  </xdr:twoCellAnchor>
  <xdr:twoCellAnchor>
    <xdr:from>
      <xdr:col>5</xdr:col>
      <xdr:colOff>605974</xdr:colOff>
      <xdr:row>24</xdr:row>
      <xdr:rowOff>41095</xdr:rowOff>
    </xdr:from>
    <xdr:to>
      <xdr:col>7</xdr:col>
      <xdr:colOff>570098</xdr:colOff>
      <xdr:row>25</xdr:row>
      <xdr:rowOff>121921</xdr:rowOff>
    </xdr:to>
    <xdr:sp macro="" textlink="$I$57">
      <xdr:nvSpPr>
        <xdr:cNvPr id="70" name="TextBox 69">
          <a:extLst>
            <a:ext uri="{FF2B5EF4-FFF2-40B4-BE49-F238E27FC236}">
              <a16:creationId xmlns:a16="http://schemas.microsoft.com/office/drawing/2014/main" id="{EBC76040-05EB-535C-07BA-D62295DC6E00}"/>
            </a:ext>
          </a:extLst>
        </xdr:cNvPr>
        <xdr:cNvSpPr txBox="1"/>
      </xdr:nvSpPr>
      <xdr:spPr>
        <a:xfrm>
          <a:off x="3653974" y="4430215"/>
          <a:ext cx="118332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334865-87D0-4E1A-ADB3-282F4917499B}" type="TxLink">
            <a:rPr lang="en-US" sz="1800" b="0" i="0" u="none" strike="noStrike">
              <a:solidFill>
                <a:schemeClr val="tx2">
                  <a:lumMod val="25000"/>
                  <a:lumOff val="75000"/>
                </a:schemeClr>
              </a:solidFill>
              <a:latin typeface="Aptos Narrow"/>
              <a:ea typeface="+mn-ea"/>
              <a:cs typeface="+mn-cs"/>
            </a:rPr>
            <a:pPr marL="0" indent="0" algn="r"/>
            <a:t> $37,528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10</xdr:col>
      <xdr:colOff>123836</xdr:colOff>
      <xdr:row>27</xdr:row>
      <xdr:rowOff>76200</xdr:rowOff>
    </xdr:from>
    <xdr:to>
      <xdr:col>11</xdr:col>
      <xdr:colOff>111768</xdr:colOff>
      <xdr:row>29</xdr:row>
      <xdr:rowOff>137160</xdr:rowOff>
    </xdr:to>
    <xdr:grpSp>
      <xdr:nvGrpSpPr>
        <xdr:cNvPr id="76" name="Group 75">
          <a:extLst>
            <a:ext uri="{FF2B5EF4-FFF2-40B4-BE49-F238E27FC236}">
              <a16:creationId xmlns:a16="http://schemas.microsoft.com/office/drawing/2014/main" id="{C44591B9-B50B-9B4B-46F1-A753D691A540}"/>
            </a:ext>
          </a:extLst>
        </xdr:cNvPr>
        <xdr:cNvGrpSpPr/>
      </xdr:nvGrpSpPr>
      <xdr:grpSpPr>
        <a:xfrm>
          <a:off x="6188086" y="5219700"/>
          <a:ext cx="601765" cy="441960"/>
          <a:chOff x="6311276" y="5013960"/>
          <a:chExt cx="597532" cy="426720"/>
        </a:xfrm>
      </xdr:grpSpPr>
      <xdr:sp macro="" textlink="">
        <xdr:nvSpPr>
          <xdr:cNvPr id="74" name="Oval 73">
            <a:extLst>
              <a:ext uri="{FF2B5EF4-FFF2-40B4-BE49-F238E27FC236}">
                <a16:creationId xmlns:a16="http://schemas.microsoft.com/office/drawing/2014/main" id="{1BAA5844-DAA7-4A16-A36B-CE4D53B005DC}"/>
              </a:ext>
            </a:extLst>
          </xdr:cNvPr>
          <xdr:cNvSpPr/>
        </xdr:nvSpPr>
        <xdr:spPr>
          <a:xfrm>
            <a:off x="6411354" y="5013960"/>
            <a:ext cx="365760" cy="365760"/>
          </a:xfrm>
          <a:prstGeom prst="ellipse">
            <a:avLst/>
          </a:prstGeom>
          <a:solidFill>
            <a:srgbClr val="CAD4FA">
              <a:alpha val="20000"/>
            </a:srgbClr>
          </a:solidFill>
          <a:ln w="12700">
            <a:solidFill>
              <a:schemeClr val="tx2">
                <a:lumMod val="25000"/>
                <a:lumOff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sp macro="" textlink="">
        <xdr:nvSpPr>
          <xdr:cNvPr id="75" name="Rectangle 74">
            <a:extLst>
              <a:ext uri="{FF2B5EF4-FFF2-40B4-BE49-F238E27FC236}">
                <a16:creationId xmlns:a16="http://schemas.microsoft.com/office/drawing/2014/main" id="{3A2E0658-F624-48ED-B4EC-C0529DD04F8A}"/>
              </a:ext>
            </a:extLst>
          </xdr:cNvPr>
          <xdr:cNvSpPr/>
        </xdr:nvSpPr>
        <xdr:spPr>
          <a:xfrm>
            <a:off x="6311276" y="5197359"/>
            <a:ext cx="597532" cy="243321"/>
          </a:xfrm>
          <a:prstGeom prst="rect">
            <a:avLst/>
          </a:prstGeom>
          <a:solidFill>
            <a:srgbClr val="10123A"/>
          </a:solidFill>
          <a:ln>
            <a:noFill/>
          </a:ln>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grpSp>
    <xdr:clientData/>
  </xdr:twoCellAnchor>
  <xdr:twoCellAnchor>
    <xdr:from>
      <xdr:col>7</xdr:col>
      <xdr:colOff>332740</xdr:colOff>
      <xdr:row>20</xdr:row>
      <xdr:rowOff>124968</xdr:rowOff>
    </xdr:from>
    <xdr:to>
      <xdr:col>13</xdr:col>
      <xdr:colOff>365761</xdr:colOff>
      <xdr:row>34</xdr:row>
      <xdr:rowOff>45720</xdr:rowOff>
    </xdr:to>
    <xdr:graphicFrame macro="">
      <xdr:nvGraphicFramePr>
        <xdr:cNvPr id="58" name="Chart 57">
          <a:extLst>
            <a:ext uri="{FF2B5EF4-FFF2-40B4-BE49-F238E27FC236}">
              <a16:creationId xmlns:a16="http://schemas.microsoft.com/office/drawing/2014/main" id="{E0C57B45-61D1-4E89-8630-32F622835A4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8</xdr:col>
      <xdr:colOff>339274</xdr:colOff>
      <xdr:row>23</xdr:row>
      <xdr:rowOff>147775</xdr:rowOff>
    </xdr:from>
    <xdr:to>
      <xdr:col>9</xdr:col>
      <xdr:colOff>495300</xdr:colOff>
      <xdr:row>25</xdr:row>
      <xdr:rowOff>45721</xdr:rowOff>
    </xdr:to>
    <xdr:sp macro="" textlink="$L$60">
      <xdr:nvSpPr>
        <xdr:cNvPr id="71" name="TextBox 70">
          <a:extLst>
            <a:ext uri="{FF2B5EF4-FFF2-40B4-BE49-F238E27FC236}">
              <a16:creationId xmlns:a16="http://schemas.microsoft.com/office/drawing/2014/main" id="{ADE8214F-9320-EAE7-0F87-612679C02C46}"/>
            </a:ext>
          </a:extLst>
        </xdr:cNvPr>
        <xdr:cNvSpPr txBox="1"/>
      </xdr:nvSpPr>
      <xdr:spPr>
        <a:xfrm>
          <a:off x="5254174" y="435401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5D08DA1D-29E3-4698-92F6-1B8CCD2A644D}" type="TxLink">
            <a:rPr lang="en-US" sz="1200" b="0" i="0" u="none" strike="noStrike">
              <a:solidFill>
                <a:schemeClr val="tx2">
                  <a:lumMod val="25000"/>
                  <a:lumOff val="75000"/>
                </a:schemeClr>
              </a:solidFill>
              <a:latin typeface="Aptos Narrow"/>
            </a:rPr>
            <a:pPr algn="l"/>
            <a:t>Invest</a:t>
          </a:fld>
          <a:endParaRPr lang="ru-RU" sz="2400" b="0">
            <a:solidFill>
              <a:schemeClr val="tx2">
                <a:lumMod val="25000"/>
                <a:lumOff val="75000"/>
              </a:schemeClr>
            </a:solidFill>
          </a:endParaRPr>
        </a:p>
      </xdr:txBody>
    </xdr:sp>
    <xdr:clientData/>
  </xdr:twoCellAnchor>
  <xdr:twoCellAnchor>
    <xdr:from>
      <xdr:col>10</xdr:col>
      <xdr:colOff>296490</xdr:colOff>
      <xdr:row>23</xdr:row>
      <xdr:rowOff>147775</xdr:rowOff>
    </xdr:from>
    <xdr:to>
      <xdr:col>12</xdr:col>
      <xdr:colOff>218045</xdr:colOff>
      <xdr:row>25</xdr:row>
      <xdr:rowOff>45721</xdr:rowOff>
    </xdr:to>
    <xdr:sp macro="" textlink="$M$60">
      <xdr:nvSpPr>
        <xdr:cNvPr id="72" name="TextBox 71">
          <a:extLst>
            <a:ext uri="{FF2B5EF4-FFF2-40B4-BE49-F238E27FC236}">
              <a16:creationId xmlns:a16="http://schemas.microsoft.com/office/drawing/2014/main" id="{85120469-3405-758E-468B-045194F3CA64}"/>
            </a:ext>
          </a:extLst>
        </xdr:cNvPr>
        <xdr:cNvSpPr txBox="1"/>
      </xdr:nvSpPr>
      <xdr:spPr>
        <a:xfrm>
          <a:off x="6430590" y="4354015"/>
          <a:ext cx="1140755"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81A8505-79C6-4F16-A111-F0D37D9AB88C}" type="TxLink">
            <a:rPr lang="en-US" sz="1200" b="0" i="0" u="none" strike="noStrike">
              <a:solidFill>
                <a:schemeClr val="tx2">
                  <a:lumMod val="25000"/>
                  <a:lumOff val="75000"/>
                </a:schemeClr>
              </a:solidFill>
              <a:latin typeface="Aptos Narrow"/>
            </a:rPr>
            <a:pPr algn="r"/>
            <a:t> $1,25,000 </a:t>
          </a:fld>
          <a:endParaRPr lang="ru-RU" sz="4000" b="0">
            <a:solidFill>
              <a:schemeClr val="tx2">
                <a:lumMod val="25000"/>
                <a:lumOff val="75000"/>
              </a:schemeClr>
            </a:solidFill>
          </a:endParaRPr>
        </a:p>
      </xdr:txBody>
    </xdr:sp>
    <xdr:clientData/>
  </xdr:twoCellAnchor>
  <xdr:twoCellAnchor>
    <xdr:from>
      <xdr:col>8</xdr:col>
      <xdr:colOff>281940</xdr:colOff>
      <xdr:row>31</xdr:row>
      <xdr:rowOff>7620</xdr:rowOff>
    </xdr:from>
    <xdr:to>
      <xdr:col>12</xdr:col>
      <xdr:colOff>281940</xdr:colOff>
      <xdr:row>37</xdr:row>
      <xdr:rowOff>144780</xdr:rowOff>
    </xdr:to>
    <xdr:graphicFrame macro="">
      <xdr:nvGraphicFramePr>
        <xdr:cNvPr id="77" name="Chart 76">
          <a:extLst>
            <a:ext uri="{FF2B5EF4-FFF2-40B4-BE49-F238E27FC236}">
              <a16:creationId xmlns:a16="http://schemas.microsoft.com/office/drawing/2014/main" id="{A58AE1ED-3323-410B-BEA7-C385B8C56D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13</xdr:col>
      <xdr:colOff>145181</xdr:colOff>
      <xdr:row>23</xdr:row>
      <xdr:rowOff>156210</xdr:rowOff>
    </xdr:from>
    <xdr:to>
      <xdr:col>17</xdr:col>
      <xdr:colOff>52940</xdr:colOff>
      <xdr:row>38</xdr:row>
      <xdr:rowOff>156210</xdr:rowOff>
    </xdr:to>
    <xdr:graphicFrame macro="">
      <xdr:nvGraphicFramePr>
        <xdr:cNvPr id="78" name="Chart 77">
          <a:extLst>
            <a:ext uri="{FF2B5EF4-FFF2-40B4-BE49-F238E27FC236}">
              <a16:creationId xmlns:a16="http://schemas.microsoft.com/office/drawing/2014/main" id="{C2A674F7-A21E-910F-6565-99200C8B27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14</xdr:col>
      <xdr:colOff>453257</xdr:colOff>
      <xdr:row>29</xdr:row>
      <xdr:rowOff>72257</xdr:rowOff>
    </xdr:from>
    <xdr:to>
      <xdr:col>15</xdr:col>
      <xdr:colOff>491624</xdr:colOff>
      <xdr:row>32</xdr:row>
      <xdr:rowOff>171584</xdr:rowOff>
    </xdr:to>
    <xdr:sp macro="" textlink="">
      <xdr:nvSpPr>
        <xdr:cNvPr id="79" name="Oval 78">
          <a:extLst>
            <a:ext uri="{FF2B5EF4-FFF2-40B4-BE49-F238E27FC236}">
              <a16:creationId xmlns:a16="http://schemas.microsoft.com/office/drawing/2014/main" id="{A45ED5DA-03C7-44CE-B9F2-B5E9079D2B46}"/>
            </a:ext>
          </a:extLst>
        </xdr:cNvPr>
        <xdr:cNvSpPr/>
      </xdr:nvSpPr>
      <xdr:spPr>
        <a:xfrm>
          <a:off x="9056237" y="5375777"/>
          <a:ext cx="647967" cy="647967"/>
        </a:xfrm>
        <a:prstGeom prst="ellipse">
          <a:avLst/>
        </a:prstGeom>
        <a:solidFill>
          <a:srgbClr val="CAD4FA">
            <a:alpha val="20000"/>
          </a:srgbClr>
        </a:solidFill>
        <a:ln w="12700">
          <a:solidFill>
            <a:schemeClr val="tx2">
              <a:lumMod val="25000"/>
              <a:lumOff val="75000"/>
            </a:schemeClr>
          </a:solidFill>
        </a:ln>
        <a:effectLst>
          <a:outerShdw blurRad="50800" dist="38100" dir="8100000" algn="tr"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14</xdr:col>
      <xdr:colOff>428888</xdr:colOff>
      <xdr:row>29</xdr:row>
      <xdr:rowOff>160342</xdr:rowOff>
    </xdr:from>
    <xdr:to>
      <xdr:col>15</xdr:col>
      <xdr:colOff>527607</xdr:colOff>
      <xdr:row>32</xdr:row>
      <xdr:rowOff>78874</xdr:rowOff>
    </xdr:to>
    <xdr:sp macro="" textlink="$C$76">
      <xdr:nvSpPr>
        <xdr:cNvPr id="80" name="TextBox 79">
          <a:extLst>
            <a:ext uri="{FF2B5EF4-FFF2-40B4-BE49-F238E27FC236}">
              <a16:creationId xmlns:a16="http://schemas.microsoft.com/office/drawing/2014/main" id="{424C75E2-1ED7-EF1A-4AC0-8A04EEEE1A37}"/>
            </a:ext>
          </a:extLst>
        </xdr:cNvPr>
        <xdr:cNvSpPr txBox="1"/>
      </xdr:nvSpPr>
      <xdr:spPr>
        <a:xfrm>
          <a:off x="9031868" y="5463862"/>
          <a:ext cx="708319" cy="46717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68FB4DD-DD21-4151-8788-E44F4C051638}" type="TxLink">
            <a:rPr lang="en-US" sz="1800" b="0" i="0" u="none" strike="noStrike">
              <a:solidFill>
                <a:schemeClr val="bg1"/>
              </a:solidFill>
              <a:latin typeface="Aptos Narrow"/>
            </a:rPr>
            <a:pPr algn="ctr"/>
            <a:t>51%</a:t>
          </a:fld>
          <a:endParaRPr lang="ru-RU" sz="6000" b="0">
            <a:solidFill>
              <a:schemeClr val="bg1"/>
            </a:solidFill>
          </a:endParaRPr>
        </a:p>
      </xdr:txBody>
    </xdr:sp>
    <xdr:clientData/>
  </xdr:twoCellAnchor>
  <xdr:twoCellAnchor>
    <xdr:from>
      <xdr:col>14</xdr:col>
      <xdr:colOff>324034</xdr:colOff>
      <xdr:row>25</xdr:row>
      <xdr:rowOff>63955</xdr:rowOff>
    </xdr:from>
    <xdr:to>
      <xdr:col>15</xdr:col>
      <xdr:colOff>336226</xdr:colOff>
      <xdr:row>29</xdr:row>
      <xdr:rowOff>127963</xdr:rowOff>
    </xdr:to>
    <xdr:sp macro="" textlink="$D$76">
      <xdr:nvSpPr>
        <xdr:cNvPr id="81" name="TextBox 80">
          <a:extLst>
            <a:ext uri="{FF2B5EF4-FFF2-40B4-BE49-F238E27FC236}">
              <a16:creationId xmlns:a16="http://schemas.microsoft.com/office/drawing/2014/main" id="{3974DDBB-7064-5B50-14DC-CFA04FB99AA6}"/>
            </a:ext>
          </a:extLst>
        </xdr:cNvPr>
        <xdr:cNvSpPr txBox="1"/>
      </xdr:nvSpPr>
      <xdr:spPr>
        <a:xfrm>
          <a:off x="8927014" y="4635955"/>
          <a:ext cx="621792" cy="79552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1AC67DD-5614-4ED2-B1AD-9682E26BEFA2}" type="TxLink">
            <a:rPr lang="en-US" sz="800" b="0" i="0" u="none" strike="noStrike">
              <a:solidFill>
                <a:schemeClr val="tx2">
                  <a:lumMod val="25000"/>
                  <a:lumOff val="75000"/>
                </a:schemeClr>
              </a:solidFill>
              <a:latin typeface="Aptos Narrow"/>
            </a:rPr>
            <a:pPr algn="l"/>
            <a:t>Goal  1
Goal  2
Goal  3
Goal  4</a:t>
          </a:fld>
          <a:endParaRPr lang="ru-RU" sz="800" b="0">
            <a:solidFill>
              <a:schemeClr val="tx2">
                <a:lumMod val="25000"/>
                <a:lumOff val="75000"/>
              </a:schemeClr>
            </a:solidFill>
          </a:endParaRPr>
        </a:p>
      </xdr:txBody>
    </xdr:sp>
    <xdr:clientData/>
  </xdr:twoCellAnchor>
  <xdr:twoCellAnchor>
    <xdr:from>
      <xdr:col>13</xdr:col>
      <xdr:colOff>4188</xdr:colOff>
      <xdr:row>24</xdr:row>
      <xdr:rowOff>41095</xdr:rowOff>
    </xdr:from>
    <xdr:to>
      <xdr:col>15</xdr:col>
      <xdr:colOff>80204</xdr:colOff>
      <xdr:row>25</xdr:row>
      <xdr:rowOff>121921</xdr:rowOff>
    </xdr:to>
    <xdr:sp macro="" textlink="$A$76">
      <xdr:nvSpPr>
        <xdr:cNvPr id="82" name="TextBox 81">
          <a:extLst>
            <a:ext uri="{FF2B5EF4-FFF2-40B4-BE49-F238E27FC236}">
              <a16:creationId xmlns:a16="http://schemas.microsoft.com/office/drawing/2014/main" id="{16C8B822-C88B-EB3E-850E-54A82B9306E3}"/>
            </a:ext>
          </a:extLst>
        </xdr:cNvPr>
        <xdr:cNvSpPr txBox="1"/>
      </xdr:nvSpPr>
      <xdr:spPr>
        <a:xfrm>
          <a:off x="7997568" y="4430215"/>
          <a:ext cx="129521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6F8C62C-49E5-4FC5-8BF3-98FBC31101B4}" type="TxLink">
            <a:rPr lang="en-US" sz="1400" b="0" i="0" u="none" strike="noStrike">
              <a:solidFill>
                <a:schemeClr val="tx2">
                  <a:lumMod val="25000"/>
                  <a:lumOff val="75000"/>
                </a:schemeClr>
              </a:solidFill>
              <a:latin typeface="Aptos Narrow"/>
              <a:ea typeface="+mn-ea"/>
              <a:cs typeface="+mn-cs"/>
            </a:rPr>
            <a:pPr marL="0" indent="0" algn="ctr"/>
            <a:t>Financial Goals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15</xdr:col>
      <xdr:colOff>285934</xdr:colOff>
      <xdr:row>24</xdr:row>
      <xdr:rowOff>41095</xdr:rowOff>
    </xdr:from>
    <xdr:to>
      <xdr:col>17</xdr:col>
      <xdr:colOff>250058</xdr:colOff>
      <xdr:row>25</xdr:row>
      <xdr:rowOff>121921</xdr:rowOff>
    </xdr:to>
    <xdr:sp macro="" textlink="$A$75">
      <xdr:nvSpPr>
        <xdr:cNvPr id="83" name="TextBox 82">
          <a:extLst>
            <a:ext uri="{FF2B5EF4-FFF2-40B4-BE49-F238E27FC236}">
              <a16:creationId xmlns:a16="http://schemas.microsoft.com/office/drawing/2014/main" id="{F8B8216F-FAE6-62CF-3278-A48D906515F1}"/>
            </a:ext>
          </a:extLst>
        </xdr:cNvPr>
        <xdr:cNvSpPr txBox="1"/>
      </xdr:nvSpPr>
      <xdr:spPr>
        <a:xfrm>
          <a:off x="9498514" y="4430215"/>
          <a:ext cx="1183324"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3BEC018E-B647-416B-94A0-5042AF72ED3C}" type="TxLink">
            <a:rPr lang="en-US" sz="1800" b="0" i="0" u="none" strike="noStrike">
              <a:solidFill>
                <a:schemeClr val="tx2">
                  <a:lumMod val="25000"/>
                  <a:lumOff val="75000"/>
                </a:schemeClr>
              </a:solidFill>
              <a:latin typeface="Aptos Narrow"/>
              <a:ea typeface="+mn-ea"/>
              <a:cs typeface="+mn-cs"/>
            </a:rPr>
            <a:pPr marL="0" indent="0" algn="r"/>
            <a:t> $1,09,619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8</xdr:col>
      <xdr:colOff>339274</xdr:colOff>
      <xdr:row>31</xdr:row>
      <xdr:rowOff>102055</xdr:rowOff>
    </xdr:from>
    <xdr:to>
      <xdr:col>9</xdr:col>
      <xdr:colOff>495300</xdr:colOff>
      <xdr:row>33</xdr:row>
      <xdr:rowOff>1</xdr:rowOff>
    </xdr:to>
    <xdr:sp macro="" textlink="$K$69">
      <xdr:nvSpPr>
        <xdr:cNvPr id="84" name="TextBox 83">
          <a:extLst>
            <a:ext uri="{FF2B5EF4-FFF2-40B4-BE49-F238E27FC236}">
              <a16:creationId xmlns:a16="http://schemas.microsoft.com/office/drawing/2014/main" id="{05FCA3C2-D4CE-C4BB-0E8D-E744A4B607D7}"/>
            </a:ext>
          </a:extLst>
        </xdr:cNvPr>
        <xdr:cNvSpPr txBox="1"/>
      </xdr:nvSpPr>
      <xdr:spPr>
        <a:xfrm>
          <a:off x="5254174" y="5771335"/>
          <a:ext cx="765626"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666B69E6-DE11-4BAF-B179-86465DDAA528}" type="TxLink">
            <a:rPr lang="en-US" sz="1200" b="0" i="0" u="none" strike="noStrike">
              <a:solidFill>
                <a:schemeClr val="tx2">
                  <a:lumMod val="25000"/>
                  <a:lumOff val="75000"/>
                </a:schemeClr>
              </a:solidFill>
              <a:latin typeface="Aptos Narrow"/>
              <a:ea typeface="+mn-ea"/>
              <a:cs typeface="+mn-cs"/>
            </a:rPr>
            <a:pPr marL="0" indent="0" algn="l"/>
            <a:t>Debts</a:t>
          </a:fld>
          <a:endParaRPr lang="ru-RU" sz="12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175260</xdr:colOff>
      <xdr:row>25</xdr:row>
      <xdr:rowOff>8131</xdr:rowOff>
    </xdr:from>
    <xdr:to>
      <xdr:col>18</xdr:col>
      <xdr:colOff>515605</xdr:colOff>
      <xdr:row>26</xdr:row>
      <xdr:rowOff>165596</xdr:rowOff>
    </xdr:to>
    <xdr:sp macro="" textlink="">
      <xdr:nvSpPr>
        <xdr:cNvPr id="99" name="Oval 98">
          <a:extLst>
            <a:ext uri="{FF2B5EF4-FFF2-40B4-BE49-F238E27FC236}">
              <a16:creationId xmlns:a16="http://schemas.microsoft.com/office/drawing/2014/main" id="{5C71564D-9F68-4A78-9F20-46E8A0F01467}"/>
            </a:ext>
          </a:extLst>
        </xdr:cNvPr>
        <xdr:cNvSpPr/>
      </xdr:nvSpPr>
      <xdr:spPr>
        <a:xfrm>
          <a:off x="11216640" y="4580131"/>
          <a:ext cx="340345" cy="340345"/>
        </a:xfrm>
        <a:prstGeom prst="ellipse">
          <a:avLst/>
        </a:prstGeom>
        <a:gradFill>
          <a:gsLst>
            <a:gs pos="0">
              <a:srgbClr val="0070B1"/>
            </a:gs>
            <a:gs pos="100000">
              <a:srgbClr val="00B7D2"/>
            </a:gs>
          </a:gsLst>
          <a:lin ang="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175260</xdr:colOff>
      <xdr:row>27</xdr:row>
      <xdr:rowOff>92462</xdr:rowOff>
    </xdr:from>
    <xdr:to>
      <xdr:col>18</xdr:col>
      <xdr:colOff>515605</xdr:colOff>
      <xdr:row>29</xdr:row>
      <xdr:rowOff>67047</xdr:rowOff>
    </xdr:to>
    <xdr:sp macro="" textlink="">
      <xdr:nvSpPr>
        <xdr:cNvPr id="100" name="Oval 99">
          <a:extLst>
            <a:ext uri="{FF2B5EF4-FFF2-40B4-BE49-F238E27FC236}">
              <a16:creationId xmlns:a16="http://schemas.microsoft.com/office/drawing/2014/main" id="{EF9D6EC3-2E80-B3B4-FEB3-4C72E29090DE}"/>
            </a:ext>
          </a:extLst>
        </xdr:cNvPr>
        <xdr:cNvSpPr/>
      </xdr:nvSpPr>
      <xdr:spPr>
        <a:xfrm>
          <a:off x="11216640" y="5030222"/>
          <a:ext cx="340345" cy="340345"/>
        </a:xfrm>
        <a:prstGeom prst="ellipse">
          <a:avLst/>
        </a:prstGeom>
        <a:gradFill>
          <a:gsLst>
            <a:gs pos="0">
              <a:srgbClr val="8701D9"/>
            </a:gs>
            <a:gs pos="100000">
              <a:srgbClr val="AD27FE"/>
            </a:gs>
          </a:gsLst>
          <a:path path="circle">
            <a:fillToRect t="100000" r="100000"/>
          </a:path>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175260</xdr:colOff>
      <xdr:row>29</xdr:row>
      <xdr:rowOff>176793</xdr:rowOff>
    </xdr:from>
    <xdr:to>
      <xdr:col>18</xdr:col>
      <xdr:colOff>515605</xdr:colOff>
      <xdr:row>31</xdr:row>
      <xdr:rowOff>151378</xdr:rowOff>
    </xdr:to>
    <xdr:sp macro="" textlink="">
      <xdr:nvSpPr>
        <xdr:cNvPr id="101" name="Oval 100">
          <a:extLst>
            <a:ext uri="{FF2B5EF4-FFF2-40B4-BE49-F238E27FC236}">
              <a16:creationId xmlns:a16="http://schemas.microsoft.com/office/drawing/2014/main" id="{8DC7FC5D-F595-4E61-F5DE-3875FEFB3C12}"/>
            </a:ext>
          </a:extLst>
        </xdr:cNvPr>
        <xdr:cNvSpPr/>
      </xdr:nvSpPr>
      <xdr:spPr>
        <a:xfrm>
          <a:off x="11216640" y="5480313"/>
          <a:ext cx="340345" cy="340345"/>
        </a:xfrm>
        <a:prstGeom prst="ellipse">
          <a:avLst/>
        </a:prstGeom>
        <a:gradFill>
          <a:gsLst>
            <a:gs pos="0">
              <a:srgbClr val="476BEE"/>
            </a:gs>
            <a:gs pos="100000">
              <a:srgbClr val="3A5CE2"/>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175260</xdr:colOff>
      <xdr:row>32</xdr:row>
      <xdr:rowOff>78244</xdr:rowOff>
    </xdr:from>
    <xdr:to>
      <xdr:col>18</xdr:col>
      <xdr:colOff>515605</xdr:colOff>
      <xdr:row>34</xdr:row>
      <xdr:rowOff>52829</xdr:rowOff>
    </xdr:to>
    <xdr:sp macro="" textlink="">
      <xdr:nvSpPr>
        <xdr:cNvPr id="102" name="Oval 101">
          <a:extLst>
            <a:ext uri="{FF2B5EF4-FFF2-40B4-BE49-F238E27FC236}">
              <a16:creationId xmlns:a16="http://schemas.microsoft.com/office/drawing/2014/main" id="{7B6E6A6F-C2E8-022F-5244-F6E5790AC417}"/>
            </a:ext>
          </a:extLst>
        </xdr:cNvPr>
        <xdr:cNvSpPr/>
      </xdr:nvSpPr>
      <xdr:spPr>
        <a:xfrm>
          <a:off x="11216640" y="5930404"/>
          <a:ext cx="340345" cy="340345"/>
        </a:xfrm>
        <a:prstGeom prst="ellipse">
          <a:avLst/>
        </a:prstGeom>
        <a:gradFill>
          <a:gsLst>
            <a:gs pos="0">
              <a:srgbClr val="8D76FC"/>
            </a:gs>
            <a:gs pos="100000">
              <a:srgbClr val="3647E3"/>
            </a:gs>
          </a:gsLst>
          <a:lin ang="5400000" scaled="1"/>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175260</xdr:colOff>
      <xdr:row>34</xdr:row>
      <xdr:rowOff>162575</xdr:rowOff>
    </xdr:from>
    <xdr:to>
      <xdr:col>18</xdr:col>
      <xdr:colOff>515605</xdr:colOff>
      <xdr:row>36</xdr:row>
      <xdr:rowOff>137160</xdr:rowOff>
    </xdr:to>
    <xdr:sp macro="" textlink="">
      <xdr:nvSpPr>
        <xdr:cNvPr id="103" name="Oval 102">
          <a:extLst>
            <a:ext uri="{FF2B5EF4-FFF2-40B4-BE49-F238E27FC236}">
              <a16:creationId xmlns:a16="http://schemas.microsoft.com/office/drawing/2014/main" id="{98BA39D1-E8C8-882F-3C46-ECD402834AD9}"/>
            </a:ext>
          </a:extLst>
        </xdr:cNvPr>
        <xdr:cNvSpPr/>
      </xdr:nvSpPr>
      <xdr:spPr>
        <a:xfrm>
          <a:off x="11216640" y="6380495"/>
          <a:ext cx="340345" cy="340345"/>
        </a:xfrm>
        <a:prstGeom prst="ellipse">
          <a:avLst/>
        </a:prstGeom>
        <a:gradFill>
          <a:gsLst>
            <a:gs pos="0">
              <a:srgbClr val="34349E"/>
            </a:gs>
            <a:gs pos="100000">
              <a:srgbClr val="212469"/>
            </a:gs>
          </a:gsLst>
          <a:lin ang="5400000" scaled="1"/>
        </a:gradFill>
        <a:ln w="9525">
          <a:solidFill>
            <a:srgbClr val="595EFA"/>
          </a:solid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175260</xdr:colOff>
      <xdr:row>22</xdr:row>
      <xdr:rowOff>106680</xdr:rowOff>
    </xdr:from>
    <xdr:to>
      <xdr:col>18</xdr:col>
      <xdr:colOff>515605</xdr:colOff>
      <xdr:row>24</xdr:row>
      <xdr:rowOff>81265</xdr:rowOff>
    </xdr:to>
    <xdr:sp macro="" textlink="">
      <xdr:nvSpPr>
        <xdr:cNvPr id="98" name="Oval 97">
          <a:extLst>
            <a:ext uri="{FF2B5EF4-FFF2-40B4-BE49-F238E27FC236}">
              <a16:creationId xmlns:a16="http://schemas.microsoft.com/office/drawing/2014/main" id="{4E99B0FA-AD59-5C63-A70F-C28D86EA9B75}"/>
            </a:ext>
          </a:extLst>
        </xdr:cNvPr>
        <xdr:cNvSpPr/>
      </xdr:nvSpPr>
      <xdr:spPr>
        <a:xfrm>
          <a:off x="11216640" y="4130040"/>
          <a:ext cx="340345" cy="340345"/>
        </a:xfrm>
        <a:prstGeom prst="ellipse">
          <a:avLst/>
        </a:prstGeom>
        <a:gradFill>
          <a:gsLst>
            <a:gs pos="0">
              <a:srgbClr val="FF00FF"/>
            </a:gs>
            <a:gs pos="89000">
              <a:srgbClr val="9933FF"/>
            </a:gs>
          </a:gsLst>
          <a:lin ang="5400000" scaled="0"/>
        </a:gradFill>
        <a:ln>
          <a:noFill/>
        </a:ln>
        <a:effectLst>
          <a:outerShdw blurRad="50800" dist="38100" dir="8100000" algn="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18</xdr:col>
      <xdr:colOff>258761</xdr:colOff>
      <xdr:row>25</xdr:row>
      <xdr:rowOff>102445</xdr:rowOff>
    </xdr:from>
    <xdr:to>
      <xdr:col>18</xdr:col>
      <xdr:colOff>428934</xdr:colOff>
      <xdr:row>26</xdr:row>
      <xdr:rowOff>89737</xdr:rowOff>
    </xdr:to>
    <xdr:sp macro="" textlink="">
      <xdr:nvSpPr>
        <xdr:cNvPr id="92" name="Freeform: Shape 91">
          <a:extLst>
            <a:ext uri="{FF2B5EF4-FFF2-40B4-BE49-F238E27FC236}">
              <a16:creationId xmlns:a16="http://schemas.microsoft.com/office/drawing/2014/main" id="{90959105-2A54-496D-3EF1-CC0203F9009F}"/>
            </a:ext>
          </a:extLst>
        </xdr:cNvPr>
        <xdr:cNvSpPr/>
      </xdr:nvSpPr>
      <xdr:spPr>
        <a:xfrm>
          <a:off x="11300141" y="4674445"/>
          <a:ext cx="170173" cy="170172"/>
        </a:xfrm>
        <a:custGeom>
          <a:avLst/>
          <a:gdLst>
            <a:gd name="connsiteX0" fmla="*/ 478368 w 2434877"/>
            <a:gd name="connsiteY0" fmla="*/ 1660447 h 2669419"/>
            <a:gd name="connsiteX1" fmla="*/ 478368 w 2434877"/>
            <a:gd name="connsiteY1" fmla="*/ 2669419 h 2669419"/>
            <a:gd name="connsiteX2" fmla="*/ 4662 w 2434877"/>
            <a:gd name="connsiteY2" fmla="*/ 2669419 h 2669419"/>
            <a:gd name="connsiteX3" fmla="*/ 14134 w 2434877"/>
            <a:gd name="connsiteY3" fmla="*/ 2124668 h 2669419"/>
            <a:gd name="connsiteX4" fmla="*/ 805273 w 2434877"/>
            <a:gd name="connsiteY4" fmla="*/ 1333554 h 2669419"/>
            <a:gd name="connsiteX5" fmla="*/ 1072919 w 2434877"/>
            <a:gd name="connsiteY5" fmla="*/ 1601215 h 2669419"/>
            <a:gd name="connsiteX6" fmla="*/ 1072919 w 2434877"/>
            <a:gd name="connsiteY6" fmla="*/ 2664691 h 2669419"/>
            <a:gd name="connsiteX7" fmla="*/ 606315 w 2434877"/>
            <a:gd name="connsiteY7" fmla="*/ 2669407 h 2669419"/>
            <a:gd name="connsiteX8" fmla="*/ 606315 w 2434877"/>
            <a:gd name="connsiteY8" fmla="*/ 1532527 h 2669419"/>
            <a:gd name="connsiteX9" fmla="*/ 1681683 w 2434877"/>
            <a:gd name="connsiteY9" fmla="*/ 1139327 h 2669419"/>
            <a:gd name="connsiteX10" fmla="*/ 1681683 w 2434877"/>
            <a:gd name="connsiteY10" fmla="*/ 2669400 h 2669419"/>
            <a:gd name="connsiteX11" fmla="*/ 1217448 w 2434877"/>
            <a:gd name="connsiteY11" fmla="*/ 2659932 h 2669419"/>
            <a:gd name="connsiteX12" fmla="*/ 1217448 w 2434877"/>
            <a:gd name="connsiteY12" fmla="*/ 1603584 h 2669419"/>
            <a:gd name="connsiteX13" fmla="*/ 2288060 w 2434877"/>
            <a:gd name="connsiteY13" fmla="*/ 528130 h 2669419"/>
            <a:gd name="connsiteX14" fmla="*/ 2288060 w 2434877"/>
            <a:gd name="connsiteY14" fmla="*/ 2659908 h 2669419"/>
            <a:gd name="connsiteX15" fmla="*/ 1814372 w 2434877"/>
            <a:gd name="connsiteY15" fmla="*/ 2664660 h 2669419"/>
            <a:gd name="connsiteX16" fmla="*/ 1814372 w 2434877"/>
            <a:gd name="connsiteY16" fmla="*/ 1001818 h 2669419"/>
            <a:gd name="connsiteX17" fmla="*/ 1987216 w 2434877"/>
            <a:gd name="connsiteY17" fmla="*/ 0 h 2669419"/>
            <a:gd name="connsiteX18" fmla="*/ 2434877 w 2434877"/>
            <a:gd name="connsiteY18" fmla="*/ 0 h 2669419"/>
            <a:gd name="connsiteX19" fmla="*/ 2434877 w 2434877"/>
            <a:gd name="connsiteY19" fmla="*/ 461881 h 2669419"/>
            <a:gd name="connsiteX20" fmla="*/ 2323528 w 2434877"/>
            <a:gd name="connsiteY20" fmla="*/ 350532 h 2669419"/>
            <a:gd name="connsiteX21" fmla="*/ 1141637 w 2434877"/>
            <a:gd name="connsiteY21" fmla="*/ 1532450 h 2669419"/>
            <a:gd name="connsiteX22" fmla="*/ 817147 w 2434877"/>
            <a:gd name="connsiteY22" fmla="*/ 1207945 h 2669419"/>
            <a:gd name="connsiteX23" fmla="*/ 0 w 2434877"/>
            <a:gd name="connsiteY23" fmla="*/ 2001422 h 2669419"/>
            <a:gd name="connsiteX24" fmla="*/ 0 w 2434877"/>
            <a:gd name="connsiteY24" fmla="*/ 1532450 h 2669419"/>
            <a:gd name="connsiteX25" fmla="*/ 805303 w 2434877"/>
            <a:gd name="connsiteY25" fmla="*/ 727129 h 2669419"/>
            <a:gd name="connsiteX26" fmla="*/ 1146374 w 2434877"/>
            <a:gd name="connsiteY26" fmla="*/ 1068193 h 2669419"/>
            <a:gd name="connsiteX27" fmla="*/ 2100904 w 2434877"/>
            <a:gd name="connsiteY27" fmla="*/ 113688 h 266941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434877" h="2669419">
              <a:moveTo>
                <a:pt x="478368" y="1660447"/>
              </a:moveTo>
              <a:lnTo>
                <a:pt x="478368" y="2669419"/>
              </a:lnTo>
              <a:lnTo>
                <a:pt x="4662" y="2669419"/>
              </a:lnTo>
              <a:lnTo>
                <a:pt x="14134" y="2124668"/>
              </a:lnTo>
              <a:close/>
              <a:moveTo>
                <a:pt x="805273" y="1333554"/>
              </a:moveTo>
              <a:lnTo>
                <a:pt x="1072919" y="1601215"/>
              </a:lnTo>
              <a:lnTo>
                <a:pt x="1072919" y="2664691"/>
              </a:lnTo>
              <a:lnTo>
                <a:pt x="606315" y="2669407"/>
              </a:lnTo>
              <a:lnTo>
                <a:pt x="606315" y="1532527"/>
              </a:lnTo>
              <a:close/>
              <a:moveTo>
                <a:pt x="1681683" y="1139327"/>
              </a:moveTo>
              <a:lnTo>
                <a:pt x="1681683" y="2669400"/>
              </a:lnTo>
              <a:lnTo>
                <a:pt x="1217448" y="2659932"/>
              </a:lnTo>
              <a:lnTo>
                <a:pt x="1217448" y="1603584"/>
              </a:lnTo>
              <a:close/>
              <a:moveTo>
                <a:pt x="2288060" y="528130"/>
              </a:moveTo>
              <a:lnTo>
                <a:pt x="2288060" y="2659908"/>
              </a:lnTo>
              <a:lnTo>
                <a:pt x="1814372" y="2664660"/>
              </a:lnTo>
              <a:lnTo>
                <a:pt x="1814372" y="1001818"/>
              </a:lnTo>
              <a:close/>
              <a:moveTo>
                <a:pt x="1987216" y="0"/>
              </a:moveTo>
              <a:lnTo>
                <a:pt x="2434877" y="0"/>
              </a:lnTo>
              <a:lnTo>
                <a:pt x="2434877" y="461881"/>
              </a:lnTo>
              <a:lnTo>
                <a:pt x="2323528" y="350532"/>
              </a:lnTo>
              <a:lnTo>
                <a:pt x="1141637" y="1532450"/>
              </a:lnTo>
              <a:lnTo>
                <a:pt x="817147" y="1207945"/>
              </a:lnTo>
              <a:lnTo>
                <a:pt x="0" y="2001422"/>
              </a:lnTo>
              <a:lnTo>
                <a:pt x="0" y="1532450"/>
              </a:lnTo>
              <a:lnTo>
                <a:pt x="805303" y="727129"/>
              </a:lnTo>
              <a:lnTo>
                <a:pt x="1146374" y="1068193"/>
              </a:lnTo>
              <a:lnTo>
                <a:pt x="2100904" y="113688"/>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267232</xdr:colOff>
      <xdr:row>22</xdr:row>
      <xdr:rowOff>167721</xdr:rowOff>
    </xdr:from>
    <xdr:to>
      <xdr:col>18</xdr:col>
      <xdr:colOff>435703</xdr:colOff>
      <xdr:row>24</xdr:row>
      <xdr:rowOff>6168</xdr:rowOff>
    </xdr:to>
    <xdr:sp macro="" textlink="">
      <xdr:nvSpPr>
        <xdr:cNvPr id="93" name="Freeform: Shape 92">
          <a:extLst>
            <a:ext uri="{FF2B5EF4-FFF2-40B4-BE49-F238E27FC236}">
              <a16:creationId xmlns:a16="http://schemas.microsoft.com/office/drawing/2014/main" id="{FB751A3C-1AC9-C4FE-EFB7-13BB954F706C}"/>
            </a:ext>
          </a:extLst>
        </xdr:cNvPr>
        <xdr:cNvSpPr/>
      </xdr:nvSpPr>
      <xdr:spPr>
        <a:xfrm>
          <a:off x="11308612" y="4191081"/>
          <a:ext cx="168471" cy="204207"/>
        </a:xfrm>
        <a:custGeom>
          <a:avLst/>
          <a:gdLst>
            <a:gd name="connsiteX0" fmla="*/ 1038471 w 1997598"/>
            <a:gd name="connsiteY0" fmla="*/ 1798798 h 2622542"/>
            <a:gd name="connsiteX1" fmla="*/ 1083642 w 1997598"/>
            <a:gd name="connsiteY1" fmla="*/ 1825060 h 2622542"/>
            <a:gd name="connsiteX2" fmla="*/ 1097649 w 1997598"/>
            <a:gd name="connsiteY2" fmla="*/ 1865328 h 2622542"/>
            <a:gd name="connsiteX3" fmla="*/ 1081191 w 1997598"/>
            <a:gd name="connsiteY3" fmla="*/ 1911202 h 2622542"/>
            <a:gd name="connsiteX4" fmla="*/ 1038471 w 1997598"/>
            <a:gd name="connsiteY4" fmla="*/ 1935364 h 2622542"/>
            <a:gd name="connsiteX5" fmla="*/ 987696 w 1997598"/>
            <a:gd name="connsiteY5" fmla="*/ 1562783 h 2622542"/>
            <a:gd name="connsiteX6" fmla="*/ 987696 w 1997598"/>
            <a:gd name="connsiteY6" fmla="*/ 1683942 h 2622542"/>
            <a:gd name="connsiteX7" fmla="*/ 953730 w 1997598"/>
            <a:gd name="connsiteY7" fmla="*/ 1658378 h 2622542"/>
            <a:gd name="connsiteX8" fmla="*/ 942524 w 1997598"/>
            <a:gd name="connsiteY8" fmla="*/ 1623713 h 2622542"/>
            <a:gd name="connsiteX9" fmla="*/ 954780 w 1997598"/>
            <a:gd name="connsiteY9" fmla="*/ 1586593 h 2622542"/>
            <a:gd name="connsiteX10" fmla="*/ 987696 w 1997598"/>
            <a:gd name="connsiteY10" fmla="*/ 1562783 h 2622542"/>
            <a:gd name="connsiteX11" fmla="*/ 987696 w 1997598"/>
            <a:gd name="connsiteY11" fmla="*/ 1451780 h 2622542"/>
            <a:gd name="connsiteX12" fmla="*/ 987696 w 1997598"/>
            <a:gd name="connsiteY12" fmla="*/ 1486445 h 2622542"/>
            <a:gd name="connsiteX13" fmla="*/ 891050 w 1997598"/>
            <a:gd name="connsiteY13" fmla="*/ 1531616 h 2622542"/>
            <a:gd name="connsiteX14" fmla="*/ 854984 w 1997598"/>
            <a:gd name="connsiteY14" fmla="*/ 1627914 h 2622542"/>
            <a:gd name="connsiteX15" fmla="*/ 886849 w 1997598"/>
            <a:gd name="connsiteY15" fmla="*/ 1724560 h 2622542"/>
            <a:gd name="connsiteX16" fmla="*/ 987696 w 1997598"/>
            <a:gd name="connsiteY16" fmla="*/ 1783738 h 2622542"/>
            <a:gd name="connsiteX17" fmla="*/ 987696 w 1997598"/>
            <a:gd name="connsiteY17" fmla="*/ 1930460 h 2622542"/>
            <a:gd name="connsiteX18" fmla="*/ 953379 w 1997598"/>
            <a:gd name="connsiteY18" fmla="*/ 1901047 h 2622542"/>
            <a:gd name="connsiteX19" fmla="*/ 932368 w 1997598"/>
            <a:gd name="connsiteY19" fmla="*/ 1852725 h 2622542"/>
            <a:gd name="connsiteX20" fmla="*/ 840974 w 1997598"/>
            <a:gd name="connsiteY20" fmla="*/ 1862529 h 2622542"/>
            <a:gd name="connsiteX21" fmla="*/ 889297 w 1997598"/>
            <a:gd name="connsiteY21" fmla="*/ 1969329 h 2622542"/>
            <a:gd name="connsiteX22" fmla="*/ 987696 w 1997598"/>
            <a:gd name="connsiteY22" fmla="*/ 2014502 h 2622542"/>
            <a:gd name="connsiteX23" fmla="*/ 987696 w 1997598"/>
            <a:gd name="connsiteY23" fmla="*/ 2078232 h 2622542"/>
            <a:gd name="connsiteX24" fmla="*/ 1038471 w 1997598"/>
            <a:gd name="connsiteY24" fmla="*/ 2078232 h 2622542"/>
            <a:gd name="connsiteX25" fmla="*/ 1038471 w 1997598"/>
            <a:gd name="connsiteY25" fmla="*/ 2012749 h 2622542"/>
            <a:gd name="connsiteX26" fmla="*/ 1144921 w 1997598"/>
            <a:gd name="connsiteY26" fmla="*/ 1959525 h 2622542"/>
            <a:gd name="connsiteX27" fmla="*/ 1183440 w 1997598"/>
            <a:gd name="connsiteY27" fmla="*/ 1852725 h 2622542"/>
            <a:gd name="connsiteX28" fmla="*/ 1152976 w 1997598"/>
            <a:gd name="connsiteY28" fmla="*/ 1759928 h 2622542"/>
            <a:gd name="connsiteX29" fmla="*/ 1038471 w 1997598"/>
            <a:gd name="connsiteY29" fmla="*/ 1700750 h 2622542"/>
            <a:gd name="connsiteX30" fmla="*/ 1038471 w 1997598"/>
            <a:gd name="connsiteY30" fmla="*/ 1563833 h 2622542"/>
            <a:gd name="connsiteX31" fmla="*/ 1080492 w 1997598"/>
            <a:gd name="connsiteY31" fmla="*/ 1619859 h 2622542"/>
            <a:gd name="connsiteX32" fmla="*/ 1169083 w 1997598"/>
            <a:gd name="connsiteY32" fmla="*/ 1608306 h 2622542"/>
            <a:gd name="connsiteX33" fmla="*/ 1127065 w 1997598"/>
            <a:gd name="connsiteY33" fmla="*/ 1524616 h 2622542"/>
            <a:gd name="connsiteX34" fmla="*/ 1038471 w 1997598"/>
            <a:gd name="connsiteY34" fmla="*/ 1486445 h 2622542"/>
            <a:gd name="connsiteX35" fmla="*/ 1038471 w 1997598"/>
            <a:gd name="connsiteY35" fmla="*/ 1451780 h 2622542"/>
            <a:gd name="connsiteX36" fmla="*/ 1018529 w 1997598"/>
            <a:gd name="connsiteY36" fmla="*/ 1275937 h 2622542"/>
            <a:gd name="connsiteX37" fmla="*/ 1488375 w 1997598"/>
            <a:gd name="connsiteY37" fmla="*/ 1745783 h 2622542"/>
            <a:gd name="connsiteX38" fmla="*/ 1018529 w 1997598"/>
            <a:gd name="connsiteY38" fmla="*/ 2215629 h 2622542"/>
            <a:gd name="connsiteX39" fmla="*/ 548683 w 1997598"/>
            <a:gd name="connsiteY39" fmla="*/ 1745783 h 2622542"/>
            <a:gd name="connsiteX40" fmla="*/ 1018529 w 1997598"/>
            <a:gd name="connsiteY40" fmla="*/ 1275937 h 2622542"/>
            <a:gd name="connsiteX41" fmla="*/ 1018529 w 1997598"/>
            <a:gd name="connsiteY41" fmla="*/ 1183712 h 2622542"/>
            <a:gd name="connsiteX42" fmla="*/ 456458 w 1997598"/>
            <a:gd name="connsiteY42" fmla="*/ 1745783 h 2622542"/>
            <a:gd name="connsiteX43" fmla="*/ 1018529 w 1997598"/>
            <a:gd name="connsiteY43" fmla="*/ 2307854 h 2622542"/>
            <a:gd name="connsiteX44" fmla="*/ 1580600 w 1997598"/>
            <a:gd name="connsiteY44" fmla="*/ 1745783 h 2622542"/>
            <a:gd name="connsiteX45" fmla="*/ 1018529 w 1997598"/>
            <a:gd name="connsiteY45" fmla="*/ 1183712 h 2622542"/>
            <a:gd name="connsiteX46" fmla="*/ 664325 w 1997598"/>
            <a:gd name="connsiteY46" fmla="*/ 707629 h 2622542"/>
            <a:gd name="connsiteX47" fmla="*/ 1314151 w 1997598"/>
            <a:gd name="connsiteY47" fmla="*/ 707629 h 2622542"/>
            <a:gd name="connsiteX48" fmla="*/ 1997478 w 1997598"/>
            <a:gd name="connsiteY48" fmla="*/ 1799581 h 2622542"/>
            <a:gd name="connsiteX49" fmla="*/ 1568718 w 1997598"/>
            <a:gd name="connsiteY49" fmla="*/ 2622542 h 2622542"/>
            <a:gd name="connsiteX50" fmla="*/ 429850 w 1997598"/>
            <a:gd name="connsiteY50" fmla="*/ 2615846 h 2622542"/>
            <a:gd name="connsiteX51" fmla="*/ 1100 w 1997598"/>
            <a:gd name="connsiteY51" fmla="*/ 1792886 h 2622542"/>
            <a:gd name="connsiteX52" fmla="*/ 664325 w 1997598"/>
            <a:gd name="connsiteY52" fmla="*/ 707629 h 2622542"/>
            <a:gd name="connsiteX53" fmla="*/ 986902 w 1997598"/>
            <a:gd name="connsiteY53" fmla="*/ 180 h 2622542"/>
            <a:gd name="connsiteX54" fmla="*/ 1253856 w 1997598"/>
            <a:gd name="connsiteY54" fmla="*/ 231858 h 2622542"/>
            <a:gd name="connsiteX55" fmla="*/ 1602233 w 1997598"/>
            <a:gd name="connsiteY55" fmla="*/ 211770 h 2622542"/>
            <a:gd name="connsiteX56" fmla="*/ 1307453 w 1997598"/>
            <a:gd name="connsiteY56" fmla="*/ 647228 h 2622542"/>
            <a:gd name="connsiteX57" fmla="*/ 1253841 w 1997598"/>
            <a:gd name="connsiteY57" fmla="*/ 646050 h 2622542"/>
            <a:gd name="connsiteX58" fmla="*/ 1307042 w 1997598"/>
            <a:gd name="connsiteY58" fmla="*/ 424909 h 2622542"/>
            <a:gd name="connsiteX59" fmla="*/ 1275900 w 1997598"/>
            <a:gd name="connsiteY59" fmla="*/ 369830 h 2622542"/>
            <a:gd name="connsiteX60" fmla="*/ 1275900 w 1997598"/>
            <a:gd name="connsiteY60" fmla="*/ 369830 h 2622542"/>
            <a:gd name="connsiteX61" fmla="*/ 1224136 w 1997598"/>
            <a:gd name="connsiteY61" fmla="*/ 400473 h 2622542"/>
            <a:gd name="connsiteX62" fmla="*/ 1165526 w 1997598"/>
            <a:gd name="connsiteY62" fmla="*/ 644109 h 2622542"/>
            <a:gd name="connsiteX63" fmla="*/ 1041982 w 1997598"/>
            <a:gd name="connsiteY63" fmla="*/ 641396 h 2622542"/>
            <a:gd name="connsiteX64" fmla="*/ 1041017 w 1997598"/>
            <a:gd name="connsiteY64" fmla="*/ 583209 h 2622542"/>
            <a:gd name="connsiteX65" fmla="*/ 997569 w 1997598"/>
            <a:gd name="connsiteY65" fmla="*/ 537907 h 2622542"/>
            <a:gd name="connsiteX66" fmla="*/ 997570 w 1997598"/>
            <a:gd name="connsiteY66" fmla="*/ 537908 h 2622542"/>
            <a:gd name="connsiteX67" fmla="*/ 955600 w 1997598"/>
            <a:gd name="connsiteY67" fmla="*/ 581732 h 2622542"/>
            <a:gd name="connsiteX68" fmla="*/ 956559 w 1997598"/>
            <a:gd name="connsiteY68" fmla="*/ 639518 h 2622542"/>
            <a:gd name="connsiteX69" fmla="*/ 845567 w 1997598"/>
            <a:gd name="connsiteY69" fmla="*/ 637080 h 2622542"/>
            <a:gd name="connsiteX70" fmla="*/ 799761 w 1997598"/>
            <a:gd name="connsiteY70" fmla="*/ 506078 h 2622542"/>
            <a:gd name="connsiteX71" fmla="*/ 744896 w 1997598"/>
            <a:gd name="connsiteY71" fmla="*/ 477778 h 2622542"/>
            <a:gd name="connsiteX72" fmla="*/ 744897 w 1997598"/>
            <a:gd name="connsiteY72" fmla="*/ 477779 h 2622542"/>
            <a:gd name="connsiteX73" fmla="*/ 719619 w 1997598"/>
            <a:gd name="connsiteY73" fmla="*/ 534100 h 2622542"/>
            <a:gd name="connsiteX74" fmla="*/ 754930 w 1997598"/>
            <a:gd name="connsiteY74" fmla="*/ 635089 h 2622542"/>
            <a:gd name="connsiteX75" fmla="*/ 697819 w 1997598"/>
            <a:gd name="connsiteY75" fmla="*/ 633834 h 2622542"/>
            <a:gd name="connsiteX76" fmla="*/ 382954 w 1997598"/>
            <a:gd name="connsiteY76" fmla="*/ 198378 h 2622542"/>
            <a:gd name="connsiteX77" fmla="*/ 764810 w 1997598"/>
            <a:gd name="connsiteY77" fmla="*/ 218466 h 2622542"/>
            <a:gd name="connsiteX78" fmla="*/ 986902 w 1997598"/>
            <a:gd name="connsiteY78" fmla="*/ 180 h 262254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Lst>
          <a:rect l="l" t="t" r="r" b="b"/>
          <a:pathLst>
            <a:path w="1997598" h="2622542">
              <a:moveTo>
                <a:pt x="1038471" y="1798798"/>
              </a:moveTo>
              <a:cubicBezTo>
                <a:pt x="1059481" y="1804868"/>
                <a:pt x="1074537" y="1813621"/>
                <a:pt x="1083642" y="1825060"/>
              </a:cubicBezTo>
              <a:cubicBezTo>
                <a:pt x="1092981" y="1836266"/>
                <a:pt x="1097649" y="1849687"/>
                <a:pt x="1097649" y="1865328"/>
              </a:cubicBezTo>
              <a:cubicBezTo>
                <a:pt x="1097649" y="1882836"/>
                <a:pt x="1092164" y="1898129"/>
                <a:pt x="1081191" y="1911202"/>
              </a:cubicBezTo>
              <a:cubicBezTo>
                <a:pt x="1070218" y="1924039"/>
                <a:pt x="1055979" y="1932094"/>
                <a:pt x="1038471" y="1935364"/>
              </a:cubicBezTo>
              <a:close/>
              <a:moveTo>
                <a:pt x="987696" y="1562783"/>
              </a:moveTo>
              <a:lnTo>
                <a:pt x="987696" y="1683942"/>
              </a:lnTo>
              <a:cubicBezTo>
                <a:pt x="972522" y="1677407"/>
                <a:pt x="961201" y="1668886"/>
                <a:pt x="953730" y="1658378"/>
              </a:cubicBezTo>
              <a:cubicBezTo>
                <a:pt x="946260" y="1647642"/>
                <a:pt x="942524" y="1636085"/>
                <a:pt x="942524" y="1623713"/>
              </a:cubicBezTo>
              <a:cubicBezTo>
                <a:pt x="942524" y="1610174"/>
                <a:pt x="946611" y="1597799"/>
                <a:pt x="954780" y="1586593"/>
              </a:cubicBezTo>
              <a:cubicBezTo>
                <a:pt x="962951" y="1575386"/>
                <a:pt x="973923" y="1567450"/>
                <a:pt x="987696" y="1562783"/>
              </a:cubicBezTo>
              <a:close/>
              <a:moveTo>
                <a:pt x="987696" y="1451780"/>
              </a:moveTo>
              <a:lnTo>
                <a:pt x="987696" y="1486445"/>
              </a:lnTo>
              <a:cubicBezTo>
                <a:pt x="947543" y="1490413"/>
                <a:pt x="915327" y="1505473"/>
                <a:pt x="891050" y="1531616"/>
              </a:cubicBezTo>
              <a:cubicBezTo>
                <a:pt x="867004" y="1557531"/>
                <a:pt x="854984" y="1589629"/>
                <a:pt x="854984" y="1627914"/>
              </a:cubicBezTo>
              <a:cubicBezTo>
                <a:pt x="854984" y="1665731"/>
                <a:pt x="865606" y="1697947"/>
                <a:pt x="886849" y="1724560"/>
              </a:cubicBezTo>
              <a:cubicBezTo>
                <a:pt x="908326" y="1750941"/>
                <a:pt x="941940" y="1770669"/>
                <a:pt x="987696" y="1783738"/>
              </a:cubicBezTo>
              <a:lnTo>
                <a:pt x="987696" y="1930460"/>
              </a:lnTo>
              <a:cubicBezTo>
                <a:pt x="975088" y="1924391"/>
                <a:pt x="963653" y="1914587"/>
                <a:pt x="953379" y="1901047"/>
              </a:cubicBezTo>
              <a:cubicBezTo>
                <a:pt x="943109" y="1887507"/>
                <a:pt x="936104" y="1871397"/>
                <a:pt x="932368" y="1852725"/>
              </a:cubicBezTo>
              <a:lnTo>
                <a:pt x="840974" y="1862529"/>
              </a:lnTo>
              <a:cubicBezTo>
                <a:pt x="847979" y="1908518"/>
                <a:pt x="864085" y="1944119"/>
                <a:pt x="889297" y="1969329"/>
              </a:cubicBezTo>
              <a:cubicBezTo>
                <a:pt x="914509" y="1994541"/>
                <a:pt x="947310" y="2009597"/>
                <a:pt x="987696" y="2014502"/>
              </a:cubicBezTo>
              <a:lnTo>
                <a:pt x="987696" y="2078232"/>
              </a:lnTo>
              <a:lnTo>
                <a:pt x="1038471" y="2078232"/>
              </a:lnTo>
              <a:lnTo>
                <a:pt x="1038471" y="2012749"/>
              </a:lnTo>
              <a:cubicBezTo>
                <a:pt x="1083994" y="2006214"/>
                <a:pt x="1119476" y="1988473"/>
                <a:pt x="1144921" y="1959525"/>
              </a:cubicBezTo>
              <a:cubicBezTo>
                <a:pt x="1170602" y="1930578"/>
                <a:pt x="1183440" y="1894978"/>
                <a:pt x="1183440" y="1852725"/>
              </a:cubicBezTo>
              <a:cubicBezTo>
                <a:pt x="1183440" y="1814904"/>
                <a:pt x="1173288" y="1783971"/>
                <a:pt x="1152976" y="1759928"/>
              </a:cubicBezTo>
              <a:cubicBezTo>
                <a:pt x="1132665" y="1735648"/>
                <a:pt x="1094497" y="1715925"/>
                <a:pt x="1038471" y="1700750"/>
              </a:cubicBezTo>
              <a:lnTo>
                <a:pt x="1038471" y="1563833"/>
              </a:lnTo>
              <a:cubicBezTo>
                <a:pt x="1061116" y="1573638"/>
                <a:pt x="1075122" y="1592315"/>
                <a:pt x="1080492" y="1619859"/>
              </a:cubicBezTo>
              <a:lnTo>
                <a:pt x="1169083" y="1608306"/>
              </a:lnTo>
              <a:cubicBezTo>
                <a:pt x="1163013" y="1573286"/>
                <a:pt x="1149008" y="1545389"/>
                <a:pt x="1127065" y="1524616"/>
              </a:cubicBezTo>
              <a:cubicBezTo>
                <a:pt x="1105119" y="1503605"/>
                <a:pt x="1075587" y="1490883"/>
                <a:pt x="1038471" y="1486445"/>
              </a:cubicBezTo>
              <a:lnTo>
                <a:pt x="1038471" y="1451780"/>
              </a:lnTo>
              <a:close/>
              <a:moveTo>
                <a:pt x="1018529" y="1275937"/>
              </a:moveTo>
              <a:cubicBezTo>
                <a:pt x="1278018" y="1275937"/>
                <a:pt x="1488375" y="1486294"/>
                <a:pt x="1488375" y="1745783"/>
              </a:cubicBezTo>
              <a:cubicBezTo>
                <a:pt x="1488375" y="2005272"/>
                <a:pt x="1278018" y="2215629"/>
                <a:pt x="1018529" y="2215629"/>
              </a:cubicBezTo>
              <a:cubicBezTo>
                <a:pt x="759040" y="2215629"/>
                <a:pt x="548683" y="2005272"/>
                <a:pt x="548683" y="1745783"/>
              </a:cubicBezTo>
              <a:cubicBezTo>
                <a:pt x="548683" y="1486294"/>
                <a:pt x="759040" y="1275937"/>
                <a:pt x="1018529" y="1275937"/>
              </a:cubicBezTo>
              <a:close/>
              <a:moveTo>
                <a:pt x="1018529" y="1183712"/>
              </a:moveTo>
              <a:cubicBezTo>
                <a:pt x="708106" y="1183712"/>
                <a:pt x="456458" y="1435360"/>
                <a:pt x="456458" y="1745783"/>
              </a:cubicBezTo>
              <a:cubicBezTo>
                <a:pt x="456458" y="2056206"/>
                <a:pt x="708106" y="2307854"/>
                <a:pt x="1018529" y="2307854"/>
              </a:cubicBezTo>
              <a:cubicBezTo>
                <a:pt x="1328952" y="2307854"/>
                <a:pt x="1580600" y="2056206"/>
                <a:pt x="1580600" y="1745783"/>
              </a:cubicBezTo>
              <a:cubicBezTo>
                <a:pt x="1580600" y="1435360"/>
                <a:pt x="1328952" y="1183712"/>
                <a:pt x="1018529" y="1183712"/>
              </a:cubicBezTo>
              <a:close/>
              <a:moveTo>
                <a:pt x="664325" y="707629"/>
              </a:moveTo>
              <a:lnTo>
                <a:pt x="1314151" y="707629"/>
              </a:lnTo>
              <a:cubicBezTo>
                <a:pt x="1314151" y="707629"/>
                <a:pt x="2008098" y="1167205"/>
                <a:pt x="1997478" y="1799581"/>
              </a:cubicBezTo>
              <a:cubicBezTo>
                <a:pt x="1985742" y="2498450"/>
                <a:pt x="1568718" y="2622542"/>
                <a:pt x="1568718" y="2622542"/>
              </a:cubicBezTo>
              <a:lnTo>
                <a:pt x="429850" y="2615846"/>
              </a:lnTo>
              <a:cubicBezTo>
                <a:pt x="429850" y="2615846"/>
                <a:pt x="-25234" y="2404706"/>
                <a:pt x="1100" y="1792886"/>
              </a:cubicBezTo>
              <a:cubicBezTo>
                <a:pt x="27107" y="1188661"/>
                <a:pt x="664325" y="707629"/>
                <a:pt x="664325" y="707629"/>
              </a:cubicBezTo>
              <a:close/>
              <a:moveTo>
                <a:pt x="986902" y="180"/>
              </a:moveTo>
              <a:cubicBezTo>
                <a:pt x="1109577" y="-4712"/>
                <a:pt x="1237396" y="90440"/>
                <a:pt x="1253856" y="231858"/>
              </a:cubicBezTo>
              <a:cubicBezTo>
                <a:pt x="1388526" y="103410"/>
                <a:pt x="1501498" y="170515"/>
                <a:pt x="1602233" y="211770"/>
              </a:cubicBezTo>
              <a:lnTo>
                <a:pt x="1307453" y="647228"/>
              </a:lnTo>
              <a:lnTo>
                <a:pt x="1253841" y="646050"/>
              </a:lnTo>
              <a:lnTo>
                <a:pt x="1307042" y="424909"/>
              </a:lnTo>
              <a:cubicBezTo>
                <a:pt x="1312735" y="401236"/>
                <a:pt x="1298793" y="376577"/>
                <a:pt x="1275900" y="369830"/>
              </a:cubicBezTo>
              <a:lnTo>
                <a:pt x="1275900" y="369830"/>
              </a:lnTo>
              <a:cubicBezTo>
                <a:pt x="1253009" y="363080"/>
                <a:pt x="1229832" y="376802"/>
                <a:pt x="1224136" y="400473"/>
              </a:cubicBezTo>
              <a:lnTo>
                <a:pt x="1165526" y="644109"/>
              </a:lnTo>
              <a:lnTo>
                <a:pt x="1041982" y="641396"/>
              </a:lnTo>
              <a:lnTo>
                <a:pt x="1041017" y="583209"/>
              </a:lnTo>
              <a:cubicBezTo>
                <a:pt x="1040609" y="558598"/>
                <a:pt x="1021158" y="538315"/>
                <a:pt x="997569" y="537907"/>
              </a:cubicBezTo>
              <a:lnTo>
                <a:pt x="997570" y="537908"/>
              </a:lnTo>
              <a:cubicBezTo>
                <a:pt x="973984" y="537499"/>
                <a:pt x="955192" y="557122"/>
                <a:pt x="955600" y="581732"/>
              </a:cubicBezTo>
              <a:lnTo>
                <a:pt x="956559" y="639518"/>
              </a:lnTo>
              <a:lnTo>
                <a:pt x="845567" y="637080"/>
              </a:lnTo>
              <a:lnTo>
                <a:pt x="799761" y="506078"/>
              </a:lnTo>
              <a:cubicBezTo>
                <a:pt x="791590" y="482710"/>
                <a:pt x="767027" y="470040"/>
                <a:pt x="744896" y="477778"/>
              </a:cubicBezTo>
              <a:lnTo>
                <a:pt x="744897" y="477779"/>
              </a:lnTo>
              <a:cubicBezTo>
                <a:pt x="722766" y="485517"/>
                <a:pt x="711450" y="510735"/>
                <a:pt x="719619" y="534100"/>
              </a:cubicBezTo>
              <a:lnTo>
                <a:pt x="754930" y="635089"/>
              </a:lnTo>
              <a:lnTo>
                <a:pt x="697819" y="633834"/>
              </a:lnTo>
              <a:lnTo>
                <a:pt x="382954" y="198378"/>
              </a:lnTo>
              <a:cubicBezTo>
                <a:pt x="500883" y="146647"/>
                <a:pt x="611231" y="145422"/>
                <a:pt x="764810" y="218466"/>
              </a:cubicBezTo>
              <a:cubicBezTo>
                <a:pt x="799186" y="68313"/>
                <a:pt x="891489" y="3986"/>
                <a:pt x="986902" y="180"/>
              </a:cubicBezTo>
              <a:close/>
            </a:path>
          </a:pathLst>
        </a:custGeom>
        <a:solidFill>
          <a:schemeClr val="bg1"/>
        </a:solidFill>
        <a:ln w="18002"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266381</xdr:colOff>
      <xdr:row>27</xdr:row>
      <xdr:rowOff>170774</xdr:rowOff>
    </xdr:from>
    <xdr:to>
      <xdr:col>18</xdr:col>
      <xdr:colOff>436554</xdr:colOff>
      <xdr:row>28</xdr:row>
      <xdr:rowOff>158066</xdr:rowOff>
    </xdr:to>
    <xdr:sp macro="" textlink="">
      <xdr:nvSpPr>
        <xdr:cNvPr id="94" name="Freeform: Shape 93">
          <a:extLst>
            <a:ext uri="{FF2B5EF4-FFF2-40B4-BE49-F238E27FC236}">
              <a16:creationId xmlns:a16="http://schemas.microsoft.com/office/drawing/2014/main" id="{7B65AA96-EA5B-924A-57C2-B17CB9CA101D}"/>
            </a:ext>
          </a:extLst>
        </xdr:cNvPr>
        <xdr:cNvSpPr/>
      </xdr:nvSpPr>
      <xdr:spPr>
        <a:xfrm>
          <a:off x="11307761" y="5108534"/>
          <a:ext cx="170173" cy="170172"/>
        </a:xfrm>
        <a:custGeom>
          <a:avLst/>
          <a:gdLst>
            <a:gd name="connsiteX0" fmla="*/ 1845168 w 2847163"/>
            <a:gd name="connsiteY0" fmla="*/ 1750443 h 2759416"/>
            <a:gd name="connsiteX1" fmla="*/ 2309388 w 2847163"/>
            <a:gd name="connsiteY1" fmla="*/ 2214663 h 2759416"/>
            <a:gd name="connsiteX2" fmla="*/ 2318856 w 2847163"/>
            <a:gd name="connsiteY2" fmla="*/ 2759416 h 2759416"/>
            <a:gd name="connsiteX3" fmla="*/ 1845168 w 2847163"/>
            <a:gd name="connsiteY3" fmla="*/ 2759416 h 2759416"/>
            <a:gd name="connsiteX4" fmla="*/ 1518242 w 2847163"/>
            <a:gd name="connsiteY4" fmla="*/ 1423550 h 2759416"/>
            <a:gd name="connsiteX5" fmla="*/ 1717214 w 2847163"/>
            <a:gd name="connsiteY5" fmla="*/ 1622523 h 2759416"/>
            <a:gd name="connsiteX6" fmla="*/ 1717214 w 2847163"/>
            <a:gd name="connsiteY6" fmla="*/ 2759403 h 2759416"/>
            <a:gd name="connsiteX7" fmla="*/ 1250617 w 2847163"/>
            <a:gd name="connsiteY7" fmla="*/ 2754687 h 2759416"/>
            <a:gd name="connsiteX8" fmla="*/ 1250617 w 2847163"/>
            <a:gd name="connsiteY8" fmla="*/ 1691210 h 2759416"/>
            <a:gd name="connsiteX9" fmla="*/ 641835 w 2847163"/>
            <a:gd name="connsiteY9" fmla="*/ 1229322 h 2759416"/>
            <a:gd name="connsiteX10" fmla="*/ 1106070 w 2847163"/>
            <a:gd name="connsiteY10" fmla="*/ 1693578 h 2759416"/>
            <a:gd name="connsiteX11" fmla="*/ 1106070 w 2847163"/>
            <a:gd name="connsiteY11" fmla="*/ 2749927 h 2759416"/>
            <a:gd name="connsiteX12" fmla="*/ 641835 w 2847163"/>
            <a:gd name="connsiteY12" fmla="*/ 2759395 h 2759416"/>
            <a:gd name="connsiteX13" fmla="*/ 35444 w 2847163"/>
            <a:gd name="connsiteY13" fmla="*/ 618126 h 2759416"/>
            <a:gd name="connsiteX14" fmla="*/ 509154 w 2847163"/>
            <a:gd name="connsiteY14" fmla="*/ 1091814 h 2759416"/>
            <a:gd name="connsiteX15" fmla="*/ 509154 w 2847163"/>
            <a:gd name="connsiteY15" fmla="*/ 2754655 h 2759416"/>
            <a:gd name="connsiteX16" fmla="*/ 35444 w 2847163"/>
            <a:gd name="connsiteY16" fmla="*/ 2749904 h 2759416"/>
            <a:gd name="connsiteX17" fmla="*/ 0 w 2847163"/>
            <a:gd name="connsiteY17" fmla="*/ 0 h 2759416"/>
            <a:gd name="connsiteX18" fmla="*/ 1177165 w 2847163"/>
            <a:gd name="connsiteY18" fmla="*/ 1158192 h 2759416"/>
            <a:gd name="connsiteX19" fmla="*/ 1518233 w 2847163"/>
            <a:gd name="connsiteY19" fmla="*/ 817128 h 2759416"/>
            <a:gd name="connsiteX20" fmla="*/ 2746509 w 2847163"/>
            <a:gd name="connsiteY20" fmla="*/ 2007744 h 2759416"/>
            <a:gd name="connsiteX21" fmla="*/ 2847163 w 2847163"/>
            <a:gd name="connsiteY21" fmla="*/ 1910921 h 2759416"/>
            <a:gd name="connsiteX22" fmla="*/ 2847163 w 2847163"/>
            <a:gd name="connsiteY22" fmla="*/ 2340365 h 2759416"/>
            <a:gd name="connsiteX23" fmla="*/ 2400726 w 2847163"/>
            <a:gd name="connsiteY23" fmla="*/ 2340365 h 2759416"/>
            <a:gd name="connsiteX24" fmla="*/ 2494986 w 2847163"/>
            <a:gd name="connsiteY24" fmla="*/ 2249694 h 2759416"/>
            <a:gd name="connsiteX25" fmla="*/ 1506389 w 2847163"/>
            <a:gd name="connsiteY25" fmla="*/ 1297944 h 2759416"/>
            <a:gd name="connsiteX26" fmla="*/ 1181903 w 2847163"/>
            <a:gd name="connsiteY26" fmla="*/ 1622449 h 2759416"/>
            <a:gd name="connsiteX27" fmla="*/ 0 w 2847163"/>
            <a:gd name="connsiteY27" fmla="*/ 440532 h 2759416"/>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Lst>
          <a:rect l="l" t="t" r="r" b="b"/>
          <a:pathLst>
            <a:path w="2847163" h="2759416">
              <a:moveTo>
                <a:pt x="1845168" y="1750443"/>
              </a:moveTo>
              <a:lnTo>
                <a:pt x="2309388" y="2214663"/>
              </a:lnTo>
              <a:lnTo>
                <a:pt x="2318856" y="2759416"/>
              </a:lnTo>
              <a:lnTo>
                <a:pt x="1845168" y="2759416"/>
              </a:lnTo>
              <a:close/>
              <a:moveTo>
                <a:pt x="1518242" y="1423550"/>
              </a:moveTo>
              <a:lnTo>
                <a:pt x="1717214" y="1622523"/>
              </a:lnTo>
              <a:lnTo>
                <a:pt x="1717214" y="2759403"/>
              </a:lnTo>
              <a:lnTo>
                <a:pt x="1250617" y="2754687"/>
              </a:lnTo>
              <a:lnTo>
                <a:pt x="1250617" y="1691210"/>
              </a:lnTo>
              <a:close/>
              <a:moveTo>
                <a:pt x="641835" y="1229322"/>
              </a:moveTo>
              <a:lnTo>
                <a:pt x="1106070" y="1693578"/>
              </a:lnTo>
              <a:lnTo>
                <a:pt x="1106070" y="2749927"/>
              </a:lnTo>
              <a:lnTo>
                <a:pt x="641835" y="2759395"/>
              </a:lnTo>
              <a:close/>
              <a:moveTo>
                <a:pt x="35444" y="618126"/>
              </a:moveTo>
              <a:lnTo>
                <a:pt x="509154" y="1091814"/>
              </a:lnTo>
              <a:lnTo>
                <a:pt x="509154" y="2754655"/>
              </a:lnTo>
              <a:lnTo>
                <a:pt x="35444" y="2749904"/>
              </a:lnTo>
              <a:close/>
              <a:moveTo>
                <a:pt x="0" y="0"/>
              </a:moveTo>
              <a:lnTo>
                <a:pt x="1177165" y="1158192"/>
              </a:lnTo>
              <a:lnTo>
                <a:pt x="1518233" y="817128"/>
              </a:lnTo>
              <a:lnTo>
                <a:pt x="2746509" y="2007744"/>
              </a:lnTo>
              <a:lnTo>
                <a:pt x="2847163" y="1910921"/>
              </a:lnTo>
              <a:lnTo>
                <a:pt x="2847163" y="2340365"/>
              </a:lnTo>
              <a:lnTo>
                <a:pt x="2400726" y="2340365"/>
              </a:lnTo>
              <a:lnTo>
                <a:pt x="2494986" y="2249694"/>
              </a:lnTo>
              <a:lnTo>
                <a:pt x="1506389" y="1297944"/>
              </a:lnTo>
              <a:lnTo>
                <a:pt x="1181903" y="1622449"/>
              </a:lnTo>
              <a:lnTo>
                <a:pt x="0" y="440532"/>
              </a:lnTo>
              <a:close/>
            </a:path>
          </a:pathLst>
        </a:custGeom>
        <a:solidFill>
          <a:schemeClr val="bg1"/>
        </a:solidFill>
        <a:ln w="6350"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245572</xdr:colOff>
      <xdr:row>30</xdr:row>
      <xdr:rowOff>79083</xdr:rowOff>
    </xdr:from>
    <xdr:to>
      <xdr:col>18</xdr:col>
      <xdr:colOff>442121</xdr:colOff>
      <xdr:row>31</xdr:row>
      <xdr:rowOff>94195</xdr:rowOff>
    </xdr:to>
    <xdr:sp macro="" textlink="">
      <xdr:nvSpPr>
        <xdr:cNvPr id="95" name="Freeform: Shape 94">
          <a:extLst>
            <a:ext uri="{FF2B5EF4-FFF2-40B4-BE49-F238E27FC236}">
              <a16:creationId xmlns:a16="http://schemas.microsoft.com/office/drawing/2014/main" id="{FE573C40-6259-E5D0-F572-EAB1ACC3246D}"/>
            </a:ext>
          </a:extLst>
        </xdr:cNvPr>
        <xdr:cNvSpPr/>
      </xdr:nvSpPr>
      <xdr:spPr>
        <a:xfrm>
          <a:off x="11286952" y="5565483"/>
          <a:ext cx="196549" cy="197992"/>
        </a:xfrm>
        <a:custGeom>
          <a:avLst/>
          <a:gdLst>
            <a:gd name="connsiteX0" fmla="*/ 639778 w 4884414"/>
            <a:gd name="connsiteY0" fmla="*/ 2912647 h 4858772"/>
            <a:gd name="connsiteX1" fmla="*/ 1031685 w 4884414"/>
            <a:gd name="connsiteY1" fmla="*/ 4714736 h 4858772"/>
            <a:gd name="connsiteX2" fmla="*/ 385208 w 4884414"/>
            <a:gd name="connsiteY2" fmla="*/ 4858772 h 4858772"/>
            <a:gd name="connsiteX3" fmla="*/ 0 w 4884414"/>
            <a:gd name="connsiteY3" fmla="*/ 3053299 h 4858772"/>
            <a:gd name="connsiteX4" fmla="*/ 4607863 w 4884414"/>
            <a:gd name="connsiteY4" fmla="*/ 2902441 h 4858772"/>
            <a:gd name="connsiteX5" fmla="*/ 4789111 w 4884414"/>
            <a:gd name="connsiteY5" fmla="*/ 2958353 h 4858772"/>
            <a:gd name="connsiteX6" fmla="*/ 4811396 w 4884414"/>
            <a:gd name="connsiteY6" fmla="*/ 3250422 h 4858772"/>
            <a:gd name="connsiteX7" fmla="*/ 2814330 w 4884414"/>
            <a:gd name="connsiteY7" fmla="*/ 4524139 h 4858772"/>
            <a:gd name="connsiteX8" fmla="*/ 1445303 w 4884414"/>
            <a:gd name="connsiteY8" fmla="*/ 4391479 h 4858772"/>
            <a:gd name="connsiteX9" fmla="*/ 1161080 w 4884414"/>
            <a:gd name="connsiteY9" fmla="*/ 4453075 h 4858772"/>
            <a:gd name="connsiteX10" fmla="*/ 895802 w 4884414"/>
            <a:gd name="connsiteY10" fmla="*/ 3202470 h 4858772"/>
            <a:gd name="connsiteX11" fmla="*/ 1492676 w 4884414"/>
            <a:gd name="connsiteY11" fmla="*/ 3046158 h 4858772"/>
            <a:gd name="connsiteX12" fmla="*/ 2495226 w 4884414"/>
            <a:gd name="connsiteY12" fmla="*/ 3450762 h 4858772"/>
            <a:gd name="connsiteX13" fmla="*/ 3321174 w 4884414"/>
            <a:gd name="connsiteY13" fmla="*/ 3055626 h 4858772"/>
            <a:gd name="connsiteX14" fmla="*/ 3742807 w 4884414"/>
            <a:gd name="connsiteY14" fmla="*/ 3103002 h 4858772"/>
            <a:gd name="connsiteX15" fmla="*/ 3723259 w 4884414"/>
            <a:gd name="connsiteY15" fmla="*/ 3443274 h 4858772"/>
            <a:gd name="connsiteX16" fmla="*/ 2513442 w 4884414"/>
            <a:gd name="connsiteY16" fmla="*/ 4087494 h 4858772"/>
            <a:gd name="connsiteX17" fmla="*/ 1386497 w 4884414"/>
            <a:gd name="connsiteY17" fmla="*/ 3877686 h 4858772"/>
            <a:gd name="connsiteX18" fmla="*/ 1345824 w 4884414"/>
            <a:gd name="connsiteY18" fmla="*/ 4040946 h 4858772"/>
            <a:gd name="connsiteX19" fmla="*/ 2583822 w 4884414"/>
            <a:gd name="connsiteY19" fmla="*/ 4264146 h 4858772"/>
            <a:gd name="connsiteX20" fmla="*/ 3918055 w 4884414"/>
            <a:gd name="connsiteY20" fmla="*/ 3524598 h 4858772"/>
            <a:gd name="connsiteX21" fmla="*/ 4020079 w 4884414"/>
            <a:gd name="connsiteY21" fmla="*/ 3359394 h 4858772"/>
            <a:gd name="connsiteX22" fmla="*/ 3984367 w 4884414"/>
            <a:gd name="connsiteY22" fmla="*/ 3155094 h 4858772"/>
            <a:gd name="connsiteX23" fmla="*/ 4420327 w 4884414"/>
            <a:gd name="connsiteY23" fmla="*/ 2932794 h 4858772"/>
            <a:gd name="connsiteX24" fmla="*/ 4607863 w 4884414"/>
            <a:gd name="connsiteY24" fmla="*/ 2902441 h 4858772"/>
            <a:gd name="connsiteX25" fmla="*/ 1433727 w 4884414"/>
            <a:gd name="connsiteY25" fmla="*/ 2168924 h 4858772"/>
            <a:gd name="connsiteX26" fmla="*/ 1849081 w 4884414"/>
            <a:gd name="connsiteY26" fmla="*/ 2168924 h 4858772"/>
            <a:gd name="connsiteX27" fmla="*/ 1849081 w 4884414"/>
            <a:gd name="connsiteY27" fmla="*/ 2845548 h 4858772"/>
            <a:gd name="connsiteX28" fmla="*/ 1433727 w 4884414"/>
            <a:gd name="connsiteY28" fmla="*/ 2845548 h 4858772"/>
            <a:gd name="connsiteX29" fmla="*/ 2941179 w 4884414"/>
            <a:gd name="connsiteY29" fmla="*/ 2004757 h 4858772"/>
            <a:gd name="connsiteX30" fmla="*/ 3359881 w 4884414"/>
            <a:gd name="connsiteY30" fmla="*/ 2004757 h 4858772"/>
            <a:gd name="connsiteX31" fmla="*/ 3359881 w 4884414"/>
            <a:gd name="connsiteY31" fmla="*/ 2842165 h 4858772"/>
            <a:gd name="connsiteX32" fmla="*/ 2941179 w 4884414"/>
            <a:gd name="connsiteY32" fmla="*/ 2842165 h 4858772"/>
            <a:gd name="connsiteX33" fmla="*/ 2187461 w 4884414"/>
            <a:gd name="connsiteY33" fmla="*/ 1666453 h 4858772"/>
            <a:gd name="connsiteX34" fmla="*/ 2609514 w 4884414"/>
            <a:gd name="connsiteY34" fmla="*/ 1666453 h 4858772"/>
            <a:gd name="connsiteX35" fmla="*/ 2609514 w 4884414"/>
            <a:gd name="connsiteY35" fmla="*/ 2858921 h 4858772"/>
            <a:gd name="connsiteX36" fmla="*/ 2187461 w 4884414"/>
            <a:gd name="connsiteY36" fmla="*/ 2858921 h 4858772"/>
            <a:gd name="connsiteX37" fmla="*/ 3691550 w 4884414"/>
            <a:gd name="connsiteY37" fmla="*/ 1488894 h 4858772"/>
            <a:gd name="connsiteX38" fmla="*/ 4110252 w 4884414"/>
            <a:gd name="connsiteY38" fmla="*/ 1488894 h 4858772"/>
            <a:gd name="connsiteX39" fmla="*/ 4110252 w 4884414"/>
            <a:gd name="connsiteY39" fmla="*/ 2852193 h 4858772"/>
            <a:gd name="connsiteX40" fmla="*/ 3691550 w 4884414"/>
            <a:gd name="connsiteY40" fmla="*/ 2852193 h 4858772"/>
            <a:gd name="connsiteX41" fmla="*/ 4884414 w 4884414"/>
            <a:gd name="connsiteY41" fmla="*/ 0 h 4858772"/>
            <a:gd name="connsiteX42" fmla="*/ 4879661 w 4884414"/>
            <a:gd name="connsiteY42" fmla="*/ 497394 h 4858772"/>
            <a:gd name="connsiteX43" fmla="*/ 4718597 w 4884414"/>
            <a:gd name="connsiteY43" fmla="*/ 497394 h 4858772"/>
            <a:gd name="connsiteX44" fmla="*/ 4713882 w 4884414"/>
            <a:gd name="connsiteY44" fmla="*/ 274752 h 4858772"/>
            <a:gd name="connsiteX45" fmla="*/ 3775937 w 4884414"/>
            <a:gd name="connsiteY45" fmla="*/ 1198498 h 4858772"/>
            <a:gd name="connsiteX46" fmla="*/ 3041680 w 4884414"/>
            <a:gd name="connsiteY46" fmla="*/ 454759 h 4858772"/>
            <a:gd name="connsiteX47" fmla="*/ 2027937 w 4884414"/>
            <a:gd name="connsiteY47" fmla="*/ 1430590 h 4858772"/>
            <a:gd name="connsiteX48" fmla="*/ 1426330 w 4884414"/>
            <a:gd name="connsiteY48" fmla="*/ 876370 h 4858772"/>
            <a:gd name="connsiteX49" fmla="*/ 327325 w 4884414"/>
            <a:gd name="connsiteY49" fmla="*/ 1984846 h 4858772"/>
            <a:gd name="connsiteX50" fmla="*/ 194686 w 4884414"/>
            <a:gd name="connsiteY50" fmla="*/ 1871158 h 4858772"/>
            <a:gd name="connsiteX51" fmla="*/ 1416855 w 4884414"/>
            <a:gd name="connsiteY51" fmla="*/ 644242 h 4858772"/>
            <a:gd name="connsiteX52" fmla="*/ 2027937 w 4884414"/>
            <a:gd name="connsiteY52" fmla="*/ 1203214 h 4858772"/>
            <a:gd name="connsiteX53" fmla="*/ 3022744 w 4884414"/>
            <a:gd name="connsiteY53" fmla="*/ 222642 h 4858772"/>
            <a:gd name="connsiteX54" fmla="*/ 3799624 w 4884414"/>
            <a:gd name="connsiteY54" fmla="*/ 961618 h 4858772"/>
            <a:gd name="connsiteX55" fmla="*/ 4604909 w 4884414"/>
            <a:gd name="connsiteY55" fmla="*/ 161060 h 4858772"/>
            <a:gd name="connsiteX56" fmla="*/ 4377533 w 4884414"/>
            <a:gd name="connsiteY56" fmla="*/ 151585 h 4858772"/>
            <a:gd name="connsiteX57" fmla="*/ 4372781 w 4884414"/>
            <a:gd name="connsiteY57" fmla="*/ 4737 h 4858772"/>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Lst>
          <a:rect l="l" t="t" r="r" b="b"/>
          <a:pathLst>
            <a:path w="4884414" h="4858772">
              <a:moveTo>
                <a:pt x="639778" y="2912647"/>
              </a:moveTo>
              <a:lnTo>
                <a:pt x="1031685" y="4714736"/>
              </a:lnTo>
              <a:lnTo>
                <a:pt x="385208" y="4858772"/>
              </a:lnTo>
              <a:lnTo>
                <a:pt x="0" y="3053299"/>
              </a:lnTo>
              <a:close/>
              <a:moveTo>
                <a:pt x="4607863" y="2902441"/>
              </a:moveTo>
              <a:cubicBezTo>
                <a:pt x="4668385" y="2903746"/>
                <a:pt x="4734018" y="2917543"/>
                <a:pt x="4789111" y="2958353"/>
              </a:cubicBezTo>
              <a:cubicBezTo>
                <a:pt x="4984268" y="3102893"/>
                <a:pt x="4811396" y="3250422"/>
                <a:pt x="4811396" y="3250422"/>
              </a:cubicBezTo>
              <a:cubicBezTo>
                <a:pt x="4811396" y="3250422"/>
                <a:pt x="3126199" y="4484683"/>
                <a:pt x="2814330" y="4524139"/>
              </a:cubicBezTo>
              <a:cubicBezTo>
                <a:pt x="2436006" y="4571983"/>
                <a:pt x="1681870" y="4399758"/>
                <a:pt x="1445303" y="4391479"/>
              </a:cubicBezTo>
              <a:cubicBezTo>
                <a:pt x="1331655" y="4387519"/>
                <a:pt x="1161080" y="4453075"/>
                <a:pt x="1161080" y="4453075"/>
              </a:cubicBezTo>
              <a:lnTo>
                <a:pt x="895802" y="3202470"/>
              </a:lnTo>
              <a:cubicBezTo>
                <a:pt x="895802" y="3202470"/>
                <a:pt x="1206936" y="3031326"/>
                <a:pt x="1492676" y="3046158"/>
              </a:cubicBezTo>
              <a:cubicBezTo>
                <a:pt x="1861078" y="3065273"/>
                <a:pt x="2261046" y="3451698"/>
                <a:pt x="2495226" y="3450762"/>
              </a:cubicBezTo>
              <a:cubicBezTo>
                <a:pt x="2653086" y="3450150"/>
                <a:pt x="3321174" y="3055626"/>
                <a:pt x="3321174" y="3055626"/>
              </a:cubicBezTo>
              <a:cubicBezTo>
                <a:pt x="3321174" y="3055626"/>
                <a:pt x="3595819" y="2954430"/>
                <a:pt x="3742807" y="3103002"/>
              </a:cubicBezTo>
              <a:cubicBezTo>
                <a:pt x="3947863" y="3310290"/>
                <a:pt x="3723259" y="3443274"/>
                <a:pt x="3723259" y="3443274"/>
              </a:cubicBezTo>
              <a:cubicBezTo>
                <a:pt x="3723259" y="3443274"/>
                <a:pt x="2958654" y="3989718"/>
                <a:pt x="2513442" y="4087494"/>
              </a:cubicBezTo>
              <a:cubicBezTo>
                <a:pt x="2233902" y="4148910"/>
                <a:pt x="1386497" y="3877686"/>
                <a:pt x="1386497" y="3877686"/>
              </a:cubicBezTo>
              <a:lnTo>
                <a:pt x="1345824" y="4040946"/>
              </a:lnTo>
              <a:cubicBezTo>
                <a:pt x="1345824" y="4040946"/>
                <a:pt x="2201574" y="4299750"/>
                <a:pt x="2583822" y="4264146"/>
              </a:cubicBezTo>
              <a:cubicBezTo>
                <a:pt x="2873478" y="4237218"/>
                <a:pt x="3918055" y="3524598"/>
                <a:pt x="3918055" y="3524598"/>
              </a:cubicBezTo>
              <a:cubicBezTo>
                <a:pt x="3918055" y="3524598"/>
                <a:pt x="3992143" y="3470274"/>
                <a:pt x="4020079" y="3359394"/>
              </a:cubicBezTo>
              <a:cubicBezTo>
                <a:pt x="4045927" y="3256794"/>
                <a:pt x="3984367" y="3155094"/>
                <a:pt x="3984367" y="3155094"/>
              </a:cubicBezTo>
              <a:lnTo>
                <a:pt x="4420327" y="2932794"/>
              </a:lnTo>
              <a:cubicBezTo>
                <a:pt x="4420327" y="2932794"/>
                <a:pt x="4506995" y="2900267"/>
                <a:pt x="4607863" y="2902441"/>
              </a:cubicBezTo>
              <a:close/>
              <a:moveTo>
                <a:pt x="1433727" y="2168924"/>
              </a:moveTo>
              <a:lnTo>
                <a:pt x="1849081" y="2168924"/>
              </a:lnTo>
              <a:lnTo>
                <a:pt x="1849081" y="2845548"/>
              </a:lnTo>
              <a:lnTo>
                <a:pt x="1433727" y="2845548"/>
              </a:lnTo>
              <a:close/>
              <a:moveTo>
                <a:pt x="2941179" y="2004757"/>
              </a:moveTo>
              <a:lnTo>
                <a:pt x="3359881" y="2004757"/>
              </a:lnTo>
              <a:lnTo>
                <a:pt x="3359881" y="2842165"/>
              </a:lnTo>
              <a:lnTo>
                <a:pt x="2941179" y="2842165"/>
              </a:lnTo>
              <a:close/>
              <a:moveTo>
                <a:pt x="2187461" y="1666453"/>
              </a:moveTo>
              <a:lnTo>
                <a:pt x="2609514" y="1666453"/>
              </a:lnTo>
              <a:lnTo>
                <a:pt x="2609514" y="2858921"/>
              </a:lnTo>
              <a:lnTo>
                <a:pt x="2187461" y="2858921"/>
              </a:lnTo>
              <a:close/>
              <a:moveTo>
                <a:pt x="3691550" y="1488894"/>
              </a:moveTo>
              <a:lnTo>
                <a:pt x="4110252" y="1488894"/>
              </a:lnTo>
              <a:lnTo>
                <a:pt x="4110252" y="2852193"/>
              </a:lnTo>
              <a:lnTo>
                <a:pt x="3691550" y="2852193"/>
              </a:lnTo>
              <a:close/>
              <a:moveTo>
                <a:pt x="4884414" y="0"/>
              </a:moveTo>
              <a:lnTo>
                <a:pt x="4879661" y="497394"/>
              </a:lnTo>
              <a:lnTo>
                <a:pt x="4718597" y="497394"/>
              </a:lnTo>
              <a:lnTo>
                <a:pt x="4713882" y="274752"/>
              </a:lnTo>
              <a:lnTo>
                <a:pt x="3775937" y="1198498"/>
              </a:lnTo>
              <a:lnTo>
                <a:pt x="3041680" y="454759"/>
              </a:lnTo>
              <a:lnTo>
                <a:pt x="2027937" y="1430590"/>
              </a:lnTo>
              <a:lnTo>
                <a:pt x="1426330" y="876370"/>
              </a:lnTo>
              <a:lnTo>
                <a:pt x="327325" y="1984846"/>
              </a:lnTo>
              <a:lnTo>
                <a:pt x="194686" y="1871158"/>
              </a:lnTo>
              <a:lnTo>
                <a:pt x="1416855" y="644242"/>
              </a:lnTo>
              <a:lnTo>
                <a:pt x="2027937" y="1203214"/>
              </a:lnTo>
              <a:lnTo>
                <a:pt x="3022744" y="222642"/>
              </a:lnTo>
              <a:lnTo>
                <a:pt x="3799624" y="961618"/>
              </a:lnTo>
              <a:lnTo>
                <a:pt x="4604909" y="161060"/>
              </a:lnTo>
              <a:lnTo>
                <a:pt x="4377533" y="151585"/>
              </a:lnTo>
              <a:lnTo>
                <a:pt x="4372781" y="4737"/>
              </a:lnTo>
              <a:close/>
            </a:path>
          </a:pathLst>
        </a:custGeom>
        <a:solidFill>
          <a:schemeClr val="bg1"/>
        </a:solidFill>
        <a:ln w="17998"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259612</xdr:colOff>
      <xdr:row>32</xdr:row>
      <xdr:rowOff>152372</xdr:rowOff>
    </xdr:from>
    <xdr:to>
      <xdr:col>18</xdr:col>
      <xdr:colOff>428083</xdr:colOff>
      <xdr:row>33</xdr:row>
      <xdr:rowOff>173699</xdr:rowOff>
    </xdr:to>
    <xdr:sp macro="" textlink="">
      <xdr:nvSpPr>
        <xdr:cNvPr id="96" name="Freeform: Shape 95">
          <a:extLst>
            <a:ext uri="{FF2B5EF4-FFF2-40B4-BE49-F238E27FC236}">
              <a16:creationId xmlns:a16="http://schemas.microsoft.com/office/drawing/2014/main" id="{F87ACA5E-C250-9440-C717-9E94FA9231B6}"/>
            </a:ext>
          </a:extLst>
        </xdr:cNvPr>
        <xdr:cNvSpPr/>
      </xdr:nvSpPr>
      <xdr:spPr>
        <a:xfrm>
          <a:off x="11300992" y="6004532"/>
          <a:ext cx="168471" cy="204207"/>
        </a:xfrm>
        <a:custGeom>
          <a:avLst/>
          <a:gdLst>
            <a:gd name="connsiteX0" fmla="*/ 1055978 w 2078051"/>
            <a:gd name="connsiteY0" fmla="*/ 1929003 h 2870971"/>
            <a:gd name="connsiteX1" fmla="*/ 1107799 w 2078051"/>
            <a:gd name="connsiteY1" fmla="*/ 1959131 h 2870971"/>
            <a:gd name="connsiteX2" fmla="*/ 1123868 w 2078051"/>
            <a:gd name="connsiteY2" fmla="*/ 2005327 h 2870971"/>
            <a:gd name="connsiteX3" fmla="*/ 1104987 w 2078051"/>
            <a:gd name="connsiteY3" fmla="*/ 2057955 h 2870971"/>
            <a:gd name="connsiteX4" fmla="*/ 1055978 w 2078051"/>
            <a:gd name="connsiteY4" fmla="*/ 2085674 h 2870971"/>
            <a:gd name="connsiteX5" fmla="*/ 997728 w 2078051"/>
            <a:gd name="connsiteY5" fmla="*/ 1658243 h 2870971"/>
            <a:gd name="connsiteX6" fmla="*/ 997728 w 2078051"/>
            <a:gd name="connsiteY6" fmla="*/ 1797238 h 2870971"/>
            <a:gd name="connsiteX7" fmla="*/ 958762 w 2078051"/>
            <a:gd name="connsiteY7" fmla="*/ 1767911 h 2870971"/>
            <a:gd name="connsiteX8" fmla="*/ 945906 w 2078051"/>
            <a:gd name="connsiteY8" fmla="*/ 1728143 h 2870971"/>
            <a:gd name="connsiteX9" fmla="*/ 959966 w 2078051"/>
            <a:gd name="connsiteY9" fmla="*/ 1685558 h 2870971"/>
            <a:gd name="connsiteX10" fmla="*/ 997728 w 2078051"/>
            <a:gd name="connsiteY10" fmla="*/ 1658243 h 2870971"/>
            <a:gd name="connsiteX11" fmla="*/ 997728 w 2078051"/>
            <a:gd name="connsiteY11" fmla="*/ 1530898 h 2870971"/>
            <a:gd name="connsiteX12" fmla="*/ 997728 w 2078051"/>
            <a:gd name="connsiteY12" fmla="*/ 1570667 h 2870971"/>
            <a:gd name="connsiteX13" fmla="*/ 886854 w 2078051"/>
            <a:gd name="connsiteY13" fmla="*/ 1622487 h 2870971"/>
            <a:gd name="connsiteX14" fmla="*/ 845479 w 2078051"/>
            <a:gd name="connsiteY14" fmla="*/ 1732962 h 2870971"/>
            <a:gd name="connsiteX15" fmla="*/ 882035 w 2078051"/>
            <a:gd name="connsiteY15" fmla="*/ 1843836 h 2870971"/>
            <a:gd name="connsiteX16" fmla="*/ 997728 w 2078051"/>
            <a:gd name="connsiteY16" fmla="*/ 1911726 h 2870971"/>
            <a:gd name="connsiteX17" fmla="*/ 997728 w 2078051"/>
            <a:gd name="connsiteY17" fmla="*/ 2080048 h 2870971"/>
            <a:gd name="connsiteX18" fmla="*/ 958359 w 2078051"/>
            <a:gd name="connsiteY18" fmla="*/ 2046305 h 2870971"/>
            <a:gd name="connsiteX19" fmla="*/ 934255 w 2078051"/>
            <a:gd name="connsiteY19" fmla="*/ 1990869 h 2870971"/>
            <a:gd name="connsiteX20" fmla="*/ 829406 w 2078051"/>
            <a:gd name="connsiteY20" fmla="*/ 2002116 h 2870971"/>
            <a:gd name="connsiteX21" fmla="*/ 884843 w 2078051"/>
            <a:gd name="connsiteY21" fmla="*/ 2124639 h 2870971"/>
            <a:gd name="connsiteX22" fmla="*/ 997728 w 2078051"/>
            <a:gd name="connsiteY22" fmla="*/ 2176462 h 2870971"/>
            <a:gd name="connsiteX23" fmla="*/ 997728 w 2078051"/>
            <a:gd name="connsiteY23" fmla="*/ 2249574 h 2870971"/>
            <a:gd name="connsiteX24" fmla="*/ 1055978 w 2078051"/>
            <a:gd name="connsiteY24" fmla="*/ 2249574 h 2870971"/>
            <a:gd name="connsiteX25" fmla="*/ 1055978 w 2078051"/>
            <a:gd name="connsiteY25" fmla="*/ 2174451 h 2870971"/>
            <a:gd name="connsiteX26" fmla="*/ 1178099 w 2078051"/>
            <a:gd name="connsiteY26" fmla="*/ 2113392 h 2870971"/>
            <a:gd name="connsiteX27" fmla="*/ 1222289 w 2078051"/>
            <a:gd name="connsiteY27" fmla="*/ 1990869 h 2870971"/>
            <a:gd name="connsiteX28" fmla="*/ 1187340 w 2078051"/>
            <a:gd name="connsiteY28" fmla="*/ 1884411 h 2870971"/>
            <a:gd name="connsiteX29" fmla="*/ 1055978 w 2078051"/>
            <a:gd name="connsiteY29" fmla="*/ 1816521 h 2870971"/>
            <a:gd name="connsiteX30" fmla="*/ 1055978 w 2078051"/>
            <a:gd name="connsiteY30" fmla="*/ 1659447 h 2870971"/>
            <a:gd name="connsiteX31" fmla="*/ 1104185 w 2078051"/>
            <a:gd name="connsiteY31" fmla="*/ 1723721 h 2870971"/>
            <a:gd name="connsiteX32" fmla="*/ 1205818 w 2078051"/>
            <a:gd name="connsiteY32" fmla="*/ 1710467 h 2870971"/>
            <a:gd name="connsiteX33" fmla="*/ 1157614 w 2078051"/>
            <a:gd name="connsiteY33" fmla="*/ 1614457 h 2870971"/>
            <a:gd name="connsiteX34" fmla="*/ 1055978 w 2078051"/>
            <a:gd name="connsiteY34" fmla="*/ 1570667 h 2870971"/>
            <a:gd name="connsiteX35" fmla="*/ 1055978 w 2078051"/>
            <a:gd name="connsiteY35" fmla="*/ 1530898 h 2870971"/>
            <a:gd name="connsiteX36" fmla="*/ 1033100 w 2078051"/>
            <a:gd name="connsiteY36" fmla="*/ 1329168 h 2870971"/>
            <a:gd name="connsiteX37" fmla="*/ 1572115 w 2078051"/>
            <a:gd name="connsiteY37" fmla="*/ 1868183 h 2870971"/>
            <a:gd name="connsiteX38" fmla="*/ 1033100 w 2078051"/>
            <a:gd name="connsiteY38" fmla="*/ 2407198 h 2870971"/>
            <a:gd name="connsiteX39" fmla="*/ 494085 w 2078051"/>
            <a:gd name="connsiteY39" fmla="*/ 1868183 h 2870971"/>
            <a:gd name="connsiteX40" fmla="*/ 1033100 w 2078051"/>
            <a:gd name="connsiteY40" fmla="*/ 1329168 h 2870971"/>
            <a:gd name="connsiteX41" fmla="*/ 1033100 w 2078051"/>
            <a:gd name="connsiteY41" fmla="*/ 1223366 h 2870971"/>
            <a:gd name="connsiteX42" fmla="*/ 388283 w 2078051"/>
            <a:gd name="connsiteY42" fmla="*/ 1868183 h 2870971"/>
            <a:gd name="connsiteX43" fmla="*/ 1033100 w 2078051"/>
            <a:gd name="connsiteY43" fmla="*/ 2513000 h 2870971"/>
            <a:gd name="connsiteX44" fmla="*/ 1677917 w 2078051"/>
            <a:gd name="connsiteY44" fmla="*/ 1868183 h 2870971"/>
            <a:gd name="connsiteX45" fmla="*/ 1033100 w 2078051"/>
            <a:gd name="connsiteY45" fmla="*/ 1223366 h 2870971"/>
            <a:gd name="connsiteX46" fmla="*/ 983183 w 2078051"/>
            <a:gd name="connsiteY46" fmla="*/ 335217 h 2870971"/>
            <a:gd name="connsiteX47" fmla="*/ 758164 w 2078051"/>
            <a:gd name="connsiteY47" fmla="*/ 343982 h 2870971"/>
            <a:gd name="connsiteX48" fmla="*/ 488284 w 2078051"/>
            <a:gd name="connsiteY48" fmla="*/ 983732 h 2870971"/>
            <a:gd name="connsiteX49" fmla="*/ 488749 w 2078051"/>
            <a:gd name="connsiteY49" fmla="*/ 985270 h 2870971"/>
            <a:gd name="connsiteX50" fmla="*/ 642599 w 2078051"/>
            <a:gd name="connsiteY50" fmla="*/ 899738 h 2870971"/>
            <a:gd name="connsiteX51" fmla="*/ 1558297 w 2078051"/>
            <a:gd name="connsiteY51" fmla="*/ 983595 h 2870971"/>
            <a:gd name="connsiteX52" fmla="*/ 1599794 w 2078051"/>
            <a:gd name="connsiteY52" fmla="*/ 1014524 h 2870971"/>
            <a:gd name="connsiteX53" fmla="*/ 1602875 w 2078051"/>
            <a:gd name="connsiteY53" fmla="*/ 999811 h 2870971"/>
            <a:gd name="connsiteX54" fmla="*/ 1383012 w 2078051"/>
            <a:gd name="connsiteY54" fmla="*/ 357449 h 2870971"/>
            <a:gd name="connsiteX55" fmla="*/ 983183 w 2078051"/>
            <a:gd name="connsiteY55" fmla="*/ 335217 h 2870971"/>
            <a:gd name="connsiteX56" fmla="*/ 1024198 w 2078051"/>
            <a:gd name="connsiteY56" fmla="*/ 0 h 2870971"/>
            <a:gd name="connsiteX57" fmla="*/ 1463633 w 2078051"/>
            <a:gd name="connsiteY57" fmla="*/ 41646 h 2870971"/>
            <a:gd name="connsiteX58" fmla="*/ 1850752 w 2078051"/>
            <a:gd name="connsiteY58" fmla="*/ 1233583 h 2870971"/>
            <a:gd name="connsiteX59" fmla="*/ 1848614 w 2078051"/>
            <a:gd name="connsiteY59" fmla="*/ 1239078 h 2870971"/>
            <a:gd name="connsiteX60" fmla="*/ 1936700 w 2078051"/>
            <a:gd name="connsiteY60" fmla="*/ 1360517 h 2870971"/>
            <a:gd name="connsiteX61" fmla="*/ 1430019 w 2078051"/>
            <a:gd name="connsiteY61" fmla="*/ 2823279 h 2870971"/>
            <a:gd name="connsiteX62" fmla="*/ 583477 w 2078051"/>
            <a:gd name="connsiteY62" fmla="*/ 2796381 h 2870971"/>
            <a:gd name="connsiteX63" fmla="*/ 131162 w 2078051"/>
            <a:gd name="connsiteY63" fmla="*/ 1394268 h 2870971"/>
            <a:gd name="connsiteX64" fmla="*/ 216742 w 2078051"/>
            <a:gd name="connsiteY64" fmla="*/ 1260356 h 2870971"/>
            <a:gd name="connsiteX65" fmla="*/ 216557 w 2078051"/>
            <a:gd name="connsiteY65" fmla="*/ 1259844 h 2870971"/>
            <a:gd name="connsiteX66" fmla="*/ 637229 w 2078051"/>
            <a:gd name="connsiteY66" fmla="*/ 28215 h 2870971"/>
            <a:gd name="connsiteX67" fmla="*/ 1024198 w 2078051"/>
            <a:gd name="connsiteY67" fmla="*/ 0 h 287097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Lst>
          <a:rect l="l" t="t" r="r" b="b"/>
          <a:pathLst>
            <a:path w="2078051" h="2870971">
              <a:moveTo>
                <a:pt x="1055978" y="1929003"/>
              </a:moveTo>
              <a:cubicBezTo>
                <a:pt x="1080081" y="1935967"/>
                <a:pt x="1097353" y="1946008"/>
                <a:pt x="1107799" y="1959131"/>
              </a:cubicBezTo>
              <a:cubicBezTo>
                <a:pt x="1118513" y="1971987"/>
                <a:pt x="1123868" y="1987384"/>
                <a:pt x="1123868" y="2005327"/>
              </a:cubicBezTo>
              <a:cubicBezTo>
                <a:pt x="1123868" y="2025413"/>
                <a:pt x="1117575" y="2042957"/>
                <a:pt x="1104987" y="2057955"/>
              </a:cubicBezTo>
              <a:cubicBezTo>
                <a:pt x="1092399" y="2072682"/>
                <a:pt x="1076063" y="2081922"/>
                <a:pt x="1055978" y="2085674"/>
              </a:cubicBezTo>
              <a:close/>
              <a:moveTo>
                <a:pt x="997728" y="1658243"/>
              </a:moveTo>
              <a:lnTo>
                <a:pt x="997728" y="1797238"/>
              </a:lnTo>
              <a:cubicBezTo>
                <a:pt x="980320" y="1789741"/>
                <a:pt x="967333" y="1779966"/>
                <a:pt x="958762" y="1767911"/>
              </a:cubicBezTo>
              <a:cubicBezTo>
                <a:pt x="950192" y="1755594"/>
                <a:pt x="945906" y="1742336"/>
                <a:pt x="945906" y="1728143"/>
              </a:cubicBezTo>
              <a:cubicBezTo>
                <a:pt x="945906" y="1712610"/>
                <a:pt x="950595" y="1698414"/>
                <a:pt x="959966" y="1685558"/>
              </a:cubicBezTo>
              <a:cubicBezTo>
                <a:pt x="969340" y="1672701"/>
                <a:pt x="981927" y="1663597"/>
                <a:pt x="997728" y="1658243"/>
              </a:cubicBezTo>
              <a:close/>
              <a:moveTo>
                <a:pt x="997728" y="1530898"/>
              </a:moveTo>
              <a:lnTo>
                <a:pt x="997728" y="1570667"/>
              </a:lnTo>
              <a:cubicBezTo>
                <a:pt x="951664" y="1575219"/>
                <a:pt x="914705" y="1592496"/>
                <a:pt x="886854" y="1622487"/>
              </a:cubicBezTo>
              <a:cubicBezTo>
                <a:pt x="859268" y="1652218"/>
                <a:pt x="845479" y="1689041"/>
                <a:pt x="845479" y="1732962"/>
              </a:cubicBezTo>
              <a:cubicBezTo>
                <a:pt x="845479" y="1776346"/>
                <a:pt x="857664" y="1813305"/>
                <a:pt x="882035" y="1843836"/>
              </a:cubicBezTo>
              <a:cubicBezTo>
                <a:pt x="906673" y="1874101"/>
                <a:pt x="945236" y="1896733"/>
                <a:pt x="997728" y="1911726"/>
              </a:cubicBezTo>
              <a:lnTo>
                <a:pt x="997728" y="2080048"/>
              </a:lnTo>
              <a:cubicBezTo>
                <a:pt x="983264" y="2073085"/>
                <a:pt x="970145" y="2061838"/>
                <a:pt x="958359" y="2046305"/>
              </a:cubicBezTo>
              <a:cubicBezTo>
                <a:pt x="946577" y="2030771"/>
                <a:pt x="938541" y="2012290"/>
                <a:pt x="934255" y="1990869"/>
              </a:cubicBezTo>
              <a:lnTo>
                <a:pt x="829406" y="2002116"/>
              </a:lnTo>
              <a:cubicBezTo>
                <a:pt x="837442" y="2054876"/>
                <a:pt x="855919" y="2095718"/>
                <a:pt x="884843" y="2124639"/>
              </a:cubicBezTo>
              <a:cubicBezTo>
                <a:pt x="913767" y="2153563"/>
                <a:pt x="951397" y="2170835"/>
                <a:pt x="997728" y="2176462"/>
              </a:cubicBezTo>
              <a:lnTo>
                <a:pt x="997728" y="2249574"/>
              </a:lnTo>
              <a:lnTo>
                <a:pt x="1055978" y="2249574"/>
              </a:lnTo>
              <a:lnTo>
                <a:pt x="1055978" y="2174451"/>
              </a:lnTo>
              <a:cubicBezTo>
                <a:pt x="1108203" y="2166954"/>
                <a:pt x="1148908" y="2146601"/>
                <a:pt x="1178099" y="2113392"/>
              </a:cubicBezTo>
              <a:cubicBezTo>
                <a:pt x="1207561" y="2080183"/>
                <a:pt x="1222289" y="2039342"/>
                <a:pt x="1222289" y="1990869"/>
              </a:cubicBezTo>
              <a:cubicBezTo>
                <a:pt x="1222289" y="1947480"/>
                <a:pt x="1210642" y="1911993"/>
                <a:pt x="1187340" y="1884411"/>
              </a:cubicBezTo>
              <a:cubicBezTo>
                <a:pt x="1164039" y="1856556"/>
                <a:pt x="1120252" y="1833930"/>
                <a:pt x="1055978" y="1816521"/>
              </a:cubicBezTo>
              <a:lnTo>
                <a:pt x="1055978" y="1659447"/>
              </a:lnTo>
              <a:cubicBezTo>
                <a:pt x="1081957" y="1670696"/>
                <a:pt x="1098025" y="1692122"/>
                <a:pt x="1104185" y="1723721"/>
              </a:cubicBezTo>
              <a:lnTo>
                <a:pt x="1205818" y="1710467"/>
              </a:lnTo>
              <a:cubicBezTo>
                <a:pt x="1198855" y="1670292"/>
                <a:pt x="1182788" y="1638288"/>
                <a:pt x="1157614" y="1614457"/>
              </a:cubicBezTo>
              <a:cubicBezTo>
                <a:pt x="1132438" y="1590353"/>
                <a:pt x="1098558" y="1575758"/>
                <a:pt x="1055978" y="1570667"/>
              </a:cubicBezTo>
              <a:lnTo>
                <a:pt x="1055978" y="1530898"/>
              </a:lnTo>
              <a:close/>
              <a:moveTo>
                <a:pt x="1033100" y="1329168"/>
              </a:moveTo>
              <a:cubicBezTo>
                <a:pt x="1330790" y="1329168"/>
                <a:pt x="1572115" y="1570493"/>
                <a:pt x="1572115" y="1868183"/>
              </a:cubicBezTo>
              <a:cubicBezTo>
                <a:pt x="1572115" y="2165873"/>
                <a:pt x="1330790" y="2407198"/>
                <a:pt x="1033100" y="2407198"/>
              </a:cubicBezTo>
              <a:cubicBezTo>
                <a:pt x="735410" y="2407198"/>
                <a:pt x="494085" y="2165873"/>
                <a:pt x="494085" y="1868183"/>
              </a:cubicBezTo>
              <a:cubicBezTo>
                <a:pt x="494085" y="1570493"/>
                <a:pt x="735410" y="1329168"/>
                <a:pt x="1033100" y="1329168"/>
              </a:cubicBezTo>
              <a:close/>
              <a:moveTo>
                <a:pt x="1033100" y="1223366"/>
              </a:moveTo>
              <a:cubicBezTo>
                <a:pt x="676978" y="1223366"/>
                <a:pt x="388283" y="1512061"/>
                <a:pt x="388283" y="1868183"/>
              </a:cubicBezTo>
              <a:cubicBezTo>
                <a:pt x="388283" y="2224306"/>
                <a:pt x="676978" y="2513000"/>
                <a:pt x="1033100" y="2513000"/>
              </a:cubicBezTo>
              <a:cubicBezTo>
                <a:pt x="1389223" y="2513000"/>
                <a:pt x="1677917" y="2224306"/>
                <a:pt x="1677917" y="1868183"/>
              </a:cubicBezTo>
              <a:cubicBezTo>
                <a:pt x="1677917" y="1512061"/>
                <a:pt x="1389223" y="1223366"/>
                <a:pt x="1033100" y="1223366"/>
              </a:cubicBezTo>
              <a:close/>
              <a:moveTo>
                <a:pt x="983183" y="335217"/>
              </a:moveTo>
              <a:cubicBezTo>
                <a:pt x="882977" y="335206"/>
                <a:pt x="793965" y="338025"/>
                <a:pt x="758164" y="343982"/>
              </a:cubicBezTo>
              <a:cubicBezTo>
                <a:pt x="350402" y="411872"/>
                <a:pt x="455610" y="870209"/>
                <a:pt x="488284" y="983732"/>
              </a:cubicBezTo>
              <a:lnTo>
                <a:pt x="488749" y="985270"/>
              </a:lnTo>
              <a:lnTo>
                <a:pt x="642599" y="899738"/>
              </a:lnTo>
              <a:cubicBezTo>
                <a:pt x="932499" y="777096"/>
                <a:pt x="1276563" y="811395"/>
                <a:pt x="1558297" y="983595"/>
              </a:cubicBezTo>
              <a:lnTo>
                <a:pt x="1599794" y="1014524"/>
              </a:lnTo>
              <a:lnTo>
                <a:pt x="1602875" y="999811"/>
              </a:lnTo>
              <a:cubicBezTo>
                <a:pt x="1622986" y="897761"/>
                <a:pt x="1684582" y="481792"/>
                <a:pt x="1383012" y="357449"/>
              </a:cubicBezTo>
              <a:cubicBezTo>
                <a:pt x="1348307" y="343121"/>
                <a:pt x="1150195" y="335237"/>
                <a:pt x="983183" y="335217"/>
              </a:cubicBezTo>
              <a:close/>
              <a:moveTo>
                <a:pt x="1024198" y="0"/>
              </a:moveTo>
              <a:cubicBezTo>
                <a:pt x="1194350" y="-9"/>
                <a:pt x="1373246" y="11626"/>
                <a:pt x="1463633" y="41646"/>
              </a:cubicBezTo>
              <a:cubicBezTo>
                <a:pt x="2185740" y="281592"/>
                <a:pt x="1890480" y="1128639"/>
                <a:pt x="1850752" y="1233583"/>
              </a:cubicBezTo>
              <a:lnTo>
                <a:pt x="1848614" y="1239078"/>
              </a:lnTo>
              <a:lnTo>
                <a:pt x="1936700" y="1360517"/>
              </a:lnTo>
              <a:cubicBezTo>
                <a:pt x="2317913" y="1979920"/>
                <a:pt x="1852931" y="2700800"/>
                <a:pt x="1430019" y="2823279"/>
              </a:cubicBezTo>
              <a:cubicBezTo>
                <a:pt x="1158841" y="2901805"/>
                <a:pt x="730150" y="2876713"/>
                <a:pt x="583477" y="2796381"/>
              </a:cubicBezTo>
              <a:cubicBezTo>
                <a:pt x="191527" y="2581783"/>
                <a:pt x="-215596" y="2019195"/>
                <a:pt x="131162" y="1394268"/>
              </a:cubicBezTo>
              <a:lnTo>
                <a:pt x="216742" y="1260356"/>
              </a:lnTo>
              <a:lnTo>
                <a:pt x="216557" y="1259844"/>
              </a:lnTo>
              <a:cubicBezTo>
                <a:pt x="177285" y="1148690"/>
                <a:pt x="-113420" y="252456"/>
                <a:pt x="637229" y="28215"/>
              </a:cubicBezTo>
              <a:cubicBezTo>
                <a:pt x="692639" y="11662"/>
                <a:pt x="854047" y="9"/>
                <a:pt x="1024198" y="0"/>
              </a:cubicBezTo>
              <a:close/>
            </a:path>
          </a:pathLst>
        </a:cu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wrap="square" rtlCol="0" anchor="ctr">
          <a:noAutofit/>
        </a:bodyPr>
        <a:lstStyle>
          <a:defPPr>
            <a:defRPr lang="ru-RU"/>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a:pPr algn="ctr"/>
          <a:endParaRPr lang="ru-RU"/>
        </a:p>
      </xdr:txBody>
    </xdr:sp>
    <xdr:clientData/>
  </xdr:twoCellAnchor>
  <xdr:twoCellAnchor>
    <xdr:from>
      <xdr:col>18</xdr:col>
      <xdr:colOff>253192</xdr:colOff>
      <xdr:row>35</xdr:row>
      <xdr:rowOff>56616</xdr:rowOff>
    </xdr:from>
    <xdr:to>
      <xdr:col>18</xdr:col>
      <xdr:colOff>449741</xdr:colOff>
      <xdr:row>36</xdr:row>
      <xdr:rowOff>67339</xdr:rowOff>
    </xdr:to>
    <xdr:sp macro="" textlink="">
      <xdr:nvSpPr>
        <xdr:cNvPr id="97" name="Freeform: Shape 96">
          <a:extLst>
            <a:ext uri="{FF2B5EF4-FFF2-40B4-BE49-F238E27FC236}">
              <a16:creationId xmlns:a16="http://schemas.microsoft.com/office/drawing/2014/main" id="{940B3E01-3EA4-0EB9-A003-DB394A932E5A}"/>
            </a:ext>
          </a:extLst>
        </xdr:cNvPr>
        <xdr:cNvSpPr/>
      </xdr:nvSpPr>
      <xdr:spPr>
        <a:xfrm>
          <a:off x="11294572" y="6457416"/>
          <a:ext cx="196549" cy="193603"/>
        </a:xfrm>
        <a:custGeom>
          <a:avLst/>
          <a:gdLst>
            <a:gd name="connsiteX0" fmla="*/ 669226 w 3163078"/>
            <a:gd name="connsiteY0" fmla="*/ 1658213 h 3163078"/>
            <a:gd name="connsiteX1" fmla="*/ 244013 w 3163078"/>
            <a:gd name="connsiteY1" fmla="*/ 1658214 h 3163078"/>
            <a:gd name="connsiteX2" fmla="*/ 247066 w 3163078"/>
            <a:gd name="connsiteY2" fmla="*/ 1718689 h 3163078"/>
            <a:gd name="connsiteX3" fmla="*/ 1444389 w 3163078"/>
            <a:gd name="connsiteY3" fmla="*/ 2916012 h 3163078"/>
            <a:gd name="connsiteX4" fmla="*/ 1499820 w 3163078"/>
            <a:gd name="connsiteY4" fmla="*/ 2918811 h 3163078"/>
            <a:gd name="connsiteX5" fmla="*/ 1495533 w 3163078"/>
            <a:gd name="connsiteY5" fmla="*/ 2890456 h 3163078"/>
            <a:gd name="connsiteX6" fmla="*/ 1495533 w 3163078"/>
            <a:gd name="connsiteY6" fmla="*/ 2467055 h 3163078"/>
            <a:gd name="connsiteX7" fmla="*/ 1479365 w 3163078"/>
            <a:gd name="connsiteY7" fmla="*/ 2466239 h 3163078"/>
            <a:gd name="connsiteX8" fmla="*/ 682606 w 3163078"/>
            <a:gd name="connsiteY8" fmla="*/ 1745881 h 3163078"/>
            <a:gd name="connsiteX9" fmla="*/ 2919066 w 3163078"/>
            <a:gd name="connsiteY9" fmla="*/ 1658213 h 3163078"/>
            <a:gd name="connsiteX10" fmla="*/ 2475189 w 3163078"/>
            <a:gd name="connsiteY10" fmla="*/ 1658214 h 3163078"/>
            <a:gd name="connsiteX11" fmla="*/ 2461810 w 3163078"/>
            <a:gd name="connsiteY11" fmla="*/ 1745881 h 3163078"/>
            <a:gd name="connsiteX12" fmla="*/ 1755212 w 3163078"/>
            <a:gd name="connsiteY12" fmla="*/ 2452479 h 3163078"/>
            <a:gd name="connsiteX13" fmla="*/ 1704868 w 3163078"/>
            <a:gd name="connsiteY13" fmla="*/ 2460162 h 3163078"/>
            <a:gd name="connsiteX14" fmla="*/ 1704868 w 3163078"/>
            <a:gd name="connsiteY14" fmla="*/ 2890456 h 3163078"/>
            <a:gd name="connsiteX15" fmla="*/ 1700869 w 3163078"/>
            <a:gd name="connsiteY15" fmla="*/ 2916912 h 3163078"/>
            <a:gd name="connsiteX16" fmla="*/ 1718689 w 3163078"/>
            <a:gd name="connsiteY16" fmla="*/ 2916012 h 3163078"/>
            <a:gd name="connsiteX17" fmla="*/ 2916012 w 3163078"/>
            <a:gd name="connsiteY17" fmla="*/ 1718689 h 3163078"/>
            <a:gd name="connsiteX18" fmla="*/ 1665289 w 3163078"/>
            <a:gd name="connsiteY18" fmla="*/ 1628851 h 3163078"/>
            <a:gd name="connsiteX19" fmla="*/ 1665289 w 3163078"/>
            <a:gd name="connsiteY19" fmla="*/ 1751958 h 3163078"/>
            <a:gd name="connsiteX20" fmla="*/ 1741278 w 3163078"/>
            <a:gd name="connsiteY20" fmla="*/ 1733090 h 3163078"/>
            <a:gd name="connsiteX21" fmla="*/ 1772883 w 3163078"/>
            <a:gd name="connsiteY21" fmla="*/ 1689910 h 3163078"/>
            <a:gd name="connsiteX22" fmla="*/ 1736568 w 3163078"/>
            <a:gd name="connsiteY22" fmla="*/ 1647194 h 3163078"/>
            <a:gd name="connsiteX23" fmla="*/ 1665289 w 3163078"/>
            <a:gd name="connsiteY23" fmla="*/ 1628851 h 3163078"/>
            <a:gd name="connsiteX24" fmla="*/ 1561731 w 3163078"/>
            <a:gd name="connsiteY24" fmla="*/ 1346387 h 3163078"/>
            <a:gd name="connsiteX25" fmla="*/ 1481712 w 3163078"/>
            <a:gd name="connsiteY25" fmla="*/ 1363245 h 3163078"/>
            <a:gd name="connsiteX26" fmla="*/ 1446742 w 3163078"/>
            <a:gd name="connsiteY26" fmla="*/ 1402960 h 3163078"/>
            <a:gd name="connsiteX27" fmla="*/ 1469607 w 3163078"/>
            <a:gd name="connsiteY27" fmla="*/ 1439212 h 3163078"/>
            <a:gd name="connsiteX28" fmla="*/ 1561731 w 3163078"/>
            <a:gd name="connsiteY28" fmla="*/ 1461544 h 3163078"/>
            <a:gd name="connsiteX29" fmla="*/ 1550971 w 3163078"/>
            <a:gd name="connsiteY29" fmla="*/ 1101133 h 3163078"/>
            <a:gd name="connsiteX30" fmla="*/ 1667979 w 3163078"/>
            <a:gd name="connsiteY30" fmla="*/ 1101133 h 3163078"/>
            <a:gd name="connsiteX31" fmla="*/ 1667979 w 3163078"/>
            <a:gd name="connsiteY31" fmla="*/ 1215826 h 3163078"/>
            <a:gd name="connsiteX32" fmla="*/ 1812557 w 3163078"/>
            <a:gd name="connsiteY32" fmla="*/ 1228724 h 3163078"/>
            <a:gd name="connsiteX33" fmla="*/ 1943685 w 3163078"/>
            <a:gd name="connsiteY33" fmla="*/ 1254026 h 3163078"/>
            <a:gd name="connsiteX34" fmla="*/ 1943685 w 3163078"/>
            <a:gd name="connsiteY34" fmla="*/ 1397021 h 3163078"/>
            <a:gd name="connsiteX35" fmla="*/ 1914100 w 3163078"/>
            <a:gd name="connsiteY35" fmla="*/ 1397021 h 3163078"/>
            <a:gd name="connsiteX36" fmla="*/ 1803142 w 3163078"/>
            <a:gd name="connsiteY36" fmla="*/ 1363245 h 3163078"/>
            <a:gd name="connsiteX37" fmla="*/ 1667979 w 3163078"/>
            <a:gd name="connsiteY37" fmla="*/ 1346387 h 3163078"/>
            <a:gd name="connsiteX38" fmla="*/ 1667979 w 3163078"/>
            <a:gd name="connsiteY38" fmla="*/ 1472463 h 3163078"/>
            <a:gd name="connsiteX39" fmla="*/ 1721778 w 3163078"/>
            <a:gd name="connsiteY39" fmla="*/ 1480412 h 3163078"/>
            <a:gd name="connsiteX40" fmla="*/ 1945030 w 3163078"/>
            <a:gd name="connsiteY40" fmla="*/ 1546914 h 3163078"/>
            <a:gd name="connsiteX41" fmla="*/ 2016984 w 3163078"/>
            <a:gd name="connsiteY41" fmla="*/ 1670547 h 3163078"/>
            <a:gd name="connsiteX42" fmla="*/ 1921495 w 3163078"/>
            <a:gd name="connsiteY42" fmla="*/ 1814501 h 3163078"/>
            <a:gd name="connsiteX43" fmla="*/ 1667979 w 3163078"/>
            <a:gd name="connsiteY43" fmla="*/ 1882519 h 3163078"/>
            <a:gd name="connsiteX44" fmla="*/ 1667979 w 3163078"/>
            <a:gd name="connsiteY44" fmla="*/ 2062725 h 3163078"/>
            <a:gd name="connsiteX45" fmla="*/ 1550971 w 3163078"/>
            <a:gd name="connsiteY45" fmla="*/ 2062725 h 3163078"/>
            <a:gd name="connsiteX46" fmla="*/ 1550971 w 3163078"/>
            <a:gd name="connsiteY46" fmla="*/ 1885489 h 3163078"/>
            <a:gd name="connsiteX47" fmla="*/ 1376808 w 3163078"/>
            <a:gd name="connsiteY47" fmla="*/ 1872095 h 3163078"/>
            <a:gd name="connsiteX48" fmla="*/ 1222145 w 3163078"/>
            <a:gd name="connsiteY48" fmla="*/ 1839803 h 3163078"/>
            <a:gd name="connsiteX49" fmla="*/ 1222145 w 3163078"/>
            <a:gd name="connsiteY49" fmla="*/ 1694859 h 3163078"/>
            <a:gd name="connsiteX50" fmla="*/ 1252405 w 3163078"/>
            <a:gd name="connsiteY50" fmla="*/ 1694859 h 3163078"/>
            <a:gd name="connsiteX51" fmla="*/ 1394293 w 3163078"/>
            <a:gd name="connsiteY51" fmla="*/ 1734575 h 3163078"/>
            <a:gd name="connsiteX52" fmla="*/ 1554336 w 3163078"/>
            <a:gd name="connsiteY52" fmla="*/ 1753938 h 3163078"/>
            <a:gd name="connsiteX53" fmla="*/ 1554336 w 3163078"/>
            <a:gd name="connsiteY53" fmla="*/ 1617902 h 3163078"/>
            <a:gd name="connsiteX54" fmla="*/ 1489107 w 3163078"/>
            <a:gd name="connsiteY54" fmla="*/ 1606983 h 3163078"/>
            <a:gd name="connsiteX55" fmla="*/ 1374789 w 3163078"/>
            <a:gd name="connsiteY55" fmla="*/ 1582671 h 3163078"/>
            <a:gd name="connsiteX56" fmla="*/ 1285355 w 3163078"/>
            <a:gd name="connsiteY56" fmla="*/ 1545925 h 3163078"/>
            <a:gd name="connsiteX57" fmla="*/ 1226851 w 3163078"/>
            <a:gd name="connsiteY57" fmla="*/ 1489847 h 3163078"/>
            <a:gd name="connsiteX58" fmla="*/ 1206006 w 3163078"/>
            <a:gd name="connsiteY58" fmla="*/ 1406950 h 3163078"/>
            <a:gd name="connsiteX59" fmla="*/ 1297459 w 3163078"/>
            <a:gd name="connsiteY59" fmla="*/ 1280349 h 3163078"/>
            <a:gd name="connsiteX60" fmla="*/ 1550971 w 3163078"/>
            <a:gd name="connsiteY60" fmla="*/ 1216816 h 3163078"/>
            <a:gd name="connsiteX61" fmla="*/ 1495533 w 3163078"/>
            <a:gd name="connsiteY61" fmla="*/ 796577 h 3163078"/>
            <a:gd name="connsiteX62" fmla="*/ 1493463 w 3163078"/>
            <a:gd name="connsiteY62" fmla="*/ 796681 h 3163078"/>
            <a:gd name="connsiteX63" fmla="*/ 817683 w 3163078"/>
            <a:gd name="connsiteY63" fmla="*/ 1407661 h 3163078"/>
            <a:gd name="connsiteX64" fmla="*/ 811308 w 3163078"/>
            <a:gd name="connsiteY64" fmla="*/ 1449430 h 3163078"/>
            <a:gd name="connsiteX65" fmla="*/ 838783 w 3163078"/>
            <a:gd name="connsiteY65" fmla="*/ 1453584 h 3163078"/>
            <a:gd name="connsiteX66" fmla="*/ 904101 w 3163078"/>
            <a:gd name="connsiteY66" fmla="*/ 1512804 h 3163078"/>
            <a:gd name="connsiteX67" fmla="*/ 912326 w 3163078"/>
            <a:gd name="connsiteY67" fmla="*/ 1553546 h 3163078"/>
            <a:gd name="connsiteX68" fmla="*/ 904101 w 3163078"/>
            <a:gd name="connsiteY68" fmla="*/ 1594287 h 3163078"/>
            <a:gd name="connsiteX69" fmla="*/ 838783 w 3163078"/>
            <a:gd name="connsiteY69" fmla="*/ 1653508 h 3163078"/>
            <a:gd name="connsiteX70" fmla="*/ 808524 w 3163078"/>
            <a:gd name="connsiteY70" fmla="*/ 1658082 h 3163078"/>
            <a:gd name="connsiteX71" fmla="*/ 817683 w 3163078"/>
            <a:gd name="connsiteY71" fmla="*/ 1718094 h 3163078"/>
            <a:gd name="connsiteX72" fmla="*/ 1493463 w 3163078"/>
            <a:gd name="connsiteY72" fmla="*/ 2329073 h 3163078"/>
            <a:gd name="connsiteX73" fmla="*/ 1495532 w 3163078"/>
            <a:gd name="connsiteY73" fmla="*/ 2329177 h 3163078"/>
            <a:gd name="connsiteX74" fmla="*/ 1495532 w 3163078"/>
            <a:gd name="connsiteY74" fmla="*/ 2306691 h 3163078"/>
            <a:gd name="connsiteX75" fmla="*/ 1600200 w 3163078"/>
            <a:gd name="connsiteY75" fmla="*/ 2202023 h 3163078"/>
            <a:gd name="connsiteX76" fmla="*/ 1600200 w 3163078"/>
            <a:gd name="connsiteY76" fmla="*/ 2202022 h 3163078"/>
            <a:gd name="connsiteX77" fmla="*/ 1704868 w 3163078"/>
            <a:gd name="connsiteY77" fmla="*/ 2306690 h 3163078"/>
            <a:gd name="connsiteX78" fmla="*/ 1704868 w 3163078"/>
            <a:gd name="connsiteY78" fmla="*/ 2320844 h 3163078"/>
            <a:gd name="connsiteX79" fmla="*/ 1727425 w 3163078"/>
            <a:gd name="connsiteY79" fmla="*/ 2317402 h 3163078"/>
            <a:gd name="connsiteX80" fmla="*/ 2326733 w 3163078"/>
            <a:gd name="connsiteY80" fmla="*/ 1718094 h 3163078"/>
            <a:gd name="connsiteX81" fmla="*/ 2335902 w 3163078"/>
            <a:gd name="connsiteY81" fmla="*/ 1658015 h 3163078"/>
            <a:gd name="connsiteX82" fmla="*/ 2296149 w 3163078"/>
            <a:gd name="connsiteY82" fmla="*/ 1649989 h 3163078"/>
            <a:gd name="connsiteX83" fmla="*/ 2232222 w 3163078"/>
            <a:gd name="connsiteY83" fmla="*/ 1553546 h 3163078"/>
            <a:gd name="connsiteX84" fmla="*/ 2232221 w 3163078"/>
            <a:gd name="connsiteY84" fmla="*/ 1553546 h 3163078"/>
            <a:gd name="connsiteX85" fmla="*/ 2296148 w 3163078"/>
            <a:gd name="connsiteY85" fmla="*/ 1457103 h 3163078"/>
            <a:gd name="connsiteX86" fmla="*/ 2333139 w 3163078"/>
            <a:gd name="connsiteY86" fmla="*/ 1449635 h 3163078"/>
            <a:gd name="connsiteX87" fmla="*/ 2326733 w 3163078"/>
            <a:gd name="connsiteY87" fmla="*/ 1407661 h 3163078"/>
            <a:gd name="connsiteX88" fmla="*/ 1727425 w 3163078"/>
            <a:gd name="connsiteY88" fmla="*/ 808352 h 3163078"/>
            <a:gd name="connsiteX89" fmla="*/ 1704868 w 3163078"/>
            <a:gd name="connsiteY89" fmla="*/ 804910 h 3163078"/>
            <a:gd name="connsiteX90" fmla="*/ 1704868 w 3163078"/>
            <a:gd name="connsiteY90" fmla="*/ 809732 h 3163078"/>
            <a:gd name="connsiteX91" fmla="*/ 1640942 w 3163078"/>
            <a:gd name="connsiteY91" fmla="*/ 906175 h 3163078"/>
            <a:gd name="connsiteX92" fmla="*/ 1600201 w 3163078"/>
            <a:gd name="connsiteY92" fmla="*/ 914400 h 3163078"/>
            <a:gd name="connsiteX93" fmla="*/ 1559460 w 3163078"/>
            <a:gd name="connsiteY93" fmla="*/ 906175 h 3163078"/>
            <a:gd name="connsiteX94" fmla="*/ 1495533 w 3163078"/>
            <a:gd name="connsiteY94" fmla="*/ 809732 h 3163078"/>
            <a:gd name="connsiteX95" fmla="*/ 1704868 w 3163078"/>
            <a:gd name="connsiteY95" fmla="*/ 246369 h 3163078"/>
            <a:gd name="connsiteX96" fmla="*/ 1704868 w 3163078"/>
            <a:gd name="connsiteY96" fmla="*/ 665592 h 3163078"/>
            <a:gd name="connsiteX97" fmla="*/ 1755212 w 3163078"/>
            <a:gd name="connsiteY97" fmla="*/ 673275 h 3163078"/>
            <a:gd name="connsiteX98" fmla="*/ 2461810 w 3163078"/>
            <a:gd name="connsiteY98" fmla="*/ 1379873 h 3163078"/>
            <a:gd name="connsiteX99" fmla="*/ 2472341 w 3163078"/>
            <a:gd name="connsiteY99" fmla="*/ 1448878 h 3163078"/>
            <a:gd name="connsiteX100" fmla="*/ 2916238 w 3163078"/>
            <a:gd name="connsiteY100" fmla="*/ 1448878 h 3163078"/>
            <a:gd name="connsiteX101" fmla="*/ 2916012 w 3163078"/>
            <a:gd name="connsiteY101" fmla="*/ 1444389 h 3163078"/>
            <a:gd name="connsiteX102" fmla="*/ 1718689 w 3163078"/>
            <a:gd name="connsiteY102" fmla="*/ 247066 h 3163078"/>
            <a:gd name="connsiteX103" fmla="*/ 1495532 w 3163078"/>
            <a:gd name="connsiteY103" fmla="*/ 244484 h 3163078"/>
            <a:gd name="connsiteX104" fmla="*/ 1444389 w 3163078"/>
            <a:gd name="connsiteY104" fmla="*/ 247066 h 3163078"/>
            <a:gd name="connsiteX105" fmla="*/ 247066 w 3163078"/>
            <a:gd name="connsiteY105" fmla="*/ 1444389 h 3163078"/>
            <a:gd name="connsiteX106" fmla="*/ 246840 w 3163078"/>
            <a:gd name="connsiteY106" fmla="*/ 1448878 h 3163078"/>
            <a:gd name="connsiteX107" fmla="*/ 672075 w 3163078"/>
            <a:gd name="connsiteY107" fmla="*/ 1448878 h 3163078"/>
            <a:gd name="connsiteX108" fmla="*/ 682606 w 3163078"/>
            <a:gd name="connsiteY108" fmla="*/ 1379873 h 3163078"/>
            <a:gd name="connsiteX109" fmla="*/ 1479365 w 3163078"/>
            <a:gd name="connsiteY109" fmla="*/ 659515 h 3163078"/>
            <a:gd name="connsiteX110" fmla="*/ 1495533 w 3163078"/>
            <a:gd name="connsiteY110" fmla="*/ 658699 h 3163078"/>
            <a:gd name="connsiteX111" fmla="*/ 1581539 w 3163078"/>
            <a:gd name="connsiteY111" fmla="*/ 0 h 3163078"/>
            <a:gd name="connsiteX112" fmla="*/ 3163078 w 3163078"/>
            <a:gd name="connsiteY112" fmla="*/ 1581539 h 3163078"/>
            <a:gd name="connsiteX113" fmla="*/ 1581539 w 3163078"/>
            <a:gd name="connsiteY113" fmla="*/ 3163078 h 3163078"/>
            <a:gd name="connsiteX114" fmla="*/ 0 w 3163078"/>
            <a:gd name="connsiteY114" fmla="*/ 1581539 h 3163078"/>
            <a:gd name="connsiteX115" fmla="*/ 1581539 w 3163078"/>
            <a:gd name="connsiteY115" fmla="*/ 0 h 3163078"/>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 ang="0">
              <a:pos x="connsiteX19" y="connsiteY19"/>
            </a:cxn>
            <a:cxn ang="0">
              <a:pos x="connsiteX20" y="connsiteY20"/>
            </a:cxn>
            <a:cxn ang="0">
              <a:pos x="connsiteX21" y="connsiteY21"/>
            </a:cxn>
            <a:cxn ang="0">
              <a:pos x="connsiteX22" y="connsiteY22"/>
            </a:cxn>
            <a:cxn ang="0">
              <a:pos x="connsiteX23" y="connsiteY23"/>
            </a:cxn>
            <a:cxn ang="0">
              <a:pos x="connsiteX24" y="connsiteY24"/>
            </a:cxn>
            <a:cxn ang="0">
              <a:pos x="connsiteX25" y="connsiteY25"/>
            </a:cxn>
            <a:cxn ang="0">
              <a:pos x="connsiteX26" y="connsiteY26"/>
            </a:cxn>
            <a:cxn ang="0">
              <a:pos x="connsiteX27" y="connsiteY27"/>
            </a:cxn>
            <a:cxn ang="0">
              <a:pos x="connsiteX28" y="connsiteY28"/>
            </a:cxn>
            <a:cxn ang="0">
              <a:pos x="connsiteX29" y="connsiteY29"/>
            </a:cxn>
            <a:cxn ang="0">
              <a:pos x="connsiteX30" y="connsiteY30"/>
            </a:cxn>
            <a:cxn ang="0">
              <a:pos x="connsiteX31" y="connsiteY31"/>
            </a:cxn>
            <a:cxn ang="0">
              <a:pos x="connsiteX32" y="connsiteY32"/>
            </a:cxn>
            <a:cxn ang="0">
              <a:pos x="connsiteX33" y="connsiteY33"/>
            </a:cxn>
            <a:cxn ang="0">
              <a:pos x="connsiteX34" y="connsiteY34"/>
            </a:cxn>
            <a:cxn ang="0">
              <a:pos x="connsiteX35" y="connsiteY35"/>
            </a:cxn>
            <a:cxn ang="0">
              <a:pos x="connsiteX36" y="connsiteY36"/>
            </a:cxn>
            <a:cxn ang="0">
              <a:pos x="connsiteX37" y="connsiteY37"/>
            </a:cxn>
            <a:cxn ang="0">
              <a:pos x="connsiteX38" y="connsiteY38"/>
            </a:cxn>
            <a:cxn ang="0">
              <a:pos x="connsiteX39" y="connsiteY39"/>
            </a:cxn>
            <a:cxn ang="0">
              <a:pos x="connsiteX40" y="connsiteY40"/>
            </a:cxn>
            <a:cxn ang="0">
              <a:pos x="connsiteX41" y="connsiteY41"/>
            </a:cxn>
            <a:cxn ang="0">
              <a:pos x="connsiteX42" y="connsiteY42"/>
            </a:cxn>
            <a:cxn ang="0">
              <a:pos x="connsiteX43" y="connsiteY43"/>
            </a:cxn>
            <a:cxn ang="0">
              <a:pos x="connsiteX44" y="connsiteY44"/>
            </a:cxn>
            <a:cxn ang="0">
              <a:pos x="connsiteX45" y="connsiteY45"/>
            </a:cxn>
            <a:cxn ang="0">
              <a:pos x="connsiteX46" y="connsiteY46"/>
            </a:cxn>
            <a:cxn ang="0">
              <a:pos x="connsiteX47" y="connsiteY47"/>
            </a:cxn>
            <a:cxn ang="0">
              <a:pos x="connsiteX48" y="connsiteY48"/>
            </a:cxn>
            <a:cxn ang="0">
              <a:pos x="connsiteX49" y="connsiteY49"/>
            </a:cxn>
            <a:cxn ang="0">
              <a:pos x="connsiteX50" y="connsiteY50"/>
            </a:cxn>
            <a:cxn ang="0">
              <a:pos x="connsiteX51" y="connsiteY51"/>
            </a:cxn>
            <a:cxn ang="0">
              <a:pos x="connsiteX52" y="connsiteY52"/>
            </a:cxn>
            <a:cxn ang="0">
              <a:pos x="connsiteX53" y="connsiteY53"/>
            </a:cxn>
            <a:cxn ang="0">
              <a:pos x="connsiteX54" y="connsiteY54"/>
            </a:cxn>
            <a:cxn ang="0">
              <a:pos x="connsiteX55" y="connsiteY55"/>
            </a:cxn>
            <a:cxn ang="0">
              <a:pos x="connsiteX56" y="connsiteY56"/>
            </a:cxn>
            <a:cxn ang="0">
              <a:pos x="connsiteX57" y="connsiteY57"/>
            </a:cxn>
            <a:cxn ang="0">
              <a:pos x="connsiteX58" y="connsiteY58"/>
            </a:cxn>
            <a:cxn ang="0">
              <a:pos x="connsiteX59" y="connsiteY59"/>
            </a:cxn>
            <a:cxn ang="0">
              <a:pos x="connsiteX60" y="connsiteY60"/>
            </a:cxn>
            <a:cxn ang="0">
              <a:pos x="connsiteX61" y="connsiteY61"/>
            </a:cxn>
            <a:cxn ang="0">
              <a:pos x="connsiteX62" y="connsiteY62"/>
            </a:cxn>
            <a:cxn ang="0">
              <a:pos x="connsiteX63" y="connsiteY63"/>
            </a:cxn>
            <a:cxn ang="0">
              <a:pos x="connsiteX64" y="connsiteY64"/>
            </a:cxn>
            <a:cxn ang="0">
              <a:pos x="connsiteX65" y="connsiteY65"/>
            </a:cxn>
            <a:cxn ang="0">
              <a:pos x="connsiteX66" y="connsiteY66"/>
            </a:cxn>
            <a:cxn ang="0">
              <a:pos x="connsiteX67" y="connsiteY67"/>
            </a:cxn>
            <a:cxn ang="0">
              <a:pos x="connsiteX68" y="connsiteY68"/>
            </a:cxn>
            <a:cxn ang="0">
              <a:pos x="connsiteX69" y="connsiteY69"/>
            </a:cxn>
            <a:cxn ang="0">
              <a:pos x="connsiteX70" y="connsiteY70"/>
            </a:cxn>
            <a:cxn ang="0">
              <a:pos x="connsiteX71" y="connsiteY71"/>
            </a:cxn>
            <a:cxn ang="0">
              <a:pos x="connsiteX72" y="connsiteY72"/>
            </a:cxn>
            <a:cxn ang="0">
              <a:pos x="connsiteX73" y="connsiteY73"/>
            </a:cxn>
            <a:cxn ang="0">
              <a:pos x="connsiteX74" y="connsiteY74"/>
            </a:cxn>
            <a:cxn ang="0">
              <a:pos x="connsiteX75" y="connsiteY75"/>
            </a:cxn>
            <a:cxn ang="0">
              <a:pos x="connsiteX76" y="connsiteY76"/>
            </a:cxn>
            <a:cxn ang="0">
              <a:pos x="connsiteX77" y="connsiteY77"/>
            </a:cxn>
            <a:cxn ang="0">
              <a:pos x="connsiteX78" y="connsiteY78"/>
            </a:cxn>
            <a:cxn ang="0">
              <a:pos x="connsiteX79" y="connsiteY79"/>
            </a:cxn>
            <a:cxn ang="0">
              <a:pos x="connsiteX80" y="connsiteY80"/>
            </a:cxn>
            <a:cxn ang="0">
              <a:pos x="connsiteX81" y="connsiteY81"/>
            </a:cxn>
            <a:cxn ang="0">
              <a:pos x="connsiteX82" y="connsiteY82"/>
            </a:cxn>
            <a:cxn ang="0">
              <a:pos x="connsiteX83" y="connsiteY83"/>
            </a:cxn>
            <a:cxn ang="0">
              <a:pos x="connsiteX84" y="connsiteY84"/>
            </a:cxn>
            <a:cxn ang="0">
              <a:pos x="connsiteX85" y="connsiteY85"/>
            </a:cxn>
            <a:cxn ang="0">
              <a:pos x="connsiteX86" y="connsiteY86"/>
            </a:cxn>
            <a:cxn ang="0">
              <a:pos x="connsiteX87" y="connsiteY87"/>
            </a:cxn>
            <a:cxn ang="0">
              <a:pos x="connsiteX88" y="connsiteY88"/>
            </a:cxn>
            <a:cxn ang="0">
              <a:pos x="connsiteX89" y="connsiteY89"/>
            </a:cxn>
            <a:cxn ang="0">
              <a:pos x="connsiteX90" y="connsiteY90"/>
            </a:cxn>
            <a:cxn ang="0">
              <a:pos x="connsiteX91" y="connsiteY91"/>
            </a:cxn>
            <a:cxn ang="0">
              <a:pos x="connsiteX92" y="connsiteY92"/>
            </a:cxn>
            <a:cxn ang="0">
              <a:pos x="connsiteX93" y="connsiteY93"/>
            </a:cxn>
            <a:cxn ang="0">
              <a:pos x="connsiteX94" y="connsiteY94"/>
            </a:cxn>
            <a:cxn ang="0">
              <a:pos x="connsiteX95" y="connsiteY95"/>
            </a:cxn>
            <a:cxn ang="0">
              <a:pos x="connsiteX96" y="connsiteY96"/>
            </a:cxn>
            <a:cxn ang="0">
              <a:pos x="connsiteX97" y="connsiteY97"/>
            </a:cxn>
            <a:cxn ang="0">
              <a:pos x="connsiteX98" y="connsiteY98"/>
            </a:cxn>
            <a:cxn ang="0">
              <a:pos x="connsiteX99" y="connsiteY99"/>
            </a:cxn>
            <a:cxn ang="0">
              <a:pos x="connsiteX100" y="connsiteY100"/>
            </a:cxn>
            <a:cxn ang="0">
              <a:pos x="connsiteX101" y="connsiteY101"/>
            </a:cxn>
            <a:cxn ang="0">
              <a:pos x="connsiteX102" y="connsiteY102"/>
            </a:cxn>
            <a:cxn ang="0">
              <a:pos x="connsiteX103" y="connsiteY103"/>
            </a:cxn>
            <a:cxn ang="0">
              <a:pos x="connsiteX104" y="connsiteY104"/>
            </a:cxn>
            <a:cxn ang="0">
              <a:pos x="connsiteX105" y="connsiteY105"/>
            </a:cxn>
            <a:cxn ang="0">
              <a:pos x="connsiteX106" y="connsiteY106"/>
            </a:cxn>
            <a:cxn ang="0">
              <a:pos x="connsiteX107" y="connsiteY107"/>
            </a:cxn>
            <a:cxn ang="0">
              <a:pos x="connsiteX108" y="connsiteY108"/>
            </a:cxn>
            <a:cxn ang="0">
              <a:pos x="connsiteX109" y="connsiteY109"/>
            </a:cxn>
            <a:cxn ang="0">
              <a:pos x="connsiteX110" y="connsiteY110"/>
            </a:cxn>
            <a:cxn ang="0">
              <a:pos x="connsiteX111" y="connsiteY111"/>
            </a:cxn>
            <a:cxn ang="0">
              <a:pos x="connsiteX112" y="connsiteY112"/>
            </a:cxn>
            <a:cxn ang="0">
              <a:pos x="connsiteX113" y="connsiteY113"/>
            </a:cxn>
            <a:cxn ang="0">
              <a:pos x="connsiteX114" y="connsiteY114"/>
            </a:cxn>
            <a:cxn ang="0">
              <a:pos x="connsiteX115" y="connsiteY115"/>
            </a:cxn>
          </a:cxnLst>
          <a:rect l="l" t="t" r="r" b="b"/>
          <a:pathLst>
            <a:path w="3163078" h="3163078">
              <a:moveTo>
                <a:pt x="669226" y="1658213"/>
              </a:moveTo>
              <a:lnTo>
                <a:pt x="244013" y="1658214"/>
              </a:lnTo>
              <a:lnTo>
                <a:pt x="247066" y="1718689"/>
              </a:lnTo>
              <a:cubicBezTo>
                <a:pt x="311180" y="2350004"/>
                <a:pt x="813074" y="2851898"/>
                <a:pt x="1444389" y="2916012"/>
              </a:cubicBezTo>
              <a:lnTo>
                <a:pt x="1499820" y="2918811"/>
              </a:lnTo>
              <a:lnTo>
                <a:pt x="1495533" y="2890456"/>
              </a:lnTo>
              <a:lnTo>
                <a:pt x="1495533" y="2467055"/>
              </a:lnTo>
              <a:lnTo>
                <a:pt x="1479365" y="2466239"/>
              </a:lnTo>
              <a:cubicBezTo>
                <a:pt x="1082527" y="2425938"/>
                <a:pt x="761230" y="2130108"/>
                <a:pt x="682606" y="1745881"/>
              </a:cubicBezTo>
              <a:close/>
              <a:moveTo>
                <a:pt x="2919066" y="1658213"/>
              </a:moveTo>
              <a:lnTo>
                <a:pt x="2475189" y="1658214"/>
              </a:lnTo>
              <a:lnTo>
                <a:pt x="2461810" y="1745881"/>
              </a:lnTo>
              <a:cubicBezTo>
                <a:pt x="2389234" y="2100552"/>
                <a:pt x="2109883" y="2379903"/>
                <a:pt x="1755212" y="2452479"/>
              </a:cubicBezTo>
              <a:lnTo>
                <a:pt x="1704868" y="2460162"/>
              </a:lnTo>
              <a:lnTo>
                <a:pt x="1704868" y="2890456"/>
              </a:lnTo>
              <a:lnTo>
                <a:pt x="1700869" y="2916912"/>
              </a:lnTo>
              <a:lnTo>
                <a:pt x="1718689" y="2916012"/>
              </a:lnTo>
              <a:cubicBezTo>
                <a:pt x="2350004" y="2851898"/>
                <a:pt x="2851898" y="2350004"/>
                <a:pt x="2916012" y="1718689"/>
              </a:cubicBezTo>
              <a:close/>
              <a:moveTo>
                <a:pt x="1665289" y="1628851"/>
              </a:moveTo>
              <a:lnTo>
                <a:pt x="1665289" y="1751958"/>
              </a:lnTo>
              <a:cubicBezTo>
                <a:pt x="1694879" y="1748958"/>
                <a:pt x="1720207" y="1742679"/>
                <a:pt x="1741278" y="1733090"/>
              </a:cubicBezTo>
              <a:cubicBezTo>
                <a:pt x="1762349" y="1723161"/>
                <a:pt x="1772883" y="1708747"/>
                <a:pt x="1772883" y="1689910"/>
              </a:cubicBezTo>
              <a:cubicBezTo>
                <a:pt x="1772883" y="1670702"/>
                <a:pt x="1760778" y="1656473"/>
                <a:pt x="1736568" y="1647194"/>
              </a:cubicBezTo>
              <a:cubicBezTo>
                <a:pt x="1712812" y="1637605"/>
                <a:pt x="1689050" y="1631481"/>
                <a:pt x="1665289" y="1628851"/>
              </a:cubicBezTo>
              <a:close/>
              <a:moveTo>
                <a:pt x="1561731" y="1346387"/>
              </a:moveTo>
              <a:cubicBezTo>
                <a:pt x="1532146" y="1348026"/>
                <a:pt x="1505469" y="1353656"/>
                <a:pt x="1481712" y="1363245"/>
              </a:cubicBezTo>
              <a:cubicBezTo>
                <a:pt x="1458399" y="1372524"/>
                <a:pt x="1446742" y="1385763"/>
                <a:pt x="1446742" y="1402960"/>
              </a:cubicBezTo>
              <a:cubicBezTo>
                <a:pt x="1446742" y="1418519"/>
                <a:pt x="1454364" y="1430613"/>
                <a:pt x="1469607" y="1439212"/>
              </a:cubicBezTo>
              <a:cubicBezTo>
                <a:pt x="1484850" y="1447811"/>
                <a:pt x="1515558" y="1455265"/>
                <a:pt x="1561731" y="1461544"/>
              </a:cubicBezTo>
              <a:close/>
              <a:moveTo>
                <a:pt x="1550971" y="1101133"/>
              </a:moveTo>
              <a:lnTo>
                <a:pt x="1667979" y="1101133"/>
              </a:lnTo>
              <a:lnTo>
                <a:pt x="1667979" y="1215826"/>
              </a:lnTo>
              <a:cubicBezTo>
                <a:pt x="1709225" y="1217125"/>
                <a:pt x="1757418" y="1221424"/>
                <a:pt x="1812557" y="1228724"/>
              </a:cubicBezTo>
              <a:cubicBezTo>
                <a:pt x="1868149" y="1235993"/>
                <a:pt x="1911859" y="1244437"/>
                <a:pt x="1943685" y="1254026"/>
              </a:cubicBezTo>
              <a:lnTo>
                <a:pt x="1943685" y="1397021"/>
              </a:lnTo>
              <a:lnTo>
                <a:pt x="1914100" y="1397021"/>
              </a:lnTo>
              <a:cubicBezTo>
                <a:pt x="1882269" y="1383443"/>
                <a:pt x="1845285" y="1372184"/>
                <a:pt x="1803142" y="1363245"/>
              </a:cubicBezTo>
              <a:cubicBezTo>
                <a:pt x="1761004" y="1354305"/>
                <a:pt x="1715950" y="1348676"/>
                <a:pt x="1667979" y="1346387"/>
              </a:cubicBezTo>
              <a:lnTo>
                <a:pt x="1667979" y="1472463"/>
              </a:lnTo>
              <a:lnTo>
                <a:pt x="1721778" y="1480412"/>
              </a:lnTo>
              <a:cubicBezTo>
                <a:pt x="1823095" y="1494981"/>
                <a:pt x="1897512" y="1517128"/>
                <a:pt x="1945030" y="1546914"/>
              </a:cubicBezTo>
              <a:cubicBezTo>
                <a:pt x="1993001" y="1576392"/>
                <a:pt x="2016984" y="1617592"/>
                <a:pt x="2016984" y="1670547"/>
              </a:cubicBezTo>
              <a:cubicBezTo>
                <a:pt x="2016984" y="1726471"/>
                <a:pt x="1985153" y="1774445"/>
                <a:pt x="1921495" y="1814501"/>
              </a:cubicBezTo>
              <a:cubicBezTo>
                <a:pt x="1857838" y="1854557"/>
                <a:pt x="1773331" y="1877230"/>
                <a:pt x="1667979" y="1882519"/>
              </a:cubicBezTo>
              <a:lnTo>
                <a:pt x="1667979" y="2062725"/>
              </a:lnTo>
              <a:lnTo>
                <a:pt x="1550971" y="2062725"/>
              </a:lnTo>
              <a:lnTo>
                <a:pt x="1550971" y="1885489"/>
              </a:lnTo>
              <a:cubicBezTo>
                <a:pt x="1500763" y="1885148"/>
                <a:pt x="1442708" y="1880694"/>
                <a:pt x="1376808" y="1872095"/>
              </a:cubicBezTo>
              <a:cubicBezTo>
                <a:pt x="1310909" y="1863496"/>
                <a:pt x="1259352" y="1852732"/>
                <a:pt x="1222145" y="1839803"/>
              </a:cubicBezTo>
              <a:lnTo>
                <a:pt x="1222145" y="1694859"/>
              </a:lnTo>
              <a:lnTo>
                <a:pt x="1252405" y="1694859"/>
              </a:lnTo>
              <a:cubicBezTo>
                <a:pt x="1293646" y="1711407"/>
                <a:pt x="1340942" y="1724646"/>
                <a:pt x="1394293" y="1734575"/>
              </a:cubicBezTo>
              <a:cubicBezTo>
                <a:pt x="1448087" y="1744503"/>
                <a:pt x="1501438" y="1750968"/>
                <a:pt x="1554336" y="1753938"/>
              </a:cubicBezTo>
              <a:lnTo>
                <a:pt x="1554336" y="1617902"/>
              </a:lnTo>
              <a:lnTo>
                <a:pt x="1489107" y="1606983"/>
              </a:lnTo>
              <a:cubicBezTo>
                <a:pt x="1447865" y="1600054"/>
                <a:pt x="1409758" y="1591951"/>
                <a:pt x="1374789" y="1582671"/>
              </a:cubicBezTo>
              <a:cubicBezTo>
                <a:pt x="1340272" y="1573392"/>
                <a:pt x="1310461" y="1561174"/>
                <a:pt x="1285355" y="1545925"/>
              </a:cubicBezTo>
              <a:cubicBezTo>
                <a:pt x="1260249" y="1530707"/>
                <a:pt x="1240749" y="1512024"/>
                <a:pt x="1226851" y="1489847"/>
              </a:cubicBezTo>
              <a:cubicBezTo>
                <a:pt x="1212953" y="1467328"/>
                <a:pt x="1206006" y="1439707"/>
                <a:pt x="1206006" y="1406950"/>
              </a:cubicBezTo>
              <a:cubicBezTo>
                <a:pt x="1206006" y="1357615"/>
                <a:pt x="1236487" y="1315425"/>
                <a:pt x="1297459" y="1280349"/>
              </a:cubicBezTo>
              <a:cubicBezTo>
                <a:pt x="1358427" y="1245272"/>
                <a:pt x="1442934" y="1224084"/>
                <a:pt x="1550971" y="1216816"/>
              </a:cubicBezTo>
              <a:close/>
              <a:moveTo>
                <a:pt x="1495533" y="796577"/>
              </a:moveTo>
              <a:lnTo>
                <a:pt x="1493463" y="796681"/>
              </a:lnTo>
              <a:cubicBezTo>
                <a:pt x="1156880" y="830863"/>
                <a:pt x="884369" y="1081774"/>
                <a:pt x="817683" y="1407661"/>
              </a:cubicBezTo>
              <a:lnTo>
                <a:pt x="811308" y="1449430"/>
              </a:lnTo>
              <a:lnTo>
                <a:pt x="838783" y="1453584"/>
              </a:lnTo>
              <a:cubicBezTo>
                <a:pt x="868280" y="1462758"/>
                <a:pt x="892184" y="1484629"/>
                <a:pt x="904101" y="1512804"/>
              </a:cubicBezTo>
              <a:lnTo>
                <a:pt x="912326" y="1553546"/>
              </a:lnTo>
              <a:lnTo>
                <a:pt x="904101" y="1594287"/>
              </a:lnTo>
              <a:cubicBezTo>
                <a:pt x="892184" y="1622462"/>
                <a:pt x="868280" y="1644333"/>
                <a:pt x="838783" y="1653508"/>
              </a:cubicBezTo>
              <a:lnTo>
                <a:pt x="808524" y="1658082"/>
              </a:lnTo>
              <a:lnTo>
                <a:pt x="817683" y="1718094"/>
              </a:lnTo>
              <a:cubicBezTo>
                <a:pt x="884369" y="2043980"/>
                <a:pt x="1156880" y="2294891"/>
                <a:pt x="1493463" y="2329073"/>
              </a:cubicBezTo>
              <a:lnTo>
                <a:pt x="1495532" y="2329177"/>
              </a:lnTo>
              <a:lnTo>
                <a:pt x="1495532" y="2306691"/>
              </a:lnTo>
              <a:cubicBezTo>
                <a:pt x="1495532" y="2248884"/>
                <a:pt x="1542393" y="2202023"/>
                <a:pt x="1600200" y="2202023"/>
              </a:cubicBezTo>
              <a:lnTo>
                <a:pt x="1600200" y="2202022"/>
              </a:lnTo>
              <a:cubicBezTo>
                <a:pt x="1658007" y="2202022"/>
                <a:pt x="1704868" y="2248883"/>
                <a:pt x="1704868" y="2306690"/>
              </a:cubicBezTo>
              <a:lnTo>
                <a:pt x="1704868" y="2320844"/>
              </a:lnTo>
              <a:lnTo>
                <a:pt x="1727425" y="2317402"/>
              </a:lnTo>
              <a:cubicBezTo>
                <a:pt x="2028243" y="2255846"/>
                <a:pt x="2265177" y="2018912"/>
                <a:pt x="2326733" y="1718094"/>
              </a:cubicBezTo>
              <a:lnTo>
                <a:pt x="2335902" y="1658015"/>
              </a:lnTo>
              <a:lnTo>
                <a:pt x="2296149" y="1649989"/>
              </a:lnTo>
              <a:cubicBezTo>
                <a:pt x="2258582" y="1634099"/>
                <a:pt x="2232222" y="1596901"/>
                <a:pt x="2232222" y="1553546"/>
              </a:cubicBezTo>
              <a:lnTo>
                <a:pt x="2232221" y="1553546"/>
              </a:lnTo>
              <a:cubicBezTo>
                <a:pt x="2232221" y="1510191"/>
                <a:pt x="2258581" y="1472993"/>
                <a:pt x="2296148" y="1457103"/>
              </a:cubicBezTo>
              <a:lnTo>
                <a:pt x="2333139" y="1449635"/>
              </a:lnTo>
              <a:lnTo>
                <a:pt x="2326733" y="1407661"/>
              </a:lnTo>
              <a:cubicBezTo>
                <a:pt x="2265177" y="1106843"/>
                <a:pt x="2028243" y="869908"/>
                <a:pt x="1727425" y="808352"/>
              </a:cubicBezTo>
              <a:lnTo>
                <a:pt x="1704868" y="804910"/>
              </a:lnTo>
              <a:lnTo>
                <a:pt x="1704868" y="809732"/>
              </a:lnTo>
              <a:cubicBezTo>
                <a:pt x="1704868" y="853087"/>
                <a:pt x="1678509" y="890285"/>
                <a:pt x="1640942" y="906175"/>
              </a:cubicBezTo>
              <a:lnTo>
                <a:pt x="1600201" y="914400"/>
              </a:lnTo>
              <a:lnTo>
                <a:pt x="1559460" y="906175"/>
              </a:lnTo>
              <a:cubicBezTo>
                <a:pt x="1521893" y="890285"/>
                <a:pt x="1495533" y="853087"/>
                <a:pt x="1495533" y="809732"/>
              </a:cubicBezTo>
              <a:close/>
              <a:moveTo>
                <a:pt x="1704868" y="246369"/>
              </a:moveTo>
              <a:lnTo>
                <a:pt x="1704868" y="665592"/>
              </a:lnTo>
              <a:lnTo>
                <a:pt x="1755212" y="673275"/>
              </a:lnTo>
              <a:cubicBezTo>
                <a:pt x="2109883" y="745852"/>
                <a:pt x="2389234" y="1025202"/>
                <a:pt x="2461810" y="1379873"/>
              </a:cubicBezTo>
              <a:lnTo>
                <a:pt x="2472341" y="1448878"/>
              </a:lnTo>
              <a:lnTo>
                <a:pt x="2916238" y="1448878"/>
              </a:lnTo>
              <a:lnTo>
                <a:pt x="2916012" y="1444389"/>
              </a:lnTo>
              <a:cubicBezTo>
                <a:pt x="2851898" y="813074"/>
                <a:pt x="2350004" y="311180"/>
                <a:pt x="1718689" y="247066"/>
              </a:cubicBezTo>
              <a:close/>
              <a:moveTo>
                <a:pt x="1495532" y="244484"/>
              </a:moveTo>
              <a:lnTo>
                <a:pt x="1444389" y="247066"/>
              </a:lnTo>
              <a:cubicBezTo>
                <a:pt x="813074" y="311180"/>
                <a:pt x="311180" y="813074"/>
                <a:pt x="247066" y="1444389"/>
              </a:cubicBezTo>
              <a:lnTo>
                <a:pt x="246840" y="1448878"/>
              </a:lnTo>
              <a:lnTo>
                <a:pt x="672075" y="1448878"/>
              </a:lnTo>
              <a:lnTo>
                <a:pt x="682606" y="1379873"/>
              </a:lnTo>
              <a:cubicBezTo>
                <a:pt x="761230" y="995646"/>
                <a:pt x="1082527" y="699816"/>
                <a:pt x="1479365" y="659515"/>
              </a:cubicBezTo>
              <a:lnTo>
                <a:pt x="1495533" y="658699"/>
              </a:lnTo>
              <a:close/>
              <a:moveTo>
                <a:pt x="1581539" y="0"/>
              </a:moveTo>
              <a:cubicBezTo>
                <a:pt x="2454999" y="0"/>
                <a:pt x="3163078" y="708079"/>
                <a:pt x="3163078" y="1581539"/>
              </a:cubicBezTo>
              <a:cubicBezTo>
                <a:pt x="3163078" y="2454999"/>
                <a:pt x="2454999" y="3163078"/>
                <a:pt x="1581539" y="3163078"/>
              </a:cubicBezTo>
              <a:cubicBezTo>
                <a:pt x="708079" y="3163078"/>
                <a:pt x="0" y="2454999"/>
                <a:pt x="0" y="1581539"/>
              </a:cubicBezTo>
              <a:cubicBezTo>
                <a:pt x="0" y="708079"/>
                <a:pt x="708079" y="0"/>
                <a:pt x="1581539" y="0"/>
              </a:cubicBezTo>
              <a:close/>
            </a:path>
          </a:pathLst>
        </a:custGeom>
        <a:solidFill>
          <a:schemeClr val="bg1"/>
        </a:solidFill>
        <a:ln w="35341" cap="flat">
          <a:noFill/>
          <a:prstDash val="solid"/>
          <a:miter/>
        </a:ln>
      </xdr:spPr>
      <xdr:txBody>
        <a:bodyPr rot="0" spcFirstLastPara="0" vert="horz" wrap="square" lIns="91440" tIns="45720" rIns="91440" bIns="45720" numCol="1" spcCol="0" rtlCol="0" fromWordArt="0" anchor="ctr" anchorCtr="0" forceAA="0" compatLnSpc="1">
          <a:prstTxWarp prst="textNoShape">
            <a:avLst/>
          </a:prstTxWarp>
          <a:noAutofit/>
        </a:bodyPr>
        <a:lstStyle>
          <a:defPPr>
            <a:defRPr lang="ru-RU"/>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endParaRPr lang="ru-RU"/>
        </a:p>
      </xdr:txBody>
    </xdr:sp>
    <xdr:clientData/>
  </xdr:twoCellAnchor>
  <xdr:twoCellAnchor>
    <xdr:from>
      <xdr:col>18</xdr:col>
      <xdr:colOff>575688</xdr:colOff>
      <xdr:row>22</xdr:row>
      <xdr:rowOff>147769</xdr:rowOff>
    </xdr:from>
    <xdr:to>
      <xdr:col>20</xdr:col>
      <xdr:colOff>379092</xdr:colOff>
      <xdr:row>24</xdr:row>
      <xdr:rowOff>40175</xdr:rowOff>
    </xdr:to>
    <xdr:sp macro="" textlink="$A$53">
      <xdr:nvSpPr>
        <xdr:cNvPr id="106" name="TextBox 105">
          <a:extLst>
            <a:ext uri="{FF2B5EF4-FFF2-40B4-BE49-F238E27FC236}">
              <a16:creationId xmlns:a16="http://schemas.microsoft.com/office/drawing/2014/main" id="{023BD743-27E0-5BE4-C531-4D39984C76F6}"/>
            </a:ext>
          </a:extLst>
        </xdr:cNvPr>
        <xdr:cNvSpPr txBox="1"/>
      </xdr:nvSpPr>
      <xdr:spPr>
        <a:xfrm>
          <a:off x="116170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11732DB7-45E1-47AD-8A64-12C1477C1F51}" type="TxLink">
            <a:rPr lang="en-US" sz="1400" b="0" i="0" u="none" strike="noStrike">
              <a:solidFill>
                <a:schemeClr val="tx2">
                  <a:lumMod val="25000"/>
                  <a:lumOff val="75000"/>
                </a:schemeClr>
              </a:solidFill>
              <a:latin typeface="Aptos Narrow"/>
            </a:rPr>
            <a:pPr algn="l"/>
            <a:t>Budgeting</a:t>
          </a:fld>
          <a:endParaRPr lang="ru-RU" sz="2000">
            <a:solidFill>
              <a:schemeClr val="tx2">
                <a:lumMod val="25000"/>
                <a:lumOff val="75000"/>
              </a:schemeClr>
            </a:solidFill>
          </a:endParaRPr>
        </a:p>
      </xdr:txBody>
    </xdr:sp>
    <xdr:clientData/>
  </xdr:twoCellAnchor>
  <xdr:twoCellAnchor>
    <xdr:from>
      <xdr:col>18</xdr:col>
      <xdr:colOff>575688</xdr:colOff>
      <xdr:row>25</xdr:row>
      <xdr:rowOff>48666</xdr:rowOff>
    </xdr:from>
    <xdr:to>
      <xdr:col>20</xdr:col>
      <xdr:colOff>379092</xdr:colOff>
      <xdr:row>26</xdr:row>
      <xdr:rowOff>123952</xdr:rowOff>
    </xdr:to>
    <xdr:sp macro="" textlink="$A$54">
      <xdr:nvSpPr>
        <xdr:cNvPr id="107" name="TextBox 106">
          <a:extLst>
            <a:ext uri="{FF2B5EF4-FFF2-40B4-BE49-F238E27FC236}">
              <a16:creationId xmlns:a16="http://schemas.microsoft.com/office/drawing/2014/main" id="{8775514E-4074-9E88-A33B-E55F4E49AF3B}"/>
            </a:ext>
          </a:extLst>
        </xdr:cNvPr>
        <xdr:cNvSpPr txBox="1"/>
      </xdr:nvSpPr>
      <xdr:spPr>
        <a:xfrm>
          <a:off x="116170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4132016-B00B-4926-87EE-A0F664231BBC}" type="TxLink">
            <a:rPr lang="en-US" sz="1400" b="0" i="0" u="none" strike="noStrike">
              <a:solidFill>
                <a:schemeClr val="tx2">
                  <a:lumMod val="25000"/>
                  <a:lumOff val="75000"/>
                </a:schemeClr>
              </a:solidFill>
              <a:latin typeface="Aptos Narrow"/>
            </a:rPr>
            <a:pPr algn="l"/>
            <a:t>Income</a:t>
          </a:fld>
          <a:endParaRPr lang="ru-RU" sz="1600">
            <a:solidFill>
              <a:schemeClr val="tx2">
                <a:lumMod val="25000"/>
                <a:lumOff val="75000"/>
              </a:schemeClr>
            </a:solidFill>
          </a:endParaRPr>
        </a:p>
      </xdr:txBody>
    </xdr:sp>
    <xdr:clientData/>
  </xdr:twoCellAnchor>
  <xdr:twoCellAnchor>
    <xdr:from>
      <xdr:col>18</xdr:col>
      <xdr:colOff>575688</xdr:colOff>
      <xdr:row>27</xdr:row>
      <xdr:rowOff>132443</xdr:rowOff>
    </xdr:from>
    <xdr:to>
      <xdr:col>20</xdr:col>
      <xdr:colOff>379092</xdr:colOff>
      <xdr:row>29</xdr:row>
      <xdr:rowOff>24849</xdr:rowOff>
    </xdr:to>
    <xdr:sp macro="" textlink="$A$55">
      <xdr:nvSpPr>
        <xdr:cNvPr id="108" name="TextBox 107">
          <a:extLst>
            <a:ext uri="{FF2B5EF4-FFF2-40B4-BE49-F238E27FC236}">
              <a16:creationId xmlns:a16="http://schemas.microsoft.com/office/drawing/2014/main" id="{22C8461E-62FA-FC9F-2C03-FD79AB187648}"/>
            </a:ext>
          </a:extLst>
        </xdr:cNvPr>
        <xdr:cNvSpPr txBox="1"/>
      </xdr:nvSpPr>
      <xdr:spPr>
        <a:xfrm>
          <a:off x="116170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800EC6F-4F9A-4655-982C-0D43CE89D16F}" type="TxLink">
            <a:rPr lang="en-US" sz="1400" b="0" i="0" u="none" strike="noStrike">
              <a:solidFill>
                <a:schemeClr val="tx2">
                  <a:lumMod val="25000"/>
                  <a:lumOff val="75000"/>
                </a:schemeClr>
              </a:solidFill>
              <a:latin typeface="Aptos Narrow"/>
            </a:rPr>
            <a:pPr algn="l"/>
            <a:t>Expenses</a:t>
          </a:fld>
          <a:endParaRPr lang="ru-RU" sz="2000">
            <a:solidFill>
              <a:schemeClr val="tx2">
                <a:lumMod val="25000"/>
                <a:lumOff val="75000"/>
              </a:schemeClr>
            </a:solidFill>
          </a:endParaRPr>
        </a:p>
      </xdr:txBody>
    </xdr:sp>
    <xdr:clientData/>
  </xdr:twoCellAnchor>
  <xdr:twoCellAnchor>
    <xdr:from>
      <xdr:col>18</xdr:col>
      <xdr:colOff>575688</xdr:colOff>
      <xdr:row>30</xdr:row>
      <xdr:rowOff>33340</xdr:rowOff>
    </xdr:from>
    <xdr:to>
      <xdr:col>20</xdr:col>
      <xdr:colOff>379092</xdr:colOff>
      <xdr:row>31</xdr:row>
      <xdr:rowOff>108626</xdr:rowOff>
    </xdr:to>
    <xdr:sp macro="" textlink="$A$56">
      <xdr:nvSpPr>
        <xdr:cNvPr id="109" name="TextBox 108">
          <a:extLst>
            <a:ext uri="{FF2B5EF4-FFF2-40B4-BE49-F238E27FC236}">
              <a16:creationId xmlns:a16="http://schemas.microsoft.com/office/drawing/2014/main" id="{83132239-36A1-8F82-8D1F-2D88648E9DB7}"/>
            </a:ext>
          </a:extLst>
        </xdr:cNvPr>
        <xdr:cNvSpPr txBox="1"/>
      </xdr:nvSpPr>
      <xdr:spPr>
        <a:xfrm>
          <a:off x="116170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8C18B09-F15C-49A8-BDC9-19B94F66EBF7}" type="TxLink">
            <a:rPr lang="en-US" sz="1400" b="0" i="0" u="none" strike="noStrike">
              <a:solidFill>
                <a:schemeClr val="tx2">
                  <a:lumMod val="25000"/>
                  <a:lumOff val="75000"/>
                </a:schemeClr>
              </a:solidFill>
              <a:latin typeface="Aptos Narrow"/>
              <a:ea typeface="+mn-ea"/>
              <a:cs typeface="+mn-cs"/>
            </a:rPr>
            <a:pPr marL="0" indent="0" algn="l"/>
            <a:t>Investments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575688</xdr:colOff>
      <xdr:row>32</xdr:row>
      <xdr:rowOff>117117</xdr:rowOff>
    </xdr:from>
    <xdr:to>
      <xdr:col>20</xdr:col>
      <xdr:colOff>379092</xdr:colOff>
      <xdr:row>34</xdr:row>
      <xdr:rowOff>9523</xdr:rowOff>
    </xdr:to>
    <xdr:sp macro="" textlink="$A$57">
      <xdr:nvSpPr>
        <xdr:cNvPr id="110" name="TextBox 109">
          <a:extLst>
            <a:ext uri="{FF2B5EF4-FFF2-40B4-BE49-F238E27FC236}">
              <a16:creationId xmlns:a16="http://schemas.microsoft.com/office/drawing/2014/main" id="{98F5E29C-AC80-C7F0-54A7-B69C65038AF4}"/>
            </a:ext>
          </a:extLst>
        </xdr:cNvPr>
        <xdr:cNvSpPr txBox="1"/>
      </xdr:nvSpPr>
      <xdr:spPr>
        <a:xfrm>
          <a:off x="116170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587A0513-D997-46CB-8032-21308B8C281E}" type="TxLink">
            <a:rPr lang="en-US" sz="1400" b="0" i="0" u="none" strike="noStrike">
              <a:solidFill>
                <a:schemeClr val="tx2">
                  <a:lumMod val="25000"/>
                  <a:lumOff val="75000"/>
                </a:schemeClr>
              </a:solidFill>
              <a:latin typeface="Aptos Narrow"/>
              <a:ea typeface="+mn-ea"/>
              <a:cs typeface="+mn-cs"/>
            </a:rPr>
            <a:pPr marL="0" indent="0" algn="l"/>
            <a:t>Debts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18</xdr:col>
      <xdr:colOff>575688</xdr:colOff>
      <xdr:row>35</xdr:row>
      <xdr:rowOff>18014</xdr:rowOff>
    </xdr:from>
    <xdr:to>
      <xdr:col>20</xdr:col>
      <xdr:colOff>312420</xdr:colOff>
      <xdr:row>36</xdr:row>
      <xdr:rowOff>98840</xdr:rowOff>
    </xdr:to>
    <xdr:sp macro="" textlink="$A$58">
      <xdr:nvSpPr>
        <xdr:cNvPr id="112" name="TextBox 111">
          <a:extLst>
            <a:ext uri="{FF2B5EF4-FFF2-40B4-BE49-F238E27FC236}">
              <a16:creationId xmlns:a16="http://schemas.microsoft.com/office/drawing/2014/main" id="{6A4216C4-9FF9-A58F-687F-EF95F90DD952}"/>
            </a:ext>
          </a:extLst>
        </xdr:cNvPr>
        <xdr:cNvSpPr txBox="1"/>
      </xdr:nvSpPr>
      <xdr:spPr>
        <a:xfrm>
          <a:off x="11617068" y="641881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A233473-ED89-4E46-A0C6-B28F3CA842FA}" type="TxLink">
            <a:rPr lang="en-US" sz="1400" b="0" i="0" u="none" strike="noStrike">
              <a:solidFill>
                <a:schemeClr val="tx2">
                  <a:lumMod val="25000"/>
                  <a:lumOff val="75000"/>
                </a:schemeClr>
              </a:solidFill>
              <a:latin typeface="Aptos Narrow"/>
              <a:ea typeface="+mn-ea"/>
              <a:cs typeface="+mn-cs"/>
            </a:rPr>
            <a:pPr marL="0" indent="0" algn="l"/>
            <a:t>Fin Goals</a:t>
          </a:fld>
          <a:endParaRPr lang="ru-RU" sz="14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194688</xdr:colOff>
      <xdr:row>22</xdr:row>
      <xdr:rowOff>147769</xdr:rowOff>
    </xdr:from>
    <xdr:to>
      <xdr:col>21</xdr:col>
      <xdr:colOff>607692</xdr:colOff>
      <xdr:row>24</xdr:row>
      <xdr:rowOff>40175</xdr:rowOff>
    </xdr:to>
    <xdr:sp macro="" textlink="$B$53">
      <xdr:nvSpPr>
        <xdr:cNvPr id="113" name="TextBox 112">
          <a:extLst>
            <a:ext uri="{FF2B5EF4-FFF2-40B4-BE49-F238E27FC236}">
              <a16:creationId xmlns:a16="http://schemas.microsoft.com/office/drawing/2014/main" id="{8BB5916D-9D01-D7F1-66C6-740BDF2DC87A}"/>
            </a:ext>
          </a:extLst>
        </xdr:cNvPr>
        <xdr:cNvSpPr txBox="1"/>
      </xdr:nvSpPr>
      <xdr:spPr>
        <a:xfrm>
          <a:off x="12455268" y="4171129"/>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47465B1-4BE7-4C23-8B11-42192BF425CF}" type="TxLink">
            <a:rPr lang="en-US" sz="1400" b="0" i="0" u="none" strike="noStrike">
              <a:solidFill>
                <a:schemeClr val="tx2">
                  <a:lumMod val="25000"/>
                  <a:lumOff val="75000"/>
                </a:schemeClr>
              </a:solidFill>
              <a:latin typeface="Aptos Narrow"/>
            </a:rPr>
            <a:pPr algn="r"/>
            <a:t> $37,528 </a:t>
          </a:fld>
          <a:endParaRPr lang="ru-RU" sz="2800">
            <a:solidFill>
              <a:schemeClr val="tx2">
                <a:lumMod val="25000"/>
                <a:lumOff val="75000"/>
              </a:schemeClr>
            </a:solidFill>
          </a:endParaRPr>
        </a:p>
      </xdr:txBody>
    </xdr:sp>
    <xdr:clientData/>
  </xdr:twoCellAnchor>
  <xdr:twoCellAnchor>
    <xdr:from>
      <xdr:col>20</xdr:col>
      <xdr:colOff>194688</xdr:colOff>
      <xdr:row>25</xdr:row>
      <xdr:rowOff>48666</xdr:rowOff>
    </xdr:from>
    <xdr:to>
      <xdr:col>21</xdr:col>
      <xdr:colOff>607692</xdr:colOff>
      <xdr:row>26</xdr:row>
      <xdr:rowOff>123952</xdr:rowOff>
    </xdr:to>
    <xdr:sp macro="" textlink="$B$54">
      <xdr:nvSpPr>
        <xdr:cNvPr id="114" name="TextBox 113">
          <a:extLst>
            <a:ext uri="{FF2B5EF4-FFF2-40B4-BE49-F238E27FC236}">
              <a16:creationId xmlns:a16="http://schemas.microsoft.com/office/drawing/2014/main" id="{26694759-0A04-ACD7-A411-4488ECA7F453}"/>
            </a:ext>
          </a:extLst>
        </xdr:cNvPr>
        <xdr:cNvSpPr txBox="1"/>
      </xdr:nvSpPr>
      <xdr:spPr>
        <a:xfrm>
          <a:off x="12455268" y="4620666"/>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A3204228-334F-480A-BAD4-3079A2B6170F}" type="TxLink">
            <a:rPr lang="en-US" sz="1400" b="0" i="0" u="none" strike="noStrike">
              <a:solidFill>
                <a:schemeClr val="tx2">
                  <a:lumMod val="25000"/>
                  <a:lumOff val="75000"/>
                </a:schemeClr>
              </a:solidFill>
              <a:latin typeface="Aptos Narrow"/>
            </a:rPr>
            <a:pPr algn="r"/>
            <a:t> $35,296 </a:t>
          </a:fld>
          <a:endParaRPr lang="ru-RU" sz="2000">
            <a:solidFill>
              <a:schemeClr val="tx2">
                <a:lumMod val="25000"/>
                <a:lumOff val="75000"/>
              </a:schemeClr>
            </a:solidFill>
          </a:endParaRPr>
        </a:p>
      </xdr:txBody>
    </xdr:sp>
    <xdr:clientData/>
  </xdr:twoCellAnchor>
  <xdr:twoCellAnchor>
    <xdr:from>
      <xdr:col>20</xdr:col>
      <xdr:colOff>194688</xdr:colOff>
      <xdr:row>27</xdr:row>
      <xdr:rowOff>132443</xdr:rowOff>
    </xdr:from>
    <xdr:to>
      <xdr:col>21</xdr:col>
      <xdr:colOff>607692</xdr:colOff>
      <xdr:row>29</xdr:row>
      <xdr:rowOff>24849</xdr:rowOff>
    </xdr:to>
    <xdr:sp macro="" textlink="$B$55">
      <xdr:nvSpPr>
        <xdr:cNvPr id="115" name="TextBox 114">
          <a:extLst>
            <a:ext uri="{FF2B5EF4-FFF2-40B4-BE49-F238E27FC236}">
              <a16:creationId xmlns:a16="http://schemas.microsoft.com/office/drawing/2014/main" id="{B604B64E-F694-89DC-CDF4-6D0F7A52BDBD}"/>
            </a:ext>
          </a:extLst>
        </xdr:cNvPr>
        <xdr:cNvSpPr txBox="1"/>
      </xdr:nvSpPr>
      <xdr:spPr>
        <a:xfrm>
          <a:off x="12455268" y="5070203"/>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E9644FEF-9BA8-41DF-881D-E8A1244A7CAE}" type="TxLink">
            <a:rPr lang="en-US" sz="1400" b="0" i="0" u="none" strike="noStrike">
              <a:solidFill>
                <a:schemeClr val="tx2">
                  <a:lumMod val="25000"/>
                  <a:lumOff val="75000"/>
                </a:schemeClr>
              </a:solidFill>
              <a:latin typeface="Aptos Narrow"/>
            </a:rPr>
            <a:pPr algn="r"/>
            <a:t> $25,057 </a:t>
          </a:fld>
          <a:endParaRPr lang="ru-RU" sz="2800">
            <a:solidFill>
              <a:schemeClr val="tx2">
                <a:lumMod val="25000"/>
                <a:lumOff val="75000"/>
              </a:schemeClr>
            </a:solidFill>
          </a:endParaRPr>
        </a:p>
      </xdr:txBody>
    </xdr:sp>
    <xdr:clientData/>
  </xdr:twoCellAnchor>
  <xdr:twoCellAnchor>
    <xdr:from>
      <xdr:col>20</xdr:col>
      <xdr:colOff>194688</xdr:colOff>
      <xdr:row>30</xdr:row>
      <xdr:rowOff>33340</xdr:rowOff>
    </xdr:from>
    <xdr:to>
      <xdr:col>21</xdr:col>
      <xdr:colOff>607692</xdr:colOff>
      <xdr:row>31</xdr:row>
      <xdr:rowOff>108626</xdr:rowOff>
    </xdr:to>
    <xdr:sp macro="" textlink="$B$56">
      <xdr:nvSpPr>
        <xdr:cNvPr id="116" name="TextBox 115">
          <a:extLst>
            <a:ext uri="{FF2B5EF4-FFF2-40B4-BE49-F238E27FC236}">
              <a16:creationId xmlns:a16="http://schemas.microsoft.com/office/drawing/2014/main" id="{AC4359A5-88C8-6FCF-CC9F-C90FEA507004}"/>
            </a:ext>
          </a:extLst>
        </xdr:cNvPr>
        <xdr:cNvSpPr txBox="1"/>
      </xdr:nvSpPr>
      <xdr:spPr>
        <a:xfrm>
          <a:off x="12455268" y="5519740"/>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E8F9D2ED-7794-4CAD-A140-112658E75D64}" type="TxLink">
            <a:rPr lang="en-US" sz="1400" b="0" i="0" u="none" strike="noStrike">
              <a:solidFill>
                <a:schemeClr val="tx2">
                  <a:lumMod val="25000"/>
                  <a:lumOff val="75000"/>
                </a:schemeClr>
              </a:solidFill>
              <a:latin typeface="Aptos Narrow"/>
              <a:ea typeface="+mn-ea"/>
              <a:cs typeface="+mn-cs"/>
            </a:rPr>
            <a:pPr marL="0" indent="0" algn="r"/>
            <a:t> $1,25,000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194688</xdr:colOff>
      <xdr:row>32</xdr:row>
      <xdr:rowOff>117117</xdr:rowOff>
    </xdr:from>
    <xdr:to>
      <xdr:col>21</xdr:col>
      <xdr:colOff>607692</xdr:colOff>
      <xdr:row>34</xdr:row>
      <xdr:rowOff>9523</xdr:rowOff>
    </xdr:to>
    <xdr:sp macro="" textlink="$B$57">
      <xdr:nvSpPr>
        <xdr:cNvPr id="117" name="TextBox 116">
          <a:extLst>
            <a:ext uri="{FF2B5EF4-FFF2-40B4-BE49-F238E27FC236}">
              <a16:creationId xmlns:a16="http://schemas.microsoft.com/office/drawing/2014/main" id="{CBD6989F-14EF-B334-9EA6-BF12F5876ABA}"/>
            </a:ext>
          </a:extLst>
        </xdr:cNvPr>
        <xdr:cNvSpPr txBox="1"/>
      </xdr:nvSpPr>
      <xdr:spPr>
        <a:xfrm>
          <a:off x="12455268" y="5969277"/>
          <a:ext cx="1022604" cy="25816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34374E5-FE8C-4C24-ABA4-7352FE20634F}" type="TxLink">
            <a:rPr lang="en-US" sz="1400" b="0" i="0" u="none" strike="noStrike">
              <a:solidFill>
                <a:schemeClr val="tx2">
                  <a:lumMod val="25000"/>
                  <a:lumOff val="75000"/>
                </a:schemeClr>
              </a:solidFill>
              <a:latin typeface="Aptos Narrow"/>
              <a:ea typeface="+mn-ea"/>
              <a:cs typeface="+mn-cs"/>
            </a:rPr>
            <a:pPr marL="0" indent="0" algn="r"/>
            <a:t> $54,534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20</xdr:col>
      <xdr:colOff>261360</xdr:colOff>
      <xdr:row>35</xdr:row>
      <xdr:rowOff>18014</xdr:rowOff>
    </xdr:from>
    <xdr:to>
      <xdr:col>21</xdr:col>
      <xdr:colOff>607692</xdr:colOff>
      <xdr:row>36</xdr:row>
      <xdr:rowOff>98840</xdr:rowOff>
    </xdr:to>
    <xdr:sp macro="" textlink="$B$58">
      <xdr:nvSpPr>
        <xdr:cNvPr id="118" name="TextBox 117">
          <a:extLst>
            <a:ext uri="{FF2B5EF4-FFF2-40B4-BE49-F238E27FC236}">
              <a16:creationId xmlns:a16="http://schemas.microsoft.com/office/drawing/2014/main" id="{293732AC-E905-59C4-50D3-42450A769EF2}"/>
            </a:ext>
          </a:extLst>
        </xdr:cNvPr>
        <xdr:cNvSpPr txBox="1"/>
      </xdr:nvSpPr>
      <xdr:spPr>
        <a:xfrm>
          <a:off x="12521940" y="6418814"/>
          <a:ext cx="955932" cy="26370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6E2DC06A-1427-4E84-A9BF-9048C86AA86A}" type="TxLink">
            <a:rPr lang="en-US" sz="1400" b="0" i="0" u="none" strike="noStrike">
              <a:solidFill>
                <a:schemeClr val="tx2">
                  <a:lumMod val="25000"/>
                  <a:lumOff val="75000"/>
                </a:schemeClr>
              </a:solidFill>
              <a:latin typeface="Aptos Narrow"/>
              <a:ea typeface="+mn-ea"/>
              <a:cs typeface="+mn-cs"/>
            </a:rPr>
            <a:pPr marL="0" indent="0" algn="r"/>
            <a:t> $1,09,619 </a:t>
          </a:fld>
          <a:endParaRPr lang="ru-RU" sz="1800" b="0" i="0" u="none" strike="noStrike">
            <a:solidFill>
              <a:schemeClr val="tx2">
                <a:lumMod val="25000"/>
                <a:lumOff val="75000"/>
              </a:schemeClr>
            </a:solidFill>
            <a:latin typeface="Aptos Narrow"/>
            <a:ea typeface="+mn-ea"/>
            <a:cs typeface="+mn-cs"/>
          </a:endParaRPr>
        </a:p>
      </xdr:txBody>
    </xdr:sp>
    <xdr:clientData/>
  </xdr:twoCellAnchor>
  <xdr:twoCellAnchor>
    <xdr:from>
      <xdr:col>2</xdr:col>
      <xdr:colOff>251460</xdr:colOff>
      <xdr:row>3</xdr:row>
      <xdr:rowOff>175260</xdr:rowOff>
    </xdr:from>
    <xdr:to>
      <xdr:col>4</xdr:col>
      <xdr:colOff>10212</xdr:colOff>
      <xdr:row>6</xdr:row>
      <xdr:rowOff>137160</xdr:rowOff>
    </xdr:to>
    <xdr:sp macro="" textlink="$B$52">
      <xdr:nvSpPr>
        <xdr:cNvPr id="119" name="TextBox 118">
          <a:extLst>
            <a:ext uri="{FF2B5EF4-FFF2-40B4-BE49-F238E27FC236}">
              <a16:creationId xmlns:a16="http://schemas.microsoft.com/office/drawing/2014/main" id="{676BBF01-DC67-418D-BC3F-71D3936181E2}"/>
            </a:ext>
          </a:extLst>
        </xdr:cNvPr>
        <xdr:cNvSpPr txBox="1"/>
      </xdr:nvSpPr>
      <xdr:spPr>
        <a:xfrm>
          <a:off x="1470660" y="723900"/>
          <a:ext cx="977952" cy="510540"/>
        </a:xfrm>
        <a:prstGeom prst="rect">
          <a:avLst/>
        </a:prstGeom>
        <a:noFill/>
        <a:ln w="9525" cmpd="sng">
          <a:noFill/>
        </a:ln>
        <a:effectLst>
          <a:outerShdw blurRad="50800" dist="38100" dir="8100000" algn="tr" rotWithShape="0">
            <a:prstClr val="black">
              <a:alpha val="40000"/>
            </a:prstClr>
          </a:outerShdw>
        </a:effectLst>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A46F454-8D60-43FD-9155-98A6FE355835}" type="TxLink">
            <a:rPr lang="en-US" sz="1200" b="0" i="0" u="none" strike="noStrike">
              <a:solidFill>
                <a:schemeClr val="tx2">
                  <a:lumMod val="10000"/>
                  <a:lumOff val="90000"/>
                </a:schemeClr>
              </a:solidFill>
              <a:latin typeface="Aptos Narrow"/>
            </a:rPr>
            <a:pPr algn="l"/>
            <a:t>PERSONAL FINANCE</a:t>
          </a:fld>
          <a:endParaRPr lang="ru-RU" sz="2000" b="0">
            <a:solidFill>
              <a:schemeClr val="tx2">
                <a:lumMod val="10000"/>
                <a:lumOff val="90000"/>
              </a:schemeClr>
            </a:solidFill>
          </a:endParaRPr>
        </a:p>
      </xdr:txBody>
    </xdr:sp>
    <xdr:clientData/>
  </xdr:twoCellAnchor>
  <xdr:twoCellAnchor>
    <xdr:from>
      <xdr:col>2</xdr:col>
      <xdr:colOff>266700</xdr:colOff>
      <xdr:row>4</xdr:row>
      <xdr:rowOff>64770</xdr:rowOff>
    </xdr:from>
    <xdr:to>
      <xdr:col>2</xdr:col>
      <xdr:colOff>266700</xdr:colOff>
      <xdr:row>6</xdr:row>
      <xdr:rowOff>64770</xdr:rowOff>
    </xdr:to>
    <xdr:cxnSp macro="">
      <xdr:nvCxnSpPr>
        <xdr:cNvPr id="121" name="Straight Connector 120">
          <a:extLst>
            <a:ext uri="{FF2B5EF4-FFF2-40B4-BE49-F238E27FC236}">
              <a16:creationId xmlns:a16="http://schemas.microsoft.com/office/drawing/2014/main" id="{16B5CC09-E449-423E-C5E3-14BA2485C618}"/>
            </a:ext>
          </a:extLst>
        </xdr:cNvPr>
        <xdr:cNvCxnSpPr/>
      </xdr:nvCxnSpPr>
      <xdr:spPr>
        <a:xfrm>
          <a:off x="1485900" y="796290"/>
          <a:ext cx="0" cy="365760"/>
        </a:xfrm>
        <a:prstGeom prst="line">
          <a:avLst/>
        </a:prstGeom>
        <a:ln w="9525">
          <a:solidFill>
            <a:schemeClr val="tx2">
              <a:lumMod val="25000"/>
              <a:lumOff val="75000"/>
            </a:schemeClr>
          </a:solidFill>
        </a:ln>
        <a:effectLst/>
      </xdr:spPr>
      <xdr:style>
        <a:lnRef idx="2">
          <a:schemeClr val="accent1"/>
        </a:lnRef>
        <a:fillRef idx="0">
          <a:schemeClr val="accent1"/>
        </a:fillRef>
        <a:effectRef idx="1">
          <a:schemeClr val="accent1"/>
        </a:effectRef>
        <a:fontRef idx="minor">
          <a:schemeClr val="tx1"/>
        </a:fontRef>
      </xdr:style>
    </xdr:cxnSp>
    <xdr:clientData/>
  </xdr:twoCellAnchor>
  <xdr:twoCellAnchor editAs="oneCell">
    <xdr:from>
      <xdr:col>1</xdr:col>
      <xdr:colOff>487680</xdr:colOff>
      <xdr:row>4</xdr:row>
      <xdr:rowOff>45720</xdr:rowOff>
    </xdr:from>
    <xdr:to>
      <xdr:col>2</xdr:col>
      <xdr:colOff>243840</xdr:colOff>
      <xdr:row>6</xdr:row>
      <xdr:rowOff>45720</xdr:rowOff>
    </xdr:to>
    <xdr:pic>
      <xdr:nvPicPr>
        <xdr:cNvPr id="123" name="Graphic 122" descr="Clipboard Checked outline" hidden="1">
          <a:extLst>
            <a:ext uri="{FF2B5EF4-FFF2-40B4-BE49-F238E27FC236}">
              <a16:creationId xmlns:a16="http://schemas.microsoft.com/office/drawing/2014/main" id="{41279754-1ADD-9117-A2BE-C831F696EB2C}"/>
            </a:ext>
          </a:extLst>
        </xdr:cNvPr>
        <xdr:cNvPicPr>
          <a:picLocks noChangeAspect="1"/>
        </xdr:cNvPicPr>
      </xdr:nvPicPr>
      <xdr:blipFill>
        <a:blip xmlns:r="http://schemas.openxmlformats.org/officeDocument/2006/relationships" r:embed="rId13">
          <a:extLst>
            <a:ext uri="{96DAC541-7B7A-43D3-8B79-37D633B846F1}">
              <asvg:svgBlip xmlns:asvg="http://schemas.microsoft.com/office/drawing/2016/SVG/main" r:embed="rId14"/>
            </a:ext>
          </a:extLst>
        </a:blip>
        <a:stretch>
          <a:fillRect/>
        </a:stretch>
      </xdr:blipFill>
      <xdr:spPr>
        <a:xfrm>
          <a:off x="1097280" y="777240"/>
          <a:ext cx="365760" cy="365760"/>
        </a:xfrm>
        <a:prstGeom prst="rect">
          <a:avLst/>
        </a:prstGeom>
      </xdr:spPr>
    </xdr:pic>
    <xdr:clientData/>
  </xdr:twoCellAnchor>
  <xdr:twoCellAnchor>
    <xdr:from>
      <xdr:col>1</xdr:col>
      <xdr:colOff>605790</xdr:colOff>
      <xdr:row>4</xdr:row>
      <xdr:rowOff>102870</xdr:rowOff>
    </xdr:from>
    <xdr:to>
      <xdr:col>2</xdr:col>
      <xdr:colOff>179070</xdr:colOff>
      <xdr:row>6</xdr:row>
      <xdr:rowOff>11430</xdr:rowOff>
    </xdr:to>
    <xdr:grpSp>
      <xdr:nvGrpSpPr>
        <xdr:cNvPr id="132" name="Group 131" hidden="1">
          <a:extLst>
            <a:ext uri="{FF2B5EF4-FFF2-40B4-BE49-F238E27FC236}">
              <a16:creationId xmlns:a16="http://schemas.microsoft.com/office/drawing/2014/main" id="{E37A0532-9DC9-90D0-FEBC-9876BB144AD9}"/>
            </a:ext>
          </a:extLst>
        </xdr:cNvPr>
        <xdr:cNvGrpSpPr/>
      </xdr:nvGrpSpPr>
      <xdr:grpSpPr>
        <a:xfrm>
          <a:off x="1179407" y="864870"/>
          <a:ext cx="184996" cy="289560"/>
          <a:chOff x="1352550" y="8362950"/>
          <a:chExt cx="533400" cy="533400"/>
        </a:xfrm>
        <a:solidFill>
          <a:schemeClr val="tx2">
            <a:lumMod val="25000"/>
            <a:lumOff val="75000"/>
          </a:schemeClr>
        </a:solidFill>
      </xdr:grpSpPr>
      <xdr:sp macro="" textlink="">
        <xdr:nvSpPr>
          <xdr:cNvPr id="128" name="Freeform: Shape 127">
            <a:extLst>
              <a:ext uri="{FF2B5EF4-FFF2-40B4-BE49-F238E27FC236}">
                <a16:creationId xmlns:a16="http://schemas.microsoft.com/office/drawing/2014/main" id="{C39E0764-E1DC-756E-64B4-CE713113EEC3}"/>
              </a:ext>
            </a:extLst>
          </xdr:cNvPr>
          <xdr:cNvSpPr/>
        </xdr:nvSpPr>
        <xdr:spPr>
          <a:xfrm>
            <a:off x="1781175" y="856297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grpFill/>
          <a:ln w="9525" cap="flat">
            <a:noFill/>
            <a:prstDash val="solid"/>
            <a:miter/>
          </a:ln>
        </xdr:spPr>
        <xdr:txBody>
          <a:bodyPr rtlCol="0" anchor="ctr"/>
          <a:lstStyle/>
          <a:p>
            <a:endParaRPr lang="ru-RU"/>
          </a:p>
        </xdr:txBody>
      </xdr:sp>
      <xdr:sp macro="" textlink="">
        <xdr:nvSpPr>
          <xdr:cNvPr id="129" name="Freeform: Shape 128">
            <a:extLst>
              <a:ext uri="{FF2B5EF4-FFF2-40B4-BE49-F238E27FC236}">
                <a16:creationId xmlns:a16="http://schemas.microsoft.com/office/drawing/2014/main" id="{273C652B-4DDD-7F6F-CD3D-A418CC349A0A}"/>
              </a:ext>
            </a:extLst>
          </xdr:cNvPr>
          <xdr:cNvSpPr/>
        </xdr:nvSpPr>
        <xdr:spPr>
          <a:xfrm>
            <a:off x="1638300" y="8362950"/>
            <a:ext cx="104775" cy="533400"/>
          </a:xfrm>
          <a:custGeom>
            <a:avLst/>
            <a:gdLst>
              <a:gd name="connsiteX0" fmla="*/ 0 w 104775"/>
              <a:gd name="connsiteY0" fmla="*/ 0 h 533400"/>
              <a:gd name="connsiteX1" fmla="*/ 104775 w 104775"/>
              <a:gd name="connsiteY1" fmla="*/ 0 h 533400"/>
              <a:gd name="connsiteX2" fmla="*/ 104775 w 104775"/>
              <a:gd name="connsiteY2" fmla="*/ 533400 h 533400"/>
              <a:gd name="connsiteX3" fmla="*/ 0 w 104775"/>
              <a:gd name="connsiteY3" fmla="*/ 533400 h 533400"/>
            </a:gdLst>
            <a:ahLst/>
            <a:cxnLst>
              <a:cxn ang="0">
                <a:pos x="connsiteX0" y="connsiteY0"/>
              </a:cxn>
              <a:cxn ang="0">
                <a:pos x="connsiteX1" y="connsiteY1"/>
              </a:cxn>
              <a:cxn ang="0">
                <a:pos x="connsiteX2" y="connsiteY2"/>
              </a:cxn>
              <a:cxn ang="0">
                <a:pos x="connsiteX3" y="connsiteY3"/>
              </a:cxn>
            </a:cxnLst>
            <a:rect l="l" t="t" r="r" b="b"/>
            <a:pathLst>
              <a:path w="104775" h="533400">
                <a:moveTo>
                  <a:pt x="0" y="0"/>
                </a:moveTo>
                <a:lnTo>
                  <a:pt x="104775" y="0"/>
                </a:lnTo>
                <a:lnTo>
                  <a:pt x="104775" y="533400"/>
                </a:lnTo>
                <a:lnTo>
                  <a:pt x="0" y="533400"/>
                </a:lnTo>
                <a:close/>
              </a:path>
            </a:pathLst>
          </a:custGeom>
          <a:grpFill/>
          <a:ln w="9525" cap="flat">
            <a:noFill/>
            <a:prstDash val="solid"/>
            <a:miter/>
          </a:ln>
        </xdr:spPr>
        <xdr:txBody>
          <a:bodyPr rtlCol="0" anchor="ctr"/>
          <a:lstStyle/>
          <a:p>
            <a:endParaRPr lang="ru-RU"/>
          </a:p>
        </xdr:txBody>
      </xdr:sp>
      <xdr:sp macro="" textlink="">
        <xdr:nvSpPr>
          <xdr:cNvPr id="130" name="Freeform: Shape 129">
            <a:extLst>
              <a:ext uri="{FF2B5EF4-FFF2-40B4-BE49-F238E27FC236}">
                <a16:creationId xmlns:a16="http://schemas.microsoft.com/office/drawing/2014/main" id="{42F523B5-9061-5C86-C030-CE5FDD465B78}"/>
              </a:ext>
            </a:extLst>
          </xdr:cNvPr>
          <xdr:cNvSpPr/>
        </xdr:nvSpPr>
        <xdr:spPr>
          <a:xfrm>
            <a:off x="1495425" y="8562975"/>
            <a:ext cx="104775" cy="333375"/>
          </a:xfrm>
          <a:custGeom>
            <a:avLst/>
            <a:gdLst>
              <a:gd name="connsiteX0" fmla="*/ 0 w 104775"/>
              <a:gd name="connsiteY0" fmla="*/ 0 h 333375"/>
              <a:gd name="connsiteX1" fmla="*/ 104775 w 104775"/>
              <a:gd name="connsiteY1" fmla="*/ 0 h 333375"/>
              <a:gd name="connsiteX2" fmla="*/ 104775 w 104775"/>
              <a:gd name="connsiteY2" fmla="*/ 333375 h 333375"/>
              <a:gd name="connsiteX3" fmla="*/ 0 w 104775"/>
              <a:gd name="connsiteY3" fmla="*/ 333375 h 333375"/>
            </a:gdLst>
            <a:ahLst/>
            <a:cxnLst>
              <a:cxn ang="0">
                <a:pos x="connsiteX0" y="connsiteY0"/>
              </a:cxn>
              <a:cxn ang="0">
                <a:pos x="connsiteX1" y="connsiteY1"/>
              </a:cxn>
              <a:cxn ang="0">
                <a:pos x="connsiteX2" y="connsiteY2"/>
              </a:cxn>
              <a:cxn ang="0">
                <a:pos x="connsiteX3" y="connsiteY3"/>
              </a:cxn>
            </a:cxnLst>
            <a:rect l="l" t="t" r="r" b="b"/>
            <a:pathLst>
              <a:path w="104775" h="333375">
                <a:moveTo>
                  <a:pt x="0" y="0"/>
                </a:moveTo>
                <a:lnTo>
                  <a:pt x="104775" y="0"/>
                </a:lnTo>
                <a:lnTo>
                  <a:pt x="104775" y="333375"/>
                </a:lnTo>
                <a:lnTo>
                  <a:pt x="0" y="333375"/>
                </a:lnTo>
                <a:close/>
              </a:path>
            </a:pathLst>
          </a:custGeom>
          <a:grpFill/>
          <a:ln w="9525" cap="flat">
            <a:noFill/>
            <a:prstDash val="solid"/>
            <a:miter/>
          </a:ln>
        </xdr:spPr>
        <xdr:txBody>
          <a:bodyPr rtlCol="0" anchor="ctr"/>
          <a:lstStyle/>
          <a:p>
            <a:endParaRPr lang="ru-RU"/>
          </a:p>
        </xdr:txBody>
      </xdr:sp>
      <xdr:sp macro="" textlink="">
        <xdr:nvSpPr>
          <xdr:cNvPr id="131" name="Freeform: Shape 130">
            <a:extLst>
              <a:ext uri="{FF2B5EF4-FFF2-40B4-BE49-F238E27FC236}">
                <a16:creationId xmlns:a16="http://schemas.microsoft.com/office/drawing/2014/main" id="{764C85A4-901F-F2D6-16D4-D1DFEB2DE21F}"/>
              </a:ext>
            </a:extLst>
          </xdr:cNvPr>
          <xdr:cNvSpPr/>
        </xdr:nvSpPr>
        <xdr:spPr>
          <a:xfrm>
            <a:off x="1352550" y="8724900"/>
            <a:ext cx="104775" cy="171450"/>
          </a:xfrm>
          <a:custGeom>
            <a:avLst/>
            <a:gdLst>
              <a:gd name="connsiteX0" fmla="*/ 0 w 104775"/>
              <a:gd name="connsiteY0" fmla="*/ 0 h 171450"/>
              <a:gd name="connsiteX1" fmla="*/ 104775 w 104775"/>
              <a:gd name="connsiteY1" fmla="*/ 0 h 171450"/>
              <a:gd name="connsiteX2" fmla="*/ 104775 w 104775"/>
              <a:gd name="connsiteY2" fmla="*/ 171450 h 171450"/>
              <a:gd name="connsiteX3" fmla="*/ 0 w 104775"/>
              <a:gd name="connsiteY3" fmla="*/ 171450 h 171450"/>
            </a:gdLst>
            <a:ahLst/>
            <a:cxnLst>
              <a:cxn ang="0">
                <a:pos x="connsiteX0" y="connsiteY0"/>
              </a:cxn>
              <a:cxn ang="0">
                <a:pos x="connsiteX1" y="connsiteY1"/>
              </a:cxn>
              <a:cxn ang="0">
                <a:pos x="connsiteX2" y="connsiteY2"/>
              </a:cxn>
              <a:cxn ang="0">
                <a:pos x="connsiteX3" y="connsiteY3"/>
              </a:cxn>
            </a:cxnLst>
            <a:rect l="l" t="t" r="r" b="b"/>
            <a:pathLst>
              <a:path w="104775" h="171450">
                <a:moveTo>
                  <a:pt x="0" y="0"/>
                </a:moveTo>
                <a:lnTo>
                  <a:pt x="104775" y="0"/>
                </a:lnTo>
                <a:lnTo>
                  <a:pt x="104775" y="171450"/>
                </a:lnTo>
                <a:lnTo>
                  <a:pt x="0" y="171450"/>
                </a:lnTo>
                <a:close/>
              </a:path>
            </a:pathLst>
          </a:custGeom>
          <a:grpFill/>
          <a:ln w="9525" cap="flat">
            <a:noFill/>
            <a:prstDash val="solid"/>
            <a:miter/>
          </a:ln>
        </xdr:spPr>
        <xdr:txBody>
          <a:bodyPr rtlCol="0" anchor="ctr"/>
          <a:lstStyle/>
          <a:p>
            <a:endParaRPr lang="ru-RU"/>
          </a:p>
        </xdr:txBody>
      </xdr:sp>
    </xdr:grpSp>
    <xdr:clientData/>
  </xdr:twoCellAnchor>
  <xdr:twoCellAnchor editAs="oneCell">
    <xdr:from>
      <xdr:col>1</xdr:col>
      <xdr:colOff>457200</xdr:colOff>
      <xdr:row>4</xdr:row>
      <xdr:rowOff>60960</xdr:rowOff>
    </xdr:from>
    <xdr:to>
      <xdr:col>2</xdr:col>
      <xdr:colOff>213360</xdr:colOff>
      <xdr:row>6</xdr:row>
      <xdr:rowOff>60960</xdr:rowOff>
    </xdr:to>
    <xdr:pic>
      <xdr:nvPicPr>
        <xdr:cNvPr id="134" name="Graphic 133" descr="Pie chart outline">
          <a:extLst>
            <a:ext uri="{FF2B5EF4-FFF2-40B4-BE49-F238E27FC236}">
              <a16:creationId xmlns:a16="http://schemas.microsoft.com/office/drawing/2014/main" id="{DBD4615C-CE60-BD46-C42F-042F775E98D7}"/>
            </a:ext>
          </a:extLst>
        </xdr:cNvPr>
        <xdr:cNvPicPr>
          <a:picLocks noChangeAspect="1"/>
        </xdr:cNvPicPr>
      </xdr:nvPicPr>
      <xdr:blipFill>
        <a:blip xmlns:r="http://schemas.openxmlformats.org/officeDocument/2006/relationships" r:embed="rId15">
          <a:extLst>
            <a:ext uri="{96DAC541-7B7A-43D3-8B79-37D633B846F1}">
              <asvg:svgBlip xmlns:asvg="http://schemas.microsoft.com/office/drawing/2016/SVG/main" r:embed="rId16"/>
            </a:ext>
          </a:extLst>
        </a:blip>
        <a:stretch>
          <a:fillRect/>
        </a:stretch>
      </xdr:blipFill>
      <xdr:spPr>
        <a:xfrm>
          <a:off x="1066800" y="792480"/>
          <a:ext cx="365760" cy="36576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6</xdr:col>
      <xdr:colOff>0</xdr:colOff>
      <xdr:row>8</xdr:row>
      <xdr:rowOff>0</xdr:rowOff>
    </xdr:from>
    <xdr:to>
      <xdr:col>7</xdr:col>
      <xdr:colOff>342900</xdr:colOff>
      <xdr:row>12</xdr:row>
      <xdr:rowOff>144780</xdr:rowOff>
    </xdr:to>
    <xdr:sp macro="" textlink="">
      <xdr:nvSpPr>
        <xdr:cNvPr id="2" name="Rectangle 1">
          <a:extLst>
            <a:ext uri="{FF2B5EF4-FFF2-40B4-BE49-F238E27FC236}">
              <a16:creationId xmlns:a16="http://schemas.microsoft.com/office/drawing/2014/main" id="{BC1B17E0-85A7-4CC0-92D2-383BFDF72B59}"/>
            </a:ext>
          </a:extLst>
        </xdr:cNvPr>
        <xdr:cNvSpPr/>
      </xdr:nvSpPr>
      <xdr:spPr>
        <a:xfrm>
          <a:off x="3657600" y="1463040"/>
          <a:ext cx="952500" cy="876300"/>
        </a:xfrm>
        <a:prstGeom prst="rect">
          <a:avLst/>
        </a:prstGeom>
        <a:gradFill>
          <a:gsLst>
            <a:gs pos="100000">
              <a:srgbClr val="D73BFE">
                <a:alpha val="40000"/>
              </a:srgbClr>
            </a:gs>
            <a:gs pos="5000">
              <a:srgbClr val="2C48D4">
                <a:alpha val="34000"/>
              </a:srgbClr>
            </a:gs>
          </a:gsLst>
          <a:lin ang="6000000" scaled="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xdr:from>
      <xdr:col>12</xdr:col>
      <xdr:colOff>0</xdr:colOff>
      <xdr:row>29</xdr:row>
      <xdr:rowOff>178631</xdr:rowOff>
    </xdr:from>
    <xdr:to>
      <xdr:col>15</xdr:col>
      <xdr:colOff>594360</xdr:colOff>
      <xdr:row>32</xdr:row>
      <xdr:rowOff>68903</xdr:rowOff>
    </xdr:to>
    <xdr:graphicFrame macro="">
      <xdr:nvGraphicFramePr>
        <xdr:cNvPr id="5" name="Chart 4">
          <a:extLst>
            <a:ext uri="{FF2B5EF4-FFF2-40B4-BE49-F238E27FC236}">
              <a16:creationId xmlns:a16="http://schemas.microsoft.com/office/drawing/2014/main" id="{19281659-5CFD-4F60-A36E-7E1C32349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301429</xdr:colOff>
      <xdr:row>23</xdr:row>
      <xdr:rowOff>0</xdr:rowOff>
    </xdr:from>
    <xdr:to>
      <xdr:col>15</xdr:col>
      <xdr:colOff>301429</xdr:colOff>
      <xdr:row>33</xdr:row>
      <xdr:rowOff>0</xdr:rowOff>
    </xdr:to>
    <xdr:graphicFrame macro="">
      <xdr:nvGraphicFramePr>
        <xdr:cNvPr id="6" name="Chart 5">
          <a:extLst>
            <a:ext uri="{FF2B5EF4-FFF2-40B4-BE49-F238E27FC236}">
              <a16:creationId xmlns:a16="http://schemas.microsoft.com/office/drawing/2014/main" id="{535759E2-7A0F-4895-A6B3-04D63BE834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152400</xdr:colOff>
      <xdr:row>30</xdr:row>
      <xdr:rowOff>148151</xdr:rowOff>
    </xdr:from>
    <xdr:to>
      <xdr:col>16</xdr:col>
      <xdr:colOff>137160</xdr:colOff>
      <xdr:row>33</xdr:row>
      <xdr:rowOff>38423</xdr:rowOff>
    </xdr:to>
    <xdr:graphicFrame macro="">
      <xdr:nvGraphicFramePr>
        <xdr:cNvPr id="7" name="Chart 6">
          <a:extLst>
            <a:ext uri="{FF2B5EF4-FFF2-40B4-BE49-F238E27FC236}">
              <a16:creationId xmlns:a16="http://schemas.microsoft.com/office/drawing/2014/main" id="{DC536915-6EE9-44A7-A4E6-A496C3C5FB1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373380</xdr:colOff>
      <xdr:row>9</xdr:row>
      <xdr:rowOff>30480</xdr:rowOff>
    </xdr:from>
    <xdr:to>
      <xdr:col>10</xdr:col>
      <xdr:colOff>601980</xdr:colOff>
      <xdr:row>12</xdr:row>
      <xdr:rowOff>175260</xdr:rowOff>
    </xdr:to>
    <xdr:sp macro="" textlink="">
      <xdr:nvSpPr>
        <xdr:cNvPr id="3" name="Rectangle 2">
          <a:extLst>
            <a:ext uri="{FF2B5EF4-FFF2-40B4-BE49-F238E27FC236}">
              <a16:creationId xmlns:a16="http://schemas.microsoft.com/office/drawing/2014/main" id="{0F97E7C1-0CC1-B895-929A-DC591488A25C}"/>
            </a:ext>
          </a:extLst>
        </xdr:cNvPr>
        <xdr:cNvSpPr/>
      </xdr:nvSpPr>
      <xdr:spPr>
        <a:xfrm>
          <a:off x="5859780" y="1676400"/>
          <a:ext cx="838200" cy="693420"/>
        </a:xfrm>
        <a:prstGeom prst="rect">
          <a:avLst/>
        </a:prstGeom>
        <a:gradFill>
          <a:gsLst>
            <a:gs pos="0">
              <a:srgbClr val="C849F4">
                <a:alpha val="70000"/>
              </a:srgbClr>
            </a:gs>
            <a:gs pos="100000">
              <a:srgbClr val="4331DC">
                <a:alpha val="70000"/>
              </a:srgbClr>
            </a:gs>
          </a:gsLst>
          <a:lin ang="81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ru-RU" sz="1100"/>
        </a:p>
      </xdr:txBody>
    </xdr:sp>
    <xdr:clientData/>
  </xdr:twoCellAnchor>
  <xdr:twoCellAnchor editAs="oneCell">
    <xdr:from>
      <xdr:col>12</xdr:col>
      <xdr:colOff>0</xdr:colOff>
      <xdr:row>3</xdr:row>
      <xdr:rowOff>0</xdr:rowOff>
    </xdr:from>
    <xdr:to>
      <xdr:col>15</xdr:col>
      <xdr:colOff>75962</xdr:colOff>
      <xdr:row>8</xdr:row>
      <xdr:rowOff>104648</xdr:rowOff>
    </xdr:to>
    <xdr:pic>
      <xdr:nvPicPr>
        <xdr:cNvPr id="4" name="Picture 3">
          <a:extLst>
            <a:ext uri="{FF2B5EF4-FFF2-40B4-BE49-F238E27FC236}">
              <a16:creationId xmlns:a16="http://schemas.microsoft.com/office/drawing/2014/main" id="{7CEB6CFC-1B24-42AF-AE60-AFE6F37939D3}"/>
            </a:ext>
          </a:extLst>
        </xdr:cNvPr>
        <xdr:cNvPicPr>
          <a:picLocks noChangeAspect="1"/>
        </xdr:cNvPicPr>
      </xdr:nvPicPr>
      <xdr:blipFill>
        <a:blip xmlns:r="http://schemas.openxmlformats.org/officeDocument/2006/relationships" r:embed="rId4"/>
        <a:stretch>
          <a:fillRect/>
        </a:stretch>
      </xdr:blipFill>
      <xdr:spPr>
        <a:xfrm>
          <a:off x="7315200" y="548640"/>
          <a:ext cx="1904762" cy="1019048"/>
        </a:xfrm>
        <a:prstGeom prst="roundRect">
          <a:avLst>
            <a:gd name="adj" fmla="val 993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12</xdr:col>
      <xdr:colOff>0</xdr:colOff>
      <xdr:row>10</xdr:row>
      <xdr:rowOff>0</xdr:rowOff>
    </xdr:from>
    <xdr:to>
      <xdr:col>15</xdr:col>
      <xdr:colOff>75962</xdr:colOff>
      <xdr:row>15</xdr:row>
      <xdr:rowOff>104648</xdr:rowOff>
    </xdr:to>
    <xdr:pic>
      <xdr:nvPicPr>
        <xdr:cNvPr id="8" name="Picture 7">
          <a:extLst>
            <a:ext uri="{FF2B5EF4-FFF2-40B4-BE49-F238E27FC236}">
              <a16:creationId xmlns:a16="http://schemas.microsoft.com/office/drawing/2014/main" id="{1E1079F5-9EF4-4E49-9FD0-8CE946530881}"/>
            </a:ext>
          </a:extLst>
        </xdr:cNvPr>
        <xdr:cNvPicPr>
          <a:picLocks noChangeAspect="1"/>
        </xdr:cNvPicPr>
      </xdr:nvPicPr>
      <xdr:blipFill>
        <a:blip xmlns:r="http://schemas.openxmlformats.org/officeDocument/2006/relationships" r:embed="rId5"/>
        <a:stretch>
          <a:fillRect/>
        </a:stretch>
      </xdr:blipFill>
      <xdr:spPr>
        <a:xfrm>
          <a:off x="7315200" y="1828800"/>
          <a:ext cx="1904762" cy="1019048"/>
        </a:xfrm>
        <a:prstGeom prst="roundRect">
          <a:avLst>
            <a:gd name="adj" fmla="val 10685"/>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twoCellAnchor editAs="oneCell">
    <xdr:from>
      <xdr:col>15</xdr:col>
      <xdr:colOff>426720</xdr:colOff>
      <xdr:row>6</xdr:row>
      <xdr:rowOff>0</xdr:rowOff>
    </xdr:from>
    <xdr:to>
      <xdr:col>18</xdr:col>
      <xdr:colOff>502682</xdr:colOff>
      <xdr:row>11</xdr:row>
      <xdr:rowOff>104648</xdr:rowOff>
    </xdr:to>
    <xdr:pic>
      <xdr:nvPicPr>
        <xdr:cNvPr id="9" name="Picture 8">
          <a:extLst>
            <a:ext uri="{FF2B5EF4-FFF2-40B4-BE49-F238E27FC236}">
              <a16:creationId xmlns:a16="http://schemas.microsoft.com/office/drawing/2014/main" id="{DB694326-F027-410B-A7E1-95F3C29E6E0F}"/>
            </a:ext>
          </a:extLst>
        </xdr:cNvPr>
        <xdr:cNvPicPr>
          <a:picLocks noChangeAspect="1"/>
        </xdr:cNvPicPr>
      </xdr:nvPicPr>
      <xdr:blipFill>
        <a:blip xmlns:r="http://schemas.openxmlformats.org/officeDocument/2006/relationships" r:embed="rId6"/>
        <a:stretch>
          <a:fillRect/>
        </a:stretch>
      </xdr:blipFill>
      <xdr:spPr>
        <a:xfrm>
          <a:off x="9570720" y="1097280"/>
          <a:ext cx="1904762" cy="1019048"/>
        </a:xfrm>
        <a:prstGeom prst="roundRect">
          <a:avLst>
            <a:gd name="adj" fmla="val 9189"/>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bevelT w="381000" h="114300" prst="relaxedInset"/>
          <a:contourClr>
            <a:srgbClr val="969696"/>
          </a:contourClr>
        </a:sp3d>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_rels/pivotCacheDefinition5.xml.rels><?xml version="1.0" encoding="UTF-8" standalone="yes"?>
<Relationships xmlns="http://schemas.openxmlformats.org/package/2006/relationships"><Relationship Id="rId1" Type="http://schemas.openxmlformats.org/officeDocument/2006/relationships/pivotCacheRecords" Target="pivotCacheRecords5.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5.550845601851" createdVersion="8" refreshedVersion="8" minRefreshableVersion="3" recordCount="12" xr:uid="{649374D0-D077-44A2-A085-B0D4932AFC9F}">
  <cacheSource type="worksheet">
    <worksheetSource ref="AC74:AD86" sheet="Prototype 3"/>
  </cacheSource>
  <cacheFields count="2">
    <cacheField name="Buttons" numFmtId="0">
      <sharedItems count="12">
        <s v="JANUARY"/>
        <s v="FEBRUARY"/>
        <s v="MARCH"/>
        <s v="APRIL"/>
        <s v="MAY"/>
        <s v="JUNE"/>
        <s v="JULY"/>
        <s v="AUGUST"/>
        <s v="SEPTEMBER"/>
        <s v="OCTOBER"/>
        <s v="NOVEMBER"/>
        <s v="DECEMBER"/>
      </sharedItems>
    </cacheField>
    <cacheField name="Num" numFmtId="0">
      <sharedItems containsSemiMixedTypes="0" containsString="0" containsNumber="1" containsInteger="1" minValue="1" maxValue="12"/>
    </cacheField>
  </cacheFields>
  <extLst>
    <ext xmlns:x14="http://schemas.microsoft.com/office/spreadsheetml/2009/9/main" uri="{725AE2AE-9491-48be-B2B4-4EB974FC3084}">
      <x14:pivotCacheDefinition pivotCacheId="283303769"/>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5.550846412036" createdVersion="8" refreshedVersion="8" minRefreshableVersion="3" recordCount="4" xr:uid="{1D6AB746-A660-4AB4-82E5-1841F606CC50}">
  <cacheSource type="worksheet">
    <worksheetSource ref="T71:T75" sheet="Prototype 2"/>
  </cacheSource>
  <cacheFields count="1">
    <cacheField name="Year" numFmtId="0">
      <sharedItems containsSemiMixedTypes="0" containsString="0" containsNumber="1" containsInteger="1" minValue="2025" maxValue="2028" count="4">
        <n v="2025"/>
        <n v="2026"/>
        <n v="2027"/>
        <n v="2028"/>
      </sharedItems>
    </cacheField>
  </cacheFields>
  <extLst>
    <ext xmlns:x14="http://schemas.microsoft.com/office/spreadsheetml/2009/9/main" uri="{725AE2AE-9491-48be-B2B4-4EB974FC3084}">
      <x14:pivotCacheDefinition pivotCacheId="1835805682"/>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5.550847106482" createdVersion="8" refreshedVersion="8" minRefreshableVersion="3" recordCount="5" xr:uid="{23085AD5-29CA-47B2-B366-C5E7461A8D20}">
  <cacheSource type="worksheet">
    <worksheetSource ref="H47:J52" sheet="Prototype 2"/>
  </cacheSource>
  <cacheFields count="3">
    <cacheField name="Directions" numFmtId="0">
      <sharedItems count="5">
        <s v="Travel"/>
        <s v="FoodCourt"/>
        <s v="Supermarket"/>
        <s v="Entertainment"/>
        <s v="Workplace"/>
      </sharedItems>
    </cacheField>
    <cacheField name="Buttons" numFmtId="0">
      <sharedItems count="5">
        <s v="T"/>
        <s v="F"/>
        <s v="S"/>
        <s v="E"/>
        <s v="W"/>
      </sharedItems>
    </cacheField>
    <cacheField name="Costs" numFmtId="0">
      <sharedItems containsSemiMixedTypes="0" containsString="0" containsNumber="1" containsInteger="1" minValue="315" maxValue="754"/>
    </cacheField>
  </cacheFields>
  <extLst>
    <ext xmlns:x14="http://schemas.microsoft.com/office/spreadsheetml/2009/9/main" uri="{725AE2AE-9491-48be-B2B4-4EB974FC3084}">
      <x14:pivotCacheDefinition pivotCacheId="323306368"/>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5.550847916667" createdVersion="8" refreshedVersion="8" minRefreshableVersion="3" recordCount="36" xr:uid="{8CE31C16-EC86-48AA-B465-ECB0BAAF56BE}">
  <cacheSource type="worksheet">
    <worksheetSource name="mydata"/>
  </cacheSource>
  <cacheFields count="23">
    <cacheField name="Year" numFmtId="0">
      <sharedItems containsSemiMixedTypes="0" containsString="0" containsNumber="1" containsInteger="1" minValue="2025" maxValue="2027" count="3">
        <n v="2025"/>
        <n v="2026"/>
        <n v="2027"/>
      </sharedItems>
    </cacheField>
    <cacheField name="Num Month" numFmtId="0">
      <sharedItems containsSemiMixedTypes="0" containsString="0" containsNumber="1" containsInteger="1" minValue="1" maxValue="12"/>
    </cacheField>
    <cacheField name="Month" numFmtId="0">
      <sharedItems count="12">
        <s v="JAN"/>
        <s v="FEB"/>
        <s v="MAR"/>
        <s v="APR"/>
        <s v="MAY"/>
        <s v="JUN"/>
        <s v="JUL"/>
        <s v="AUG"/>
        <s v="SEP"/>
        <s v="OCT"/>
        <s v="NOV"/>
        <s v="DEC"/>
      </sharedItems>
    </cacheField>
    <cacheField name="Actual" numFmtId="9">
      <sharedItems containsSemiMixedTypes="0" containsString="0" containsNumber="1" minValue="0.14000000000000001" maxValue="0.92"/>
    </cacheField>
    <cacheField name="Target" numFmtId="9">
      <sharedItems containsSemiMixedTypes="0" containsString="0" containsNumber="1" minValue="7.0000000000000007E-2" maxValue="1"/>
    </cacheField>
    <cacheField name="R1" numFmtId="9">
      <sharedItems containsSemiMixedTypes="0" containsString="0" containsNumber="1" minValue="0.15" maxValue="0.85"/>
    </cacheField>
    <cacheField name="R2" numFmtId="9">
      <sharedItems containsSemiMixedTypes="0" containsString="0" containsNumber="1" minValue="0.15" maxValue="0.85"/>
    </cacheField>
    <cacheField name="R3" numFmtId="9">
      <sharedItems containsSemiMixedTypes="0" containsString="0" containsNumber="1" minValue="0.15" maxValue="0.85"/>
    </cacheField>
    <cacheField name="R4" numFmtId="9">
      <sharedItems containsSemiMixedTypes="0" containsString="0" containsNumber="1" minValue="0.15" maxValue="0.85"/>
    </cacheField>
    <cacheField name="R5" numFmtId="9">
      <sharedItems containsSemiMixedTypes="0" containsString="0" containsNumber="1" minValue="0.15" maxValue="0.85"/>
    </cacheField>
    <cacheField name="Planning" numFmtId="0">
      <sharedItems containsSemiMixedTypes="0" containsString="0" containsNumber="1" containsInteger="1" minValue="1718" maxValue="4710"/>
    </cacheField>
    <cacheField name="Design" numFmtId="0">
      <sharedItems containsSemiMixedTypes="0" containsString="0" containsNumber="1" containsInteger="1" minValue="1605" maxValue="4729"/>
    </cacheField>
    <cacheField name="Coding" numFmtId="0">
      <sharedItems containsSemiMixedTypes="0" containsString="0" containsNumber="1" containsInteger="1" minValue="1178" maxValue="4950"/>
    </cacheField>
    <cacheField name="Testing" numFmtId="0">
      <sharedItems containsSemiMixedTypes="0" containsString="0" containsNumber="1" containsInteger="1" minValue="1375" maxValue="4441"/>
    </cacheField>
    <cacheField name="Release" numFmtId="0">
      <sharedItems containsSemiMixedTypes="0" containsString="0" containsNumber="1" containsInteger="1" minValue="1574" maxValue="4725"/>
    </cacheField>
    <cacheField name="Cost" numFmtId="0">
      <sharedItems containsSemiMixedTypes="0" containsString="0" containsNumber="1" containsInteger="1" minValue="16850" maxValue="46800"/>
    </cacheField>
    <cacheField name="Team P" numFmtId="0">
      <sharedItems containsSemiMixedTypes="0" containsString="0" containsNumber="1" containsInteger="1" minValue="2" maxValue="10"/>
    </cacheField>
    <cacheField name="Team D" numFmtId="0">
      <sharedItems containsSemiMixedTypes="0" containsString="0" containsNumber="1" containsInteger="1" minValue="2" maxValue="9"/>
    </cacheField>
    <cacheField name="Team С" numFmtId="0">
      <sharedItems containsSemiMixedTypes="0" containsString="0" containsNumber="1" containsInteger="1" minValue="5" maxValue="10"/>
    </cacheField>
    <cacheField name="Team T" numFmtId="0">
      <sharedItems containsSemiMixedTypes="0" containsString="0" containsNumber="1" containsInteger="1" minValue="3" maxValue="9"/>
    </cacheField>
    <cacheField name="Team R" numFmtId="0">
      <sharedItems containsSemiMixedTypes="0" containsString="0" containsNumber="1" containsInteger="1" minValue="2" maxValue="9"/>
    </cacheField>
    <cacheField name="Days" numFmtId="0">
      <sharedItems containsSemiMixedTypes="0" containsString="0" containsNumber="1" containsInteger="1" minValue="28" maxValue="31"/>
    </cacheField>
    <cacheField name="Tasks" numFmtId="0">
      <sharedItems containsSemiMixedTypes="0" containsString="0" containsNumber="1" containsInteger="1" minValue="10" maxValue="65"/>
    </cacheField>
  </cacheFields>
  <extLst>
    <ext xmlns:x14="http://schemas.microsoft.com/office/spreadsheetml/2009/9/main" uri="{725AE2AE-9491-48be-B2B4-4EB974FC3084}">
      <x14:pivotCacheDefinition pivotCacheId="1194888024"/>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5915.550849652776" createdVersion="8" refreshedVersion="8" minRefreshableVersion="3" recordCount="28" xr:uid="{6F2F4A79-21F4-4658-B9F9-E5A086E8B5C1}">
  <cacheSource type="worksheet">
    <worksheetSource name="dataP1"/>
  </cacheSource>
  <cacheFields count="16">
    <cacheField name="Week Day" numFmtId="0">
      <sharedItems count="7">
        <s v="SUN"/>
        <s v="MON"/>
        <s v="TUE"/>
        <s v="WED"/>
        <s v="THU"/>
        <s v="FRI"/>
        <s v="SAT"/>
      </sharedItems>
    </cacheField>
    <cacheField name="Cost" numFmtId="44">
      <sharedItems containsSemiMixedTypes="0" containsString="0" containsNumber="1" minValue="34.9" maxValue="155.4"/>
    </cacheField>
    <cacheField name="Eating" numFmtId="44">
      <sharedItems containsSemiMixedTypes="0" containsString="0" containsNumber="1" minValue="14.7" maxValue="50.3"/>
    </cacheField>
    <cacheField name="Fuel" numFmtId="44">
      <sharedItems containsSemiMixedTypes="0" containsString="0" containsNumber="1" minValue="5" maxValue="25.6"/>
    </cacheField>
    <cacheField name="Leisure" numFmtId="44">
      <sharedItems containsSemiMixedTypes="0" containsString="0" containsNumber="1" minValue="4.8" maxValue="30"/>
    </cacheField>
    <cacheField name="Shopping" numFmtId="44">
      <sharedItems containsSemiMixedTypes="0" containsString="0" containsNumber="1" minValue="4.5999999999999996" maxValue="31.2"/>
    </cacheField>
    <cacheField name="Hobbies" numFmtId="44">
      <sharedItems containsSemiMixedTypes="0" containsString="0" containsNumber="1" minValue="5" maxValue="26.5"/>
    </cacheField>
    <cacheField name="Work" numFmtId="44">
      <sharedItems containsSemiMixedTypes="0" containsString="0" containsNumber="1" minValue="48.7" maxValue="101.2"/>
    </cacheField>
    <cacheField name="Home" numFmtId="44">
      <sharedItems containsSemiMixedTypes="0" containsString="0" containsNumber="1" minValue="49.3" maxValue="321.39999999999998"/>
    </cacheField>
    <cacheField name="Body" numFmtId="44">
      <sharedItems containsSemiMixedTypes="0" containsString="0" containsNumber="1" minValue="1.8" maxValue="20.3"/>
    </cacheField>
    <cacheField name="Save" numFmtId="44">
      <sharedItems containsSemiMixedTypes="0" containsString="0" containsNumber="1" minValue="9.6999999999999993" maxValue="101.5"/>
    </cacheField>
    <cacheField name="Salary" numFmtId="44">
      <sharedItems containsSemiMixedTypes="0" containsString="0" containsNumber="1" minValue="44.400000000000006" maxValue="528.29999999999995"/>
    </cacheField>
    <cacheField name="Side Job" numFmtId="44">
      <sharedItems containsSemiMixedTypes="0" containsString="0" containsNumber="1" minValue="58.800000000000004" maxValue="304.5"/>
    </cacheField>
    <cacheField name="Savings" numFmtId="44">
      <sharedItems containsSemiMixedTypes="0" containsString="0" containsNumber="1" minValue="14.100000000000001" maxValue="152.39999999999998"/>
    </cacheField>
    <cacheField name="Week Num" numFmtId="44">
      <sharedItems count="4">
        <s v="W01: 1-7"/>
        <s v="W02: 8-14"/>
        <s v="W03: 15-21"/>
        <s v="W04: 22-28"/>
      </sharedItems>
    </cacheField>
    <cacheField name="Week Day Num" numFmtId="0">
      <sharedItems containsSemiMixedTypes="0" containsString="0" containsNumber="1" containsInteger="1" minValue="1" maxValue="7"/>
    </cacheField>
  </cacheFields>
  <extLst>
    <ext xmlns:x14="http://schemas.microsoft.com/office/spreadsheetml/2009/9/main" uri="{725AE2AE-9491-48be-B2B4-4EB974FC3084}">
      <x14:pivotCacheDefinition pivotCacheId="936871454"/>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
  <r>
    <x v="0"/>
    <n v="1"/>
  </r>
  <r>
    <x v="1"/>
    <n v="2"/>
  </r>
  <r>
    <x v="2"/>
    <n v="3"/>
  </r>
  <r>
    <x v="3"/>
    <n v="4"/>
  </r>
  <r>
    <x v="4"/>
    <n v="5"/>
  </r>
  <r>
    <x v="5"/>
    <n v="6"/>
  </r>
  <r>
    <x v="6"/>
    <n v="7"/>
  </r>
  <r>
    <x v="7"/>
    <n v="8"/>
  </r>
  <r>
    <x v="8"/>
    <n v="9"/>
  </r>
  <r>
    <x v="9"/>
    <n v="10"/>
  </r>
  <r>
    <x v="10"/>
    <n v="11"/>
  </r>
  <r>
    <x v="11"/>
    <n v="12"/>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4">
  <r>
    <x v="0"/>
  </r>
  <r>
    <x v="1"/>
  </r>
  <r>
    <x v="2"/>
  </r>
  <r>
    <x v="3"/>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
  <r>
    <x v="0"/>
    <x v="0"/>
    <n v="315"/>
  </r>
  <r>
    <x v="1"/>
    <x v="1"/>
    <n v="524"/>
  </r>
  <r>
    <x v="2"/>
    <x v="2"/>
    <n v="428"/>
  </r>
  <r>
    <x v="3"/>
    <x v="3"/>
    <n v="754"/>
  </r>
  <r>
    <x v="4"/>
    <x v="4"/>
    <n v="525"/>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6">
  <r>
    <x v="0"/>
    <n v="1"/>
    <x v="0"/>
    <n v="0.9"/>
    <n v="1"/>
    <n v="0.81"/>
    <n v="0.71"/>
    <n v="0.19"/>
    <n v="0.27"/>
    <n v="0.81"/>
    <n v="4710"/>
    <n v="2819"/>
    <n v="1351"/>
    <n v="3237"/>
    <n v="4625"/>
    <n v="17063"/>
    <n v="7"/>
    <n v="3"/>
    <n v="5"/>
    <n v="3"/>
    <n v="2"/>
    <n v="31"/>
    <n v="10"/>
  </r>
  <r>
    <x v="0"/>
    <n v="2"/>
    <x v="1"/>
    <n v="0.7"/>
    <n v="0.95"/>
    <n v="0.54"/>
    <n v="0.33"/>
    <n v="0.74"/>
    <n v="0.33"/>
    <n v="0.32"/>
    <n v="3343"/>
    <n v="3507"/>
    <n v="2665"/>
    <n v="2445"/>
    <n v="3408"/>
    <n v="19009"/>
    <n v="8"/>
    <n v="4"/>
    <n v="6"/>
    <n v="4"/>
    <n v="3"/>
    <n v="28"/>
    <n v="11"/>
  </r>
  <r>
    <x v="0"/>
    <n v="3"/>
    <x v="2"/>
    <n v="0.8"/>
    <n v="0.9"/>
    <n v="0.85"/>
    <n v="0.27"/>
    <n v="0.85"/>
    <n v="0.15"/>
    <n v="0.5"/>
    <n v="3189"/>
    <n v="1605"/>
    <n v="2950"/>
    <n v="4128"/>
    <n v="3170"/>
    <n v="21172"/>
    <n v="9"/>
    <n v="5"/>
    <n v="5"/>
    <n v="5"/>
    <n v="2"/>
    <n v="31"/>
    <n v="12"/>
  </r>
  <r>
    <x v="0"/>
    <n v="4"/>
    <x v="3"/>
    <n v="0.55000000000000004"/>
    <n v="0.85"/>
    <n v="0.77"/>
    <n v="0.17"/>
    <n v="0.66"/>
    <n v="0.24"/>
    <n v="0.53"/>
    <n v="2214"/>
    <n v="2326"/>
    <n v="3801"/>
    <n v="3693"/>
    <n v="2247"/>
    <n v="25512"/>
    <n v="3"/>
    <n v="6"/>
    <n v="7"/>
    <n v="4"/>
    <n v="4"/>
    <n v="30"/>
    <n v="13"/>
  </r>
  <r>
    <x v="0"/>
    <n v="5"/>
    <x v="4"/>
    <n v="0.45"/>
    <n v="0.8"/>
    <n v="0.27"/>
    <n v="0.49"/>
    <n v="0.85"/>
    <n v="0.15"/>
    <n v="0.35"/>
    <n v="2462"/>
    <n v="2525"/>
    <n v="3557"/>
    <n v="3504"/>
    <n v="2614"/>
    <n v="22609"/>
    <n v="2"/>
    <n v="7"/>
    <n v="8"/>
    <n v="3"/>
    <n v="5"/>
    <n v="31"/>
    <n v="14"/>
  </r>
  <r>
    <x v="0"/>
    <n v="6"/>
    <x v="5"/>
    <n v="0.5"/>
    <n v="0.7"/>
    <n v="0.21"/>
    <n v="0.15"/>
    <n v="0.36"/>
    <n v="0.56999999999999995"/>
    <n v="0.85"/>
    <n v="3020"/>
    <n v="3563"/>
    <n v="3412"/>
    <n v="2560"/>
    <n v="2343"/>
    <n v="30077"/>
    <n v="3"/>
    <n v="5"/>
    <n v="9"/>
    <n v="5"/>
    <n v="4"/>
    <n v="30"/>
    <n v="17"/>
  </r>
  <r>
    <x v="0"/>
    <n v="7"/>
    <x v="6"/>
    <n v="0.3"/>
    <n v="0.6"/>
    <n v="0.42"/>
    <n v="0.5"/>
    <n v="0.55000000000000004"/>
    <n v="0.67"/>
    <n v="0.84"/>
    <n v="3567"/>
    <n v="4435"/>
    <n v="3607"/>
    <n v="1711"/>
    <n v="1999"/>
    <n v="35634"/>
    <n v="4"/>
    <n v="3"/>
    <n v="8"/>
    <n v="6"/>
    <n v="2"/>
    <n v="31"/>
    <n v="20"/>
  </r>
  <r>
    <x v="0"/>
    <n v="8"/>
    <x v="7"/>
    <n v="0.35"/>
    <n v="0.5"/>
    <n v="0.71"/>
    <n v="0.15"/>
    <n v="0.64"/>
    <n v="0.55000000000000004"/>
    <n v="0.85"/>
    <n v="3361"/>
    <n v="4717"/>
    <n v="4369"/>
    <n v="1706"/>
    <n v="1992"/>
    <n v="46257"/>
    <n v="2"/>
    <n v="2"/>
    <n v="9"/>
    <n v="4"/>
    <n v="3"/>
    <n v="31"/>
    <n v="21"/>
  </r>
  <r>
    <x v="0"/>
    <n v="9"/>
    <x v="8"/>
    <n v="0.2"/>
    <n v="0.4"/>
    <n v="0.15"/>
    <n v="0.74"/>
    <n v="0.72"/>
    <n v="0.41"/>
    <n v="0.82"/>
    <n v="2413"/>
    <n v="3819"/>
    <n v="4950"/>
    <n v="2520"/>
    <n v="2118"/>
    <n v="34376"/>
    <n v="3"/>
    <n v="3"/>
    <n v="10"/>
    <n v="3"/>
    <n v="4"/>
    <n v="30"/>
    <n v="22"/>
  </r>
  <r>
    <x v="0"/>
    <n v="10"/>
    <x v="9"/>
    <n v="0.25"/>
    <n v="0.3"/>
    <n v="0.15"/>
    <n v="0.76"/>
    <n v="0.19"/>
    <n v="0.41"/>
    <n v="0.66"/>
    <n v="1932"/>
    <n v="2691"/>
    <n v="4714"/>
    <n v="3824"/>
    <n v="2705"/>
    <n v="36744"/>
    <n v="4"/>
    <n v="4"/>
    <n v="7"/>
    <n v="5"/>
    <n v="5"/>
    <n v="31"/>
    <n v="25"/>
  </r>
  <r>
    <x v="0"/>
    <n v="11"/>
    <x v="10"/>
    <n v="0.15"/>
    <n v="0.2"/>
    <n v="0.25"/>
    <n v="0.15"/>
    <n v="0.18"/>
    <n v="0.66"/>
    <n v="0.66"/>
    <n v="2016"/>
    <n v="2140"/>
    <n v="3728"/>
    <n v="4397"/>
    <n v="3289"/>
    <n v="44019"/>
    <n v="3"/>
    <n v="3"/>
    <n v="8"/>
    <n v="6"/>
    <n v="6"/>
    <n v="30"/>
    <n v="26"/>
  </r>
  <r>
    <x v="0"/>
    <n v="12"/>
    <x v="11"/>
    <n v="0.2"/>
    <n v="0.1"/>
    <n v="0.74"/>
    <n v="0.85"/>
    <n v="0.57999999999999996"/>
    <n v="0.25"/>
    <n v="0.41"/>
    <n v="2658"/>
    <n v="2030"/>
    <n v="2460"/>
    <n v="4042"/>
    <n v="3984"/>
    <n v="45080"/>
    <n v="2"/>
    <n v="5"/>
    <n v="5"/>
    <n v="7"/>
    <n v="7"/>
    <n v="31"/>
    <n v="29"/>
  </r>
  <r>
    <x v="1"/>
    <n v="1"/>
    <x v="0"/>
    <n v="0.68"/>
    <n v="1"/>
    <n v="0.6"/>
    <n v="0.65"/>
    <n v="0.15"/>
    <n v="0.85"/>
    <n v="0.64"/>
    <n v="3675"/>
    <n v="2408"/>
    <n v="1514"/>
    <n v="2950"/>
    <n v="4538"/>
    <n v="25830"/>
    <n v="9"/>
    <n v="5"/>
    <n v="7"/>
    <n v="5"/>
    <n v="4"/>
    <n v="31"/>
    <n v="18"/>
  </r>
  <r>
    <x v="1"/>
    <n v="2"/>
    <x v="1"/>
    <n v="0.88"/>
    <n v="0.95"/>
    <n v="0.74"/>
    <n v="0.15"/>
    <n v="0.15"/>
    <n v="0.7"/>
    <n v="0.15"/>
    <n v="4465"/>
    <n v="2913"/>
    <n v="1225"/>
    <n v="2059"/>
    <n v="4725"/>
    <n v="35210"/>
    <n v="10"/>
    <n v="6"/>
    <n v="8"/>
    <n v="6"/>
    <n v="5"/>
    <n v="28"/>
    <n v="20"/>
  </r>
  <r>
    <x v="1"/>
    <n v="3"/>
    <x v="2"/>
    <n v="0.9"/>
    <n v="0.88"/>
    <n v="0.77"/>
    <n v="0.75"/>
    <n v="0.35"/>
    <n v="0.15"/>
    <n v="0.56000000000000005"/>
    <n v="4705"/>
    <n v="2847"/>
    <n v="1178"/>
    <n v="1854"/>
    <n v="4386"/>
    <n v="43590"/>
    <n v="10"/>
    <n v="7"/>
    <n v="7"/>
    <n v="7"/>
    <n v="4"/>
    <n v="31"/>
    <n v="22"/>
  </r>
  <r>
    <x v="1"/>
    <n v="4"/>
    <x v="3"/>
    <n v="0.57999999999999996"/>
    <n v="0.83"/>
    <n v="0.2"/>
    <n v="0.34"/>
    <n v="0.38"/>
    <n v="0.61"/>
    <n v="0.53"/>
    <n v="4229"/>
    <n v="2160"/>
    <n v="1600"/>
    <n v="2425"/>
    <n v="3735"/>
    <n v="22450"/>
    <n v="5"/>
    <n v="8"/>
    <n v="9"/>
    <n v="6"/>
    <n v="6"/>
    <n v="30"/>
    <n v="24"/>
  </r>
  <r>
    <x v="1"/>
    <n v="5"/>
    <x v="4"/>
    <n v="0.78"/>
    <n v="0.78"/>
    <n v="0.43"/>
    <n v="0.69"/>
    <n v="0.44"/>
    <n v="0.57999999999999996"/>
    <n v="0.56000000000000005"/>
    <n v="3325"/>
    <n v="1835"/>
    <n v="2650"/>
    <n v="3460"/>
    <n v="3273"/>
    <n v="16850"/>
    <n v="4"/>
    <n v="9"/>
    <n v="10"/>
    <n v="5"/>
    <n v="7"/>
    <n v="31"/>
    <n v="25"/>
  </r>
  <r>
    <x v="1"/>
    <n v="6"/>
    <x v="5"/>
    <n v="0.27"/>
    <n v="0.68"/>
    <n v="0.3"/>
    <n v="0.64"/>
    <n v="0.61"/>
    <n v="0.34"/>
    <n v="0.85"/>
    <n v="2379"/>
    <n v="2077"/>
    <n v="3644"/>
    <n v="4441"/>
    <n v="3069"/>
    <n v="19210"/>
    <n v="5"/>
    <n v="7"/>
    <n v="10"/>
    <n v="7"/>
    <n v="6"/>
    <n v="30"/>
    <n v="26"/>
  </r>
  <r>
    <x v="1"/>
    <n v="7"/>
    <x v="6"/>
    <n v="0.52"/>
    <n v="0.57999999999999996"/>
    <n v="0.21"/>
    <n v="0.54"/>
    <n v="0.85"/>
    <n v="0.84"/>
    <n v="0.32"/>
    <n v="1765"/>
    <n v="2679"/>
    <n v="4261"/>
    <n v="4434"/>
    <n v="2956"/>
    <n v="20890"/>
    <n v="6"/>
    <n v="5"/>
    <n v="9"/>
    <n v="8"/>
    <n v="4"/>
    <n v="31"/>
    <n v="27"/>
  </r>
  <r>
    <x v="1"/>
    <n v="8"/>
    <x v="7"/>
    <n v="0.19"/>
    <n v="0.48"/>
    <n v="0.51"/>
    <n v="0.85"/>
    <n v="0.62"/>
    <n v="0.56999999999999995"/>
    <n v="0.24"/>
    <n v="1718"/>
    <n v="3466"/>
    <n v="4298"/>
    <n v="3677"/>
    <n v="2666"/>
    <n v="37080"/>
    <n v="4"/>
    <n v="4"/>
    <n v="10"/>
    <n v="6"/>
    <n v="5"/>
    <n v="31"/>
    <n v="28"/>
  </r>
  <r>
    <x v="1"/>
    <n v="9"/>
    <x v="8"/>
    <n v="0.33"/>
    <n v="0.38"/>
    <n v="0.68"/>
    <n v="0.52"/>
    <n v="0.7"/>
    <n v="0.38"/>
    <n v="0.55000000000000004"/>
    <n v="2174"/>
    <n v="4223"/>
    <n v="4580"/>
    <n v="3028"/>
    <n v="1822"/>
    <n v="30520"/>
    <n v="5"/>
    <n v="5"/>
    <n v="9"/>
    <n v="5"/>
    <n v="6"/>
    <n v="30"/>
    <n v="29"/>
  </r>
  <r>
    <x v="1"/>
    <n v="10"/>
    <x v="9"/>
    <n v="0.24"/>
    <n v="0.28000000000000003"/>
    <n v="0.64"/>
    <n v="0.61"/>
    <n v="0.59"/>
    <n v="0.15"/>
    <n v="0.2"/>
    <n v="2458"/>
    <n v="4715"/>
    <n v="4320"/>
    <n v="2144"/>
    <n v="1574"/>
    <n v="45520"/>
    <n v="6"/>
    <n v="6"/>
    <n v="8"/>
    <n v="7"/>
    <n v="7"/>
    <n v="31"/>
    <n v="33"/>
  </r>
  <r>
    <x v="1"/>
    <n v="11"/>
    <x v="10"/>
    <n v="0.26"/>
    <n v="0.18"/>
    <n v="0.26"/>
    <n v="0.25"/>
    <n v="0.15"/>
    <n v="0.76"/>
    <n v="0.63"/>
    <n v="2944"/>
    <n v="4729"/>
    <n v="3779"/>
    <n v="1542"/>
    <n v="1665"/>
    <n v="34050"/>
    <n v="2"/>
    <n v="3"/>
    <n v="5"/>
    <n v="8"/>
    <n v="8"/>
    <n v="30"/>
    <n v="45"/>
  </r>
  <r>
    <x v="1"/>
    <n v="12"/>
    <x v="11"/>
    <n v="0.14000000000000001"/>
    <n v="0.08"/>
    <n v="0.15"/>
    <n v="0.23"/>
    <n v="0.79"/>
    <n v="0.85"/>
    <n v="0.78"/>
    <n v="3277"/>
    <n v="4402"/>
    <n v="3252"/>
    <n v="1375"/>
    <n v="2100"/>
    <n v="46800"/>
    <n v="4"/>
    <n v="7"/>
    <n v="7"/>
    <n v="9"/>
    <n v="9"/>
    <n v="31"/>
    <n v="48"/>
  </r>
  <r>
    <x v="2"/>
    <n v="1"/>
    <x v="0"/>
    <n v="0.92"/>
    <n v="1"/>
    <n v="0.38"/>
    <n v="0.49"/>
    <n v="0.55000000000000004"/>
    <n v="0.46"/>
    <n v="0.19"/>
    <n v="3170"/>
    <n v="3611"/>
    <n v="3111"/>
    <n v="1729"/>
    <n v="2782"/>
    <n v="22810"/>
    <n v="8"/>
    <n v="4"/>
    <n v="6"/>
    <n v="4"/>
    <n v="3"/>
    <n v="31"/>
    <n v="19"/>
  </r>
  <r>
    <x v="2"/>
    <n v="2"/>
    <x v="1"/>
    <n v="0.72"/>
    <n v="0.97"/>
    <n v="0.54"/>
    <n v="0.24"/>
    <n v="0.76"/>
    <n v="0.44"/>
    <n v="0.81"/>
    <n v="2660"/>
    <n v="2649"/>
    <n v="3559"/>
    <n v="2522"/>
    <n v="3495"/>
    <n v="17240"/>
    <n v="9"/>
    <n v="5"/>
    <n v="7"/>
    <n v="5"/>
    <n v="4"/>
    <n v="29"/>
    <n v="23"/>
  </r>
  <r>
    <x v="2"/>
    <n v="3"/>
    <x v="2"/>
    <n v="0.82"/>
    <n v="0.87"/>
    <n v="0.38"/>
    <n v="0.28999999999999998"/>
    <n v="0.69"/>
    <n v="0.43"/>
    <n v="0.15"/>
    <n v="2106"/>
    <n v="2026"/>
    <n v="4225"/>
    <n v="3364"/>
    <n v="3930"/>
    <n v="18870"/>
    <n v="9"/>
    <n v="6"/>
    <n v="6"/>
    <n v="6"/>
    <n v="3"/>
    <n v="31"/>
    <n v="31"/>
  </r>
  <r>
    <x v="2"/>
    <n v="4"/>
    <x v="3"/>
    <n v="0.56999999999999995"/>
    <n v="0.82"/>
    <n v="0.4"/>
    <n v="0.24"/>
    <n v="0.5"/>
    <n v="0.31"/>
    <n v="0.85"/>
    <n v="1802"/>
    <n v="2088"/>
    <n v="4520"/>
    <n v="3979"/>
    <n v="3857"/>
    <n v="21500"/>
    <n v="4"/>
    <n v="7"/>
    <n v="8"/>
    <n v="5"/>
    <n v="5"/>
    <n v="30"/>
    <n v="35"/>
  </r>
  <r>
    <x v="2"/>
    <n v="5"/>
    <x v="4"/>
    <n v="0.77"/>
    <n v="0.77"/>
    <n v="0.85"/>
    <n v="0.85"/>
    <n v="0.64"/>
    <n v="0.82"/>
    <n v="0.4"/>
    <n v="1941"/>
    <n v="2663"/>
    <n v="4290"/>
    <n v="4086"/>
    <n v="3389"/>
    <n v="25230"/>
    <n v="3"/>
    <n v="8"/>
    <n v="9"/>
    <n v="4"/>
    <n v="6"/>
    <n v="31"/>
    <n v="37"/>
  </r>
  <r>
    <x v="2"/>
    <n v="6"/>
    <x v="5"/>
    <n v="0.53"/>
    <n v="0.67"/>
    <n v="0.16"/>
    <n v="0.38"/>
    <n v="0.61"/>
    <n v="0.67"/>
    <n v="0.62"/>
    <n v="2453"/>
    <n v="3179"/>
    <n v="3638"/>
    <n v="3587"/>
    <n v="2712"/>
    <n v="46090"/>
    <n v="4"/>
    <n v="6"/>
    <n v="9"/>
    <n v="6"/>
    <n v="5"/>
    <n v="30"/>
    <n v="41"/>
  </r>
  <r>
    <x v="2"/>
    <n v="7"/>
    <x v="6"/>
    <n v="0.68"/>
    <n v="0.56999999999999995"/>
    <n v="0.39"/>
    <n v="0.62"/>
    <n v="0.64"/>
    <n v="0.84"/>
    <n v="0.63"/>
    <n v="3045"/>
    <n v="3312"/>
    <n v="2829"/>
    <n v="2696"/>
    <n v="2127"/>
    <n v="34560"/>
    <n v="5"/>
    <n v="4"/>
    <n v="8"/>
    <n v="7"/>
    <n v="3"/>
    <n v="31"/>
    <n v="45"/>
  </r>
  <r>
    <x v="2"/>
    <n v="8"/>
    <x v="7"/>
    <n v="0.37"/>
    <n v="0.47"/>
    <n v="0.16"/>
    <n v="0.69"/>
    <n v="0.57999999999999996"/>
    <n v="0.55000000000000004"/>
    <n v="0.67"/>
    <n v="3546"/>
    <n v="3016"/>
    <n v="2222"/>
    <n v="2073"/>
    <n v="1932"/>
    <n v="29850"/>
    <n v="3"/>
    <n v="3"/>
    <n v="9"/>
    <n v="5"/>
    <n v="4"/>
    <n v="31"/>
    <n v="48"/>
  </r>
  <r>
    <x v="2"/>
    <n v="9"/>
    <x v="8"/>
    <n v="0.42"/>
    <n v="0.37"/>
    <n v="0.56000000000000005"/>
    <n v="0.61"/>
    <n v="0.27"/>
    <n v="0.78"/>
    <n v="0.42"/>
    <n v="3734"/>
    <n v="2708"/>
    <n v="1953"/>
    <n v="1971"/>
    <n v="2189"/>
    <n v="35820"/>
    <n v="4"/>
    <n v="4"/>
    <n v="8"/>
    <n v="4"/>
    <n v="5"/>
    <n v="30"/>
    <n v="50"/>
  </r>
  <r>
    <x v="2"/>
    <n v="10"/>
    <x v="9"/>
    <n v="0.28000000000000003"/>
    <n v="0.27"/>
    <n v="0.38"/>
    <n v="0.85"/>
    <n v="0.16"/>
    <n v="0.28999999999999998"/>
    <n v="0.85"/>
    <n v="3434"/>
    <n v="2655"/>
    <n v="2026"/>
    <n v="2383"/>
    <n v="2736"/>
    <n v="44830"/>
    <n v="5"/>
    <n v="5"/>
    <n v="7"/>
    <n v="6"/>
    <n v="6"/>
    <n v="31"/>
    <n v="52"/>
  </r>
  <r>
    <x v="2"/>
    <n v="11"/>
    <x v="10"/>
    <n v="0.18"/>
    <n v="0.17"/>
    <n v="0.33"/>
    <n v="0.27"/>
    <n v="0.77"/>
    <n v="0.83"/>
    <n v="0.15"/>
    <n v="2864"/>
    <n v="2900"/>
    <n v="2408"/>
    <n v="3092"/>
    <n v="3327"/>
    <n v="36570"/>
    <n v="4"/>
    <n v="4"/>
    <n v="9"/>
    <n v="7"/>
    <n v="7"/>
    <n v="30"/>
    <n v="64"/>
  </r>
  <r>
    <x v="2"/>
    <n v="12"/>
    <x v="11"/>
    <n v="0.23"/>
    <n v="7.0000000000000007E-2"/>
    <n v="0.71"/>
    <n v="0.81"/>
    <n v="0.61"/>
    <n v="0.36"/>
    <n v="0.68"/>
    <n v="2353"/>
    <n v="3140"/>
    <n v="2965"/>
    <n v="3730"/>
    <n v="3590"/>
    <n v="44210"/>
    <n v="3"/>
    <n v="6"/>
    <n v="6"/>
    <n v="8"/>
    <n v="8"/>
    <n v="31"/>
    <n v="65"/>
  </r>
</pivotCacheRecords>
</file>

<file path=xl/pivotCache/pivotCacheRecords5.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
  <r>
    <x v="0"/>
    <n v="100"/>
    <n v="40"/>
    <n v="15"/>
    <n v="20"/>
    <n v="10"/>
    <n v="15"/>
    <n v="50"/>
    <n v="100"/>
    <n v="10"/>
    <n v="20"/>
    <n v="225"/>
    <n v="150"/>
    <n v="75"/>
    <x v="0"/>
    <n v="1"/>
  </r>
  <r>
    <x v="1"/>
    <n v="35"/>
    <n v="15"/>
    <n v="5"/>
    <n v="5"/>
    <n v="5"/>
    <n v="5"/>
    <n v="50"/>
    <n v="50"/>
    <n v="2"/>
    <n v="10"/>
    <n v="45"/>
    <n v="60"/>
    <n v="15"/>
    <x v="0"/>
    <n v="2"/>
  </r>
  <r>
    <x v="2"/>
    <n v="115"/>
    <n v="30"/>
    <n v="10"/>
    <n v="25"/>
    <n v="25"/>
    <n v="25"/>
    <n v="100"/>
    <n v="50"/>
    <n v="5"/>
    <n v="100"/>
    <n v="225"/>
    <n v="150"/>
    <n v="75"/>
    <x v="0"/>
    <n v="3"/>
  </r>
  <r>
    <x v="3"/>
    <n v="82"/>
    <n v="25"/>
    <n v="10"/>
    <n v="15"/>
    <n v="15"/>
    <n v="17"/>
    <n v="50"/>
    <n v="320"/>
    <n v="5"/>
    <n v="10"/>
    <n v="225"/>
    <n v="150"/>
    <n v="75"/>
    <x v="0"/>
    <n v="4"/>
  </r>
  <r>
    <x v="4"/>
    <n v="155"/>
    <n v="50"/>
    <n v="25"/>
    <n v="30"/>
    <n v="30"/>
    <n v="20"/>
    <n v="100"/>
    <n v="100"/>
    <n v="20"/>
    <n v="20"/>
    <n v="525"/>
    <n v="300"/>
    <n v="150"/>
    <x v="0"/>
    <n v="5"/>
  </r>
  <r>
    <x v="5"/>
    <n v="100"/>
    <n v="30"/>
    <n v="10"/>
    <n v="20"/>
    <n v="20"/>
    <n v="20"/>
    <n v="50"/>
    <n v="100"/>
    <n v="10"/>
    <n v="20"/>
    <n v="225"/>
    <n v="150"/>
    <n v="75"/>
    <x v="0"/>
    <n v="6"/>
  </r>
  <r>
    <x v="6"/>
    <n v="120"/>
    <n v="40"/>
    <n v="20"/>
    <n v="25"/>
    <n v="25"/>
    <n v="10"/>
    <n v="50"/>
    <n v="100"/>
    <n v="10"/>
    <n v="20"/>
    <n v="225"/>
    <n v="150"/>
    <n v="75"/>
    <x v="0"/>
    <n v="7"/>
  </r>
  <r>
    <x v="0"/>
    <n v="35.5"/>
    <n v="15.6"/>
    <n v="5.2"/>
    <n v="4.8"/>
    <n v="4.5999999999999996"/>
    <n v="5.3"/>
    <n v="48.7"/>
    <n v="51.5"/>
    <n v="1.8"/>
    <n v="9.6999999999999993"/>
    <n v="44.400000000000006"/>
    <n v="62.699999999999996"/>
    <n v="15.899999999999999"/>
    <x v="1"/>
    <n v="1"/>
  </r>
  <r>
    <x v="1"/>
    <n v="116"/>
    <n v="29.8"/>
    <n v="9.4"/>
    <n v="24.1"/>
    <n v="26.2"/>
    <n v="26.5"/>
    <n v="100.9"/>
    <n v="49.3"/>
    <n v="4.7"/>
    <n v="98.7"/>
    <n v="227.70000000000002"/>
    <n v="146.39999999999998"/>
    <n v="72.300000000000011"/>
    <x v="1"/>
    <n v="2"/>
  </r>
  <r>
    <x v="2"/>
    <n v="82.799999999999983"/>
    <n v="24.5"/>
    <n v="10.4"/>
    <n v="14.7"/>
    <n v="15.6"/>
    <n v="17.600000000000001"/>
    <n v="51.3"/>
    <n v="321.39999999999998"/>
    <n v="4.9000000000000004"/>
    <n v="10.5"/>
    <n v="227.39999999999998"/>
    <n v="148.5"/>
    <n v="77.400000000000006"/>
    <x v="1"/>
    <n v="3"/>
  </r>
  <r>
    <x v="3"/>
    <n v="155.4"/>
    <n v="49.8"/>
    <n v="25.6"/>
    <n v="29.3"/>
    <n v="31.2"/>
    <n v="19.5"/>
    <n v="99.4"/>
    <n v="98.7"/>
    <n v="20.3"/>
    <n v="20.5"/>
    <n v="528.29999999999995"/>
    <n v="304.5"/>
    <n v="152.39999999999998"/>
    <x v="1"/>
    <n v="4"/>
  </r>
  <r>
    <x v="4"/>
    <n v="100.60000000000001"/>
    <n v="30.6"/>
    <n v="9.8000000000000007"/>
    <n v="20.399999999999999"/>
    <n v="19.5"/>
    <n v="20.3"/>
    <n v="51.1"/>
    <n v="102.3"/>
    <n v="9.5"/>
    <n v="20.399999999999999"/>
    <n v="224.39999999999998"/>
    <n v="152.10000000000002"/>
    <n v="73.5"/>
    <x v="1"/>
    <n v="5"/>
  </r>
  <r>
    <x v="5"/>
    <n v="120.6"/>
    <n v="39.799999999999997"/>
    <n v="20.399999999999999"/>
    <n v="24.6"/>
    <n v="25.3"/>
    <n v="10.5"/>
    <n v="51.2"/>
    <n v="100.7"/>
    <n v="9.9"/>
    <n v="20.3"/>
    <n v="225.89999999999998"/>
    <n v="151.80000000000001"/>
    <n v="75.599999999999994"/>
    <x v="1"/>
    <n v="6"/>
  </r>
  <r>
    <x v="6"/>
    <n v="100.50000000000001"/>
    <n v="40.5"/>
    <n v="14.8"/>
    <n v="20.100000000000001"/>
    <n v="9.6999999999999993"/>
    <n v="15.4"/>
    <n v="49.6"/>
    <n v="98.5"/>
    <n v="10.4"/>
    <n v="19.600000000000001"/>
    <n v="223.5"/>
    <n v="148.80000000000001"/>
    <n v="74.099999999999994"/>
    <x v="1"/>
    <n v="7"/>
  </r>
  <r>
    <x v="0"/>
    <n v="91.299999999999983"/>
    <n v="30.4"/>
    <n v="5.4"/>
    <n v="19.8"/>
    <n v="15.3"/>
    <n v="20.399999999999999"/>
    <n v="51.2"/>
    <n v="100.2"/>
    <n v="9.8000000000000007"/>
    <n v="19.7"/>
    <n v="225.89999999999998"/>
    <n v="298.5"/>
    <n v="14.100000000000001"/>
    <x v="2"/>
    <n v="1"/>
  </r>
  <r>
    <x v="1"/>
    <n v="86.100000000000009"/>
    <n v="25.6"/>
    <n v="10.3"/>
    <n v="25.3"/>
    <n v="10.199999999999999"/>
    <n v="14.7"/>
    <n v="49.8"/>
    <n v="318.5"/>
    <n v="10.3"/>
    <n v="20.3"/>
    <n v="527.40000000000009"/>
    <n v="151.19999999999999"/>
    <n v="149.39999999999998"/>
    <x v="2"/>
    <n v="2"/>
  </r>
  <r>
    <x v="2"/>
    <n v="94.4"/>
    <n v="14.7"/>
    <n v="9.6999999999999993"/>
    <n v="25.4"/>
    <n v="20.100000000000001"/>
    <n v="24.5"/>
    <n v="101.2"/>
    <n v="101.5"/>
    <n v="5.3"/>
    <n v="20.100000000000001"/>
    <n v="225.29999999999998"/>
    <n v="151.19999999999999"/>
    <n v="75.300000000000011"/>
    <x v="2"/>
    <n v="3"/>
  </r>
  <r>
    <x v="3"/>
    <n v="112.00000000000001"/>
    <n v="39.700000000000003"/>
    <n v="10.1"/>
    <n v="20.5"/>
    <n v="24.9"/>
    <n v="16.8"/>
    <n v="98.9"/>
    <n v="101.1"/>
    <n v="9.6999999999999993"/>
    <n v="9.8000000000000007"/>
    <n v="45.599999999999994"/>
    <n v="58.800000000000004"/>
    <n v="75.300000000000011"/>
    <x v="2"/>
    <n v="4"/>
  </r>
  <r>
    <x v="4"/>
    <n v="94.5"/>
    <n v="29.7"/>
    <n v="15.3"/>
    <n v="14.9"/>
    <n v="29.5"/>
    <n v="5.0999999999999996"/>
    <n v="49.6"/>
    <n v="99.8"/>
    <n v="19.8"/>
    <n v="9.8000000000000007"/>
    <n v="224.70000000000002"/>
    <n v="149.10000000000002"/>
    <n v="74.699999999999989"/>
    <x v="2"/>
    <n v="5"/>
  </r>
  <r>
    <x v="5"/>
    <n v="95"/>
    <n v="50.3"/>
    <n v="24.7"/>
    <n v="4.9000000000000004"/>
    <n v="4.8"/>
    <n v="10.3"/>
    <n v="50.5"/>
    <n v="49.5"/>
    <n v="5.2"/>
    <n v="20.2"/>
    <n v="224.39999999999998"/>
    <n v="152.39999999999998"/>
    <n v="74.400000000000006"/>
    <x v="2"/>
    <n v="6"/>
  </r>
  <r>
    <x v="6"/>
    <n v="135.1"/>
    <n v="40.200000000000003"/>
    <n v="19.8"/>
    <n v="29.8"/>
    <n v="24.8"/>
    <n v="20.5"/>
    <n v="49.5"/>
    <n v="51.1"/>
    <n v="2.1"/>
    <n v="101.5"/>
    <n v="226.79999999999998"/>
    <n v="150.60000000000002"/>
    <n v="75.900000000000006"/>
    <x v="2"/>
    <n v="7"/>
  </r>
  <r>
    <x v="0"/>
    <n v="155.4"/>
    <n v="49.8"/>
    <n v="25.6"/>
    <n v="29.3"/>
    <n v="31.2"/>
    <n v="19.5"/>
    <n v="99.4"/>
    <n v="98.7"/>
    <n v="20.3"/>
    <n v="20.5"/>
    <n v="528.29999999999995"/>
    <n v="304.5"/>
    <n v="152.39999999999998"/>
    <x v="3"/>
    <n v="1"/>
  </r>
  <r>
    <x v="1"/>
    <n v="100.60000000000001"/>
    <n v="30.6"/>
    <n v="9.8000000000000007"/>
    <n v="20.399999999999999"/>
    <n v="19.5"/>
    <n v="20.3"/>
    <n v="51.1"/>
    <n v="102.3"/>
    <n v="9.5"/>
    <n v="20.399999999999999"/>
    <n v="224.39999999999998"/>
    <n v="152.10000000000002"/>
    <n v="73.5"/>
    <x v="3"/>
    <n v="2"/>
  </r>
  <r>
    <x v="2"/>
    <n v="120.6"/>
    <n v="39.799999999999997"/>
    <n v="20.399999999999999"/>
    <n v="24.6"/>
    <n v="25.3"/>
    <n v="10.5"/>
    <n v="51.2"/>
    <n v="100.7"/>
    <n v="9.9"/>
    <n v="20.3"/>
    <n v="225.89999999999998"/>
    <n v="151.80000000000001"/>
    <n v="75.599999999999994"/>
    <x v="3"/>
    <n v="3"/>
  </r>
  <r>
    <x v="3"/>
    <n v="100.50000000000001"/>
    <n v="40.5"/>
    <n v="14.8"/>
    <n v="20.100000000000001"/>
    <n v="9.6999999999999993"/>
    <n v="15.4"/>
    <n v="49.6"/>
    <n v="98.5"/>
    <n v="10.4"/>
    <n v="19.600000000000001"/>
    <n v="223.5"/>
    <n v="148.80000000000001"/>
    <n v="74.099999999999994"/>
    <x v="3"/>
    <n v="4"/>
  </r>
  <r>
    <x v="4"/>
    <n v="34.9"/>
    <n v="14.7"/>
    <n v="5.4"/>
    <n v="4.9000000000000004"/>
    <n v="4.8"/>
    <n v="5.0999999999999996"/>
    <n v="51.2"/>
    <n v="51.1"/>
    <n v="2.1"/>
    <n v="9.8000000000000007"/>
    <n v="45.599999999999994"/>
    <n v="58.800000000000004"/>
    <n v="14.100000000000001"/>
    <x v="3"/>
    <n v="5"/>
  </r>
  <r>
    <x v="5"/>
    <n v="114.69999999999999"/>
    <n v="30.4"/>
    <n v="9.6999999999999993"/>
    <n v="25.3"/>
    <n v="24.8"/>
    <n v="24.5"/>
    <n v="98.9"/>
    <n v="49.5"/>
    <n v="5.3"/>
    <n v="101.5"/>
    <n v="226.79999999999998"/>
    <n v="151.19999999999999"/>
    <n v="75.300000000000011"/>
    <x v="3"/>
    <n v="6"/>
  </r>
  <r>
    <x v="6"/>
    <n v="120"/>
    <n v="40"/>
    <n v="20"/>
    <n v="25"/>
    <n v="25"/>
    <n v="10"/>
    <n v="50"/>
    <n v="100"/>
    <n v="10"/>
    <n v="20"/>
    <n v="225"/>
    <n v="150"/>
    <n v="75"/>
    <x v="3"/>
    <n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5E81670-988A-424C-A515-4E6020E43654}" name="PivotTable4"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16:A118" firstHeaderRow="1" firstDataRow="1" firstDataCol="1"/>
  <pivotFields count="16">
    <pivotField showAll="0">
      <items count="8">
        <item h="1" x="0"/>
        <item h="1" x="1"/>
        <item x="2"/>
        <item h="1" x="3"/>
        <item h="1" x="4"/>
        <item h="1" x="5"/>
        <item h="1" x="6"/>
        <item t="default"/>
      </items>
    </pivotField>
    <pivotField showAll="0"/>
    <pivotField numFmtId="44"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h="1" x="0"/>
        <item h="1" x="1"/>
        <item h="1" x="2"/>
        <item x="3"/>
        <item t="default"/>
      </items>
    </pivotField>
    <pivotField showAll="0"/>
  </pivotFields>
  <rowFields count="1">
    <field x="14"/>
  </rowFields>
  <rowItems count="2">
    <i>
      <x v="3"/>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66CF7C4-167B-45D7-8AAD-681725027F1D}" name="PivotTable1"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O97" firstHeaderRow="0" firstDataRow="1" firstDataCol="1"/>
  <pivotFields count="16">
    <pivotField axis="axisRow" showAll="0">
      <items count="8">
        <item h="1" x="0"/>
        <item h="1" x="1"/>
        <item x="2"/>
        <item h="1" x="3"/>
        <item h="1" x="4"/>
        <item h="1" x="5"/>
        <item h="1" x="6"/>
        <item t="default"/>
      </items>
    </pivotField>
    <pivotField dataField="1" showAll="0"/>
    <pivotField dataField="1" numFmtId="44"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items count="5">
        <item h="1" x="0"/>
        <item h="1" x="1"/>
        <item h="1" x="2"/>
        <item x="3"/>
        <item t="default"/>
      </items>
    </pivotField>
    <pivotField dataField="1" showAll="0"/>
  </pivotFields>
  <rowFields count="1">
    <field x="0"/>
  </rowFields>
  <rowItems count="2">
    <i>
      <x v="2"/>
    </i>
    <i t="grand">
      <x/>
    </i>
  </rowItems>
  <colFields count="1">
    <field x="-2"/>
  </colFields>
  <colItems count="14">
    <i>
      <x/>
    </i>
    <i i="1">
      <x v="1"/>
    </i>
    <i i="2">
      <x v="2"/>
    </i>
    <i i="3">
      <x v="3"/>
    </i>
    <i i="4">
      <x v="4"/>
    </i>
    <i i="5">
      <x v="5"/>
    </i>
    <i i="6">
      <x v="6"/>
    </i>
    <i i="7">
      <x v="7"/>
    </i>
    <i i="8">
      <x v="8"/>
    </i>
    <i i="9">
      <x v="9"/>
    </i>
    <i i="10">
      <x v="10"/>
    </i>
    <i i="11">
      <x v="11"/>
    </i>
    <i i="12">
      <x v="12"/>
    </i>
    <i i="13">
      <x v="13"/>
    </i>
  </colItems>
  <dataFields count="14">
    <dataField name="Max of Week Day Num" fld="15" subtotal="max" baseField="0" baseItem="0"/>
    <dataField name="Sum of Cost" fld="1" baseField="0" baseItem="0"/>
    <dataField name="Sum of Eating" fld="2" baseField="0" baseItem="0" numFmtId="44"/>
    <dataField name="Sum of Fuel" fld="3" baseField="0" baseItem="0"/>
    <dataField name="Sum of Leisure" fld="4" baseField="0" baseItem="0"/>
    <dataField name="Sum of Shopping" fld="5" baseField="0" baseItem="0"/>
    <dataField name="Sum of Hobbies" fld="6" baseField="0" baseItem="0"/>
    <dataField name="Sum of Work" fld="7" baseField="0" baseItem="0"/>
    <dataField name="Sum of Home" fld="8" baseField="0" baseItem="0"/>
    <dataField name="Sum of Body" fld="9" baseField="0" baseItem="0"/>
    <dataField name="Sum of Save" fld="10" baseField="0" baseItem="0"/>
    <dataField name="Sum of Salary" fld="11" baseField="0" baseItem="0"/>
    <dataField name="Sum of Side Job" fld="12" baseField="0" baseItem="0"/>
    <dataField name="Sum of Savings" fld="13"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9A28765-48AA-443C-9DC0-4B93D4B36516}" name="PivotTable2" cacheId="29"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05:B113" firstHeaderRow="1" firstDataRow="1" firstDataCol="1"/>
  <pivotFields count="16">
    <pivotField axis="axisRow" showAll="0">
      <items count="8">
        <item x="0"/>
        <item x="1"/>
        <item x="2"/>
        <item x="3"/>
        <item x="4"/>
        <item x="5"/>
        <item x="6"/>
        <item t="default"/>
      </items>
    </pivotField>
    <pivotField dataField="1" showAll="0"/>
    <pivotField numFmtId="44" showAll="0"/>
    <pivotField showAll="0"/>
    <pivotField showAll="0"/>
    <pivotField showAll="0"/>
    <pivotField showAll="0"/>
    <pivotField showAll="0"/>
    <pivotField showAll="0"/>
    <pivotField showAll="0"/>
    <pivotField showAll="0"/>
    <pivotField showAll="0"/>
    <pivotField showAll="0"/>
    <pivotField showAll="0"/>
    <pivotField showAll="0">
      <items count="5">
        <item h="1" x="0"/>
        <item h="1" x="1"/>
        <item h="1" x="2"/>
        <item x="3"/>
        <item t="default"/>
      </items>
    </pivotField>
    <pivotField showAll="0"/>
  </pivotFields>
  <rowFields count="1">
    <field x="0"/>
  </rowFields>
  <rowItems count="8">
    <i>
      <x/>
    </i>
    <i>
      <x v="1"/>
    </i>
    <i>
      <x v="2"/>
    </i>
    <i>
      <x v="3"/>
    </i>
    <i>
      <x v="4"/>
    </i>
    <i>
      <x v="5"/>
    </i>
    <i>
      <x v="6"/>
    </i>
    <i t="grand">
      <x/>
    </i>
  </rowItems>
  <colItems count="1">
    <i/>
  </colItems>
  <dataFields count="1">
    <dataField name="Sum of Cost"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CB79F95-A271-4072-BBAD-D8FBAFFEAB98}" name="PivotTable2" cacheId="2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95:A97" firstHeaderRow="1" firstDataRow="1" firstDataCol="1"/>
  <pivotFields count="1">
    <pivotField axis="axisRow" showAll="0">
      <items count="5">
        <item h="1" x="0"/>
        <item h="1" x="1"/>
        <item x="2"/>
        <item h="1" x="3"/>
        <item t="default"/>
      </items>
    </pivotField>
  </pivotFields>
  <rowFields count="1">
    <field x="0"/>
  </rowFields>
  <rowItems count="2">
    <i>
      <x v="2"/>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BA6BD50-A5E2-4866-8E4C-B5558596F933}" name="PivotTable1" cacheId="2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8:B91" firstHeaderRow="1" firstDataRow="1" firstDataCol="1"/>
  <pivotFields count="3">
    <pivotField axis="axisRow" showAll="0">
      <items count="6">
        <item x="3"/>
        <item x="1"/>
        <item x="2"/>
        <item x="0"/>
        <item x="4"/>
        <item t="default"/>
      </items>
    </pivotField>
    <pivotField showAll="0">
      <items count="6">
        <item h="1" x="3"/>
        <item x="1"/>
        <item h="1" x="2"/>
        <item h="1" x="0"/>
        <item x="4"/>
        <item t="default"/>
      </items>
    </pivotField>
    <pivotField dataField="1" showAll="0"/>
  </pivotFields>
  <rowFields count="1">
    <field x="0"/>
  </rowFields>
  <rowItems count="3">
    <i>
      <x v="1"/>
    </i>
    <i>
      <x v="4"/>
    </i>
    <i t="grand">
      <x/>
    </i>
  </rowItems>
  <colItems count="1">
    <i/>
  </colItems>
  <dataFields count="1">
    <dataField name="Sum of Costs" fld="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6B5B5947-F55C-4DAD-BDA9-0AE495B6EC3F}"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C88:AD90" firstHeaderRow="1" firstDataRow="1" firstDataCol="1"/>
  <pivotFields count="2">
    <pivotField axis="axisRow" showAll="0">
      <items count="13">
        <item h="1" x="0"/>
        <item h="1" x="1"/>
        <item h="1" x="2"/>
        <item h="1" x="3"/>
        <item h="1" x="4"/>
        <item h="1" x="5"/>
        <item h="1" x="6"/>
        <item h="1" x="7"/>
        <item x="8"/>
        <item h="1" x="9"/>
        <item h="1" x="10"/>
        <item h="1" x="11"/>
        <item t="default"/>
      </items>
    </pivotField>
    <pivotField dataField="1" showAll="0"/>
  </pivotFields>
  <rowFields count="1">
    <field x="0"/>
  </rowFields>
  <rowItems count="2">
    <i>
      <x v="8"/>
    </i>
    <i t="grand">
      <x/>
    </i>
  </rowItems>
  <colItems count="1">
    <i/>
  </colItems>
  <dataFields count="1">
    <dataField name="Max of Num" fld="1" subtotal="max"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144DAE34-15CA-424A-84FD-223580725245}" name="PivotTable3"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5:A37" firstHeaderRow="1" firstDataRow="1" firstDataCol="1"/>
  <pivotFields count="23">
    <pivotField axis="axisRow" showAll="0">
      <items count="4">
        <item x="0"/>
        <item h="1" x="1"/>
        <item h="1" x="2"/>
        <item t="default"/>
      </items>
    </pivotField>
    <pivotField showAll="0"/>
    <pivotField showAll="0"/>
    <pivotField numFmtId="9" showAll="0"/>
    <pivotField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0"/>
  </rowFields>
  <rowItems count="2">
    <i>
      <x/>
    </i>
    <i t="grand">
      <x/>
    </i>
  </rowItems>
  <colItems count="1">
    <i/>
  </colItem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3EB3DCD-B050-4DFF-A3E4-E16C4CFA216B}" name="PivotTable1"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T5" firstHeaderRow="0" firstDataRow="1" firstDataCol="1"/>
  <pivotFields count="23">
    <pivotField showAll="0">
      <items count="4">
        <item x="0"/>
        <item h="1" x="1"/>
        <item h="1" x="2"/>
        <item t="default"/>
      </items>
    </pivotField>
    <pivotField dataField="1" showAll="0"/>
    <pivotField axis="axisRow" showAll="0">
      <items count="13">
        <item h="1" x="0"/>
        <item h="1" x="1"/>
        <item h="1" x="2"/>
        <item h="1" x="3"/>
        <item h="1" x="4"/>
        <item h="1" x="5"/>
        <item h="1" x="6"/>
        <item h="1" x="7"/>
        <item x="8"/>
        <item h="1" x="9"/>
        <item h="1" x="10"/>
        <item h="1" x="11"/>
        <item t="default"/>
      </items>
    </pivotField>
    <pivotField dataField="1" numFmtId="9" showAll="0"/>
    <pivotField dataField="1" numFmtId="9" showAll="0"/>
    <pivotField dataField="1" numFmtId="9" showAll="0"/>
    <pivotField dataField="1" numFmtId="9" showAll="0"/>
    <pivotField dataField="1" numFmtId="9" showAll="0"/>
    <pivotField dataField="1" numFmtId="9" showAll="0"/>
    <pivotField dataField="1" numFmtId="9"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s>
  <rowFields count="1">
    <field x="2"/>
  </rowFields>
  <rowItems count="2">
    <i>
      <x v="8"/>
    </i>
    <i t="grand">
      <x/>
    </i>
  </rowItems>
  <colFields count="1">
    <field x="-2"/>
  </colFields>
  <colItems count="19">
    <i>
      <x/>
    </i>
    <i i="1">
      <x v="1"/>
    </i>
    <i i="2">
      <x v="2"/>
    </i>
    <i i="3">
      <x v="3"/>
    </i>
    <i i="4">
      <x v="4"/>
    </i>
    <i i="5">
      <x v="5"/>
    </i>
    <i i="6">
      <x v="6"/>
    </i>
    <i i="7">
      <x v="7"/>
    </i>
    <i i="8">
      <x v="8"/>
    </i>
    <i i="9">
      <x v="9"/>
    </i>
    <i i="10">
      <x v="10"/>
    </i>
    <i i="11">
      <x v="11"/>
    </i>
    <i i="12">
      <x v="12"/>
    </i>
    <i i="13">
      <x v="13"/>
    </i>
    <i i="14">
      <x v="14"/>
    </i>
    <i i="15">
      <x v="15"/>
    </i>
    <i i="16">
      <x v="16"/>
    </i>
    <i i="17">
      <x v="17"/>
    </i>
    <i i="18">
      <x v="18"/>
    </i>
  </colItems>
  <dataFields count="19">
    <dataField name="Max of Num Month" fld="1" subtotal="max" baseField="2" baseItem="0"/>
    <dataField name="Average of Actual" fld="3" subtotal="average" baseField="1" baseItem="0" numFmtId="9"/>
    <dataField name="Average of Target" fld="4" subtotal="average" baseField="1" baseItem="0" numFmtId="9"/>
    <dataField name="Sum of Cost" fld="15" baseField="0" baseItem="0"/>
    <dataField name="Average of R1" fld="5" subtotal="average" baseField="1" baseItem="0" numFmtId="9"/>
    <dataField name="Average of R2" fld="6" subtotal="average" baseField="1" baseItem="0" numFmtId="9"/>
    <dataField name="Average of R3" fld="7" subtotal="average" baseField="1" baseItem="0" numFmtId="9"/>
    <dataField name="Average of R4" fld="8" subtotal="average" baseField="1" baseItem="0" numFmtId="9"/>
    <dataField name="Average of R5" fld="9" subtotal="average" baseField="1" baseItem="0" numFmtId="9"/>
    <dataField name="Average of Team P" fld="16" subtotal="average" baseField="1" baseItem="0"/>
    <dataField name="Average of Team D" fld="17" subtotal="average" baseField="1" baseItem="0"/>
    <dataField name="Sum of Team С" fld="18" baseField="0" baseItem="0"/>
    <dataField name="Average of Team T" fld="19" subtotal="average" baseField="1" baseItem="0"/>
    <dataField name="Average of Team R" fld="20" subtotal="average" baseField="1" baseItem="0"/>
    <dataField name="Sum of Planning" fld="10" baseField="0" baseItem="0"/>
    <dataField name="Sum of Design" fld="11" baseField="0" baseItem="0"/>
    <dataField name="Sum of Coding" fld="12" baseField="0" baseItem="0"/>
    <dataField name="Sum of Testing" fld="13" baseField="0" baseItem="0"/>
    <dataField name="Sum of Release" fld="14"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EA6419D2-822D-42C4-92AB-C7C7FA0C702F}" name="PivotTable2" cacheId="2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0:F33" firstHeaderRow="0" firstDataRow="1" firstDataCol="1"/>
  <pivotFields count="23">
    <pivotField showAll="0">
      <items count="4">
        <item x="0"/>
        <item h="1" x="1"/>
        <item h="1" x="2"/>
        <item t="default"/>
      </items>
    </pivotField>
    <pivotField showAll="0"/>
    <pivotField axis="axisRow" showAll="0">
      <items count="13">
        <item x="0"/>
        <item x="1"/>
        <item x="2"/>
        <item x="3"/>
        <item x="4"/>
        <item x="5"/>
        <item x="6"/>
        <item x="7"/>
        <item x="8"/>
        <item x="9"/>
        <item x="10"/>
        <item x="11"/>
        <item t="default"/>
      </items>
    </pivotField>
    <pivotField dataField="1" numFmtId="9" showAll="0"/>
    <pivotField dataField="1" numFmtId="9" showAll="0"/>
    <pivotField numFmtId="9" showAll="0"/>
    <pivotField numFmtId="9" showAll="0"/>
    <pivotField numFmtId="9" showAll="0"/>
    <pivotField numFmtId="9" showAll="0"/>
    <pivotField numFmtId="9" showAll="0"/>
    <pivotField showAll="0"/>
    <pivotField showAll="0"/>
    <pivotField showAll="0"/>
    <pivotField showAll="0"/>
    <pivotField showAll="0"/>
    <pivotField dataField="1" showAll="0"/>
    <pivotField showAll="0"/>
    <pivotField showAll="0"/>
    <pivotField showAll="0"/>
    <pivotField showAll="0"/>
    <pivotField showAll="0"/>
    <pivotField dataField="1" showAll="0"/>
    <pivotField dataField="1" showAll="0"/>
  </pivotFields>
  <rowFields count="1">
    <field x="2"/>
  </rowFields>
  <rowItems count="13">
    <i>
      <x/>
    </i>
    <i>
      <x v="1"/>
    </i>
    <i>
      <x v="2"/>
    </i>
    <i>
      <x v="3"/>
    </i>
    <i>
      <x v="4"/>
    </i>
    <i>
      <x v="5"/>
    </i>
    <i>
      <x v="6"/>
    </i>
    <i>
      <x v="7"/>
    </i>
    <i>
      <x v="8"/>
    </i>
    <i>
      <x v="9"/>
    </i>
    <i>
      <x v="10"/>
    </i>
    <i>
      <x v="11"/>
    </i>
    <i t="grand">
      <x/>
    </i>
  </rowItems>
  <colFields count="1">
    <field x="-2"/>
  </colFields>
  <colItems count="5">
    <i>
      <x/>
    </i>
    <i i="1">
      <x v="1"/>
    </i>
    <i i="2">
      <x v="2"/>
    </i>
    <i i="3">
      <x v="3"/>
    </i>
    <i i="4">
      <x v="4"/>
    </i>
  </colItems>
  <dataFields count="5">
    <dataField name="Average of Actual" fld="3" subtotal="average" baseField="1" baseItem="0" numFmtId="9"/>
    <dataField name="Average of Target" fld="4" subtotal="average" baseField="1" baseItem="0" numFmtId="9"/>
    <dataField name="Sum of Cost" fld="15" baseField="0" baseItem="0"/>
    <dataField name="Sum of Days" fld="21" baseField="0" baseItem="0"/>
    <dataField name="Sum of Tasks"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037C7AA4-9DDD-411F-8A15-AA346690F0DA}" sourceName="Year">
  <pivotTables>
    <pivotTable tabId="5" name="PivotTable1"/>
    <pivotTable tabId="5" name="PivotTable2"/>
    <pivotTable tabId="5" name="PivotTable3"/>
  </pivotTables>
  <data>
    <tabular pivotCacheId="1194888024">
      <items count="3">
        <i x="0" s="1"/>
        <i x="1"/>
        <i x="2"/>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442F83EF-1DAE-4AB3-8E84-DE96938561FA}" sourceName="Month">
  <pivotTables>
    <pivotTable tabId="5" name="PivotTable1"/>
  </pivotTables>
  <data>
    <tabular pivotCacheId="1194888024">
      <items count="12">
        <i x="0"/>
        <i x="1"/>
        <i x="2"/>
        <i x="3"/>
        <i x="4"/>
        <i x="5"/>
        <i x="6"/>
        <i x="7"/>
        <i x="8" s="1"/>
        <i x="9"/>
        <i x="10"/>
        <i x="1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Day1" xr10:uid="{E16A01F5-C2E1-401F-A602-40D7728107B0}" sourceName="Week Day">
  <pivotTables>
    <pivotTable tabId="9" name="PivotTable4"/>
    <pivotTable tabId="9" name="PivotTable1"/>
  </pivotTables>
  <data>
    <tabular pivotCacheId="936871454">
      <items count="7">
        <i x="0"/>
        <i x="1"/>
        <i x="2" s="1"/>
        <i x="3"/>
        <i x="4"/>
        <i x="5"/>
        <i x="6"/>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ek_Num" xr10:uid="{B9AC0AB1-C01C-4942-9104-373D59AF9F13}" sourceName="Week Num">
  <pivotTables>
    <pivotTable tabId="9" name="PivotTable4"/>
    <pivotTable tabId="9" name="PivotTable1"/>
    <pivotTable tabId="9" name="PivotTable2"/>
  </pivotTables>
  <data>
    <tabular pivotCacheId="936871454">
      <items count="4">
        <i x="0"/>
        <i x="1"/>
        <i x="2"/>
        <i x="3"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ttons" xr10:uid="{3C7C2C17-9AAF-4014-A711-F1D9661E0C76}" sourceName="Buttons">
  <pivotTables>
    <pivotTable tabId="10" name="PivotTable1"/>
  </pivotTables>
  <data>
    <tabular pivotCacheId="323306368">
      <items count="5">
        <i x="3"/>
        <i x="1" s="1"/>
        <i x="2"/>
        <i x="0"/>
        <i x="4"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12E44089-E1A9-48AF-8832-1DFD2C58A1A8}" sourceName="Year">
  <pivotTables>
    <pivotTable tabId="10" name="PivotTable2"/>
  </pivotTables>
  <data>
    <tabular pivotCacheId="1835805682">
      <items count="4">
        <i x="0"/>
        <i x="1"/>
        <i x="2" s="1"/>
        <i x="3"/>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uttons1" xr10:uid="{6210537B-2AF8-4F52-8FBA-1017DA698794}" sourceName="Buttons">
  <pivotTables>
    <pivotTable tabId="11" name="PivotTable1"/>
  </pivotTables>
  <data>
    <tabular pivotCacheId="283303769">
      <items count="12">
        <i x="0"/>
        <i x="1"/>
        <i x="2"/>
        <i x="3"/>
        <i x="4"/>
        <i x="5"/>
        <i x="6"/>
        <i x="7"/>
        <i x="8" s="1"/>
        <i x="9"/>
        <i x="10"/>
        <i x="1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3EAFA8F3-4E8F-4826-BFAF-380112C09375}" cache="Slicer_Year" caption="Year" columnCount="3" showCaption="0" style="SlicerStyleLight1 2 2" rowHeight="247650"/>
  <slicer name="Month" xr10:uid="{3814F539-9935-4002-AA9E-640D53099F14}" cache="Slicer_Month" caption="Month" columnCount="12" showCaption="0" style="SlicerStyleLight1 2 2" rowHeight="2286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AB600B01-868C-48AB-9326-EB908854A9E7}" cache="Slicer_Year" caption="Year" columnCount="3" showCaption="0" style="SlicerStyleLight1 2 2" rowHeight="247650"/>
  <slicer name="Month 1" xr10:uid="{3439C1A9-F9C8-4C29-B292-AE08607DE4D5}" cache="Slicer_Month" caption="Month" columnCount="12" showCaption="0" style="SlicerStyleLight1 2 2" rowHeight="22860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2" xr10:uid="{7B09A907-42AE-4A1C-9519-B3498388185D}" cache="Slicer_Year" caption="Year" columnCount="3" showCaption="0" style="SlicerStyleLight1 2 2" rowHeight="247650"/>
  <slicer name="Month 2" xr10:uid="{C8E4C924-4090-4CEC-B2C0-EC26F4BFBDA1}" cache="Slicer_Month" caption="Month" columnCount="12" showCaption="0" style="SlicerStyleLight1 2 2" rowHeight="22860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3" xr10:uid="{B61C7DAE-632E-4CC5-A1C7-AAE6B72FD808}" cache="Slicer_Year" caption="Year" columnCount="3" showCaption="0" style="SlicerStyleLight1 2 2" rowHeight="247650"/>
  <slicer name="Month 3" xr10:uid="{E2B061C1-BE29-4A91-9651-4B39D8F881C7}" cache="Slicer_Month" caption="Month" columnCount="12" showCaption="0" style="SlicerStyleLight1 2 2" rowHeight="228600"/>
</slicers>
</file>

<file path=xl/slicers/slicer5.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ek Day" xr10:uid="{A8E3BA2A-D75D-4B92-A19D-424C70B96082}" cache="Slicer_Week_Day1" caption="Week Day" columnCount="7" showCaption="0" style="SlicerStyleLight1 2 2 2" rowHeight="247650"/>
  <slicer name="Week Num" xr10:uid="{B92F5000-060B-428B-859B-9C7DF001F0B4}" cache="Slicer_Week_Num" caption="Week Num" columnCount="4" showCaption="0" style="SlicerStyleLight1 2 2 2" rowHeight="247650"/>
</slicers>
</file>

<file path=xl/slicers/slicer6.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4" xr10:uid="{9E89BA35-3A77-4365-A41D-F4A263C9DF3B}" cache="Slicer_Month" caption="Month" columnCount="12" showCaption="0" style="SlicerStyleLight1 2 2 3" rowHeight="228600"/>
  <slicer name="Buttons" xr10:uid="{84805185-D393-426C-A6D6-A949484E74B2}" cache="Slicer_Buttons" caption="Buttons" columnCount="5" showCaption="0" style="SlicerStyleLight1 2 2 3" rowHeight="228600"/>
  <slicer name="Year 4" xr10:uid="{4F7BF910-955F-44AF-9EE6-8BA83D116F47}" cache="Slicer_Year1" caption="Year" columnCount="4" showCaption="0" style="SlicerStyleLight1 2 2 3" rowHeight="228600"/>
</slicers>
</file>

<file path=xl/slicers/slicer7.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uttons 1" xr10:uid="{52F05532-7899-4874-BAC1-AAE69EBAE1D4}" cache="Slicer_Buttons1" caption="Buttons" columnCount="12" showCaption="0" style="SlicerStyleLight1 2 2 4"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1F195B8-F13D-4334-A2AB-1AEC46A69A9E}" name="dataP1" displayName="dataP1" ref="A64:P92" totalsRowShown="0" headerRowDxfId="39">
  <autoFilter ref="A64:P92" xr:uid="{91F195B8-F13D-4334-A2AB-1AEC46A69A9E}"/>
  <tableColumns count="16">
    <tableColumn id="1" xr3:uid="{69E2589C-7D67-494B-94E6-FB0AD1F3989A}" name="Week Day"/>
    <tableColumn id="2" xr3:uid="{9972FD55-3EB2-46CA-94FD-AC4A8A122B21}" name="Cost" dataDxfId="38" dataCellStyle="Currency">
      <calculatedColumnFormula>SUM(dataP1[[#This Row],[Eating]:[Hobbies]])</calculatedColumnFormula>
    </tableColumn>
    <tableColumn id="3" xr3:uid="{3590CCE3-8BD4-4DF3-B373-FFC55ABE6BB8}" name="Eating" dataDxfId="37" dataCellStyle="Currency"/>
    <tableColumn id="4" xr3:uid="{06CD22E5-1CAD-4836-9436-3D0C407E575A}" name="Fuel" dataDxfId="36" dataCellStyle="Currency"/>
    <tableColumn id="5" xr3:uid="{F38A0B06-46FC-415B-A004-C17C4FF993E0}" name="Leisure" dataDxfId="35" dataCellStyle="Currency"/>
    <tableColumn id="6" xr3:uid="{F2CA4D5F-0730-4443-A4F0-3481C3093CCB}" name="Shopping" dataDxfId="34" dataCellStyle="Currency"/>
    <tableColumn id="7" xr3:uid="{D6E91874-06F3-44DD-85C6-23FC7A2C1672}" name="Hobbies" dataDxfId="33" dataCellStyle="Currency"/>
    <tableColumn id="8" xr3:uid="{780C3F6C-0312-4F97-B428-C689F1F33F20}" name="Work" dataDxfId="32" dataCellStyle="Currency"/>
    <tableColumn id="9" xr3:uid="{D84D13A7-3198-4D3C-901D-A28C4AA946CC}" name="Home"/>
    <tableColumn id="10" xr3:uid="{DA847EE8-E5D3-44F6-A857-60E806585405}" name="Body" dataDxfId="31" dataCellStyle="Currency"/>
    <tableColumn id="11" xr3:uid="{1099173C-7A8C-49B9-B6B2-9AA4F2CDD195}" name="Save" dataDxfId="30" dataCellStyle="Currency"/>
    <tableColumn id="12" xr3:uid="{4D092EC0-66E1-4369-B00D-989A0B709B96}" name="Salary" dataDxfId="29" dataCellStyle="Currency"/>
    <tableColumn id="13" xr3:uid="{6EEEFDB2-FE57-48D0-9415-8C019C8E0777}" name="Side Job" dataDxfId="28" dataCellStyle="Currency"/>
    <tableColumn id="14" xr3:uid="{0A5A823F-0D5A-4513-87A6-3B7787DD121E}" name="Savings" dataDxfId="27" dataCellStyle="Currency"/>
    <tableColumn id="15" xr3:uid="{68E050E6-B628-4229-9691-2303E9642402}" name="Week Num" dataDxfId="26" dataCellStyle="Currency"/>
    <tableColumn id="16" xr3:uid="{2D0E6912-DD1A-4C8A-B47B-8D139EA01F2C}" name="Week Day Num" dataDxfId="25" dataCellStyle="Currency"/>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1BACE027-780D-49A5-A181-A2E1C7921BBC}" name="mydata" displayName="mydata" ref="A1:W37" totalsRowShown="0" headerRowDxfId="24" dataDxfId="23">
  <autoFilter ref="A1:W37" xr:uid="{1BACE027-780D-49A5-A181-A2E1C7921BBC}"/>
  <tableColumns count="23">
    <tableColumn id="1" xr3:uid="{21D5AE28-A8E0-4F69-911E-8F7D822B54EE}" name="Year" dataDxfId="22"/>
    <tableColumn id="21" xr3:uid="{64F627F8-6C8A-4AE7-B893-CFAF8E6B16EB}" name="Num Month" dataDxfId="21"/>
    <tableColumn id="2" xr3:uid="{BA42B558-D431-4630-8DEE-C39F878BCD14}" name="Month" dataDxfId="20"/>
    <tableColumn id="3" xr3:uid="{4F89AF35-5EF2-4362-8F36-79311418CAEA}" name="Actual" dataDxfId="19"/>
    <tableColumn id="4" xr3:uid="{B34748E1-8113-4500-BF0B-81335B3EAE8D}" name="Target" dataDxfId="18"/>
    <tableColumn id="5" xr3:uid="{DA30EE7A-4378-4F04-8754-A694E58B28A0}" name="R1" dataDxfId="17"/>
    <tableColumn id="6" xr3:uid="{5762A277-3E70-49B9-92F3-A54D315B6AEE}" name="R2" dataDxfId="16"/>
    <tableColumn id="7" xr3:uid="{6D89C80D-F105-4F27-954A-E56FE3D67389}" name="R3" dataDxfId="15"/>
    <tableColumn id="8" xr3:uid="{CFF1C9C3-D60F-4608-B3B5-FF5806BE243A}" name="R4" dataDxfId="14"/>
    <tableColumn id="9" xr3:uid="{2E1026A5-9439-4A4B-8F87-6114CAAE2CD5}" name="R5" dataDxfId="13"/>
    <tableColumn id="10" xr3:uid="{2C2764DE-0F03-4CDD-B37C-6C7A07A37C33}" name="Planning" dataDxfId="12"/>
    <tableColumn id="11" xr3:uid="{5C2467FD-D4D6-4BA5-9E71-9F2EBA655982}" name="Design" dataDxfId="11"/>
    <tableColumn id="12" xr3:uid="{76C71D3A-EFCB-47EF-A2D4-D0B66A13587B}" name="Coding" dataDxfId="10"/>
    <tableColumn id="13" xr3:uid="{5D843695-FD7C-420A-A271-1519FE7A825C}" name="Testing" dataDxfId="9"/>
    <tableColumn id="14" xr3:uid="{557FECA6-2BFA-4A1F-8455-342312B04C11}" name="Release" dataDxfId="8"/>
    <tableColumn id="20" xr3:uid="{A13ABBAF-96F9-4027-8ED4-2387C4193D24}" name="Cost" dataDxfId="7"/>
    <tableColumn id="15" xr3:uid="{07C82489-23D9-43D7-9AD3-DDF2DFDF679E}" name="Team P" dataDxfId="6"/>
    <tableColumn id="16" xr3:uid="{11F7EDBB-F12D-47FA-A0BD-433FBE7B7AAE}" name="Team D" dataDxfId="5"/>
    <tableColumn id="17" xr3:uid="{0C407372-BB77-470E-A293-13F67B727355}" name="Team С" dataDxfId="4"/>
    <tableColumn id="18" xr3:uid="{93EAC81B-2EB7-4B38-8989-7FC54C1379BE}" name="Team T" dataDxfId="3"/>
    <tableColumn id="19" xr3:uid="{23B91F6B-B813-4AA4-A095-FE990B31CEAF}" name="Team R" dataDxfId="2"/>
    <tableColumn id="22" xr3:uid="{E89F74B5-87DB-4417-9548-9DD9072F81FD}" name="Days" dataDxfId="1"/>
    <tableColumn id="23" xr3:uid="{D5EEFB97-26D9-44D8-828D-D97CB9EF5E1C}" name="Tasks"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2" Type="http://schemas.microsoft.com/office/2007/relationships/slicer" Target="../slicers/slicer3.xml"/><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2" Type="http://schemas.microsoft.com/office/2007/relationships/slicer" Target="../slicers/slicer4.xml"/><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5.xml"/><Relationship Id="rId5" Type="http://schemas.openxmlformats.org/officeDocument/2006/relationships/table" Target="../tables/table1.xml"/><Relationship Id="rId4"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drawing" Target="../drawings/drawing6.xml"/><Relationship Id="rId2" Type="http://schemas.openxmlformats.org/officeDocument/2006/relationships/pivotTable" Target="../pivotTables/pivotTable5.xml"/><Relationship Id="rId1" Type="http://schemas.openxmlformats.org/officeDocument/2006/relationships/pivotTable" Target="../pivotTables/pivotTable4.xml"/><Relationship Id="rId4" Type="http://schemas.microsoft.com/office/2007/relationships/slicer" Target="../slicers/slicer6.xml"/></Relationships>
</file>

<file path=xl/worksheets/_rels/sheet7.xml.rels><?xml version="1.0" encoding="UTF-8" standalone="yes"?>
<Relationships xmlns="http://schemas.openxmlformats.org/package/2006/relationships"><Relationship Id="rId3" Type="http://schemas.microsoft.com/office/2007/relationships/slicer" Target="../slicers/slicer7.xml"/><Relationship Id="rId2" Type="http://schemas.openxmlformats.org/officeDocument/2006/relationships/drawing" Target="../drawings/drawing7.xml"/><Relationship Id="rId1" Type="http://schemas.openxmlformats.org/officeDocument/2006/relationships/pivotTable" Target="../pivotTables/pivotTable6.xml"/></Relationships>
</file>

<file path=xl/worksheets/_rels/sheet9.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2.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BC708C-137F-4D95-807F-6151B3048B67}">
  <dimension ref="A46:G47"/>
  <sheetViews>
    <sheetView showRowColHeaders="0" zoomScale="90" zoomScaleNormal="90" workbookViewId="0"/>
  </sheetViews>
  <sheetFormatPr defaultColWidth="8.85546875" defaultRowHeight="15" x14ac:dyDescent="0.25"/>
  <cols>
    <col min="1" max="16384" width="8.85546875" style="1"/>
  </cols>
  <sheetData>
    <row r="46" spans="1:7" x14ac:dyDescent="0.25">
      <c r="A46" s="44"/>
      <c r="B46" s="45"/>
      <c r="C46" s="45"/>
      <c r="D46" s="45"/>
      <c r="E46" s="45"/>
      <c r="F46" s="45"/>
      <c r="G46" s="45"/>
    </row>
    <row r="47" spans="1:7" x14ac:dyDescent="0.25">
      <c r="A47" s="45"/>
      <c r="B47" s="45"/>
      <c r="C47" s="45"/>
      <c r="D47" s="45"/>
      <c r="E47" s="45"/>
      <c r="F47" s="45"/>
      <c r="G47" s="45"/>
    </row>
  </sheetData>
  <mergeCells count="1">
    <mergeCell ref="A46:G47"/>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FFB3B-8941-4339-8212-7CFAF99AA0B1}">
  <dimension ref="A47:G48"/>
  <sheetViews>
    <sheetView showRowColHeaders="0" zoomScale="90" zoomScaleNormal="90" workbookViewId="0">
      <selection activeCell="B10" sqref="B10"/>
    </sheetView>
  </sheetViews>
  <sheetFormatPr defaultColWidth="8.85546875" defaultRowHeight="15" x14ac:dyDescent="0.25"/>
  <cols>
    <col min="1" max="16384" width="8.85546875" style="1"/>
  </cols>
  <sheetData>
    <row r="47" spans="1:7" x14ac:dyDescent="0.25">
      <c r="A47" s="44"/>
      <c r="B47" s="45"/>
      <c r="C47" s="45"/>
      <c r="D47" s="45"/>
      <c r="E47" s="45"/>
      <c r="F47" s="45"/>
      <c r="G47" s="45"/>
    </row>
    <row r="48" spans="1:7" x14ac:dyDescent="0.25">
      <c r="A48" s="45"/>
      <c r="B48" s="45"/>
      <c r="C48" s="45"/>
      <c r="D48" s="45"/>
      <c r="E48" s="45"/>
      <c r="F48" s="45"/>
      <c r="G48" s="45"/>
    </row>
  </sheetData>
  <mergeCells count="1">
    <mergeCell ref="A47:G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F5ED3-87EC-46D3-A620-E5CD7B41CB97}">
  <dimension ref="A47:G48"/>
  <sheetViews>
    <sheetView showRowColHeaders="0" zoomScale="90" zoomScaleNormal="90" workbookViewId="0">
      <selection activeCell="A7" sqref="A7"/>
    </sheetView>
  </sheetViews>
  <sheetFormatPr defaultColWidth="8.85546875" defaultRowHeight="15" x14ac:dyDescent="0.25"/>
  <cols>
    <col min="1" max="16384" width="8.85546875" style="1"/>
  </cols>
  <sheetData>
    <row r="47" spans="1:7" x14ac:dyDescent="0.25">
      <c r="A47" s="44"/>
      <c r="B47" s="45"/>
      <c r="C47" s="45"/>
      <c r="D47" s="45"/>
      <c r="E47" s="45"/>
      <c r="F47" s="45"/>
      <c r="G47" s="45"/>
    </row>
    <row r="48" spans="1:7" x14ac:dyDescent="0.25">
      <c r="A48" s="45"/>
      <c r="B48" s="45"/>
      <c r="C48" s="45"/>
      <c r="D48" s="45"/>
      <c r="E48" s="45"/>
      <c r="F48" s="45"/>
      <c r="G48" s="45"/>
    </row>
  </sheetData>
  <mergeCells count="1">
    <mergeCell ref="A47:G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92EB49-F8F8-47CC-986B-4334EFB3E885}">
  <dimension ref="A47:G48"/>
  <sheetViews>
    <sheetView showRowColHeaders="0" zoomScale="90" zoomScaleNormal="90" workbookViewId="0"/>
  </sheetViews>
  <sheetFormatPr defaultColWidth="8.85546875" defaultRowHeight="15" x14ac:dyDescent="0.25"/>
  <cols>
    <col min="1" max="16384" width="8.85546875" style="1"/>
  </cols>
  <sheetData>
    <row r="47" spans="1:7" x14ac:dyDescent="0.25">
      <c r="A47" s="44"/>
      <c r="B47" s="45"/>
      <c r="C47" s="45"/>
      <c r="D47" s="45"/>
      <c r="E47" s="45"/>
      <c r="F47" s="45"/>
      <c r="G47" s="45"/>
    </row>
    <row r="48" spans="1:7" x14ac:dyDescent="0.25">
      <c r="A48" s="45"/>
      <c r="B48" s="45"/>
      <c r="C48" s="45"/>
      <c r="D48" s="45"/>
      <c r="E48" s="45"/>
      <c r="F48" s="45"/>
      <c r="G48" s="45"/>
    </row>
  </sheetData>
  <mergeCells count="1">
    <mergeCell ref="A47:G48"/>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1C9B46-3563-45D1-9FE7-EF56675523AD}">
  <dimension ref="A44:T118"/>
  <sheetViews>
    <sheetView showRowColHeaders="0" topLeftCell="A4" zoomScale="90" zoomScaleNormal="90" workbookViewId="0"/>
  </sheetViews>
  <sheetFormatPr defaultRowHeight="15" x14ac:dyDescent="0.25"/>
  <cols>
    <col min="1" max="1" width="12.42578125" bestFit="1" customWidth="1"/>
    <col min="2" max="3" width="10.7109375" bestFit="1" customWidth="1"/>
    <col min="4" max="4" width="12.140625" bestFit="1" customWidth="1"/>
    <col min="5" max="5" width="10.5703125" bestFit="1" customWidth="1"/>
    <col min="6" max="6" width="13.140625" bestFit="1" customWidth="1"/>
    <col min="7" max="7" width="14.85546875" bestFit="1" customWidth="1"/>
    <col min="8" max="8" width="14.140625" bestFit="1" customWidth="1"/>
    <col min="9" max="9" width="11.28515625" bestFit="1" customWidth="1"/>
    <col min="10" max="10" width="12" bestFit="1" customWidth="1"/>
    <col min="11" max="11" width="11.140625" bestFit="1" customWidth="1"/>
    <col min="12" max="12" width="11" bestFit="1" customWidth="1"/>
    <col min="13" max="13" width="12.28515625" bestFit="1" customWidth="1"/>
    <col min="14" max="14" width="14" bestFit="1" customWidth="1"/>
    <col min="15" max="15" width="13.42578125" bestFit="1" customWidth="1"/>
  </cols>
  <sheetData>
    <row r="44" spans="1:1" ht="15" customHeight="1" x14ac:dyDescent="0.25"/>
    <row r="45" spans="1:1" ht="15" customHeight="1" x14ac:dyDescent="0.25"/>
    <row r="48" spans="1:1" x14ac:dyDescent="0.25">
      <c r="A48" t="s">
        <v>130</v>
      </c>
    </row>
    <row r="49" spans="1:20" x14ac:dyDescent="0.25">
      <c r="A49" s="14" t="s">
        <v>86</v>
      </c>
      <c r="B49" s="4" t="s">
        <v>25</v>
      </c>
      <c r="C49" s="4" t="s">
        <v>16</v>
      </c>
      <c r="D49" s="4" t="s">
        <v>109</v>
      </c>
      <c r="F49" s="18" t="s">
        <v>109</v>
      </c>
      <c r="G49" s="4" t="s">
        <v>114</v>
      </c>
      <c r="H49" s="4" t="s">
        <v>40</v>
      </c>
      <c r="I49" s="4" t="s">
        <v>25</v>
      </c>
      <c r="K49" s="14" t="s">
        <v>119</v>
      </c>
      <c r="L49" s="4" t="s">
        <v>26</v>
      </c>
      <c r="M49" s="4" t="s">
        <v>124</v>
      </c>
      <c r="N49" s="3" t="s">
        <v>120</v>
      </c>
      <c r="O49" s="3" t="s">
        <v>38</v>
      </c>
    </row>
    <row r="50" spans="1:20" x14ac:dyDescent="0.25">
      <c r="A50" t="s">
        <v>79</v>
      </c>
      <c r="B50" s="3">
        <f t="shared" ref="B50:B56" si="0">GETPIVOTDATA("Cost",$A$105,"Week Day",""&amp;A50)</f>
        <v>155.4</v>
      </c>
      <c r="C50" s="13" t="e">
        <f t="shared" ref="C50:C56" si="1">IFERROR(GETPIVOTDATA(""&amp;B$49,$A$95,"Week Day",""&amp;$A50),NA())</f>
        <v>#N/A</v>
      </c>
      <c r="D50" s="3">
        <f>GETPIVOTDATA("Max of Week Day Num",$A$95)</f>
        <v>3</v>
      </c>
      <c r="E50" t="b">
        <f>ISNUMBER(MATCH(F50,$A$117:$A$120,0))</f>
        <v>0</v>
      </c>
      <c r="F50" s="10" t="s">
        <v>110</v>
      </c>
      <c r="G50" s="3">
        <v>800</v>
      </c>
      <c r="H50" s="16" cm="1">
        <f t="array" ref="H50">SUM(G50:G53*E50:E53)</f>
        <v>750</v>
      </c>
      <c r="I50" s="17">
        <f>SUM(B50:INDEX(B50:B56,D50))</f>
        <v>376.6</v>
      </c>
      <c r="K50" t="s">
        <v>94</v>
      </c>
      <c r="L50" s="20">
        <f>$L$53</f>
        <v>15.813000000000001</v>
      </c>
      <c r="M50" s="17">
        <f>GETPIVOTDATA(""&amp;K50,$A$95)</f>
        <v>75.599999999999994</v>
      </c>
      <c r="N50">
        <f>L50+M50</f>
        <v>91.412999999999997</v>
      </c>
      <c r="O50" s="21">
        <f>ROUND(M50,0)</f>
        <v>76</v>
      </c>
    </row>
    <row r="51" spans="1:20" x14ac:dyDescent="0.25">
      <c r="A51" t="s">
        <v>80</v>
      </c>
      <c r="B51" s="3">
        <f t="shared" si="0"/>
        <v>100.60000000000001</v>
      </c>
      <c r="C51" s="13" t="e">
        <f t="shared" si="1"/>
        <v>#N/A</v>
      </c>
      <c r="E51" t="b">
        <f>ISNUMBER(MATCH(F51,$A$117:$A$120,0))</f>
        <v>0</v>
      </c>
      <c r="F51" s="10" t="s">
        <v>111</v>
      </c>
      <c r="G51" s="3">
        <v>850</v>
      </c>
      <c r="H51" s="6">
        <f>1-I51</f>
        <v>0.49786666666666668</v>
      </c>
      <c r="I51" s="6">
        <f>I50/H50</f>
        <v>0.50213333333333332</v>
      </c>
      <c r="K51" t="s">
        <v>97</v>
      </c>
      <c r="L51" s="20">
        <f>$L$53</f>
        <v>15.813000000000001</v>
      </c>
      <c r="M51" s="17">
        <f>GETPIVOTDATA(""&amp;K51,$A$95)</f>
        <v>151.80000000000001</v>
      </c>
      <c r="N51">
        <f t="shared" ref="N51:N52" si="2">L51+M51</f>
        <v>167.613</v>
      </c>
      <c r="O51" s="21">
        <f t="shared" ref="O51:O52" si="3">ROUND(M51,0)</f>
        <v>152</v>
      </c>
    </row>
    <row r="52" spans="1:20" x14ac:dyDescent="0.25">
      <c r="A52" t="s">
        <v>81</v>
      </c>
      <c r="B52" s="3">
        <f t="shared" si="0"/>
        <v>120.6</v>
      </c>
      <c r="C52" s="13">
        <f t="shared" si="1"/>
        <v>120.6</v>
      </c>
      <c r="E52" t="b">
        <f>ISNUMBER(MATCH(F52,$A$117:$A$120,0))</f>
        <v>0</v>
      </c>
      <c r="F52" s="10" t="s">
        <v>112</v>
      </c>
      <c r="G52" s="3">
        <v>900</v>
      </c>
      <c r="K52" t="s">
        <v>96</v>
      </c>
      <c r="L52" s="20">
        <f>$L$53</f>
        <v>15.813000000000001</v>
      </c>
      <c r="M52" s="17">
        <f>GETPIVOTDATA(""&amp;K52,$A$95)</f>
        <v>225.89999999999998</v>
      </c>
      <c r="N52">
        <f t="shared" si="2"/>
        <v>241.71299999999997</v>
      </c>
      <c r="O52" s="21">
        <f t="shared" si="3"/>
        <v>226</v>
      </c>
    </row>
    <row r="53" spans="1:20" x14ac:dyDescent="0.25">
      <c r="A53" t="s">
        <v>82</v>
      </c>
      <c r="B53" s="3">
        <f t="shared" si="0"/>
        <v>100.50000000000001</v>
      </c>
      <c r="C53" s="13" t="e">
        <f t="shared" si="1"/>
        <v>#N/A</v>
      </c>
      <c r="E53" t="b">
        <f>ISNUMBER(MATCH(F53,$A$117:$A$120,0))</f>
        <v>1</v>
      </c>
      <c r="F53" s="10" t="s">
        <v>113</v>
      </c>
      <c r="G53" s="3">
        <v>750</v>
      </c>
      <c r="L53" s="25">
        <f>MAX(M50:M52)*7%</f>
        <v>15.813000000000001</v>
      </c>
      <c r="M53" s="25">
        <f>SUM(M50:M52)</f>
        <v>453.29999999999995</v>
      </c>
    </row>
    <row r="54" spans="1:20" x14ac:dyDescent="0.25">
      <c r="A54" t="s">
        <v>83</v>
      </c>
      <c r="B54" s="3">
        <f t="shared" si="0"/>
        <v>34.9</v>
      </c>
      <c r="C54" s="13" t="e">
        <f t="shared" si="1"/>
        <v>#N/A</v>
      </c>
      <c r="E54" s="3"/>
    </row>
    <row r="55" spans="1:20" x14ac:dyDescent="0.25">
      <c r="A55" t="s">
        <v>84</v>
      </c>
      <c r="B55" s="3">
        <f t="shared" si="0"/>
        <v>114.69999999999999</v>
      </c>
      <c r="C55" s="13" t="e">
        <f t="shared" si="1"/>
        <v>#N/A</v>
      </c>
      <c r="E55" s="14" t="s">
        <v>123</v>
      </c>
      <c r="F55" t="s">
        <v>125</v>
      </c>
      <c r="H55" s="14" t="s">
        <v>136</v>
      </c>
      <c r="I55" s="4" t="s">
        <v>125</v>
      </c>
      <c r="J55" s="4" t="s">
        <v>26</v>
      </c>
      <c r="K55" t="s">
        <v>127</v>
      </c>
      <c r="L55" t="s">
        <v>126</v>
      </c>
      <c r="R55" s="20"/>
      <c r="S55" s="20"/>
      <c r="T55" s="20"/>
    </row>
    <row r="56" spans="1:20" x14ac:dyDescent="0.25">
      <c r="A56" t="s">
        <v>85</v>
      </c>
      <c r="B56" s="3">
        <f t="shared" si="0"/>
        <v>120</v>
      </c>
      <c r="C56" s="13" t="e">
        <f t="shared" si="1"/>
        <v>#N/A</v>
      </c>
      <c r="D56" s="12" t="str">
        <f>LEFT(E56,1)</f>
        <v>E</v>
      </c>
      <c r="E56" t="s">
        <v>121</v>
      </c>
      <c r="F56" s="17">
        <f>GETPIVOTDATA(""&amp;E56,$A$95)</f>
        <v>39.799999999999997</v>
      </c>
      <c r="H56" t="s">
        <v>91</v>
      </c>
      <c r="I56" s="3">
        <f>GETPIVOTDATA(""&amp;H56,$A$95)</f>
        <v>51.2</v>
      </c>
      <c r="J56" s="3">
        <f>$I$60</f>
        <v>4.0280000000000005</v>
      </c>
      <c r="K56" t="str">
        <f t="array" ref="K56:L59">_xlfn._xlws.SORT(H56:I59,2,-1)</f>
        <v>Home</v>
      </c>
      <c r="L56" s="24">
        <v>100.7</v>
      </c>
      <c r="R56" s="20"/>
      <c r="S56" s="20"/>
      <c r="T56" s="20"/>
    </row>
    <row r="57" spans="1:20" x14ac:dyDescent="0.25">
      <c r="D57" s="12" t="str">
        <f t="shared" ref="D57:D60" si="4">LEFT(E57,1)</f>
        <v>F</v>
      </c>
      <c r="E57" t="s">
        <v>90</v>
      </c>
      <c r="F57" s="17">
        <f>GETPIVOTDATA(""&amp;E57,$A$95)</f>
        <v>20.399999999999999</v>
      </c>
      <c r="H57" t="s">
        <v>92</v>
      </c>
      <c r="I57" s="3">
        <f>GETPIVOTDATA(""&amp;H57,$A$95)</f>
        <v>100.7</v>
      </c>
      <c r="J57" s="3">
        <f>$I$60</f>
        <v>4.0280000000000005</v>
      </c>
      <c r="K57" t="str">
        <v>Work</v>
      </c>
      <c r="L57" s="24">
        <v>51.2</v>
      </c>
      <c r="R57" s="20"/>
      <c r="S57" s="20"/>
      <c r="T57" s="20"/>
    </row>
    <row r="58" spans="1:20" x14ac:dyDescent="0.25">
      <c r="A58" t="s">
        <v>129</v>
      </c>
      <c r="B58" s="9">
        <f>M53</f>
        <v>453.29999999999995</v>
      </c>
      <c r="D58" s="12" t="str">
        <f t="shared" si="4"/>
        <v>L</v>
      </c>
      <c r="E58" t="s">
        <v>87</v>
      </c>
      <c r="F58" s="17">
        <f>GETPIVOTDATA(""&amp;E58,$A$95)</f>
        <v>24.6</v>
      </c>
      <c r="H58" t="s">
        <v>93</v>
      </c>
      <c r="I58" s="3">
        <f>GETPIVOTDATA(""&amp;H58,$A$95)</f>
        <v>9.9</v>
      </c>
      <c r="J58" s="3">
        <f>$I$60</f>
        <v>4.0280000000000005</v>
      </c>
      <c r="K58" t="str">
        <v>Save</v>
      </c>
      <c r="L58" s="24">
        <v>20.3</v>
      </c>
      <c r="R58" s="20"/>
      <c r="S58" s="20"/>
      <c r="T58" s="20"/>
    </row>
    <row r="59" spans="1:20" x14ac:dyDescent="0.25">
      <c r="A59" t="s">
        <v>128</v>
      </c>
      <c r="B59" s="9">
        <f>0-(GETPIVOTDATA("Sum of Cost",$A$95)+L60)</f>
        <v>-302.70000000000005</v>
      </c>
      <c r="D59" s="12" t="str">
        <f t="shared" si="4"/>
        <v>S</v>
      </c>
      <c r="E59" t="s">
        <v>88</v>
      </c>
      <c r="F59" s="17">
        <f>GETPIVOTDATA(""&amp;E59,$A$95)</f>
        <v>25.3</v>
      </c>
      <c r="H59" t="s">
        <v>95</v>
      </c>
      <c r="I59" s="3">
        <f>GETPIVOTDATA(""&amp;H59,$A$95)</f>
        <v>20.3</v>
      </c>
      <c r="J59" s="3">
        <f>$I$60</f>
        <v>4.0280000000000005</v>
      </c>
      <c r="K59" t="str">
        <v>Body</v>
      </c>
      <c r="L59" s="24">
        <v>9.9</v>
      </c>
      <c r="R59" s="20"/>
      <c r="S59" s="20"/>
      <c r="T59" s="20"/>
    </row>
    <row r="60" spans="1:20" x14ac:dyDescent="0.25">
      <c r="D60" s="12" t="str">
        <f t="shared" si="4"/>
        <v>H</v>
      </c>
      <c r="E60" t="s">
        <v>89</v>
      </c>
      <c r="F60" s="17">
        <f>GETPIVOTDATA(""&amp;E60,$A$95)</f>
        <v>10.5</v>
      </c>
      <c r="I60" s="3">
        <f>MAX(I56:I59)*4%</f>
        <v>4.0280000000000005</v>
      </c>
      <c r="J60" s="3"/>
      <c r="L60" s="26">
        <f>SUM(L56:L59)</f>
        <v>182.10000000000002</v>
      </c>
      <c r="R60" s="20"/>
      <c r="S60" s="20"/>
      <c r="T60" s="20"/>
    </row>
    <row r="61" spans="1:20" x14ac:dyDescent="0.25">
      <c r="F61" s="21">
        <f>SUM(F56:F60)</f>
        <v>120.6</v>
      </c>
      <c r="R61" s="20"/>
      <c r="S61" s="20"/>
      <c r="T61" s="20"/>
    </row>
    <row r="62" spans="1:20" x14ac:dyDescent="0.25">
      <c r="R62" s="20"/>
      <c r="S62" s="20"/>
      <c r="T62" s="20"/>
    </row>
    <row r="63" spans="1:20" x14ac:dyDescent="0.25">
      <c r="R63" s="20"/>
      <c r="S63" s="20"/>
      <c r="T63" s="20"/>
    </row>
    <row r="64" spans="1:20" x14ac:dyDescent="0.25">
      <c r="A64" s="14" t="s">
        <v>86</v>
      </c>
      <c r="B64" s="14" t="s">
        <v>25</v>
      </c>
      <c r="C64" s="14" t="s">
        <v>121</v>
      </c>
      <c r="D64" s="14" t="s">
        <v>90</v>
      </c>
      <c r="E64" s="14" t="s">
        <v>87</v>
      </c>
      <c r="F64" s="14" t="s">
        <v>88</v>
      </c>
      <c r="G64" s="14" t="s">
        <v>89</v>
      </c>
      <c r="H64" s="14" t="s">
        <v>91</v>
      </c>
      <c r="I64" s="14" t="s">
        <v>92</v>
      </c>
      <c r="J64" s="14" t="s">
        <v>93</v>
      </c>
      <c r="K64" s="14" t="s">
        <v>95</v>
      </c>
      <c r="L64" s="14" t="s">
        <v>96</v>
      </c>
      <c r="M64" s="14" t="s">
        <v>97</v>
      </c>
      <c r="N64" s="14" t="s">
        <v>94</v>
      </c>
      <c r="O64" s="14" t="s">
        <v>109</v>
      </c>
      <c r="P64" s="14" t="s">
        <v>117</v>
      </c>
      <c r="R64" s="20"/>
      <c r="S64" s="20"/>
      <c r="T64" s="20"/>
    </row>
    <row r="65" spans="1:20" x14ac:dyDescent="0.25">
      <c r="A65" t="s">
        <v>79</v>
      </c>
      <c r="B65" s="16">
        <f>SUM(dataP1[[#This Row],[Eating]:[Hobbies]])</f>
        <v>100</v>
      </c>
      <c r="C65" s="16">
        <v>40</v>
      </c>
      <c r="D65" s="16">
        <v>15</v>
      </c>
      <c r="E65" s="16">
        <v>20</v>
      </c>
      <c r="F65" s="16">
        <v>10</v>
      </c>
      <c r="G65" s="16">
        <v>15</v>
      </c>
      <c r="H65" s="16">
        <v>50</v>
      </c>
      <c r="I65" s="22">
        <v>100</v>
      </c>
      <c r="J65" s="16">
        <v>10</v>
      </c>
      <c r="K65" s="16">
        <v>20</v>
      </c>
      <c r="L65" s="20">
        <v>225</v>
      </c>
      <c r="M65" s="20">
        <v>150</v>
      </c>
      <c r="N65" s="20">
        <v>75</v>
      </c>
      <c r="O65" s="16" t="s">
        <v>110</v>
      </c>
      <c r="P65" s="19">
        <v>1</v>
      </c>
      <c r="R65" s="20"/>
      <c r="S65" s="20"/>
      <c r="T65" s="20"/>
    </row>
    <row r="66" spans="1:20" x14ac:dyDescent="0.25">
      <c r="A66" t="s">
        <v>80</v>
      </c>
      <c r="B66" s="16">
        <f>SUM(dataP1[[#This Row],[Eating]:[Hobbies]])</f>
        <v>35</v>
      </c>
      <c r="C66" s="16">
        <v>15</v>
      </c>
      <c r="D66" s="16">
        <v>5</v>
      </c>
      <c r="E66" s="16">
        <v>5</v>
      </c>
      <c r="F66" s="16">
        <v>5</v>
      </c>
      <c r="G66" s="16">
        <v>5</v>
      </c>
      <c r="H66" s="16">
        <v>50</v>
      </c>
      <c r="I66" s="23">
        <v>50</v>
      </c>
      <c r="J66" s="16">
        <v>2</v>
      </c>
      <c r="K66" s="16">
        <v>10</v>
      </c>
      <c r="L66" s="20">
        <v>45</v>
      </c>
      <c r="M66" s="20">
        <v>60</v>
      </c>
      <c r="N66" s="20">
        <v>15</v>
      </c>
      <c r="O66" s="16" t="s">
        <v>110</v>
      </c>
      <c r="P66" s="19">
        <v>2</v>
      </c>
      <c r="R66" s="20"/>
      <c r="S66" s="20"/>
      <c r="T66" s="20"/>
    </row>
    <row r="67" spans="1:20" x14ac:dyDescent="0.25">
      <c r="A67" t="s">
        <v>81</v>
      </c>
      <c r="B67" s="16">
        <f>SUM(dataP1[[#This Row],[Eating]:[Hobbies]])</f>
        <v>115</v>
      </c>
      <c r="C67" s="16">
        <v>30</v>
      </c>
      <c r="D67" s="16">
        <v>10</v>
      </c>
      <c r="E67" s="16">
        <v>25</v>
      </c>
      <c r="F67" s="16">
        <v>25</v>
      </c>
      <c r="G67" s="16">
        <v>25</v>
      </c>
      <c r="H67" s="16">
        <v>100</v>
      </c>
      <c r="I67" s="22">
        <v>50</v>
      </c>
      <c r="J67" s="16">
        <v>5</v>
      </c>
      <c r="K67" s="16">
        <v>100</v>
      </c>
      <c r="L67" s="20">
        <v>225</v>
      </c>
      <c r="M67" s="20">
        <v>150</v>
      </c>
      <c r="N67" s="20">
        <v>75</v>
      </c>
      <c r="O67" s="16" t="s">
        <v>110</v>
      </c>
      <c r="P67" s="19">
        <v>3</v>
      </c>
      <c r="R67" s="20"/>
      <c r="S67" s="20"/>
      <c r="T67" s="20"/>
    </row>
    <row r="68" spans="1:20" x14ac:dyDescent="0.25">
      <c r="A68" t="s">
        <v>82</v>
      </c>
      <c r="B68" s="16">
        <f>SUM(dataP1[[#This Row],[Eating]:[Hobbies]])</f>
        <v>82</v>
      </c>
      <c r="C68" s="16">
        <v>25</v>
      </c>
      <c r="D68" s="16">
        <v>10</v>
      </c>
      <c r="E68" s="16">
        <v>15</v>
      </c>
      <c r="F68" s="16">
        <v>15</v>
      </c>
      <c r="G68" s="16">
        <v>17</v>
      </c>
      <c r="H68" s="16">
        <v>50</v>
      </c>
      <c r="I68" s="23">
        <v>320</v>
      </c>
      <c r="J68" s="16">
        <v>5</v>
      </c>
      <c r="K68" s="16">
        <v>10</v>
      </c>
      <c r="L68" s="20">
        <v>225</v>
      </c>
      <c r="M68" s="20">
        <v>150</v>
      </c>
      <c r="N68" s="20">
        <v>75</v>
      </c>
      <c r="O68" s="16" t="s">
        <v>110</v>
      </c>
      <c r="P68" s="19">
        <v>4</v>
      </c>
      <c r="R68" s="20"/>
      <c r="S68" s="20"/>
      <c r="T68" s="20"/>
    </row>
    <row r="69" spans="1:20" x14ac:dyDescent="0.25">
      <c r="A69" t="s">
        <v>83</v>
      </c>
      <c r="B69" s="16">
        <f>SUM(dataP1[[#This Row],[Eating]:[Hobbies]])</f>
        <v>155</v>
      </c>
      <c r="C69" s="16">
        <v>50</v>
      </c>
      <c r="D69" s="16">
        <v>25</v>
      </c>
      <c r="E69" s="16">
        <v>30</v>
      </c>
      <c r="F69" s="16">
        <v>30</v>
      </c>
      <c r="G69" s="16">
        <v>20</v>
      </c>
      <c r="H69" s="16">
        <v>100</v>
      </c>
      <c r="I69" s="22">
        <v>100</v>
      </c>
      <c r="J69" s="16">
        <v>20</v>
      </c>
      <c r="K69" s="16">
        <v>20</v>
      </c>
      <c r="L69" s="20">
        <v>525</v>
      </c>
      <c r="M69" s="20">
        <v>300</v>
      </c>
      <c r="N69" s="20">
        <v>150</v>
      </c>
      <c r="O69" s="16" t="s">
        <v>110</v>
      </c>
      <c r="P69" s="19">
        <v>5</v>
      </c>
      <c r="R69" s="20"/>
      <c r="S69" s="20"/>
      <c r="T69" s="20"/>
    </row>
    <row r="70" spans="1:20" x14ac:dyDescent="0.25">
      <c r="A70" t="s">
        <v>84</v>
      </c>
      <c r="B70" s="16">
        <f>SUM(dataP1[[#This Row],[Eating]:[Hobbies]])</f>
        <v>100</v>
      </c>
      <c r="C70" s="16">
        <v>30</v>
      </c>
      <c r="D70" s="16">
        <v>10</v>
      </c>
      <c r="E70" s="16">
        <v>20</v>
      </c>
      <c r="F70" s="16">
        <v>20</v>
      </c>
      <c r="G70" s="16">
        <v>20</v>
      </c>
      <c r="H70" s="16">
        <v>50</v>
      </c>
      <c r="I70" s="23">
        <v>100</v>
      </c>
      <c r="J70" s="16">
        <v>10</v>
      </c>
      <c r="K70" s="16">
        <v>20</v>
      </c>
      <c r="L70" s="20">
        <v>225</v>
      </c>
      <c r="M70" s="20">
        <v>150</v>
      </c>
      <c r="N70" s="20">
        <v>75</v>
      </c>
      <c r="O70" s="16" t="s">
        <v>110</v>
      </c>
      <c r="P70" s="19">
        <v>6</v>
      </c>
      <c r="R70" s="20"/>
      <c r="S70" s="20"/>
      <c r="T70" s="20"/>
    </row>
    <row r="71" spans="1:20" x14ac:dyDescent="0.25">
      <c r="A71" t="s">
        <v>85</v>
      </c>
      <c r="B71" s="16">
        <f>SUM(dataP1[[#This Row],[Eating]:[Hobbies]])</f>
        <v>120</v>
      </c>
      <c r="C71" s="16">
        <v>40</v>
      </c>
      <c r="D71" s="16">
        <v>20</v>
      </c>
      <c r="E71" s="16">
        <v>25</v>
      </c>
      <c r="F71" s="16">
        <v>25</v>
      </c>
      <c r="G71" s="16">
        <v>10</v>
      </c>
      <c r="H71" s="16">
        <v>50</v>
      </c>
      <c r="I71" s="22">
        <v>100</v>
      </c>
      <c r="J71" s="16">
        <v>10</v>
      </c>
      <c r="K71" s="16">
        <v>20</v>
      </c>
      <c r="L71" s="20">
        <v>225</v>
      </c>
      <c r="M71" s="20">
        <v>150</v>
      </c>
      <c r="N71" s="20">
        <v>75</v>
      </c>
      <c r="O71" s="16" t="s">
        <v>110</v>
      </c>
      <c r="P71" s="19">
        <v>7</v>
      </c>
      <c r="R71" s="20"/>
      <c r="S71" s="20"/>
      <c r="T71" s="20"/>
    </row>
    <row r="72" spans="1:20" x14ac:dyDescent="0.25">
      <c r="A72" t="s">
        <v>79</v>
      </c>
      <c r="B72" s="16">
        <f>SUM(dataP1[[#This Row],[Eating]:[Hobbies]])</f>
        <v>35.5</v>
      </c>
      <c r="C72" s="16">
        <v>15.6</v>
      </c>
      <c r="D72" s="16">
        <v>5.2</v>
      </c>
      <c r="E72" s="16">
        <v>4.8</v>
      </c>
      <c r="F72" s="16">
        <v>4.5999999999999996</v>
      </c>
      <c r="G72" s="16">
        <v>5.3</v>
      </c>
      <c r="H72" s="16">
        <v>48.7</v>
      </c>
      <c r="I72" s="23">
        <v>51.5</v>
      </c>
      <c r="J72" s="16">
        <v>1.8</v>
      </c>
      <c r="K72" s="16">
        <v>9.6999999999999993</v>
      </c>
      <c r="L72" s="20">
        <v>44.400000000000006</v>
      </c>
      <c r="M72" s="20">
        <v>62.699999999999996</v>
      </c>
      <c r="N72" s="20">
        <v>15.899999999999999</v>
      </c>
      <c r="O72" s="16" t="s">
        <v>111</v>
      </c>
      <c r="P72" s="19">
        <v>1</v>
      </c>
      <c r="R72" s="20"/>
      <c r="S72" s="20"/>
      <c r="T72" s="20"/>
    </row>
    <row r="73" spans="1:20" x14ac:dyDescent="0.25">
      <c r="A73" t="s">
        <v>80</v>
      </c>
      <c r="B73" s="16">
        <f>SUM(dataP1[[#This Row],[Eating]:[Hobbies]])</f>
        <v>116</v>
      </c>
      <c r="C73" s="16">
        <v>29.8</v>
      </c>
      <c r="D73" s="16">
        <v>9.4</v>
      </c>
      <c r="E73" s="16">
        <v>24.1</v>
      </c>
      <c r="F73" s="16">
        <v>26.2</v>
      </c>
      <c r="G73" s="16">
        <v>26.5</v>
      </c>
      <c r="H73" s="16">
        <v>100.9</v>
      </c>
      <c r="I73" s="22">
        <v>49.3</v>
      </c>
      <c r="J73" s="16">
        <v>4.7</v>
      </c>
      <c r="K73" s="16">
        <v>98.7</v>
      </c>
      <c r="L73" s="20">
        <v>227.70000000000002</v>
      </c>
      <c r="M73" s="20">
        <v>146.39999999999998</v>
      </c>
      <c r="N73" s="20">
        <v>72.300000000000011</v>
      </c>
      <c r="O73" s="16" t="s">
        <v>111</v>
      </c>
      <c r="P73" s="19">
        <v>2</v>
      </c>
      <c r="R73" s="20"/>
      <c r="S73" s="20"/>
      <c r="T73" s="20"/>
    </row>
    <row r="74" spans="1:20" x14ac:dyDescent="0.25">
      <c r="A74" t="s">
        <v>81</v>
      </c>
      <c r="B74" s="16">
        <f>SUM(dataP1[[#This Row],[Eating]:[Hobbies]])</f>
        <v>82.799999999999983</v>
      </c>
      <c r="C74" s="16">
        <v>24.5</v>
      </c>
      <c r="D74" s="16">
        <v>10.4</v>
      </c>
      <c r="E74" s="16">
        <v>14.7</v>
      </c>
      <c r="F74" s="16">
        <v>15.6</v>
      </c>
      <c r="G74" s="16">
        <v>17.600000000000001</v>
      </c>
      <c r="H74" s="16">
        <v>51.3</v>
      </c>
      <c r="I74" s="23">
        <v>321.39999999999998</v>
      </c>
      <c r="J74" s="16">
        <v>4.9000000000000004</v>
      </c>
      <c r="K74" s="16">
        <v>10.5</v>
      </c>
      <c r="L74" s="20">
        <v>227.39999999999998</v>
      </c>
      <c r="M74" s="20">
        <v>148.5</v>
      </c>
      <c r="N74" s="20">
        <v>77.400000000000006</v>
      </c>
      <c r="O74" s="16" t="s">
        <v>111</v>
      </c>
      <c r="P74" s="19">
        <v>3</v>
      </c>
      <c r="R74" s="20"/>
      <c r="S74" s="20"/>
      <c r="T74" s="20"/>
    </row>
    <row r="75" spans="1:20" x14ac:dyDescent="0.25">
      <c r="A75" t="s">
        <v>82</v>
      </c>
      <c r="B75" s="16">
        <f>SUM(dataP1[[#This Row],[Eating]:[Hobbies]])</f>
        <v>155.4</v>
      </c>
      <c r="C75" s="16">
        <v>49.8</v>
      </c>
      <c r="D75" s="16">
        <v>25.6</v>
      </c>
      <c r="E75" s="16">
        <v>29.3</v>
      </c>
      <c r="F75" s="16">
        <v>31.2</v>
      </c>
      <c r="G75" s="16">
        <v>19.5</v>
      </c>
      <c r="H75" s="16">
        <v>99.4</v>
      </c>
      <c r="I75" s="22">
        <v>98.7</v>
      </c>
      <c r="J75" s="16">
        <v>20.3</v>
      </c>
      <c r="K75" s="16">
        <v>20.5</v>
      </c>
      <c r="L75" s="20">
        <v>528.29999999999995</v>
      </c>
      <c r="M75" s="20">
        <v>304.5</v>
      </c>
      <c r="N75" s="20">
        <v>152.39999999999998</v>
      </c>
      <c r="O75" s="16" t="s">
        <v>111</v>
      </c>
      <c r="P75" s="19">
        <v>4</v>
      </c>
      <c r="R75" s="20"/>
      <c r="S75" s="20"/>
      <c r="T75" s="20"/>
    </row>
    <row r="76" spans="1:20" x14ac:dyDescent="0.25">
      <c r="A76" t="s">
        <v>83</v>
      </c>
      <c r="B76" s="16">
        <f>SUM(dataP1[[#This Row],[Eating]:[Hobbies]])</f>
        <v>100.60000000000001</v>
      </c>
      <c r="C76" s="16">
        <v>30.6</v>
      </c>
      <c r="D76" s="16">
        <v>9.8000000000000007</v>
      </c>
      <c r="E76" s="16">
        <v>20.399999999999999</v>
      </c>
      <c r="F76" s="16">
        <v>19.5</v>
      </c>
      <c r="G76" s="16">
        <v>20.3</v>
      </c>
      <c r="H76" s="16">
        <v>51.1</v>
      </c>
      <c r="I76" s="23">
        <v>102.3</v>
      </c>
      <c r="J76" s="16">
        <v>9.5</v>
      </c>
      <c r="K76" s="16">
        <v>20.399999999999999</v>
      </c>
      <c r="L76" s="20">
        <v>224.39999999999998</v>
      </c>
      <c r="M76" s="20">
        <v>152.10000000000002</v>
      </c>
      <c r="N76" s="20">
        <v>73.5</v>
      </c>
      <c r="O76" s="16" t="s">
        <v>111</v>
      </c>
      <c r="P76" s="19">
        <v>5</v>
      </c>
      <c r="R76" s="20"/>
      <c r="S76" s="20"/>
      <c r="T76" s="20"/>
    </row>
    <row r="77" spans="1:20" x14ac:dyDescent="0.25">
      <c r="A77" t="s">
        <v>84</v>
      </c>
      <c r="B77" s="16">
        <f>SUM(dataP1[[#This Row],[Eating]:[Hobbies]])</f>
        <v>120.6</v>
      </c>
      <c r="C77" s="16">
        <v>39.799999999999997</v>
      </c>
      <c r="D77" s="16">
        <v>20.399999999999999</v>
      </c>
      <c r="E77" s="16">
        <v>24.6</v>
      </c>
      <c r="F77" s="16">
        <v>25.3</v>
      </c>
      <c r="G77" s="16">
        <v>10.5</v>
      </c>
      <c r="H77" s="16">
        <v>51.2</v>
      </c>
      <c r="I77" s="22">
        <v>100.7</v>
      </c>
      <c r="J77" s="16">
        <v>9.9</v>
      </c>
      <c r="K77" s="16">
        <v>20.3</v>
      </c>
      <c r="L77" s="20">
        <v>225.89999999999998</v>
      </c>
      <c r="M77" s="20">
        <v>151.80000000000001</v>
      </c>
      <c r="N77" s="20">
        <v>75.599999999999994</v>
      </c>
      <c r="O77" s="16" t="s">
        <v>111</v>
      </c>
      <c r="P77" s="19">
        <v>6</v>
      </c>
      <c r="R77" s="20"/>
      <c r="S77" s="20"/>
      <c r="T77" s="20"/>
    </row>
    <row r="78" spans="1:20" x14ac:dyDescent="0.25">
      <c r="A78" t="s">
        <v>85</v>
      </c>
      <c r="B78" s="16">
        <f>SUM(dataP1[[#This Row],[Eating]:[Hobbies]])</f>
        <v>100.50000000000001</v>
      </c>
      <c r="C78" s="16">
        <v>40.5</v>
      </c>
      <c r="D78" s="16">
        <v>14.8</v>
      </c>
      <c r="E78" s="16">
        <v>20.100000000000001</v>
      </c>
      <c r="F78" s="16">
        <v>9.6999999999999993</v>
      </c>
      <c r="G78" s="16">
        <v>15.4</v>
      </c>
      <c r="H78" s="16">
        <v>49.6</v>
      </c>
      <c r="I78" s="23">
        <v>98.5</v>
      </c>
      <c r="J78" s="16">
        <v>10.4</v>
      </c>
      <c r="K78" s="16">
        <v>19.600000000000001</v>
      </c>
      <c r="L78" s="20">
        <v>223.5</v>
      </c>
      <c r="M78" s="20">
        <v>148.80000000000001</v>
      </c>
      <c r="N78" s="20">
        <v>74.099999999999994</v>
      </c>
      <c r="O78" s="16" t="s">
        <v>111</v>
      </c>
      <c r="P78" s="19">
        <v>7</v>
      </c>
      <c r="R78" s="20"/>
      <c r="S78" s="20"/>
      <c r="T78" s="20"/>
    </row>
    <row r="79" spans="1:20" x14ac:dyDescent="0.25">
      <c r="A79" t="s">
        <v>79</v>
      </c>
      <c r="B79" s="16">
        <f>SUM(dataP1[[#This Row],[Eating]:[Hobbies]])</f>
        <v>91.299999999999983</v>
      </c>
      <c r="C79" s="16">
        <v>30.4</v>
      </c>
      <c r="D79" s="16">
        <v>5.4</v>
      </c>
      <c r="E79" s="16">
        <v>19.8</v>
      </c>
      <c r="F79" s="16">
        <v>15.3</v>
      </c>
      <c r="G79" s="16">
        <v>20.399999999999999</v>
      </c>
      <c r="H79" s="16">
        <v>51.2</v>
      </c>
      <c r="I79" s="22">
        <v>100.2</v>
      </c>
      <c r="J79" s="16">
        <v>9.8000000000000007</v>
      </c>
      <c r="K79" s="16">
        <v>19.7</v>
      </c>
      <c r="L79" s="20">
        <v>225.89999999999998</v>
      </c>
      <c r="M79" s="20">
        <v>298.5</v>
      </c>
      <c r="N79" s="20">
        <v>14.100000000000001</v>
      </c>
      <c r="O79" s="16" t="s">
        <v>112</v>
      </c>
      <c r="P79" s="19">
        <v>1</v>
      </c>
      <c r="R79" s="20"/>
      <c r="S79" s="20"/>
      <c r="T79" s="20"/>
    </row>
    <row r="80" spans="1:20" x14ac:dyDescent="0.25">
      <c r="A80" t="s">
        <v>80</v>
      </c>
      <c r="B80" s="16">
        <f>SUM(dataP1[[#This Row],[Eating]:[Hobbies]])</f>
        <v>86.100000000000009</v>
      </c>
      <c r="C80" s="16">
        <v>25.6</v>
      </c>
      <c r="D80" s="16">
        <v>10.3</v>
      </c>
      <c r="E80" s="16">
        <v>25.3</v>
      </c>
      <c r="F80" s="16">
        <v>10.199999999999999</v>
      </c>
      <c r="G80" s="16">
        <v>14.7</v>
      </c>
      <c r="H80" s="16">
        <v>49.8</v>
      </c>
      <c r="I80" s="23">
        <v>318.5</v>
      </c>
      <c r="J80" s="16">
        <v>10.3</v>
      </c>
      <c r="K80" s="16">
        <v>20.3</v>
      </c>
      <c r="L80" s="20">
        <v>527.40000000000009</v>
      </c>
      <c r="M80" s="20">
        <v>151.19999999999999</v>
      </c>
      <c r="N80" s="20">
        <v>149.39999999999998</v>
      </c>
      <c r="O80" s="16" t="s">
        <v>112</v>
      </c>
      <c r="P80" s="19">
        <v>2</v>
      </c>
      <c r="R80" s="20"/>
      <c r="S80" s="20"/>
      <c r="T80" s="20"/>
    </row>
    <row r="81" spans="1:20" x14ac:dyDescent="0.25">
      <c r="A81" t="s">
        <v>81</v>
      </c>
      <c r="B81" s="16">
        <f>SUM(dataP1[[#This Row],[Eating]:[Hobbies]])</f>
        <v>94.4</v>
      </c>
      <c r="C81" s="16">
        <v>14.7</v>
      </c>
      <c r="D81" s="16">
        <v>9.6999999999999993</v>
      </c>
      <c r="E81" s="16">
        <v>25.4</v>
      </c>
      <c r="F81" s="16">
        <v>20.100000000000001</v>
      </c>
      <c r="G81" s="16">
        <v>24.5</v>
      </c>
      <c r="H81" s="16">
        <v>101.2</v>
      </c>
      <c r="I81" s="22">
        <v>101.5</v>
      </c>
      <c r="J81" s="16">
        <v>5.3</v>
      </c>
      <c r="K81" s="16">
        <v>20.100000000000001</v>
      </c>
      <c r="L81" s="20">
        <v>225.29999999999998</v>
      </c>
      <c r="M81" s="20">
        <v>151.19999999999999</v>
      </c>
      <c r="N81" s="20">
        <v>75.300000000000011</v>
      </c>
      <c r="O81" s="16" t="s">
        <v>112</v>
      </c>
      <c r="P81" s="19">
        <v>3</v>
      </c>
      <c r="R81" s="20"/>
      <c r="S81" s="20"/>
      <c r="T81" s="20"/>
    </row>
    <row r="82" spans="1:20" x14ac:dyDescent="0.25">
      <c r="A82" t="s">
        <v>82</v>
      </c>
      <c r="B82" s="16">
        <f>SUM(dataP1[[#This Row],[Eating]:[Hobbies]])</f>
        <v>112.00000000000001</v>
      </c>
      <c r="C82" s="16">
        <v>39.700000000000003</v>
      </c>
      <c r="D82" s="16">
        <v>10.1</v>
      </c>
      <c r="E82" s="16">
        <v>20.5</v>
      </c>
      <c r="F82" s="16">
        <v>24.9</v>
      </c>
      <c r="G82" s="16">
        <v>16.8</v>
      </c>
      <c r="H82" s="16">
        <v>98.9</v>
      </c>
      <c r="I82" s="23">
        <v>101.1</v>
      </c>
      <c r="J82" s="16">
        <v>9.6999999999999993</v>
      </c>
      <c r="K82" s="16">
        <v>9.8000000000000007</v>
      </c>
      <c r="L82" s="20">
        <v>45.599999999999994</v>
      </c>
      <c r="M82" s="20">
        <v>58.800000000000004</v>
      </c>
      <c r="N82" s="20">
        <v>75.300000000000011</v>
      </c>
      <c r="O82" s="16" t="s">
        <v>112</v>
      </c>
      <c r="P82" s="19">
        <v>4</v>
      </c>
      <c r="R82" s="20"/>
      <c r="S82" s="20"/>
      <c r="T82" s="20"/>
    </row>
    <row r="83" spans="1:20" x14ac:dyDescent="0.25">
      <c r="A83" t="s">
        <v>83</v>
      </c>
      <c r="B83" s="16">
        <f>SUM(dataP1[[#This Row],[Eating]:[Hobbies]])</f>
        <v>94.5</v>
      </c>
      <c r="C83" s="16">
        <v>29.7</v>
      </c>
      <c r="D83" s="16">
        <v>15.3</v>
      </c>
      <c r="E83" s="16">
        <v>14.9</v>
      </c>
      <c r="F83" s="16">
        <v>29.5</v>
      </c>
      <c r="G83" s="16">
        <v>5.0999999999999996</v>
      </c>
      <c r="H83" s="16">
        <v>49.6</v>
      </c>
      <c r="I83" s="22">
        <v>99.8</v>
      </c>
      <c r="J83" s="16">
        <v>19.8</v>
      </c>
      <c r="K83" s="16">
        <v>9.8000000000000007</v>
      </c>
      <c r="L83" s="20">
        <v>224.70000000000002</v>
      </c>
      <c r="M83" s="20">
        <v>149.10000000000002</v>
      </c>
      <c r="N83" s="20">
        <v>74.699999999999989</v>
      </c>
      <c r="O83" s="16" t="s">
        <v>112</v>
      </c>
      <c r="P83" s="19">
        <v>5</v>
      </c>
    </row>
    <row r="84" spans="1:20" x14ac:dyDescent="0.25">
      <c r="A84" t="s">
        <v>84</v>
      </c>
      <c r="B84" s="16">
        <f>SUM(dataP1[[#This Row],[Eating]:[Hobbies]])</f>
        <v>95</v>
      </c>
      <c r="C84" s="16">
        <v>50.3</v>
      </c>
      <c r="D84" s="16">
        <v>24.7</v>
      </c>
      <c r="E84" s="16">
        <v>4.9000000000000004</v>
      </c>
      <c r="F84" s="16">
        <v>4.8</v>
      </c>
      <c r="G84" s="16">
        <v>10.3</v>
      </c>
      <c r="H84" s="16">
        <v>50.5</v>
      </c>
      <c r="I84" s="23">
        <v>49.5</v>
      </c>
      <c r="J84" s="16">
        <v>5.2</v>
      </c>
      <c r="K84" s="16">
        <v>20.2</v>
      </c>
      <c r="L84" s="20">
        <v>224.39999999999998</v>
      </c>
      <c r="M84" s="20">
        <v>152.39999999999998</v>
      </c>
      <c r="N84" s="20">
        <v>74.400000000000006</v>
      </c>
      <c r="O84" s="16" t="s">
        <v>112</v>
      </c>
      <c r="P84" s="19">
        <v>6</v>
      </c>
    </row>
    <row r="85" spans="1:20" x14ac:dyDescent="0.25">
      <c r="A85" t="s">
        <v>85</v>
      </c>
      <c r="B85" s="16">
        <f>SUM(dataP1[[#This Row],[Eating]:[Hobbies]])</f>
        <v>135.1</v>
      </c>
      <c r="C85" s="16">
        <v>40.200000000000003</v>
      </c>
      <c r="D85" s="16">
        <v>19.8</v>
      </c>
      <c r="E85" s="16">
        <v>29.8</v>
      </c>
      <c r="F85" s="16">
        <v>24.8</v>
      </c>
      <c r="G85" s="16">
        <v>20.5</v>
      </c>
      <c r="H85" s="16">
        <v>49.5</v>
      </c>
      <c r="I85" s="22">
        <v>51.1</v>
      </c>
      <c r="J85" s="16">
        <v>2.1</v>
      </c>
      <c r="K85" s="16">
        <v>101.5</v>
      </c>
      <c r="L85" s="20">
        <v>226.79999999999998</v>
      </c>
      <c r="M85" s="20">
        <v>150.60000000000002</v>
      </c>
      <c r="N85" s="20">
        <v>75.900000000000006</v>
      </c>
      <c r="O85" s="16" t="s">
        <v>112</v>
      </c>
      <c r="P85" s="19">
        <v>7</v>
      </c>
    </row>
    <row r="86" spans="1:20" x14ac:dyDescent="0.25">
      <c r="A86" t="s">
        <v>79</v>
      </c>
      <c r="B86" s="16">
        <f>SUM(dataP1[[#This Row],[Eating]:[Hobbies]])</f>
        <v>155.4</v>
      </c>
      <c r="C86" s="16">
        <v>49.8</v>
      </c>
      <c r="D86" s="16">
        <v>25.6</v>
      </c>
      <c r="E86" s="16">
        <v>29.3</v>
      </c>
      <c r="F86" s="16">
        <v>31.2</v>
      </c>
      <c r="G86" s="16">
        <v>19.5</v>
      </c>
      <c r="H86" s="16">
        <v>99.4</v>
      </c>
      <c r="I86" s="23">
        <v>98.7</v>
      </c>
      <c r="J86" s="16">
        <v>20.3</v>
      </c>
      <c r="K86" s="16">
        <v>20.5</v>
      </c>
      <c r="L86" s="20">
        <v>528.29999999999995</v>
      </c>
      <c r="M86" s="20">
        <v>304.5</v>
      </c>
      <c r="N86" s="20">
        <v>152.39999999999998</v>
      </c>
      <c r="O86" s="16" t="s">
        <v>113</v>
      </c>
      <c r="P86" s="19">
        <v>1</v>
      </c>
    </row>
    <row r="87" spans="1:20" x14ac:dyDescent="0.25">
      <c r="A87" t="s">
        <v>80</v>
      </c>
      <c r="B87" s="16">
        <f>SUM(dataP1[[#This Row],[Eating]:[Hobbies]])</f>
        <v>100.60000000000001</v>
      </c>
      <c r="C87" s="16">
        <v>30.6</v>
      </c>
      <c r="D87" s="16">
        <v>9.8000000000000007</v>
      </c>
      <c r="E87" s="16">
        <v>20.399999999999999</v>
      </c>
      <c r="F87" s="16">
        <v>19.5</v>
      </c>
      <c r="G87" s="16">
        <v>20.3</v>
      </c>
      <c r="H87" s="16">
        <v>51.1</v>
      </c>
      <c r="I87" s="22">
        <v>102.3</v>
      </c>
      <c r="J87" s="16">
        <v>9.5</v>
      </c>
      <c r="K87" s="16">
        <v>20.399999999999999</v>
      </c>
      <c r="L87" s="20">
        <v>224.39999999999998</v>
      </c>
      <c r="M87" s="20">
        <v>152.10000000000002</v>
      </c>
      <c r="N87" s="20">
        <v>73.5</v>
      </c>
      <c r="O87" s="16" t="s">
        <v>113</v>
      </c>
      <c r="P87" s="19">
        <v>2</v>
      </c>
    </row>
    <row r="88" spans="1:20" x14ac:dyDescent="0.25">
      <c r="A88" t="s">
        <v>81</v>
      </c>
      <c r="B88" s="16">
        <f>SUM(dataP1[[#This Row],[Eating]:[Hobbies]])</f>
        <v>120.6</v>
      </c>
      <c r="C88" s="16">
        <v>39.799999999999997</v>
      </c>
      <c r="D88" s="16">
        <v>20.399999999999999</v>
      </c>
      <c r="E88" s="16">
        <v>24.6</v>
      </c>
      <c r="F88" s="16">
        <v>25.3</v>
      </c>
      <c r="G88" s="16">
        <v>10.5</v>
      </c>
      <c r="H88" s="16">
        <v>51.2</v>
      </c>
      <c r="I88" s="23">
        <v>100.7</v>
      </c>
      <c r="J88" s="16">
        <v>9.9</v>
      </c>
      <c r="K88" s="16">
        <v>20.3</v>
      </c>
      <c r="L88" s="20">
        <v>225.89999999999998</v>
      </c>
      <c r="M88" s="20">
        <v>151.80000000000001</v>
      </c>
      <c r="N88" s="20">
        <v>75.599999999999994</v>
      </c>
      <c r="O88" s="16" t="s">
        <v>113</v>
      </c>
      <c r="P88" s="19">
        <v>3</v>
      </c>
    </row>
    <row r="89" spans="1:20" x14ac:dyDescent="0.25">
      <c r="A89" t="s">
        <v>82</v>
      </c>
      <c r="B89" s="16">
        <f>SUM(dataP1[[#This Row],[Eating]:[Hobbies]])</f>
        <v>100.50000000000001</v>
      </c>
      <c r="C89" s="16">
        <v>40.5</v>
      </c>
      <c r="D89" s="16">
        <v>14.8</v>
      </c>
      <c r="E89" s="16">
        <v>20.100000000000001</v>
      </c>
      <c r="F89" s="16">
        <v>9.6999999999999993</v>
      </c>
      <c r="G89" s="16">
        <v>15.4</v>
      </c>
      <c r="H89" s="16">
        <v>49.6</v>
      </c>
      <c r="I89" s="22">
        <v>98.5</v>
      </c>
      <c r="J89" s="16">
        <v>10.4</v>
      </c>
      <c r="K89" s="16">
        <v>19.600000000000001</v>
      </c>
      <c r="L89" s="20">
        <v>223.5</v>
      </c>
      <c r="M89" s="20">
        <v>148.80000000000001</v>
      </c>
      <c r="N89" s="20">
        <v>74.099999999999994</v>
      </c>
      <c r="O89" s="16" t="s">
        <v>113</v>
      </c>
      <c r="P89" s="19">
        <v>4</v>
      </c>
    </row>
    <row r="90" spans="1:20" x14ac:dyDescent="0.25">
      <c r="A90" t="s">
        <v>83</v>
      </c>
      <c r="B90" s="16">
        <f>SUM(dataP1[[#This Row],[Eating]:[Hobbies]])</f>
        <v>34.9</v>
      </c>
      <c r="C90" s="16">
        <v>14.7</v>
      </c>
      <c r="D90" s="16">
        <v>5.4</v>
      </c>
      <c r="E90" s="16">
        <v>4.9000000000000004</v>
      </c>
      <c r="F90" s="16">
        <v>4.8</v>
      </c>
      <c r="G90" s="16">
        <v>5.0999999999999996</v>
      </c>
      <c r="H90" s="16">
        <v>51.2</v>
      </c>
      <c r="I90" s="23">
        <v>51.1</v>
      </c>
      <c r="J90" s="16">
        <v>2.1</v>
      </c>
      <c r="K90" s="16">
        <v>9.8000000000000007</v>
      </c>
      <c r="L90" s="20">
        <v>45.599999999999994</v>
      </c>
      <c r="M90" s="20">
        <v>58.800000000000004</v>
      </c>
      <c r="N90" s="20">
        <v>14.100000000000001</v>
      </c>
      <c r="O90" s="16" t="s">
        <v>113</v>
      </c>
      <c r="P90" s="19">
        <v>5</v>
      </c>
    </row>
    <row r="91" spans="1:20" x14ac:dyDescent="0.25">
      <c r="A91" t="s">
        <v>84</v>
      </c>
      <c r="B91" s="16">
        <f>SUM(dataP1[[#This Row],[Eating]:[Hobbies]])</f>
        <v>114.69999999999999</v>
      </c>
      <c r="C91" s="16">
        <v>30.4</v>
      </c>
      <c r="D91" s="16">
        <v>9.6999999999999993</v>
      </c>
      <c r="E91" s="16">
        <v>25.3</v>
      </c>
      <c r="F91" s="16">
        <v>24.8</v>
      </c>
      <c r="G91" s="16">
        <v>24.5</v>
      </c>
      <c r="H91" s="16">
        <v>98.9</v>
      </c>
      <c r="I91" s="22">
        <v>49.5</v>
      </c>
      <c r="J91" s="16">
        <v>5.3</v>
      </c>
      <c r="K91" s="16">
        <v>101.5</v>
      </c>
      <c r="L91" s="20">
        <v>226.79999999999998</v>
      </c>
      <c r="M91" s="20">
        <v>151.19999999999999</v>
      </c>
      <c r="N91" s="20">
        <v>75.300000000000011</v>
      </c>
      <c r="O91" s="16" t="s">
        <v>113</v>
      </c>
      <c r="P91" s="19">
        <v>6</v>
      </c>
    </row>
    <row r="92" spans="1:20" x14ac:dyDescent="0.25">
      <c r="A92" t="s">
        <v>85</v>
      </c>
      <c r="B92" s="16">
        <f>SUM(dataP1[[#This Row],[Eating]:[Hobbies]])</f>
        <v>120</v>
      </c>
      <c r="C92" s="16">
        <v>40</v>
      </c>
      <c r="D92" s="16">
        <v>20</v>
      </c>
      <c r="E92" s="16">
        <v>25</v>
      </c>
      <c r="F92" s="16">
        <v>25</v>
      </c>
      <c r="G92" s="16">
        <v>10</v>
      </c>
      <c r="H92" s="16">
        <v>50</v>
      </c>
      <c r="I92" s="23">
        <v>100</v>
      </c>
      <c r="J92" s="16">
        <v>10</v>
      </c>
      <c r="K92" s="16">
        <v>20</v>
      </c>
      <c r="L92" s="20">
        <v>225</v>
      </c>
      <c r="M92" s="20">
        <v>150</v>
      </c>
      <c r="N92" s="20">
        <v>75</v>
      </c>
      <c r="O92" s="16" t="s">
        <v>113</v>
      </c>
      <c r="P92" s="19">
        <v>7</v>
      </c>
    </row>
    <row r="95" spans="1:20" x14ac:dyDescent="0.25">
      <c r="A95" s="11" t="s">
        <v>50</v>
      </c>
      <c r="B95" t="s">
        <v>118</v>
      </c>
      <c r="C95" t="s">
        <v>54</v>
      </c>
      <c r="D95" t="s">
        <v>122</v>
      </c>
      <c r="E95" t="s">
        <v>98</v>
      </c>
      <c r="F95" t="s">
        <v>99</v>
      </c>
      <c r="G95" t="s">
        <v>100</v>
      </c>
      <c r="H95" t="s">
        <v>101</v>
      </c>
      <c r="I95" t="s">
        <v>102</v>
      </c>
      <c r="J95" t="s">
        <v>103</v>
      </c>
      <c r="K95" t="s">
        <v>104</v>
      </c>
      <c r="L95" t="s">
        <v>105</v>
      </c>
      <c r="M95" t="s">
        <v>106</v>
      </c>
      <c r="N95" t="s">
        <v>107</v>
      </c>
      <c r="O95" t="s">
        <v>108</v>
      </c>
    </row>
    <row r="96" spans="1:20" x14ac:dyDescent="0.25">
      <c r="A96" s="10" t="s">
        <v>81</v>
      </c>
      <c r="B96">
        <v>3</v>
      </c>
      <c r="C96">
        <v>120.6</v>
      </c>
      <c r="D96" s="20">
        <v>39.799999999999997</v>
      </c>
      <c r="E96">
        <v>20.399999999999999</v>
      </c>
      <c r="F96">
        <v>24.6</v>
      </c>
      <c r="G96">
        <v>25.3</v>
      </c>
      <c r="H96">
        <v>10.5</v>
      </c>
      <c r="I96">
        <v>51.2</v>
      </c>
      <c r="J96">
        <v>100.7</v>
      </c>
      <c r="K96">
        <v>9.9</v>
      </c>
      <c r="L96">
        <v>20.3</v>
      </c>
      <c r="M96">
        <v>225.89999999999998</v>
      </c>
      <c r="N96">
        <v>151.80000000000001</v>
      </c>
      <c r="O96">
        <v>75.599999999999994</v>
      </c>
    </row>
    <row r="97" spans="1:15" x14ac:dyDescent="0.25">
      <c r="A97" s="10" t="s">
        <v>51</v>
      </c>
      <c r="B97">
        <v>3</v>
      </c>
      <c r="C97">
        <v>120.6</v>
      </c>
      <c r="D97" s="20">
        <v>39.799999999999997</v>
      </c>
      <c r="E97">
        <v>20.399999999999999</v>
      </c>
      <c r="F97">
        <v>24.6</v>
      </c>
      <c r="G97">
        <v>25.3</v>
      </c>
      <c r="H97">
        <v>10.5</v>
      </c>
      <c r="I97">
        <v>51.2</v>
      </c>
      <c r="J97">
        <v>100.7</v>
      </c>
      <c r="K97">
        <v>9.9</v>
      </c>
      <c r="L97">
        <v>20.3</v>
      </c>
      <c r="M97">
        <v>225.89999999999998</v>
      </c>
      <c r="N97">
        <v>151.80000000000001</v>
      </c>
      <c r="O97">
        <v>75.599999999999994</v>
      </c>
    </row>
    <row r="105" spans="1:15" x14ac:dyDescent="0.25">
      <c r="A105" s="11" t="s">
        <v>50</v>
      </c>
      <c r="B105" t="s">
        <v>54</v>
      </c>
    </row>
    <row r="106" spans="1:15" x14ac:dyDescent="0.25">
      <c r="A106" s="10" t="s">
        <v>79</v>
      </c>
      <c r="B106">
        <v>155.4</v>
      </c>
    </row>
    <row r="107" spans="1:15" x14ac:dyDescent="0.25">
      <c r="A107" s="10" t="s">
        <v>80</v>
      </c>
      <c r="B107">
        <v>100.60000000000001</v>
      </c>
    </row>
    <row r="108" spans="1:15" x14ac:dyDescent="0.25">
      <c r="A108" s="10" t="s">
        <v>81</v>
      </c>
      <c r="B108">
        <v>120.6</v>
      </c>
    </row>
    <row r="109" spans="1:15" x14ac:dyDescent="0.25">
      <c r="A109" s="10" t="s">
        <v>82</v>
      </c>
      <c r="B109">
        <v>100.50000000000001</v>
      </c>
    </row>
    <row r="110" spans="1:15" x14ac:dyDescent="0.25">
      <c r="A110" s="10" t="s">
        <v>83</v>
      </c>
      <c r="B110">
        <v>34.9</v>
      </c>
    </row>
    <row r="111" spans="1:15" x14ac:dyDescent="0.25">
      <c r="A111" s="10" t="s">
        <v>84</v>
      </c>
      <c r="B111">
        <v>114.69999999999999</v>
      </c>
    </row>
    <row r="112" spans="1:15" x14ac:dyDescent="0.25">
      <c r="A112" s="10" t="s">
        <v>85</v>
      </c>
      <c r="B112">
        <v>120</v>
      </c>
    </row>
    <row r="113" spans="1:2" x14ac:dyDescent="0.25">
      <c r="A113" s="10" t="s">
        <v>51</v>
      </c>
      <c r="B113">
        <v>746.7</v>
      </c>
    </row>
    <row r="116" spans="1:2" x14ac:dyDescent="0.25">
      <c r="A116" s="11" t="s">
        <v>50</v>
      </c>
    </row>
    <row r="117" spans="1:2" x14ac:dyDescent="0.25">
      <c r="A117" s="10" t="s">
        <v>113</v>
      </c>
    </row>
    <row r="118" spans="1:2" x14ac:dyDescent="0.25">
      <c r="A118" s="10" t="s">
        <v>51</v>
      </c>
    </row>
  </sheetData>
  <phoneticPr fontId="3" type="noConversion"/>
  <pageMargins left="0.7" right="0.7" top="0.75" bottom="0.75" header="0.3" footer="0.3"/>
  <drawing r:id="rId4"/>
  <tableParts count="1">
    <tablePart r:id="rId5"/>
  </tableParts>
  <extLst>
    <ext xmlns:x14="http://schemas.microsoft.com/office/spreadsheetml/2009/9/main" uri="{A8765BA9-456A-4dab-B4F3-ACF838C121DE}">
      <x14:slicerList>
        <x14:slicer r:id="rId6"/>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0FF46E-1103-4502-8DD7-73F5E9F6AFF2}">
  <dimension ref="A46:AA97"/>
  <sheetViews>
    <sheetView showRowColHeaders="0" topLeftCell="A10" zoomScale="90" zoomScaleNormal="90" workbookViewId="0">
      <selection activeCell="J55" sqref="J55:P56"/>
    </sheetView>
  </sheetViews>
  <sheetFormatPr defaultRowHeight="15" x14ac:dyDescent="0.25"/>
  <cols>
    <col min="1" max="1" width="12.42578125" bestFit="1" customWidth="1"/>
    <col min="2" max="2" width="11.7109375" bestFit="1" customWidth="1"/>
    <col min="7" max="8" width="12" bestFit="1" customWidth="1"/>
    <col min="22" max="22" width="11.28515625" bestFit="1" customWidth="1"/>
    <col min="23" max="23" width="10.28515625" bestFit="1" customWidth="1"/>
    <col min="24" max="24" width="11.28515625" bestFit="1" customWidth="1"/>
  </cols>
  <sheetData>
    <row r="46" spans="1:22" x14ac:dyDescent="0.25">
      <c r="H46" t="s">
        <v>123</v>
      </c>
    </row>
    <row r="47" spans="1:22" x14ac:dyDescent="0.25">
      <c r="C47" t="s">
        <v>131</v>
      </c>
      <c r="D47" t="s">
        <v>132</v>
      </c>
      <c r="E47" t="s">
        <v>133</v>
      </c>
      <c r="F47" t="s">
        <v>134</v>
      </c>
      <c r="G47" t="s">
        <v>135</v>
      </c>
      <c r="H47" s="14" t="s">
        <v>166</v>
      </c>
      <c r="I47" s="14" t="s">
        <v>167</v>
      </c>
      <c r="J47" s="14" t="s">
        <v>125</v>
      </c>
      <c r="S47" s="4" t="s">
        <v>40</v>
      </c>
      <c r="T47" s="3"/>
      <c r="U47" s="31" t="s">
        <v>148</v>
      </c>
      <c r="V47" s="31" t="s">
        <v>149</v>
      </c>
    </row>
    <row r="48" spans="1:22" x14ac:dyDescent="0.25">
      <c r="A48" t="s">
        <v>121</v>
      </c>
      <c r="B48" s="12" t="str">
        <f>LEFT(A48,1)</f>
        <v>E</v>
      </c>
      <c r="C48" s="6" t="e">
        <v>#N/A</v>
      </c>
      <c r="D48" s="3">
        <v>131</v>
      </c>
      <c r="E48" s="6" t="e">
        <v>#N/A</v>
      </c>
      <c r="F48" s="6" t="e">
        <v>#N/A</v>
      </c>
      <c r="G48" s="3">
        <v>100</v>
      </c>
      <c r="H48" t="s">
        <v>131</v>
      </c>
      <c r="I48" t="str">
        <f>LEFT(H48,1)</f>
        <v>T</v>
      </c>
      <c r="J48">
        <v>315</v>
      </c>
      <c r="M48">
        <v>72</v>
      </c>
      <c r="N48">
        <v>72</v>
      </c>
      <c r="O48">
        <v>72</v>
      </c>
      <c r="P48">
        <v>72</v>
      </c>
      <c r="Q48">
        <v>72</v>
      </c>
      <c r="S48" s="5">
        <v>0.75</v>
      </c>
      <c r="T48" s="5">
        <f>1-S48</f>
        <v>0.25</v>
      </c>
      <c r="U48" s="30">
        <v>0</v>
      </c>
      <c r="V48" s="30">
        <v>1</v>
      </c>
    </row>
    <row r="49" spans="1:26" x14ac:dyDescent="0.25">
      <c r="A49" t="s">
        <v>90</v>
      </c>
      <c r="B49" s="12" t="str">
        <f>LEFT(A49,1)</f>
        <v>F</v>
      </c>
      <c r="C49" s="6" t="e">
        <v>#N/A</v>
      </c>
      <c r="D49" s="3">
        <v>102</v>
      </c>
      <c r="E49" s="6" t="e">
        <v>#N/A</v>
      </c>
      <c r="F49" s="6" t="e">
        <v>#N/A</v>
      </c>
      <c r="G49" s="3">
        <v>123</v>
      </c>
      <c r="H49" t="s">
        <v>132</v>
      </c>
      <c r="I49" t="str">
        <f t="shared" ref="I49:I52" si="0">LEFT(H49,1)</f>
        <v>F</v>
      </c>
      <c r="J49">
        <v>524</v>
      </c>
      <c r="M49">
        <v>72</v>
      </c>
      <c r="N49">
        <v>72</v>
      </c>
      <c r="O49">
        <v>72</v>
      </c>
      <c r="P49">
        <v>72</v>
      </c>
      <c r="Q49">
        <v>72</v>
      </c>
      <c r="U49" s="30">
        <f>SIN(S48*2*PI())</f>
        <v>-1</v>
      </c>
      <c r="V49" s="30">
        <f>COS(T48*2*PI())</f>
        <v>6.1257422745431001E-17</v>
      </c>
    </row>
    <row r="50" spans="1:26" x14ac:dyDescent="0.25">
      <c r="A50" t="s">
        <v>87</v>
      </c>
      <c r="B50" s="12" t="str">
        <f>LEFT(A50,1)</f>
        <v>L</v>
      </c>
      <c r="C50" s="6" t="e">
        <v>#N/A</v>
      </c>
      <c r="D50" s="3">
        <v>85</v>
      </c>
      <c r="E50" s="6" t="e">
        <v>#N/A</v>
      </c>
      <c r="F50" s="6" t="e">
        <v>#N/A</v>
      </c>
      <c r="G50" s="3">
        <v>118</v>
      </c>
      <c r="H50" t="s">
        <v>133</v>
      </c>
      <c r="I50" t="str">
        <f t="shared" si="0"/>
        <v>S</v>
      </c>
      <c r="J50">
        <v>428</v>
      </c>
      <c r="M50">
        <v>72</v>
      </c>
      <c r="N50">
        <v>72</v>
      </c>
      <c r="O50">
        <v>72</v>
      </c>
      <c r="P50">
        <v>72</v>
      </c>
      <c r="Q50">
        <v>72</v>
      </c>
    </row>
    <row r="51" spans="1:26" x14ac:dyDescent="0.25">
      <c r="A51" t="s">
        <v>88</v>
      </c>
      <c r="B51" s="12" t="str">
        <f>LEFT(A51,1)</f>
        <v>S</v>
      </c>
      <c r="C51" s="6" t="e">
        <v>#N/A</v>
      </c>
      <c r="D51" s="3">
        <v>112</v>
      </c>
      <c r="E51" s="6" t="e">
        <v>#N/A</v>
      </c>
      <c r="F51" s="6" t="e">
        <v>#N/A</v>
      </c>
      <c r="G51" s="3">
        <v>85</v>
      </c>
      <c r="H51" t="s">
        <v>134</v>
      </c>
      <c r="I51" t="str">
        <f t="shared" si="0"/>
        <v>E</v>
      </c>
      <c r="J51">
        <v>754</v>
      </c>
      <c r="M51">
        <v>72</v>
      </c>
      <c r="N51">
        <v>72</v>
      </c>
      <c r="O51">
        <v>72</v>
      </c>
      <c r="P51">
        <v>72</v>
      </c>
      <c r="Q51">
        <v>72</v>
      </c>
    </row>
    <row r="52" spans="1:26" x14ac:dyDescent="0.25">
      <c r="A52" t="s">
        <v>89</v>
      </c>
      <c r="B52" s="12" t="str">
        <f>LEFT(A52,1)</f>
        <v>H</v>
      </c>
      <c r="C52" s="6" t="e">
        <v>#N/A</v>
      </c>
      <c r="D52" s="3">
        <v>104</v>
      </c>
      <c r="E52" s="6" t="e">
        <v>#N/A</v>
      </c>
      <c r="F52" s="6" t="e">
        <v>#N/A</v>
      </c>
      <c r="G52" s="3">
        <v>78</v>
      </c>
      <c r="H52" t="s">
        <v>135</v>
      </c>
      <c r="I52" t="str">
        <f t="shared" si="0"/>
        <v>W</v>
      </c>
      <c r="J52">
        <v>525</v>
      </c>
    </row>
    <row r="53" spans="1:26" x14ac:dyDescent="0.25">
      <c r="B53" t="s">
        <v>16</v>
      </c>
      <c r="C53" s="3" t="e">
        <f>SUM(C48:C52)</f>
        <v>#N/A</v>
      </c>
      <c r="D53" s="3">
        <f t="shared" ref="D53:G53" si="1">SUM(D48:D52)</f>
        <v>534</v>
      </c>
      <c r="E53" s="3" t="e">
        <f t="shared" si="1"/>
        <v>#N/A</v>
      </c>
      <c r="F53" s="3" t="e">
        <f t="shared" si="1"/>
        <v>#N/A</v>
      </c>
      <c r="G53" s="3">
        <f t="shared" si="1"/>
        <v>504</v>
      </c>
    </row>
    <row r="54" spans="1:26" x14ac:dyDescent="0.25">
      <c r="B54" t="s">
        <v>160</v>
      </c>
      <c r="C54" s="3">
        <f>C56</f>
        <v>37.700000000000003</v>
      </c>
      <c r="D54" s="3">
        <f t="shared" ref="D54:G54" si="2">D56</f>
        <v>37.700000000000003</v>
      </c>
      <c r="E54" s="3">
        <f t="shared" si="2"/>
        <v>37.700000000000003</v>
      </c>
      <c r="F54" s="3">
        <f t="shared" si="2"/>
        <v>37.700000000000003</v>
      </c>
      <c r="G54" s="3">
        <f t="shared" si="2"/>
        <v>37.700000000000003</v>
      </c>
      <c r="S54" t="s">
        <v>164</v>
      </c>
    </row>
    <row r="55" spans="1:26" ht="15" customHeight="1" x14ac:dyDescent="0.25">
      <c r="B55" t="s">
        <v>165</v>
      </c>
      <c r="C55" s="3">
        <v>315</v>
      </c>
      <c r="D55" s="3">
        <v>524</v>
      </c>
      <c r="E55" s="3">
        <v>428</v>
      </c>
      <c r="F55" s="3">
        <v>754</v>
      </c>
      <c r="G55" s="3">
        <v>525</v>
      </c>
      <c r="S55" s="4" t="s">
        <v>0</v>
      </c>
      <c r="T55" s="4" t="s">
        <v>26</v>
      </c>
      <c r="U55" s="4" t="s">
        <v>124</v>
      </c>
      <c r="V55" s="29" t="s">
        <v>160</v>
      </c>
      <c r="W55" s="4" t="s">
        <v>16</v>
      </c>
      <c r="X55" s="4" t="s">
        <v>159</v>
      </c>
      <c r="Y55" s="4" t="s">
        <v>162</v>
      </c>
      <c r="Z55" s="4" t="s">
        <v>161</v>
      </c>
    </row>
    <row r="56" spans="1:26" ht="15" customHeight="1" x14ac:dyDescent="0.25">
      <c r="B56" t="s">
        <v>26</v>
      </c>
      <c r="C56" s="3">
        <f>$H$56</f>
        <v>37.700000000000003</v>
      </c>
      <c r="D56" s="3">
        <f t="shared" ref="D56:G56" si="3">$H$56</f>
        <v>37.700000000000003</v>
      </c>
      <c r="E56" s="3">
        <f t="shared" si="3"/>
        <v>37.700000000000003</v>
      </c>
      <c r="F56" s="3">
        <f t="shared" si="3"/>
        <v>37.700000000000003</v>
      </c>
      <c r="G56" s="3">
        <f t="shared" si="3"/>
        <v>37.700000000000003</v>
      </c>
      <c r="H56">
        <f>MAX(C55:G55)*5%</f>
        <v>37.700000000000003</v>
      </c>
      <c r="S56" s="3" t="s">
        <v>1</v>
      </c>
      <c r="T56" s="3">
        <f>$T$68</f>
        <v>176.8</v>
      </c>
      <c r="U56" s="3">
        <v>1245</v>
      </c>
      <c r="V56">
        <f>T56</f>
        <v>176.8</v>
      </c>
      <c r="W56" t="e">
        <v>#N/A</v>
      </c>
      <c r="X56" s="3">
        <v>1623</v>
      </c>
      <c r="Y56" t="e">
        <f>W56+T56</f>
        <v>#N/A</v>
      </c>
      <c r="Z56" t="e">
        <f t="shared" ref="Z56:Z67" si="4">IF(W56&gt;=1000,TEXT(ROUND(W56/1000,0),"0")&amp;"k",W56)</f>
        <v>#N/A</v>
      </c>
    </row>
    <row r="57" spans="1:26" x14ac:dyDescent="0.25">
      <c r="B57" s="3" t="s">
        <v>162</v>
      </c>
      <c r="C57" t="e">
        <f>C53+C54</f>
        <v>#N/A</v>
      </c>
      <c r="D57">
        <f t="shared" ref="D57:G57" si="5">D53+D54</f>
        <v>571.70000000000005</v>
      </c>
      <c r="E57" t="e">
        <f t="shared" si="5"/>
        <v>#N/A</v>
      </c>
      <c r="F57" t="e">
        <f t="shared" si="5"/>
        <v>#N/A</v>
      </c>
      <c r="G57">
        <f t="shared" si="5"/>
        <v>541.70000000000005</v>
      </c>
      <c r="S57" s="3" t="s">
        <v>2</v>
      </c>
      <c r="T57" s="3">
        <f t="shared" ref="T57:T67" si="6">$T$68</f>
        <v>176.8</v>
      </c>
      <c r="U57" s="3">
        <v>2555</v>
      </c>
      <c r="V57">
        <f t="shared" ref="V57:V67" si="7">T57</f>
        <v>176.8</v>
      </c>
      <c r="W57" t="e">
        <v>#N/A</v>
      </c>
      <c r="X57" s="3">
        <v>2535</v>
      </c>
      <c r="Y57" t="e">
        <f t="shared" ref="Y57:Y67" si="8">W57+T57</f>
        <v>#N/A</v>
      </c>
      <c r="Z57" t="e">
        <f t="shared" si="4"/>
        <v>#N/A</v>
      </c>
    </row>
    <row r="58" spans="1:26" x14ac:dyDescent="0.25">
      <c r="B58" s="3"/>
      <c r="S58" s="3" t="s">
        <v>3</v>
      </c>
      <c r="T58" s="3">
        <f t="shared" si="6"/>
        <v>176.8</v>
      </c>
      <c r="U58" s="3">
        <v>2955</v>
      </c>
      <c r="V58">
        <f t="shared" si="7"/>
        <v>176.8</v>
      </c>
      <c r="W58" t="e">
        <v>#N/A</v>
      </c>
      <c r="X58" s="3">
        <v>1959</v>
      </c>
      <c r="Y58" t="e">
        <f t="shared" si="8"/>
        <v>#N/A</v>
      </c>
      <c r="Z58" t="e">
        <f t="shared" si="4"/>
        <v>#N/A</v>
      </c>
    </row>
    <row r="59" spans="1:26" x14ac:dyDescent="0.25">
      <c r="S59" s="3" t="s">
        <v>4</v>
      </c>
      <c r="T59" s="3">
        <f t="shared" si="6"/>
        <v>176.8</v>
      </c>
      <c r="U59" s="3">
        <v>3260</v>
      </c>
      <c r="V59">
        <f t="shared" si="7"/>
        <v>176.8</v>
      </c>
      <c r="W59" t="e">
        <v>#N/A</v>
      </c>
      <c r="X59" s="3">
        <v>2877</v>
      </c>
      <c r="Y59" t="e">
        <f t="shared" si="8"/>
        <v>#N/A</v>
      </c>
      <c r="Z59" t="e">
        <f t="shared" si="4"/>
        <v>#N/A</v>
      </c>
    </row>
    <row r="60" spans="1:26" x14ac:dyDescent="0.25">
      <c r="B60" t="s">
        <v>137</v>
      </c>
      <c r="C60">
        <v>1</v>
      </c>
      <c r="D60">
        <v>2</v>
      </c>
      <c r="E60">
        <v>3</v>
      </c>
      <c r="F60">
        <v>4</v>
      </c>
      <c r="G60">
        <v>5</v>
      </c>
      <c r="H60">
        <v>6</v>
      </c>
      <c r="I60">
        <v>7</v>
      </c>
      <c r="K60" s="3" t="s">
        <v>141</v>
      </c>
      <c r="L60" s="3" t="s">
        <v>142</v>
      </c>
      <c r="M60" s="3" t="s">
        <v>143</v>
      </c>
      <c r="N60" s="3" t="s">
        <v>144</v>
      </c>
      <c r="O60" s="3" t="s">
        <v>145</v>
      </c>
      <c r="P60" s="3" t="s">
        <v>146</v>
      </c>
      <c r="Q60" s="3" t="s">
        <v>147</v>
      </c>
      <c r="S60" s="3" t="s">
        <v>5</v>
      </c>
      <c r="T60" s="3">
        <f t="shared" si="6"/>
        <v>176.8</v>
      </c>
      <c r="U60" s="3">
        <v>2675</v>
      </c>
      <c r="V60">
        <f t="shared" si="7"/>
        <v>176.8</v>
      </c>
      <c r="W60" t="e">
        <v>#N/A</v>
      </c>
      <c r="X60" s="3">
        <v>1968</v>
      </c>
      <c r="Y60" t="e">
        <f t="shared" si="8"/>
        <v>#N/A</v>
      </c>
      <c r="Z60" t="e">
        <f t="shared" si="4"/>
        <v>#N/A</v>
      </c>
    </row>
    <row r="61" spans="1:26" x14ac:dyDescent="0.25">
      <c r="B61">
        <v>1</v>
      </c>
      <c r="C61">
        <v>1</v>
      </c>
      <c r="D61">
        <v>3</v>
      </c>
      <c r="E61">
        <v>3</v>
      </c>
      <c r="F61">
        <v>2</v>
      </c>
      <c r="G61">
        <v>2</v>
      </c>
      <c r="H61">
        <v>4</v>
      </c>
      <c r="I61">
        <v>4</v>
      </c>
      <c r="K61" t="b">
        <v>1</v>
      </c>
      <c r="L61" t="b">
        <v>0</v>
      </c>
      <c r="M61" t="b">
        <v>0</v>
      </c>
      <c r="N61" t="b">
        <v>0</v>
      </c>
      <c r="O61" t="b">
        <v>0</v>
      </c>
      <c r="P61" t="b">
        <v>0</v>
      </c>
      <c r="Q61" t="b">
        <v>0</v>
      </c>
      <c r="S61" s="3" t="s">
        <v>6</v>
      </c>
      <c r="T61" s="3">
        <f t="shared" si="6"/>
        <v>176.8</v>
      </c>
      <c r="U61" s="3">
        <v>3020</v>
      </c>
      <c r="V61">
        <f t="shared" si="7"/>
        <v>176.8</v>
      </c>
      <c r="W61" t="e">
        <v>#N/A</v>
      </c>
      <c r="X61" s="3">
        <v>3180</v>
      </c>
      <c r="Y61" t="e">
        <f t="shared" si="8"/>
        <v>#N/A</v>
      </c>
      <c r="Z61" t="e">
        <f t="shared" si="4"/>
        <v>#N/A</v>
      </c>
    </row>
    <row r="62" spans="1:26" x14ac:dyDescent="0.25">
      <c r="B62">
        <v>2</v>
      </c>
      <c r="C62">
        <v>2</v>
      </c>
      <c r="D62">
        <v>3</v>
      </c>
      <c r="E62">
        <v>3</v>
      </c>
      <c r="F62">
        <v>4</v>
      </c>
      <c r="G62">
        <v>3</v>
      </c>
      <c r="H62">
        <v>2</v>
      </c>
      <c r="I62">
        <v>4</v>
      </c>
      <c r="K62" t="b">
        <v>0</v>
      </c>
      <c r="L62" t="b">
        <v>0</v>
      </c>
      <c r="M62" t="b">
        <v>0</v>
      </c>
      <c r="N62" t="b">
        <v>1</v>
      </c>
      <c r="O62" t="b">
        <v>1</v>
      </c>
      <c r="P62" t="b">
        <v>0</v>
      </c>
      <c r="Q62" t="b">
        <v>0</v>
      </c>
      <c r="S62" s="3" t="s">
        <v>7</v>
      </c>
      <c r="T62" s="3">
        <f t="shared" si="6"/>
        <v>176.8</v>
      </c>
      <c r="U62" s="3">
        <v>3655</v>
      </c>
      <c r="V62">
        <f t="shared" si="7"/>
        <v>176.8</v>
      </c>
      <c r="W62" t="e">
        <v>#N/A</v>
      </c>
      <c r="X62" s="3">
        <v>1921</v>
      </c>
      <c r="Y62" t="e">
        <f t="shared" si="8"/>
        <v>#N/A</v>
      </c>
      <c r="Z62" t="e">
        <f t="shared" si="4"/>
        <v>#N/A</v>
      </c>
    </row>
    <row r="63" spans="1:26" x14ac:dyDescent="0.25">
      <c r="B63">
        <v>3</v>
      </c>
      <c r="C63">
        <v>3</v>
      </c>
      <c r="D63">
        <v>3</v>
      </c>
      <c r="E63">
        <v>2</v>
      </c>
      <c r="F63">
        <v>2</v>
      </c>
      <c r="G63">
        <v>2</v>
      </c>
      <c r="H63">
        <v>2</v>
      </c>
      <c r="I63">
        <v>3</v>
      </c>
      <c r="K63" t="b">
        <v>0</v>
      </c>
      <c r="L63" t="b">
        <v>1</v>
      </c>
      <c r="M63" t="b">
        <v>1</v>
      </c>
      <c r="N63" t="b">
        <v>0</v>
      </c>
      <c r="O63" t="b">
        <v>0</v>
      </c>
      <c r="P63" t="b">
        <v>0</v>
      </c>
      <c r="Q63" t="b">
        <v>0</v>
      </c>
      <c r="S63" s="3" t="s">
        <v>8</v>
      </c>
      <c r="T63" s="3">
        <f t="shared" si="6"/>
        <v>176.8</v>
      </c>
      <c r="U63" s="3">
        <v>3000</v>
      </c>
      <c r="V63">
        <f t="shared" si="7"/>
        <v>176.8</v>
      </c>
      <c r="W63" t="e">
        <v>#N/A</v>
      </c>
      <c r="X63" s="3">
        <v>3068</v>
      </c>
      <c r="Y63" t="e">
        <f t="shared" si="8"/>
        <v>#N/A</v>
      </c>
      <c r="Z63" t="e">
        <f t="shared" si="4"/>
        <v>#N/A</v>
      </c>
    </row>
    <row r="64" spans="1:26" x14ac:dyDescent="0.25">
      <c r="B64">
        <v>4</v>
      </c>
      <c r="C64">
        <v>3</v>
      </c>
      <c r="D64">
        <v>3</v>
      </c>
      <c r="E64">
        <v>3</v>
      </c>
      <c r="F64">
        <v>3</v>
      </c>
      <c r="G64">
        <v>2</v>
      </c>
      <c r="H64">
        <v>2</v>
      </c>
      <c r="I64">
        <v>2</v>
      </c>
      <c r="K64" t="b">
        <v>0</v>
      </c>
      <c r="L64" t="b">
        <v>0</v>
      </c>
      <c r="M64" t="b">
        <v>0</v>
      </c>
      <c r="N64" t="b">
        <v>0</v>
      </c>
      <c r="O64" t="b">
        <v>0</v>
      </c>
      <c r="P64" t="b">
        <v>1</v>
      </c>
      <c r="Q64" t="b">
        <v>1</v>
      </c>
      <c r="S64" s="3" t="s">
        <v>9</v>
      </c>
      <c r="T64" s="3">
        <f t="shared" si="6"/>
        <v>176.8</v>
      </c>
      <c r="U64" s="3">
        <v>3445</v>
      </c>
      <c r="V64">
        <f t="shared" si="7"/>
        <v>176.8</v>
      </c>
      <c r="W64" s="3">
        <f>U64</f>
        <v>3445</v>
      </c>
      <c r="X64" s="3">
        <v>2527</v>
      </c>
      <c r="Y64">
        <f t="shared" si="8"/>
        <v>3621.8</v>
      </c>
      <c r="Z64" t="str">
        <f t="shared" si="4"/>
        <v>3k</v>
      </c>
    </row>
    <row r="65" spans="2:27" x14ac:dyDescent="0.25">
      <c r="B65">
        <v>5</v>
      </c>
      <c r="C65">
        <v>3</v>
      </c>
      <c r="D65">
        <v>3</v>
      </c>
      <c r="E65">
        <v>2</v>
      </c>
      <c r="F65">
        <v>1</v>
      </c>
      <c r="G65">
        <v>1</v>
      </c>
      <c r="H65">
        <v>1</v>
      </c>
      <c r="I65">
        <v>1</v>
      </c>
      <c r="K65" t="b">
        <v>0</v>
      </c>
      <c r="L65" t="b">
        <v>0</v>
      </c>
      <c r="M65" t="b">
        <v>0</v>
      </c>
      <c r="N65" t="b">
        <v>0</v>
      </c>
      <c r="O65" t="b">
        <v>0</v>
      </c>
      <c r="P65" t="b">
        <v>0</v>
      </c>
      <c r="Q65" t="b">
        <v>0</v>
      </c>
      <c r="S65" s="3" t="s">
        <v>10</v>
      </c>
      <c r="T65" s="3">
        <f t="shared" si="6"/>
        <v>176.8</v>
      </c>
      <c r="U65" s="3">
        <v>4040</v>
      </c>
      <c r="V65">
        <f t="shared" si="7"/>
        <v>176.8</v>
      </c>
      <c r="W65" t="e">
        <v>#N/A</v>
      </c>
      <c r="X65" s="3">
        <v>3467</v>
      </c>
      <c r="Y65" t="e">
        <f t="shared" si="8"/>
        <v>#N/A</v>
      </c>
      <c r="Z65" t="e">
        <f t="shared" si="4"/>
        <v>#N/A</v>
      </c>
    </row>
    <row r="66" spans="2:27" x14ac:dyDescent="0.25">
      <c r="B66">
        <v>6</v>
      </c>
      <c r="C66">
        <v>1</v>
      </c>
      <c r="D66">
        <v>1</v>
      </c>
      <c r="E66">
        <v>1</v>
      </c>
      <c r="F66">
        <v>1</v>
      </c>
      <c r="G66">
        <v>1</v>
      </c>
      <c r="H66">
        <v>1</v>
      </c>
      <c r="I66">
        <v>1</v>
      </c>
      <c r="K66" t="b">
        <v>1</v>
      </c>
      <c r="L66" t="b">
        <v>0</v>
      </c>
      <c r="M66" t="b">
        <v>0</v>
      </c>
      <c r="N66" t="b">
        <v>0</v>
      </c>
      <c r="O66" t="b">
        <v>0</v>
      </c>
      <c r="P66" t="b">
        <v>1</v>
      </c>
      <c r="Q66" t="b">
        <v>0</v>
      </c>
      <c r="S66" s="3" t="s">
        <v>11</v>
      </c>
      <c r="T66" s="3">
        <f t="shared" si="6"/>
        <v>176.8</v>
      </c>
      <c r="U66" s="3">
        <v>3695</v>
      </c>
      <c r="V66">
        <f t="shared" si="7"/>
        <v>176.8</v>
      </c>
      <c r="W66" t="e">
        <v>#N/A</v>
      </c>
      <c r="X66" s="3">
        <v>2716</v>
      </c>
      <c r="Y66" t="e">
        <f t="shared" si="8"/>
        <v>#N/A</v>
      </c>
      <c r="Z66" t="e">
        <f t="shared" si="4"/>
        <v>#N/A</v>
      </c>
    </row>
    <row r="67" spans="2:27" x14ac:dyDescent="0.25">
      <c r="B67" t="s">
        <v>138</v>
      </c>
      <c r="C67" t="b">
        <v>1</v>
      </c>
      <c r="E67" t="s">
        <v>139</v>
      </c>
      <c r="K67" t="b">
        <v>0</v>
      </c>
      <c r="L67" t="b">
        <v>1</v>
      </c>
      <c r="M67" t="b">
        <v>1</v>
      </c>
      <c r="N67" t="b">
        <v>0</v>
      </c>
      <c r="O67" t="b">
        <v>1</v>
      </c>
      <c r="P67" t="b">
        <v>0</v>
      </c>
      <c r="Q67" t="b">
        <v>0</v>
      </c>
      <c r="S67" s="3" t="s">
        <v>12</v>
      </c>
      <c r="T67" s="3">
        <f t="shared" si="6"/>
        <v>176.8</v>
      </c>
      <c r="U67" s="3">
        <v>4420</v>
      </c>
      <c r="V67">
        <f t="shared" si="7"/>
        <v>176.8</v>
      </c>
      <c r="W67" t="e">
        <v>#N/A</v>
      </c>
      <c r="X67" s="3">
        <v>3608</v>
      </c>
      <c r="Y67" t="e">
        <f t="shared" si="8"/>
        <v>#N/A</v>
      </c>
      <c r="Z67" t="e">
        <f t="shared" si="4"/>
        <v>#N/A</v>
      </c>
    </row>
    <row r="68" spans="2:27" x14ac:dyDescent="0.25">
      <c r="B68" t="s">
        <v>38</v>
      </c>
      <c r="C68" t="s">
        <v>140</v>
      </c>
      <c r="D68">
        <v>1</v>
      </c>
      <c r="E68">
        <v>2</v>
      </c>
      <c r="F68">
        <v>3</v>
      </c>
      <c r="G68">
        <v>4</v>
      </c>
      <c r="H68">
        <v>5</v>
      </c>
      <c r="I68">
        <v>6</v>
      </c>
      <c r="K68" t="b">
        <v>0</v>
      </c>
      <c r="L68" t="b">
        <v>0</v>
      </c>
      <c r="M68" t="b">
        <v>0</v>
      </c>
      <c r="N68" t="b">
        <v>1</v>
      </c>
      <c r="O68" t="b">
        <v>0</v>
      </c>
      <c r="P68" t="b">
        <v>0</v>
      </c>
      <c r="Q68" t="b">
        <v>1</v>
      </c>
      <c r="T68" s="4">
        <f>MAX(U56:U67)*4%</f>
        <v>176.8</v>
      </c>
      <c r="U68" s="3"/>
      <c r="W68" s="24" cm="1">
        <f t="array" ref="W68">SUM(IFERROR(W56:W67,0))</f>
        <v>3445</v>
      </c>
      <c r="X68" s="24" cm="1">
        <f t="array" ref="X68">SUM(ISNUMBER(W56:W67)*X56:X67)</f>
        <v>2527</v>
      </c>
    </row>
    <row r="69" spans="2:27" x14ac:dyDescent="0.25">
      <c r="B69" s="27" t="str">
        <f>ROMAN(B61)&amp;CHAR(10)&amp;ROMAN(B62)&amp;CHAR(10)&amp;ROMAN(B63)&amp;CHAR(10)&amp;ROMAN(B64)&amp;CHAR(10)&amp;ROMAN(B65)&amp;CHAR(10)&amp;ROMAN(B66)</f>
        <v>I
II
III
IV
V
VI</v>
      </c>
      <c r="C69">
        <v>7</v>
      </c>
      <c r="D69">
        <v>8</v>
      </c>
      <c r="E69">
        <v>9</v>
      </c>
      <c r="F69">
        <v>10</v>
      </c>
      <c r="G69">
        <v>11</v>
      </c>
      <c r="H69">
        <v>12</v>
      </c>
      <c r="I69">
        <v>13</v>
      </c>
      <c r="K69" t="b">
        <v>0</v>
      </c>
      <c r="L69" t="b">
        <v>0</v>
      </c>
      <c r="M69" t="b">
        <v>0</v>
      </c>
      <c r="N69" t="b">
        <v>0</v>
      </c>
      <c r="O69" t="b">
        <v>0</v>
      </c>
      <c r="P69" t="b">
        <v>0</v>
      </c>
      <c r="Q69" t="b">
        <v>0</v>
      </c>
      <c r="W69" t="s">
        <v>124</v>
      </c>
      <c r="X69" s="3" t="s">
        <v>159</v>
      </c>
    </row>
    <row r="70" spans="2:27" x14ac:dyDescent="0.25">
      <c r="C70">
        <v>14</v>
      </c>
      <c r="D70">
        <v>15</v>
      </c>
      <c r="E70">
        <v>16</v>
      </c>
      <c r="F70">
        <v>17</v>
      </c>
      <c r="G70">
        <v>18</v>
      </c>
      <c r="H70">
        <v>19</v>
      </c>
      <c r="I70">
        <v>20</v>
      </c>
      <c r="K70" t="b">
        <v>0</v>
      </c>
      <c r="L70" t="b">
        <v>0</v>
      </c>
      <c r="M70" t="b">
        <v>1</v>
      </c>
      <c r="N70" t="b">
        <v>1</v>
      </c>
      <c r="O70" t="b">
        <v>1</v>
      </c>
      <c r="P70" t="b">
        <v>1</v>
      </c>
      <c r="Q70" t="b">
        <v>0</v>
      </c>
    </row>
    <row r="71" spans="2:27" x14ac:dyDescent="0.25">
      <c r="C71">
        <v>21</v>
      </c>
      <c r="D71">
        <v>22</v>
      </c>
      <c r="E71">
        <v>23</v>
      </c>
      <c r="F71">
        <v>24</v>
      </c>
      <c r="G71">
        <v>25</v>
      </c>
      <c r="H71">
        <v>26</v>
      </c>
      <c r="I71">
        <v>27</v>
      </c>
      <c r="K71" t="b">
        <v>1</v>
      </c>
      <c r="L71" t="b">
        <v>1</v>
      </c>
      <c r="M71" t="b">
        <v>0</v>
      </c>
      <c r="N71" t="b">
        <v>0</v>
      </c>
      <c r="O71" t="b">
        <v>0</v>
      </c>
      <c r="P71" t="b">
        <v>0</v>
      </c>
      <c r="Q71" t="b">
        <v>1</v>
      </c>
      <c r="T71" s="14" t="s">
        <v>41</v>
      </c>
      <c r="U71" s="14" t="s">
        <v>124</v>
      </c>
      <c r="V71" s="4" t="s">
        <v>16</v>
      </c>
      <c r="W71" s="4" t="s">
        <v>161</v>
      </c>
      <c r="Y71" s="3"/>
      <c r="Z71" s="3"/>
    </row>
    <row r="72" spans="2:27" x14ac:dyDescent="0.25">
      <c r="C72">
        <v>28</v>
      </c>
      <c r="D72">
        <v>29</v>
      </c>
      <c r="E72">
        <v>30</v>
      </c>
      <c r="F72" t="s">
        <v>140</v>
      </c>
      <c r="G72" t="s">
        <v>140</v>
      </c>
      <c r="H72" t="s">
        <v>140</v>
      </c>
      <c r="I72" t="s">
        <v>140</v>
      </c>
      <c r="K72" t="b">
        <v>0</v>
      </c>
      <c r="L72" t="b">
        <v>0</v>
      </c>
      <c r="M72" t="b">
        <v>0</v>
      </c>
      <c r="N72" t="b">
        <v>0</v>
      </c>
      <c r="O72" t="b">
        <v>0</v>
      </c>
      <c r="P72" t="b">
        <v>0</v>
      </c>
      <c r="Q72" t="b">
        <v>0</v>
      </c>
      <c r="T72" s="32">
        <v>2025</v>
      </c>
      <c r="U72">
        <v>37965</v>
      </c>
      <c r="V72" s="24" t="e">
        <v>#N/A</v>
      </c>
      <c r="W72" s="3" t="e">
        <f>IF(V72&gt;=1000,TEXT(ROUND(V72/1000,0),"0")&amp;"k",V72)</f>
        <v>#N/A</v>
      </c>
      <c r="Y72" s="2"/>
      <c r="Z72" s="2"/>
      <c r="AA72" s="6"/>
    </row>
    <row r="73" spans="2:27" x14ac:dyDescent="0.25">
      <c r="B73" t="s">
        <v>163</v>
      </c>
      <c r="K73" t="b">
        <v>0</v>
      </c>
      <c r="L73" t="b">
        <v>0</v>
      </c>
      <c r="M73" t="b">
        <v>0</v>
      </c>
      <c r="N73" t="b">
        <v>0</v>
      </c>
      <c r="O73" t="b">
        <v>0</v>
      </c>
      <c r="P73" t="b">
        <v>0</v>
      </c>
      <c r="Q73" t="b">
        <v>0</v>
      </c>
      <c r="T73" s="32">
        <v>2026</v>
      </c>
      <c r="U73">
        <v>41287</v>
      </c>
      <c r="V73" s="24" t="e">
        <v>#N/A</v>
      </c>
      <c r="W73" s="3" t="e">
        <f t="shared" ref="W73:W75" si="9">IF(V73&gt;=1000,TEXT(ROUND(V73/1000,0),"0")&amp;"k",V73)</f>
        <v>#N/A</v>
      </c>
      <c r="Y73" s="2"/>
      <c r="Z73" s="2"/>
      <c r="AA73" s="6"/>
    </row>
    <row r="74" spans="2:27" x14ac:dyDescent="0.25">
      <c r="B74" s="4" t="s">
        <v>153</v>
      </c>
      <c r="C74" s="4" t="s">
        <v>150</v>
      </c>
      <c r="D74" s="4" t="s">
        <v>151</v>
      </c>
      <c r="E74" s="4" t="s">
        <v>152</v>
      </c>
      <c r="G74" s="4" t="s">
        <v>0</v>
      </c>
      <c r="H74" s="28" t="s">
        <v>16</v>
      </c>
      <c r="K74" t="b">
        <v>0</v>
      </c>
      <c r="L74" t="b">
        <v>0</v>
      </c>
      <c r="M74" t="b">
        <v>0</v>
      </c>
      <c r="N74" t="b">
        <v>0</v>
      </c>
      <c r="O74" t="b">
        <v>1</v>
      </c>
      <c r="P74" t="b">
        <v>1</v>
      </c>
      <c r="Q74" t="b">
        <v>1</v>
      </c>
      <c r="T74" s="32">
        <v>2027</v>
      </c>
      <c r="U74">
        <v>28512</v>
      </c>
      <c r="V74" s="24">
        <f>U74</f>
        <v>28512</v>
      </c>
      <c r="W74" s="3" t="str">
        <f t="shared" si="9"/>
        <v>29k</v>
      </c>
      <c r="Y74" s="2"/>
      <c r="Z74" s="2"/>
      <c r="AA74" s="6"/>
    </row>
    <row r="75" spans="2:27" x14ac:dyDescent="0.25">
      <c r="B75" s="10" t="s">
        <v>154</v>
      </c>
      <c r="C75" s="3">
        <v>0.2</v>
      </c>
      <c r="D75" s="3">
        <v>4.8</v>
      </c>
      <c r="E75" s="3">
        <v>7</v>
      </c>
      <c r="G75" s="3" t="s">
        <v>1</v>
      </c>
      <c r="H75" s="6" t="e">
        <v>#N/A</v>
      </c>
      <c r="K75" t="b">
        <v>1</v>
      </c>
      <c r="L75" t="b">
        <v>1</v>
      </c>
      <c r="M75" t="b">
        <v>1</v>
      </c>
      <c r="N75" t="b">
        <v>1</v>
      </c>
      <c r="O75" t="b">
        <v>0</v>
      </c>
      <c r="P75" t="b">
        <v>0</v>
      </c>
      <c r="Q75" t="b">
        <v>0</v>
      </c>
      <c r="T75" s="32">
        <v>2028</v>
      </c>
      <c r="U75">
        <v>55018</v>
      </c>
      <c r="V75" s="24" t="e">
        <v>#N/A</v>
      </c>
      <c r="W75" s="3" t="e">
        <f t="shared" si="9"/>
        <v>#N/A</v>
      </c>
      <c r="Y75" s="2"/>
      <c r="Z75" s="2"/>
      <c r="AA75" s="6"/>
    </row>
    <row r="76" spans="2:27" x14ac:dyDescent="0.25">
      <c r="B76" s="10" t="s">
        <v>155</v>
      </c>
      <c r="C76" s="3">
        <v>2</v>
      </c>
      <c r="D76" s="3">
        <v>5</v>
      </c>
      <c r="E76" s="3">
        <v>5</v>
      </c>
      <c r="G76" s="3" t="s">
        <v>2</v>
      </c>
      <c r="H76" s="6" t="e">
        <v>#N/A</v>
      </c>
      <c r="K76" t="b">
        <v>0</v>
      </c>
      <c r="L76" t="b">
        <v>0</v>
      </c>
      <c r="M76" t="b">
        <v>0</v>
      </c>
      <c r="N76" t="b">
        <v>0</v>
      </c>
      <c r="O76" t="b">
        <v>0</v>
      </c>
      <c r="P76" t="b">
        <v>0</v>
      </c>
      <c r="Q76" t="b">
        <v>0</v>
      </c>
      <c r="U76" s="14">
        <f>SUM(U72:U75)</f>
        <v>162782</v>
      </c>
    </row>
    <row r="77" spans="2:27" x14ac:dyDescent="0.25">
      <c r="B77" s="10" t="s">
        <v>156</v>
      </c>
      <c r="C77" s="3">
        <v>5</v>
      </c>
      <c r="D77" s="3">
        <v>3</v>
      </c>
      <c r="E77" s="3">
        <v>4</v>
      </c>
      <c r="G77" s="3" t="s">
        <v>3</v>
      </c>
      <c r="H77" s="6" t="e">
        <v>#N/A</v>
      </c>
      <c r="K77" t="b">
        <v>0</v>
      </c>
      <c r="L77" t="b">
        <v>0</v>
      </c>
      <c r="M77" t="b">
        <v>0</v>
      </c>
      <c r="N77" t="b">
        <v>1</v>
      </c>
      <c r="O77" t="b">
        <v>1</v>
      </c>
      <c r="P77" t="b">
        <v>1</v>
      </c>
      <c r="Q77" t="b">
        <v>1</v>
      </c>
      <c r="T77" t="s">
        <v>171</v>
      </c>
    </row>
    <row r="78" spans="2:27" x14ac:dyDescent="0.25">
      <c r="B78" s="10" t="s">
        <v>157</v>
      </c>
      <c r="C78" s="3">
        <v>6</v>
      </c>
      <c r="D78" s="3">
        <v>3</v>
      </c>
      <c r="E78" s="3">
        <v>3</v>
      </c>
      <c r="G78" s="3" t="s">
        <v>4</v>
      </c>
      <c r="H78" s="6" t="e">
        <v>#N/A</v>
      </c>
      <c r="K78" t="b">
        <v>0</v>
      </c>
      <c r="L78" t="b">
        <v>0</v>
      </c>
      <c r="M78" t="b">
        <v>1</v>
      </c>
      <c r="N78" t="b">
        <v>0</v>
      </c>
      <c r="O78" t="b">
        <v>0</v>
      </c>
      <c r="P78" t="b">
        <v>0</v>
      </c>
      <c r="Q78" t="b">
        <v>0</v>
      </c>
      <c r="T78" s="4" t="s">
        <v>26</v>
      </c>
      <c r="U78" s="14" t="s">
        <v>119</v>
      </c>
      <c r="V78" s="4" t="s">
        <v>124</v>
      </c>
      <c r="W78" t="s">
        <v>169</v>
      </c>
      <c r="X78" t="s">
        <v>126</v>
      </c>
    </row>
    <row r="79" spans="2:27" x14ac:dyDescent="0.25">
      <c r="B79" s="10" t="s">
        <v>158</v>
      </c>
      <c r="C79" s="3">
        <v>8</v>
      </c>
      <c r="D79" s="3">
        <v>3.8</v>
      </c>
      <c r="E79" s="3">
        <v>0.19999999999999929</v>
      </c>
      <c r="G79" s="3" t="s">
        <v>5</v>
      </c>
      <c r="H79" s="6" t="e">
        <v>#N/A</v>
      </c>
      <c r="K79" t="b">
        <v>1</v>
      </c>
      <c r="L79" t="b">
        <v>1</v>
      </c>
      <c r="M79" t="b">
        <v>0</v>
      </c>
      <c r="N79" t="b">
        <v>0</v>
      </c>
      <c r="O79" t="b">
        <v>0</v>
      </c>
      <c r="P79" t="b">
        <v>0</v>
      </c>
      <c r="Q79" t="b">
        <v>0</v>
      </c>
      <c r="T79" s="20">
        <f>$T$83</f>
        <v>714.96</v>
      </c>
      <c r="U79" t="s">
        <v>94</v>
      </c>
      <c r="V79" s="24">
        <v>4978</v>
      </c>
      <c r="W79" t="str">
        <f t="array" ref="W79:X82">_xlfn._xlws.SORT(U79:V82,2,-1)</f>
        <v>Salary</v>
      </c>
      <c r="X79">
        <v>17874</v>
      </c>
    </row>
    <row r="80" spans="2:27" x14ac:dyDescent="0.25">
      <c r="G80" s="3" t="s">
        <v>6</v>
      </c>
      <c r="H80" s="6" t="e">
        <v>#N/A</v>
      </c>
      <c r="K80" t="b">
        <v>0</v>
      </c>
      <c r="L80" t="b">
        <v>0</v>
      </c>
      <c r="M80" t="b">
        <v>0</v>
      </c>
      <c r="N80" t="b">
        <v>0</v>
      </c>
      <c r="O80" t="b">
        <v>0</v>
      </c>
      <c r="P80" t="b">
        <v>0</v>
      </c>
      <c r="Q80" t="b">
        <v>0</v>
      </c>
      <c r="T80" s="20">
        <f>$T$83</f>
        <v>714.96</v>
      </c>
      <c r="U80" t="s">
        <v>97</v>
      </c>
      <c r="V80" s="24">
        <v>12217</v>
      </c>
      <c r="W80" t="str">
        <v>Side Job</v>
      </c>
      <c r="X80">
        <v>12217</v>
      </c>
    </row>
    <row r="81" spans="1:24" x14ac:dyDescent="0.25">
      <c r="G81" s="3" t="s">
        <v>7</v>
      </c>
      <c r="H81" s="6" t="e">
        <v>#N/A</v>
      </c>
      <c r="K81" t="b">
        <v>1</v>
      </c>
      <c r="L81" t="b">
        <v>1</v>
      </c>
      <c r="M81" t="b">
        <v>1</v>
      </c>
      <c r="N81" t="b">
        <v>1</v>
      </c>
      <c r="O81" t="b">
        <v>1</v>
      </c>
      <c r="P81" t="b">
        <v>1</v>
      </c>
      <c r="Q81" t="b">
        <v>1</v>
      </c>
      <c r="T81" s="20">
        <f>$T$83</f>
        <v>714.96</v>
      </c>
      <c r="U81" t="s">
        <v>96</v>
      </c>
      <c r="V81" s="24">
        <v>17874</v>
      </c>
      <c r="W81" t="str">
        <v>Savings</v>
      </c>
      <c r="X81">
        <v>4978</v>
      </c>
    </row>
    <row r="82" spans="1:24" x14ac:dyDescent="0.25">
      <c r="G82" s="3" t="s">
        <v>8</v>
      </c>
      <c r="H82" s="6" t="e">
        <v>#N/A</v>
      </c>
      <c r="K82" t="b">
        <v>0</v>
      </c>
      <c r="L82" t="b">
        <v>0</v>
      </c>
      <c r="M82" t="b">
        <v>0</v>
      </c>
      <c r="N82" t="b">
        <v>0</v>
      </c>
      <c r="O82" t="b">
        <v>0</v>
      </c>
      <c r="P82" t="b">
        <v>0</v>
      </c>
      <c r="Q82" t="b">
        <v>0</v>
      </c>
      <c r="T82" s="20">
        <f>$T$83</f>
        <v>714.96</v>
      </c>
      <c r="U82" t="s">
        <v>170</v>
      </c>
      <c r="V82" s="24">
        <v>2896</v>
      </c>
      <c r="W82" t="str">
        <v>Stock</v>
      </c>
      <c r="X82">
        <v>2896</v>
      </c>
    </row>
    <row r="83" spans="1:24" x14ac:dyDescent="0.25">
      <c r="G83" s="3" t="s">
        <v>9</v>
      </c>
      <c r="H83" s="6">
        <v>1</v>
      </c>
      <c r="K83" t="b">
        <v>0</v>
      </c>
      <c r="L83" t="b">
        <v>0</v>
      </c>
      <c r="M83" t="b">
        <v>0</v>
      </c>
      <c r="N83" t="b">
        <v>0</v>
      </c>
      <c r="O83" t="b">
        <v>0</v>
      </c>
      <c r="P83" t="b">
        <v>0</v>
      </c>
      <c r="Q83" t="b">
        <v>0</v>
      </c>
      <c r="T83" s="20">
        <f>MAX(V79:V82)*4%</f>
        <v>714.96</v>
      </c>
      <c r="V83" s="21"/>
    </row>
    <row r="84" spans="1:24" x14ac:dyDescent="0.25">
      <c r="G84" s="3" t="s">
        <v>10</v>
      </c>
      <c r="H84" s="6" t="e">
        <v>#N/A</v>
      </c>
      <c r="K84" t="b">
        <v>0</v>
      </c>
      <c r="L84" t="b">
        <v>0</v>
      </c>
      <c r="M84" t="b">
        <v>0</v>
      </c>
      <c r="N84" t="b">
        <v>0</v>
      </c>
      <c r="O84" t="b">
        <v>0</v>
      </c>
      <c r="P84" t="b">
        <v>0</v>
      </c>
      <c r="Q84" t="b">
        <v>0</v>
      </c>
    </row>
    <row r="85" spans="1:24" x14ac:dyDescent="0.25">
      <c r="G85" s="3" t="s">
        <v>11</v>
      </c>
      <c r="H85" s="6" t="e">
        <v>#N/A</v>
      </c>
    </row>
    <row r="86" spans="1:24" x14ac:dyDescent="0.25">
      <c r="G86" s="3" t="s">
        <v>12</v>
      </c>
      <c r="H86" s="6" t="e">
        <v>#N/A</v>
      </c>
    </row>
    <row r="88" spans="1:24" x14ac:dyDescent="0.25">
      <c r="A88" s="11" t="s">
        <v>50</v>
      </c>
      <c r="B88" t="s">
        <v>168</v>
      </c>
    </row>
    <row r="89" spans="1:24" x14ac:dyDescent="0.25">
      <c r="A89" s="10" t="s">
        <v>132</v>
      </c>
      <c r="B89">
        <v>524</v>
      </c>
    </row>
    <row r="90" spans="1:24" x14ac:dyDescent="0.25">
      <c r="A90" s="10" t="s">
        <v>135</v>
      </c>
      <c r="B90">
        <v>525</v>
      </c>
    </row>
    <row r="91" spans="1:24" x14ac:dyDescent="0.25">
      <c r="A91" s="10" t="s">
        <v>51</v>
      </c>
      <c r="B91">
        <v>1049</v>
      </c>
    </row>
    <row r="95" spans="1:24" x14ac:dyDescent="0.25">
      <c r="A95" s="11" t="s">
        <v>50</v>
      </c>
    </row>
    <row r="96" spans="1:24" x14ac:dyDescent="0.25">
      <c r="A96" s="10">
        <v>2027</v>
      </c>
    </row>
    <row r="97" spans="1:1" x14ac:dyDescent="0.25">
      <c r="A97" s="10" t="s">
        <v>51</v>
      </c>
    </row>
  </sheetData>
  <phoneticPr fontId="3" type="noConversion"/>
  <pageMargins left="0.7" right="0.7" top="0.75" bottom="0.75" header="0.3" footer="0.3"/>
  <drawing r:id="rId3"/>
  <extLst>
    <ext xmlns:x14="http://schemas.microsoft.com/office/spreadsheetml/2009/9/main" uri="{A8765BA9-456A-4dab-B4F3-ACF838C121DE}">
      <x14:slicerList>
        <x14:slicer r:id="rId4"/>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EF474A-A080-45ED-A239-FBB2BC7A54B2}">
  <dimension ref="A1:AD90"/>
  <sheetViews>
    <sheetView showRowColHeaders="0" tabSelected="1" zoomScale="90" zoomScaleNormal="90" workbookViewId="0">
      <selection activeCell="T53" sqref="T53"/>
    </sheetView>
  </sheetViews>
  <sheetFormatPr defaultRowHeight="15" x14ac:dyDescent="0.25"/>
  <cols>
    <col min="1" max="2" width="8.85546875" customWidth="1"/>
    <col min="6" max="7" width="8.85546875" customWidth="1"/>
    <col min="8" max="8" width="9.42578125" bestFit="1" customWidth="1"/>
    <col min="13" max="13" width="9.28515625" bestFit="1" customWidth="1"/>
    <col min="29" max="29" width="12.42578125" bestFit="1" customWidth="1"/>
    <col min="30" max="30" width="10.5703125" bestFit="1" customWidth="1"/>
  </cols>
  <sheetData>
    <row r="1" s="33" customFormat="1" x14ac:dyDescent="0.25"/>
    <row r="2" s="33" customFormat="1" x14ac:dyDescent="0.25"/>
    <row r="3" s="33" customFormat="1" x14ac:dyDescent="0.25"/>
    <row r="4" s="33" customFormat="1" x14ac:dyDescent="0.25"/>
    <row r="5" s="33" customFormat="1" x14ac:dyDescent="0.25"/>
    <row r="6" s="33" customFormat="1" x14ac:dyDescent="0.25"/>
    <row r="7" s="33" customFormat="1" x14ac:dyDescent="0.25"/>
    <row r="8" s="33" customFormat="1" x14ac:dyDescent="0.25"/>
    <row r="9" s="33" customFormat="1" x14ac:dyDescent="0.25"/>
    <row r="10" s="33" customFormat="1" x14ac:dyDescent="0.25"/>
    <row r="11" s="33" customFormat="1" x14ac:dyDescent="0.25"/>
    <row r="12" s="33" customFormat="1" x14ac:dyDescent="0.25"/>
    <row r="13" s="33" customFormat="1" x14ac:dyDescent="0.25"/>
    <row r="14" s="33" customFormat="1" x14ac:dyDescent="0.25"/>
    <row r="15" s="33" customFormat="1" x14ac:dyDescent="0.25"/>
    <row r="16" s="33" customFormat="1" x14ac:dyDescent="0.25"/>
    <row r="17" s="33" customFormat="1" x14ac:dyDescent="0.25"/>
    <row r="18" s="33" customFormat="1" x14ac:dyDescent="0.25"/>
    <row r="19" s="33" customFormat="1" x14ac:dyDescent="0.25"/>
    <row r="20" s="33" customFormat="1" x14ac:dyDescent="0.25"/>
    <row r="21" s="33" customFormat="1" x14ac:dyDescent="0.25"/>
    <row r="22" s="33" customFormat="1" x14ac:dyDescent="0.25"/>
    <row r="23" s="33" customFormat="1" x14ac:dyDescent="0.25"/>
    <row r="24" s="33" customFormat="1" x14ac:dyDescent="0.25"/>
    <row r="25" s="33" customFormat="1" x14ac:dyDescent="0.25"/>
    <row r="26" s="33" customFormat="1" x14ac:dyDescent="0.25"/>
    <row r="27" s="33" customFormat="1" x14ac:dyDescent="0.25"/>
    <row r="28" s="33" customFormat="1" x14ac:dyDescent="0.25"/>
    <row r="29" s="33" customFormat="1" x14ac:dyDescent="0.25"/>
    <row r="30" s="33" customFormat="1" x14ac:dyDescent="0.25"/>
    <row r="31" s="33" customFormat="1" x14ac:dyDescent="0.25"/>
    <row r="32" s="33" customFormat="1" x14ac:dyDescent="0.25"/>
    <row r="33" s="33" customFormat="1" x14ac:dyDescent="0.25"/>
    <row r="34" s="33" customFormat="1" x14ac:dyDescent="0.25"/>
    <row r="35" s="33" customFormat="1" x14ac:dyDescent="0.25"/>
    <row r="36" s="33" customFormat="1" x14ac:dyDescent="0.25"/>
    <row r="37" s="33" customFormat="1" x14ac:dyDescent="0.25"/>
    <row r="38" s="33" customFormat="1" x14ac:dyDescent="0.25"/>
    <row r="39" s="33" customFormat="1" x14ac:dyDescent="0.25"/>
    <row r="40" s="33" customFormat="1" x14ac:dyDescent="0.25"/>
    <row r="41" s="33" customFormat="1" x14ac:dyDescent="0.25"/>
    <row r="42" s="33" customFormat="1" x14ac:dyDescent="0.25"/>
    <row r="43" s="33" customFormat="1" x14ac:dyDescent="0.25"/>
    <row r="44" s="33" customFormat="1" x14ac:dyDescent="0.25"/>
    <row r="45" s="33" customFormat="1" x14ac:dyDescent="0.25"/>
    <row r="46" s="33" customFormat="1" x14ac:dyDescent="0.25"/>
    <row r="47" s="33" customFormat="1" x14ac:dyDescent="0.25"/>
    <row r="48" s="33" customFormat="1" x14ac:dyDescent="0.25"/>
    <row r="49" spans="1:17" s="33" customFormat="1" x14ac:dyDescent="0.25"/>
    <row r="50" spans="1:17" s="33" customFormat="1" x14ac:dyDescent="0.25"/>
    <row r="51" spans="1:17" s="33" customFormat="1" x14ac:dyDescent="0.25"/>
    <row r="52" spans="1:17" x14ac:dyDescent="0.25">
      <c r="A52" t="s">
        <v>177</v>
      </c>
      <c r="B52" t="s">
        <v>217</v>
      </c>
    </row>
    <row r="53" spans="1:17" x14ac:dyDescent="0.25">
      <c r="A53" t="s">
        <v>173</v>
      </c>
      <c r="B53" s="24">
        <v>37528</v>
      </c>
      <c r="D53" t="s">
        <v>193</v>
      </c>
      <c r="I53" t="s">
        <v>194</v>
      </c>
      <c r="J53" s="24">
        <v>6146</v>
      </c>
      <c r="L53" s="6" t="s">
        <v>114</v>
      </c>
      <c r="M53" s="6" t="s">
        <v>173</v>
      </c>
      <c r="N53" s="6"/>
      <c r="O53" s="6"/>
      <c r="P53" s="6"/>
      <c r="Q53" s="6"/>
    </row>
    <row r="54" spans="1:17" x14ac:dyDescent="0.25">
      <c r="A54" t="s">
        <v>124</v>
      </c>
      <c r="B54" s="24">
        <v>35296</v>
      </c>
      <c r="D54" t="s">
        <v>124</v>
      </c>
      <c r="E54" t="s">
        <v>159</v>
      </c>
      <c r="F54" s="31" t="s">
        <v>148</v>
      </c>
      <c r="G54" s="31" t="s">
        <v>149</v>
      </c>
      <c r="L54" s="6">
        <v>0.20678703968027404</v>
      </c>
      <c r="M54" s="6">
        <v>0.26768127319440482</v>
      </c>
      <c r="N54" s="6">
        <v>8.2393662574935772E-2</v>
      </c>
      <c r="O54" s="6">
        <v>0.16114758778190122</v>
      </c>
      <c r="P54" s="6">
        <v>0.21544033685412503</v>
      </c>
      <c r="Q54" s="6">
        <v>6.6550099914359118E-2</v>
      </c>
    </row>
    <row r="55" spans="1:17" x14ac:dyDescent="0.25">
      <c r="A55" t="s">
        <v>159</v>
      </c>
      <c r="B55" s="24">
        <v>25057</v>
      </c>
      <c r="D55" s="6">
        <f>F73/SUM($F$73:$G$73)</f>
        <v>0.58049767281219677</v>
      </c>
      <c r="E55" s="6">
        <f>G73/SUM($F$73:$G$73)</f>
        <v>0.41950232718780323</v>
      </c>
      <c r="F55" s="30">
        <v>0</v>
      </c>
      <c r="G55" s="30">
        <v>1</v>
      </c>
      <c r="I55" t="s">
        <v>195</v>
      </c>
      <c r="L55" s="6">
        <v>0.20678703968027404</v>
      </c>
      <c r="M55" s="6">
        <v>0.26768127319440482</v>
      </c>
      <c r="N55" s="6">
        <v>8.2393662574935772E-2</v>
      </c>
      <c r="O55" s="6">
        <v>0.16114758778190122</v>
      </c>
      <c r="P55" s="6">
        <v>0.21544033685412503</v>
      </c>
      <c r="Q55" s="6">
        <v>6.6550099914359118E-2</v>
      </c>
    </row>
    <row r="56" spans="1:17" x14ac:dyDescent="0.25">
      <c r="A56" t="s">
        <v>174</v>
      </c>
      <c r="B56" s="24">
        <v>125000</v>
      </c>
      <c r="F56" s="30">
        <f>SIN(D55*2*PI())</f>
        <v>-0.48449149949638287</v>
      </c>
      <c r="G56" s="30">
        <f>COS(E55*2*PI())</f>
        <v>-0.87479596873542242</v>
      </c>
      <c r="I56" s="5">
        <v>0.72</v>
      </c>
      <c r="J56" s="5">
        <f>1-I56</f>
        <v>0.28000000000000003</v>
      </c>
      <c r="L56" s="6">
        <v>0.20678703968027404</v>
      </c>
      <c r="M56" s="6">
        <v>0.26768127319440482</v>
      </c>
      <c r="N56" s="6">
        <v>8.2393662574935772E-2</v>
      </c>
      <c r="O56" s="6">
        <v>0.16114758778190122</v>
      </c>
      <c r="P56" s="6">
        <v>0.21544033685412503</v>
      </c>
      <c r="Q56" s="6">
        <v>6.6550099914359118E-2</v>
      </c>
    </row>
    <row r="57" spans="1:17" ht="15" customHeight="1" x14ac:dyDescent="0.25">
      <c r="A57" t="s">
        <v>175</v>
      </c>
      <c r="B57" s="24">
        <v>54534</v>
      </c>
      <c r="I57" s="24">
        <v>37528</v>
      </c>
    </row>
    <row r="58" spans="1:17" ht="15" customHeight="1" x14ac:dyDescent="0.25">
      <c r="A58" t="s">
        <v>176</v>
      </c>
      <c r="B58" s="24">
        <v>109619</v>
      </c>
    </row>
    <row r="60" spans="1:17" x14ac:dyDescent="0.25">
      <c r="A60" s="4" t="s">
        <v>0</v>
      </c>
      <c r="B60" s="4" t="s">
        <v>26</v>
      </c>
      <c r="C60" s="34" t="s">
        <v>124</v>
      </c>
      <c r="D60" s="34" t="s">
        <v>159</v>
      </c>
      <c r="E60" s="29" t="s">
        <v>160</v>
      </c>
      <c r="F60" s="35" t="s">
        <v>178</v>
      </c>
      <c r="G60" s="35" t="s">
        <v>179</v>
      </c>
      <c r="H60" t="s">
        <v>120</v>
      </c>
      <c r="I60" t="s">
        <v>38</v>
      </c>
      <c r="L60" t="s">
        <v>201</v>
      </c>
      <c r="M60" s="38">
        <v>125000</v>
      </c>
    </row>
    <row r="61" spans="1:17" x14ac:dyDescent="0.25">
      <c r="A61" s="3" t="s">
        <v>1</v>
      </c>
      <c r="B61">
        <f>$B$73</f>
        <v>1449.24</v>
      </c>
      <c r="C61" s="3">
        <v>18166</v>
      </c>
      <c r="D61" s="3">
        <v>20397</v>
      </c>
      <c r="E61">
        <f t="shared" ref="E61:E72" si="0">B61</f>
        <v>1449.24</v>
      </c>
      <c r="F61" s="6" t="e">
        <v>#N/A</v>
      </c>
      <c r="G61" s="6" t="e">
        <v>#N/A</v>
      </c>
      <c r="H61" s="36" t="e">
        <f t="shared" ref="H61:H72" si="1">F61+B61</f>
        <v>#N/A</v>
      </c>
      <c r="I61" t="e">
        <f>IF(F61&gt;=1000,TEXT(ROUND(F61/1000,0),"0")&amp;"k",F61)</f>
        <v>#N/A</v>
      </c>
      <c r="K61" t="s">
        <v>196</v>
      </c>
      <c r="L61" s="37">
        <v>37500</v>
      </c>
      <c r="M61" s="2">
        <v>0.3</v>
      </c>
      <c r="N61" s="2">
        <v>0.3</v>
      </c>
      <c r="O61" s="2">
        <v>0.3</v>
      </c>
      <c r="P61" s="2">
        <v>0.3</v>
      </c>
      <c r="Q61" s="2">
        <v>0.3</v>
      </c>
    </row>
    <row r="62" spans="1:17" x14ac:dyDescent="0.25">
      <c r="A62" s="3" t="s">
        <v>2</v>
      </c>
      <c r="B62">
        <f t="shared" ref="B62:B72" si="2">$B$73</f>
        <v>1449.24</v>
      </c>
      <c r="C62" s="3">
        <v>19801</v>
      </c>
      <c r="D62" s="3">
        <v>26548</v>
      </c>
      <c r="E62">
        <f t="shared" si="0"/>
        <v>1449.24</v>
      </c>
      <c r="F62" s="6" t="e">
        <v>#N/A</v>
      </c>
      <c r="G62" s="6" t="e">
        <v>#N/A</v>
      </c>
      <c r="H62" s="36" t="e">
        <f t="shared" si="1"/>
        <v>#N/A</v>
      </c>
      <c r="I62" t="e">
        <f t="shared" ref="I62:I72" si="3">IF(F62&gt;=1000,TEXT(ROUND(F62/1000,0),"0")&amp;"k",F62)</f>
        <v>#N/A</v>
      </c>
      <c r="K62" t="s">
        <v>197</v>
      </c>
      <c r="L62" s="37">
        <v>18750</v>
      </c>
      <c r="M62" s="2">
        <v>0.15</v>
      </c>
      <c r="N62" s="2">
        <v>0.15</v>
      </c>
      <c r="O62" s="2">
        <v>0.15</v>
      </c>
      <c r="P62" s="2">
        <v>0.15</v>
      </c>
      <c r="Q62" s="2">
        <v>0.15</v>
      </c>
    </row>
    <row r="63" spans="1:17" x14ac:dyDescent="0.25">
      <c r="A63" s="3" t="s">
        <v>3</v>
      </c>
      <c r="B63">
        <f t="shared" si="2"/>
        <v>1449.24</v>
      </c>
      <c r="C63" s="3">
        <v>22196</v>
      </c>
      <c r="D63" s="3">
        <v>22099</v>
      </c>
      <c r="E63">
        <f t="shared" si="0"/>
        <v>1449.24</v>
      </c>
      <c r="F63" s="6" t="e">
        <v>#N/A</v>
      </c>
      <c r="G63" s="6" t="e">
        <v>#N/A</v>
      </c>
      <c r="H63" s="36" t="e">
        <f t="shared" si="1"/>
        <v>#N/A</v>
      </c>
      <c r="I63" t="e">
        <f t="shared" si="3"/>
        <v>#N/A</v>
      </c>
      <c r="K63" t="s">
        <v>198</v>
      </c>
      <c r="L63" s="37">
        <v>30000</v>
      </c>
      <c r="M63" s="2">
        <v>0.24</v>
      </c>
      <c r="N63" s="2">
        <v>0.24</v>
      </c>
      <c r="O63" s="2">
        <v>0.24</v>
      </c>
      <c r="P63" s="2">
        <v>0.24</v>
      </c>
      <c r="Q63" s="2">
        <v>0.24</v>
      </c>
    </row>
    <row r="64" spans="1:17" x14ac:dyDescent="0.25">
      <c r="A64" s="3" t="s">
        <v>4</v>
      </c>
      <c r="B64">
        <f t="shared" si="2"/>
        <v>1449.24</v>
      </c>
      <c r="C64" s="3">
        <v>25558</v>
      </c>
      <c r="D64" s="3">
        <v>19614</v>
      </c>
      <c r="E64">
        <f t="shared" si="0"/>
        <v>1449.24</v>
      </c>
      <c r="F64" s="6" t="e">
        <v>#N/A</v>
      </c>
      <c r="G64" s="6" t="e">
        <v>#N/A</v>
      </c>
      <c r="H64" s="36" t="e">
        <f t="shared" si="1"/>
        <v>#N/A</v>
      </c>
      <c r="I64" t="e">
        <f t="shared" si="3"/>
        <v>#N/A</v>
      </c>
      <c r="K64" t="s">
        <v>200</v>
      </c>
      <c r="L64" s="37">
        <v>12500</v>
      </c>
      <c r="M64" s="2">
        <v>0.1</v>
      </c>
      <c r="N64" s="2">
        <v>0.1</v>
      </c>
      <c r="O64" s="2">
        <v>0.1</v>
      </c>
      <c r="P64" s="2">
        <v>0.1</v>
      </c>
      <c r="Q64" s="2">
        <v>0.1</v>
      </c>
    </row>
    <row r="65" spans="1:30" x14ac:dyDescent="0.25">
      <c r="A65" s="3" t="s">
        <v>5</v>
      </c>
      <c r="B65">
        <f t="shared" si="2"/>
        <v>1449.24</v>
      </c>
      <c r="C65" s="3">
        <v>31043</v>
      </c>
      <c r="D65" s="3">
        <v>24519</v>
      </c>
      <c r="E65">
        <f t="shared" si="0"/>
        <v>1449.24</v>
      </c>
      <c r="F65" s="6" t="e">
        <v>#N/A</v>
      </c>
      <c r="G65" s="6" t="e">
        <v>#N/A</v>
      </c>
      <c r="H65" s="36" t="e">
        <f t="shared" si="1"/>
        <v>#N/A</v>
      </c>
      <c r="I65" t="e">
        <f t="shared" si="3"/>
        <v>#N/A</v>
      </c>
      <c r="K65" t="s">
        <v>199</v>
      </c>
      <c r="L65" s="37">
        <v>26250</v>
      </c>
      <c r="M65" s="2">
        <v>0.21</v>
      </c>
      <c r="N65" s="2">
        <v>0.21</v>
      </c>
      <c r="O65" s="2">
        <v>0.21</v>
      </c>
      <c r="P65" s="2">
        <v>0.21</v>
      </c>
      <c r="Q65" s="2">
        <v>0.21</v>
      </c>
    </row>
    <row r="66" spans="1:30" x14ac:dyDescent="0.25">
      <c r="A66" s="3" t="s">
        <v>6</v>
      </c>
      <c r="B66">
        <f t="shared" si="2"/>
        <v>1449.24</v>
      </c>
      <c r="C66" s="3">
        <v>31211</v>
      </c>
      <c r="D66" s="3">
        <v>24837</v>
      </c>
      <c r="E66">
        <f t="shared" si="0"/>
        <v>1449.24</v>
      </c>
      <c r="F66" s="6" t="e">
        <v>#N/A</v>
      </c>
      <c r="G66" s="6" t="e">
        <v>#N/A</v>
      </c>
      <c r="H66" s="36" t="e">
        <f t="shared" si="1"/>
        <v>#N/A</v>
      </c>
      <c r="I66" t="e">
        <f t="shared" si="3"/>
        <v>#N/A</v>
      </c>
      <c r="M66" s="2">
        <v>0.99999999999999989</v>
      </c>
      <c r="N66" s="2">
        <v>0.99999999999999989</v>
      </c>
      <c r="O66" s="2">
        <v>0.99999999999999989</v>
      </c>
      <c r="P66" s="2">
        <v>0.99999999999999989</v>
      </c>
      <c r="Q66" s="2">
        <v>0.99999999999999989</v>
      </c>
    </row>
    <row r="67" spans="1:30" x14ac:dyDescent="0.25">
      <c r="A67" s="3" t="s">
        <v>7</v>
      </c>
      <c r="B67">
        <f t="shared" si="2"/>
        <v>1449.24</v>
      </c>
      <c r="C67" s="3">
        <v>30268</v>
      </c>
      <c r="D67" s="3">
        <v>21183</v>
      </c>
      <c r="E67">
        <f t="shared" si="0"/>
        <v>1449.24</v>
      </c>
      <c r="F67" s="6" t="e">
        <v>#N/A</v>
      </c>
      <c r="G67" s="6" t="e">
        <v>#N/A</v>
      </c>
      <c r="H67" s="36" t="e">
        <f t="shared" si="1"/>
        <v>#N/A</v>
      </c>
      <c r="I67" t="e">
        <f t="shared" si="3"/>
        <v>#N/A</v>
      </c>
    </row>
    <row r="68" spans="1:30" x14ac:dyDescent="0.25">
      <c r="A68" s="3" t="s">
        <v>8</v>
      </c>
      <c r="B68">
        <f t="shared" si="2"/>
        <v>1449.24</v>
      </c>
      <c r="C68" s="3">
        <v>35419</v>
      </c>
      <c r="D68" s="3">
        <v>22263</v>
      </c>
      <c r="E68">
        <f t="shared" si="0"/>
        <v>1449.24</v>
      </c>
      <c r="F68" s="6" t="e">
        <v>#N/A</v>
      </c>
      <c r="G68" s="6" t="e">
        <v>#N/A</v>
      </c>
      <c r="H68" s="36" t="e">
        <f t="shared" si="1"/>
        <v>#N/A</v>
      </c>
      <c r="I68" t="e">
        <f t="shared" si="3"/>
        <v>#N/A</v>
      </c>
    </row>
    <row r="69" spans="1:30" x14ac:dyDescent="0.25">
      <c r="A69" s="3" t="s">
        <v>9</v>
      </c>
      <c r="B69">
        <f t="shared" si="2"/>
        <v>1449.24</v>
      </c>
      <c r="C69" s="3">
        <v>35296</v>
      </c>
      <c r="D69" s="3">
        <v>25507</v>
      </c>
      <c r="E69">
        <f t="shared" si="0"/>
        <v>1449.24</v>
      </c>
      <c r="F69" s="3">
        <v>35296</v>
      </c>
      <c r="G69" s="3">
        <v>25507</v>
      </c>
      <c r="H69" s="36">
        <f t="shared" si="1"/>
        <v>36745.24</v>
      </c>
      <c r="I69" t="str">
        <f t="shared" si="3"/>
        <v>35k</v>
      </c>
      <c r="K69" t="s">
        <v>175</v>
      </c>
      <c r="L69" s="35" t="s">
        <v>202</v>
      </c>
      <c r="M69" s="39" t="s">
        <v>203</v>
      </c>
    </row>
    <row r="70" spans="1:30" x14ac:dyDescent="0.25">
      <c r="A70" s="3" t="s">
        <v>10</v>
      </c>
      <c r="B70">
        <f t="shared" si="2"/>
        <v>1449.24</v>
      </c>
      <c r="C70" s="3">
        <v>33397</v>
      </c>
      <c r="D70" s="3">
        <v>20455</v>
      </c>
      <c r="E70">
        <f t="shared" si="0"/>
        <v>1449.24</v>
      </c>
      <c r="F70" s="6" t="e">
        <v>#N/A</v>
      </c>
      <c r="G70" s="6" t="e">
        <v>#N/A</v>
      </c>
      <c r="H70" s="36" t="e">
        <f t="shared" si="1"/>
        <v>#N/A</v>
      </c>
      <c r="I70" t="e">
        <f t="shared" si="3"/>
        <v>#N/A</v>
      </c>
      <c r="K70" s="40" t="s">
        <v>204</v>
      </c>
      <c r="L70" s="2">
        <v>0.03</v>
      </c>
      <c r="M70" s="37">
        <v>18500</v>
      </c>
    </row>
    <row r="71" spans="1:30" x14ac:dyDescent="0.25">
      <c r="A71" s="3" t="s">
        <v>11</v>
      </c>
      <c r="B71">
        <f t="shared" si="2"/>
        <v>1449.24</v>
      </c>
      <c r="C71" s="3">
        <v>33613</v>
      </c>
      <c r="D71" s="3">
        <v>26772</v>
      </c>
      <c r="E71">
        <f t="shared" si="0"/>
        <v>1449.24</v>
      </c>
      <c r="F71" s="6" t="e">
        <v>#N/A</v>
      </c>
      <c r="G71" s="6" t="e">
        <v>#N/A</v>
      </c>
      <c r="H71" s="36" t="e">
        <f t="shared" si="1"/>
        <v>#N/A</v>
      </c>
      <c r="I71" t="e">
        <f t="shared" si="3"/>
        <v>#N/A</v>
      </c>
      <c r="K71" s="40" t="s">
        <v>205</v>
      </c>
      <c r="L71" s="2">
        <v>9.5000000000000001E-2</v>
      </c>
      <c r="M71" s="37">
        <v>17915</v>
      </c>
    </row>
    <row r="72" spans="1:30" x14ac:dyDescent="0.25">
      <c r="A72" s="3" t="s">
        <v>12</v>
      </c>
      <c r="B72">
        <f t="shared" si="2"/>
        <v>1449.24</v>
      </c>
      <c r="C72" s="3">
        <v>36231</v>
      </c>
      <c r="D72" s="3">
        <v>24419</v>
      </c>
      <c r="E72">
        <f t="shared" si="0"/>
        <v>1449.24</v>
      </c>
      <c r="F72" s="6" t="e">
        <v>#N/A</v>
      </c>
      <c r="G72" s="6" t="e">
        <v>#N/A</v>
      </c>
      <c r="H72" s="36" t="e">
        <f t="shared" si="1"/>
        <v>#N/A</v>
      </c>
      <c r="I72" t="e">
        <f t="shared" si="3"/>
        <v>#N/A</v>
      </c>
      <c r="K72" s="40" t="s">
        <v>206</v>
      </c>
      <c r="L72" s="2">
        <v>0.05</v>
      </c>
      <c r="M72" s="37">
        <v>10000</v>
      </c>
    </row>
    <row r="73" spans="1:30" x14ac:dyDescent="0.25">
      <c r="B73">
        <f>MAX(C61:D72)*4%</f>
        <v>1449.24</v>
      </c>
      <c r="F73" s="24" cm="1">
        <f t="array" ref="F73">SUM(IFERROR(F61:F72,0))</f>
        <v>35296</v>
      </c>
      <c r="G73" s="24" cm="1">
        <f t="array" ref="G73">SUM(IFERROR(G61:G72,0))</f>
        <v>25507</v>
      </c>
      <c r="K73" s="40" t="s">
        <v>207</v>
      </c>
      <c r="L73" s="2">
        <v>7.0000000000000007E-2</v>
      </c>
      <c r="M73" s="37">
        <v>8119</v>
      </c>
    </row>
    <row r="74" spans="1:30" x14ac:dyDescent="0.25">
      <c r="AC74" s="4" t="s">
        <v>167</v>
      </c>
      <c r="AD74" t="s">
        <v>191</v>
      </c>
    </row>
    <row r="75" spans="1:30" x14ac:dyDescent="0.25">
      <c r="A75" s="24">
        <v>109619</v>
      </c>
      <c r="AC75" s="3" t="s">
        <v>180</v>
      </c>
      <c r="AD75">
        <v>1</v>
      </c>
    </row>
    <row r="76" spans="1:30" x14ac:dyDescent="0.25">
      <c r="A76" t="s">
        <v>216</v>
      </c>
      <c r="C76" s="2">
        <v>0.51</v>
      </c>
      <c r="D76" s="43" t="str">
        <f>H82&amp;CHAR(10)&amp;F82&amp;CHAR(10)&amp;D82&amp;CHAR(10)&amp;B82</f>
        <v>Goal  1
Goal  2
Goal  3
Goal  4</v>
      </c>
      <c r="AC76" s="3" t="s">
        <v>181</v>
      </c>
      <c r="AD76">
        <v>2</v>
      </c>
    </row>
    <row r="77" spans="1:30" x14ac:dyDescent="0.25">
      <c r="A77" s="40" t="s">
        <v>208</v>
      </c>
      <c r="B77" t="b">
        <v>1</v>
      </c>
      <c r="AC77" s="3" t="s">
        <v>182</v>
      </c>
      <c r="AD77">
        <v>3</v>
      </c>
    </row>
    <row r="78" spans="1:30" x14ac:dyDescent="0.25">
      <c r="A78" s="2">
        <v>0.74675324675324672</v>
      </c>
      <c r="B78" s="8">
        <v>0.30088311688311692</v>
      </c>
      <c r="C78" s="8">
        <v>0.30088311688311692</v>
      </c>
      <c r="D78" s="8">
        <v>0.45271428571428574</v>
      </c>
      <c r="E78" s="8">
        <v>0.45271428571428574</v>
      </c>
      <c r="F78" s="8">
        <v>0.61906493506493498</v>
      </c>
      <c r="G78" s="8">
        <v>0.61906493506493498</v>
      </c>
      <c r="H78" s="8">
        <v>0.79076623376623378</v>
      </c>
      <c r="I78" s="2" t="s">
        <v>209</v>
      </c>
      <c r="AC78" s="3" t="s">
        <v>183</v>
      </c>
      <c r="AD78">
        <v>4</v>
      </c>
    </row>
    <row r="79" spans="1:30" x14ac:dyDescent="0.25">
      <c r="A79" s="41">
        <v>0.01</v>
      </c>
      <c r="B79" s="8">
        <v>8.872727272727271E-2</v>
      </c>
      <c r="C79" s="8">
        <v>8.872727272727271E-2</v>
      </c>
      <c r="D79" s="8">
        <v>0.30053246753246754</v>
      </c>
      <c r="E79" s="8">
        <v>0.30053246753246754</v>
      </c>
      <c r="F79" s="8">
        <v>0.22509090909090912</v>
      </c>
      <c r="G79" s="8">
        <v>0.22509090909090912</v>
      </c>
      <c r="H79" s="8">
        <v>0.20923376623376622</v>
      </c>
      <c r="I79" s="2" t="s">
        <v>210</v>
      </c>
      <c r="AC79" s="3" t="s">
        <v>5</v>
      </c>
      <c r="AD79">
        <v>5</v>
      </c>
    </row>
    <row r="80" spans="1:30" x14ac:dyDescent="0.25">
      <c r="A80" s="2">
        <v>0.24324675324675327</v>
      </c>
      <c r="B80" s="8">
        <v>0.61038961038961037</v>
      </c>
      <c r="C80" s="8">
        <v>0.61038961038961037</v>
      </c>
      <c r="D80" s="8">
        <v>0.24675324675324672</v>
      </c>
      <c r="E80" s="8">
        <v>0.24675324675324672</v>
      </c>
      <c r="F80" s="8">
        <v>0.1558441558441559</v>
      </c>
      <c r="G80" s="8">
        <v>0.1558441558441559</v>
      </c>
      <c r="H80" s="8">
        <v>0</v>
      </c>
      <c r="I80" s="2" t="s">
        <v>211</v>
      </c>
      <c r="AC80" s="3" t="s">
        <v>184</v>
      </c>
      <c r="AD80">
        <v>6</v>
      </c>
    </row>
    <row r="81" spans="1:30" x14ac:dyDescent="0.25">
      <c r="A81" s="2">
        <v>0.34</v>
      </c>
      <c r="B81" s="8">
        <v>0.34</v>
      </c>
      <c r="C81" s="8">
        <v>0.34</v>
      </c>
      <c r="D81" s="8">
        <v>0.34</v>
      </c>
      <c r="E81" s="8">
        <v>0.34</v>
      </c>
      <c r="F81" s="8">
        <v>0.34</v>
      </c>
      <c r="G81" s="8">
        <v>0.34</v>
      </c>
      <c r="H81" s="8">
        <v>0.34</v>
      </c>
      <c r="I81" s="2"/>
      <c r="AC81" s="3" t="s">
        <v>185</v>
      </c>
      <c r="AD81">
        <v>7</v>
      </c>
    </row>
    <row r="82" spans="1:30" x14ac:dyDescent="0.25">
      <c r="B82" s="42" t="s">
        <v>212</v>
      </c>
      <c r="D82" s="42" t="s">
        <v>213</v>
      </c>
      <c r="F82" s="42" t="s">
        <v>214</v>
      </c>
      <c r="H82" s="42" t="s">
        <v>215</v>
      </c>
      <c r="AC82" s="3" t="s">
        <v>186</v>
      </c>
      <c r="AD82">
        <v>8</v>
      </c>
    </row>
    <row r="83" spans="1:30" x14ac:dyDescent="0.25">
      <c r="AC83" s="3" t="s">
        <v>187</v>
      </c>
      <c r="AD83">
        <v>9</v>
      </c>
    </row>
    <row r="84" spans="1:30" x14ac:dyDescent="0.25">
      <c r="AC84" s="3" t="s">
        <v>188</v>
      </c>
      <c r="AD84">
        <v>10</v>
      </c>
    </row>
    <row r="85" spans="1:30" x14ac:dyDescent="0.25">
      <c r="AC85" s="3" t="s">
        <v>189</v>
      </c>
      <c r="AD85">
        <v>11</v>
      </c>
    </row>
    <row r="86" spans="1:30" x14ac:dyDescent="0.25">
      <c r="AC86" s="3" t="s">
        <v>190</v>
      </c>
      <c r="AD86">
        <v>12</v>
      </c>
    </row>
    <row r="88" spans="1:30" x14ac:dyDescent="0.25">
      <c r="AC88" s="11" t="s">
        <v>50</v>
      </c>
      <c r="AD88" t="s">
        <v>192</v>
      </c>
    </row>
    <row r="89" spans="1:30" x14ac:dyDescent="0.25">
      <c r="AC89" s="10" t="s">
        <v>187</v>
      </c>
      <c r="AD89">
        <v>9</v>
      </c>
    </row>
    <row r="90" spans="1:30" x14ac:dyDescent="0.25">
      <c r="AC90" s="10" t="s">
        <v>51</v>
      </c>
      <c r="AD90">
        <v>9</v>
      </c>
    </row>
  </sheetData>
  <phoneticPr fontId="3" type="noConversion"/>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FDF3BA-C93D-4EB0-BFEF-5442D47DE64B}">
  <dimension ref="A1:V34"/>
  <sheetViews>
    <sheetView topLeftCell="B1" workbookViewId="0">
      <selection activeCell="F7" sqref="F7"/>
    </sheetView>
  </sheetViews>
  <sheetFormatPr defaultRowHeight="15" x14ac:dyDescent="0.25"/>
  <cols>
    <col min="3" max="3" width="9.5703125" style="3" bestFit="1" customWidth="1"/>
    <col min="5" max="5" width="11.28515625" bestFit="1" customWidth="1"/>
    <col min="8" max="8" width="11" customWidth="1"/>
    <col min="9" max="9" width="13.7109375" bestFit="1" customWidth="1"/>
    <col min="11" max="11" width="11.28515625" bestFit="1" customWidth="1"/>
    <col min="13" max="13" width="13.7109375" bestFit="1" customWidth="1"/>
  </cols>
  <sheetData>
    <row r="1" spans="1:19" x14ac:dyDescent="0.25">
      <c r="A1" s="4" t="s">
        <v>0</v>
      </c>
      <c r="B1" s="4" t="s">
        <v>14</v>
      </c>
      <c r="C1" s="4" t="s">
        <v>15</v>
      </c>
      <c r="D1" s="4" t="s">
        <v>13</v>
      </c>
      <c r="E1" s="4" t="s">
        <v>16</v>
      </c>
      <c r="F1" s="4" t="s">
        <v>0</v>
      </c>
      <c r="G1" s="4" t="s">
        <v>17</v>
      </c>
      <c r="H1" s="4" t="s">
        <v>23</v>
      </c>
      <c r="J1" s="12" t="s">
        <v>73</v>
      </c>
      <c r="K1" s="3" t="s">
        <v>25</v>
      </c>
      <c r="M1" t="s">
        <v>36</v>
      </c>
      <c r="N1" s="5">
        <f>(M3-ABS(N3))/M3</f>
        <v>0.37072749999999999</v>
      </c>
      <c r="O1" s="5">
        <f>1-N1</f>
        <v>0.62927250000000001</v>
      </c>
      <c r="Q1" s="4" t="s">
        <v>41</v>
      </c>
      <c r="R1" s="4" t="s">
        <v>40</v>
      </c>
    </row>
    <row r="2" spans="1:19" x14ac:dyDescent="0.25">
      <c r="A2" s="3" t="s">
        <v>1</v>
      </c>
      <c r="B2" s="5">
        <f>GETPIVOTDATA(""&amp;B$1,Control!$A$20,"Month",""&amp;$A2)</f>
        <v>0.9</v>
      </c>
      <c r="C2" s="5" t="e">
        <f>IF(ROW()&gt;$F$2,B2,NA())</f>
        <v>#N/A</v>
      </c>
      <c r="D2" s="5">
        <f>GETPIVOTDATA(""&amp;D$1,Control!$A$20,"Month",""&amp;$A2)</f>
        <v>1</v>
      </c>
      <c r="E2" s="6" t="e">
        <f>IF((ROW()-1)=$F$2,B2,NA())</f>
        <v>#N/A</v>
      </c>
      <c r="F2" s="3">
        <f>GETPIVOTDATA("Max of Num Month",Control!$A$3)</f>
        <v>9</v>
      </c>
      <c r="G2" s="3" t="s">
        <v>18</v>
      </c>
      <c r="H2" s="5">
        <f>GETPIVOTDATA(""&amp;G2,Control!$A$3)</f>
        <v>0.15</v>
      </c>
      <c r="I2" t="s">
        <v>42</v>
      </c>
      <c r="J2" s="3" t="s">
        <v>64</v>
      </c>
      <c r="K2" s="13">
        <f>GETPIVOTDATA(""&amp;I2,Control!$A$3)</f>
        <v>2413</v>
      </c>
      <c r="M2" t="s">
        <v>40</v>
      </c>
      <c r="N2" t="s">
        <v>25</v>
      </c>
      <c r="P2" t="b">
        <f>ISNUMBER(MATCH(Q2,Control!$A$36:$A$39,0))</f>
        <v>1</v>
      </c>
      <c r="Q2" s="3">
        <v>2025</v>
      </c>
      <c r="R2" s="15">
        <v>400000</v>
      </c>
    </row>
    <row r="3" spans="1:19" x14ac:dyDescent="0.25">
      <c r="A3" s="3" t="s">
        <v>2</v>
      </c>
      <c r="B3" s="5">
        <f>GETPIVOTDATA(""&amp;B$1,Control!$A$20,"Month",""&amp;A3)</f>
        <v>0.7</v>
      </c>
      <c r="C3" s="5" t="e">
        <f t="shared" ref="C3:C13" si="0">IF(ROW()&gt;$F$2,B3,NA())</f>
        <v>#N/A</v>
      </c>
      <c r="D3" s="5">
        <f>GETPIVOTDATA(""&amp;D$1,Control!$A$20,"Month",""&amp;$A3)</f>
        <v>0.95</v>
      </c>
      <c r="E3" s="6" t="e">
        <f t="shared" ref="E3:E13" si="1">IF((ROW()-1)=$F$2,B3,NA())</f>
        <v>#N/A</v>
      </c>
      <c r="G3" s="3" t="s">
        <v>19</v>
      </c>
      <c r="H3" s="5">
        <f>GETPIVOTDATA(""&amp;G3,Control!$A$3)</f>
        <v>0.74</v>
      </c>
      <c r="I3" t="s">
        <v>43</v>
      </c>
      <c r="J3" s="3" t="s">
        <v>24</v>
      </c>
      <c r="K3" s="13">
        <f>GETPIVOTDATA(""&amp;I3,Control!$A$3)</f>
        <v>3819</v>
      </c>
      <c r="M3" s="9" cm="1">
        <f t="array" ref="M3">SUM(R2:R4*P2:P4)</f>
        <v>400000</v>
      </c>
      <c r="N3" s="9">
        <f>0-SUM(C17:INDEX(C17:C28,F2))</f>
        <v>-251709</v>
      </c>
      <c r="P3" t="b">
        <f>ISNUMBER(MATCH(Q3,Control!$A$36:$A$39,0))</f>
        <v>0</v>
      </c>
      <c r="Q3" s="3">
        <v>2026</v>
      </c>
      <c r="R3" s="15">
        <v>450000</v>
      </c>
    </row>
    <row r="4" spans="1:19" x14ac:dyDescent="0.25">
      <c r="A4" s="3" t="s">
        <v>3</v>
      </c>
      <c r="B4" s="5">
        <f>GETPIVOTDATA(""&amp;B$1,Control!$A$20,"Month",""&amp;A4)</f>
        <v>0.8</v>
      </c>
      <c r="C4" s="5" t="e">
        <f t="shared" si="0"/>
        <v>#N/A</v>
      </c>
      <c r="D4" s="5">
        <f>GETPIVOTDATA(""&amp;D$1,Control!$A$20,"Month",""&amp;$A4)</f>
        <v>0.9</v>
      </c>
      <c r="E4" s="6" t="e">
        <f t="shared" si="1"/>
        <v>#N/A</v>
      </c>
      <c r="G4" s="3" t="s">
        <v>20</v>
      </c>
      <c r="H4" s="5">
        <f>GETPIVOTDATA(""&amp;G4,Control!$A$3)</f>
        <v>0.72</v>
      </c>
      <c r="I4" t="s">
        <v>226</v>
      </c>
      <c r="J4" s="3" t="s">
        <v>65</v>
      </c>
      <c r="K4" s="13">
        <f>GETPIVOTDATA(""&amp;I4,Control!$A$3)</f>
        <v>4950</v>
      </c>
      <c r="P4" t="b">
        <f>ISNUMBER(MATCH(Q4,Control!$A$36:$A$39,0))</f>
        <v>0</v>
      </c>
      <c r="Q4" s="3">
        <v>2027</v>
      </c>
      <c r="R4" s="15">
        <v>380000</v>
      </c>
    </row>
    <row r="5" spans="1:19" x14ac:dyDescent="0.25">
      <c r="A5" s="3" t="s">
        <v>4</v>
      </c>
      <c r="B5" s="5">
        <f>GETPIVOTDATA(""&amp;B$1,Control!$A$20,"Month",""&amp;A5)</f>
        <v>0.55000000000000004</v>
      </c>
      <c r="C5" s="5" t="e">
        <f t="shared" si="0"/>
        <v>#N/A</v>
      </c>
      <c r="D5" s="5">
        <f>GETPIVOTDATA(""&amp;D$1,Control!$A$20,"Month",""&amp;$A5)</f>
        <v>0.85</v>
      </c>
      <c r="E5" s="6" t="e">
        <f t="shared" si="1"/>
        <v>#N/A</v>
      </c>
      <c r="G5" s="3" t="s">
        <v>21</v>
      </c>
      <c r="H5" s="5">
        <f>GETPIVOTDATA(""&amp;G5,Control!$A$3)</f>
        <v>0.41</v>
      </c>
      <c r="I5" t="s">
        <v>44</v>
      </c>
      <c r="J5" s="3" t="s">
        <v>64</v>
      </c>
      <c r="K5" s="13">
        <f>GETPIVOTDATA(""&amp;I5,Control!$A$3)</f>
        <v>2520</v>
      </c>
      <c r="M5" t="s">
        <v>39</v>
      </c>
      <c r="O5" t="s">
        <v>35</v>
      </c>
    </row>
    <row r="6" spans="1:19" x14ac:dyDescent="0.25">
      <c r="A6" s="3" t="s">
        <v>5</v>
      </c>
      <c r="B6" s="5">
        <f>GETPIVOTDATA(""&amp;B$1,Control!$A$20,"Month",""&amp;A6)</f>
        <v>0.45</v>
      </c>
      <c r="C6" s="5" t="e">
        <f t="shared" si="0"/>
        <v>#N/A</v>
      </c>
      <c r="D6" s="5">
        <f>GETPIVOTDATA(""&amp;D$1,Control!$A$20,"Month",""&amp;$A6)</f>
        <v>0.8</v>
      </c>
      <c r="E6" s="6" t="e">
        <f t="shared" si="1"/>
        <v>#N/A</v>
      </c>
      <c r="G6" s="3" t="s">
        <v>22</v>
      </c>
      <c r="H6" s="5">
        <f>GETPIVOTDATA(""&amp;G6,Control!$A$3)</f>
        <v>0.82</v>
      </c>
      <c r="I6" t="s">
        <v>45</v>
      </c>
      <c r="J6" s="3" t="s">
        <v>66</v>
      </c>
      <c r="K6" s="13">
        <f>GETPIVOTDATA(""&amp;I6,Control!$A$3)</f>
        <v>2118</v>
      </c>
      <c r="M6">
        <f>GETPIVOTDATA("Sum of Days",Control!$A$20)-SUM(Control!$E$21:INDEX(Control!E21:E32,F2))</f>
        <v>92</v>
      </c>
      <c r="N6" s="8">
        <f>1-O6</f>
        <v>0.74794520547945198</v>
      </c>
      <c r="O6" s="2">
        <f>M6/GETPIVOTDATA("Sum of Days",Control!$A$20)</f>
        <v>0.25205479452054796</v>
      </c>
    </row>
    <row r="7" spans="1:19" x14ac:dyDescent="0.25">
      <c r="A7" s="3" t="s">
        <v>6</v>
      </c>
      <c r="B7" s="5">
        <f>GETPIVOTDATA(""&amp;B$1,Control!$A$20,"Month",""&amp;A7)</f>
        <v>0.5</v>
      </c>
      <c r="C7" s="5" t="e">
        <f t="shared" si="0"/>
        <v>#N/A</v>
      </c>
      <c r="D7" s="5">
        <f>GETPIVOTDATA(""&amp;D$1,Control!$A$20,"Month",""&amp;$A7)</f>
        <v>0.7</v>
      </c>
      <c r="E7" s="6" t="e">
        <f t="shared" si="1"/>
        <v>#N/A</v>
      </c>
      <c r="G7" t="s">
        <v>74</v>
      </c>
      <c r="K7" s="2"/>
    </row>
    <row r="8" spans="1:19" x14ac:dyDescent="0.25">
      <c r="A8" s="3" t="s">
        <v>7</v>
      </c>
      <c r="B8" s="5">
        <f>GETPIVOTDATA(""&amp;B$1,Control!$A$20,"Month",""&amp;A8)</f>
        <v>0.3</v>
      </c>
      <c r="C8" s="5" t="e">
        <f t="shared" si="0"/>
        <v>#N/A</v>
      </c>
      <c r="D8" s="5">
        <f>GETPIVOTDATA(""&amp;D$1,Control!$A$20,"Month",""&amp;$A8)</f>
        <v>0.6</v>
      </c>
      <c r="E8" s="6" t="e">
        <f t="shared" si="1"/>
        <v>#N/A</v>
      </c>
      <c r="G8" s="4" t="s">
        <v>29</v>
      </c>
      <c r="H8" s="4" t="s">
        <v>33</v>
      </c>
      <c r="I8" t="s">
        <v>76</v>
      </c>
      <c r="M8" s="3" t="s">
        <v>34</v>
      </c>
      <c r="O8" s="3" t="s">
        <v>38</v>
      </c>
    </row>
    <row r="9" spans="1:19" x14ac:dyDescent="0.25">
      <c r="A9" s="3" t="s">
        <v>8</v>
      </c>
      <c r="B9" s="5">
        <f>GETPIVOTDATA(""&amp;B$1,Control!$A$20,"Month",""&amp;A9)</f>
        <v>0.35</v>
      </c>
      <c r="C9" s="5" t="e">
        <f t="shared" si="0"/>
        <v>#N/A</v>
      </c>
      <c r="D9" s="5">
        <f>GETPIVOTDATA(""&amp;D$1,Control!$A$20,"Month",""&amp;$A9)</f>
        <v>0.5</v>
      </c>
      <c r="E9" s="6" t="e">
        <f t="shared" si="1"/>
        <v>#N/A</v>
      </c>
      <c r="G9" s="5">
        <v>1</v>
      </c>
      <c r="H9" s="5">
        <f>ROUND(GETPIVOTDATA(""&amp;J9,Control!$A$3),0)/10</f>
        <v>0.3</v>
      </c>
      <c r="I9" s="3" t="s">
        <v>64</v>
      </c>
      <c r="J9" t="s">
        <v>46</v>
      </c>
      <c r="M9" s="3" t="s">
        <v>224</v>
      </c>
      <c r="N9" s="3" t="s">
        <v>37</v>
      </c>
      <c r="O9" s="3" t="str">
        <f>M10&amp;"/"&amp;N10</f>
        <v>80/220</v>
      </c>
    </row>
    <row r="10" spans="1:19" x14ac:dyDescent="0.25">
      <c r="A10" s="3" t="s">
        <v>9</v>
      </c>
      <c r="B10" s="5">
        <f>GETPIVOTDATA(""&amp;B$1,Control!$A$20,"Month",""&amp;A10)</f>
        <v>0.2</v>
      </c>
      <c r="C10" s="5">
        <f t="shared" si="0"/>
        <v>0.2</v>
      </c>
      <c r="D10" s="5">
        <f>GETPIVOTDATA(""&amp;D$1,Control!$A$20,"Month",""&amp;$A10)</f>
        <v>0.4</v>
      </c>
      <c r="E10" s="6">
        <f t="shared" si="1"/>
        <v>0.2</v>
      </c>
      <c r="G10" s="5">
        <v>1</v>
      </c>
      <c r="H10" s="5">
        <f>ROUND(GETPIVOTDATA(""&amp;J10,Control!$A$3),0)/10</f>
        <v>0.3</v>
      </c>
      <c r="I10" s="3" t="s">
        <v>24</v>
      </c>
      <c r="J10" t="s">
        <v>47</v>
      </c>
      <c r="M10" s="3">
        <f>N10-SUM(Control!$F$21:INDEX(Control!F21:F32,F2))</f>
        <v>80</v>
      </c>
      <c r="N10" s="3">
        <f>GETPIVOTDATA("Sum of Tasks",Control!$A$20)</f>
        <v>220</v>
      </c>
    </row>
    <row r="11" spans="1:19" x14ac:dyDescent="0.25">
      <c r="A11" s="3" t="s">
        <v>10</v>
      </c>
      <c r="B11" s="5">
        <f>GETPIVOTDATA(""&amp;B$1,Control!$A$20,"Month",""&amp;A11)</f>
        <v>0.25</v>
      </c>
      <c r="C11" s="5">
        <f t="shared" si="0"/>
        <v>0.25</v>
      </c>
      <c r="D11" s="5">
        <f>GETPIVOTDATA(""&amp;D$1,Control!$A$20,"Month",""&amp;$A11)</f>
        <v>0.3</v>
      </c>
      <c r="E11" s="6" t="e">
        <f t="shared" si="1"/>
        <v>#N/A</v>
      </c>
      <c r="G11" s="5">
        <v>1</v>
      </c>
      <c r="H11" s="5">
        <f>ROUND(GETPIVOTDATA(""&amp;J11,Control!$A$3),0)/10</f>
        <v>1</v>
      </c>
      <c r="I11" s="3" t="s">
        <v>229</v>
      </c>
      <c r="J11" t="s">
        <v>230</v>
      </c>
      <c r="M11" s="6">
        <f>1-N11</f>
        <v>0.63636363636363635</v>
      </c>
      <c r="N11" s="6">
        <f>M10/N10</f>
        <v>0.36363636363636365</v>
      </c>
    </row>
    <row r="12" spans="1:19" ht="15" customHeight="1" x14ac:dyDescent="0.55000000000000004">
      <c r="A12" s="3" t="s">
        <v>11</v>
      </c>
      <c r="B12" s="5">
        <f>GETPIVOTDATA(""&amp;B$1,Control!$A$20,"Month",""&amp;A12)</f>
        <v>0.15</v>
      </c>
      <c r="C12" s="5">
        <f t="shared" si="0"/>
        <v>0.15</v>
      </c>
      <c r="D12" s="5">
        <f>GETPIVOTDATA(""&amp;D$1,Control!$A$20,"Month",""&amp;$A12)</f>
        <v>0.2</v>
      </c>
      <c r="E12" s="6" t="e">
        <f t="shared" si="1"/>
        <v>#N/A</v>
      </c>
      <c r="G12" s="5">
        <v>1</v>
      </c>
      <c r="H12" s="5">
        <f>ROUND(GETPIVOTDATA(""&amp;J12,Control!$A$3),0)/10</f>
        <v>0.3</v>
      </c>
      <c r="I12" s="3" t="s">
        <v>64</v>
      </c>
      <c r="J12" t="s">
        <v>46</v>
      </c>
      <c r="L12" s="46"/>
      <c r="M12" s="47"/>
      <c r="N12" s="47"/>
      <c r="O12" s="47"/>
      <c r="P12" s="47"/>
      <c r="Q12" s="47"/>
      <c r="R12" s="47"/>
    </row>
    <row r="13" spans="1:19" ht="15" customHeight="1" x14ac:dyDescent="0.55000000000000004">
      <c r="A13" s="3" t="s">
        <v>12</v>
      </c>
      <c r="B13" s="5">
        <f>GETPIVOTDATA(""&amp;B$1,Control!$A$20,"Month",""&amp;A13)</f>
        <v>0.2</v>
      </c>
      <c r="C13" s="5">
        <f t="shared" si="0"/>
        <v>0.2</v>
      </c>
      <c r="D13" s="5">
        <f>GETPIVOTDATA(""&amp;D$1,Control!$A$20,"Month",""&amp;$A13)</f>
        <v>0.1</v>
      </c>
      <c r="E13" s="6" t="e">
        <f t="shared" si="1"/>
        <v>#N/A</v>
      </c>
      <c r="G13" s="5">
        <v>1</v>
      </c>
      <c r="H13" s="5">
        <f>ROUND(GETPIVOTDATA(""&amp;J13,Control!$A$3),0)/10</f>
        <v>0.4</v>
      </c>
      <c r="I13" s="3" t="s">
        <v>66</v>
      </c>
      <c r="J13" t="s">
        <v>49</v>
      </c>
      <c r="L13" s="47"/>
      <c r="M13" s="47"/>
      <c r="N13" s="47"/>
      <c r="O13" s="47"/>
      <c r="P13" s="47"/>
      <c r="Q13" s="47"/>
      <c r="R13" s="47"/>
    </row>
    <row r="14" spans="1:19" x14ac:dyDescent="0.25">
      <c r="A14" t="s">
        <v>71</v>
      </c>
      <c r="E14" s="5">
        <v>0.3</v>
      </c>
      <c r="H14" s="5">
        <f>AVERAGE(H9:H13)</f>
        <v>0.46000000000000008</v>
      </c>
    </row>
    <row r="15" spans="1:19" x14ac:dyDescent="0.25">
      <c r="J15" s="3" t="s">
        <v>72</v>
      </c>
      <c r="Q15" t="s">
        <v>225</v>
      </c>
    </row>
    <row r="16" spans="1:19" x14ac:dyDescent="0.25">
      <c r="A16" s="4" t="s">
        <v>0</v>
      </c>
      <c r="B16" s="4" t="s">
        <v>26</v>
      </c>
      <c r="C16" s="4" t="s">
        <v>25</v>
      </c>
      <c r="D16" s="4" t="s">
        <v>27</v>
      </c>
      <c r="E16" s="4" t="s">
        <v>16</v>
      </c>
      <c r="F16" s="4" t="s">
        <v>78</v>
      </c>
      <c r="G16" s="4" t="s">
        <v>77</v>
      </c>
      <c r="I16" s="4" t="s">
        <v>28</v>
      </c>
      <c r="J16" s="4" t="s">
        <v>16</v>
      </c>
      <c r="K16" s="4" t="s">
        <v>29</v>
      </c>
      <c r="L16" s="4" t="s">
        <v>30</v>
      </c>
      <c r="M16" s="4" t="s">
        <v>31</v>
      </c>
      <c r="N16" s="4" t="s">
        <v>32</v>
      </c>
      <c r="Q16">
        <v>3</v>
      </c>
      <c r="R16" s="6">
        <f>MIN(1,MAX(0,(F$2-SUM(Q$16:Q16)+Q16)/Q16))</f>
        <v>1</v>
      </c>
      <c r="S16" t="s">
        <v>42</v>
      </c>
    </row>
    <row r="17" spans="1:22" x14ac:dyDescent="0.25">
      <c r="A17" s="3" t="s">
        <v>1</v>
      </c>
      <c r="B17">
        <f>$B$29</f>
        <v>2312.85</v>
      </c>
      <c r="C17" s="7">
        <f>GETPIVOTDATA("Sum of Cost",Control!$A$20,"Month",""&amp;A17)</f>
        <v>17063</v>
      </c>
      <c r="D17" s="3">
        <f>B17</f>
        <v>2312.85</v>
      </c>
      <c r="E17" s="13" t="e">
        <f>IFERROR(GETPIVOTDATA("Sum of Cost",Control!$A$3,"Month",""&amp;A17),NA())</f>
        <v>#N/A</v>
      </c>
      <c r="F17" t="e">
        <f>B17+E17</f>
        <v>#N/A</v>
      </c>
      <c r="G17" t="e">
        <f>IF(E17&gt;=1000,TEXT(ROUND(E17/1000,0),"0")&amp;"k",E17)</f>
        <v>#N/A</v>
      </c>
      <c r="I17" s="3">
        <v>10</v>
      </c>
      <c r="J17" s="3">
        <f>F2</f>
        <v>9</v>
      </c>
      <c r="K17" s="3">
        <v>10</v>
      </c>
      <c r="L17" s="3">
        <f>CHOOSE($J$17,10,10,0,0,0,0,0,0,0,0,0,0)</f>
        <v>0</v>
      </c>
      <c r="M17" s="3">
        <f>CHOOSE($J$17,10,0,0,0,0,0,0,0,0,0,0,0)</f>
        <v>0</v>
      </c>
      <c r="N17" s="3">
        <f>CHOOSE($J$17,10,0,0,0,0,0,0,0,0,0,0,0)</f>
        <v>0</v>
      </c>
      <c r="Q17">
        <v>2</v>
      </c>
      <c r="R17" s="6">
        <f>MIN(1,MAX(0,(F$2-SUM(Q$16:Q17)+Q17)/Q17))</f>
        <v>1</v>
      </c>
      <c r="S17" t="s">
        <v>43</v>
      </c>
      <c r="T17" t="str">
        <f>IF($F$2&gt;3,S17,"")</f>
        <v>Design</v>
      </c>
      <c r="V17" t="b">
        <f>$F$2&gt;Q17</f>
        <v>1</v>
      </c>
    </row>
    <row r="18" spans="1:22" x14ac:dyDescent="0.25">
      <c r="A18" s="3" t="s">
        <v>2</v>
      </c>
      <c r="B18">
        <f t="shared" ref="B18:B28" si="2">$B$29</f>
        <v>2312.85</v>
      </c>
      <c r="C18" s="7">
        <f>GETPIVOTDATA("Sum of Cost",Control!$A$20,"Month",""&amp;A18)</f>
        <v>19009</v>
      </c>
      <c r="D18" s="3">
        <f t="shared" ref="D18:D28" si="3">B18</f>
        <v>2312.85</v>
      </c>
      <c r="E18" s="13" t="e">
        <f>IFERROR(GETPIVOTDATA("Sum of Cost",Control!$A$3,"Month",""&amp;A18),NA())</f>
        <v>#N/A</v>
      </c>
      <c r="F18" t="e">
        <f t="shared" ref="F18:F28" si="4">B18+E18</f>
        <v>#N/A</v>
      </c>
      <c r="G18" t="e">
        <f t="shared" ref="G18:G28" si="5">IF(E18&gt;=1000,TEXT(ROUND(E18/1000,0),"0")&amp;"k",E18)</f>
        <v>#N/A</v>
      </c>
      <c r="I18" s="3">
        <v>10</v>
      </c>
      <c r="J18" s="3">
        <f>80-SUM(J19:J20)</f>
        <v>10</v>
      </c>
      <c r="K18" s="3">
        <v>10</v>
      </c>
      <c r="L18" s="3">
        <f>CHOOSE($J$17,0,10,0,0,0,0,0,0,0,0,0,0)</f>
        <v>0</v>
      </c>
      <c r="M18" s="3">
        <f>CHOOSE($J$17,10,10,10,10,10,10,10,10,10,0,0,0)</f>
        <v>10</v>
      </c>
      <c r="N18" s="3">
        <f>CHOOSE($J$17,0,10,0,0,0,0,0,0,0,0,0,0)</f>
        <v>0</v>
      </c>
      <c r="Q18">
        <v>4</v>
      </c>
      <c r="R18" s="6">
        <f>MIN(1,MAX(0,(F$2-SUM(Q$16:Q18)+Q18)/Q18))</f>
        <v>1</v>
      </c>
      <c r="S18" t="s">
        <v>226</v>
      </c>
      <c r="T18" t="str">
        <f>IF($F$2&gt;5,S18,"")</f>
        <v>Coding</v>
      </c>
    </row>
    <row r="19" spans="1:22" x14ac:dyDescent="0.25">
      <c r="A19" s="3" t="s">
        <v>3</v>
      </c>
      <c r="B19">
        <f t="shared" si="2"/>
        <v>2312.85</v>
      </c>
      <c r="C19" s="7">
        <f>GETPIVOTDATA("Sum of Cost",Control!$A$20,"Month",""&amp;A19)</f>
        <v>21172</v>
      </c>
      <c r="D19" s="3">
        <f t="shared" si="3"/>
        <v>2312.85</v>
      </c>
      <c r="E19" s="13" t="e">
        <f>IFERROR(GETPIVOTDATA("Sum of Cost",Control!$A$3,"Month",""&amp;A19),NA())</f>
        <v>#N/A</v>
      </c>
      <c r="F19" t="e">
        <f t="shared" si="4"/>
        <v>#N/A</v>
      </c>
      <c r="G19" t="e">
        <f t="shared" si="5"/>
        <v>#N/A</v>
      </c>
      <c r="I19" s="3">
        <v>10</v>
      </c>
      <c r="J19" s="3">
        <f>CHOOSE(J17,0,0,10,10,10,10,10,10,10,10,0,0)</f>
        <v>10</v>
      </c>
      <c r="K19" s="3">
        <v>10</v>
      </c>
      <c r="L19" s="3">
        <f>CHOOSE($J$17,0,0,0,0,0,0,0,0,0,0,10,0)</f>
        <v>0</v>
      </c>
      <c r="M19" s="3">
        <f>CHOOSE($J$17,0,0,0,0,0,0,0,0,0,10,10,10)</f>
        <v>0</v>
      </c>
      <c r="N19" s="3">
        <f>CHOOSE($J$17,0,0,0,0,0,0,0,0,0,0,10,0)</f>
        <v>0</v>
      </c>
      <c r="Q19">
        <v>2</v>
      </c>
      <c r="R19" s="6">
        <f>MIN(1,MAX(0,(F$2-SUM(Q$16:Q19)+Q19)/Q19))</f>
        <v>0</v>
      </c>
      <c r="S19" t="s">
        <v>44</v>
      </c>
      <c r="T19" t="str">
        <f>IF($F$2&gt;9,S19,"")</f>
        <v/>
      </c>
    </row>
    <row r="20" spans="1:22" x14ac:dyDescent="0.25">
      <c r="A20" s="3" t="s">
        <v>4</v>
      </c>
      <c r="B20">
        <f t="shared" si="2"/>
        <v>2312.85</v>
      </c>
      <c r="C20" s="7">
        <f>GETPIVOTDATA("Sum of Cost",Control!$A$20,"Month",""&amp;A20)</f>
        <v>25512</v>
      </c>
      <c r="D20" s="3">
        <f t="shared" si="3"/>
        <v>2312.85</v>
      </c>
      <c r="E20" s="13" t="e">
        <f>IFERROR(GETPIVOTDATA("Sum of Cost",Control!$A$3,"Month",""&amp;A20),NA())</f>
        <v>#N/A</v>
      </c>
      <c r="F20" t="e">
        <f t="shared" si="4"/>
        <v>#N/A</v>
      </c>
      <c r="G20" t="e">
        <f t="shared" si="5"/>
        <v>#N/A</v>
      </c>
      <c r="I20" s="3">
        <v>10</v>
      </c>
      <c r="J20" s="3">
        <f>CHOOSE(J17,0,0,0,10,20,30,40,50,60,70,0,0)</f>
        <v>60</v>
      </c>
      <c r="K20" s="3">
        <v>10</v>
      </c>
      <c r="L20" s="3">
        <f>CHOOSE($J$17,0,0,0,0,0,0,0,0,0,0,0,0)</f>
        <v>0</v>
      </c>
      <c r="M20" s="3">
        <f>CHOOSE($J$17,0,0,0,0,0,0,0,0,0,0,0,0)</f>
        <v>0</v>
      </c>
      <c r="N20" s="3">
        <f>CHOOSE($J$17,0,0,0,0,0,0,0,0,0,0,0,10)</f>
        <v>0</v>
      </c>
      <c r="Q20">
        <v>1</v>
      </c>
      <c r="R20" s="6">
        <f>MIN(1,MAX(0,(F$2-SUM(Q$16:Q20)+Q20)/Q20))</f>
        <v>0</v>
      </c>
      <c r="S20" t="s">
        <v>45</v>
      </c>
      <c r="T20" t="str">
        <f>IF($F$2=12,S20,"")</f>
        <v/>
      </c>
    </row>
    <row r="21" spans="1:22" x14ac:dyDescent="0.25">
      <c r="A21" s="3" t="s">
        <v>5</v>
      </c>
      <c r="B21">
        <f t="shared" si="2"/>
        <v>2312.85</v>
      </c>
      <c r="C21" s="7">
        <f>GETPIVOTDATA("Sum of Cost",Control!$A$20,"Month",""&amp;A21)</f>
        <v>22609</v>
      </c>
      <c r="D21" s="3">
        <f t="shared" si="3"/>
        <v>2312.85</v>
      </c>
      <c r="E21" s="13" t="e">
        <f>IFERROR(GETPIVOTDATA("Sum of Cost",Control!$A$3,"Month",""&amp;A21),NA())</f>
        <v>#N/A</v>
      </c>
      <c r="F21" t="e">
        <f t="shared" si="4"/>
        <v>#N/A</v>
      </c>
      <c r="G21" t="e">
        <f t="shared" si="5"/>
        <v>#N/A</v>
      </c>
      <c r="I21" s="3">
        <v>10</v>
      </c>
      <c r="J21" t="str" cm="1">
        <f t="array" ref="J21">INDEX(I2:I6,CHOOSE(J17,1,1,1,2,2,3,3,3,3,4,4,5))</f>
        <v>Coding</v>
      </c>
    </row>
    <row r="22" spans="1:22" x14ac:dyDescent="0.25">
      <c r="A22" s="3" t="s">
        <v>6</v>
      </c>
      <c r="B22">
        <f t="shared" si="2"/>
        <v>2312.85</v>
      </c>
      <c r="C22" s="7">
        <f>GETPIVOTDATA("Sum of Cost",Control!$A$20,"Month",""&amp;A22)</f>
        <v>30077</v>
      </c>
      <c r="D22" s="3">
        <f t="shared" si="3"/>
        <v>2312.85</v>
      </c>
      <c r="E22" s="13" t="e">
        <f>IFERROR(GETPIVOTDATA("Sum of Cost",Control!$A$3,"Month",""&amp;A22),NA())</f>
        <v>#N/A</v>
      </c>
      <c r="F22" t="e">
        <f t="shared" si="4"/>
        <v>#N/A</v>
      </c>
      <c r="G22" t="e">
        <f t="shared" si="5"/>
        <v>#N/A</v>
      </c>
      <c r="I22" s="3">
        <v>10</v>
      </c>
      <c r="J22" s="6">
        <f>F2/12</f>
        <v>0.75</v>
      </c>
      <c r="S22" t="str">
        <f>S16&amp;CHAR(10)&amp;S17&amp;CHAR(10)&amp;S18&amp;CHAR(10)&amp;S19&amp;CHAR(10)&amp;S20</f>
        <v>Planning
Design
Coding
Testing
Release</v>
      </c>
    </row>
    <row r="23" spans="1:22" x14ac:dyDescent="0.25">
      <c r="A23" s="3" t="s">
        <v>7</v>
      </c>
      <c r="B23">
        <f t="shared" si="2"/>
        <v>2312.85</v>
      </c>
      <c r="C23" s="7">
        <f>GETPIVOTDATA("Sum of Cost",Control!$A$20,"Month",""&amp;A23)</f>
        <v>35634</v>
      </c>
      <c r="D23" s="3">
        <f t="shared" si="3"/>
        <v>2312.85</v>
      </c>
      <c r="E23" s="13" t="e">
        <f>IFERROR(GETPIVOTDATA("Sum of Cost",Control!$A$3,"Month",""&amp;A23),NA())</f>
        <v>#N/A</v>
      </c>
      <c r="F23" t="e">
        <f t="shared" si="4"/>
        <v>#N/A</v>
      </c>
      <c r="G23" t="e">
        <f t="shared" si="5"/>
        <v>#N/A</v>
      </c>
      <c r="I23" s="3">
        <v>10</v>
      </c>
      <c r="J23" t="s">
        <v>228</v>
      </c>
      <c r="S23" t="str">
        <f>TEXT(R16,"0%")&amp;CHAR(10)&amp;TEXT(R17,"0%")&amp;CHAR(10)&amp;TEXT(R18,"0%")&amp;CHAR(10)&amp;TEXT(R19,"0%")&amp;CHAR(10)&amp;TEXT(R20,"0%")</f>
        <v>100%
100%
100%
0%
0%</v>
      </c>
    </row>
    <row r="24" spans="1:22" x14ac:dyDescent="0.25">
      <c r="A24" s="3" t="s">
        <v>8</v>
      </c>
      <c r="B24">
        <f t="shared" si="2"/>
        <v>2312.85</v>
      </c>
      <c r="C24" s="7">
        <f>GETPIVOTDATA("Sum of Cost",Control!$A$20,"Month",""&amp;A24)</f>
        <v>46257</v>
      </c>
      <c r="D24" s="3">
        <f t="shared" si="3"/>
        <v>2312.85</v>
      </c>
      <c r="E24" s="13" t="e">
        <f>IFERROR(GETPIVOTDATA("Sum of Cost",Control!$A$3,"Month",""&amp;A24),NA())</f>
        <v>#N/A</v>
      </c>
      <c r="F24" t="e">
        <f t="shared" si="4"/>
        <v>#N/A</v>
      </c>
      <c r="G24" t="e">
        <f t="shared" si="5"/>
        <v>#N/A</v>
      </c>
      <c r="I24" s="3">
        <v>10</v>
      </c>
      <c r="J24" s="3"/>
    </row>
    <row r="25" spans="1:22" x14ac:dyDescent="0.25">
      <c r="A25" s="3" t="s">
        <v>9</v>
      </c>
      <c r="B25">
        <f t="shared" si="2"/>
        <v>2312.85</v>
      </c>
      <c r="C25" s="7">
        <f>GETPIVOTDATA("Sum of Cost",Control!$A$20,"Month",""&amp;A25)</f>
        <v>34376</v>
      </c>
      <c r="D25" s="3">
        <f t="shared" si="3"/>
        <v>2312.85</v>
      </c>
      <c r="E25" s="13">
        <f>IFERROR(GETPIVOTDATA("Sum of Cost",Control!$A$3,"Month",""&amp;A25),NA())</f>
        <v>34376</v>
      </c>
      <c r="F25">
        <f t="shared" si="4"/>
        <v>36688.85</v>
      </c>
      <c r="G25" t="str">
        <f t="shared" si="5"/>
        <v>34k</v>
      </c>
      <c r="I25" s="3">
        <v>10</v>
      </c>
      <c r="J25" s="3" t="s">
        <v>218</v>
      </c>
      <c r="K25">
        <f>P2*10</f>
        <v>10</v>
      </c>
      <c r="L25" s="3" t="str">
        <f>IF(P2,J25,"")</f>
        <v>Prototype 1</v>
      </c>
    </row>
    <row r="26" spans="1:22" x14ac:dyDescent="0.25">
      <c r="A26" s="3" t="s">
        <v>10</v>
      </c>
      <c r="B26">
        <f t="shared" si="2"/>
        <v>2312.85</v>
      </c>
      <c r="C26" s="7">
        <f>GETPIVOTDATA("Sum of Cost",Control!$A$20,"Month",""&amp;A26)</f>
        <v>36744</v>
      </c>
      <c r="D26" s="3">
        <f t="shared" si="3"/>
        <v>2312.85</v>
      </c>
      <c r="E26" s="13" t="e">
        <f>IFERROR(GETPIVOTDATA("Sum of Cost",Control!$A$3,"Month",""&amp;A26),NA())</f>
        <v>#N/A</v>
      </c>
      <c r="F26" t="e">
        <f t="shared" si="4"/>
        <v>#N/A</v>
      </c>
      <c r="G26" t="e">
        <f t="shared" si="5"/>
        <v>#N/A</v>
      </c>
      <c r="I26" s="3">
        <v>10</v>
      </c>
      <c r="J26" s="3" t="s">
        <v>219</v>
      </c>
      <c r="K26">
        <f t="shared" ref="K26:K27" si="6">P3*10</f>
        <v>0</v>
      </c>
      <c r="L26" s="3" t="str">
        <f t="shared" ref="L26:L27" si="7">IF(P3,J26,"")</f>
        <v/>
      </c>
    </row>
    <row r="27" spans="1:22" x14ac:dyDescent="0.25">
      <c r="A27" s="3" t="s">
        <v>11</v>
      </c>
      <c r="B27">
        <f t="shared" si="2"/>
        <v>2312.85</v>
      </c>
      <c r="C27" s="7">
        <f>GETPIVOTDATA("Sum of Cost",Control!$A$20,"Month",""&amp;A27)</f>
        <v>44019</v>
      </c>
      <c r="D27" s="3">
        <f t="shared" si="3"/>
        <v>2312.85</v>
      </c>
      <c r="E27" s="13" t="e">
        <f>IFERROR(GETPIVOTDATA("Sum of Cost",Control!$A$3,"Month",""&amp;A27),NA())</f>
        <v>#N/A</v>
      </c>
      <c r="F27" t="e">
        <f t="shared" si="4"/>
        <v>#N/A</v>
      </c>
      <c r="G27" t="e">
        <f t="shared" si="5"/>
        <v>#N/A</v>
      </c>
      <c r="I27" s="3">
        <v>10</v>
      </c>
      <c r="J27" s="3" t="s">
        <v>220</v>
      </c>
      <c r="K27">
        <f t="shared" si="6"/>
        <v>0</v>
      </c>
      <c r="L27" s="3" t="str">
        <f t="shared" si="7"/>
        <v/>
      </c>
    </row>
    <row r="28" spans="1:22" x14ac:dyDescent="0.25">
      <c r="A28" s="3" t="s">
        <v>12</v>
      </c>
      <c r="B28">
        <f t="shared" si="2"/>
        <v>2312.85</v>
      </c>
      <c r="C28" s="7">
        <f>GETPIVOTDATA("Sum of Cost",Control!$A$20,"Month",""&amp;A28)</f>
        <v>45080</v>
      </c>
      <c r="D28" s="3">
        <f t="shared" si="3"/>
        <v>2312.85</v>
      </c>
      <c r="E28" s="13" t="e">
        <f>IFERROR(GETPIVOTDATA("Sum of Cost",Control!$A$3,"Month",""&amp;A28),NA())</f>
        <v>#N/A</v>
      </c>
      <c r="F28" t="e">
        <f t="shared" si="4"/>
        <v>#N/A</v>
      </c>
      <c r="G28" t="e">
        <f t="shared" si="5"/>
        <v>#N/A</v>
      </c>
      <c r="I28" s="3">
        <v>10</v>
      </c>
      <c r="J28" s="3"/>
    </row>
    <row r="29" spans="1:22" x14ac:dyDescent="0.25">
      <c r="B29">
        <f>MAX(C17:C28)*5%</f>
        <v>2312.85</v>
      </c>
    </row>
    <row r="30" spans="1:22" x14ac:dyDescent="0.25">
      <c r="A30" t="s">
        <v>75</v>
      </c>
    </row>
    <row r="32" spans="1:22" x14ac:dyDescent="0.25">
      <c r="J32" s="3"/>
    </row>
    <row r="33" spans="10:10" x14ac:dyDescent="0.25">
      <c r="J33" s="3"/>
    </row>
    <row r="34" spans="10:10" x14ac:dyDescent="0.25">
      <c r="J34" s="3"/>
    </row>
  </sheetData>
  <phoneticPr fontId="3" type="noConversion"/>
  <pageMargins left="0.7" right="0.7" top="0.75" bottom="0.75" header="0.3" footer="0.3"/>
  <ignoredErrors>
    <ignoredError sqref="C2:C1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C4C532-7881-474F-A0B9-42A5D3DCB99C}">
  <dimension ref="A1:T37"/>
  <sheetViews>
    <sheetView workbookViewId="0">
      <selection sqref="A1:G2"/>
    </sheetView>
  </sheetViews>
  <sheetFormatPr defaultRowHeight="15" x14ac:dyDescent="0.25"/>
  <cols>
    <col min="1" max="1" width="12.42578125" bestFit="1" customWidth="1"/>
    <col min="2" max="2" width="15.28515625" bestFit="1" customWidth="1"/>
    <col min="3" max="3" width="15" bestFit="1" customWidth="1"/>
    <col min="4" max="4" width="10.7109375" bestFit="1" customWidth="1"/>
    <col min="5" max="5" width="11" bestFit="1" customWidth="1"/>
    <col min="6" max="6" width="11.7109375" bestFit="1" customWidth="1"/>
    <col min="7" max="10" width="11.85546875" bestFit="1" customWidth="1"/>
    <col min="11" max="11" width="15.85546875" bestFit="1" customWidth="1"/>
    <col min="12" max="12" width="16" bestFit="1" customWidth="1"/>
    <col min="13" max="13" width="13.28515625" bestFit="1" customWidth="1"/>
    <col min="14" max="14" width="15.7109375" bestFit="1" customWidth="1"/>
    <col min="15" max="15" width="15.85546875" bestFit="1" customWidth="1"/>
    <col min="16" max="16" width="14.28515625" bestFit="1" customWidth="1"/>
    <col min="17" max="17" width="12.5703125" bestFit="1" customWidth="1"/>
    <col min="18" max="18" width="12.7109375" bestFit="1" customWidth="1"/>
    <col min="19" max="19" width="12.85546875" bestFit="1" customWidth="1"/>
    <col min="20" max="20" width="13.7109375" bestFit="1" customWidth="1"/>
    <col min="21" max="21" width="11" bestFit="1" customWidth="1"/>
  </cols>
  <sheetData>
    <row r="1" spans="1:20" ht="15" customHeight="1" x14ac:dyDescent="0.55000000000000004">
      <c r="A1" s="46"/>
      <c r="B1" s="47"/>
      <c r="C1" s="47"/>
      <c r="D1" s="47"/>
      <c r="E1" s="47"/>
      <c r="F1" s="47"/>
      <c r="G1" s="47"/>
    </row>
    <row r="2" spans="1:20" ht="15" customHeight="1" x14ac:dyDescent="0.55000000000000004">
      <c r="A2" s="47"/>
      <c r="B2" s="47"/>
      <c r="C2" s="47"/>
      <c r="D2" s="47"/>
      <c r="E2" s="47"/>
      <c r="F2" s="47"/>
      <c r="G2" s="47"/>
    </row>
    <row r="3" spans="1:20" x14ac:dyDescent="0.25">
      <c r="A3" s="11" t="s">
        <v>50</v>
      </c>
      <c r="B3" t="s">
        <v>116</v>
      </c>
      <c r="C3" t="s">
        <v>52</v>
      </c>
      <c r="D3" t="s">
        <v>53</v>
      </c>
      <c r="E3" t="s">
        <v>54</v>
      </c>
      <c r="F3" t="s">
        <v>55</v>
      </c>
      <c r="G3" t="s">
        <v>56</v>
      </c>
      <c r="H3" t="s">
        <v>57</v>
      </c>
      <c r="I3" t="s">
        <v>58</v>
      </c>
      <c r="J3" t="s">
        <v>59</v>
      </c>
      <c r="K3" t="s">
        <v>67</v>
      </c>
      <c r="L3" t="s">
        <v>68</v>
      </c>
      <c r="M3" t="s">
        <v>231</v>
      </c>
      <c r="N3" t="s">
        <v>69</v>
      </c>
      <c r="O3" t="s">
        <v>70</v>
      </c>
      <c r="P3" t="s">
        <v>60</v>
      </c>
      <c r="Q3" t="s">
        <v>61</v>
      </c>
      <c r="R3" t="s">
        <v>227</v>
      </c>
      <c r="S3" t="s">
        <v>62</v>
      </c>
      <c r="T3" t="s">
        <v>63</v>
      </c>
    </row>
    <row r="4" spans="1:20" x14ac:dyDescent="0.25">
      <c r="A4" s="10" t="s">
        <v>9</v>
      </c>
      <c r="B4">
        <v>9</v>
      </c>
      <c r="C4" s="2">
        <v>0.2</v>
      </c>
      <c r="D4" s="2">
        <v>0.4</v>
      </c>
      <c r="E4">
        <v>34376</v>
      </c>
      <c r="F4" s="2">
        <v>0.15</v>
      </c>
      <c r="G4" s="2">
        <v>0.74</v>
      </c>
      <c r="H4" s="2">
        <v>0.72</v>
      </c>
      <c r="I4" s="2">
        <v>0.41</v>
      </c>
      <c r="J4" s="2">
        <v>0.82</v>
      </c>
      <c r="K4">
        <v>3</v>
      </c>
      <c r="L4">
        <v>3</v>
      </c>
      <c r="M4">
        <v>10</v>
      </c>
      <c r="N4">
        <v>3</v>
      </c>
      <c r="O4">
        <v>4</v>
      </c>
      <c r="P4">
        <v>2413</v>
      </c>
      <c r="Q4">
        <v>3819</v>
      </c>
      <c r="R4">
        <v>4950</v>
      </c>
      <c r="S4">
        <v>2520</v>
      </c>
      <c r="T4">
        <v>2118</v>
      </c>
    </row>
    <row r="5" spans="1:20" x14ac:dyDescent="0.25">
      <c r="A5" s="10" t="s">
        <v>51</v>
      </c>
      <c r="B5">
        <v>9</v>
      </c>
      <c r="C5" s="2">
        <v>0.2</v>
      </c>
      <c r="D5" s="2">
        <v>0.4</v>
      </c>
      <c r="E5">
        <v>34376</v>
      </c>
      <c r="F5" s="2">
        <v>0.15</v>
      </c>
      <c r="G5" s="2">
        <v>0.74</v>
      </c>
      <c r="H5" s="2">
        <v>0.72</v>
      </c>
      <c r="I5" s="2">
        <v>0.41</v>
      </c>
      <c r="J5" s="2">
        <v>0.82</v>
      </c>
      <c r="K5">
        <v>3</v>
      </c>
      <c r="L5">
        <v>3</v>
      </c>
      <c r="M5">
        <v>10</v>
      </c>
      <c r="N5">
        <v>3</v>
      </c>
      <c r="O5">
        <v>4</v>
      </c>
      <c r="P5">
        <v>2413</v>
      </c>
      <c r="Q5">
        <v>3819</v>
      </c>
      <c r="R5">
        <v>4950</v>
      </c>
      <c r="S5">
        <v>2520</v>
      </c>
      <c r="T5">
        <v>2118</v>
      </c>
    </row>
    <row r="20" spans="1:6" x14ac:dyDescent="0.25">
      <c r="A20" s="11" t="s">
        <v>50</v>
      </c>
      <c r="B20" t="s">
        <v>52</v>
      </c>
      <c r="C20" t="s">
        <v>53</v>
      </c>
      <c r="D20" t="s">
        <v>54</v>
      </c>
      <c r="E20" t="s">
        <v>221</v>
      </c>
      <c r="F20" t="s">
        <v>223</v>
      </c>
    </row>
    <row r="21" spans="1:6" x14ac:dyDescent="0.25">
      <c r="A21" s="10" t="s">
        <v>1</v>
      </c>
      <c r="B21" s="2">
        <v>0.9</v>
      </c>
      <c r="C21" s="2">
        <v>1</v>
      </c>
      <c r="D21">
        <v>17063</v>
      </c>
      <c r="E21">
        <v>31</v>
      </c>
      <c r="F21">
        <v>10</v>
      </c>
    </row>
    <row r="22" spans="1:6" x14ac:dyDescent="0.25">
      <c r="A22" s="10" t="s">
        <v>2</v>
      </c>
      <c r="B22" s="2">
        <v>0.7</v>
      </c>
      <c r="C22" s="2">
        <v>0.95</v>
      </c>
      <c r="D22">
        <v>19009</v>
      </c>
      <c r="E22">
        <v>28</v>
      </c>
      <c r="F22">
        <v>11</v>
      </c>
    </row>
    <row r="23" spans="1:6" x14ac:dyDescent="0.25">
      <c r="A23" s="10" t="s">
        <v>3</v>
      </c>
      <c r="B23" s="2">
        <v>0.8</v>
      </c>
      <c r="C23" s="2">
        <v>0.9</v>
      </c>
      <c r="D23">
        <v>21172</v>
      </c>
      <c r="E23">
        <v>31</v>
      </c>
      <c r="F23">
        <v>12</v>
      </c>
    </row>
    <row r="24" spans="1:6" x14ac:dyDescent="0.25">
      <c r="A24" s="10" t="s">
        <v>4</v>
      </c>
      <c r="B24" s="2">
        <v>0.55000000000000004</v>
      </c>
      <c r="C24" s="2">
        <v>0.85</v>
      </c>
      <c r="D24">
        <v>25512</v>
      </c>
      <c r="E24">
        <v>30</v>
      </c>
      <c r="F24">
        <v>13</v>
      </c>
    </row>
    <row r="25" spans="1:6" x14ac:dyDescent="0.25">
      <c r="A25" s="10" t="s">
        <v>5</v>
      </c>
      <c r="B25" s="2">
        <v>0.45</v>
      </c>
      <c r="C25" s="2">
        <v>0.8</v>
      </c>
      <c r="D25">
        <v>22609</v>
      </c>
      <c r="E25">
        <v>31</v>
      </c>
      <c r="F25">
        <v>14</v>
      </c>
    </row>
    <row r="26" spans="1:6" x14ac:dyDescent="0.25">
      <c r="A26" s="10" t="s">
        <v>6</v>
      </c>
      <c r="B26" s="2">
        <v>0.5</v>
      </c>
      <c r="C26" s="2">
        <v>0.7</v>
      </c>
      <c r="D26">
        <v>30077</v>
      </c>
      <c r="E26">
        <v>30</v>
      </c>
      <c r="F26">
        <v>17</v>
      </c>
    </row>
    <row r="27" spans="1:6" x14ac:dyDescent="0.25">
      <c r="A27" s="10" t="s">
        <v>7</v>
      </c>
      <c r="B27" s="2">
        <v>0.3</v>
      </c>
      <c r="C27" s="2">
        <v>0.6</v>
      </c>
      <c r="D27">
        <v>35634</v>
      </c>
      <c r="E27">
        <v>31</v>
      </c>
      <c r="F27">
        <v>20</v>
      </c>
    </row>
    <row r="28" spans="1:6" x14ac:dyDescent="0.25">
      <c r="A28" s="10" t="s">
        <v>8</v>
      </c>
      <c r="B28" s="2">
        <v>0.35</v>
      </c>
      <c r="C28" s="2">
        <v>0.5</v>
      </c>
      <c r="D28">
        <v>46257</v>
      </c>
      <c r="E28">
        <v>31</v>
      </c>
      <c r="F28">
        <v>21</v>
      </c>
    </row>
    <row r="29" spans="1:6" x14ac:dyDescent="0.25">
      <c r="A29" s="10" t="s">
        <v>9</v>
      </c>
      <c r="B29" s="2">
        <v>0.2</v>
      </c>
      <c r="C29" s="2">
        <v>0.4</v>
      </c>
      <c r="D29">
        <v>34376</v>
      </c>
      <c r="E29">
        <v>30</v>
      </c>
      <c r="F29">
        <v>22</v>
      </c>
    </row>
    <row r="30" spans="1:6" x14ac:dyDescent="0.25">
      <c r="A30" s="10" t="s">
        <v>10</v>
      </c>
      <c r="B30" s="2">
        <v>0.25</v>
      </c>
      <c r="C30" s="2">
        <v>0.3</v>
      </c>
      <c r="D30">
        <v>36744</v>
      </c>
      <c r="E30">
        <v>31</v>
      </c>
      <c r="F30">
        <v>25</v>
      </c>
    </row>
    <row r="31" spans="1:6" x14ac:dyDescent="0.25">
      <c r="A31" s="10" t="s">
        <v>11</v>
      </c>
      <c r="B31" s="2">
        <v>0.15</v>
      </c>
      <c r="C31" s="2">
        <v>0.2</v>
      </c>
      <c r="D31">
        <v>44019</v>
      </c>
      <c r="E31">
        <v>30</v>
      </c>
      <c r="F31">
        <v>26</v>
      </c>
    </row>
    <row r="32" spans="1:6" x14ac:dyDescent="0.25">
      <c r="A32" s="10" t="s">
        <v>12</v>
      </c>
      <c r="B32" s="2">
        <v>0.2</v>
      </c>
      <c r="C32" s="2">
        <v>0.1</v>
      </c>
      <c r="D32">
        <v>45080</v>
      </c>
      <c r="E32">
        <v>31</v>
      </c>
      <c r="F32">
        <v>29</v>
      </c>
    </row>
    <row r="33" spans="1:6" x14ac:dyDescent="0.25">
      <c r="A33" s="10" t="s">
        <v>51</v>
      </c>
      <c r="B33" s="2">
        <v>0.44583333333333336</v>
      </c>
      <c r="C33" s="2">
        <v>0.60833333333333328</v>
      </c>
      <c r="D33">
        <v>377552</v>
      </c>
      <c r="E33">
        <v>365</v>
      </c>
      <c r="F33">
        <v>220</v>
      </c>
    </row>
    <row r="35" spans="1:6" x14ac:dyDescent="0.25">
      <c r="A35" s="11" t="s">
        <v>50</v>
      </c>
    </row>
    <row r="36" spans="1:6" x14ac:dyDescent="0.25">
      <c r="A36" s="10">
        <v>2025</v>
      </c>
    </row>
    <row r="37" spans="1:6" x14ac:dyDescent="0.25">
      <c r="A37" s="10" t="s">
        <v>51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AB1026-03DF-4A58-95C5-C1F72FE76D1B}">
  <dimension ref="A1:AE38"/>
  <sheetViews>
    <sheetView workbookViewId="0"/>
  </sheetViews>
  <sheetFormatPr defaultRowHeight="15" x14ac:dyDescent="0.25"/>
  <cols>
    <col min="4" max="5" width="8.85546875" style="3"/>
    <col min="11" max="11" width="10" style="3" customWidth="1"/>
    <col min="12" max="12" width="8.85546875" style="3"/>
    <col min="13" max="13" width="16.28515625" style="3" customWidth="1"/>
    <col min="14" max="14" width="8.85546875" style="3"/>
    <col min="15" max="16" width="9.42578125" style="3" customWidth="1"/>
    <col min="18" max="18" width="9" customWidth="1"/>
  </cols>
  <sheetData>
    <row r="1" spans="1:31" ht="15" customHeight="1" x14ac:dyDescent="0.55000000000000004">
      <c r="A1" s="4" t="s">
        <v>41</v>
      </c>
      <c r="B1" s="4" t="s">
        <v>115</v>
      </c>
      <c r="C1" s="4" t="s">
        <v>0</v>
      </c>
      <c r="D1" s="4" t="s">
        <v>14</v>
      </c>
      <c r="E1" s="4" t="s">
        <v>13</v>
      </c>
      <c r="F1" s="4" t="s">
        <v>18</v>
      </c>
      <c r="G1" s="4" t="s">
        <v>19</v>
      </c>
      <c r="H1" s="4" t="s">
        <v>20</v>
      </c>
      <c r="I1" s="4" t="s">
        <v>21</v>
      </c>
      <c r="J1" s="4" t="s">
        <v>22</v>
      </c>
      <c r="K1" s="4" t="s">
        <v>42</v>
      </c>
      <c r="L1" s="4" t="s">
        <v>43</v>
      </c>
      <c r="M1" s="4" t="s">
        <v>226</v>
      </c>
      <c r="N1" s="4" t="s">
        <v>44</v>
      </c>
      <c r="O1" s="4" t="s">
        <v>45</v>
      </c>
      <c r="P1" s="4" t="s">
        <v>25</v>
      </c>
      <c r="Q1" s="4" t="s">
        <v>46</v>
      </c>
      <c r="R1" s="4" t="s">
        <v>47</v>
      </c>
      <c r="S1" s="4" t="s">
        <v>230</v>
      </c>
      <c r="T1" s="4" t="s">
        <v>48</v>
      </c>
      <c r="U1" s="4" t="s">
        <v>49</v>
      </c>
      <c r="V1" s="4" t="s">
        <v>39</v>
      </c>
      <c r="W1" s="4" t="s">
        <v>222</v>
      </c>
      <c r="Y1" s="46"/>
      <c r="Z1" s="47"/>
      <c r="AA1" s="47"/>
      <c r="AB1" s="47"/>
      <c r="AC1" s="47"/>
      <c r="AD1" s="47"/>
      <c r="AE1" s="47"/>
    </row>
    <row r="2" spans="1:31" ht="15" customHeight="1" x14ac:dyDescent="0.55000000000000004">
      <c r="A2" s="3">
        <v>2025</v>
      </c>
      <c r="B2" s="3">
        <v>1</v>
      </c>
      <c r="C2" s="3" t="s">
        <v>1</v>
      </c>
      <c r="D2" s="5">
        <v>0.9</v>
      </c>
      <c r="E2" s="5">
        <v>1</v>
      </c>
      <c r="F2" s="5">
        <v>0.81</v>
      </c>
      <c r="G2" s="5">
        <v>0.71</v>
      </c>
      <c r="H2" s="5">
        <v>0.19</v>
      </c>
      <c r="I2" s="5">
        <v>0.27</v>
      </c>
      <c r="J2" s="5">
        <v>0.81</v>
      </c>
      <c r="K2" s="3">
        <v>4710</v>
      </c>
      <c r="L2" s="3">
        <v>2819</v>
      </c>
      <c r="M2" s="3">
        <v>1351</v>
      </c>
      <c r="N2" s="3">
        <v>3237</v>
      </c>
      <c r="O2" s="3">
        <v>4625</v>
      </c>
      <c r="P2" s="3">
        <v>17063</v>
      </c>
      <c r="Q2" s="3">
        <v>7</v>
      </c>
      <c r="R2" s="3">
        <v>3</v>
      </c>
      <c r="S2" s="3">
        <v>5</v>
      </c>
      <c r="T2" s="3">
        <v>3</v>
      </c>
      <c r="U2" s="3">
        <v>2</v>
      </c>
      <c r="V2" s="3">
        <v>31</v>
      </c>
      <c r="W2" s="3">
        <v>10</v>
      </c>
      <c r="Y2" s="47"/>
      <c r="Z2" s="47"/>
      <c r="AA2" s="47"/>
      <c r="AB2" s="47"/>
      <c r="AC2" s="47"/>
      <c r="AD2" s="47"/>
      <c r="AE2" s="47"/>
    </row>
    <row r="3" spans="1:31" x14ac:dyDescent="0.25">
      <c r="A3" s="3">
        <v>2025</v>
      </c>
      <c r="B3" s="3">
        <v>2</v>
      </c>
      <c r="C3" s="3" t="s">
        <v>2</v>
      </c>
      <c r="D3" s="5">
        <v>0.7</v>
      </c>
      <c r="E3" s="5">
        <v>0.95</v>
      </c>
      <c r="F3" s="5">
        <v>0.54</v>
      </c>
      <c r="G3" s="5">
        <v>0.33</v>
      </c>
      <c r="H3" s="5">
        <v>0.74</v>
      </c>
      <c r="I3" s="5">
        <v>0.33</v>
      </c>
      <c r="J3" s="5">
        <v>0.32</v>
      </c>
      <c r="K3" s="3">
        <v>3343</v>
      </c>
      <c r="L3" s="3">
        <v>3507</v>
      </c>
      <c r="M3" s="3">
        <v>2665</v>
      </c>
      <c r="N3" s="3">
        <v>2445</v>
      </c>
      <c r="O3" s="3">
        <v>3408</v>
      </c>
      <c r="P3" s="3">
        <v>19009</v>
      </c>
      <c r="Q3" s="3">
        <v>8</v>
      </c>
      <c r="R3" s="3">
        <v>4</v>
      </c>
      <c r="S3" s="3">
        <v>6</v>
      </c>
      <c r="T3" s="3">
        <v>4</v>
      </c>
      <c r="U3" s="3">
        <v>3</v>
      </c>
      <c r="V3" s="3">
        <v>28</v>
      </c>
      <c r="W3" s="3">
        <v>11</v>
      </c>
    </row>
    <row r="4" spans="1:31" x14ac:dyDescent="0.25">
      <c r="A4" s="3">
        <v>2025</v>
      </c>
      <c r="B4" s="3">
        <v>3</v>
      </c>
      <c r="C4" s="3" t="s">
        <v>3</v>
      </c>
      <c r="D4" s="5">
        <v>0.8</v>
      </c>
      <c r="E4" s="5">
        <v>0.9</v>
      </c>
      <c r="F4" s="5">
        <v>0.85</v>
      </c>
      <c r="G4" s="5">
        <v>0.27</v>
      </c>
      <c r="H4" s="5">
        <v>0.85</v>
      </c>
      <c r="I4" s="5">
        <v>0.15</v>
      </c>
      <c r="J4" s="5">
        <v>0.5</v>
      </c>
      <c r="K4" s="3">
        <v>3189</v>
      </c>
      <c r="L4" s="3">
        <v>1605</v>
      </c>
      <c r="M4" s="3">
        <v>2950</v>
      </c>
      <c r="N4" s="3">
        <v>4128</v>
      </c>
      <c r="O4" s="3">
        <v>3170</v>
      </c>
      <c r="P4" s="3">
        <v>21172</v>
      </c>
      <c r="Q4" s="3">
        <v>9</v>
      </c>
      <c r="R4" s="3">
        <v>5</v>
      </c>
      <c r="S4" s="3">
        <v>5</v>
      </c>
      <c r="T4" s="3">
        <v>5</v>
      </c>
      <c r="U4" s="3">
        <v>2</v>
      </c>
      <c r="V4" s="3">
        <v>31</v>
      </c>
      <c r="W4" s="3">
        <v>12</v>
      </c>
    </row>
    <row r="5" spans="1:31" x14ac:dyDescent="0.25">
      <c r="A5" s="3">
        <v>2025</v>
      </c>
      <c r="B5" s="3">
        <v>4</v>
      </c>
      <c r="C5" s="3" t="s">
        <v>4</v>
      </c>
      <c r="D5" s="5">
        <v>0.55000000000000004</v>
      </c>
      <c r="E5" s="5">
        <v>0.85</v>
      </c>
      <c r="F5" s="5">
        <v>0.77</v>
      </c>
      <c r="G5" s="5">
        <v>0.17</v>
      </c>
      <c r="H5" s="5">
        <v>0.66</v>
      </c>
      <c r="I5" s="5">
        <v>0.24</v>
      </c>
      <c r="J5" s="5">
        <v>0.53</v>
      </c>
      <c r="K5" s="3">
        <v>2214</v>
      </c>
      <c r="L5" s="3">
        <v>2326</v>
      </c>
      <c r="M5" s="3">
        <v>3801</v>
      </c>
      <c r="N5" s="3">
        <v>3693</v>
      </c>
      <c r="O5" s="3">
        <v>2247</v>
      </c>
      <c r="P5" s="3">
        <v>25512</v>
      </c>
      <c r="Q5" s="3">
        <v>3</v>
      </c>
      <c r="R5" s="3">
        <v>6</v>
      </c>
      <c r="S5" s="3">
        <v>7</v>
      </c>
      <c r="T5" s="3">
        <v>4</v>
      </c>
      <c r="U5" s="3">
        <v>4</v>
      </c>
      <c r="V5" s="3">
        <v>30</v>
      </c>
      <c r="W5" s="3">
        <v>13</v>
      </c>
    </row>
    <row r="6" spans="1:31" x14ac:dyDescent="0.25">
      <c r="A6" s="3">
        <v>2025</v>
      </c>
      <c r="B6" s="3">
        <v>5</v>
      </c>
      <c r="C6" s="3" t="s">
        <v>5</v>
      </c>
      <c r="D6" s="5">
        <v>0.45</v>
      </c>
      <c r="E6" s="5">
        <v>0.8</v>
      </c>
      <c r="F6" s="5">
        <v>0.27</v>
      </c>
      <c r="G6" s="5">
        <v>0.49</v>
      </c>
      <c r="H6" s="5">
        <v>0.85</v>
      </c>
      <c r="I6" s="5">
        <v>0.15</v>
      </c>
      <c r="J6" s="5">
        <v>0.35</v>
      </c>
      <c r="K6" s="3">
        <v>2462</v>
      </c>
      <c r="L6" s="3">
        <v>2525</v>
      </c>
      <c r="M6" s="3">
        <v>3557</v>
      </c>
      <c r="N6" s="3">
        <v>3504</v>
      </c>
      <c r="O6" s="3">
        <v>2614</v>
      </c>
      <c r="P6" s="3">
        <v>22609</v>
      </c>
      <c r="Q6" s="3">
        <v>2</v>
      </c>
      <c r="R6" s="3">
        <v>7</v>
      </c>
      <c r="S6" s="3">
        <v>8</v>
      </c>
      <c r="T6" s="3">
        <v>3</v>
      </c>
      <c r="U6" s="3">
        <v>5</v>
      </c>
      <c r="V6" s="3">
        <v>31</v>
      </c>
      <c r="W6" s="3">
        <v>14</v>
      </c>
    </row>
    <row r="7" spans="1:31" x14ac:dyDescent="0.25">
      <c r="A7" s="3">
        <v>2025</v>
      </c>
      <c r="B7" s="3">
        <v>6</v>
      </c>
      <c r="C7" s="3" t="s">
        <v>6</v>
      </c>
      <c r="D7" s="5">
        <v>0.5</v>
      </c>
      <c r="E7" s="5">
        <v>0.7</v>
      </c>
      <c r="F7" s="5">
        <v>0.21</v>
      </c>
      <c r="G7" s="5">
        <v>0.15</v>
      </c>
      <c r="H7" s="5">
        <v>0.36</v>
      </c>
      <c r="I7" s="5">
        <v>0.56999999999999995</v>
      </c>
      <c r="J7" s="5">
        <v>0.85</v>
      </c>
      <c r="K7" s="3">
        <v>3020</v>
      </c>
      <c r="L7" s="3">
        <v>3563</v>
      </c>
      <c r="M7" s="3">
        <v>3412</v>
      </c>
      <c r="N7" s="3">
        <v>2560</v>
      </c>
      <c r="O7" s="3">
        <v>2343</v>
      </c>
      <c r="P7" s="3">
        <v>30077</v>
      </c>
      <c r="Q7" s="3">
        <v>3</v>
      </c>
      <c r="R7" s="3">
        <v>5</v>
      </c>
      <c r="S7" s="3">
        <v>9</v>
      </c>
      <c r="T7" s="3">
        <v>5</v>
      </c>
      <c r="U7" s="3">
        <v>4</v>
      </c>
      <c r="V7" s="3">
        <v>30</v>
      </c>
      <c r="W7" s="3">
        <v>17</v>
      </c>
    </row>
    <row r="8" spans="1:31" x14ac:dyDescent="0.25">
      <c r="A8" s="3">
        <v>2025</v>
      </c>
      <c r="B8" s="3">
        <v>7</v>
      </c>
      <c r="C8" s="3" t="s">
        <v>7</v>
      </c>
      <c r="D8" s="5">
        <v>0.3</v>
      </c>
      <c r="E8" s="5">
        <v>0.6</v>
      </c>
      <c r="F8" s="5">
        <v>0.42</v>
      </c>
      <c r="G8" s="5">
        <v>0.5</v>
      </c>
      <c r="H8" s="5">
        <v>0.55000000000000004</v>
      </c>
      <c r="I8" s="5">
        <v>0.67</v>
      </c>
      <c r="J8" s="5">
        <v>0.84</v>
      </c>
      <c r="K8" s="3">
        <v>3567</v>
      </c>
      <c r="L8" s="3">
        <v>4435</v>
      </c>
      <c r="M8" s="3">
        <v>3607</v>
      </c>
      <c r="N8" s="3">
        <v>1711</v>
      </c>
      <c r="O8" s="3">
        <v>1999</v>
      </c>
      <c r="P8" s="3">
        <v>35634</v>
      </c>
      <c r="Q8" s="3">
        <v>4</v>
      </c>
      <c r="R8" s="3">
        <v>3</v>
      </c>
      <c r="S8" s="3">
        <v>8</v>
      </c>
      <c r="T8" s="3">
        <v>6</v>
      </c>
      <c r="U8" s="3">
        <v>2</v>
      </c>
      <c r="V8" s="3">
        <v>31</v>
      </c>
      <c r="W8" s="3">
        <v>20</v>
      </c>
    </row>
    <row r="9" spans="1:31" x14ac:dyDescent="0.25">
      <c r="A9" s="3">
        <v>2025</v>
      </c>
      <c r="B9" s="3">
        <v>8</v>
      </c>
      <c r="C9" s="3" t="s">
        <v>8</v>
      </c>
      <c r="D9" s="5">
        <v>0.35</v>
      </c>
      <c r="E9" s="5">
        <v>0.5</v>
      </c>
      <c r="F9" s="5">
        <v>0.71</v>
      </c>
      <c r="G9" s="5">
        <v>0.15</v>
      </c>
      <c r="H9" s="5">
        <v>0.64</v>
      </c>
      <c r="I9" s="5">
        <v>0.55000000000000004</v>
      </c>
      <c r="J9" s="5">
        <v>0.85</v>
      </c>
      <c r="K9" s="3">
        <v>3361</v>
      </c>
      <c r="L9" s="3">
        <v>4717</v>
      </c>
      <c r="M9" s="3">
        <v>4369</v>
      </c>
      <c r="N9" s="3">
        <v>1706</v>
      </c>
      <c r="O9" s="3">
        <v>1992</v>
      </c>
      <c r="P9" s="3">
        <v>46257</v>
      </c>
      <c r="Q9" s="3">
        <v>2</v>
      </c>
      <c r="R9" s="3">
        <v>2</v>
      </c>
      <c r="S9" s="3">
        <v>9</v>
      </c>
      <c r="T9" s="3">
        <v>4</v>
      </c>
      <c r="U9" s="3">
        <v>3</v>
      </c>
      <c r="V9" s="3">
        <v>31</v>
      </c>
      <c r="W9" s="3">
        <v>21</v>
      </c>
    </row>
    <row r="10" spans="1:31" x14ac:dyDescent="0.25">
      <c r="A10" s="3">
        <v>2025</v>
      </c>
      <c r="B10" s="3">
        <v>9</v>
      </c>
      <c r="C10" s="3" t="s">
        <v>9</v>
      </c>
      <c r="D10" s="5">
        <v>0.2</v>
      </c>
      <c r="E10" s="5">
        <v>0.4</v>
      </c>
      <c r="F10" s="5">
        <v>0.15</v>
      </c>
      <c r="G10" s="5">
        <v>0.74</v>
      </c>
      <c r="H10" s="5">
        <v>0.72</v>
      </c>
      <c r="I10" s="5">
        <v>0.41</v>
      </c>
      <c r="J10" s="5">
        <v>0.82</v>
      </c>
      <c r="K10" s="3">
        <v>2413</v>
      </c>
      <c r="L10" s="3">
        <v>3819</v>
      </c>
      <c r="M10" s="3">
        <v>4950</v>
      </c>
      <c r="N10" s="3">
        <v>2520</v>
      </c>
      <c r="O10" s="3">
        <v>2118</v>
      </c>
      <c r="P10" s="3">
        <v>34376</v>
      </c>
      <c r="Q10" s="3">
        <v>3</v>
      </c>
      <c r="R10" s="3">
        <v>3</v>
      </c>
      <c r="S10" s="3">
        <v>10</v>
      </c>
      <c r="T10" s="3">
        <v>3</v>
      </c>
      <c r="U10" s="3">
        <v>4</v>
      </c>
      <c r="V10" s="3">
        <v>30</v>
      </c>
      <c r="W10" s="3">
        <v>22</v>
      </c>
    </row>
    <row r="11" spans="1:31" x14ac:dyDescent="0.25">
      <c r="A11" s="3">
        <v>2025</v>
      </c>
      <c r="B11" s="3">
        <v>10</v>
      </c>
      <c r="C11" s="3" t="s">
        <v>10</v>
      </c>
      <c r="D11" s="5">
        <v>0.25</v>
      </c>
      <c r="E11" s="5">
        <v>0.3</v>
      </c>
      <c r="F11" s="5">
        <v>0.15</v>
      </c>
      <c r="G11" s="5">
        <v>0.76</v>
      </c>
      <c r="H11" s="5">
        <v>0.19</v>
      </c>
      <c r="I11" s="5">
        <v>0.41</v>
      </c>
      <c r="J11" s="5">
        <v>0.66</v>
      </c>
      <c r="K11" s="3">
        <v>1932</v>
      </c>
      <c r="L11" s="3">
        <v>2691</v>
      </c>
      <c r="M11" s="3">
        <v>4714</v>
      </c>
      <c r="N11" s="3">
        <v>3824</v>
      </c>
      <c r="O11" s="3">
        <v>2705</v>
      </c>
      <c r="P11" s="3">
        <v>36744</v>
      </c>
      <c r="Q11" s="3">
        <v>4</v>
      </c>
      <c r="R11" s="3">
        <v>4</v>
      </c>
      <c r="S11" s="3">
        <v>7</v>
      </c>
      <c r="T11" s="3">
        <v>5</v>
      </c>
      <c r="U11" s="3">
        <v>5</v>
      </c>
      <c r="V11" s="3">
        <v>31</v>
      </c>
      <c r="W11" s="3">
        <v>25</v>
      </c>
    </row>
    <row r="12" spans="1:31" x14ac:dyDescent="0.25">
      <c r="A12" s="3">
        <v>2025</v>
      </c>
      <c r="B12" s="3">
        <v>11</v>
      </c>
      <c r="C12" s="3" t="s">
        <v>11</v>
      </c>
      <c r="D12" s="5">
        <v>0.15</v>
      </c>
      <c r="E12" s="5">
        <v>0.2</v>
      </c>
      <c r="F12" s="5">
        <v>0.25</v>
      </c>
      <c r="G12" s="5">
        <v>0.15</v>
      </c>
      <c r="H12" s="5">
        <v>0.18</v>
      </c>
      <c r="I12" s="5">
        <v>0.66</v>
      </c>
      <c r="J12" s="5">
        <v>0.66</v>
      </c>
      <c r="K12" s="3">
        <v>2016</v>
      </c>
      <c r="L12" s="3">
        <v>2140</v>
      </c>
      <c r="M12" s="3">
        <v>3728</v>
      </c>
      <c r="N12" s="3">
        <v>4397</v>
      </c>
      <c r="O12" s="3">
        <v>3289</v>
      </c>
      <c r="P12" s="3">
        <v>44019</v>
      </c>
      <c r="Q12" s="3">
        <v>3</v>
      </c>
      <c r="R12" s="3">
        <v>3</v>
      </c>
      <c r="S12" s="3">
        <v>8</v>
      </c>
      <c r="T12" s="3">
        <v>6</v>
      </c>
      <c r="U12" s="3">
        <v>6</v>
      </c>
      <c r="V12" s="3">
        <v>30</v>
      </c>
      <c r="W12" s="3">
        <v>26</v>
      </c>
    </row>
    <row r="13" spans="1:31" x14ac:dyDescent="0.25">
      <c r="A13" s="3">
        <v>2025</v>
      </c>
      <c r="B13" s="3">
        <v>12</v>
      </c>
      <c r="C13" s="3" t="s">
        <v>12</v>
      </c>
      <c r="D13" s="5">
        <v>0.2</v>
      </c>
      <c r="E13" s="5">
        <v>0.1</v>
      </c>
      <c r="F13" s="5">
        <v>0.74</v>
      </c>
      <c r="G13" s="5">
        <v>0.85</v>
      </c>
      <c r="H13" s="5">
        <v>0.57999999999999996</v>
      </c>
      <c r="I13" s="5">
        <v>0.25</v>
      </c>
      <c r="J13" s="5">
        <v>0.41</v>
      </c>
      <c r="K13" s="3">
        <v>2658</v>
      </c>
      <c r="L13" s="3">
        <v>2030</v>
      </c>
      <c r="M13" s="3">
        <v>2460</v>
      </c>
      <c r="N13" s="3">
        <v>4042</v>
      </c>
      <c r="O13" s="3">
        <v>3984</v>
      </c>
      <c r="P13" s="3">
        <v>45080</v>
      </c>
      <c r="Q13" s="3">
        <v>2</v>
      </c>
      <c r="R13" s="3">
        <v>5</v>
      </c>
      <c r="S13" s="3">
        <v>5</v>
      </c>
      <c r="T13" s="3">
        <v>7</v>
      </c>
      <c r="U13" s="3">
        <v>7</v>
      </c>
      <c r="V13" s="3">
        <v>31</v>
      </c>
      <c r="W13" s="3">
        <v>29</v>
      </c>
    </row>
    <row r="14" spans="1:31" x14ac:dyDescent="0.25">
      <c r="A14" s="3">
        <v>2026</v>
      </c>
      <c r="B14" s="3">
        <v>1</v>
      </c>
      <c r="C14" s="3" t="s">
        <v>1</v>
      </c>
      <c r="D14" s="5">
        <v>0.68</v>
      </c>
      <c r="E14" s="5">
        <v>1</v>
      </c>
      <c r="F14" s="5">
        <v>0.6</v>
      </c>
      <c r="G14" s="5">
        <v>0.65</v>
      </c>
      <c r="H14" s="5">
        <v>0.15</v>
      </c>
      <c r="I14" s="5">
        <v>0.85</v>
      </c>
      <c r="J14" s="5">
        <v>0.64</v>
      </c>
      <c r="K14" s="3">
        <v>3675</v>
      </c>
      <c r="L14" s="3">
        <v>2408</v>
      </c>
      <c r="M14" s="3">
        <v>1514</v>
      </c>
      <c r="N14" s="3">
        <v>2950</v>
      </c>
      <c r="O14" s="3">
        <v>4538</v>
      </c>
      <c r="P14" s="3">
        <v>25830</v>
      </c>
      <c r="Q14" s="3">
        <v>9</v>
      </c>
      <c r="R14" s="3">
        <v>5</v>
      </c>
      <c r="S14" s="3">
        <v>7</v>
      </c>
      <c r="T14" s="3">
        <v>5</v>
      </c>
      <c r="U14" s="3">
        <v>4</v>
      </c>
      <c r="V14" s="3">
        <v>31</v>
      </c>
      <c r="W14" s="3">
        <v>18</v>
      </c>
    </row>
    <row r="15" spans="1:31" x14ac:dyDescent="0.25">
      <c r="A15" s="3">
        <v>2026</v>
      </c>
      <c r="B15" s="3">
        <v>2</v>
      </c>
      <c r="C15" s="3" t="s">
        <v>2</v>
      </c>
      <c r="D15" s="5">
        <v>0.88</v>
      </c>
      <c r="E15" s="5">
        <v>0.95</v>
      </c>
      <c r="F15" s="5">
        <v>0.74</v>
      </c>
      <c r="G15" s="5">
        <v>0.15</v>
      </c>
      <c r="H15" s="5">
        <v>0.15</v>
      </c>
      <c r="I15" s="5">
        <v>0.7</v>
      </c>
      <c r="J15" s="5">
        <v>0.15</v>
      </c>
      <c r="K15" s="3">
        <v>4465</v>
      </c>
      <c r="L15" s="3">
        <v>2913</v>
      </c>
      <c r="M15" s="3">
        <v>1225</v>
      </c>
      <c r="N15" s="3">
        <v>2059</v>
      </c>
      <c r="O15" s="3">
        <v>4725</v>
      </c>
      <c r="P15" s="3">
        <v>35210</v>
      </c>
      <c r="Q15" s="3">
        <v>10</v>
      </c>
      <c r="R15" s="3">
        <v>6</v>
      </c>
      <c r="S15" s="3">
        <v>8</v>
      </c>
      <c r="T15" s="3">
        <v>6</v>
      </c>
      <c r="U15" s="3">
        <v>5</v>
      </c>
      <c r="V15" s="3">
        <v>28</v>
      </c>
      <c r="W15" s="3">
        <v>20</v>
      </c>
    </row>
    <row r="16" spans="1:31" x14ac:dyDescent="0.25">
      <c r="A16" s="3">
        <v>2026</v>
      </c>
      <c r="B16" s="3">
        <v>3</v>
      </c>
      <c r="C16" s="3" t="s">
        <v>3</v>
      </c>
      <c r="D16" s="5">
        <v>0.9</v>
      </c>
      <c r="E16" s="5">
        <v>0.88</v>
      </c>
      <c r="F16" s="5">
        <v>0.77</v>
      </c>
      <c r="G16" s="5">
        <v>0.75</v>
      </c>
      <c r="H16" s="5">
        <v>0.35</v>
      </c>
      <c r="I16" s="5">
        <v>0.15</v>
      </c>
      <c r="J16" s="5">
        <v>0.56000000000000005</v>
      </c>
      <c r="K16" s="3">
        <v>4705</v>
      </c>
      <c r="L16" s="3">
        <v>2847</v>
      </c>
      <c r="M16" s="3">
        <v>1178</v>
      </c>
      <c r="N16" s="3">
        <v>1854</v>
      </c>
      <c r="O16" s="3">
        <v>4386</v>
      </c>
      <c r="P16" s="3">
        <v>43590</v>
      </c>
      <c r="Q16" s="3">
        <v>10</v>
      </c>
      <c r="R16" s="3">
        <v>7</v>
      </c>
      <c r="S16" s="3">
        <v>7</v>
      </c>
      <c r="T16" s="3">
        <v>7</v>
      </c>
      <c r="U16" s="3">
        <v>4</v>
      </c>
      <c r="V16" s="3">
        <v>31</v>
      </c>
      <c r="W16" s="3">
        <v>22</v>
      </c>
    </row>
    <row r="17" spans="1:23" x14ac:dyDescent="0.25">
      <c r="A17" s="3">
        <v>2026</v>
      </c>
      <c r="B17" s="3">
        <v>4</v>
      </c>
      <c r="C17" s="3" t="s">
        <v>4</v>
      </c>
      <c r="D17" s="5">
        <v>0.57999999999999996</v>
      </c>
      <c r="E17" s="5">
        <v>0.83</v>
      </c>
      <c r="F17" s="5">
        <v>0.2</v>
      </c>
      <c r="G17" s="5">
        <v>0.34</v>
      </c>
      <c r="H17" s="5">
        <v>0.38</v>
      </c>
      <c r="I17" s="5">
        <v>0.61</v>
      </c>
      <c r="J17" s="5">
        <v>0.53</v>
      </c>
      <c r="K17" s="3">
        <v>4229</v>
      </c>
      <c r="L17" s="3">
        <v>2160</v>
      </c>
      <c r="M17" s="3">
        <v>1600</v>
      </c>
      <c r="N17" s="3">
        <v>2425</v>
      </c>
      <c r="O17" s="3">
        <v>3735</v>
      </c>
      <c r="P17" s="3">
        <v>22450</v>
      </c>
      <c r="Q17" s="3">
        <v>5</v>
      </c>
      <c r="R17" s="3">
        <v>8</v>
      </c>
      <c r="S17" s="3">
        <v>9</v>
      </c>
      <c r="T17" s="3">
        <v>6</v>
      </c>
      <c r="U17" s="3">
        <v>6</v>
      </c>
      <c r="V17" s="3">
        <v>30</v>
      </c>
      <c r="W17" s="3">
        <v>24</v>
      </c>
    </row>
    <row r="18" spans="1:23" x14ac:dyDescent="0.25">
      <c r="A18" s="3">
        <v>2026</v>
      </c>
      <c r="B18" s="3">
        <v>5</v>
      </c>
      <c r="C18" s="3" t="s">
        <v>5</v>
      </c>
      <c r="D18" s="5">
        <v>0.78</v>
      </c>
      <c r="E18" s="5">
        <v>0.78</v>
      </c>
      <c r="F18" s="5">
        <v>0.43</v>
      </c>
      <c r="G18" s="5">
        <v>0.69</v>
      </c>
      <c r="H18" s="5">
        <v>0.44</v>
      </c>
      <c r="I18" s="5">
        <v>0.57999999999999996</v>
      </c>
      <c r="J18" s="5">
        <v>0.56000000000000005</v>
      </c>
      <c r="K18" s="3">
        <v>3325</v>
      </c>
      <c r="L18" s="3">
        <v>1835</v>
      </c>
      <c r="M18" s="3">
        <v>2650</v>
      </c>
      <c r="N18" s="3">
        <v>3460</v>
      </c>
      <c r="O18" s="3">
        <v>3273</v>
      </c>
      <c r="P18" s="3">
        <v>16850</v>
      </c>
      <c r="Q18" s="3">
        <v>4</v>
      </c>
      <c r="R18" s="3">
        <v>9</v>
      </c>
      <c r="S18" s="3">
        <v>10</v>
      </c>
      <c r="T18" s="3">
        <v>5</v>
      </c>
      <c r="U18" s="3">
        <v>7</v>
      </c>
      <c r="V18" s="3">
        <v>31</v>
      </c>
      <c r="W18" s="3">
        <v>25</v>
      </c>
    </row>
    <row r="19" spans="1:23" x14ac:dyDescent="0.25">
      <c r="A19" s="3">
        <v>2026</v>
      </c>
      <c r="B19" s="3">
        <v>6</v>
      </c>
      <c r="C19" s="3" t="s">
        <v>6</v>
      </c>
      <c r="D19" s="5">
        <v>0.27</v>
      </c>
      <c r="E19" s="5">
        <v>0.68</v>
      </c>
      <c r="F19" s="5">
        <v>0.3</v>
      </c>
      <c r="G19" s="5">
        <v>0.64</v>
      </c>
      <c r="H19" s="5">
        <v>0.61</v>
      </c>
      <c r="I19" s="5">
        <v>0.34</v>
      </c>
      <c r="J19" s="5">
        <v>0.85</v>
      </c>
      <c r="K19" s="3">
        <v>2379</v>
      </c>
      <c r="L19" s="3">
        <v>2077</v>
      </c>
      <c r="M19" s="3">
        <v>3644</v>
      </c>
      <c r="N19" s="3">
        <v>4441</v>
      </c>
      <c r="O19" s="3">
        <v>3069</v>
      </c>
      <c r="P19" s="3">
        <v>19210</v>
      </c>
      <c r="Q19" s="3">
        <v>5</v>
      </c>
      <c r="R19" s="3">
        <v>7</v>
      </c>
      <c r="S19" s="3">
        <v>10</v>
      </c>
      <c r="T19" s="3">
        <v>7</v>
      </c>
      <c r="U19" s="3">
        <v>6</v>
      </c>
      <c r="V19" s="3">
        <v>30</v>
      </c>
      <c r="W19" s="3">
        <v>26</v>
      </c>
    </row>
    <row r="20" spans="1:23" x14ac:dyDescent="0.25">
      <c r="A20" s="3">
        <v>2026</v>
      </c>
      <c r="B20" s="3">
        <v>7</v>
      </c>
      <c r="C20" s="3" t="s">
        <v>7</v>
      </c>
      <c r="D20" s="5">
        <v>0.52</v>
      </c>
      <c r="E20" s="5">
        <v>0.57999999999999996</v>
      </c>
      <c r="F20" s="5">
        <v>0.21</v>
      </c>
      <c r="G20" s="5">
        <v>0.54</v>
      </c>
      <c r="H20" s="5">
        <v>0.85</v>
      </c>
      <c r="I20" s="5">
        <v>0.84</v>
      </c>
      <c r="J20" s="5">
        <v>0.32</v>
      </c>
      <c r="K20" s="3">
        <v>1765</v>
      </c>
      <c r="L20" s="3">
        <v>2679</v>
      </c>
      <c r="M20" s="3">
        <v>4261</v>
      </c>
      <c r="N20" s="3">
        <v>4434</v>
      </c>
      <c r="O20" s="3">
        <v>2956</v>
      </c>
      <c r="P20" s="3">
        <v>20890</v>
      </c>
      <c r="Q20" s="3">
        <v>6</v>
      </c>
      <c r="R20" s="3">
        <v>5</v>
      </c>
      <c r="S20" s="3">
        <v>9</v>
      </c>
      <c r="T20" s="3">
        <v>8</v>
      </c>
      <c r="U20" s="3">
        <v>4</v>
      </c>
      <c r="V20" s="3">
        <v>31</v>
      </c>
      <c r="W20" s="3">
        <v>27</v>
      </c>
    </row>
    <row r="21" spans="1:23" x14ac:dyDescent="0.25">
      <c r="A21" s="3">
        <v>2026</v>
      </c>
      <c r="B21" s="3">
        <v>8</v>
      </c>
      <c r="C21" s="3" t="s">
        <v>8</v>
      </c>
      <c r="D21" s="5">
        <v>0.19</v>
      </c>
      <c r="E21" s="5">
        <v>0.48</v>
      </c>
      <c r="F21" s="5">
        <v>0.51</v>
      </c>
      <c r="G21" s="5">
        <v>0.85</v>
      </c>
      <c r="H21" s="5">
        <v>0.62</v>
      </c>
      <c r="I21" s="5">
        <v>0.56999999999999995</v>
      </c>
      <c r="J21" s="5">
        <v>0.24</v>
      </c>
      <c r="K21" s="3">
        <v>1718</v>
      </c>
      <c r="L21" s="3">
        <v>3466</v>
      </c>
      <c r="M21" s="3">
        <v>4298</v>
      </c>
      <c r="N21" s="3">
        <v>3677</v>
      </c>
      <c r="O21" s="3">
        <v>2666</v>
      </c>
      <c r="P21" s="3">
        <v>37080</v>
      </c>
      <c r="Q21" s="3">
        <v>4</v>
      </c>
      <c r="R21" s="3">
        <v>4</v>
      </c>
      <c r="S21" s="3">
        <v>10</v>
      </c>
      <c r="T21" s="3">
        <v>6</v>
      </c>
      <c r="U21" s="3">
        <v>5</v>
      </c>
      <c r="V21" s="3">
        <v>31</v>
      </c>
      <c r="W21" s="3">
        <v>28</v>
      </c>
    </row>
    <row r="22" spans="1:23" x14ac:dyDescent="0.25">
      <c r="A22" s="3">
        <v>2026</v>
      </c>
      <c r="B22" s="3">
        <v>9</v>
      </c>
      <c r="C22" s="3" t="s">
        <v>9</v>
      </c>
      <c r="D22" s="5">
        <v>0.33</v>
      </c>
      <c r="E22" s="5">
        <v>0.38</v>
      </c>
      <c r="F22" s="5">
        <v>0.68</v>
      </c>
      <c r="G22" s="5">
        <v>0.52</v>
      </c>
      <c r="H22" s="5">
        <v>0.7</v>
      </c>
      <c r="I22" s="5">
        <v>0.38</v>
      </c>
      <c r="J22" s="5">
        <v>0.55000000000000004</v>
      </c>
      <c r="K22" s="3">
        <v>2174</v>
      </c>
      <c r="L22" s="3">
        <v>4223</v>
      </c>
      <c r="M22" s="3">
        <v>4580</v>
      </c>
      <c r="N22" s="3">
        <v>3028</v>
      </c>
      <c r="O22" s="3">
        <v>1822</v>
      </c>
      <c r="P22" s="3">
        <v>30520</v>
      </c>
      <c r="Q22" s="3">
        <v>5</v>
      </c>
      <c r="R22" s="3">
        <v>5</v>
      </c>
      <c r="S22" s="3">
        <v>9</v>
      </c>
      <c r="T22" s="3">
        <v>5</v>
      </c>
      <c r="U22" s="3">
        <v>6</v>
      </c>
      <c r="V22" s="3">
        <v>30</v>
      </c>
      <c r="W22" s="3">
        <v>29</v>
      </c>
    </row>
    <row r="23" spans="1:23" x14ac:dyDescent="0.25">
      <c r="A23" s="3">
        <v>2026</v>
      </c>
      <c r="B23" s="3">
        <v>10</v>
      </c>
      <c r="C23" s="3" t="s">
        <v>10</v>
      </c>
      <c r="D23" s="5">
        <v>0.24</v>
      </c>
      <c r="E23" s="5">
        <v>0.28000000000000003</v>
      </c>
      <c r="F23" s="5">
        <v>0.64</v>
      </c>
      <c r="G23" s="5">
        <v>0.61</v>
      </c>
      <c r="H23" s="5">
        <v>0.59</v>
      </c>
      <c r="I23" s="5">
        <v>0.15</v>
      </c>
      <c r="J23" s="5">
        <v>0.2</v>
      </c>
      <c r="K23" s="3">
        <v>2458</v>
      </c>
      <c r="L23" s="3">
        <v>4715</v>
      </c>
      <c r="M23" s="3">
        <v>4320</v>
      </c>
      <c r="N23" s="3">
        <v>2144</v>
      </c>
      <c r="O23" s="3">
        <v>1574</v>
      </c>
      <c r="P23" s="3">
        <v>45520</v>
      </c>
      <c r="Q23" s="3">
        <v>6</v>
      </c>
      <c r="R23" s="3">
        <v>6</v>
      </c>
      <c r="S23" s="3">
        <v>8</v>
      </c>
      <c r="T23" s="3">
        <v>7</v>
      </c>
      <c r="U23" s="3">
        <v>7</v>
      </c>
      <c r="V23" s="3">
        <v>31</v>
      </c>
      <c r="W23" s="3">
        <v>33</v>
      </c>
    </row>
    <row r="24" spans="1:23" x14ac:dyDescent="0.25">
      <c r="A24" s="3">
        <v>2026</v>
      </c>
      <c r="B24" s="3">
        <v>11</v>
      </c>
      <c r="C24" s="3" t="s">
        <v>11</v>
      </c>
      <c r="D24" s="5">
        <v>0.26</v>
      </c>
      <c r="E24" s="5">
        <v>0.18</v>
      </c>
      <c r="F24" s="5">
        <v>0.26</v>
      </c>
      <c r="G24" s="5">
        <v>0.25</v>
      </c>
      <c r="H24" s="5">
        <v>0.15</v>
      </c>
      <c r="I24" s="5">
        <v>0.76</v>
      </c>
      <c r="J24" s="5">
        <v>0.63</v>
      </c>
      <c r="K24" s="3">
        <v>2944</v>
      </c>
      <c r="L24" s="3">
        <v>4729</v>
      </c>
      <c r="M24" s="3">
        <v>3779</v>
      </c>
      <c r="N24" s="3">
        <v>1542</v>
      </c>
      <c r="O24" s="3">
        <v>1665</v>
      </c>
      <c r="P24" s="3">
        <v>34050</v>
      </c>
      <c r="Q24" s="3">
        <v>2</v>
      </c>
      <c r="R24" s="3">
        <v>3</v>
      </c>
      <c r="S24" s="3">
        <v>5</v>
      </c>
      <c r="T24" s="3">
        <v>8</v>
      </c>
      <c r="U24" s="3">
        <v>8</v>
      </c>
      <c r="V24" s="3">
        <v>30</v>
      </c>
      <c r="W24" s="3">
        <v>45</v>
      </c>
    </row>
    <row r="25" spans="1:23" x14ac:dyDescent="0.25">
      <c r="A25" s="3">
        <v>2026</v>
      </c>
      <c r="B25" s="3">
        <v>12</v>
      </c>
      <c r="C25" s="3" t="s">
        <v>12</v>
      </c>
      <c r="D25" s="5">
        <v>0.14000000000000001</v>
      </c>
      <c r="E25" s="5">
        <v>0.08</v>
      </c>
      <c r="F25" s="5">
        <v>0.15</v>
      </c>
      <c r="G25" s="5">
        <v>0.23</v>
      </c>
      <c r="H25" s="5">
        <v>0.79</v>
      </c>
      <c r="I25" s="5">
        <v>0.85</v>
      </c>
      <c r="J25" s="5">
        <v>0.78</v>
      </c>
      <c r="K25" s="3">
        <v>3277</v>
      </c>
      <c r="L25" s="3">
        <v>4402</v>
      </c>
      <c r="M25" s="3">
        <v>3252</v>
      </c>
      <c r="N25" s="3">
        <v>1375</v>
      </c>
      <c r="O25" s="3">
        <v>2100</v>
      </c>
      <c r="P25" s="3">
        <v>46800</v>
      </c>
      <c r="Q25" s="3">
        <v>4</v>
      </c>
      <c r="R25" s="3">
        <v>7</v>
      </c>
      <c r="S25" s="3">
        <v>7</v>
      </c>
      <c r="T25" s="3">
        <v>9</v>
      </c>
      <c r="U25" s="3">
        <v>9</v>
      </c>
      <c r="V25" s="3">
        <v>31</v>
      </c>
      <c r="W25" s="3">
        <v>48</v>
      </c>
    </row>
    <row r="26" spans="1:23" x14ac:dyDescent="0.25">
      <c r="A26" s="3">
        <v>2027</v>
      </c>
      <c r="B26" s="3">
        <v>1</v>
      </c>
      <c r="C26" s="3" t="s">
        <v>1</v>
      </c>
      <c r="D26" s="5">
        <v>0.92</v>
      </c>
      <c r="E26" s="5">
        <v>1</v>
      </c>
      <c r="F26" s="5">
        <v>0.38</v>
      </c>
      <c r="G26" s="5">
        <v>0.49</v>
      </c>
      <c r="H26" s="5">
        <v>0.55000000000000004</v>
      </c>
      <c r="I26" s="5">
        <v>0.46</v>
      </c>
      <c r="J26" s="5">
        <v>0.19</v>
      </c>
      <c r="K26" s="3">
        <v>3170</v>
      </c>
      <c r="L26" s="3">
        <v>3611</v>
      </c>
      <c r="M26" s="3">
        <v>3111</v>
      </c>
      <c r="N26" s="3">
        <v>1729</v>
      </c>
      <c r="O26" s="3">
        <v>2782</v>
      </c>
      <c r="P26" s="3">
        <v>22810</v>
      </c>
      <c r="Q26" s="3">
        <v>8</v>
      </c>
      <c r="R26" s="3">
        <v>4</v>
      </c>
      <c r="S26" s="3">
        <v>6</v>
      </c>
      <c r="T26" s="3">
        <v>4</v>
      </c>
      <c r="U26" s="3">
        <v>3</v>
      </c>
      <c r="V26" s="3">
        <v>31</v>
      </c>
      <c r="W26" s="3">
        <v>19</v>
      </c>
    </row>
    <row r="27" spans="1:23" x14ac:dyDescent="0.25">
      <c r="A27" s="3">
        <v>2027</v>
      </c>
      <c r="B27" s="3">
        <v>2</v>
      </c>
      <c r="C27" s="3" t="s">
        <v>2</v>
      </c>
      <c r="D27" s="5">
        <v>0.72</v>
      </c>
      <c r="E27" s="5">
        <v>0.97</v>
      </c>
      <c r="F27" s="5">
        <v>0.54</v>
      </c>
      <c r="G27" s="5">
        <v>0.24</v>
      </c>
      <c r="H27" s="5">
        <v>0.76</v>
      </c>
      <c r="I27" s="5">
        <v>0.44</v>
      </c>
      <c r="J27" s="5">
        <v>0.81</v>
      </c>
      <c r="K27" s="3">
        <v>2660</v>
      </c>
      <c r="L27" s="3">
        <v>2649</v>
      </c>
      <c r="M27" s="3">
        <v>3559</v>
      </c>
      <c r="N27" s="3">
        <v>2522</v>
      </c>
      <c r="O27" s="3">
        <v>3495</v>
      </c>
      <c r="P27" s="3">
        <v>17240</v>
      </c>
      <c r="Q27" s="3">
        <v>9</v>
      </c>
      <c r="R27" s="3">
        <v>5</v>
      </c>
      <c r="S27" s="3">
        <v>7</v>
      </c>
      <c r="T27" s="3">
        <v>5</v>
      </c>
      <c r="U27" s="3">
        <v>4</v>
      </c>
      <c r="V27" s="3">
        <v>29</v>
      </c>
      <c r="W27" s="3">
        <v>23</v>
      </c>
    </row>
    <row r="28" spans="1:23" x14ac:dyDescent="0.25">
      <c r="A28" s="3">
        <v>2027</v>
      </c>
      <c r="B28" s="3">
        <v>3</v>
      </c>
      <c r="C28" s="3" t="s">
        <v>3</v>
      </c>
      <c r="D28" s="5">
        <v>0.82</v>
      </c>
      <c r="E28" s="5">
        <v>0.87</v>
      </c>
      <c r="F28" s="5">
        <v>0.38</v>
      </c>
      <c r="G28" s="5">
        <v>0.28999999999999998</v>
      </c>
      <c r="H28" s="5">
        <v>0.69</v>
      </c>
      <c r="I28" s="5">
        <v>0.43</v>
      </c>
      <c r="J28" s="5">
        <v>0.15</v>
      </c>
      <c r="K28" s="3">
        <v>2106</v>
      </c>
      <c r="L28" s="3">
        <v>2026</v>
      </c>
      <c r="M28" s="3">
        <v>4225</v>
      </c>
      <c r="N28" s="3">
        <v>3364</v>
      </c>
      <c r="O28" s="3">
        <v>3930</v>
      </c>
      <c r="P28" s="3">
        <v>18870</v>
      </c>
      <c r="Q28" s="3">
        <v>9</v>
      </c>
      <c r="R28" s="3">
        <v>6</v>
      </c>
      <c r="S28" s="3">
        <v>6</v>
      </c>
      <c r="T28" s="3">
        <v>6</v>
      </c>
      <c r="U28" s="3">
        <v>3</v>
      </c>
      <c r="V28" s="3">
        <v>31</v>
      </c>
      <c r="W28" s="3">
        <v>31</v>
      </c>
    </row>
    <row r="29" spans="1:23" x14ac:dyDescent="0.25">
      <c r="A29" s="3">
        <v>2027</v>
      </c>
      <c r="B29" s="3">
        <v>4</v>
      </c>
      <c r="C29" s="3" t="s">
        <v>4</v>
      </c>
      <c r="D29" s="5">
        <v>0.56999999999999995</v>
      </c>
      <c r="E29" s="5">
        <v>0.82</v>
      </c>
      <c r="F29" s="5">
        <v>0.4</v>
      </c>
      <c r="G29" s="5">
        <v>0.24</v>
      </c>
      <c r="H29" s="5">
        <v>0.5</v>
      </c>
      <c r="I29" s="5">
        <v>0.31</v>
      </c>
      <c r="J29" s="5">
        <v>0.85</v>
      </c>
      <c r="K29" s="3">
        <v>1802</v>
      </c>
      <c r="L29" s="3">
        <v>2088</v>
      </c>
      <c r="M29" s="3">
        <v>4520</v>
      </c>
      <c r="N29" s="3">
        <v>3979</v>
      </c>
      <c r="O29" s="3">
        <v>3857</v>
      </c>
      <c r="P29" s="3">
        <v>21500</v>
      </c>
      <c r="Q29" s="3">
        <v>4</v>
      </c>
      <c r="R29" s="3">
        <v>7</v>
      </c>
      <c r="S29" s="3">
        <v>8</v>
      </c>
      <c r="T29" s="3">
        <v>5</v>
      </c>
      <c r="U29" s="3">
        <v>5</v>
      </c>
      <c r="V29" s="3">
        <v>30</v>
      </c>
      <c r="W29" s="3">
        <v>35</v>
      </c>
    </row>
    <row r="30" spans="1:23" x14ac:dyDescent="0.25">
      <c r="A30" s="3">
        <v>2027</v>
      </c>
      <c r="B30" s="3">
        <v>5</v>
      </c>
      <c r="C30" s="3" t="s">
        <v>5</v>
      </c>
      <c r="D30" s="5">
        <v>0.77</v>
      </c>
      <c r="E30" s="5">
        <v>0.77</v>
      </c>
      <c r="F30" s="5">
        <v>0.85</v>
      </c>
      <c r="G30" s="5">
        <v>0.85</v>
      </c>
      <c r="H30" s="5">
        <v>0.64</v>
      </c>
      <c r="I30" s="5">
        <v>0.82</v>
      </c>
      <c r="J30" s="5">
        <v>0.4</v>
      </c>
      <c r="K30" s="3">
        <v>1941</v>
      </c>
      <c r="L30" s="3">
        <v>2663</v>
      </c>
      <c r="M30" s="3">
        <v>4290</v>
      </c>
      <c r="N30" s="3">
        <v>4086</v>
      </c>
      <c r="O30" s="3">
        <v>3389</v>
      </c>
      <c r="P30" s="3">
        <v>25230</v>
      </c>
      <c r="Q30" s="3">
        <v>3</v>
      </c>
      <c r="R30" s="3">
        <v>8</v>
      </c>
      <c r="S30" s="3">
        <v>9</v>
      </c>
      <c r="T30" s="3">
        <v>4</v>
      </c>
      <c r="U30" s="3">
        <v>6</v>
      </c>
      <c r="V30" s="3">
        <v>31</v>
      </c>
      <c r="W30" s="3">
        <v>37</v>
      </c>
    </row>
    <row r="31" spans="1:23" x14ac:dyDescent="0.25">
      <c r="A31" s="3">
        <v>2027</v>
      </c>
      <c r="B31" s="3">
        <v>6</v>
      </c>
      <c r="C31" s="3" t="s">
        <v>6</v>
      </c>
      <c r="D31" s="5">
        <v>0.53</v>
      </c>
      <c r="E31" s="5">
        <v>0.67</v>
      </c>
      <c r="F31" s="5">
        <v>0.16</v>
      </c>
      <c r="G31" s="5">
        <v>0.38</v>
      </c>
      <c r="H31" s="5">
        <v>0.61</v>
      </c>
      <c r="I31" s="5">
        <v>0.67</v>
      </c>
      <c r="J31" s="5">
        <v>0.62</v>
      </c>
      <c r="K31" s="3">
        <v>2453</v>
      </c>
      <c r="L31" s="3">
        <v>3179</v>
      </c>
      <c r="M31" s="3">
        <v>3638</v>
      </c>
      <c r="N31" s="3">
        <v>3587</v>
      </c>
      <c r="O31" s="3">
        <v>2712</v>
      </c>
      <c r="P31" s="3">
        <v>46090</v>
      </c>
      <c r="Q31" s="3">
        <v>4</v>
      </c>
      <c r="R31" s="3">
        <v>6</v>
      </c>
      <c r="S31" s="3">
        <v>9</v>
      </c>
      <c r="T31" s="3">
        <v>6</v>
      </c>
      <c r="U31" s="3">
        <v>5</v>
      </c>
      <c r="V31" s="3">
        <v>30</v>
      </c>
      <c r="W31" s="3">
        <v>41</v>
      </c>
    </row>
    <row r="32" spans="1:23" x14ac:dyDescent="0.25">
      <c r="A32" s="3">
        <v>2027</v>
      </c>
      <c r="B32" s="3">
        <v>7</v>
      </c>
      <c r="C32" s="3" t="s">
        <v>7</v>
      </c>
      <c r="D32" s="5">
        <v>0.68</v>
      </c>
      <c r="E32" s="5">
        <v>0.56999999999999995</v>
      </c>
      <c r="F32" s="5">
        <v>0.39</v>
      </c>
      <c r="G32" s="5">
        <v>0.62</v>
      </c>
      <c r="H32" s="5">
        <v>0.64</v>
      </c>
      <c r="I32" s="5">
        <v>0.84</v>
      </c>
      <c r="J32" s="5">
        <v>0.63</v>
      </c>
      <c r="K32" s="3">
        <v>3045</v>
      </c>
      <c r="L32" s="3">
        <v>3312</v>
      </c>
      <c r="M32" s="3">
        <v>2829</v>
      </c>
      <c r="N32" s="3">
        <v>2696</v>
      </c>
      <c r="O32" s="3">
        <v>2127</v>
      </c>
      <c r="P32" s="3">
        <v>34560</v>
      </c>
      <c r="Q32" s="3">
        <v>5</v>
      </c>
      <c r="R32" s="3">
        <v>4</v>
      </c>
      <c r="S32" s="3">
        <v>8</v>
      </c>
      <c r="T32" s="3">
        <v>7</v>
      </c>
      <c r="U32" s="3">
        <v>3</v>
      </c>
      <c r="V32" s="3">
        <v>31</v>
      </c>
      <c r="W32" s="3">
        <v>45</v>
      </c>
    </row>
    <row r="33" spans="1:23" x14ac:dyDescent="0.25">
      <c r="A33" s="3">
        <v>2027</v>
      </c>
      <c r="B33" s="3">
        <v>8</v>
      </c>
      <c r="C33" s="3" t="s">
        <v>8</v>
      </c>
      <c r="D33" s="5">
        <v>0.37</v>
      </c>
      <c r="E33" s="5">
        <v>0.47</v>
      </c>
      <c r="F33" s="5">
        <v>0.16</v>
      </c>
      <c r="G33" s="5">
        <v>0.69</v>
      </c>
      <c r="H33" s="5">
        <v>0.57999999999999996</v>
      </c>
      <c r="I33" s="5">
        <v>0.55000000000000004</v>
      </c>
      <c r="J33" s="5">
        <v>0.67</v>
      </c>
      <c r="K33" s="3">
        <v>3546</v>
      </c>
      <c r="L33" s="3">
        <v>3016</v>
      </c>
      <c r="M33" s="3">
        <v>2222</v>
      </c>
      <c r="N33" s="3">
        <v>2073</v>
      </c>
      <c r="O33" s="3">
        <v>1932</v>
      </c>
      <c r="P33" s="3">
        <v>29850</v>
      </c>
      <c r="Q33" s="3">
        <v>3</v>
      </c>
      <c r="R33" s="3">
        <v>3</v>
      </c>
      <c r="S33" s="3">
        <v>9</v>
      </c>
      <c r="T33" s="3">
        <v>5</v>
      </c>
      <c r="U33" s="3">
        <v>4</v>
      </c>
      <c r="V33" s="3">
        <v>31</v>
      </c>
      <c r="W33" s="3">
        <v>48</v>
      </c>
    </row>
    <row r="34" spans="1:23" x14ac:dyDescent="0.25">
      <c r="A34" s="3">
        <v>2027</v>
      </c>
      <c r="B34" s="3">
        <v>9</v>
      </c>
      <c r="C34" s="3" t="s">
        <v>9</v>
      </c>
      <c r="D34" s="5">
        <v>0.42</v>
      </c>
      <c r="E34" s="5">
        <v>0.37</v>
      </c>
      <c r="F34" s="5">
        <v>0.56000000000000005</v>
      </c>
      <c r="G34" s="5">
        <v>0.61</v>
      </c>
      <c r="H34" s="5">
        <v>0.27</v>
      </c>
      <c r="I34" s="5">
        <v>0.78</v>
      </c>
      <c r="J34" s="5">
        <v>0.42</v>
      </c>
      <c r="K34" s="3">
        <v>3734</v>
      </c>
      <c r="L34" s="3">
        <v>2708</v>
      </c>
      <c r="M34" s="3">
        <v>1953</v>
      </c>
      <c r="N34" s="3">
        <v>1971</v>
      </c>
      <c r="O34" s="3">
        <v>2189</v>
      </c>
      <c r="P34" s="3">
        <v>35820</v>
      </c>
      <c r="Q34" s="3">
        <v>4</v>
      </c>
      <c r="R34" s="3">
        <v>4</v>
      </c>
      <c r="S34" s="3">
        <v>8</v>
      </c>
      <c r="T34" s="3">
        <v>4</v>
      </c>
      <c r="U34" s="3">
        <v>5</v>
      </c>
      <c r="V34" s="3">
        <v>30</v>
      </c>
      <c r="W34" s="3">
        <v>50</v>
      </c>
    </row>
    <row r="35" spans="1:23" x14ac:dyDescent="0.25">
      <c r="A35" s="3">
        <v>2027</v>
      </c>
      <c r="B35" s="3">
        <v>10</v>
      </c>
      <c r="C35" s="3" t="s">
        <v>10</v>
      </c>
      <c r="D35" s="5">
        <v>0.28000000000000003</v>
      </c>
      <c r="E35" s="5">
        <v>0.27</v>
      </c>
      <c r="F35" s="5">
        <v>0.38</v>
      </c>
      <c r="G35" s="5">
        <v>0.85</v>
      </c>
      <c r="H35" s="5">
        <v>0.16</v>
      </c>
      <c r="I35" s="5">
        <v>0.28999999999999998</v>
      </c>
      <c r="J35" s="5">
        <v>0.85</v>
      </c>
      <c r="K35" s="3">
        <v>3434</v>
      </c>
      <c r="L35" s="3">
        <v>2655</v>
      </c>
      <c r="M35" s="3">
        <v>2026</v>
      </c>
      <c r="N35" s="3">
        <v>2383</v>
      </c>
      <c r="O35" s="3">
        <v>2736</v>
      </c>
      <c r="P35" s="3">
        <v>44830</v>
      </c>
      <c r="Q35" s="3">
        <v>5</v>
      </c>
      <c r="R35" s="3">
        <v>5</v>
      </c>
      <c r="S35" s="3">
        <v>7</v>
      </c>
      <c r="T35" s="3">
        <v>6</v>
      </c>
      <c r="U35" s="3">
        <v>6</v>
      </c>
      <c r="V35" s="3">
        <v>31</v>
      </c>
      <c r="W35" s="3">
        <v>52</v>
      </c>
    </row>
    <row r="36" spans="1:23" x14ac:dyDescent="0.25">
      <c r="A36" s="3">
        <v>2027</v>
      </c>
      <c r="B36" s="3">
        <v>11</v>
      </c>
      <c r="C36" s="3" t="s">
        <v>11</v>
      </c>
      <c r="D36" s="5">
        <v>0.18</v>
      </c>
      <c r="E36" s="5">
        <v>0.17</v>
      </c>
      <c r="F36" s="5">
        <v>0.33</v>
      </c>
      <c r="G36" s="5">
        <v>0.27</v>
      </c>
      <c r="H36" s="5">
        <v>0.77</v>
      </c>
      <c r="I36" s="5">
        <v>0.83</v>
      </c>
      <c r="J36" s="5">
        <v>0.15</v>
      </c>
      <c r="K36" s="3">
        <v>2864</v>
      </c>
      <c r="L36" s="3">
        <v>2900</v>
      </c>
      <c r="M36" s="3">
        <v>2408</v>
      </c>
      <c r="N36" s="3">
        <v>3092</v>
      </c>
      <c r="O36" s="3">
        <v>3327</v>
      </c>
      <c r="P36" s="3">
        <v>36570</v>
      </c>
      <c r="Q36" s="3">
        <v>4</v>
      </c>
      <c r="R36" s="3">
        <v>4</v>
      </c>
      <c r="S36" s="3">
        <v>9</v>
      </c>
      <c r="T36" s="3">
        <v>7</v>
      </c>
      <c r="U36" s="3">
        <v>7</v>
      </c>
      <c r="V36" s="3">
        <v>30</v>
      </c>
      <c r="W36" s="3">
        <v>64</v>
      </c>
    </row>
    <row r="37" spans="1:23" x14ac:dyDescent="0.25">
      <c r="A37" s="3">
        <v>2027</v>
      </c>
      <c r="B37" s="3">
        <v>12</v>
      </c>
      <c r="C37" s="3" t="s">
        <v>12</v>
      </c>
      <c r="D37" s="5">
        <v>0.23</v>
      </c>
      <c r="E37" s="5">
        <v>7.0000000000000007E-2</v>
      </c>
      <c r="F37" s="5">
        <v>0.71</v>
      </c>
      <c r="G37" s="5">
        <v>0.81</v>
      </c>
      <c r="H37" s="5">
        <v>0.61</v>
      </c>
      <c r="I37" s="5">
        <v>0.36</v>
      </c>
      <c r="J37" s="5">
        <v>0.68</v>
      </c>
      <c r="K37" s="3">
        <v>2353</v>
      </c>
      <c r="L37" s="3">
        <v>3140</v>
      </c>
      <c r="M37" s="3">
        <v>2965</v>
      </c>
      <c r="N37" s="3">
        <v>3730</v>
      </c>
      <c r="O37" s="3">
        <v>3590</v>
      </c>
      <c r="P37" s="3">
        <v>44210</v>
      </c>
      <c r="Q37" s="3">
        <v>3</v>
      </c>
      <c r="R37" s="3">
        <v>6</v>
      </c>
      <c r="S37" s="3">
        <v>6</v>
      </c>
      <c r="T37" s="3">
        <v>8</v>
      </c>
      <c r="U37" s="3">
        <v>8</v>
      </c>
      <c r="V37" s="3">
        <v>31</v>
      </c>
      <c r="W37" s="3">
        <v>65</v>
      </c>
    </row>
    <row r="38" spans="1:23" x14ac:dyDescent="0.25">
      <c r="F38" s="5"/>
      <c r="G38" s="5"/>
      <c r="H38" s="5"/>
      <c r="I38" s="5"/>
      <c r="J38" s="5"/>
    </row>
  </sheetData>
  <pageMargins left="0.7" right="0.7" top="0.75" bottom="0.75" header="0.3" footer="0.3"/>
  <tableParts count="1">
    <tablePart r:id="rId1"/>
  </tablePart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B079A-DD1F-48E9-8AB1-C40FD4CE66E4}">
  <dimension ref="D1:J4"/>
  <sheetViews>
    <sheetView workbookViewId="0">
      <selection activeCell="D3" sqref="D3:J4"/>
    </sheetView>
  </sheetViews>
  <sheetFormatPr defaultRowHeight="15" x14ac:dyDescent="0.25"/>
  <sheetData>
    <row r="1" spans="4:10" x14ac:dyDescent="0.25">
      <c r="F1" t="s">
        <v>172</v>
      </c>
    </row>
    <row r="3" spans="4:10" ht="15" customHeight="1" x14ac:dyDescent="0.55000000000000004">
      <c r="D3" s="46"/>
      <c r="E3" s="47"/>
      <c r="F3" s="47"/>
      <c r="G3" s="47"/>
      <c r="H3" s="47"/>
      <c r="I3" s="47"/>
      <c r="J3" s="47"/>
    </row>
    <row r="4" spans="4:10" ht="15" customHeight="1" x14ac:dyDescent="0.55000000000000004">
      <c r="D4" s="47"/>
      <c r="E4" s="47"/>
      <c r="F4" s="47"/>
      <c r="G4" s="47"/>
      <c r="H4" s="47"/>
      <c r="I4" s="47"/>
      <c r="J4" s="47"/>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DASHBOARD</vt:lpstr>
      <vt:lpstr>Burndown Chart</vt:lpstr>
      <vt:lpstr>Sprint Cycle</vt:lpstr>
      <vt:lpstr>Cost Structure</vt:lpstr>
      <vt:lpstr>Prototype 1</vt:lpstr>
      <vt:lpstr>Prototype 2</vt:lpstr>
      <vt:lpstr>Prototype 3</vt:lpstr>
      <vt:lpstr>Processing</vt:lpstr>
      <vt:lpstr>Control</vt:lpstr>
      <vt:lpstr>Data</vt:lpstr>
      <vt:lpstr>Resources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Dashboard Presentation</dc:creator>
  <cp:lastModifiedBy>User</cp:lastModifiedBy>
  <dcterms:created xsi:type="dcterms:W3CDTF">2025-08-31T11:47:21Z</dcterms:created>
  <dcterms:modified xsi:type="dcterms:W3CDTF">2026-09-18T07:35:27Z</dcterms:modified>
</cp:coreProperties>
</file>