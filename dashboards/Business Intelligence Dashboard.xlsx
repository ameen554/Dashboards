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7.xml" ContentType="application/vnd.ms-office.chartstyle+xml"/>
  <Override PartName="/xl/charts/colors7.xml" ContentType="application/vnd.ms-office.chartcolorstyle+xml"/>
  <Override PartName="/xl/charts/chart19.xml" ContentType="application/vnd.openxmlformats-officedocument.drawingml.chart+xml"/>
  <Override PartName="/xl/charts/style8.xml" ContentType="application/vnd.ms-office.chartstyle+xml"/>
  <Override PartName="/xl/charts/colors8.xml" ContentType="application/vnd.ms-office.chartcolorstyle+xml"/>
  <Override PartName="/xl/charts/chart20.xml" ContentType="application/vnd.openxmlformats-officedocument.drawingml.chart+xml"/>
  <Override PartName="/xl/charts/style9.xml" ContentType="application/vnd.ms-office.chartstyle+xml"/>
  <Override PartName="/xl/charts/colors9.xml" ContentType="application/vnd.ms-office.chartcolorstyle+xml"/>
  <Override PartName="/xl/charts/chart21.xml" ContentType="application/vnd.openxmlformats-officedocument.drawingml.chart+xml"/>
  <Override PartName="/xl/charts/chart22.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6e5fe5563ab6cfd/Desktop/Dashboard Projects/Dashboard/Dashboard-Template-75/"/>
    </mc:Choice>
  </mc:AlternateContent>
  <xr:revisionPtr revIDLastSave="1" documentId="13_ncr:1_{9319FA34-5611-4014-B383-EEB192A09B14}" xr6:coauthVersionLast="47" xr6:coauthVersionMax="47" xr10:uidLastSave="{4C215453-38F5-4B57-B2F9-D671BC72D5A6}"/>
  <bookViews>
    <workbookView xWindow="-120" yWindow="-120" windowWidth="20730" windowHeight="11310" xr2:uid="{715AD849-4024-4B22-8153-B154FD64AC3A}"/>
  </bookViews>
  <sheets>
    <sheet name="DASHBOARD" sheetId="1" r:id="rId1"/>
    <sheet name="DASHBOARD Light" sheetId="6" r:id="rId2"/>
    <sheet name="Processing" sheetId="2" r:id="rId3"/>
    <sheet name="Data" sheetId="4" r:id="rId4"/>
    <sheet name="Control" sheetId="5" r:id="rId5"/>
    <sheet name="Resources" sheetId="3" r:id="rId6"/>
  </sheets>
  <definedNames>
    <definedName name="mydata">Data!$A$1:$P$193</definedName>
    <definedName name="Slicer_Departments">#N/A</definedName>
    <definedName name="Slicer_Name_Month">#N/A</definedName>
    <definedName name="Slicer_Year">#N/A</definedName>
  </definedNames>
  <calcPr calcId="191029"/>
  <pivotCaches>
    <pivotCache cacheId="6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4" l="1"/>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3" i="4"/>
  <c r="N2" i="4"/>
  <c r="N3" i="2"/>
  <c r="N4" i="2"/>
  <c r="N5" i="2"/>
  <c r="N6" i="2"/>
  <c r="B1" i="2"/>
  <c r="D22" i="2"/>
  <c r="F18" i="2"/>
  <c r="D16" i="2"/>
  <c r="C21" i="2"/>
  <c r="B39" i="2"/>
  <c r="B38" i="2"/>
  <c r="G17" i="2"/>
  <c r="F14" i="2"/>
  <c r="C25" i="2"/>
  <c r="C24" i="2"/>
  <c r="F24" i="2"/>
  <c r="G4" i="2"/>
  <c r="G18" i="2"/>
  <c r="B37" i="2"/>
  <c r="B33" i="2"/>
  <c r="G19" i="2"/>
  <c r="B35" i="2"/>
  <c r="F17" i="2"/>
  <c r="D23" i="2"/>
  <c r="D24" i="2"/>
  <c r="G8" i="2"/>
  <c r="D15" i="2"/>
  <c r="F22" i="2"/>
  <c r="G25" i="2"/>
  <c r="D21" i="2"/>
  <c r="K7" i="2"/>
  <c r="C20" i="2"/>
  <c r="B32" i="2"/>
  <c r="B36" i="2"/>
  <c r="F23" i="2"/>
  <c r="D18" i="2"/>
  <c r="B28" i="2"/>
  <c r="C23" i="2"/>
  <c r="C14" i="2"/>
  <c r="C22" i="2"/>
  <c r="B31" i="2"/>
  <c r="F20" i="2"/>
  <c r="G15" i="2"/>
  <c r="G20" i="2"/>
  <c r="K8" i="2"/>
  <c r="C19" i="2"/>
  <c r="F21" i="2"/>
  <c r="B29" i="2"/>
  <c r="D20" i="2"/>
  <c r="D25" i="2"/>
  <c r="G23" i="2"/>
  <c r="G21" i="2"/>
  <c r="F25" i="2"/>
  <c r="D14" i="2"/>
  <c r="B34" i="2"/>
  <c r="C17" i="2"/>
  <c r="C18" i="2"/>
  <c r="G16" i="2"/>
  <c r="G22" i="2"/>
  <c r="D17" i="2"/>
  <c r="F16" i="2"/>
  <c r="C15" i="2"/>
  <c r="C16" i="2"/>
  <c r="F19" i="2"/>
  <c r="B30" i="2"/>
  <c r="G24" i="2"/>
  <c r="G14" i="2"/>
  <c r="D19" i="2"/>
  <c r="F15" i="2"/>
  <c r="T19" i="2" l="1"/>
  <c r="T17" i="2"/>
  <c r="T14" i="2"/>
  <c r="T25" i="2"/>
  <c r="T20" i="2"/>
  <c r="T18" i="2"/>
  <c r="T21" i="2"/>
  <c r="T15" i="2"/>
  <c r="T24" i="2"/>
  <c r="T23" i="2"/>
  <c r="T16" i="2"/>
  <c r="T22" i="2"/>
  <c r="H14" i="2"/>
  <c r="J14" i="2"/>
  <c r="D26" i="2"/>
  <c r="B40" i="2" l="1"/>
  <c r="I30" i="2"/>
  <c r="I31" i="2"/>
  <c r="I32" i="2"/>
  <c r="I29" i="2"/>
  <c r="J29" i="2" s="1"/>
  <c r="F29" i="2"/>
  <c r="F30" i="2"/>
  <c r="F31" i="2"/>
  <c r="F32" i="2"/>
  <c r="F33" i="2"/>
  <c r="F34" i="2"/>
  <c r="F35" i="2"/>
  <c r="F36" i="2"/>
  <c r="F37" i="2"/>
  <c r="F38" i="2"/>
  <c r="F39" i="2"/>
  <c r="F28" i="2"/>
  <c r="H8" i="2"/>
  <c r="I4" i="2"/>
  <c r="J4" i="2" s="1"/>
  <c r="H4" i="2"/>
  <c r="K4" i="2" s="1"/>
  <c r="A10" i="2"/>
  <c r="A4" i="2"/>
  <c r="A8" i="2"/>
  <c r="A6" i="2"/>
  <c r="F40" i="2" l="1"/>
  <c r="C10" i="2"/>
  <c r="B10" i="2"/>
  <c r="E10" i="2" s="1"/>
  <c r="D10" i="2"/>
  <c r="D8" i="2"/>
  <c r="B8" i="2"/>
  <c r="E8" i="2" s="1"/>
  <c r="C8" i="2"/>
  <c r="C6" i="2"/>
  <c r="B6" i="2"/>
  <c r="E6" i="2" s="1"/>
  <c r="D6" i="2"/>
  <c r="C4" i="2"/>
  <c r="D4" i="2" s="1"/>
  <c r="B4" i="2"/>
  <c r="E4" i="2" s="1"/>
  <c r="M32" i="2"/>
  <c r="L31" i="2"/>
  <c r="K30" i="2"/>
  <c r="P28" i="2"/>
  <c r="O28" i="2" s="1" a="1"/>
  <c r="N29" i="2"/>
  <c r="N30" i="2"/>
  <c r="N31" i="2"/>
  <c r="N32" i="2"/>
  <c r="N33" i="2"/>
  <c r="N28" i="2"/>
  <c r="E29" i="2" a="1"/>
  <c r="E30" i="2" a="1"/>
  <c r="E31" i="2" a="1"/>
  <c r="E32" i="2" a="1"/>
  <c r="E33" i="2" a="1"/>
  <c r="E34" i="2" a="1"/>
  <c r="E35" i="2" a="1"/>
  <c r="E36" i="2" a="1"/>
  <c r="E37" i="2" a="1"/>
  <c r="E38" i="2" a="1"/>
  <c r="E39" i="2" a="1"/>
  <c r="E28" i="2" a="1"/>
  <c r="D29" i="2" a="1"/>
  <c r="D30" i="2" a="1"/>
  <c r="D31" i="2" a="1"/>
  <c r="D32" i="2" a="1"/>
  <c r="D33" i="2" a="1"/>
  <c r="D34" i="2" a="1"/>
  <c r="D35" i="2" a="1"/>
  <c r="D36" i="2" a="1"/>
  <c r="D37" i="2" a="1"/>
  <c r="D38" i="2" a="1"/>
  <c r="D39" i="2" a="1"/>
  <c r="D28" i="2" a="1"/>
  <c r="C29" i="2" a="1"/>
  <c r="C30" i="2" a="1"/>
  <c r="C31" i="2" a="1"/>
  <c r="C32" i="2" a="1"/>
  <c r="C33" i="2" a="1"/>
  <c r="C34" i="2" a="1"/>
  <c r="C35" i="2" a="1"/>
  <c r="C36" i="2" a="1"/>
  <c r="C37" i="2" a="1"/>
  <c r="C38" i="2" a="1"/>
  <c r="C39" i="2" a="1"/>
  <c r="C28" i="2" a="1"/>
  <c r="R18" i="2" l="1"/>
  <c r="R21" i="2"/>
  <c r="R22" i="2"/>
  <c r="Q15" i="2"/>
  <c r="Q16" i="2"/>
  <c r="Q17" i="2"/>
  <c r="Q18" i="2"/>
  <c r="Q19" i="2"/>
  <c r="Q20" i="2"/>
  <c r="Q21" i="2"/>
  <c r="Q22" i="2"/>
  <c r="Q23" i="2"/>
  <c r="Q24" i="2"/>
  <c r="Q25" i="2"/>
  <c r="Q14" i="2"/>
  <c r="S15" i="2"/>
  <c r="S16" i="2"/>
  <c r="S17" i="2"/>
  <c r="S18" i="2"/>
  <c r="S19" i="2"/>
  <c r="S20" i="2"/>
  <c r="S21" i="2"/>
  <c r="S22" i="2"/>
  <c r="S23" i="2"/>
  <c r="S24" i="2"/>
  <c r="S25" i="2"/>
  <c r="S14" i="2"/>
  <c r="O15" i="2"/>
  <c r="O14" i="2"/>
  <c r="P15" i="2"/>
  <c r="P16" i="2"/>
  <c r="P17" i="2"/>
  <c r="P20" i="2"/>
  <c r="P23" i="2"/>
  <c r="P24" i="2"/>
  <c r="P25" i="2"/>
  <c r="P14" i="2"/>
  <c r="J16" i="2"/>
  <c r="J18" i="2"/>
  <c r="J22" i="2"/>
  <c r="J24" i="2"/>
  <c r="H15" i="2"/>
  <c r="O17" i="2" s="1"/>
  <c r="H16" i="2"/>
  <c r="O18" i="2" s="1"/>
  <c r="H17" i="2"/>
  <c r="O19" i="2" s="1"/>
  <c r="H18" i="2"/>
  <c r="O20" i="2" s="1"/>
  <c r="H19" i="2"/>
  <c r="O21" i="2" s="1"/>
  <c r="H20" i="2"/>
  <c r="O22" i="2" s="1"/>
  <c r="H21" i="2"/>
  <c r="O23" i="2" s="1"/>
  <c r="H22" i="2"/>
  <c r="O24" i="2" s="1"/>
  <c r="H23" i="2"/>
  <c r="O25" i="2" s="1"/>
  <c r="H24" i="2"/>
  <c r="H25" i="2"/>
  <c r="O16" i="2"/>
  <c r="M15" i="2"/>
  <c r="M16" i="2"/>
  <c r="M17" i="2"/>
  <c r="M18" i="2"/>
  <c r="M19" i="2"/>
  <c r="M20" i="2"/>
  <c r="M21" i="2"/>
  <c r="M22" i="2"/>
  <c r="M23" i="2"/>
  <c r="M24" i="2"/>
  <c r="M25" i="2"/>
  <c r="M14" i="2"/>
  <c r="K15" i="2"/>
  <c r="K16" i="2"/>
  <c r="K17" i="2"/>
  <c r="K18" i="2"/>
  <c r="K19" i="2"/>
  <c r="K20" i="2"/>
  <c r="K21" i="2"/>
  <c r="K22" i="2"/>
  <c r="K23" i="2"/>
  <c r="K24" i="2"/>
  <c r="K25" i="2"/>
  <c r="L15" i="2"/>
  <c r="L16" i="2"/>
  <c r="L17" i="2"/>
  <c r="L18" i="2"/>
  <c r="L19" i="2"/>
  <c r="L20" i="2"/>
  <c r="L21" i="2"/>
  <c r="L22" i="2"/>
  <c r="L23" i="2"/>
  <c r="L24" i="2"/>
  <c r="L25" i="2"/>
  <c r="L14" i="2"/>
  <c r="J12" i="2"/>
  <c r="R15" i="2" s="1"/>
  <c r="I15" i="2"/>
  <c r="I16" i="2"/>
  <c r="I17" i="2"/>
  <c r="I18" i="2"/>
  <c r="I19" i="2"/>
  <c r="I20" i="2"/>
  <c r="I21" i="2"/>
  <c r="I22" i="2"/>
  <c r="I23" i="2"/>
  <c r="I24" i="2"/>
  <c r="I25" i="2"/>
  <c r="I14" i="2"/>
  <c r="J20" i="2" l="1"/>
  <c r="R20" i="2"/>
  <c r="J21" i="2"/>
  <c r="J19" i="2"/>
  <c r="P18" i="2"/>
  <c r="R19" i="2"/>
  <c r="L26" i="2"/>
  <c r="M26" i="2"/>
  <c r="J23" i="2"/>
  <c r="J15" i="2"/>
  <c r="P19" i="2"/>
  <c r="R25" i="2"/>
  <c r="R17" i="2"/>
  <c r="P22" i="2"/>
  <c r="R24" i="2"/>
  <c r="R16" i="2"/>
  <c r="J25" i="2"/>
  <c r="J17" i="2"/>
  <c r="P21" i="2"/>
  <c r="R23" i="2"/>
  <c r="R14" i="2" l="1"/>
  <c r="K1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<sst xmlns="http://schemas.openxmlformats.org/spreadsheetml/2006/main" count="482" uniqueCount="78">
  <si>
    <t>JAN</t>
  </si>
  <si>
    <t>FEB</t>
  </si>
  <si>
    <t>MAR</t>
  </si>
  <si>
    <t>APR</t>
  </si>
  <si>
    <t>MAY</t>
  </si>
  <si>
    <t>JUN</t>
  </si>
  <si>
    <t>JUL</t>
  </si>
  <si>
    <t>AUG</t>
  </si>
  <si>
    <t>SEP</t>
  </si>
  <si>
    <t>OCT</t>
  </si>
  <si>
    <t>NOV</t>
  </si>
  <si>
    <t>DEC</t>
  </si>
  <si>
    <t>Year</t>
  </si>
  <si>
    <t>indent1</t>
  </si>
  <si>
    <t>indent2</t>
  </si>
  <si>
    <t>profit</t>
  </si>
  <si>
    <t>loss</t>
  </si>
  <si>
    <t>profit L2</t>
  </si>
  <si>
    <t>loss L2</t>
  </si>
  <si>
    <t>Labeles</t>
  </si>
  <si>
    <t>indent1 L2</t>
  </si>
  <si>
    <t>indent2 L2</t>
  </si>
  <si>
    <t>dataTop</t>
  </si>
  <si>
    <t>dataDown</t>
  </si>
  <si>
    <t>dataTop L2</t>
  </si>
  <si>
    <t>dataDown L2</t>
  </si>
  <si>
    <t>start</t>
  </si>
  <si>
    <t>end</t>
  </si>
  <si>
    <t>alt</t>
  </si>
  <si>
    <t>Month</t>
  </si>
  <si>
    <t>Name Month</t>
  </si>
  <si>
    <t>Revenue Plan</t>
  </si>
  <si>
    <t>Profitability Plan</t>
  </si>
  <si>
    <t>Conversion Plan</t>
  </si>
  <si>
    <t>Transaction Quantity Plan</t>
  </si>
  <si>
    <t>InnoForge</t>
  </si>
  <si>
    <t>MarketFlow</t>
  </si>
  <si>
    <t>CashOptic</t>
  </si>
  <si>
    <t>ClientPulse</t>
  </si>
  <si>
    <t>Departments</t>
  </si>
  <si>
    <t>Profit</t>
  </si>
  <si>
    <t>Loss</t>
  </si>
  <si>
    <t>KPI</t>
  </si>
  <si>
    <t>Revenue</t>
  </si>
  <si>
    <t>Positive Factors</t>
  </si>
  <si>
    <t>Negative Factors</t>
  </si>
  <si>
    <t>Factor ratio</t>
  </si>
  <si>
    <t>Factors of Influence</t>
  </si>
  <si>
    <t>Factors Coefficients</t>
  </si>
  <si>
    <t>Sales Plans</t>
  </si>
  <si>
    <t>Profitability</t>
  </si>
  <si>
    <t>Conversion</t>
  </si>
  <si>
    <t>Transaction</t>
  </si>
  <si>
    <t>Profit / Loss</t>
  </si>
  <si>
    <t>Total Annual Profit</t>
  </si>
  <si>
    <t>Row Labels</t>
  </si>
  <si>
    <t>Grand Total</t>
  </si>
  <si>
    <t>Average of Revenue Plan</t>
  </si>
  <si>
    <t>Average of Profitability Plan</t>
  </si>
  <si>
    <t>Average of Conversion Plan</t>
  </si>
  <si>
    <t>Average of Transaction Quantity Plan</t>
  </si>
  <si>
    <t>Sum of Revenue</t>
  </si>
  <si>
    <t>Cash Flow</t>
  </si>
  <si>
    <t>Sum of Profit</t>
  </si>
  <si>
    <t>Sum of Loss</t>
  </si>
  <si>
    <t>Average of KPI</t>
  </si>
  <si>
    <t>•</t>
  </si>
  <si>
    <t>Mark</t>
  </si>
  <si>
    <t>Sum of Cash Flow</t>
  </si>
  <si>
    <t>Average of Factor ratio</t>
  </si>
  <si>
    <t>Average of Positive Factors</t>
  </si>
  <si>
    <t>Average of Negative Factors</t>
  </si>
  <si>
    <t>Business Intelligence Dashboard</t>
  </si>
  <si>
    <t>BUSINESS INTELLIGENCE DASHBOARD</t>
  </si>
  <si>
    <t>DASHBOARD</t>
  </si>
  <si>
    <t>BUSINESS INTELLIGENCE</t>
  </si>
  <si>
    <t>Factors Ratio</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</si>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</sst>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8" x14ac:knownFonts="1">
    <font>
      <sz val="11"/>
      <color theme="1"/>
      <name val="Aptos Narrow"/>
      <family val="2"/>
      <scheme val="minor"/>
    </font>
    <font>
      <b/>
      <sz val="11"/>
      <color theme="1"/>
      <name val="Aptos Narrow"/>
      <family val="2"/>
      <scheme val="minor"/>
    </font>
    <font>
      <b/>
      <sz val="11"/>
      <color theme="1"/>
      <name val="Aptos Narrow"/>
      <family val="2"/>
      <charset val="204"/>
      <scheme val="minor"/>
    </font>
    <font>
      <sz val="8"/>
      <name val="Aptos Narrow"/>
      <family val="2"/>
      <scheme val="minor"/>
    </font>
    <font>
      <sz val="11"/>
      <color theme="1"/>
      <name val="Aptos Narrow"/>
      <family val="2"/>
      <scheme val="minor"/>
    </font>
    <font>
      <sz val="11"/>
      <name val="Aptos Narrow"/>
      <family val="2"/>
      <scheme val="minor"/>
    </font>
    <font>
      <u/>
      <sz val="11"/>
      <color theme="10"/>
      <name val="Aptos Narrow"/>
      <family val="2"/>
      <scheme val="minor"/>
    </font>
    <font>
      <u/>
      <sz val="26"/>
      <color theme="3" tint="0.89999084444715716"/>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0" tint="-0.14999847407452621"/>
        <bgColor indexed="64"/>
      </patternFill>
    </fill>
  </fills>
  <borders count="1">
    <border>
      <left/>
      <right/>
      <top/>
      <bottom/>
      <diagonal/>
    </border>
  </borders>
  <cellStyleXfs count="3">
    <xf numFmtId="0" fontId="0" fillId="0" borderId="0"/>
    <xf numFmtId="9" fontId="4" fillId="0" borderId="0" applyFont="0" applyFill="0" applyBorder="0" applyAlignment="0" applyProtection="0"/>
    <xf numFmtId="0" fontId="6" fillId="0" borderId="0" applyNumberFormat="0" applyFill="0" applyBorder="0" applyAlignment="0" applyProtection="0"/>
  </cellStyleXfs>
  <cellXfs count="20">
    <xf numFmtId="0" fontId="0" fillId="0" borderId="0" xfId="0"/>
    <xf numFmtId="9" fontId="0" fillId="0" borderId="0" xfId="0" applyNumberFormat="1"/>
    <xf numFmtId="164" fontId="0" fillId="0" borderId="0" xfId="0" applyNumberFormat="1"/>
    <xf numFmtId="0" fontId="1" fillId="0" borderId="0" xfId="0" applyFont="1"/>
    <xf numFmtId="0" fontId="2" fillId="0" borderId="0" xfId="0" applyFont="1"/>
    <xf numFmtId="0" fontId="0" fillId="0" borderId="0" xfId="0" applyAlignment="1">
      <alignment horizontal="center"/>
    </xf>
    <xf numFmtId="0" fontId="1" fillId="0" borderId="0" xfId="0" applyFont="1" applyAlignment="1">
      <alignment horizontal="center"/>
    </xf>
    <xf numFmtId="0" fontId="0" fillId="2" borderId="0" xfId="0" applyFill="1"/>
    <xf numFmtId="3" fontId="0" fillId="0" borderId="0" xfId="0" applyNumberFormat="1"/>
    <xf numFmtId="0" fontId="2" fillId="0" borderId="0" xfId="0" applyFont="1" applyAlignment="1">
      <alignment horizontal="center" vertical="center"/>
    </xf>
    <xf numFmtId="0" fontId="2" fillId="0" borderId="0" xfId="0" applyFont="1" applyAlignment="1">
      <alignment horizontal="center" vertical="center" wrapText="1"/>
    </xf>
    <xf numFmtId="9" fontId="0" fillId="0" borderId="0" xfId="1" applyFont="1"/>
    <xf numFmtId="0" fontId="1" fillId="0" borderId="0" xfId="0" applyFont="1" applyAlignment="1">
      <alignment horizontal="center" vertical="center" wrapText="1"/>
    </xf>
    <xf numFmtId="0" fontId="0" fillId="0" borderId="0" xfId="0" applyAlignment="1">
      <alignment horizontal="right"/>
    </xf>
    <xf numFmtId="0" fontId="0" fillId="0" borderId="0" xfId="0" pivotButton="1"/>
    <xf numFmtId="0" fontId="0" fillId="0" borderId="0" xfId="0" applyAlignment="1">
      <alignment horizontal="left"/>
    </xf>
    <xf numFmtId="2" fontId="0" fillId="0" borderId="0" xfId="0" applyNumberFormat="1"/>
    <xf numFmtId="0" fontId="5" fillId="0" borderId="0" xfId="0" applyFont="1"/>
    <xf numFmtId="0" fontId="0" fillId="3" borderId="0" xfId="0" applyFill="1"/>
    <xf numFmtId="0" fontId="7" fillId="2" borderId="0" xfId="2" applyFont="1" applyFill="1"/>
  </cellXfs>
  <cellStyles count="3">
    <cellStyle name="Hyperlink" xfId="2" builtinId="8"/>
    <cellStyle name="Normal" xfId="0" builtinId="0"/>
    <cellStyle name="Percent" xfId="1" builtinId="5"/>
  </cellStyles>
  <dxfs count="17">
    <dxf>
      <numFmt numFmtId="2" formatCode="0.00"/>
    </dxf>
    <dxf>
      <numFmt numFmtId="0" formatCode="General"/>
    </dxf>
    <dxf>
      <numFmt numFmtId="0" formatCode="General"/>
    </dxf>
    <dxf>
      <numFmt numFmtId="13" formatCode="0%"/>
    </dxf>
    <dxf>
      <numFmt numFmtId="13" formatCode="0%"/>
    </dxf>
    <dxf>
      <numFmt numFmtId="0" formatCode="General"/>
    </dxf>
    <dxf>
      <numFmt numFmtId="0" formatCode="General"/>
    </dxf>
    <dxf>
      <numFmt numFmtId="0" formatCode="General"/>
    </dxf>
    <dxf>
      <numFmt numFmtId="13" formatCode="0%"/>
    </dxf>
    <dxf>
      <font>
        <b/>
        <color theme="1"/>
      </font>
      <border>
        <bottom style="thin">
          <color theme="4"/>
        </bottom>
        <vertical/>
        <horizontal/>
      </border>
    </dxf>
    <dxf>
      <font>
        <color auto="1"/>
      </font>
      <fill>
        <patternFill>
          <bgColor theme="0"/>
        </patternFill>
      </fill>
      <border diagonalUp="0" diagonalDown="0">
        <left/>
        <right/>
        <top/>
        <bottom/>
        <vertical/>
        <horizontal/>
      </border>
    </dxf>
    <dxf>
      <font>
        <b/>
        <color theme="1"/>
      </font>
      <border>
        <bottom style="thin">
          <color theme="4"/>
        </bottom>
        <vertical/>
        <horizontal/>
      </border>
    </dxf>
    <dxf>
      <font>
        <color auto="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10131E"/>
        </patternFill>
      </fill>
      <border diagonalUp="0" diagonalDown="0">
        <left/>
        <right/>
        <top/>
        <bottom/>
        <vertical/>
        <horizontal/>
      </border>
    </dxf>
    <dxf>
      <font>
        <b/>
        <color theme="1"/>
      </font>
      <border>
        <bottom style="thin">
          <color theme="4"/>
        </bottom>
        <vertical/>
        <horizontal/>
      </border>
    </dxf>
    <dxf>
      <font>
        <color theme="1"/>
      </font>
      <fill>
        <patternFill>
          <bgColor rgb="FF10131E"/>
        </patternFill>
      </fill>
      <border diagonalUp="0" diagonalDown="0">
        <left/>
        <right/>
        <top/>
        <bottom/>
        <vertical/>
        <horizontal/>
      </border>
    </dxf>
  </dxfs>
  <tableStyles count="4" defaultTableStyle="TableStyleMedium2" defaultPivotStyle="PivotStyleLight16">
    <tableStyle name="SlicerStyleLight1 2" pivot="0" table="0" count="10" xr9:uid="{FD4B6815-8782-4308-BD81-6AAF1E80191E}">
      <tableStyleElement type="wholeTable" dxfId="16"/>
      <tableStyleElement type="headerRow" dxfId="15"/>
    </tableStyle>
    <tableStyle name="SlicerStyleLight1 2 2" pivot="0" table="0" count="10" xr9:uid="{1F3EA052-32FC-40A2-9567-F3C5A9DD96FE}">
      <tableStyleElement type="wholeTable" dxfId="14"/>
      <tableStyleElement type="headerRow" dxfId="13"/>
    </tableStyle>
    <tableStyle name="SlicerStyleLight1 2 2 2" pivot="0" table="0" count="10" xr9:uid="{1A2F1E6A-44B7-4755-B0BA-885CF56EF808}">
      <tableStyleElement type="wholeTable" dxfId="12"/>
      <tableStyleElement type="headerRow" dxfId="11"/>
    </tableStyle>
    <tableStyle name="SlicerStyleLight1 2 2 2 2" pivot="0" table="0" count="10" xr9:uid="{6CDF5B30-0C23-41D5-838A-5037E95081BE}">
      <tableStyleElement type="wholeTable" dxfId="10"/>
      <tableStyleElement type="headerRow" dxfId="9"/>
    </tableStyle>
  </tableStyles>
  <colors>
    <mruColors>
      <color rgb="FF3DD381"/>
      <color rgb="FFFFF2A7"/>
      <color rgb="FFFFF9D5"/>
      <color rgb="FFC0A500"/>
      <color rgb="FF3CD964"/>
      <color rgb="FFD50559"/>
      <color rgb="FFFA2A7F"/>
      <color rgb="FF94632A"/>
      <color rgb="FF724D20"/>
      <color rgb="FFBF8137"/>
    </mruColors>
  </colors>
  <extLst>
    <ext xmlns:x14="http://schemas.microsoft.com/office/spreadsheetml/2009/9/main" uri="{46F421CA-312F-682f-3DD2-61675219B42D}">
      <x14:dxfs count="32">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auto="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9"/>
            <color theme="1"/>
          </font>
          <fill>
            <patternFill patternType="solid">
              <fgColor theme="4" tint="0.59999389629810485"/>
              <bgColor theme="0"/>
            </patternFill>
          </fill>
          <border diagonalUp="0" diagonalDown="0">
            <left/>
            <right/>
            <top/>
            <bottom/>
            <vertical/>
            <horizontal/>
          </border>
        </dxf>
        <dxf>
          <font>
            <sz val="11"/>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9"/>
            <color theme="0" tint="-0.24994659260841701"/>
          </font>
          <fill>
            <patternFill patternType="solid">
              <fgColor rgb="FFFFFFFF"/>
              <bgColor theme="0"/>
            </patternFill>
          </fill>
          <border diagonalUp="0" diagonalDown="0">
            <left/>
            <right/>
            <top/>
            <bottom/>
            <vertical/>
            <horizontal/>
          </border>
        </dxf>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1"/>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auto="1"/>
          </font>
          <fill>
            <patternFill patternType="solid">
              <fgColor theme="4" tint="0.59999389629810485"/>
              <bgColor theme="0"/>
            </patternFill>
          </fill>
          <border diagonalUp="0" diagonalDown="0">
            <left/>
            <right/>
            <top/>
            <bottom/>
            <vertical/>
            <horizontal/>
          </border>
        </dxf>
        <dxf>
          <font>
            <sz val="11"/>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9"/>
            <color theme="0" tint="-0.24994659260841701"/>
          </font>
          <fill>
            <patternFill patternType="solid">
              <fgColor rgb="FFFFFFFF"/>
              <bgColor theme="0"/>
            </patternFill>
          </fill>
          <border diagonalUp="0" diagonalDown="0">
            <left/>
            <right/>
            <top/>
            <bottom/>
            <vertical/>
            <horizontal/>
          </border>
        </dxf>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1"/>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patternFill patternType="solid">
              <fgColor theme="4" tint="0.59999389629810485"/>
              <bgColor rgb="FF10131E"/>
            </patternFill>
          </fill>
          <border diagonalUp="0" diagonalDown="0">
            <left/>
            <right/>
            <top/>
            <bottom/>
            <vertical/>
            <horizontal/>
          </border>
        </dxf>
        <dxf>
          <font>
            <sz val="11"/>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9"/>
            <color theme="1" tint="0.34998626667073579"/>
          </font>
          <fill>
            <patternFill patternType="solid">
              <fgColor rgb="FFFFFFFF"/>
              <bgColor rgb="FF10131E"/>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patternFill patternType="solid">
              <fgColor theme="4" tint="0.59999389629810485"/>
              <bgColor rgb="FF10131E"/>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9"/>
            <color theme="1" tint="0.34998626667073579"/>
          </font>
          <fill>
            <patternFill patternType="solid">
              <fgColor rgb="FFFFFFFF"/>
              <bgColor rgb="FF10131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rgbClr val="FFDB04"/>
                  </a:gs>
                  <a:gs pos="100000">
                    <a:srgbClr val="FF7B21"/>
                  </a:gs>
                </a:gsLst>
                <a:lin ang="2700000" scaled="1"/>
                <a:tileRect/>
              </a:gradFill>
              <a:ln w="19050">
                <a:noFill/>
              </a:ln>
              <a:effectLst/>
            </c:spPr>
            <c:extLst>
              <c:ext xmlns:c16="http://schemas.microsoft.com/office/drawing/2014/chart" uri="{C3380CC4-5D6E-409C-BE32-E72D297353CC}">
                <c16:uniqueId val="{00000001-319B-4EA5-9A66-BD0C4FC2C5F6}"/>
              </c:ext>
            </c:extLst>
          </c:dPt>
          <c:dPt>
            <c:idx val="1"/>
            <c:bubble3D val="0"/>
            <c:spPr>
              <a:solidFill>
                <a:schemeClr val="bg1"/>
              </a:solidFill>
              <a:ln w="19050">
                <a:noFill/>
              </a:ln>
              <a:effectLst/>
            </c:spPr>
            <c:extLst>
              <c:ext xmlns:c16="http://schemas.microsoft.com/office/drawing/2014/chart" uri="{C3380CC4-5D6E-409C-BE32-E72D297353CC}">
                <c16:uniqueId val="{00000003-319B-4EA5-9A66-BD0C4FC2C5F6}"/>
              </c:ext>
            </c:extLst>
          </c:dPt>
          <c:dPt>
            <c:idx val="2"/>
            <c:bubble3D val="0"/>
            <c:spPr>
              <a:gradFill>
                <a:gsLst>
                  <a:gs pos="0">
                    <a:srgbClr val="FFDB04"/>
                  </a:gs>
                  <a:gs pos="100000">
                    <a:srgbClr val="FF7B21"/>
                  </a:gs>
                </a:gsLst>
                <a:lin ang="2700000" scaled="1"/>
              </a:gradFill>
              <a:ln w="19050">
                <a:noFill/>
              </a:ln>
              <a:effectLst/>
            </c:spPr>
            <c:extLst>
              <c:ext xmlns:c16="http://schemas.microsoft.com/office/drawing/2014/chart" uri="{C3380CC4-5D6E-409C-BE32-E72D297353CC}">
                <c16:uniqueId val="{00000005-D40B-4530-A7BB-853FCE427889}"/>
              </c:ext>
            </c:extLst>
          </c:dPt>
          <c:dPt>
            <c:idx val="3"/>
            <c:bubble3D val="0"/>
            <c:spPr>
              <a:solidFill>
                <a:srgbClr val="FF9855">
                  <a:alpha val="10000"/>
                </a:srgbClr>
              </a:solidFill>
              <a:ln w="19050">
                <a:noFill/>
              </a:ln>
              <a:effectLst/>
            </c:spPr>
            <c:extLst>
              <c:ext xmlns:c16="http://schemas.microsoft.com/office/drawing/2014/chart" uri="{C3380CC4-5D6E-409C-BE32-E72D297353CC}">
                <c16:uniqueId val="{00000007-49E0-4809-ADB5-4D3810EC68C6}"/>
              </c:ext>
            </c:extLst>
          </c:dPt>
          <c:val>
            <c:numRef>
              <c:f>Processing!$B$4:$E$4</c:f>
              <c:numCache>
                <c:formatCode>0%</c:formatCode>
                <c:ptCount val="4"/>
                <c:pt idx="0">
                  <c:v>0.88833333333333353</c:v>
                </c:pt>
                <c:pt idx="1">
                  <c:v>0</c:v>
                </c:pt>
                <c:pt idx="2">
                  <c:v>0</c:v>
                </c:pt>
                <c:pt idx="3" formatCode="0.0%">
                  <c:v>0.11166666666666647</c:v>
                </c:pt>
              </c:numCache>
            </c:numRef>
          </c:val>
          <c:extLst>
            <c:ext xmlns:c16="http://schemas.microsoft.com/office/drawing/2014/chart" uri="{C3380CC4-5D6E-409C-BE32-E72D297353CC}">
              <c16:uniqueId val="{00000004-319B-4EA5-9A66-BD0C4FC2C5F6}"/>
            </c:ext>
          </c:extLst>
        </c:ser>
        <c:dLbls>
          <c:showLegendKey val="0"/>
          <c:showVal val="0"/>
          <c:showCatName val="0"/>
          <c:showSerName val="0"/>
          <c:showPercent val="0"/>
          <c:showBubbleSize val="0"/>
          <c:showLeaderLines val="1"/>
        </c:dLbls>
        <c:firstSliceAng val="9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rgbClr val="A868FA"/>
                  </a:gs>
                  <a:gs pos="100000">
                    <a:srgbClr val="6469FF"/>
                  </a:gs>
                </a:gsLst>
                <a:lin ang="2700000" scaled="1"/>
                <a:tileRect/>
              </a:gradFill>
              <a:ln w="19050">
                <a:noFill/>
              </a:ln>
              <a:effectLst/>
            </c:spPr>
            <c:extLst>
              <c:ext xmlns:c16="http://schemas.microsoft.com/office/drawing/2014/chart" uri="{C3380CC4-5D6E-409C-BE32-E72D297353CC}">
                <c16:uniqueId val="{00000001-A3D0-42C4-BD98-E60BF1C5FEC8}"/>
              </c:ext>
            </c:extLst>
          </c:dPt>
          <c:dPt>
            <c:idx val="1"/>
            <c:bubble3D val="0"/>
            <c:spPr>
              <a:solidFill>
                <a:schemeClr val="bg1"/>
              </a:solidFill>
              <a:ln>
                <a:noFill/>
              </a:ln>
            </c:spPr>
            <c:extLst>
              <c:ext xmlns:c16="http://schemas.microsoft.com/office/drawing/2014/chart" uri="{C3380CC4-5D6E-409C-BE32-E72D297353CC}">
                <c16:uniqueId val="{00000003-A3D0-42C4-BD98-E60BF1C5FEC8}"/>
              </c:ext>
            </c:extLst>
          </c:dPt>
          <c:dPt>
            <c:idx val="2"/>
            <c:bubble3D val="0"/>
            <c:spPr>
              <a:gradFill>
                <a:gsLst>
                  <a:gs pos="0">
                    <a:srgbClr val="A868FA"/>
                  </a:gs>
                  <a:gs pos="100000">
                    <a:srgbClr val="6469FF"/>
                  </a:gs>
                </a:gsLst>
                <a:lin ang="2700000" scaled="1"/>
              </a:gradFill>
              <a:ln>
                <a:noFill/>
              </a:ln>
            </c:spPr>
            <c:extLst>
              <c:ext xmlns:c16="http://schemas.microsoft.com/office/drawing/2014/chart" uri="{C3380CC4-5D6E-409C-BE32-E72D297353CC}">
                <c16:uniqueId val="{00000005-BF97-4226-BD56-A78F6800FE4A}"/>
              </c:ext>
            </c:extLst>
          </c:dPt>
          <c:dPt>
            <c:idx val="3"/>
            <c:bubble3D val="0"/>
            <c:spPr>
              <a:solidFill>
                <a:srgbClr val="A868FA">
                  <a:alpha val="10000"/>
                </a:srgbClr>
              </a:solidFill>
              <a:ln w="19050">
                <a:noFill/>
              </a:ln>
              <a:effectLst/>
            </c:spPr>
            <c:extLst>
              <c:ext xmlns:c16="http://schemas.microsoft.com/office/drawing/2014/chart" uri="{C3380CC4-5D6E-409C-BE32-E72D297353CC}">
                <c16:uniqueId val="{00000007-3009-47A5-A99B-0A9633FA9F05}"/>
              </c:ext>
            </c:extLst>
          </c:dPt>
          <c:val>
            <c:numRef>
              <c:f>Processing!$B$6:$E$6</c:f>
              <c:numCache>
                <c:formatCode>0%</c:formatCode>
                <c:ptCount val="4"/>
                <c:pt idx="0">
                  <c:v>0.65083333333333337</c:v>
                </c:pt>
                <c:pt idx="1">
                  <c:v>0</c:v>
                </c:pt>
                <c:pt idx="2">
                  <c:v>0</c:v>
                </c:pt>
                <c:pt idx="3" formatCode="0.0%">
                  <c:v>0.34916666666666663</c:v>
                </c:pt>
              </c:numCache>
            </c:numRef>
          </c:val>
          <c:extLst>
            <c:ext xmlns:c16="http://schemas.microsoft.com/office/drawing/2014/chart" uri="{C3380CC4-5D6E-409C-BE32-E72D297353CC}">
              <c16:uniqueId val="{00000004-A3D0-42C4-BD98-E60BF1C5FEC8}"/>
            </c:ext>
          </c:extLst>
        </c:ser>
        <c:dLbls>
          <c:showLegendKey val="0"/>
          <c:showVal val="0"/>
          <c:showCatName val="0"/>
          <c:showSerName val="0"/>
          <c:showPercent val="0"/>
          <c:showBubbleSize val="0"/>
          <c:showLeaderLines val="1"/>
        </c:dLbls>
        <c:firstSliceAng val="90"/>
        <c:holeSize val="8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rgbClr val="29EBFC"/>
                  </a:gs>
                  <a:gs pos="100000">
                    <a:srgbClr val="2596FF"/>
                  </a:gs>
                </a:gsLst>
                <a:lin ang="2700000" scaled="1"/>
                <a:tileRect/>
              </a:gradFill>
              <a:ln w="19050">
                <a:noFill/>
              </a:ln>
              <a:effectLst/>
            </c:spPr>
            <c:extLst>
              <c:ext xmlns:c16="http://schemas.microsoft.com/office/drawing/2014/chart" uri="{C3380CC4-5D6E-409C-BE32-E72D297353CC}">
                <c16:uniqueId val="{00000001-9E04-4459-8FB5-65A69B395756}"/>
              </c:ext>
            </c:extLst>
          </c:dPt>
          <c:dPt>
            <c:idx val="1"/>
            <c:bubble3D val="0"/>
            <c:spPr>
              <a:solidFill>
                <a:schemeClr val="bg1"/>
              </a:solidFill>
              <a:ln>
                <a:noFill/>
              </a:ln>
            </c:spPr>
            <c:extLst>
              <c:ext xmlns:c16="http://schemas.microsoft.com/office/drawing/2014/chart" uri="{C3380CC4-5D6E-409C-BE32-E72D297353CC}">
                <c16:uniqueId val="{00000003-9E04-4459-8FB5-65A69B395756}"/>
              </c:ext>
            </c:extLst>
          </c:dPt>
          <c:dPt>
            <c:idx val="2"/>
            <c:bubble3D val="0"/>
            <c:spPr>
              <a:gradFill>
                <a:gsLst>
                  <a:gs pos="0">
                    <a:srgbClr val="29EBFC"/>
                  </a:gs>
                  <a:gs pos="100000">
                    <a:srgbClr val="2596FF"/>
                  </a:gs>
                </a:gsLst>
                <a:lin ang="2700000" scaled="1"/>
              </a:gradFill>
              <a:ln>
                <a:noFill/>
              </a:ln>
            </c:spPr>
            <c:extLst>
              <c:ext xmlns:c16="http://schemas.microsoft.com/office/drawing/2014/chart" uri="{C3380CC4-5D6E-409C-BE32-E72D297353CC}">
                <c16:uniqueId val="{00000004-0C01-4D8C-A393-2AF632A7733E}"/>
              </c:ext>
            </c:extLst>
          </c:dPt>
          <c:dPt>
            <c:idx val="3"/>
            <c:bubble3D val="0"/>
            <c:spPr>
              <a:solidFill>
                <a:srgbClr val="2596FF">
                  <a:alpha val="10000"/>
                </a:srgbClr>
              </a:solidFill>
              <a:ln w="19050">
                <a:noFill/>
              </a:ln>
              <a:effectLst/>
            </c:spPr>
            <c:extLst>
              <c:ext xmlns:c16="http://schemas.microsoft.com/office/drawing/2014/chart" uri="{C3380CC4-5D6E-409C-BE32-E72D297353CC}">
                <c16:uniqueId val="{00000007-5DC1-4A3A-ABE0-7167C1C53094}"/>
              </c:ext>
            </c:extLst>
          </c:dPt>
          <c:val>
            <c:numRef>
              <c:f>Processing!$B$8:$E$8</c:f>
              <c:numCache>
                <c:formatCode>0%</c:formatCode>
                <c:ptCount val="4"/>
                <c:pt idx="0">
                  <c:v>0.59500000000000008</c:v>
                </c:pt>
                <c:pt idx="1">
                  <c:v>0</c:v>
                </c:pt>
                <c:pt idx="2">
                  <c:v>0</c:v>
                </c:pt>
                <c:pt idx="3" formatCode="0.0%">
                  <c:v>0.40499999999999992</c:v>
                </c:pt>
              </c:numCache>
            </c:numRef>
          </c:val>
          <c:extLst>
            <c:ext xmlns:c16="http://schemas.microsoft.com/office/drawing/2014/chart" uri="{C3380CC4-5D6E-409C-BE32-E72D297353CC}">
              <c16:uniqueId val="{00000004-9E04-4459-8FB5-65A69B395756}"/>
            </c:ext>
          </c:extLst>
        </c:ser>
        <c:dLbls>
          <c:showLegendKey val="0"/>
          <c:showVal val="0"/>
          <c:showCatName val="0"/>
          <c:showSerName val="0"/>
          <c:showPercent val="0"/>
          <c:showBubbleSize val="0"/>
          <c:showLeaderLines val="1"/>
        </c:dLbls>
        <c:firstSliceAng val="90"/>
        <c:holeSize val="8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rgbClr val="8F4AE5"/>
                  </a:gs>
                  <a:gs pos="100000">
                    <a:srgbClr val="FA2A7F"/>
                  </a:gs>
                </a:gsLst>
                <a:lin ang="2700000" scaled="1"/>
                <a:tileRect/>
              </a:gradFill>
              <a:ln w="19050">
                <a:noFill/>
              </a:ln>
              <a:effectLst/>
            </c:spPr>
            <c:extLst>
              <c:ext xmlns:c16="http://schemas.microsoft.com/office/drawing/2014/chart" uri="{C3380CC4-5D6E-409C-BE32-E72D297353CC}">
                <c16:uniqueId val="{00000001-F179-40E2-8312-18F4710A8EA3}"/>
              </c:ext>
            </c:extLst>
          </c:dPt>
          <c:dPt>
            <c:idx val="1"/>
            <c:bubble3D val="0"/>
            <c:spPr>
              <a:solidFill>
                <a:schemeClr val="bg1"/>
              </a:solidFill>
              <a:ln>
                <a:noFill/>
              </a:ln>
            </c:spPr>
            <c:extLst>
              <c:ext xmlns:c16="http://schemas.microsoft.com/office/drawing/2014/chart" uri="{C3380CC4-5D6E-409C-BE32-E72D297353CC}">
                <c16:uniqueId val="{00000003-F179-40E2-8312-18F4710A8EA3}"/>
              </c:ext>
            </c:extLst>
          </c:dPt>
          <c:dPt>
            <c:idx val="2"/>
            <c:bubble3D val="0"/>
            <c:spPr>
              <a:gradFill>
                <a:gsLst>
                  <a:gs pos="0">
                    <a:srgbClr val="8F4AE5"/>
                  </a:gs>
                  <a:gs pos="100000">
                    <a:srgbClr val="FA2A7F"/>
                  </a:gs>
                </a:gsLst>
                <a:lin ang="2700000" scaled="1"/>
              </a:gradFill>
              <a:ln>
                <a:noFill/>
              </a:ln>
            </c:spPr>
            <c:extLst>
              <c:ext xmlns:c16="http://schemas.microsoft.com/office/drawing/2014/chart" uri="{C3380CC4-5D6E-409C-BE32-E72D297353CC}">
                <c16:uniqueId val="{00000004-7FEA-4B59-950B-AAA420555CD0}"/>
              </c:ext>
            </c:extLst>
          </c:dPt>
          <c:dPt>
            <c:idx val="3"/>
            <c:bubble3D val="0"/>
            <c:spPr>
              <a:solidFill>
                <a:srgbClr val="8F4AE5">
                  <a:alpha val="10000"/>
                </a:srgbClr>
              </a:solidFill>
              <a:ln w="19050">
                <a:noFill/>
              </a:ln>
              <a:effectLst/>
            </c:spPr>
            <c:extLst>
              <c:ext xmlns:c16="http://schemas.microsoft.com/office/drawing/2014/chart" uri="{C3380CC4-5D6E-409C-BE32-E72D297353CC}">
                <c16:uniqueId val="{00000007-82BC-49AA-AED3-870BED4578E0}"/>
              </c:ext>
            </c:extLst>
          </c:dPt>
          <c:val>
            <c:numRef>
              <c:f>Processing!$B$10:$E$10</c:f>
              <c:numCache>
                <c:formatCode>0%</c:formatCode>
                <c:ptCount val="4"/>
                <c:pt idx="0">
                  <c:v>0.6349999999999999</c:v>
                </c:pt>
                <c:pt idx="1">
                  <c:v>0</c:v>
                </c:pt>
                <c:pt idx="2">
                  <c:v>0</c:v>
                </c:pt>
                <c:pt idx="3" formatCode="0.0%">
                  <c:v>0.3650000000000001</c:v>
                </c:pt>
              </c:numCache>
            </c:numRef>
          </c:val>
          <c:extLst>
            <c:ext xmlns:c16="http://schemas.microsoft.com/office/drawing/2014/chart" uri="{C3380CC4-5D6E-409C-BE32-E72D297353CC}">
              <c16:uniqueId val="{00000004-F179-40E2-8312-18F4710A8EA3}"/>
            </c:ext>
          </c:extLst>
        </c:ser>
        <c:dLbls>
          <c:showLegendKey val="0"/>
          <c:showVal val="0"/>
          <c:showCatName val="0"/>
          <c:showSerName val="0"/>
          <c:showPercent val="0"/>
          <c:showBubbleSize val="0"/>
          <c:showLeaderLines val="1"/>
        </c:dLbls>
        <c:firstSliceAng val="90"/>
        <c:holeSize val="8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rgbClr val="8F4AE5"/>
                  </a:gs>
                  <a:gs pos="100000">
                    <a:srgbClr val="FA2A7F"/>
                  </a:gs>
                </a:gsLst>
                <a:lin ang="2700000" scaled="1"/>
                <a:tileRect/>
              </a:gradFill>
              <a:ln w="19050">
                <a:noFill/>
              </a:ln>
              <a:effectLst/>
            </c:spPr>
            <c:extLst>
              <c:ext xmlns:c16="http://schemas.microsoft.com/office/drawing/2014/chart" uri="{C3380CC4-5D6E-409C-BE32-E72D297353CC}">
                <c16:uniqueId val="{0000000E-2C56-40B5-9DB5-FCDBB837840F}"/>
              </c:ext>
            </c:extLst>
          </c:dPt>
          <c:dPt>
            <c:idx val="1"/>
            <c:bubble3D val="0"/>
            <c:spPr>
              <a:solidFill>
                <a:schemeClr val="bg1"/>
              </a:solidFill>
              <a:ln>
                <a:noFill/>
              </a:ln>
            </c:spPr>
            <c:extLst>
              <c:ext xmlns:c16="http://schemas.microsoft.com/office/drawing/2014/chart" uri="{C3380CC4-5D6E-409C-BE32-E72D297353CC}">
                <c16:uniqueId val="{00000010-2C56-40B5-9DB5-FCDBB837840F}"/>
              </c:ext>
            </c:extLst>
          </c:dPt>
          <c:dPt>
            <c:idx val="2"/>
            <c:bubble3D val="0"/>
            <c:spPr>
              <a:gradFill>
                <a:gsLst>
                  <a:gs pos="0">
                    <a:srgbClr val="8F4AE5"/>
                  </a:gs>
                  <a:gs pos="100000">
                    <a:srgbClr val="FA2A7F"/>
                  </a:gs>
                </a:gsLst>
                <a:lin ang="2700000" scaled="1"/>
              </a:gradFill>
              <a:ln>
                <a:noFill/>
              </a:ln>
            </c:spPr>
            <c:extLst>
              <c:ext xmlns:c16="http://schemas.microsoft.com/office/drawing/2014/chart" uri="{C3380CC4-5D6E-409C-BE32-E72D297353CC}">
                <c16:uniqueId val="{00000012-2C56-40B5-9DB5-FCDBB837840F}"/>
              </c:ext>
            </c:extLst>
          </c:dPt>
          <c:dPt>
            <c:idx val="3"/>
            <c:bubble3D val="0"/>
            <c:spPr>
              <a:solidFill>
                <a:srgbClr val="8F4AE5">
                  <a:alpha val="10000"/>
                </a:srgbClr>
              </a:solidFill>
              <a:ln w="19050">
                <a:noFill/>
              </a:ln>
              <a:effectLst/>
            </c:spPr>
            <c:extLst>
              <c:ext xmlns:c16="http://schemas.microsoft.com/office/drawing/2014/chart" uri="{C3380CC4-5D6E-409C-BE32-E72D297353CC}">
                <c16:uniqueId val="{00000014-2C56-40B5-9DB5-FCDBB837840F}"/>
              </c:ext>
            </c:extLst>
          </c:dPt>
          <c:val>
            <c:numRef>
              <c:f>Processing!$H$4:$K$4</c:f>
              <c:numCache>
                <c:formatCode>0%</c:formatCode>
                <c:ptCount val="4"/>
                <c:pt idx="0">
                  <c:v>0.89958333333333329</c:v>
                </c:pt>
                <c:pt idx="1">
                  <c:v>0</c:v>
                </c:pt>
                <c:pt idx="2">
                  <c:v>0</c:v>
                </c:pt>
                <c:pt idx="3" formatCode="0.0%">
                  <c:v>0.10041666666666671</c:v>
                </c:pt>
              </c:numCache>
            </c:numRef>
          </c:val>
          <c:extLst>
            <c:ext xmlns:c16="http://schemas.microsoft.com/office/drawing/2014/chart" uri="{C3380CC4-5D6E-409C-BE32-E72D297353CC}">
              <c16:uniqueId val="{00000015-2C56-40B5-9DB5-FCDBB837840F}"/>
            </c:ext>
          </c:extLst>
        </c:ser>
        <c:dLbls>
          <c:showLegendKey val="0"/>
          <c:showVal val="0"/>
          <c:showCatName val="0"/>
          <c:showSerName val="0"/>
          <c:showPercent val="0"/>
          <c:showBubbleSize val="0"/>
          <c:showLeaderLines val="1"/>
        </c:dLbls>
        <c:firstSliceAng val="90"/>
        <c:holeSize val="8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A1FF21"/>
                  </a:gs>
                  <a:gs pos="100000">
                    <a:srgbClr val="2596FF"/>
                  </a:gs>
                </a:gsLst>
                <a:lin ang="2700000" scaled="1"/>
              </a:gradFill>
            </c:spPr>
            <c:extLst>
              <c:ext xmlns:c16="http://schemas.microsoft.com/office/drawing/2014/chart" uri="{C3380CC4-5D6E-409C-BE32-E72D297353CC}">
                <c16:uniqueId val="{00000001-F179-40E2-8312-18F4710A8EA3}"/>
              </c:ext>
            </c:extLst>
          </c:dPt>
          <c:dPt>
            <c:idx val="1"/>
            <c:bubble3D val="0"/>
            <c:spPr>
              <a:gradFill>
                <a:gsLst>
                  <a:gs pos="0">
                    <a:srgbClr val="8F4AE5"/>
                  </a:gs>
                  <a:gs pos="100000">
                    <a:srgbClr val="FA2A7F"/>
                  </a:gs>
                </a:gsLst>
                <a:lin ang="2700000" scaled="1"/>
              </a:gradFill>
            </c:spPr>
            <c:extLst>
              <c:ext xmlns:c16="http://schemas.microsoft.com/office/drawing/2014/chart" uri="{C3380CC4-5D6E-409C-BE32-E72D297353CC}">
                <c16:uniqueId val="{00000003-F179-40E2-8312-18F4710A8EA3}"/>
              </c:ext>
            </c:extLst>
          </c:dPt>
          <c:val>
            <c:numRef>
              <c:f>Processing!$G$8:$H$8</c:f>
              <c:numCache>
                <c:formatCode>0%</c:formatCode>
                <c:ptCount val="2"/>
                <c:pt idx="0">
                  <c:v>0.68151177994274115</c:v>
                </c:pt>
                <c:pt idx="1">
                  <c:v>0.31848822005725885</c:v>
                </c:pt>
              </c:numCache>
            </c:numRef>
          </c:val>
          <c:extLst>
            <c:ext xmlns:c16="http://schemas.microsoft.com/office/drawing/2014/chart" uri="{C3380CC4-5D6E-409C-BE32-E72D297353CC}">
              <c16:uniqueId val="{00000004-F179-40E2-8312-18F4710A8EA3}"/>
            </c:ext>
          </c:extLst>
        </c:ser>
        <c:dLbls>
          <c:showLegendKey val="0"/>
          <c:showVal val="0"/>
          <c:showCatName val="0"/>
          <c:showSerName val="0"/>
          <c:showPercent val="0"/>
          <c:showBubbleSize val="0"/>
          <c:showLeaderLines val="1"/>
        </c:dLbls>
        <c:firstSliceAng val="270"/>
        <c:holeSize val="8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5875" cap="rnd">
              <a:gradFill>
                <a:gsLst>
                  <a:gs pos="0">
                    <a:srgbClr val="FA2A7F"/>
                  </a:gs>
                  <a:gs pos="100000">
                    <a:srgbClr val="8F4AE5"/>
                  </a:gs>
                </a:gsLst>
                <a:lin ang="5400000" scaled="1"/>
              </a:gradFill>
              <a:round/>
            </a:ln>
            <a:effectLst/>
          </c:spPr>
          <c:marker>
            <c:symbol val="none"/>
          </c:marker>
          <c:cat>
            <c:strRef>
              <c:f>Processing!$B$14:$B$25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Processing!$C$14:$C$25</c:f>
              <c:numCache>
                <c:formatCode>General</c:formatCode>
                <c:ptCount val="12"/>
                <c:pt idx="0">
                  <c:v>30021</c:v>
                </c:pt>
                <c:pt idx="1">
                  <c:v>28214</c:v>
                </c:pt>
                <c:pt idx="2">
                  <c:v>23473</c:v>
                </c:pt>
                <c:pt idx="3">
                  <c:v>25280</c:v>
                </c:pt>
                <c:pt idx="4">
                  <c:v>28374</c:v>
                </c:pt>
                <c:pt idx="5">
                  <c:v>26823</c:v>
                </c:pt>
                <c:pt idx="6">
                  <c:v>32871</c:v>
                </c:pt>
                <c:pt idx="7">
                  <c:v>25108</c:v>
                </c:pt>
                <c:pt idx="8">
                  <c:v>28741</c:v>
                </c:pt>
                <c:pt idx="9">
                  <c:v>25964</c:v>
                </c:pt>
                <c:pt idx="10">
                  <c:v>29363</c:v>
                </c:pt>
                <c:pt idx="11">
                  <c:v>26430</c:v>
                </c:pt>
              </c:numCache>
            </c:numRef>
          </c:val>
          <c:smooth val="1"/>
          <c:extLst>
            <c:ext xmlns:c16="http://schemas.microsoft.com/office/drawing/2014/chart" uri="{C3380CC4-5D6E-409C-BE32-E72D297353CC}">
              <c16:uniqueId val="{00000000-6662-4B18-B29B-291DE376B9B3}"/>
            </c:ext>
          </c:extLst>
        </c:ser>
        <c:dLbls>
          <c:showLegendKey val="0"/>
          <c:showVal val="0"/>
          <c:showCatName val="0"/>
          <c:showSerName val="0"/>
          <c:showPercent val="0"/>
          <c:showBubbleSize val="0"/>
        </c:dLbls>
        <c:marker val="1"/>
        <c:smooth val="0"/>
        <c:axId val="107382720"/>
        <c:axId val="107383680"/>
      </c:lineChart>
      <c:scatterChart>
        <c:scatterStyle val="lineMarker"/>
        <c:varyColors val="0"/>
        <c:ser>
          <c:idx val="1"/>
          <c:order val="1"/>
          <c:tx>
            <c:v>mark</c:v>
          </c:tx>
          <c:spPr>
            <a:ln w="25400" cap="rnd">
              <a:noFill/>
              <a:round/>
            </a:ln>
            <a:effectLst>
              <a:glow rad="63500">
                <a:schemeClr val="bg1">
                  <a:alpha val="40000"/>
                </a:schemeClr>
              </a:glow>
            </a:effectLst>
          </c:spPr>
          <c:marker>
            <c:symbol val="circle"/>
            <c:size val="5"/>
            <c:spPr>
              <a:solidFill>
                <a:schemeClr val="tx1"/>
              </a:solidFill>
              <a:ln w="12700">
                <a:solidFill>
                  <a:schemeClr val="bg1"/>
                </a:solidFill>
              </a:ln>
              <a:effectLst>
                <a:glow rad="63500">
                  <a:schemeClr val="bg1">
                    <a:alpha val="40000"/>
                  </a:schemeClr>
                </a:glow>
              </a:effectLst>
            </c:spPr>
          </c:marker>
          <c:yVal>
            <c:numRef>
              <c:f>Processing!$D$14:$D$25</c:f>
              <c:numCache>
                <c:formatCode>General</c:formatCode>
                <c:ptCount val="12"/>
                <c:pt idx="0">
                  <c:v>#N/A</c:v>
                </c:pt>
                <c:pt idx="1">
                  <c:v>#N/A</c:v>
                </c:pt>
                <c:pt idx="2">
                  <c:v>#N/A</c:v>
                </c:pt>
                <c:pt idx="3">
                  <c:v>25280</c:v>
                </c:pt>
                <c:pt idx="4">
                  <c:v>28374</c:v>
                </c:pt>
                <c:pt idx="5">
                  <c:v>26823</c:v>
                </c:pt>
                <c:pt idx="6">
                  <c:v>32871</c:v>
                </c:pt>
                <c:pt idx="7">
                  <c:v>25108</c:v>
                </c:pt>
                <c:pt idx="8">
                  <c:v>28741</c:v>
                </c:pt>
                <c:pt idx="9">
                  <c:v>#N/A</c:v>
                </c:pt>
                <c:pt idx="10">
                  <c:v>#N/A</c:v>
                </c:pt>
                <c:pt idx="11">
                  <c:v>#N/A</c:v>
                </c:pt>
              </c:numCache>
            </c:numRef>
          </c:yVal>
          <c:smooth val="0"/>
          <c:extLst>
            <c:ext xmlns:c16="http://schemas.microsoft.com/office/drawing/2014/chart" uri="{C3380CC4-5D6E-409C-BE32-E72D297353CC}">
              <c16:uniqueId val="{00000001-6662-4B18-B29B-291DE376B9B3}"/>
            </c:ext>
          </c:extLst>
        </c:ser>
        <c:dLbls>
          <c:showLegendKey val="0"/>
          <c:showVal val="0"/>
          <c:showCatName val="0"/>
          <c:showSerName val="0"/>
          <c:showPercent val="0"/>
          <c:showBubbleSize val="0"/>
        </c:dLbls>
        <c:axId val="514770016"/>
        <c:axId val="514769056"/>
      </c:scatterChart>
      <c:catAx>
        <c:axId val="107382720"/>
        <c:scaling>
          <c:orientation val="minMax"/>
        </c:scaling>
        <c:delete val="0"/>
        <c:axPos val="b"/>
        <c:majorGridlines>
          <c:spPr>
            <a:ln w="9525" cap="flat" cmpd="sng" algn="ctr">
              <a:solidFill>
                <a:schemeClr val="tx1">
                  <a:lumMod val="85000"/>
                  <a:lumOff val="15000"/>
                </a:schemeClr>
              </a:solidFill>
              <a:round/>
            </a:ln>
            <a:effectLst/>
          </c:spPr>
        </c:majorGridlines>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800" b="0" i="0" u="none" strike="noStrike" kern="1200" baseline="0">
                <a:solidFill>
                  <a:schemeClr val="bg1">
                    <a:lumMod val="85000"/>
                  </a:schemeClr>
                </a:solidFill>
                <a:latin typeface="+mn-lt"/>
                <a:ea typeface="+mn-ea"/>
                <a:cs typeface="+mn-cs"/>
              </a:defRPr>
            </a:pPr>
            <a:endParaRPr lang="ru-RU"/>
          </a:p>
        </c:txPr>
        <c:crossAx val="107383680"/>
        <c:crosses val="autoZero"/>
        <c:auto val="1"/>
        <c:lblAlgn val="ctr"/>
        <c:lblOffset val="100"/>
        <c:noMultiLvlLbl val="0"/>
      </c:catAx>
      <c:valAx>
        <c:axId val="107383680"/>
        <c:scaling>
          <c:orientation val="minMax"/>
        </c:scaling>
        <c:delete val="1"/>
        <c:axPos val="l"/>
        <c:majorGridlines>
          <c:spPr>
            <a:ln w="9525" cap="flat" cmpd="sng" algn="ctr">
              <a:solidFill>
                <a:schemeClr val="tx1">
                  <a:lumMod val="85000"/>
                  <a:lumOff val="15000"/>
                </a:schemeClr>
              </a:solidFill>
              <a:round/>
            </a:ln>
            <a:effectLst/>
          </c:spPr>
        </c:majorGridlines>
        <c:numFmt formatCode="General" sourceLinked="1"/>
        <c:majorTickMark val="none"/>
        <c:minorTickMark val="none"/>
        <c:tickLblPos val="nextTo"/>
        <c:crossAx val="107382720"/>
        <c:crosses val="autoZero"/>
        <c:crossBetween val="between"/>
      </c:valAx>
      <c:valAx>
        <c:axId val="5147690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ru-RU"/>
          </a:p>
        </c:txPr>
        <c:crossAx val="514770016"/>
        <c:crosses val="max"/>
        <c:crossBetween val="midCat"/>
      </c:valAx>
      <c:valAx>
        <c:axId val="514770016"/>
        <c:scaling>
          <c:orientation val="minMax"/>
        </c:scaling>
        <c:delete val="1"/>
        <c:axPos val="b"/>
        <c:majorTickMark val="out"/>
        <c:minorTickMark val="none"/>
        <c:tickLblPos val="nextTo"/>
        <c:crossAx val="5147690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Processing!$F$12</c:f>
          <c:strCache>
            <c:ptCount val="1"/>
            <c:pt idx="0">
              <c:v>Profit / Loss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ru-RU"/>
        </a:p>
      </c:txPr>
    </c:title>
    <c:autoTitleDeleted val="0"/>
    <c:plotArea>
      <c:layout>
        <c:manualLayout>
          <c:layoutTarget val="inner"/>
          <c:xMode val="edge"/>
          <c:yMode val="edge"/>
          <c:x val="2.4444444444444446E-2"/>
          <c:y val="0.19211536760152173"/>
          <c:w val="0.95111111111111113"/>
          <c:h val="0.73481170190804801"/>
        </c:manualLayout>
      </c:layout>
      <c:barChart>
        <c:barDir val="col"/>
        <c:grouping val="stacked"/>
        <c:varyColors val="0"/>
        <c:ser>
          <c:idx val="0"/>
          <c:order val="0"/>
          <c:tx>
            <c:strRef>
              <c:f>Processing!$H$13</c:f>
              <c:strCache>
                <c:ptCount val="1"/>
                <c:pt idx="0">
                  <c:v>indent1</c:v>
                </c:pt>
              </c:strCache>
            </c:strRef>
          </c:tx>
          <c:spPr>
            <a:solidFill>
              <a:srgbClr val="5B63FF"/>
            </a:solidFill>
            <a:ln>
              <a:noFill/>
            </a:ln>
            <a:effectLst/>
          </c:spPr>
          <c:invertIfNegative val="0"/>
          <c:val>
            <c:numRef>
              <c:f>Processing!$H$14:$H$25</c:f>
              <c:numCache>
                <c:formatCode>General</c:formatCode>
                <c:ptCount val="12"/>
                <c:pt idx="0">
                  <c:v>100</c:v>
                </c:pt>
                <c:pt idx="1">
                  <c:v>100</c:v>
                </c:pt>
                <c:pt idx="2">
                  <c:v>100</c:v>
                </c:pt>
                <c:pt idx="3">
                  <c:v>0</c:v>
                </c:pt>
                <c:pt idx="4">
                  <c:v>0</c:v>
                </c:pt>
                <c:pt idx="5">
                  <c:v>0</c:v>
                </c:pt>
                <c:pt idx="6">
                  <c:v>0</c:v>
                </c:pt>
                <c:pt idx="7">
                  <c:v>0</c:v>
                </c:pt>
                <c:pt idx="8">
                  <c:v>0</c:v>
                </c:pt>
                <c:pt idx="9">
                  <c:v>100</c:v>
                </c:pt>
                <c:pt idx="10">
                  <c:v>100</c:v>
                </c:pt>
                <c:pt idx="11">
                  <c:v>100</c:v>
                </c:pt>
              </c:numCache>
            </c:numRef>
          </c:val>
          <c:extLst>
            <c:ext xmlns:c16="http://schemas.microsoft.com/office/drawing/2014/chart" uri="{C3380CC4-5D6E-409C-BE32-E72D297353CC}">
              <c16:uniqueId val="{00000000-D548-42B8-8175-DAB5A00BEA73}"/>
            </c:ext>
          </c:extLst>
        </c:ser>
        <c:ser>
          <c:idx val="1"/>
          <c:order val="1"/>
          <c:tx>
            <c:strRef>
              <c:f>Processing!$I$13</c:f>
              <c:strCache>
                <c:ptCount val="1"/>
                <c:pt idx="0">
                  <c:v>profit</c:v>
                </c:pt>
              </c:strCache>
            </c:strRef>
          </c:tx>
          <c:spPr>
            <a:solidFill>
              <a:srgbClr val="5B63FF"/>
            </a:solidFill>
            <a:ln>
              <a:noFill/>
            </a:ln>
            <a:effectLst/>
          </c:spPr>
          <c:invertIfNegative val="0"/>
          <c:val>
            <c:numRef>
              <c:f>Processing!$I$14:$I$25</c:f>
              <c:numCache>
                <c:formatCode>General</c:formatCode>
                <c:ptCount val="12"/>
                <c:pt idx="0">
                  <c:v>1929</c:v>
                </c:pt>
                <c:pt idx="1">
                  <c:v>1033</c:v>
                </c:pt>
                <c:pt idx="2">
                  <c:v>2496</c:v>
                </c:pt>
                <c:pt idx="3">
                  <c:v>0</c:v>
                </c:pt>
                <c:pt idx="4">
                  <c:v>0</c:v>
                </c:pt>
                <c:pt idx="5">
                  <c:v>0</c:v>
                </c:pt>
                <c:pt idx="6">
                  <c:v>0</c:v>
                </c:pt>
                <c:pt idx="7">
                  <c:v>0</c:v>
                </c:pt>
                <c:pt idx="8">
                  <c:v>0</c:v>
                </c:pt>
                <c:pt idx="9">
                  <c:v>1565</c:v>
                </c:pt>
                <c:pt idx="10">
                  <c:v>2975</c:v>
                </c:pt>
                <c:pt idx="11">
                  <c:v>1019</c:v>
                </c:pt>
              </c:numCache>
            </c:numRef>
          </c:val>
          <c:extLst>
            <c:ext xmlns:c16="http://schemas.microsoft.com/office/drawing/2014/chart" uri="{C3380CC4-5D6E-409C-BE32-E72D297353CC}">
              <c16:uniqueId val="{00000001-D548-42B8-8175-DAB5A00BEA73}"/>
            </c:ext>
          </c:extLst>
        </c:ser>
        <c:ser>
          <c:idx val="2"/>
          <c:order val="2"/>
          <c:tx>
            <c:strRef>
              <c:f>Processing!$J$13</c:f>
              <c:strCache>
                <c:ptCount val="1"/>
                <c:pt idx="0">
                  <c:v>indent2</c:v>
                </c:pt>
              </c:strCache>
            </c:strRef>
          </c:tx>
          <c:spPr>
            <a:solidFill>
              <a:srgbClr val="8D4CE9"/>
            </a:solidFill>
            <a:ln>
              <a:noFill/>
            </a:ln>
            <a:effectLst/>
          </c:spPr>
          <c:invertIfNegative val="0"/>
          <c:val>
            <c:numRef>
              <c:f>Processing!$J$14:$J$25</c:f>
              <c:numCache>
                <c:formatCode>General</c:formatCode>
                <c:ptCount val="12"/>
                <c:pt idx="0">
                  <c:v>-100</c:v>
                </c:pt>
                <c:pt idx="1">
                  <c:v>-100</c:v>
                </c:pt>
                <c:pt idx="2">
                  <c:v>-100</c:v>
                </c:pt>
                <c:pt idx="3">
                  <c:v>0</c:v>
                </c:pt>
                <c:pt idx="4">
                  <c:v>0</c:v>
                </c:pt>
                <c:pt idx="5">
                  <c:v>0</c:v>
                </c:pt>
                <c:pt idx="6">
                  <c:v>0</c:v>
                </c:pt>
                <c:pt idx="7">
                  <c:v>0</c:v>
                </c:pt>
                <c:pt idx="8">
                  <c:v>0</c:v>
                </c:pt>
                <c:pt idx="9">
                  <c:v>-100</c:v>
                </c:pt>
                <c:pt idx="10">
                  <c:v>-100</c:v>
                </c:pt>
                <c:pt idx="11">
                  <c:v>-100</c:v>
                </c:pt>
              </c:numCache>
            </c:numRef>
          </c:val>
          <c:extLst>
            <c:ext xmlns:c16="http://schemas.microsoft.com/office/drawing/2014/chart" uri="{C3380CC4-5D6E-409C-BE32-E72D297353CC}">
              <c16:uniqueId val="{00000002-D548-42B8-8175-DAB5A00BEA73}"/>
            </c:ext>
          </c:extLst>
        </c:ser>
        <c:ser>
          <c:idx val="3"/>
          <c:order val="3"/>
          <c:tx>
            <c:strRef>
              <c:f>Processing!$K$13</c:f>
              <c:strCache>
                <c:ptCount val="1"/>
                <c:pt idx="0">
                  <c:v>loss</c:v>
                </c:pt>
              </c:strCache>
            </c:strRef>
          </c:tx>
          <c:spPr>
            <a:solidFill>
              <a:srgbClr val="8D4CE9"/>
            </a:solidFill>
            <a:ln>
              <a:noFill/>
            </a:ln>
            <a:effectLst/>
          </c:spPr>
          <c:invertIfNegative val="0"/>
          <c:val>
            <c:numRef>
              <c:f>Processing!$K$14:$K$25</c:f>
              <c:numCache>
                <c:formatCode>General</c:formatCode>
                <c:ptCount val="12"/>
                <c:pt idx="0">
                  <c:v>-1517</c:v>
                </c:pt>
                <c:pt idx="1">
                  <c:v>-1745</c:v>
                </c:pt>
                <c:pt idx="2">
                  <c:v>-1041</c:v>
                </c:pt>
                <c:pt idx="3">
                  <c:v>0</c:v>
                </c:pt>
                <c:pt idx="4">
                  <c:v>0</c:v>
                </c:pt>
                <c:pt idx="5">
                  <c:v>0</c:v>
                </c:pt>
                <c:pt idx="6">
                  <c:v>0</c:v>
                </c:pt>
                <c:pt idx="7">
                  <c:v>0</c:v>
                </c:pt>
                <c:pt idx="8">
                  <c:v>0</c:v>
                </c:pt>
                <c:pt idx="9">
                  <c:v>-1645</c:v>
                </c:pt>
                <c:pt idx="10">
                  <c:v>-1504</c:v>
                </c:pt>
                <c:pt idx="11">
                  <c:v>-1338</c:v>
                </c:pt>
              </c:numCache>
            </c:numRef>
          </c:val>
          <c:extLst>
            <c:ext xmlns:c16="http://schemas.microsoft.com/office/drawing/2014/chart" uri="{C3380CC4-5D6E-409C-BE32-E72D297353CC}">
              <c16:uniqueId val="{00000003-D548-42B8-8175-DAB5A00BEA73}"/>
            </c:ext>
          </c:extLst>
        </c:ser>
        <c:ser>
          <c:idx val="7"/>
          <c:order val="5"/>
          <c:tx>
            <c:strRef>
              <c:f>Processing!$O$13</c:f>
              <c:strCache>
                <c:ptCount val="1"/>
                <c:pt idx="0">
                  <c:v>indent1 L2</c:v>
                </c:pt>
              </c:strCache>
            </c:strRef>
          </c:tx>
          <c:spPr>
            <a:solidFill>
              <a:srgbClr val="3CD964"/>
            </a:solidFill>
            <a:ln w="25400">
              <a:noFill/>
            </a:ln>
            <a:effectLst/>
          </c:spPr>
          <c:invertIfNegative val="0"/>
          <c:val>
            <c:numRef>
              <c:f>Processing!$O$14:$O$25</c:f>
              <c:numCache>
                <c:formatCode>General</c:formatCode>
                <c:ptCount val="12"/>
                <c:pt idx="0">
                  <c:v>0</c:v>
                </c:pt>
                <c:pt idx="1">
                  <c:v>0</c:v>
                </c:pt>
                <c:pt idx="2">
                  <c:v>0</c:v>
                </c:pt>
                <c:pt idx="3">
                  <c:v>100</c:v>
                </c:pt>
                <c:pt idx="4">
                  <c:v>100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3-D548-42B8-8175-DAB5A00BEA73}"/>
            </c:ext>
          </c:extLst>
        </c:ser>
        <c:ser>
          <c:idx val="5"/>
          <c:order val="6"/>
          <c:tx>
            <c:strRef>
              <c:f>Processing!$L$13</c:f>
              <c:strCache>
                <c:ptCount val="1"/>
                <c:pt idx="0">
                  <c:v>profit L2</c:v>
                </c:pt>
              </c:strCache>
            </c:strRef>
          </c:tx>
          <c:spPr>
            <a:solidFill>
              <a:srgbClr val="3CD964"/>
            </a:solidFill>
            <a:ln w="25400">
              <a:noFill/>
            </a:ln>
            <a:effectLst/>
          </c:spPr>
          <c:invertIfNegative val="0"/>
          <c:val>
            <c:numRef>
              <c:f>Processing!$L$14:$L$25</c:f>
              <c:numCache>
                <c:formatCode>General</c:formatCode>
                <c:ptCount val="12"/>
                <c:pt idx="0">
                  <c:v>0</c:v>
                </c:pt>
                <c:pt idx="1">
                  <c:v>0</c:v>
                </c:pt>
                <c:pt idx="2">
                  <c:v>0</c:v>
                </c:pt>
                <c:pt idx="3">
                  <c:v>1937</c:v>
                </c:pt>
                <c:pt idx="4">
                  <c:v>2057</c:v>
                </c:pt>
                <c:pt idx="5">
                  <c:v>2146</c:v>
                </c:pt>
                <c:pt idx="6">
                  <c:v>1613</c:v>
                </c:pt>
                <c:pt idx="7">
                  <c:v>1525</c:v>
                </c:pt>
                <c:pt idx="8">
                  <c:v>2404</c:v>
                </c:pt>
                <c:pt idx="9">
                  <c:v>0</c:v>
                </c:pt>
                <c:pt idx="10">
                  <c:v>0</c:v>
                </c:pt>
                <c:pt idx="11">
                  <c:v>0</c:v>
                </c:pt>
              </c:numCache>
            </c:numRef>
          </c:val>
          <c:extLst>
            <c:ext xmlns:c16="http://schemas.microsoft.com/office/drawing/2014/chart" uri="{C3380CC4-5D6E-409C-BE32-E72D297353CC}">
              <c16:uniqueId val="{00000011-D548-42B8-8175-DAB5A00BEA73}"/>
            </c:ext>
          </c:extLst>
        </c:ser>
        <c:ser>
          <c:idx val="8"/>
          <c:order val="7"/>
          <c:tx>
            <c:strRef>
              <c:f>Processing!$P$13</c:f>
              <c:strCache>
                <c:ptCount val="1"/>
                <c:pt idx="0">
                  <c:v>indent2 L2</c:v>
                </c:pt>
              </c:strCache>
            </c:strRef>
          </c:tx>
          <c:spPr>
            <a:solidFill>
              <a:srgbClr val="FA2A7F"/>
            </a:solidFill>
            <a:ln w="25400">
              <a:noFill/>
            </a:ln>
            <a:effectLst/>
          </c:spPr>
          <c:invertIfNegative val="0"/>
          <c:val>
            <c:numRef>
              <c:f>Processing!$P$14:$P$25</c:f>
              <c:numCache>
                <c:formatCode>General</c:formatCode>
                <c:ptCount val="12"/>
                <c:pt idx="0">
                  <c:v>0</c:v>
                </c:pt>
                <c:pt idx="1">
                  <c:v>0</c:v>
                </c:pt>
                <c:pt idx="2">
                  <c:v>0</c:v>
                </c:pt>
                <c:pt idx="3">
                  <c:v>-100</c:v>
                </c:pt>
                <c:pt idx="4">
                  <c:v>-100</c:v>
                </c:pt>
                <c:pt idx="5">
                  <c:v>-100</c:v>
                </c:pt>
                <c:pt idx="6">
                  <c:v>-100</c:v>
                </c:pt>
                <c:pt idx="7">
                  <c:v>-100</c:v>
                </c:pt>
                <c:pt idx="8">
                  <c:v>-100</c:v>
                </c:pt>
                <c:pt idx="9">
                  <c:v>0</c:v>
                </c:pt>
                <c:pt idx="10">
                  <c:v>0</c:v>
                </c:pt>
                <c:pt idx="11">
                  <c:v>0</c:v>
                </c:pt>
              </c:numCache>
            </c:numRef>
          </c:val>
          <c:extLst>
            <c:ext xmlns:c16="http://schemas.microsoft.com/office/drawing/2014/chart" uri="{C3380CC4-5D6E-409C-BE32-E72D297353CC}">
              <c16:uniqueId val="{00000014-D548-42B8-8175-DAB5A00BEA73}"/>
            </c:ext>
          </c:extLst>
        </c:ser>
        <c:ser>
          <c:idx val="6"/>
          <c:order val="8"/>
          <c:tx>
            <c:strRef>
              <c:f>Processing!$M$13</c:f>
              <c:strCache>
                <c:ptCount val="1"/>
                <c:pt idx="0">
                  <c:v>loss L2</c:v>
                </c:pt>
              </c:strCache>
            </c:strRef>
          </c:tx>
          <c:spPr>
            <a:solidFill>
              <a:srgbClr val="FA2A7F"/>
            </a:solidFill>
            <a:ln w="25400">
              <a:noFill/>
            </a:ln>
            <a:effectLst/>
          </c:spPr>
          <c:invertIfNegative val="0"/>
          <c:val>
            <c:numRef>
              <c:f>Processing!$M$14:$M$25</c:f>
              <c:numCache>
                <c:formatCode>General</c:formatCode>
                <c:ptCount val="12"/>
                <c:pt idx="0">
                  <c:v>0</c:v>
                </c:pt>
                <c:pt idx="1">
                  <c:v>0</c:v>
                </c:pt>
                <c:pt idx="2">
                  <c:v>0</c:v>
                </c:pt>
                <c:pt idx="3">
                  <c:v>-2265</c:v>
                </c:pt>
                <c:pt idx="4">
                  <c:v>-1729</c:v>
                </c:pt>
                <c:pt idx="5">
                  <c:v>-1751</c:v>
                </c:pt>
                <c:pt idx="6">
                  <c:v>-1555</c:v>
                </c:pt>
                <c:pt idx="7">
                  <c:v>-1836</c:v>
                </c:pt>
                <c:pt idx="8">
                  <c:v>-1711</c:v>
                </c:pt>
                <c:pt idx="9">
                  <c:v>0</c:v>
                </c:pt>
                <c:pt idx="10">
                  <c:v>0</c:v>
                </c:pt>
                <c:pt idx="11">
                  <c:v>0</c:v>
                </c:pt>
              </c:numCache>
            </c:numRef>
          </c:val>
          <c:extLst>
            <c:ext xmlns:c16="http://schemas.microsoft.com/office/drawing/2014/chart" uri="{C3380CC4-5D6E-409C-BE32-E72D297353CC}">
              <c16:uniqueId val="{00000012-D548-42B8-8175-DAB5A00BEA73}"/>
            </c:ext>
          </c:extLst>
        </c:ser>
        <c:dLbls>
          <c:showLegendKey val="0"/>
          <c:showVal val="0"/>
          <c:showCatName val="0"/>
          <c:showSerName val="0"/>
          <c:showPercent val="0"/>
          <c:showBubbleSize val="0"/>
        </c:dLbls>
        <c:gapWidth val="130"/>
        <c:overlap val="100"/>
        <c:axId val="1412710271"/>
        <c:axId val="1412705471"/>
      </c:barChart>
      <c:scatterChart>
        <c:scatterStyle val="lineMarker"/>
        <c:varyColors val="0"/>
        <c:ser>
          <c:idx val="4"/>
          <c:order val="4"/>
          <c:tx>
            <c:v>label</c:v>
          </c:tx>
          <c:spPr>
            <a:ln w="25400" cap="rnd">
              <a:noFill/>
              <a:round/>
            </a:ln>
            <a:effectLst>
              <a:outerShdw blurRad="63500" sx="102000" sy="102000" algn="ctr" rotWithShape="0">
                <a:prstClr val="black">
                  <a:alpha val="40000"/>
                </a:prstClr>
              </a:outerShdw>
            </a:effectLst>
          </c:spPr>
          <c:marker>
            <c:symbol val="circle"/>
            <c:size val="20"/>
            <c:spPr>
              <a:solidFill>
                <a:schemeClr val="bg1"/>
              </a:solidFill>
              <a:ln w="9525">
                <a:noFill/>
              </a:ln>
              <a:effectLst>
                <a:outerShdw blurRad="63500" sx="102000" sy="102000" algn="ctr" rotWithShape="0">
                  <a:prstClr val="black">
                    <a:alpha val="40000"/>
                  </a:prstClr>
                </a:outerShdw>
              </a:effectLst>
            </c:spPr>
          </c:marker>
          <c:dLbls>
            <c:dLbl>
              <c:idx val="0"/>
              <c:tx>
                <c:rich>
                  <a:bodyPr/>
                  <a:lstStyle/>
                  <a:p>
                    <a:fld id="{744A783A-40ED-4FA7-A761-EEDC4667C4B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548-42B8-8175-DAB5A00BEA73}"/>
                </c:ext>
              </c:extLst>
            </c:dLbl>
            <c:dLbl>
              <c:idx val="1"/>
              <c:tx>
                <c:rich>
                  <a:bodyPr/>
                  <a:lstStyle/>
                  <a:p>
                    <a:fld id="{FC0E7A32-B0A1-49A8-ABD0-38D62B151F8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548-42B8-8175-DAB5A00BEA73}"/>
                </c:ext>
              </c:extLst>
            </c:dLbl>
            <c:dLbl>
              <c:idx val="2"/>
              <c:tx>
                <c:rich>
                  <a:bodyPr/>
                  <a:lstStyle/>
                  <a:p>
                    <a:fld id="{F49FE0CD-C293-4A77-A366-13C15709DFF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548-42B8-8175-DAB5A00BEA73}"/>
                </c:ext>
              </c:extLst>
            </c:dLbl>
            <c:dLbl>
              <c:idx val="3"/>
              <c:tx>
                <c:rich>
                  <a:bodyPr/>
                  <a:lstStyle/>
                  <a:p>
                    <a:fld id="{E91DED94-118D-47A7-96E5-4B15AA35693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548-42B8-8175-DAB5A00BEA73}"/>
                </c:ext>
              </c:extLst>
            </c:dLbl>
            <c:dLbl>
              <c:idx val="4"/>
              <c:tx>
                <c:rich>
                  <a:bodyPr/>
                  <a:lstStyle/>
                  <a:p>
                    <a:fld id="{E38655B5-8D49-4D14-8211-AC5A7F59E8D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548-42B8-8175-DAB5A00BEA73}"/>
                </c:ext>
              </c:extLst>
            </c:dLbl>
            <c:dLbl>
              <c:idx val="5"/>
              <c:tx>
                <c:rich>
                  <a:bodyPr/>
                  <a:lstStyle/>
                  <a:p>
                    <a:fld id="{FAF0A33B-9E91-4537-BF9D-CC921374356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548-42B8-8175-DAB5A00BEA73}"/>
                </c:ext>
              </c:extLst>
            </c:dLbl>
            <c:dLbl>
              <c:idx val="6"/>
              <c:tx>
                <c:rich>
                  <a:bodyPr/>
                  <a:lstStyle/>
                  <a:p>
                    <a:fld id="{E5BE7119-3E71-49B2-8B87-567435D7342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548-42B8-8175-DAB5A00BEA73}"/>
                </c:ext>
              </c:extLst>
            </c:dLbl>
            <c:dLbl>
              <c:idx val="7"/>
              <c:tx>
                <c:rich>
                  <a:bodyPr/>
                  <a:lstStyle/>
                  <a:p>
                    <a:fld id="{98A8A207-B6D9-483F-A9D1-5929C8ECCB9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548-42B8-8175-DAB5A00BEA73}"/>
                </c:ext>
              </c:extLst>
            </c:dLbl>
            <c:dLbl>
              <c:idx val="8"/>
              <c:tx>
                <c:rich>
                  <a:bodyPr/>
                  <a:lstStyle/>
                  <a:p>
                    <a:fld id="{53AB254C-4AEF-4FAA-B62E-28F5ED0C71D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548-42B8-8175-DAB5A00BEA73}"/>
                </c:ext>
              </c:extLst>
            </c:dLbl>
            <c:dLbl>
              <c:idx val="9"/>
              <c:tx>
                <c:rich>
                  <a:bodyPr/>
                  <a:lstStyle/>
                  <a:p>
                    <a:fld id="{7C5443BA-D08D-4FB8-A5F6-8302C65D526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548-42B8-8175-DAB5A00BEA73}"/>
                </c:ext>
              </c:extLst>
            </c:dLbl>
            <c:dLbl>
              <c:idx val="10"/>
              <c:tx>
                <c:rich>
                  <a:bodyPr/>
                  <a:lstStyle/>
                  <a:p>
                    <a:fld id="{B66B4133-B498-4BC1-8899-A1B04944E0B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548-42B8-8175-DAB5A00BEA73}"/>
                </c:ext>
              </c:extLst>
            </c:dLbl>
            <c:dLbl>
              <c:idx val="11"/>
              <c:tx>
                <c:rich>
                  <a:bodyPr/>
                  <a:lstStyle/>
                  <a:p>
                    <a:fld id="{EE73A648-D282-4DE9-97CA-45C929DECE2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548-42B8-8175-DAB5A00BEA7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ru-RU"/>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yVal>
            <c:numRef>
              <c:f>Processing!$N$14:$N$25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5="http://schemas.microsoft.com/office/drawing/2012/chart" uri="{02D57815-91ED-43cb-92C2-25804820EDAC}">
              <c15:datalabelsRange>
                <c15:f>Processing!$B$14:$B$25</c15:f>
                <c15:dlblRangeCache>
                  <c:ptCount val="12"/>
                  <c:pt idx="0">
                    <c:v>JAN</c:v>
                  </c:pt>
                  <c:pt idx="1">
                    <c:v>FEB</c:v>
                  </c:pt>
                  <c:pt idx="2">
                    <c:v>MAR</c:v>
                  </c:pt>
                  <c:pt idx="3">
                    <c:v>APR</c:v>
                  </c:pt>
                  <c:pt idx="4">
                    <c:v>MAY</c:v>
                  </c:pt>
                  <c:pt idx="5">
                    <c:v>JUN</c:v>
                  </c:pt>
                  <c:pt idx="6">
                    <c:v>JUL</c:v>
                  </c:pt>
                  <c:pt idx="7">
                    <c:v>AUG</c:v>
                  </c:pt>
                  <c:pt idx="8">
                    <c:v>SEP</c:v>
                  </c:pt>
                  <c:pt idx="9">
                    <c:v>OCT</c:v>
                  </c:pt>
                  <c:pt idx="10">
                    <c:v>NOV</c:v>
                  </c:pt>
                  <c:pt idx="11">
                    <c:v>DEC</c:v>
                  </c:pt>
                </c15:dlblRangeCache>
              </c15:datalabelsRange>
            </c:ext>
            <c:ext xmlns:c16="http://schemas.microsoft.com/office/drawing/2014/chart" uri="{C3380CC4-5D6E-409C-BE32-E72D297353CC}">
              <c16:uniqueId val="{00000010-D548-42B8-8175-DAB5A00BEA73}"/>
            </c:ext>
          </c:extLst>
        </c:ser>
        <c:ser>
          <c:idx val="9"/>
          <c:order val="9"/>
          <c:tx>
            <c:strRef>
              <c:f>Processing!$Q$13</c:f>
              <c:strCache>
                <c:ptCount val="1"/>
                <c:pt idx="0">
                  <c:v>dataTop</c:v>
                </c:pt>
              </c:strCache>
            </c:strRef>
          </c:tx>
          <c:spPr>
            <a:ln w="25400" cap="rnd">
              <a:noFill/>
              <a:round/>
            </a:ln>
            <a:effectLst/>
          </c:spPr>
          <c:marker>
            <c:symbol val="circle"/>
            <c:size val="5"/>
            <c:spPr>
              <a:solidFill>
                <a:srgbClr val="5B63FF">
                  <a:alpha val="0"/>
                </a:srgb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Processing!$Q$14:$Q$25</c:f>
              <c:numCache>
                <c:formatCode>General</c:formatCode>
                <c:ptCount val="12"/>
                <c:pt idx="0">
                  <c:v>1979</c:v>
                </c:pt>
                <c:pt idx="1">
                  <c:v>1083</c:v>
                </c:pt>
                <c:pt idx="2">
                  <c:v>2546</c:v>
                </c:pt>
                <c:pt idx="3">
                  <c:v>#N/A</c:v>
                </c:pt>
                <c:pt idx="4">
                  <c:v>#N/A</c:v>
                </c:pt>
                <c:pt idx="5">
                  <c:v>#N/A</c:v>
                </c:pt>
                <c:pt idx="6">
                  <c:v>#N/A</c:v>
                </c:pt>
                <c:pt idx="7">
                  <c:v>#N/A</c:v>
                </c:pt>
                <c:pt idx="8">
                  <c:v>#N/A</c:v>
                </c:pt>
                <c:pt idx="9">
                  <c:v>1615</c:v>
                </c:pt>
                <c:pt idx="10">
                  <c:v>3025</c:v>
                </c:pt>
                <c:pt idx="11">
                  <c:v>1069</c:v>
                </c:pt>
              </c:numCache>
            </c:numRef>
          </c:yVal>
          <c:smooth val="0"/>
          <c:extLst>
            <c:ext xmlns:c16="http://schemas.microsoft.com/office/drawing/2014/chart" uri="{C3380CC4-5D6E-409C-BE32-E72D297353CC}">
              <c16:uniqueId val="{00000015-D548-42B8-8175-DAB5A00BEA73}"/>
            </c:ext>
          </c:extLst>
        </c:ser>
        <c:ser>
          <c:idx val="10"/>
          <c:order val="10"/>
          <c:tx>
            <c:strRef>
              <c:f>Processing!$R$13</c:f>
              <c:strCache>
                <c:ptCount val="1"/>
                <c:pt idx="0">
                  <c:v>dataDown</c:v>
                </c:pt>
              </c:strCache>
            </c:strRef>
          </c:tx>
          <c:spPr>
            <a:ln w="25400" cap="rnd">
              <a:noFill/>
              <a:round/>
            </a:ln>
            <a:effectLst/>
          </c:spPr>
          <c:marker>
            <c:symbol val="circle"/>
            <c:size val="5"/>
            <c:spPr>
              <a:solidFill>
                <a:srgbClr val="5B63FF">
                  <a:alpha val="0"/>
                </a:srgb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Processing!$R$14:$R$25</c:f>
              <c:numCache>
                <c:formatCode>General</c:formatCode>
                <c:ptCount val="12"/>
                <c:pt idx="0">
                  <c:v>-1567</c:v>
                </c:pt>
                <c:pt idx="1">
                  <c:v>-1795</c:v>
                </c:pt>
                <c:pt idx="2">
                  <c:v>-1091</c:v>
                </c:pt>
                <c:pt idx="3">
                  <c:v>#N/A</c:v>
                </c:pt>
                <c:pt idx="4">
                  <c:v>#N/A</c:v>
                </c:pt>
                <c:pt idx="5">
                  <c:v>#N/A</c:v>
                </c:pt>
                <c:pt idx="6">
                  <c:v>#N/A</c:v>
                </c:pt>
                <c:pt idx="7">
                  <c:v>#N/A</c:v>
                </c:pt>
                <c:pt idx="8">
                  <c:v>#N/A</c:v>
                </c:pt>
                <c:pt idx="9">
                  <c:v>-1695</c:v>
                </c:pt>
                <c:pt idx="10">
                  <c:v>-1554</c:v>
                </c:pt>
                <c:pt idx="11">
                  <c:v>-1388</c:v>
                </c:pt>
              </c:numCache>
            </c:numRef>
          </c:yVal>
          <c:smooth val="0"/>
          <c:extLst>
            <c:ext xmlns:c16="http://schemas.microsoft.com/office/drawing/2014/chart" uri="{C3380CC4-5D6E-409C-BE32-E72D297353CC}">
              <c16:uniqueId val="{00000016-D548-42B8-8175-DAB5A00BEA73}"/>
            </c:ext>
          </c:extLst>
        </c:ser>
        <c:ser>
          <c:idx val="11"/>
          <c:order val="11"/>
          <c:tx>
            <c:strRef>
              <c:f>Processing!$S$13</c:f>
              <c:strCache>
                <c:ptCount val="1"/>
                <c:pt idx="0">
                  <c:v>dataTop L2</c:v>
                </c:pt>
              </c:strCache>
            </c:strRef>
          </c:tx>
          <c:spPr>
            <a:ln w="25400" cap="rnd">
              <a:noFill/>
              <a:round/>
            </a:ln>
            <a:effectLst/>
          </c:spPr>
          <c:marker>
            <c:symbol val="circle"/>
            <c:size val="5"/>
            <c:spPr>
              <a:solidFill>
                <a:srgbClr val="5B63FF">
                  <a:alpha val="0"/>
                </a:srgb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D964"/>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Processing!$S$14:$S$25</c:f>
              <c:numCache>
                <c:formatCode>General</c:formatCode>
                <c:ptCount val="12"/>
                <c:pt idx="0">
                  <c:v>#N/A</c:v>
                </c:pt>
                <c:pt idx="1">
                  <c:v>#N/A</c:v>
                </c:pt>
                <c:pt idx="2">
                  <c:v>#N/A</c:v>
                </c:pt>
                <c:pt idx="3">
                  <c:v>1987</c:v>
                </c:pt>
                <c:pt idx="4">
                  <c:v>2107</c:v>
                </c:pt>
                <c:pt idx="5">
                  <c:v>2196</c:v>
                </c:pt>
                <c:pt idx="6">
                  <c:v>1663</c:v>
                </c:pt>
                <c:pt idx="7">
                  <c:v>1575</c:v>
                </c:pt>
                <c:pt idx="8">
                  <c:v>2454</c:v>
                </c:pt>
                <c:pt idx="9">
                  <c:v>#N/A</c:v>
                </c:pt>
                <c:pt idx="10">
                  <c:v>#N/A</c:v>
                </c:pt>
                <c:pt idx="11">
                  <c:v>#N/A</c:v>
                </c:pt>
              </c:numCache>
            </c:numRef>
          </c:yVal>
          <c:smooth val="0"/>
          <c:extLst>
            <c:ext xmlns:c16="http://schemas.microsoft.com/office/drawing/2014/chart" uri="{C3380CC4-5D6E-409C-BE32-E72D297353CC}">
              <c16:uniqueId val="{00000017-D548-42B8-8175-DAB5A00BEA73}"/>
            </c:ext>
          </c:extLst>
        </c:ser>
        <c:ser>
          <c:idx val="12"/>
          <c:order val="12"/>
          <c:tx>
            <c:strRef>
              <c:f>Processing!$T$13</c:f>
              <c:strCache>
                <c:ptCount val="1"/>
                <c:pt idx="0">
                  <c:v>dataDown L2</c:v>
                </c:pt>
              </c:strCache>
            </c:strRef>
          </c:tx>
          <c:spPr>
            <a:ln w="25400" cap="rnd">
              <a:noFill/>
              <a:round/>
            </a:ln>
            <a:effectLst/>
          </c:spPr>
          <c:marker>
            <c:symbol val="circle"/>
            <c:size val="5"/>
            <c:spPr>
              <a:solidFill>
                <a:srgbClr val="5B63FF">
                  <a:alpha val="0"/>
                </a:srgb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A2A7F"/>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Processing!$T$14:$T$25</c:f>
              <c:numCache>
                <c:formatCode>General</c:formatCode>
                <c:ptCount val="12"/>
                <c:pt idx="0">
                  <c:v>#N/A</c:v>
                </c:pt>
                <c:pt idx="1">
                  <c:v>#N/A</c:v>
                </c:pt>
                <c:pt idx="2">
                  <c:v>#N/A</c:v>
                </c:pt>
                <c:pt idx="3">
                  <c:v>-2315</c:v>
                </c:pt>
                <c:pt idx="4">
                  <c:v>-1779</c:v>
                </c:pt>
                <c:pt idx="5">
                  <c:v>-1801</c:v>
                </c:pt>
                <c:pt idx="6">
                  <c:v>-1605</c:v>
                </c:pt>
                <c:pt idx="7">
                  <c:v>-1886</c:v>
                </c:pt>
                <c:pt idx="8">
                  <c:v>-1761</c:v>
                </c:pt>
                <c:pt idx="9">
                  <c:v>#N/A</c:v>
                </c:pt>
                <c:pt idx="10">
                  <c:v>#N/A</c:v>
                </c:pt>
                <c:pt idx="11">
                  <c:v>#N/A</c:v>
                </c:pt>
              </c:numCache>
            </c:numRef>
          </c:yVal>
          <c:smooth val="0"/>
          <c:extLst>
            <c:ext xmlns:c16="http://schemas.microsoft.com/office/drawing/2014/chart" uri="{C3380CC4-5D6E-409C-BE32-E72D297353CC}">
              <c16:uniqueId val="{00000018-D548-42B8-8175-DAB5A00BEA73}"/>
            </c:ext>
          </c:extLst>
        </c:ser>
        <c:dLbls>
          <c:showLegendKey val="0"/>
          <c:showVal val="0"/>
          <c:showCatName val="0"/>
          <c:showSerName val="0"/>
          <c:showPercent val="0"/>
          <c:showBubbleSize val="0"/>
        </c:dLbls>
        <c:axId val="1412710271"/>
        <c:axId val="1412705471"/>
      </c:scatterChart>
      <c:catAx>
        <c:axId val="1412710271"/>
        <c:scaling>
          <c:orientation val="minMax"/>
        </c:scaling>
        <c:delete val="1"/>
        <c:axPos val="b"/>
        <c:majorTickMark val="none"/>
        <c:minorTickMark val="none"/>
        <c:tickLblPos val="nextTo"/>
        <c:crossAx val="1412705471"/>
        <c:crosses val="autoZero"/>
        <c:auto val="1"/>
        <c:lblAlgn val="ctr"/>
        <c:lblOffset val="100"/>
        <c:noMultiLvlLbl val="0"/>
      </c:catAx>
      <c:valAx>
        <c:axId val="1412705471"/>
        <c:scaling>
          <c:orientation val="minMax"/>
        </c:scaling>
        <c:delete val="1"/>
        <c:axPos val="l"/>
        <c:numFmt formatCode="General" sourceLinked="1"/>
        <c:majorTickMark val="none"/>
        <c:minorTickMark val="none"/>
        <c:tickLblPos val="nextTo"/>
        <c:crossAx val="141271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Processing!$B$27</c:f>
          <c:strCache>
            <c:ptCount val="1"/>
            <c:pt idx="0">
              <c:v>Cash Flow</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ru-RU"/>
        </a:p>
      </c:txPr>
    </c:title>
    <c:autoTitleDeleted val="0"/>
    <c:plotArea>
      <c:layout/>
      <c:areaChart>
        <c:grouping val="standard"/>
        <c:varyColors val="0"/>
        <c:ser>
          <c:idx val="1"/>
          <c:order val="1"/>
          <c:spPr>
            <a:gradFill>
              <a:gsLst>
                <a:gs pos="23000">
                  <a:srgbClr val="8D4CE9"/>
                </a:gs>
                <a:gs pos="95000">
                  <a:srgbClr val="5B63FF"/>
                </a:gs>
              </a:gsLst>
              <a:lin ang="5400000" scaled="0"/>
            </a:gradFill>
            <a:ln>
              <a:noFill/>
            </a:ln>
            <a:effectLst/>
          </c:spPr>
          <c:val>
            <c:numRef>
              <c:f>Processing!$B$28:$B$39</c:f>
              <c:numCache>
                <c:formatCode>General</c:formatCode>
                <c:ptCount val="12"/>
                <c:pt idx="0">
                  <c:v>237556</c:v>
                </c:pt>
                <c:pt idx="1">
                  <c:v>283339</c:v>
                </c:pt>
                <c:pt idx="2">
                  <c:v>281728</c:v>
                </c:pt>
                <c:pt idx="3">
                  <c:v>292458</c:v>
                </c:pt>
                <c:pt idx="4">
                  <c:v>330740</c:v>
                </c:pt>
                <c:pt idx="5">
                  <c:v>339060</c:v>
                </c:pt>
                <c:pt idx="6">
                  <c:v>296183</c:v>
                </c:pt>
                <c:pt idx="7">
                  <c:v>297657</c:v>
                </c:pt>
                <c:pt idx="8">
                  <c:v>278300</c:v>
                </c:pt>
                <c:pt idx="9">
                  <c:v>284396</c:v>
                </c:pt>
                <c:pt idx="10">
                  <c:v>324839</c:v>
                </c:pt>
                <c:pt idx="11">
                  <c:v>281229</c:v>
                </c:pt>
              </c:numCache>
            </c:numRef>
          </c:val>
          <c:extLst>
            <c:ext xmlns:c16="http://schemas.microsoft.com/office/drawing/2014/chart" uri="{C3380CC4-5D6E-409C-BE32-E72D297353CC}">
              <c16:uniqueId val="{00000000-28B2-4107-8B62-95530A116062}"/>
            </c:ext>
          </c:extLst>
        </c:ser>
        <c:dLbls>
          <c:showLegendKey val="0"/>
          <c:showVal val="0"/>
          <c:showCatName val="0"/>
          <c:showSerName val="0"/>
          <c:showPercent val="0"/>
          <c:showBubbleSize val="0"/>
        </c:dLbls>
        <c:axId val="57015599"/>
        <c:axId val="1597770287"/>
      </c:areaChart>
      <c:lineChart>
        <c:grouping val="standard"/>
        <c:varyColors val="0"/>
        <c:ser>
          <c:idx val="0"/>
          <c:order val="0"/>
          <c:spPr>
            <a:ln w="69850" cap="rnd">
              <a:solidFill>
                <a:srgbClr val="10131E"/>
              </a:solidFill>
              <a:round/>
            </a:ln>
            <a:effectLst/>
          </c:spPr>
          <c:marker>
            <c:symbol val="none"/>
          </c:marker>
          <c:val>
            <c:numRef>
              <c:f>Processing!$B$28:$B$39</c:f>
              <c:numCache>
                <c:formatCode>General</c:formatCode>
                <c:ptCount val="12"/>
                <c:pt idx="0">
                  <c:v>237556</c:v>
                </c:pt>
                <c:pt idx="1">
                  <c:v>283339</c:v>
                </c:pt>
                <c:pt idx="2">
                  <c:v>281728</c:v>
                </c:pt>
                <c:pt idx="3">
                  <c:v>292458</c:v>
                </c:pt>
                <c:pt idx="4">
                  <c:v>330740</c:v>
                </c:pt>
                <c:pt idx="5">
                  <c:v>339060</c:v>
                </c:pt>
                <c:pt idx="6">
                  <c:v>296183</c:v>
                </c:pt>
                <c:pt idx="7">
                  <c:v>297657</c:v>
                </c:pt>
                <c:pt idx="8">
                  <c:v>278300</c:v>
                </c:pt>
                <c:pt idx="9">
                  <c:v>284396</c:v>
                </c:pt>
                <c:pt idx="10">
                  <c:v>324839</c:v>
                </c:pt>
                <c:pt idx="11">
                  <c:v>281229</c:v>
                </c:pt>
              </c:numCache>
            </c:numRef>
          </c:val>
          <c:smooth val="1"/>
          <c:extLst>
            <c:ext xmlns:c16="http://schemas.microsoft.com/office/drawing/2014/chart" uri="{C3380CC4-5D6E-409C-BE32-E72D297353CC}">
              <c16:uniqueId val="{00000001-28B2-4107-8B62-95530A116062}"/>
            </c:ext>
          </c:extLst>
        </c:ser>
        <c:dLbls>
          <c:showLegendKey val="0"/>
          <c:showVal val="0"/>
          <c:showCatName val="0"/>
          <c:showSerName val="0"/>
          <c:showPercent val="0"/>
          <c:showBubbleSize val="0"/>
        </c:dLbls>
        <c:marker val="1"/>
        <c:smooth val="0"/>
        <c:axId val="57015599"/>
        <c:axId val="1597770287"/>
      </c:lineChart>
      <c:scatterChart>
        <c:scatterStyle val="lineMarker"/>
        <c:varyColors val="0"/>
        <c:ser>
          <c:idx val="2"/>
          <c:order val="2"/>
          <c:tx>
            <c:strRef>
              <c:f>Processing!$C$27</c:f>
              <c:strCache>
                <c:ptCount val="1"/>
                <c:pt idx="0">
                  <c:v>start</c:v>
                </c:pt>
              </c:strCache>
            </c:strRef>
          </c:tx>
          <c:spPr>
            <a:ln w="25400" cap="rnd">
              <a:noFill/>
              <a:round/>
            </a:ln>
            <a:effectLst/>
          </c:spPr>
          <c:marker>
            <c:symbol val="circle"/>
            <c:size val="7"/>
            <c:spPr>
              <a:solidFill>
                <a:srgbClr val="FA2A7F"/>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0"/>
            <c:plus>
              <c:numLit>
                <c:formatCode>General</c:formatCode>
                <c:ptCount val="1"/>
                <c:pt idx="0">
                  <c:v>1</c:v>
                </c:pt>
              </c:numLit>
            </c:plus>
            <c:minus>
              <c:numRef>
                <c:f>Processing!$C$28:$C$39</c:f>
                <c:numCache>
                  <c:formatCode>General</c:formatCode>
                  <c:ptCount val="12"/>
                  <c:pt idx="0">
                    <c:v>#N/A</c:v>
                  </c:pt>
                  <c:pt idx="1">
                    <c:v>#N/A</c:v>
                  </c:pt>
                  <c:pt idx="2">
                    <c:v>#N/A</c:v>
                  </c:pt>
                  <c:pt idx="3">
                    <c:v>292458</c:v>
                  </c:pt>
                  <c:pt idx="4">
                    <c:v>#N/A</c:v>
                  </c:pt>
                  <c:pt idx="5">
                    <c:v>#N/A</c:v>
                  </c:pt>
                  <c:pt idx="6">
                    <c:v>#N/A</c:v>
                  </c:pt>
                  <c:pt idx="7">
                    <c:v>#N/A</c:v>
                  </c:pt>
                  <c:pt idx="8">
                    <c:v>#N/A</c:v>
                  </c:pt>
                  <c:pt idx="9">
                    <c:v>#N/A</c:v>
                  </c:pt>
                  <c:pt idx="10">
                    <c:v>#N/A</c:v>
                  </c:pt>
                  <c:pt idx="11">
                    <c:v>#N/A</c:v>
                  </c:pt>
                </c:numCache>
              </c:numRef>
            </c:minus>
            <c:spPr>
              <a:noFill/>
              <a:ln w="9525" cap="flat" cmpd="sng" algn="ctr">
                <a:solidFill>
                  <a:schemeClr val="bg1"/>
                </a:solidFill>
                <a:round/>
              </a:ln>
              <a:effectLst/>
            </c:spPr>
          </c:errBars>
          <c:yVal>
            <c:numRef>
              <c:f>Processing!$C$28:$C$39</c:f>
              <c:numCache>
                <c:formatCode>#,##0</c:formatCode>
                <c:ptCount val="12"/>
                <c:pt idx="0">
                  <c:v>#N/A</c:v>
                </c:pt>
                <c:pt idx="1">
                  <c:v>#N/A</c:v>
                </c:pt>
                <c:pt idx="2">
                  <c:v>#N/A</c:v>
                </c:pt>
                <c:pt idx="3">
                  <c:v>292458</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2-28B2-4107-8B62-95530A116062}"/>
            </c:ext>
          </c:extLst>
        </c:ser>
        <c:ser>
          <c:idx val="3"/>
          <c:order val="3"/>
          <c:tx>
            <c:strRef>
              <c:f>Processing!$D$27</c:f>
              <c:strCache>
                <c:ptCount val="1"/>
                <c:pt idx="0">
                  <c:v>end</c:v>
                </c:pt>
              </c:strCache>
            </c:strRef>
          </c:tx>
          <c:spPr>
            <a:ln w="25400" cap="rnd">
              <a:noFill/>
              <a:round/>
            </a:ln>
            <a:effectLst/>
          </c:spPr>
          <c:marker>
            <c:symbol val="circle"/>
            <c:size val="7"/>
            <c:spPr>
              <a:solidFill>
                <a:srgbClr val="3CD964"/>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0"/>
            <c:plus>
              <c:numLit>
                <c:formatCode>General</c:formatCode>
                <c:ptCount val="1"/>
                <c:pt idx="0">
                  <c:v>1</c:v>
                </c:pt>
              </c:numLit>
            </c:plus>
            <c:minus>
              <c:numRef>
                <c:f>Processing!$D$28:$D$39</c:f>
                <c:numCache>
                  <c:formatCode>General</c:formatCode>
                  <c:ptCount val="12"/>
                  <c:pt idx="0">
                    <c:v>#N/A</c:v>
                  </c:pt>
                  <c:pt idx="1">
                    <c:v>#N/A</c:v>
                  </c:pt>
                  <c:pt idx="2">
                    <c:v>#N/A</c:v>
                  </c:pt>
                  <c:pt idx="3">
                    <c:v>#N/A</c:v>
                  </c:pt>
                  <c:pt idx="4">
                    <c:v>#N/A</c:v>
                  </c:pt>
                  <c:pt idx="5">
                    <c:v>#N/A</c:v>
                  </c:pt>
                  <c:pt idx="6">
                    <c:v>#N/A</c:v>
                  </c:pt>
                  <c:pt idx="7">
                    <c:v>#N/A</c:v>
                  </c:pt>
                  <c:pt idx="8">
                    <c:v>278300</c:v>
                  </c:pt>
                  <c:pt idx="9">
                    <c:v>#N/A</c:v>
                  </c:pt>
                  <c:pt idx="10">
                    <c:v>#N/A</c:v>
                  </c:pt>
                  <c:pt idx="11">
                    <c:v>#N/A</c:v>
                  </c:pt>
                </c:numCache>
              </c:numRef>
            </c:minus>
            <c:spPr>
              <a:noFill/>
              <a:ln w="9525" cap="flat" cmpd="sng" algn="ctr">
                <a:solidFill>
                  <a:schemeClr val="bg1"/>
                </a:solidFill>
                <a:round/>
              </a:ln>
              <a:effectLst/>
            </c:spPr>
          </c:errBars>
          <c:yVal>
            <c:numRef>
              <c:f>Processing!$D$28:$D$39</c:f>
              <c:numCache>
                <c:formatCode>#,##0</c:formatCode>
                <c:ptCount val="12"/>
                <c:pt idx="0">
                  <c:v>#N/A</c:v>
                </c:pt>
                <c:pt idx="1">
                  <c:v>#N/A</c:v>
                </c:pt>
                <c:pt idx="2">
                  <c:v>#N/A</c:v>
                </c:pt>
                <c:pt idx="3">
                  <c:v>#N/A</c:v>
                </c:pt>
                <c:pt idx="4">
                  <c:v>#N/A</c:v>
                </c:pt>
                <c:pt idx="5">
                  <c:v>#N/A</c:v>
                </c:pt>
                <c:pt idx="6">
                  <c:v>#N/A</c:v>
                </c:pt>
                <c:pt idx="7">
                  <c:v>#N/A</c:v>
                </c:pt>
                <c:pt idx="8">
                  <c:v>278300</c:v>
                </c:pt>
                <c:pt idx="9">
                  <c:v>#N/A</c:v>
                </c:pt>
                <c:pt idx="10">
                  <c:v>#N/A</c:v>
                </c:pt>
                <c:pt idx="11">
                  <c:v>#N/A</c:v>
                </c:pt>
              </c:numCache>
            </c:numRef>
          </c:yVal>
          <c:smooth val="0"/>
          <c:extLst>
            <c:ext xmlns:c16="http://schemas.microsoft.com/office/drawing/2014/chart" uri="{C3380CC4-5D6E-409C-BE32-E72D297353CC}">
              <c16:uniqueId val="{00000003-28B2-4107-8B62-95530A116062}"/>
            </c:ext>
          </c:extLst>
        </c:ser>
        <c:dLbls>
          <c:showLegendKey val="0"/>
          <c:showVal val="0"/>
          <c:showCatName val="0"/>
          <c:showSerName val="0"/>
          <c:showPercent val="0"/>
          <c:showBubbleSize val="0"/>
        </c:dLbls>
        <c:axId val="57015599"/>
        <c:axId val="1597770287"/>
      </c:scatterChart>
      <c:catAx>
        <c:axId val="57015599"/>
        <c:scaling>
          <c:orientation val="minMax"/>
        </c:scaling>
        <c:delete val="0"/>
        <c:axPos val="b"/>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97770287"/>
        <c:crosses val="autoZero"/>
        <c:auto val="1"/>
        <c:lblAlgn val="ctr"/>
        <c:lblOffset val="100"/>
        <c:noMultiLvlLbl val="0"/>
      </c:catAx>
      <c:valAx>
        <c:axId val="1597770287"/>
        <c:scaling>
          <c:orientation val="minMax"/>
        </c:scaling>
        <c:delete val="1"/>
        <c:axPos val="l"/>
        <c:numFmt formatCode="General" sourceLinked="1"/>
        <c:majorTickMark val="none"/>
        <c:minorTickMark val="none"/>
        <c:tickLblPos val="nextTo"/>
        <c:crossAx val="5701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gradFill>
                <a:gsLst>
                  <a:gs pos="0">
                    <a:srgbClr val="A1FF21"/>
                  </a:gs>
                  <a:gs pos="100000">
                    <a:srgbClr val="2596FF"/>
                  </a:gs>
                </a:gsLst>
                <a:lin ang="2700000" scaled="1"/>
              </a:gradFill>
              <a:ln>
                <a:noFill/>
              </a:ln>
              <a:effectLst/>
            </c:spPr>
            <c:extLst>
              <c:ext xmlns:c16="http://schemas.microsoft.com/office/drawing/2014/chart" uri="{C3380CC4-5D6E-409C-BE32-E72D297353CC}">
                <c16:uniqueId val="{00000006-F508-466F-87D8-E8B89477ECDA}"/>
              </c:ext>
            </c:extLst>
          </c:dPt>
          <c:dPt>
            <c:idx val="1"/>
            <c:invertIfNegative val="0"/>
            <c:bubble3D val="0"/>
            <c:spPr>
              <a:gradFill>
                <a:gsLst>
                  <a:gs pos="0">
                    <a:srgbClr val="8F4AE5"/>
                  </a:gs>
                  <a:gs pos="100000">
                    <a:srgbClr val="FA2A7F"/>
                  </a:gs>
                </a:gsLst>
                <a:lin ang="2700000" scaled="1"/>
              </a:gradFill>
              <a:ln>
                <a:noFill/>
              </a:ln>
              <a:effectLst/>
            </c:spPr>
            <c:extLst>
              <c:ext xmlns:c16="http://schemas.microsoft.com/office/drawing/2014/chart" uri="{C3380CC4-5D6E-409C-BE32-E72D297353CC}">
                <c16:uniqueId val="{00000008-F508-466F-87D8-E8B89477ECD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8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Processing!$K$7:$K$8</c:f>
              <c:numCache>
                <c:formatCode>0.00</c:formatCode>
                <c:ptCount val="2"/>
                <c:pt idx="0">
                  <c:v>7.7374999999999998</c:v>
                </c:pt>
                <c:pt idx="1">
                  <c:v>3.5458333333333329</c:v>
                </c:pt>
              </c:numCache>
            </c:numRef>
          </c:val>
          <c:extLst>
            <c:ext xmlns:c16="http://schemas.microsoft.com/office/drawing/2014/chart" uri="{C3380CC4-5D6E-409C-BE32-E72D297353CC}">
              <c16:uniqueId val="{00000009-F508-466F-87D8-E8B89477ECDA}"/>
            </c:ext>
          </c:extLst>
        </c:ser>
        <c:dLbls>
          <c:showLegendKey val="0"/>
          <c:showVal val="0"/>
          <c:showCatName val="0"/>
          <c:showSerName val="0"/>
          <c:showPercent val="0"/>
          <c:showBubbleSize val="0"/>
        </c:dLbls>
        <c:gapWidth val="70"/>
        <c:axId val="241330559"/>
        <c:axId val="241367039"/>
      </c:barChart>
      <c:catAx>
        <c:axId val="241330559"/>
        <c:scaling>
          <c:orientation val="maxMin"/>
        </c:scaling>
        <c:delete val="1"/>
        <c:axPos val="l"/>
        <c:majorTickMark val="none"/>
        <c:minorTickMark val="none"/>
        <c:tickLblPos val="nextTo"/>
        <c:crossAx val="241367039"/>
        <c:crosses val="autoZero"/>
        <c:auto val="1"/>
        <c:lblAlgn val="ctr"/>
        <c:lblOffset val="100"/>
        <c:noMultiLvlLbl val="0"/>
      </c:catAx>
      <c:valAx>
        <c:axId val="241367039"/>
        <c:scaling>
          <c:orientation val="minMax"/>
        </c:scaling>
        <c:delete val="1"/>
        <c:axPos val="t"/>
        <c:numFmt formatCode="0.00" sourceLinked="1"/>
        <c:majorTickMark val="none"/>
        <c:minorTickMark val="none"/>
        <c:tickLblPos val="nextTo"/>
        <c:crossAx val="24133055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Processing!$H$27</c:f>
          <c:strCache>
            <c:ptCount val="1"/>
            <c:pt idx="0">
              <c:v>Total Annual Profit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ru-RU"/>
        </a:p>
      </c:txPr>
    </c:title>
    <c:autoTitleDeleted val="0"/>
    <c:plotArea>
      <c:layout/>
      <c:areaChart>
        <c:grouping val="standard"/>
        <c:varyColors val="0"/>
        <c:ser>
          <c:idx val="0"/>
          <c:order val="0"/>
          <c:spPr>
            <a:gradFill>
              <a:gsLst>
                <a:gs pos="0">
                  <a:srgbClr val="FFDB04"/>
                </a:gs>
                <a:gs pos="100000">
                  <a:srgbClr val="FF7B21">
                    <a:alpha val="25000"/>
                  </a:srgbClr>
                </a:gs>
              </a:gsLst>
              <a:lin ang="5400000" scaled="0"/>
            </a:gradFill>
            <a:ln>
              <a:noFill/>
            </a:ln>
            <a:effectLst/>
          </c:spPr>
          <c:val>
            <c:numRef>
              <c:f>Processing!$J$28:$J$33</c:f>
              <c:numCache>
                <c:formatCode>#,##0</c:formatCode>
                <c:ptCount val="6"/>
                <c:pt idx="0">
                  <c:v>0</c:v>
                </c:pt>
                <c:pt idx="1">
                  <c:v>23981</c:v>
                </c:pt>
                <c:pt idx="2">
                  <c:v>0</c:v>
                </c:pt>
                <c:pt idx="3">
                  <c:v>0</c:v>
                </c:pt>
                <c:pt idx="4">
                  <c:v>0</c:v>
                </c:pt>
                <c:pt idx="5">
                  <c:v>0</c:v>
                </c:pt>
              </c:numCache>
            </c:numRef>
          </c:val>
          <c:extLst>
            <c:ext xmlns:c16="http://schemas.microsoft.com/office/drawing/2014/chart" uri="{C3380CC4-5D6E-409C-BE32-E72D297353CC}">
              <c16:uniqueId val="{00000000-8642-41B4-B456-85F13CD731D9}"/>
            </c:ext>
          </c:extLst>
        </c:ser>
        <c:ser>
          <c:idx val="1"/>
          <c:order val="1"/>
          <c:spPr>
            <a:gradFill>
              <a:gsLst>
                <a:gs pos="0">
                  <a:srgbClr val="A868FA"/>
                </a:gs>
                <a:gs pos="100000">
                  <a:srgbClr val="6469FF">
                    <a:alpha val="25000"/>
                  </a:srgbClr>
                </a:gs>
              </a:gsLst>
              <a:lin ang="5400000" scaled="0"/>
            </a:gradFill>
            <a:ln>
              <a:noFill/>
            </a:ln>
            <a:effectLst/>
          </c:spPr>
          <c:val>
            <c:numRef>
              <c:f>Processing!$K$28:$K$33</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8642-41B4-B456-85F13CD731D9}"/>
            </c:ext>
          </c:extLst>
        </c:ser>
        <c:ser>
          <c:idx val="2"/>
          <c:order val="2"/>
          <c:spPr>
            <a:gradFill>
              <a:gsLst>
                <a:gs pos="0">
                  <a:srgbClr val="8F4AE5">
                    <a:alpha val="25000"/>
                  </a:srgbClr>
                </a:gs>
                <a:gs pos="100000">
                  <a:srgbClr val="FA2A7F"/>
                </a:gs>
              </a:gsLst>
              <a:lin ang="16200000" scaled="0"/>
            </a:gradFill>
            <a:ln>
              <a:noFill/>
            </a:ln>
            <a:effectLst/>
          </c:spPr>
          <c:val>
            <c:numRef>
              <c:f>Processing!$L$28:$L$33</c:f>
              <c:numCache>
                <c:formatCode>#,##0</c:formatCode>
                <c:ptCount val="6"/>
                <c:pt idx="0">
                  <c:v>0</c:v>
                </c:pt>
                <c:pt idx="1">
                  <c:v>0</c:v>
                </c:pt>
                <c:pt idx="2">
                  <c:v>0</c:v>
                </c:pt>
                <c:pt idx="3">
                  <c:v>24836</c:v>
                </c:pt>
                <c:pt idx="4">
                  <c:v>0</c:v>
                </c:pt>
                <c:pt idx="5">
                  <c:v>0</c:v>
                </c:pt>
              </c:numCache>
            </c:numRef>
          </c:val>
          <c:extLst>
            <c:ext xmlns:c16="http://schemas.microsoft.com/office/drawing/2014/chart" uri="{C3380CC4-5D6E-409C-BE32-E72D297353CC}">
              <c16:uniqueId val="{00000002-8642-41B4-B456-85F13CD731D9}"/>
            </c:ext>
          </c:extLst>
        </c:ser>
        <c:ser>
          <c:idx val="3"/>
          <c:order val="3"/>
          <c:spPr>
            <a:gradFill>
              <a:gsLst>
                <a:gs pos="0">
                  <a:srgbClr val="29EBFC"/>
                </a:gs>
                <a:gs pos="100000">
                  <a:srgbClr val="2596FF">
                    <a:alpha val="25000"/>
                  </a:srgbClr>
                </a:gs>
              </a:gsLst>
              <a:lin ang="5400000" scaled="0"/>
            </a:gradFill>
            <a:ln>
              <a:noFill/>
            </a:ln>
            <a:effectLst/>
          </c:spPr>
          <c:val>
            <c:numRef>
              <c:f>Processing!$M$28:$M$33</c:f>
              <c:numCache>
                <c:formatCode>#,##0</c:formatCode>
                <c:ptCount val="6"/>
                <c:pt idx="0">
                  <c:v>0</c:v>
                </c:pt>
                <c:pt idx="1">
                  <c:v>0</c:v>
                </c:pt>
                <c:pt idx="2">
                  <c:v>0</c:v>
                </c:pt>
                <c:pt idx="3">
                  <c:v>0</c:v>
                </c:pt>
                <c:pt idx="4">
                  <c:v>28781</c:v>
                </c:pt>
                <c:pt idx="5">
                  <c:v>0</c:v>
                </c:pt>
              </c:numCache>
            </c:numRef>
          </c:val>
          <c:extLst>
            <c:ext xmlns:c16="http://schemas.microsoft.com/office/drawing/2014/chart" uri="{C3380CC4-5D6E-409C-BE32-E72D297353CC}">
              <c16:uniqueId val="{00000003-8642-41B4-B456-85F13CD731D9}"/>
            </c:ext>
          </c:extLst>
        </c:ser>
        <c:ser>
          <c:idx val="4"/>
          <c:order val="4"/>
          <c:spPr>
            <a:gradFill>
              <a:gsLst>
                <a:gs pos="0">
                  <a:srgbClr val="A1FF21"/>
                </a:gs>
                <a:gs pos="100000">
                  <a:srgbClr val="2596FF">
                    <a:alpha val="50000"/>
                  </a:srgbClr>
                </a:gs>
              </a:gsLst>
              <a:lin ang="5400000" scaled="0"/>
            </a:gradFill>
            <a:ln w="25400">
              <a:noFill/>
            </a:ln>
            <a:effectLst/>
          </c:spPr>
          <c:val>
            <c:numRef>
              <c:f>Processing!$N$28:$N$33</c:f>
              <c:numCache>
                <c:formatCode>#,##0</c:formatCode>
                <c:ptCount val="6"/>
                <c:pt idx="0">
                  <c:v>0</c:v>
                </c:pt>
                <c:pt idx="1">
                  <c:v>0</c:v>
                </c:pt>
                <c:pt idx="2">
                  <c:v>22699</c:v>
                </c:pt>
                <c:pt idx="3">
                  <c:v>0</c:v>
                </c:pt>
                <c:pt idx="4">
                  <c:v>0</c:v>
                </c:pt>
                <c:pt idx="5">
                  <c:v>0</c:v>
                </c:pt>
              </c:numCache>
            </c:numRef>
          </c:val>
          <c:extLst>
            <c:ext xmlns:c16="http://schemas.microsoft.com/office/drawing/2014/chart" uri="{C3380CC4-5D6E-409C-BE32-E72D297353CC}">
              <c16:uniqueId val="{00000004-8642-41B4-B456-85F13CD731D9}"/>
            </c:ext>
          </c:extLst>
        </c:ser>
        <c:dLbls>
          <c:showLegendKey val="0"/>
          <c:showVal val="0"/>
          <c:showCatName val="0"/>
          <c:showSerName val="0"/>
          <c:showPercent val="0"/>
          <c:showBubbleSize val="0"/>
        </c:dLbls>
        <c:axId val="1317229296"/>
        <c:axId val="1317213936"/>
      </c:areaChart>
      <c:scatterChart>
        <c:scatterStyle val="lineMarker"/>
        <c:varyColors val="0"/>
        <c:ser>
          <c:idx val="5"/>
          <c:order val="5"/>
          <c:spPr>
            <a:ln w="25400" cap="rnd">
              <a:noFill/>
              <a:round/>
            </a:ln>
            <a:effectLst>
              <a:glow rad="63500">
                <a:schemeClr val="accent4">
                  <a:satMod val="175000"/>
                  <a:alpha val="40000"/>
                </a:schemeClr>
              </a:glow>
            </a:effectLst>
          </c:spPr>
          <c:marker>
            <c:symbol val="circle"/>
            <c:size val="5"/>
            <c:spPr>
              <a:solidFill>
                <a:srgbClr val="00B0F0">
                  <a:alpha val="12000"/>
                </a:srgbClr>
              </a:solidFill>
              <a:ln w="9525">
                <a:noFill/>
              </a:ln>
              <a:effectLst>
                <a:glow rad="63500">
                  <a:schemeClr val="accent4">
                    <a:satMod val="175000"/>
                    <a:alpha val="40000"/>
                  </a:schemeClr>
                </a:glo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Processing!$P$28</c:f>
              <c:numCache>
                <c:formatCode>General</c:formatCode>
                <c:ptCount val="1"/>
                <c:pt idx="0">
                  <c:v>3</c:v>
                </c:pt>
              </c:numCache>
            </c:numRef>
          </c:xVal>
          <c:yVal>
            <c:numRef>
              <c:f>Processing!$O$28</c:f>
              <c:numCache>
                <c:formatCode>General</c:formatCode>
                <c:ptCount val="1"/>
                <c:pt idx="0">
                  <c:v>22699</c:v>
                </c:pt>
              </c:numCache>
            </c:numRef>
          </c:yVal>
          <c:smooth val="0"/>
          <c:extLst>
            <c:ext xmlns:c16="http://schemas.microsoft.com/office/drawing/2014/chart" uri="{C3380CC4-5D6E-409C-BE32-E72D297353CC}">
              <c16:uniqueId val="{00000005-8642-41B4-B456-85F13CD731D9}"/>
            </c:ext>
          </c:extLst>
        </c:ser>
        <c:dLbls>
          <c:showLegendKey val="0"/>
          <c:showVal val="0"/>
          <c:showCatName val="0"/>
          <c:showSerName val="0"/>
          <c:showPercent val="0"/>
          <c:showBubbleSize val="0"/>
        </c:dLbls>
        <c:axId val="1317229296"/>
        <c:axId val="1317213936"/>
      </c:scatterChart>
      <c:catAx>
        <c:axId val="1317229296"/>
        <c:scaling>
          <c:orientation val="minMax"/>
        </c:scaling>
        <c:delete val="1"/>
        <c:axPos val="b"/>
        <c:majorTickMark val="out"/>
        <c:minorTickMark val="none"/>
        <c:tickLblPos val="nextTo"/>
        <c:crossAx val="1317213936"/>
        <c:crosses val="autoZero"/>
        <c:auto val="1"/>
        <c:lblAlgn val="ctr"/>
        <c:lblOffset val="100"/>
        <c:noMultiLvlLbl val="0"/>
      </c:catAx>
      <c:valAx>
        <c:axId val="1317213936"/>
        <c:scaling>
          <c:orientation val="minMax"/>
        </c:scaling>
        <c:delete val="1"/>
        <c:axPos val="l"/>
        <c:numFmt formatCode="#,##0" sourceLinked="1"/>
        <c:majorTickMark val="none"/>
        <c:minorTickMark val="none"/>
        <c:tickLblPos val="nextTo"/>
        <c:crossAx val="13172292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8100000" algn="tr" rotWithShape="0">
                <a:prstClr val="black">
                  <a:alpha val="40000"/>
                </a:prstClr>
              </a:outerShdw>
            </a:effectLst>
          </c:spPr>
          <c:dPt>
            <c:idx val="0"/>
            <c:bubble3D val="0"/>
            <c:spPr>
              <a:gradFill flip="none" rotWithShape="1">
                <a:gsLst>
                  <a:gs pos="0">
                    <a:srgbClr val="FFDB04"/>
                  </a:gs>
                  <a:gs pos="100000">
                    <a:srgbClr val="FF7B21"/>
                  </a:gs>
                </a:gsLst>
                <a:lin ang="2700000" scaled="1"/>
                <a:tileRect/>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4165-4414-8813-C7307CFD6C0B}"/>
              </c:ext>
            </c:extLst>
          </c:dPt>
          <c:dPt>
            <c:idx val="1"/>
            <c:bubble3D val="0"/>
            <c:spPr>
              <a:solidFill>
                <a:schemeClr val="bg1"/>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4165-4414-8813-C7307CFD6C0B}"/>
              </c:ext>
            </c:extLst>
          </c:dPt>
          <c:dPt>
            <c:idx val="2"/>
            <c:bubble3D val="0"/>
            <c:spPr>
              <a:gradFill>
                <a:gsLst>
                  <a:gs pos="0">
                    <a:srgbClr val="FFDB04"/>
                  </a:gs>
                  <a:gs pos="100000">
                    <a:srgbClr val="FF7B21"/>
                  </a:gs>
                </a:gsLst>
                <a:lin ang="27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4165-4414-8813-C7307CFD6C0B}"/>
              </c:ext>
            </c:extLst>
          </c:dPt>
          <c:dPt>
            <c:idx val="3"/>
            <c:bubble3D val="0"/>
            <c:spPr>
              <a:solidFill>
                <a:srgbClr val="FF9855">
                  <a:alpha val="1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7-4165-4414-8813-C7307CFD6C0B}"/>
              </c:ext>
            </c:extLst>
          </c:dPt>
          <c:val>
            <c:numRef>
              <c:f>Processing!$B$4:$E$4</c:f>
              <c:numCache>
                <c:formatCode>0%</c:formatCode>
                <c:ptCount val="4"/>
                <c:pt idx="0">
                  <c:v>0.88833333333333353</c:v>
                </c:pt>
                <c:pt idx="1">
                  <c:v>0</c:v>
                </c:pt>
                <c:pt idx="2">
                  <c:v>0</c:v>
                </c:pt>
                <c:pt idx="3" formatCode="0.0%">
                  <c:v>0.11166666666666647</c:v>
                </c:pt>
              </c:numCache>
            </c:numRef>
          </c:val>
          <c:extLst>
            <c:ext xmlns:c16="http://schemas.microsoft.com/office/drawing/2014/chart" uri="{C3380CC4-5D6E-409C-BE32-E72D297353CC}">
              <c16:uniqueId val="{00000008-4165-4414-8813-C7307CFD6C0B}"/>
            </c:ext>
          </c:extLst>
        </c:ser>
        <c:dLbls>
          <c:showLegendKey val="0"/>
          <c:showVal val="0"/>
          <c:showCatName val="0"/>
          <c:showSerName val="0"/>
          <c:showPercent val="0"/>
          <c:showBubbleSize val="0"/>
          <c:showLeaderLines val="1"/>
        </c:dLbls>
        <c:firstSliceAng val="9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8100000" algn="tr" rotWithShape="0">
                <a:prstClr val="black">
                  <a:alpha val="40000"/>
                </a:prstClr>
              </a:outerShdw>
            </a:effectLst>
          </c:spPr>
          <c:dPt>
            <c:idx val="0"/>
            <c:bubble3D val="0"/>
            <c:spPr>
              <a:gradFill flip="none" rotWithShape="1">
                <a:gsLst>
                  <a:gs pos="0">
                    <a:srgbClr val="A868FA"/>
                  </a:gs>
                  <a:gs pos="100000">
                    <a:srgbClr val="6469FF"/>
                  </a:gs>
                </a:gsLst>
                <a:lin ang="2700000" scaled="1"/>
                <a:tileRect/>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F6A3-4C26-8465-F10C3F4E4412}"/>
              </c:ext>
            </c:extLst>
          </c:dPt>
          <c:dPt>
            <c:idx val="1"/>
            <c:bubble3D val="0"/>
            <c:spPr>
              <a:solidFill>
                <a:schemeClr val="bg1"/>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F6A3-4C26-8465-F10C3F4E4412}"/>
              </c:ext>
            </c:extLst>
          </c:dPt>
          <c:dPt>
            <c:idx val="2"/>
            <c:bubble3D val="0"/>
            <c:spPr>
              <a:gradFill>
                <a:gsLst>
                  <a:gs pos="0">
                    <a:srgbClr val="A868FA"/>
                  </a:gs>
                  <a:gs pos="100000">
                    <a:srgbClr val="6469FF"/>
                  </a:gs>
                </a:gsLst>
                <a:lin ang="2700000" scaled="1"/>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F6A3-4C26-8465-F10C3F4E4412}"/>
              </c:ext>
            </c:extLst>
          </c:dPt>
          <c:dPt>
            <c:idx val="3"/>
            <c:bubble3D val="0"/>
            <c:spPr>
              <a:solidFill>
                <a:srgbClr val="A868FA">
                  <a:alpha val="1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7-F6A3-4C26-8465-F10C3F4E4412}"/>
              </c:ext>
            </c:extLst>
          </c:dPt>
          <c:val>
            <c:numRef>
              <c:f>Processing!$B$6:$E$6</c:f>
              <c:numCache>
                <c:formatCode>0%</c:formatCode>
                <c:ptCount val="4"/>
                <c:pt idx="0">
                  <c:v>0.65083333333333337</c:v>
                </c:pt>
                <c:pt idx="1">
                  <c:v>0</c:v>
                </c:pt>
                <c:pt idx="2">
                  <c:v>0</c:v>
                </c:pt>
                <c:pt idx="3" formatCode="0.0%">
                  <c:v>0.34916666666666663</c:v>
                </c:pt>
              </c:numCache>
            </c:numRef>
          </c:val>
          <c:extLst>
            <c:ext xmlns:c16="http://schemas.microsoft.com/office/drawing/2014/chart" uri="{C3380CC4-5D6E-409C-BE32-E72D297353CC}">
              <c16:uniqueId val="{00000008-F6A3-4C26-8465-F10C3F4E4412}"/>
            </c:ext>
          </c:extLst>
        </c:ser>
        <c:dLbls>
          <c:showLegendKey val="0"/>
          <c:showVal val="0"/>
          <c:showCatName val="0"/>
          <c:showSerName val="0"/>
          <c:showPercent val="0"/>
          <c:showBubbleSize val="0"/>
          <c:showLeaderLines val="1"/>
        </c:dLbls>
        <c:firstSliceAng val="90"/>
        <c:holeSize val="8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8100000" algn="tr" rotWithShape="0">
                <a:prstClr val="black">
                  <a:alpha val="40000"/>
                </a:prstClr>
              </a:outerShdw>
            </a:effectLst>
          </c:spPr>
          <c:dPt>
            <c:idx val="0"/>
            <c:bubble3D val="0"/>
            <c:spPr>
              <a:gradFill flip="none" rotWithShape="1">
                <a:gsLst>
                  <a:gs pos="0">
                    <a:srgbClr val="29EBFC"/>
                  </a:gs>
                  <a:gs pos="100000">
                    <a:srgbClr val="2596FF"/>
                  </a:gs>
                </a:gsLst>
                <a:lin ang="2700000" scaled="1"/>
                <a:tileRect/>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0904-4539-91DB-377655BE85CD}"/>
              </c:ext>
            </c:extLst>
          </c:dPt>
          <c:dPt>
            <c:idx val="1"/>
            <c:bubble3D val="0"/>
            <c:spPr>
              <a:solidFill>
                <a:schemeClr val="bg1"/>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0904-4539-91DB-377655BE85CD}"/>
              </c:ext>
            </c:extLst>
          </c:dPt>
          <c:dPt>
            <c:idx val="2"/>
            <c:bubble3D val="0"/>
            <c:spPr>
              <a:gradFill>
                <a:gsLst>
                  <a:gs pos="0">
                    <a:srgbClr val="29EBFC"/>
                  </a:gs>
                  <a:gs pos="100000">
                    <a:srgbClr val="2596FF"/>
                  </a:gs>
                </a:gsLst>
                <a:lin ang="2700000" scaled="1"/>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0904-4539-91DB-377655BE85CD}"/>
              </c:ext>
            </c:extLst>
          </c:dPt>
          <c:dPt>
            <c:idx val="3"/>
            <c:bubble3D val="0"/>
            <c:spPr>
              <a:solidFill>
                <a:srgbClr val="2596FF">
                  <a:alpha val="1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7-0904-4539-91DB-377655BE85CD}"/>
              </c:ext>
            </c:extLst>
          </c:dPt>
          <c:val>
            <c:numRef>
              <c:f>Processing!$B$8:$E$8</c:f>
              <c:numCache>
                <c:formatCode>0%</c:formatCode>
                <c:ptCount val="4"/>
                <c:pt idx="0">
                  <c:v>0.59500000000000008</c:v>
                </c:pt>
                <c:pt idx="1">
                  <c:v>0</c:v>
                </c:pt>
                <c:pt idx="2">
                  <c:v>0</c:v>
                </c:pt>
                <c:pt idx="3" formatCode="0.0%">
                  <c:v>0.40499999999999992</c:v>
                </c:pt>
              </c:numCache>
            </c:numRef>
          </c:val>
          <c:extLst>
            <c:ext xmlns:c16="http://schemas.microsoft.com/office/drawing/2014/chart" uri="{C3380CC4-5D6E-409C-BE32-E72D297353CC}">
              <c16:uniqueId val="{00000008-0904-4539-91DB-377655BE85CD}"/>
            </c:ext>
          </c:extLst>
        </c:ser>
        <c:dLbls>
          <c:showLegendKey val="0"/>
          <c:showVal val="0"/>
          <c:showCatName val="0"/>
          <c:showSerName val="0"/>
          <c:showPercent val="0"/>
          <c:showBubbleSize val="0"/>
          <c:showLeaderLines val="1"/>
        </c:dLbls>
        <c:firstSliceAng val="90"/>
        <c:holeSize val="8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8100000" algn="tr" rotWithShape="0">
                <a:prstClr val="black">
                  <a:alpha val="40000"/>
                </a:prstClr>
              </a:outerShdw>
            </a:effectLst>
          </c:spPr>
          <c:dPt>
            <c:idx val="0"/>
            <c:bubble3D val="0"/>
            <c:spPr>
              <a:gradFill flip="none" rotWithShape="1">
                <a:gsLst>
                  <a:gs pos="0">
                    <a:srgbClr val="8F4AE5"/>
                  </a:gs>
                  <a:gs pos="100000">
                    <a:srgbClr val="FA2A7F"/>
                  </a:gs>
                </a:gsLst>
                <a:lin ang="2700000" scaled="1"/>
                <a:tileRect/>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43D0-4E13-ABDC-49AE52FE788F}"/>
              </c:ext>
            </c:extLst>
          </c:dPt>
          <c:dPt>
            <c:idx val="1"/>
            <c:bubble3D val="0"/>
            <c:spPr>
              <a:solidFill>
                <a:schemeClr val="bg1"/>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43D0-4E13-ABDC-49AE52FE788F}"/>
              </c:ext>
            </c:extLst>
          </c:dPt>
          <c:dPt>
            <c:idx val="2"/>
            <c:bubble3D val="0"/>
            <c:spPr>
              <a:gradFill>
                <a:gsLst>
                  <a:gs pos="0">
                    <a:srgbClr val="8F4AE5"/>
                  </a:gs>
                  <a:gs pos="100000">
                    <a:srgbClr val="FA2A7F"/>
                  </a:gs>
                </a:gsLst>
                <a:lin ang="2700000" scaled="1"/>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43D0-4E13-ABDC-49AE52FE788F}"/>
              </c:ext>
            </c:extLst>
          </c:dPt>
          <c:dPt>
            <c:idx val="3"/>
            <c:bubble3D val="0"/>
            <c:spPr>
              <a:solidFill>
                <a:srgbClr val="8F4AE5">
                  <a:alpha val="1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7-43D0-4E13-ABDC-49AE52FE788F}"/>
              </c:ext>
            </c:extLst>
          </c:dPt>
          <c:val>
            <c:numRef>
              <c:f>Processing!$B$10:$E$10</c:f>
              <c:numCache>
                <c:formatCode>0%</c:formatCode>
                <c:ptCount val="4"/>
                <c:pt idx="0">
                  <c:v>0.6349999999999999</c:v>
                </c:pt>
                <c:pt idx="1">
                  <c:v>0</c:v>
                </c:pt>
                <c:pt idx="2">
                  <c:v>0</c:v>
                </c:pt>
                <c:pt idx="3" formatCode="0.0%">
                  <c:v>0.3650000000000001</c:v>
                </c:pt>
              </c:numCache>
            </c:numRef>
          </c:val>
          <c:extLst>
            <c:ext xmlns:c16="http://schemas.microsoft.com/office/drawing/2014/chart" uri="{C3380CC4-5D6E-409C-BE32-E72D297353CC}">
              <c16:uniqueId val="{00000008-43D0-4E13-ABDC-49AE52FE788F}"/>
            </c:ext>
          </c:extLst>
        </c:ser>
        <c:dLbls>
          <c:showLegendKey val="0"/>
          <c:showVal val="0"/>
          <c:showCatName val="0"/>
          <c:showSerName val="0"/>
          <c:showPercent val="0"/>
          <c:showBubbleSize val="0"/>
          <c:showLeaderLines val="1"/>
        </c:dLbls>
        <c:firstSliceAng val="90"/>
        <c:holeSize val="8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rgbClr val="8F4AE5"/>
                  </a:gs>
                  <a:gs pos="100000">
                    <a:srgbClr val="FA2A7F"/>
                  </a:gs>
                </a:gsLst>
                <a:lin ang="2700000" scaled="1"/>
                <a:tileRect/>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B73-4760-979C-779362F66916}"/>
              </c:ext>
            </c:extLst>
          </c:dPt>
          <c:dPt>
            <c:idx val="1"/>
            <c:bubble3D val="0"/>
            <c:spPr>
              <a:solidFill>
                <a:schemeClr val="bg1"/>
              </a:solidFill>
              <a:ln>
                <a:noFill/>
              </a:ln>
            </c:spPr>
            <c:extLst>
              <c:ext xmlns:c16="http://schemas.microsoft.com/office/drawing/2014/chart" uri="{C3380CC4-5D6E-409C-BE32-E72D297353CC}">
                <c16:uniqueId val="{00000003-7B73-4760-979C-779362F66916}"/>
              </c:ext>
            </c:extLst>
          </c:dPt>
          <c:dPt>
            <c:idx val="2"/>
            <c:bubble3D val="0"/>
            <c:spPr>
              <a:gradFill>
                <a:gsLst>
                  <a:gs pos="0">
                    <a:srgbClr val="8F4AE5"/>
                  </a:gs>
                  <a:gs pos="100000">
                    <a:srgbClr val="FA2A7F"/>
                  </a:gs>
                </a:gsLst>
                <a:lin ang="2700000" scaled="1"/>
              </a:gradFill>
              <a:ln>
                <a:noFill/>
              </a:ln>
            </c:spPr>
            <c:extLst>
              <c:ext xmlns:c16="http://schemas.microsoft.com/office/drawing/2014/chart" uri="{C3380CC4-5D6E-409C-BE32-E72D297353CC}">
                <c16:uniqueId val="{00000005-7B73-4760-979C-779362F66916}"/>
              </c:ext>
            </c:extLst>
          </c:dPt>
          <c:dPt>
            <c:idx val="3"/>
            <c:bubble3D val="0"/>
            <c:spPr>
              <a:solidFill>
                <a:srgbClr val="8F4AE5">
                  <a:alpha val="10000"/>
                </a:srgbClr>
              </a:solidFill>
              <a:ln w="19050">
                <a:noFill/>
              </a:ln>
              <a:effectLst/>
            </c:spPr>
            <c:extLst>
              <c:ext xmlns:c16="http://schemas.microsoft.com/office/drawing/2014/chart" uri="{C3380CC4-5D6E-409C-BE32-E72D297353CC}">
                <c16:uniqueId val="{00000007-7B73-4760-979C-779362F66916}"/>
              </c:ext>
            </c:extLst>
          </c:dPt>
          <c:val>
            <c:numRef>
              <c:f>Processing!$H$4:$K$4</c:f>
              <c:numCache>
                <c:formatCode>0%</c:formatCode>
                <c:ptCount val="4"/>
                <c:pt idx="0">
                  <c:v>0.89958333333333329</c:v>
                </c:pt>
                <c:pt idx="1">
                  <c:v>0</c:v>
                </c:pt>
                <c:pt idx="2">
                  <c:v>0</c:v>
                </c:pt>
                <c:pt idx="3" formatCode="0.0%">
                  <c:v>0.10041666666666671</c:v>
                </c:pt>
              </c:numCache>
            </c:numRef>
          </c:val>
          <c:extLst>
            <c:ext xmlns:c16="http://schemas.microsoft.com/office/drawing/2014/chart" uri="{C3380CC4-5D6E-409C-BE32-E72D297353CC}">
              <c16:uniqueId val="{00000008-7B73-4760-979C-779362F66916}"/>
            </c:ext>
          </c:extLst>
        </c:ser>
        <c:dLbls>
          <c:showLegendKey val="0"/>
          <c:showVal val="0"/>
          <c:showCatName val="0"/>
          <c:showSerName val="0"/>
          <c:showPercent val="0"/>
          <c:showBubbleSize val="0"/>
          <c:showLeaderLines val="1"/>
        </c:dLbls>
        <c:firstSliceAng val="90"/>
        <c:holeSize val="8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effectLst>
              <a:outerShdw blurRad="50800" dist="38100" dir="8100000" algn="tr" rotWithShape="0">
                <a:prstClr val="black">
                  <a:alpha val="40000"/>
                </a:prstClr>
              </a:outerShdw>
            </a:effectLst>
          </c:spPr>
          <c:dPt>
            <c:idx val="0"/>
            <c:bubble3D val="0"/>
            <c:spPr>
              <a:gradFill>
                <a:gsLst>
                  <a:gs pos="0">
                    <a:srgbClr val="A1FF21"/>
                  </a:gs>
                  <a:gs pos="100000">
                    <a:srgbClr val="2596FF"/>
                  </a:gs>
                </a:gsLst>
                <a:lin ang="2700000" scaled="1"/>
              </a:gradFill>
              <a:effectLst>
                <a:outerShdw blurRad="50800" dist="38100" dir="8100000" algn="tr" rotWithShape="0">
                  <a:prstClr val="black">
                    <a:alpha val="40000"/>
                  </a:prstClr>
                </a:outerShdw>
              </a:effectLst>
            </c:spPr>
            <c:extLst>
              <c:ext xmlns:c16="http://schemas.microsoft.com/office/drawing/2014/chart" uri="{C3380CC4-5D6E-409C-BE32-E72D297353CC}">
                <c16:uniqueId val="{00000001-E547-4EBE-8B82-95BC68409E7D}"/>
              </c:ext>
            </c:extLst>
          </c:dPt>
          <c:dPt>
            <c:idx val="1"/>
            <c:bubble3D val="0"/>
            <c:spPr>
              <a:gradFill>
                <a:gsLst>
                  <a:gs pos="0">
                    <a:srgbClr val="8F4AE5"/>
                  </a:gs>
                  <a:gs pos="100000">
                    <a:srgbClr val="FA2A7F"/>
                  </a:gs>
                </a:gsLst>
                <a:lin ang="2700000" scaled="1"/>
              </a:gradFill>
              <a:effectLst>
                <a:outerShdw blurRad="50800" dist="38100" dir="8100000" algn="tr" rotWithShape="0">
                  <a:prstClr val="black">
                    <a:alpha val="40000"/>
                  </a:prstClr>
                </a:outerShdw>
              </a:effectLst>
            </c:spPr>
            <c:extLst>
              <c:ext xmlns:c16="http://schemas.microsoft.com/office/drawing/2014/chart" uri="{C3380CC4-5D6E-409C-BE32-E72D297353CC}">
                <c16:uniqueId val="{00000003-E547-4EBE-8B82-95BC68409E7D}"/>
              </c:ext>
            </c:extLst>
          </c:dPt>
          <c:val>
            <c:numRef>
              <c:f>Processing!$G$8:$H$8</c:f>
              <c:numCache>
                <c:formatCode>0%</c:formatCode>
                <c:ptCount val="2"/>
                <c:pt idx="0">
                  <c:v>0.68151177994274115</c:v>
                </c:pt>
                <c:pt idx="1">
                  <c:v>0.31848822005725885</c:v>
                </c:pt>
              </c:numCache>
            </c:numRef>
          </c:val>
          <c:extLst>
            <c:ext xmlns:c16="http://schemas.microsoft.com/office/drawing/2014/chart" uri="{C3380CC4-5D6E-409C-BE32-E72D297353CC}">
              <c16:uniqueId val="{00000004-E547-4EBE-8B82-95BC68409E7D}"/>
            </c:ext>
          </c:extLst>
        </c:ser>
        <c:dLbls>
          <c:showLegendKey val="0"/>
          <c:showVal val="0"/>
          <c:showCatName val="0"/>
          <c:showSerName val="0"/>
          <c:showPercent val="0"/>
          <c:showBubbleSize val="0"/>
          <c:showLeaderLines val="1"/>
        </c:dLbls>
        <c:firstSliceAng val="270"/>
        <c:holeSize val="8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5875" cap="rnd">
              <a:gradFill>
                <a:gsLst>
                  <a:gs pos="0">
                    <a:srgbClr val="FA2A7F"/>
                  </a:gs>
                  <a:gs pos="100000">
                    <a:srgbClr val="8F4AE5"/>
                  </a:gs>
                </a:gsLst>
                <a:lin ang="5400000" scaled="1"/>
              </a:gradFill>
              <a:round/>
            </a:ln>
            <a:effectLst/>
          </c:spPr>
          <c:marker>
            <c:symbol val="none"/>
          </c:marker>
          <c:cat>
            <c:strRef>
              <c:f>Processing!$B$14:$B$25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Processing!$C$14:$C$25</c:f>
              <c:numCache>
                <c:formatCode>General</c:formatCode>
                <c:ptCount val="12"/>
                <c:pt idx="0">
                  <c:v>30021</c:v>
                </c:pt>
                <c:pt idx="1">
                  <c:v>28214</c:v>
                </c:pt>
                <c:pt idx="2">
                  <c:v>23473</c:v>
                </c:pt>
                <c:pt idx="3">
                  <c:v>25280</c:v>
                </c:pt>
                <c:pt idx="4">
                  <c:v>28374</c:v>
                </c:pt>
                <c:pt idx="5">
                  <c:v>26823</c:v>
                </c:pt>
                <c:pt idx="6">
                  <c:v>32871</c:v>
                </c:pt>
                <c:pt idx="7">
                  <c:v>25108</c:v>
                </c:pt>
                <c:pt idx="8">
                  <c:v>28741</c:v>
                </c:pt>
                <c:pt idx="9">
                  <c:v>25964</c:v>
                </c:pt>
                <c:pt idx="10">
                  <c:v>29363</c:v>
                </c:pt>
                <c:pt idx="11">
                  <c:v>26430</c:v>
                </c:pt>
              </c:numCache>
            </c:numRef>
          </c:val>
          <c:smooth val="1"/>
          <c:extLst>
            <c:ext xmlns:c16="http://schemas.microsoft.com/office/drawing/2014/chart" uri="{C3380CC4-5D6E-409C-BE32-E72D297353CC}">
              <c16:uniqueId val="{00000000-DC71-41AD-BAC6-7B3368C51E64}"/>
            </c:ext>
          </c:extLst>
        </c:ser>
        <c:dLbls>
          <c:showLegendKey val="0"/>
          <c:showVal val="0"/>
          <c:showCatName val="0"/>
          <c:showSerName val="0"/>
          <c:showPercent val="0"/>
          <c:showBubbleSize val="0"/>
        </c:dLbls>
        <c:marker val="1"/>
        <c:smooth val="0"/>
        <c:axId val="107382720"/>
        <c:axId val="107383680"/>
      </c:lineChart>
      <c:scatterChart>
        <c:scatterStyle val="lineMarker"/>
        <c:varyColors val="0"/>
        <c:ser>
          <c:idx val="1"/>
          <c:order val="1"/>
          <c:tx>
            <c:v>mark</c:v>
          </c:tx>
          <c:spPr>
            <a:ln w="25400" cap="rnd">
              <a:noFill/>
              <a:round/>
            </a:ln>
            <a:effectLst>
              <a:glow rad="63500">
                <a:srgbClr val="7030A0">
                  <a:alpha val="40000"/>
                </a:srgbClr>
              </a:glow>
            </a:effectLst>
          </c:spPr>
          <c:marker>
            <c:symbol val="circle"/>
            <c:size val="5"/>
            <c:spPr>
              <a:solidFill>
                <a:srgbClr val="D50559"/>
              </a:solidFill>
              <a:ln w="12700">
                <a:solidFill>
                  <a:schemeClr val="bg1"/>
                </a:solidFill>
              </a:ln>
              <a:effectLst>
                <a:glow rad="63500">
                  <a:srgbClr val="7030A0">
                    <a:alpha val="40000"/>
                  </a:srgbClr>
                </a:glow>
              </a:effectLst>
            </c:spPr>
          </c:marker>
          <c:yVal>
            <c:numRef>
              <c:f>Processing!$D$14:$D$25</c:f>
              <c:numCache>
                <c:formatCode>General</c:formatCode>
                <c:ptCount val="12"/>
                <c:pt idx="0">
                  <c:v>#N/A</c:v>
                </c:pt>
                <c:pt idx="1">
                  <c:v>#N/A</c:v>
                </c:pt>
                <c:pt idx="2">
                  <c:v>#N/A</c:v>
                </c:pt>
                <c:pt idx="3">
                  <c:v>25280</c:v>
                </c:pt>
                <c:pt idx="4">
                  <c:v>28374</c:v>
                </c:pt>
                <c:pt idx="5">
                  <c:v>26823</c:v>
                </c:pt>
                <c:pt idx="6">
                  <c:v>32871</c:v>
                </c:pt>
                <c:pt idx="7">
                  <c:v>25108</c:v>
                </c:pt>
                <c:pt idx="8">
                  <c:v>28741</c:v>
                </c:pt>
                <c:pt idx="9">
                  <c:v>#N/A</c:v>
                </c:pt>
                <c:pt idx="10">
                  <c:v>#N/A</c:v>
                </c:pt>
                <c:pt idx="11">
                  <c:v>#N/A</c:v>
                </c:pt>
              </c:numCache>
            </c:numRef>
          </c:yVal>
          <c:smooth val="0"/>
          <c:extLst>
            <c:ext xmlns:c16="http://schemas.microsoft.com/office/drawing/2014/chart" uri="{C3380CC4-5D6E-409C-BE32-E72D297353CC}">
              <c16:uniqueId val="{00000001-DC71-41AD-BAC6-7B3368C51E64}"/>
            </c:ext>
          </c:extLst>
        </c:ser>
        <c:dLbls>
          <c:showLegendKey val="0"/>
          <c:showVal val="0"/>
          <c:showCatName val="0"/>
          <c:showSerName val="0"/>
          <c:showPercent val="0"/>
          <c:showBubbleSize val="0"/>
        </c:dLbls>
        <c:axId val="514770016"/>
        <c:axId val="514769056"/>
      </c:scatterChart>
      <c:catAx>
        <c:axId val="107382720"/>
        <c:scaling>
          <c:orientation val="minMax"/>
        </c:scaling>
        <c:delete val="0"/>
        <c:axPos val="b"/>
        <c:majorGridlines>
          <c:spPr>
            <a:ln w="9525" cap="flat" cmpd="sng" algn="ctr">
              <a:solidFill>
                <a:schemeClr val="bg1">
                  <a:lumMod val="75000"/>
                </a:schemeClr>
              </a:solidFill>
              <a:round/>
            </a:ln>
            <a:effectLst/>
          </c:spPr>
        </c:majorGridlines>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chemeClr val="bg1">
                    <a:lumMod val="50000"/>
                  </a:schemeClr>
                </a:solidFill>
                <a:latin typeface="+mn-lt"/>
                <a:ea typeface="+mn-ea"/>
                <a:cs typeface="+mn-cs"/>
              </a:defRPr>
            </a:pPr>
            <a:endParaRPr lang="ru-RU"/>
          </a:p>
        </c:txPr>
        <c:crossAx val="107383680"/>
        <c:crosses val="autoZero"/>
        <c:auto val="1"/>
        <c:lblAlgn val="ctr"/>
        <c:lblOffset val="100"/>
        <c:noMultiLvlLbl val="0"/>
      </c:catAx>
      <c:valAx>
        <c:axId val="107383680"/>
        <c:scaling>
          <c:orientation val="minMax"/>
        </c:scaling>
        <c:delete val="1"/>
        <c:axPos val="l"/>
        <c:majorGridlines>
          <c:spPr>
            <a:ln w="9525" cap="flat" cmpd="sng" algn="ctr">
              <a:solidFill>
                <a:schemeClr val="bg1">
                  <a:lumMod val="75000"/>
                </a:schemeClr>
              </a:solidFill>
              <a:round/>
            </a:ln>
            <a:effectLst/>
          </c:spPr>
        </c:majorGridlines>
        <c:numFmt formatCode="General" sourceLinked="1"/>
        <c:majorTickMark val="none"/>
        <c:minorTickMark val="none"/>
        <c:tickLblPos val="nextTo"/>
        <c:crossAx val="107382720"/>
        <c:crosses val="autoZero"/>
        <c:crossBetween val="between"/>
      </c:valAx>
      <c:valAx>
        <c:axId val="5147690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ru-RU"/>
          </a:p>
        </c:txPr>
        <c:crossAx val="514770016"/>
        <c:crosses val="max"/>
        <c:crossBetween val="midCat"/>
      </c:valAx>
      <c:valAx>
        <c:axId val="514770016"/>
        <c:scaling>
          <c:orientation val="minMax"/>
        </c:scaling>
        <c:delete val="1"/>
        <c:axPos val="b"/>
        <c:majorTickMark val="out"/>
        <c:minorTickMark val="none"/>
        <c:tickLblPos val="nextTo"/>
        <c:crossAx val="5147690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Processing!$F$12</c:f>
          <c:strCache>
            <c:ptCount val="1"/>
            <c:pt idx="0">
              <c:v>Profit / Loss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2.4444444444444446E-2"/>
          <c:y val="0.19211536760152173"/>
          <c:w val="0.95111111111111113"/>
          <c:h val="0.73481170190804801"/>
        </c:manualLayout>
      </c:layout>
      <c:barChart>
        <c:barDir val="col"/>
        <c:grouping val="stacked"/>
        <c:varyColors val="0"/>
        <c:ser>
          <c:idx val="0"/>
          <c:order val="0"/>
          <c:tx>
            <c:strRef>
              <c:f>Processing!$H$13</c:f>
              <c:strCache>
                <c:ptCount val="1"/>
                <c:pt idx="0">
                  <c:v>indent1</c:v>
                </c:pt>
              </c:strCache>
            </c:strRef>
          </c:tx>
          <c:spPr>
            <a:solidFill>
              <a:srgbClr val="5B63FF"/>
            </a:solidFill>
            <a:ln>
              <a:noFill/>
            </a:ln>
            <a:effectLst/>
          </c:spPr>
          <c:invertIfNegative val="0"/>
          <c:val>
            <c:numRef>
              <c:f>Processing!$H$14:$H$25</c:f>
              <c:numCache>
                <c:formatCode>General</c:formatCode>
                <c:ptCount val="12"/>
                <c:pt idx="0">
                  <c:v>100</c:v>
                </c:pt>
                <c:pt idx="1">
                  <c:v>100</c:v>
                </c:pt>
                <c:pt idx="2">
                  <c:v>100</c:v>
                </c:pt>
                <c:pt idx="3">
                  <c:v>0</c:v>
                </c:pt>
                <c:pt idx="4">
                  <c:v>0</c:v>
                </c:pt>
                <c:pt idx="5">
                  <c:v>0</c:v>
                </c:pt>
                <c:pt idx="6">
                  <c:v>0</c:v>
                </c:pt>
                <c:pt idx="7">
                  <c:v>0</c:v>
                </c:pt>
                <c:pt idx="8">
                  <c:v>0</c:v>
                </c:pt>
                <c:pt idx="9">
                  <c:v>100</c:v>
                </c:pt>
                <c:pt idx="10">
                  <c:v>100</c:v>
                </c:pt>
                <c:pt idx="11">
                  <c:v>100</c:v>
                </c:pt>
              </c:numCache>
            </c:numRef>
          </c:val>
          <c:extLst>
            <c:ext xmlns:c16="http://schemas.microsoft.com/office/drawing/2014/chart" uri="{C3380CC4-5D6E-409C-BE32-E72D297353CC}">
              <c16:uniqueId val="{00000000-5547-453A-A9FA-B0C834DD16A2}"/>
            </c:ext>
          </c:extLst>
        </c:ser>
        <c:ser>
          <c:idx val="1"/>
          <c:order val="1"/>
          <c:tx>
            <c:strRef>
              <c:f>Processing!$I$13</c:f>
              <c:strCache>
                <c:ptCount val="1"/>
                <c:pt idx="0">
                  <c:v>profit</c:v>
                </c:pt>
              </c:strCache>
            </c:strRef>
          </c:tx>
          <c:spPr>
            <a:solidFill>
              <a:srgbClr val="5B63FF"/>
            </a:solidFill>
            <a:ln>
              <a:noFill/>
            </a:ln>
            <a:effectLst>
              <a:outerShdw blurRad="50800" dist="38100" dir="8100000" algn="tr" rotWithShape="0">
                <a:prstClr val="black">
                  <a:alpha val="40000"/>
                </a:prstClr>
              </a:outerShdw>
            </a:effectLst>
          </c:spPr>
          <c:invertIfNegative val="0"/>
          <c:val>
            <c:numRef>
              <c:f>Processing!$I$14:$I$25</c:f>
              <c:numCache>
                <c:formatCode>General</c:formatCode>
                <c:ptCount val="12"/>
                <c:pt idx="0">
                  <c:v>1929</c:v>
                </c:pt>
                <c:pt idx="1">
                  <c:v>1033</c:v>
                </c:pt>
                <c:pt idx="2">
                  <c:v>2496</c:v>
                </c:pt>
                <c:pt idx="3">
                  <c:v>0</c:v>
                </c:pt>
                <c:pt idx="4">
                  <c:v>0</c:v>
                </c:pt>
                <c:pt idx="5">
                  <c:v>0</c:v>
                </c:pt>
                <c:pt idx="6">
                  <c:v>0</c:v>
                </c:pt>
                <c:pt idx="7">
                  <c:v>0</c:v>
                </c:pt>
                <c:pt idx="8">
                  <c:v>0</c:v>
                </c:pt>
                <c:pt idx="9">
                  <c:v>1565</c:v>
                </c:pt>
                <c:pt idx="10">
                  <c:v>2975</c:v>
                </c:pt>
                <c:pt idx="11">
                  <c:v>1019</c:v>
                </c:pt>
              </c:numCache>
            </c:numRef>
          </c:val>
          <c:extLst>
            <c:ext xmlns:c16="http://schemas.microsoft.com/office/drawing/2014/chart" uri="{C3380CC4-5D6E-409C-BE32-E72D297353CC}">
              <c16:uniqueId val="{00000001-5547-453A-A9FA-B0C834DD16A2}"/>
            </c:ext>
          </c:extLst>
        </c:ser>
        <c:ser>
          <c:idx val="2"/>
          <c:order val="2"/>
          <c:tx>
            <c:strRef>
              <c:f>Processing!$J$13</c:f>
              <c:strCache>
                <c:ptCount val="1"/>
                <c:pt idx="0">
                  <c:v>indent2</c:v>
                </c:pt>
              </c:strCache>
            </c:strRef>
          </c:tx>
          <c:spPr>
            <a:solidFill>
              <a:srgbClr val="8D4CE9"/>
            </a:solidFill>
            <a:ln>
              <a:noFill/>
            </a:ln>
            <a:effectLst/>
          </c:spPr>
          <c:invertIfNegative val="0"/>
          <c:val>
            <c:numRef>
              <c:f>Processing!$J$14:$J$25</c:f>
              <c:numCache>
                <c:formatCode>General</c:formatCode>
                <c:ptCount val="12"/>
                <c:pt idx="0">
                  <c:v>-100</c:v>
                </c:pt>
                <c:pt idx="1">
                  <c:v>-100</c:v>
                </c:pt>
                <c:pt idx="2">
                  <c:v>-100</c:v>
                </c:pt>
                <c:pt idx="3">
                  <c:v>0</c:v>
                </c:pt>
                <c:pt idx="4">
                  <c:v>0</c:v>
                </c:pt>
                <c:pt idx="5">
                  <c:v>0</c:v>
                </c:pt>
                <c:pt idx="6">
                  <c:v>0</c:v>
                </c:pt>
                <c:pt idx="7">
                  <c:v>0</c:v>
                </c:pt>
                <c:pt idx="8">
                  <c:v>0</c:v>
                </c:pt>
                <c:pt idx="9">
                  <c:v>-100</c:v>
                </c:pt>
                <c:pt idx="10">
                  <c:v>-100</c:v>
                </c:pt>
                <c:pt idx="11">
                  <c:v>-100</c:v>
                </c:pt>
              </c:numCache>
            </c:numRef>
          </c:val>
          <c:extLst>
            <c:ext xmlns:c16="http://schemas.microsoft.com/office/drawing/2014/chart" uri="{C3380CC4-5D6E-409C-BE32-E72D297353CC}">
              <c16:uniqueId val="{00000002-5547-453A-A9FA-B0C834DD16A2}"/>
            </c:ext>
          </c:extLst>
        </c:ser>
        <c:ser>
          <c:idx val="3"/>
          <c:order val="3"/>
          <c:tx>
            <c:strRef>
              <c:f>Processing!$K$13</c:f>
              <c:strCache>
                <c:ptCount val="1"/>
                <c:pt idx="0">
                  <c:v>loss</c:v>
                </c:pt>
              </c:strCache>
            </c:strRef>
          </c:tx>
          <c:spPr>
            <a:solidFill>
              <a:srgbClr val="8D4CE9"/>
            </a:solidFill>
            <a:ln>
              <a:noFill/>
            </a:ln>
            <a:effectLst>
              <a:outerShdw blurRad="50800" dist="38100" dir="8100000" algn="tr" rotWithShape="0">
                <a:prstClr val="black">
                  <a:alpha val="40000"/>
                </a:prstClr>
              </a:outerShdw>
            </a:effectLst>
          </c:spPr>
          <c:invertIfNegative val="0"/>
          <c:val>
            <c:numRef>
              <c:f>Processing!$K$14:$K$25</c:f>
              <c:numCache>
                <c:formatCode>General</c:formatCode>
                <c:ptCount val="12"/>
                <c:pt idx="0">
                  <c:v>-1517</c:v>
                </c:pt>
                <c:pt idx="1">
                  <c:v>-1745</c:v>
                </c:pt>
                <c:pt idx="2">
                  <c:v>-1041</c:v>
                </c:pt>
                <c:pt idx="3">
                  <c:v>0</c:v>
                </c:pt>
                <c:pt idx="4">
                  <c:v>0</c:v>
                </c:pt>
                <c:pt idx="5">
                  <c:v>0</c:v>
                </c:pt>
                <c:pt idx="6">
                  <c:v>0</c:v>
                </c:pt>
                <c:pt idx="7">
                  <c:v>0</c:v>
                </c:pt>
                <c:pt idx="8">
                  <c:v>0</c:v>
                </c:pt>
                <c:pt idx="9">
                  <c:v>-1645</c:v>
                </c:pt>
                <c:pt idx="10">
                  <c:v>-1504</c:v>
                </c:pt>
                <c:pt idx="11">
                  <c:v>-1338</c:v>
                </c:pt>
              </c:numCache>
            </c:numRef>
          </c:val>
          <c:extLst>
            <c:ext xmlns:c16="http://schemas.microsoft.com/office/drawing/2014/chart" uri="{C3380CC4-5D6E-409C-BE32-E72D297353CC}">
              <c16:uniqueId val="{00000003-5547-453A-A9FA-B0C834DD16A2}"/>
            </c:ext>
          </c:extLst>
        </c:ser>
        <c:ser>
          <c:idx val="7"/>
          <c:order val="5"/>
          <c:tx>
            <c:strRef>
              <c:f>Processing!$O$13</c:f>
              <c:strCache>
                <c:ptCount val="1"/>
                <c:pt idx="0">
                  <c:v>indent1 L2</c:v>
                </c:pt>
              </c:strCache>
            </c:strRef>
          </c:tx>
          <c:spPr>
            <a:solidFill>
              <a:srgbClr val="3CD964"/>
            </a:solidFill>
            <a:ln w="25400">
              <a:noFill/>
            </a:ln>
            <a:effectLst/>
          </c:spPr>
          <c:invertIfNegative val="0"/>
          <c:val>
            <c:numRef>
              <c:f>Processing!$O$14:$O$25</c:f>
              <c:numCache>
                <c:formatCode>General</c:formatCode>
                <c:ptCount val="12"/>
                <c:pt idx="0">
                  <c:v>0</c:v>
                </c:pt>
                <c:pt idx="1">
                  <c:v>0</c:v>
                </c:pt>
                <c:pt idx="2">
                  <c:v>0</c:v>
                </c:pt>
                <c:pt idx="3">
                  <c:v>100</c:v>
                </c:pt>
                <c:pt idx="4">
                  <c:v>100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5547-453A-A9FA-B0C834DD16A2}"/>
            </c:ext>
          </c:extLst>
        </c:ser>
        <c:ser>
          <c:idx val="5"/>
          <c:order val="6"/>
          <c:tx>
            <c:strRef>
              <c:f>Processing!$L$13</c:f>
              <c:strCache>
                <c:ptCount val="1"/>
                <c:pt idx="0">
                  <c:v>profit L2</c:v>
                </c:pt>
              </c:strCache>
            </c:strRef>
          </c:tx>
          <c:spPr>
            <a:solidFill>
              <a:srgbClr val="3CD964"/>
            </a:solidFill>
            <a:ln w="25400">
              <a:noFill/>
            </a:ln>
            <a:effectLst>
              <a:outerShdw blurRad="50800" dist="38100" dir="8100000" algn="tr" rotWithShape="0">
                <a:prstClr val="black">
                  <a:alpha val="40000"/>
                </a:prstClr>
              </a:outerShdw>
            </a:effectLst>
          </c:spPr>
          <c:invertIfNegative val="0"/>
          <c:val>
            <c:numRef>
              <c:f>Processing!$L$14:$L$25</c:f>
              <c:numCache>
                <c:formatCode>General</c:formatCode>
                <c:ptCount val="12"/>
                <c:pt idx="0">
                  <c:v>0</c:v>
                </c:pt>
                <c:pt idx="1">
                  <c:v>0</c:v>
                </c:pt>
                <c:pt idx="2">
                  <c:v>0</c:v>
                </c:pt>
                <c:pt idx="3">
                  <c:v>1937</c:v>
                </c:pt>
                <c:pt idx="4">
                  <c:v>2057</c:v>
                </c:pt>
                <c:pt idx="5">
                  <c:v>2146</c:v>
                </c:pt>
                <c:pt idx="6">
                  <c:v>1613</c:v>
                </c:pt>
                <c:pt idx="7">
                  <c:v>1525</c:v>
                </c:pt>
                <c:pt idx="8">
                  <c:v>2404</c:v>
                </c:pt>
                <c:pt idx="9">
                  <c:v>0</c:v>
                </c:pt>
                <c:pt idx="10">
                  <c:v>0</c:v>
                </c:pt>
                <c:pt idx="11">
                  <c:v>0</c:v>
                </c:pt>
              </c:numCache>
            </c:numRef>
          </c:val>
          <c:extLst>
            <c:ext xmlns:c16="http://schemas.microsoft.com/office/drawing/2014/chart" uri="{C3380CC4-5D6E-409C-BE32-E72D297353CC}">
              <c16:uniqueId val="{00000005-5547-453A-A9FA-B0C834DD16A2}"/>
            </c:ext>
          </c:extLst>
        </c:ser>
        <c:ser>
          <c:idx val="8"/>
          <c:order val="7"/>
          <c:tx>
            <c:strRef>
              <c:f>Processing!$P$13</c:f>
              <c:strCache>
                <c:ptCount val="1"/>
                <c:pt idx="0">
                  <c:v>indent2 L2</c:v>
                </c:pt>
              </c:strCache>
            </c:strRef>
          </c:tx>
          <c:spPr>
            <a:solidFill>
              <a:srgbClr val="FA2A7F"/>
            </a:solidFill>
            <a:ln w="25400">
              <a:noFill/>
            </a:ln>
            <a:effectLst/>
          </c:spPr>
          <c:invertIfNegative val="0"/>
          <c:val>
            <c:numRef>
              <c:f>Processing!$P$14:$P$25</c:f>
              <c:numCache>
                <c:formatCode>General</c:formatCode>
                <c:ptCount val="12"/>
                <c:pt idx="0">
                  <c:v>0</c:v>
                </c:pt>
                <c:pt idx="1">
                  <c:v>0</c:v>
                </c:pt>
                <c:pt idx="2">
                  <c:v>0</c:v>
                </c:pt>
                <c:pt idx="3">
                  <c:v>-100</c:v>
                </c:pt>
                <c:pt idx="4">
                  <c:v>-100</c:v>
                </c:pt>
                <c:pt idx="5">
                  <c:v>-100</c:v>
                </c:pt>
                <c:pt idx="6">
                  <c:v>-100</c:v>
                </c:pt>
                <c:pt idx="7">
                  <c:v>-100</c:v>
                </c:pt>
                <c:pt idx="8">
                  <c:v>-100</c:v>
                </c:pt>
                <c:pt idx="9">
                  <c:v>0</c:v>
                </c:pt>
                <c:pt idx="10">
                  <c:v>0</c:v>
                </c:pt>
                <c:pt idx="11">
                  <c:v>0</c:v>
                </c:pt>
              </c:numCache>
            </c:numRef>
          </c:val>
          <c:extLst>
            <c:ext xmlns:c16="http://schemas.microsoft.com/office/drawing/2014/chart" uri="{C3380CC4-5D6E-409C-BE32-E72D297353CC}">
              <c16:uniqueId val="{00000006-5547-453A-A9FA-B0C834DD16A2}"/>
            </c:ext>
          </c:extLst>
        </c:ser>
        <c:ser>
          <c:idx val="6"/>
          <c:order val="8"/>
          <c:tx>
            <c:strRef>
              <c:f>Processing!$M$13</c:f>
              <c:strCache>
                <c:ptCount val="1"/>
                <c:pt idx="0">
                  <c:v>loss L2</c:v>
                </c:pt>
              </c:strCache>
            </c:strRef>
          </c:tx>
          <c:spPr>
            <a:solidFill>
              <a:srgbClr val="FA2A7F"/>
            </a:solidFill>
            <a:ln w="25400">
              <a:noFill/>
            </a:ln>
            <a:effectLst>
              <a:outerShdw blurRad="50800" dist="38100" dir="8100000" algn="tr" rotWithShape="0">
                <a:prstClr val="black">
                  <a:alpha val="40000"/>
                </a:prstClr>
              </a:outerShdw>
            </a:effectLst>
          </c:spPr>
          <c:invertIfNegative val="0"/>
          <c:val>
            <c:numRef>
              <c:f>Processing!$M$14:$M$25</c:f>
              <c:numCache>
                <c:formatCode>General</c:formatCode>
                <c:ptCount val="12"/>
                <c:pt idx="0">
                  <c:v>0</c:v>
                </c:pt>
                <c:pt idx="1">
                  <c:v>0</c:v>
                </c:pt>
                <c:pt idx="2">
                  <c:v>0</c:v>
                </c:pt>
                <c:pt idx="3">
                  <c:v>-2265</c:v>
                </c:pt>
                <c:pt idx="4">
                  <c:v>-1729</c:v>
                </c:pt>
                <c:pt idx="5">
                  <c:v>-1751</c:v>
                </c:pt>
                <c:pt idx="6">
                  <c:v>-1555</c:v>
                </c:pt>
                <c:pt idx="7">
                  <c:v>-1836</c:v>
                </c:pt>
                <c:pt idx="8">
                  <c:v>-1711</c:v>
                </c:pt>
                <c:pt idx="9">
                  <c:v>0</c:v>
                </c:pt>
                <c:pt idx="10">
                  <c:v>0</c:v>
                </c:pt>
                <c:pt idx="11">
                  <c:v>0</c:v>
                </c:pt>
              </c:numCache>
            </c:numRef>
          </c:val>
          <c:extLst>
            <c:ext xmlns:c16="http://schemas.microsoft.com/office/drawing/2014/chart" uri="{C3380CC4-5D6E-409C-BE32-E72D297353CC}">
              <c16:uniqueId val="{00000007-5547-453A-A9FA-B0C834DD16A2}"/>
            </c:ext>
          </c:extLst>
        </c:ser>
        <c:dLbls>
          <c:showLegendKey val="0"/>
          <c:showVal val="0"/>
          <c:showCatName val="0"/>
          <c:showSerName val="0"/>
          <c:showPercent val="0"/>
          <c:showBubbleSize val="0"/>
        </c:dLbls>
        <c:gapWidth val="130"/>
        <c:overlap val="100"/>
        <c:axId val="1412710271"/>
        <c:axId val="1412705471"/>
      </c:barChart>
      <c:scatterChart>
        <c:scatterStyle val="lineMarker"/>
        <c:varyColors val="0"/>
        <c:ser>
          <c:idx val="4"/>
          <c:order val="4"/>
          <c:tx>
            <c:v>label</c:v>
          </c:tx>
          <c:spPr>
            <a:ln w="25400" cap="rnd">
              <a:noFill/>
              <a:round/>
            </a:ln>
            <a:effectLst>
              <a:outerShdw blurRad="63500" sx="102000" sy="102000" algn="ctr" rotWithShape="0">
                <a:prstClr val="black">
                  <a:alpha val="40000"/>
                </a:prstClr>
              </a:outerShdw>
            </a:effectLst>
          </c:spPr>
          <c:marker>
            <c:symbol val="circle"/>
            <c:size val="20"/>
            <c:spPr>
              <a:solidFill>
                <a:schemeClr val="bg1"/>
              </a:solidFill>
              <a:ln w="9525">
                <a:noFill/>
              </a:ln>
              <a:effectLst>
                <a:outerShdw blurRad="63500" sx="102000" sy="102000" algn="ctr" rotWithShape="0">
                  <a:prstClr val="black">
                    <a:alpha val="40000"/>
                  </a:prstClr>
                </a:outerShdw>
              </a:effectLst>
            </c:spPr>
          </c:marker>
          <c:dLbls>
            <c:dLbl>
              <c:idx val="0"/>
              <c:tx>
                <c:rich>
                  <a:bodyPr/>
                  <a:lstStyle/>
                  <a:p>
                    <a:fld id="{B04BE278-4861-4027-9E4C-ED372EA3719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547-453A-A9FA-B0C834DD16A2}"/>
                </c:ext>
              </c:extLst>
            </c:dLbl>
            <c:dLbl>
              <c:idx val="1"/>
              <c:tx>
                <c:rich>
                  <a:bodyPr/>
                  <a:lstStyle/>
                  <a:p>
                    <a:fld id="{E7BB86D1-8DC5-4ED1-B00C-B6FE38C0854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547-453A-A9FA-B0C834DD16A2}"/>
                </c:ext>
              </c:extLst>
            </c:dLbl>
            <c:dLbl>
              <c:idx val="2"/>
              <c:tx>
                <c:rich>
                  <a:bodyPr/>
                  <a:lstStyle/>
                  <a:p>
                    <a:fld id="{2C01D784-F7FC-4877-AD86-2B37FBA78AF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547-453A-A9FA-B0C834DD16A2}"/>
                </c:ext>
              </c:extLst>
            </c:dLbl>
            <c:dLbl>
              <c:idx val="3"/>
              <c:tx>
                <c:rich>
                  <a:bodyPr/>
                  <a:lstStyle/>
                  <a:p>
                    <a:fld id="{4F2EF6A0-AD7B-4C0D-9346-8809F1437CC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547-453A-A9FA-B0C834DD16A2}"/>
                </c:ext>
              </c:extLst>
            </c:dLbl>
            <c:dLbl>
              <c:idx val="4"/>
              <c:tx>
                <c:rich>
                  <a:bodyPr/>
                  <a:lstStyle/>
                  <a:p>
                    <a:fld id="{734742E5-0121-4025-823E-4C2FA4C8B29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547-453A-A9FA-B0C834DD16A2}"/>
                </c:ext>
              </c:extLst>
            </c:dLbl>
            <c:dLbl>
              <c:idx val="5"/>
              <c:tx>
                <c:rich>
                  <a:bodyPr/>
                  <a:lstStyle/>
                  <a:p>
                    <a:fld id="{377216F5-00DC-47F7-80E4-4FEC39929F6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547-453A-A9FA-B0C834DD16A2}"/>
                </c:ext>
              </c:extLst>
            </c:dLbl>
            <c:dLbl>
              <c:idx val="6"/>
              <c:tx>
                <c:rich>
                  <a:bodyPr/>
                  <a:lstStyle/>
                  <a:p>
                    <a:fld id="{2A4778BC-86F2-4A71-AC81-07373080857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547-453A-A9FA-B0C834DD16A2}"/>
                </c:ext>
              </c:extLst>
            </c:dLbl>
            <c:dLbl>
              <c:idx val="7"/>
              <c:tx>
                <c:rich>
                  <a:bodyPr/>
                  <a:lstStyle/>
                  <a:p>
                    <a:fld id="{19DF97BF-7A29-4706-A318-859CA9119B0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547-453A-A9FA-B0C834DD16A2}"/>
                </c:ext>
              </c:extLst>
            </c:dLbl>
            <c:dLbl>
              <c:idx val="8"/>
              <c:tx>
                <c:rich>
                  <a:bodyPr/>
                  <a:lstStyle/>
                  <a:p>
                    <a:fld id="{B59585F0-8D6E-4B01-A1FF-6F00E7A1CF7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547-453A-A9FA-B0C834DD16A2}"/>
                </c:ext>
              </c:extLst>
            </c:dLbl>
            <c:dLbl>
              <c:idx val="9"/>
              <c:tx>
                <c:rich>
                  <a:bodyPr/>
                  <a:lstStyle/>
                  <a:p>
                    <a:fld id="{CECA4932-5C7D-4985-8565-014FB00A063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547-453A-A9FA-B0C834DD16A2}"/>
                </c:ext>
              </c:extLst>
            </c:dLbl>
            <c:dLbl>
              <c:idx val="10"/>
              <c:tx>
                <c:rich>
                  <a:bodyPr/>
                  <a:lstStyle/>
                  <a:p>
                    <a:fld id="{23A3E68B-658C-4D1C-AA1E-DFD51DA65DA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547-453A-A9FA-B0C834DD16A2}"/>
                </c:ext>
              </c:extLst>
            </c:dLbl>
            <c:dLbl>
              <c:idx val="11"/>
              <c:tx>
                <c:rich>
                  <a:bodyPr/>
                  <a:lstStyle/>
                  <a:p>
                    <a:fld id="{20A2D003-19B7-4F8F-88DD-67275235864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547-453A-A9FA-B0C834DD16A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ru-RU"/>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yVal>
            <c:numRef>
              <c:f>Processing!$N$14:$N$25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5="http://schemas.microsoft.com/office/drawing/2012/chart" uri="{02D57815-91ED-43cb-92C2-25804820EDAC}">
              <c15:datalabelsRange>
                <c15:f>Processing!$B$14:$B$25</c15:f>
                <c15:dlblRangeCache>
                  <c:ptCount val="12"/>
                  <c:pt idx="0">
                    <c:v>JAN</c:v>
                  </c:pt>
                  <c:pt idx="1">
                    <c:v>FEB</c:v>
                  </c:pt>
                  <c:pt idx="2">
                    <c:v>MAR</c:v>
                  </c:pt>
                  <c:pt idx="3">
                    <c:v>APR</c:v>
                  </c:pt>
                  <c:pt idx="4">
                    <c:v>MAY</c:v>
                  </c:pt>
                  <c:pt idx="5">
                    <c:v>JUN</c:v>
                  </c:pt>
                  <c:pt idx="6">
                    <c:v>JUL</c:v>
                  </c:pt>
                  <c:pt idx="7">
                    <c:v>AUG</c:v>
                  </c:pt>
                  <c:pt idx="8">
                    <c:v>SEP</c:v>
                  </c:pt>
                  <c:pt idx="9">
                    <c:v>OCT</c:v>
                  </c:pt>
                  <c:pt idx="10">
                    <c:v>NOV</c:v>
                  </c:pt>
                  <c:pt idx="11">
                    <c:v>DEC</c:v>
                  </c:pt>
                </c15:dlblRangeCache>
              </c15:datalabelsRange>
            </c:ext>
            <c:ext xmlns:c16="http://schemas.microsoft.com/office/drawing/2014/chart" uri="{C3380CC4-5D6E-409C-BE32-E72D297353CC}">
              <c16:uniqueId val="{00000014-5547-453A-A9FA-B0C834DD16A2}"/>
            </c:ext>
          </c:extLst>
        </c:ser>
        <c:ser>
          <c:idx val="9"/>
          <c:order val="9"/>
          <c:tx>
            <c:strRef>
              <c:f>Processing!$Q$13</c:f>
              <c:strCache>
                <c:ptCount val="1"/>
                <c:pt idx="0">
                  <c:v>dataTop</c:v>
                </c:pt>
              </c:strCache>
            </c:strRef>
          </c:tx>
          <c:spPr>
            <a:ln w="25400" cap="rnd">
              <a:noFill/>
              <a:round/>
            </a:ln>
            <a:effectLst/>
          </c:spPr>
          <c:marker>
            <c:symbol val="circle"/>
            <c:size val="5"/>
            <c:spPr>
              <a:solidFill>
                <a:srgbClr val="5B63FF">
                  <a:alpha val="0"/>
                </a:srgb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Processing!$Q$14:$Q$25</c:f>
              <c:numCache>
                <c:formatCode>General</c:formatCode>
                <c:ptCount val="12"/>
                <c:pt idx="0">
                  <c:v>1979</c:v>
                </c:pt>
                <c:pt idx="1">
                  <c:v>1083</c:v>
                </c:pt>
                <c:pt idx="2">
                  <c:v>2546</c:v>
                </c:pt>
                <c:pt idx="3">
                  <c:v>#N/A</c:v>
                </c:pt>
                <c:pt idx="4">
                  <c:v>#N/A</c:v>
                </c:pt>
                <c:pt idx="5">
                  <c:v>#N/A</c:v>
                </c:pt>
                <c:pt idx="6">
                  <c:v>#N/A</c:v>
                </c:pt>
                <c:pt idx="7">
                  <c:v>#N/A</c:v>
                </c:pt>
                <c:pt idx="8">
                  <c:v>#N/A</c:v>
                </c:pt>
                <c:pt idx="9">
                  <c:v>1615</c:v>
                </c:pt>
                <c:pt idx="10">
                  <c:v>3025</c:v>
                </c:pt>
                <c:pt idx="11">
                  <c:v>1069</c:v>
                </c:pt>
              </c:numCache>
            </c:numRef>
          </c:yVal>
          <c:smooth val="0"/>
          <c:extLst>
            <c:ext xmlns:c16="http://schemas.microsoft.com/office/drawing/2014/chart" uri="{C3380CC4-5D6E-409C-BE32-E72D297353CC}">
              <c16:uniqueId val="{00000015-5547-453A-A9FA-B0C834DD16A2}"/>
            </c:ext>
          </c:extLst>
        </c:ser>
        <c:ser>
          <c:idx val="10"/>
          <c:order val="10"/>
          <c:tx>
            <c:strRef>
              <c:f>Processing!$R$13</c:f>
              <c:strCache>
                <c:ptCount val="1"/>
                <c:pt idx="0">
                  <c:v>dataDown</c:v>
                </c:pt>
              </c:strCache>
            </c:strRef>
          </c:tx>
          <c:spPr>
            <a:ln w="25400" cap="rnd">
              <a:noFill/>
              <a:round/>
            </a:ln>
            <a:effectLst/>
          </c:spPr>
          <c:marker>
            <c:symbol val="circle"/>
            <c:size val="5"/>
            <c:spPr>
              <a:solidFill>
                <a:srgbClr val="5B63FF">
                  <a:alpha val="0"/>
                </a:srgb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Processing!$R$14:$R$25</c:f>
              <c:numCache>
                <c:formatCode>General</c:formatCode>
                <c:ptCount val="12"/>
                <c:pt idx="0">
                  <c:v>-1567</c:v>
                </c:pt>
                <c:pt idx="1">
                  <c:v>-1795</c:v>
                </c:pt>
                <c:pt idx="2">
                  <c:v>-1091</c:v>
                </c:pt>
                <c:pt idx="3">
                  <c:v>#N/A</c:v>
                </c:pt>
                <c:pt idx="4">
                  <c:v>#N/A</c:v>
                </c:pt>
                <c:pt idx="5">
                  <c:v>#N/A</c:v>
                </c:pt>
                <c:pt idx="6">
                  <c:v>#N/A</c:v>
                </c:pt>
                <c:pt idx="7">
                  <c:v>#N/A</c:v>
                </c:pt>
                <c:pt idx="8">
                  <c:v>#N/A</c:v>
                </c:pt>
                <c:pt idx="9">
                  <c:v>-1695</c:v>
                </c:pt>
                <c:pt idx="10">
                  <c:v>-1554</c:v>
                </c:pt>
                <c:pt idx="11">
                  <c:v>-1388</c:v>
                </c:pt>
              </c:numCache>
            </c:numRef>
          </c:yVal>
          <c:smooth val="0"/>
          <c:extLst>
            <c:ext xmlns:c16="http://schemas.microsoft.com/office/drawing/2014/chart" uri="{C3380CC4-5D6E-409C-BE32-E72D297353CC}">
              <c16:uniqueId val="{00000016-5547-453A-A9FA-B0C834DD16A2}"/>
            </c:ext>
          </c:extLst>
        </c:ser>
        <c:ser>
          <c:idx val="11"/>
          <c:order val="11"/>
          <c:tx>
            <c:strRef>
              <c:f>Processing!$S$13</c:f>
              <c:strCache>
                <c:ptCount val="1"/>
                <c:pt idx="0">
                  <c:v>dataTop L2</c:v>
                </c:pt>
              </c:strCache>
            </c:strRef>
          </c:tx>
          <c:spPr>
            <a:ln w="25400" cap="rnd">
              <a:noFill/>
              <a:round/>
            </a:ln>
            <a:effectLst/>
          </c:spPr>
          <c:marker>
            <c:symbol val="circle"/>
            <c:size val="5"/>
            <c:spPr>
              <a:solidFill>
                <a:srgbClr val="5B63FF">
                  <a:alpha val="0"/>
                </a:srgb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D964"/>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Processing!$S$14:$S$25</c:f>
              <c:numCache>
                <c:formatCode>General</c:formatCode>
                <c:ptCount val="12"/>
                <c:pt idx="0">
                  <c:v>#N/A</c:v>
                </c:pt>
                <c:pt idx="1">
                  <c:v>#N/A</c:v>
                </c:pt>
                <c:pt idx="2">
                  <c:v>#N/A</c:v>
                </c:pt>
                <c:pt idx="3">
                  <c:v>1987</c:v>
                </c:pt>
                <c:pt idx="4">
                  <c:v>2107</c:v>
                </c:pt>
                <c:pt idx="5">
                  <c:v>2196</c:v>
                </c:pt>
                <c:pt idx="6">
                  <c:v>1663</c:v>
                </c:pt>
                <c:pt idx="7">
                  <c:v>1575</c:v>
                </c:pt>
                <c:pt idx="8">
                  <c:v>2454</c:v>
                </c:pt>
                <c:pt idx="9">
                  <c:v>#N/A</c:v>
                </c:pt>
                <c:pt idx="10">
                  <c:v>#N/A</c:v>
                </c:pt>
                <c:pt idx="11">
                  <c:v>#N/A</c:v>
                </c:pt>
              </c:numCache>
            </c:numRef>
          </c:yVal>
          <c:smooth val="0"/>
          <c:extLst>
            <c:ext xmlns:c16="http://schemas.microsoft.com/office/drawing/2014/chart" uri="{C3380CC4-5D6E-409C-BE32-E72D297353CC}">
              <c16:uniqueId val="{00000017-5547-453A-A9FA-B0C834DD16A2}"/>
            </c:ext>
          </c:extLst>
        </c:ser>
        <c:ser>
          <c:idx val="12"/>
          <c:order val="12"/>
          <c:tx>
            <c:strRef>
              <c:f>Processing!$T$13</c:f>
              <c:strCache>
                <c:ptCount val="1"/>
                <c:pt idx="0">
                  <c:v>dataDown L2</c:v>
                </c:pt>
              </c:strCache>
            </c:strRef>
          </c:tx>
          <c:spPr>
            <a:ln w="25400" cap="rnd">
              <a:noFill/>
              <a:round/>
            </a:ln>
            <a:effectLst/>
          </c:spPr>
          <c:marker>
            <c:symbol val="circle"/>
            <c:size val="5"/>
            <c:spPr>
              <a:solidFill>
                <a:srgbClr val="5B63FF">
                  <a:alpha val="0"/>
                </a:srgb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A2A7F"/>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Processing!$T$14:$T$25</c:f>
              <c:numCache>
                <c:formatCode>General</c:formatCode>
                <c:ptCount val="12"/>
                <c:pt idx="0">
                  <c:v>#N/A</c:v>
                </c:pt>
                <c:pt idx="1">
                  <c:v>#N/A</c:v>
                </c:pt>
                <c:pt idx="2">
                  <c:v>#N/A</c:v>
                </c:pt>
                <c:pt idx="3">
                  <c:v>-2315</c:v>
                </c:pt>
                <c:pt idx="4">
                  <c:v>-1779</c:v>
                </c:pt>
                <c:pt idx="5">
                  <c:v>-1801</c:v>
                </c:pt>
                <c:pt idx="6">
                  <c:v>-1605</c:v>
                </c:pt>
                <c:pt idx="7">
                  <c:v>-1886</c:v>
                </c:pt>
                <c:pt idx="8">
                  <c:v>-1761</c:v>
                </c:pt>
                <c:pt idx="9">
                  <c:v>#N/A</c:v>
                </c:pt>
                <c:pt idx="10">
                  <c:v>#N/A</c:v>
                </c:pt>
                <c:pt idx="11">
                  <c:v>#N/A</c:v>
                </c:pt>
              </c:numCache>
            </c:numRef>
          </c:yVal>
          <c:smooth val="0"/>
          <c:extLst>
            <c:ext xmlns:c16="http://schemas.microsoft.com/office/drawing/2014/chart" uri="{C3380CC4-5D6E-409C-BE32-E72D297353CC}">
              <c16:uniqueId val="{00000018-5547-453A-A9FA-B0C834DD16A2}"/>
            </c:ext>
          </c:extLst>
        </c:ser>
        <c:dLbls>
          <c:showLegendKey val="0"/>
          <c:showVal val="0"/>
          <c:showCatName val="0"/>
          <c:showSerName val="0"/>
          <c:showPercent val="0"/>
          <c:showBubbleSize val="0"/>
        </c:dLbls>
        <c:axId val="1412710271"/>
        <c:axId val="1412705471"/>
      </c:scatterChart>
      <c:catAx>
        <c:axId val="1412710271"/>
        <c:scaling>
          <c:orientation val="minMax"/>
        </c:scaling>
        <c:delete val="1"/>
        <c:axPos val="b"/>
        <c:majorTickMark val="none"/>
        <c:minorTickMark val="none"/>
        <c:tickLblPos val="nextTo"/>
        <c:crossAx val="1412705471"/>
        <c:crosses val="autoZero"/>
        <c:auto val="1"/>
        <c:lblAlgn val="ctr"/>
        <c:lblOffset val="100"/>
        <c:noMultiLvlLbl val="0"/>
      </c:catAx>
      <c:valAx>
        <c:axId val="1412705471"/>
        <c:scaling>
          <c:orientation val="minMax"/>
        </c:scaling>
        <c:delete val="1"/>
        <c:axPos val="l"/>
        <c:numFmt formatCode="General" sourceLinked="1"/>
        <c:majorTickMark val="none"/>
        <c:minorTickMark val="none"/>
        <c:tickLblPos val="nextTo"/>
        <c:crossAx val="141271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Processing!$B$27</c:f>
          <c:strCache>
            <c:ptCount val="1"/>
            <c:pt idx="0">
              <c:v>Cash Flow</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ru-RU"/>
        </a:p>
      </c:txPr>
    </c:title>
    <c:autoTitleDeleted val="0"/>
    <c:plotArea>
      <c:layout/>
      <c:areaChart>
        <c:grouping val="standard"/>
        <c:varyColors val="0"/>
        <c:ser>
          <c:idx val="1"/>
          <c:order val="1"/>
          <c:spPr>
            <a:gradFill>
              <a:gsLst>
                <a:gs pos="23000">
                  <a:srgbClr val="8D4CE9"/>
                </a:gs>
                <a:gs pos="95000">
                  <a:srgbClr val="5B63FF"/>
                </a:gs>
              </a:gsLst>
              <a:lin ang="5400000" scaled="0"/>
            </a:gradFill>
            <a:ln>
              <a:noFill/>
            </a:ln>
            <a:effectLst/>
          </c:spPr>
          <c:val>
            <c:numRef>
              <c:f>Processing!$B$28:$B$39</c:f>
              <c:numCache>
                <c:formatCode>General</c:formatCode>
                <c:ptCount val="12"/>
                <c:pt idx="0">
                  <c:v>237556</c:v>
                </c:pt>
                <c:pt idx="1">
                  <c:v>283339</c:v>
                </c:pt>
                <c:pt idx="2">
                  <c:v>281728</c:v>
                </c:pt>
                <c:pt idx="3">
                  <c:v>292458</c:v>
                </c:pt>
                <c:pt idx="4">
                  <c:v>330740</c:v>
                </c:pt>
                <c:pt idx="5">
                  <c:v>339060</c:v>
                </c:pt>
                <c:pt idx="6">
                  <c:v>296183</c:v>
                </c:pt>
                <c:pt idx="7">
                  <c:v>297657</c:v>
                </c:pt>
                <c:pt idx="8">
                  <c:v>278300</c:v>
                </c:pt>
                <c:pt idx="9">
                  <c:v>284396</c:v>
                </c:pt>
                <c:pt idx="10">
                  <c:v>324839</c:v>
                </c:pt>
                <c:pt idx="11">
                  <c:v>281229</c:v>
                </c:pt>
              </c:numCache>
            </c:numRef>
          </c:val>
          <c:extLst>
            <c:ext xmlns:c16="http://schemas.microsoft.com/office/drawing/2014/chart" uri="{C3380CC4-5D6E-409C-BE32-E72D297353CC}">
              <c16:uniqueId val="{00000000-273C-44CA-BB85-949430907639}"/>
            </c:ext>
          </c:extLst>
        </c:ser>
        <c:dLbls>
          <c:showLegendKey val="0"/>
          <c:showVal val="0"/>
          <c:showCatName val="0"/>
          <c:showSerName val="0"/>
          <c:showPercent val="0"/>
          <c:showBubbleSize val="0"/>
        </c:dLbls>
        <c:axId val="57015599"/>
        <c:axId val="1597770287"/>
      </c:areaChart>
      <c:lineChart>
        <c:grouping val="standard"/>
        <c:varyColors val="0"/>
        <c:ser>
          <c:idx val="0"/>
          <c:order val="0"/>
          <c:spPr>
            <a:ln w="69850" cap="rnd">
              <a:solidFill>
                <a:schemeClr val="bg1"/>
              </a:solidFill>
              <a:round/>
            </a:ln>
            <a:effectLst/>
          </c:spPr>
          <c:marker>
            <c:symbol val="none"/>
          </c:marker>
          <c:val>
            <c:numRef>
              <c:f>Processing!$B$28:$B$39</c:f>
              <c:numCache>
                <c:formatCode>General</c:formatCode>
                <c:ptCount val="12"/>
                <c:pt idx="0">
                  <c:v>237556</c:v>
                </c:pt>
                <c:pt idx="1">
                  <c:v>283339</c:v>
                </c:pt>
                <c:pt idx="2">
                  <c:v>281728</c:v>
                </c:pt>
                <c:pt idx="3">
                  <c:v>292458</c:v>
                </c:pt>
                <c:pt idx="4">
                  <c:v>330740</c:v>
                </c:pt>
                <c:pt idx="5">
                  <c:v>339060</c:v>
                </c:pt>
                <c:pt idx="6">
                  <c:v>296183</c:v>
                </c:pt>
                <c:pt idx="7">
                  <c:v>297657</c:v>
                </c:pt>
                <c:pt idx="8">
                  <c:v>278300</c:v>
                </c:pt>
                <c:pt idx="9">
                  <c:v>284396</c:v>
                </c:pt>
                <c:pt idx="10">
                  <c:v>324839</c:v>
                </c:pt>
                <c:pt idx="11">
                  <c:v>281229</c:v>
                </c:pt>
              </c:numCache>
            </c:numRef>
          </c:val>
          <c:smooth val="1"/>
          <c:extLst>
            <c:ext xmlns:c16="http://schemas.microsoft.com/office/drawing/2014/chart" uri="{C3380CC4-5D6E-409C-BE32-E72D297353CC}">
              <c16:uniqueId val="{00000001-273C-44CA-BB85-949430907639}"/>
            </c:ext>
          </c:extLst>
        </c:ser>
        <c:dLbls>
          <c:showLegendKey val="0"/>
          <c:showVal val="0"/>
          <c:showCatName val="0"/>
          <c:showSerName val="0"/>
          <c:showPercent val="0"/>
          <c:showBubbleSize val="0"/>
        </c:dLbls>
        <c:marker val="1"/>
        <c:smooth val="0"/>
        <c:axId val="57015599"/>
        <c:axId val="1597770287"/>
      </c:lineChart>
      <c:scatterChart>
        <c:scatterStyle val="lineMarker"/>
        <c:varyColors val="0"/>
        <c:ser>
          <c:idx val="2"/>
          <c:order val="2"/>
          <c:tx>
            <c:strRef>
              <c:f>Processing!$C$27</c:f>
              <c:strCache>
                <c:ptCount val="1"/>
                <c:pt idx="0">
                  <c:v>start</c:v>
                </c:pt>
              </c:strCache>
            </c:strRef>
          </c:tx>
          <c:spPr>
            <a:ln w="25400" cap="rnd">
              <a:noFill/>
              <a:round/>
            </a:ln>
            <a:effectLst/>
          </c:spPr>
          <c:marker>
            <c:symbol val="circle"/>
            <c:size val="7"/>
            <c:spPr>
              <a:solidFill>
                <a:srgbClr val="FA2A7F"/>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65000"/>
                        <a:lumOff val="3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0"/>
            <c:plus>
              <c:numLit>
                <c:formatCode>General</c:formatCode>
                <c:ptCount val="1"/>
                <c:pt idx="0">
                  <c:v>1</c:v>
                </c:pt>
              </c:numLit>
            </c:plus>
            <c:minus>
              <c:numRef>
                <c:f>Processing!$C$28:$C$39</c:f>
                <c:numCache>
                  <c:formatCode>General</c:formatCode>
                  <c:ptCount val="12"/>
                  <c:pt idx="0">
                    <c:v>#N/A</c:v>
                  </c:pt>
                  <c:pt idx="1">
                    <c:v>#N/A</c:v>
                  </c:pt>
                  <c:pt idx="2">
                    <c:v>#N/A</c:v>
                  </c:pt>
                  <c:pt idx="3">
                    <c:v>292458</c:v>
                  </c:pt>
                  <c:pt idx="4">
                    <c:v>#N/A</c:v>
                  </c:pt>
                  <c:pt idx="5">
                    <c:v>#N/A</c:v>
                  </c:pt>
                  <c:pt idx="6">
                    <c:v>#N/A</c:v>
                  </c:pt>
                  <c:pt idx="7">
                    <c:v>#N/A</c:v>
                  </c:pt>
                  <c:pt idx="8">
                    <c:v>#N/A</c:v>
                  </c:pt>
                  <c:pt idx="9">
                    <c:v>#N/A</c:v>
                  </c:pt>
                  <c:pt idx="10">
                    <c:v>#N/A</c:v>
                  </c:pt>
                  <c:pt idx="11">
                    <c:v>#N/A</c:v>
                  </c:pt>
                </c:numCache>
              </c:numRef>
            </c:minus>
            <c:spPr>
              <a:noFill/>
              <a:ln w="9525" cap="flat" cmpd="sng" algn="ctr">
                <a:solidFill>
                  <a:schemeClr val="bg1"/>
                </a:solidFill>
                <a:round/>
              </a:ln>
              <a:effectLst/>
            </c:spPr>
          </c:errBars>
          <c:yVal>
            <c:numRef>
              <c:f>Processing!$C$28:$C$39</c:f>
              <c:numCache>
                <c:formatCode>#,##0</c:formatCode>
                <c:ptCount val="12"/>
                <c:pt idx="0">
                  <c:v>#N/A</c:v>
                </c:pt>
                <c:pt idx="1">
                  <c:v>#N/A</c:v>
                </c:pt>
                <c:pt idx="2">
                  <c:v>#N/A</c:v>
                </c:pt>
                <c:pt idx="3">
                  <c:v>292458</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2-273C-44CA-BB85-949430907639}"/>
            </c:ext>
          </c:extLst>
        </c:ser>
        <c:ser>
          <c:idx val="3"/>
          <c:order val="3"/>
          <c:tx>
            <c:strRef>
              <c:f>Processing!$D$27</c:f>
              <c:strCache>
                <c:ptCount val="1"/>
                <c:pt idx="0">
                  <c:v>end</c:v>
                </c:pt>
              </c:strCache>
            </c:strRef>
          </c:tx>
          <c:spPr>
            <a:ln w="25400" cap="rnd">
              <a:noFill/>
              <a:round/>
            </a:ln>
            <a:effectLst/>
          </c:spPr>
          <c:marker>
            <c:symbol val="circle"/>
            <c:size val="7"/>
            <c:spPr>
              <a:solidFill>
                <a:srgbClr val="3CD964"/>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65000"/>
                        <a:lumOff val="3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0"/>
            <c:plus>
              <c:numLit>
                <c:formatCode>General</c:formatCode>
                <c:ptCount val="1"/>
                <c:pt idx="0">
                  <c:v>1</c:v>
                </c:pt>
              </c:numLit>
            </c:plus>
            <c:minus>
              <c:numRef>
                <c:f>Processing!$D$28:$D$39</c:f>
                <c:numCache>
                  <c:formatCode>General</c:formatCode>
                  <c:ptCount val="12"/>
                  <c:pt idx="0">
                    <c:v>#N/A</c:v>
                  </c:pt>
                  <c:pt idx="1">
                    <c:v>#N/A</c:v>
                  </c:pt>
                  <c:pt idx="2">
                    <c:v>#N/A</c:v>
                  </c:pt>
                  <c:pt idx="3">
                    <c:v>#N/A</c:v>
                  </c:pt>
                  <c:pt idx="4">
                    <c:v>#N/A</c:v>
                  </c:pt>
                  <c:pt idx="5">
                    <c:v>#N/A</c:v>
                  </c:pt>
                  <c:pt idx="6">
                    <c:v>#N/A</c:v>
                  </c:pt>
                  <c:pt idx="7">
                    <c:v>#N/A</c:v>
                  </c:pt>
                  <c:pt idx="8">
                    <c:v>278300</c:v>
                  </c:pt>
                  <c:pt idx="9">
                    <c:v>#N/A</c:v>
                  </c:pt>
                  <c:pt idx="10">
                    <c:v>#N/A</c:v>
                  </c:pt>
                  <c:pt idx="11">
                    <c:v>#N/A</c:v>
                  </c:pt>
                </c:numCache>
              </c:numRef>
            </c:minus>
            <c:spPr>
              <a:noFill/>
              <a:ln w="9525" cap="flat" cmpd="sng" algn="ctr">
                <a:solidFill>
                  <a:schemeClr val="bg1"/>
                </a:solidFill>
                <a:round/>
              </a:ln>
              <a:effectLst/>
            </c:spPr>
          </c:errBars>
          <c:yVal>
            <c:numRef>
              <c:f>Processing!$D$28:$D$39</c:f>
              <c:numCache>
                <c:formatCode>#,##0</c:formatCode>
                <c:ptCount val="12"/>
                <c:pt idx="0">
                  <c:v>#N/A</c:v>
                </c:pt>
                <c:pt idx="1">
                  <c:v>#N/A</c:v>
                </c:pt>
                <c:pt idx="2">
                  <c:v>#N/A</c:v>
                </c:pt>
                <c:pt idx="3">
                  <c:v>#N/A</c:v>
                </c:pt>
                <c:pt idx="4">
                  <c:v>#N/A</c:v>
                </c:pt>
                <c:pt idx="5">
                  <c:v>#N/A</c:v>
                </c:pt>
                <c:pt idx="6">
                  <c:v>#N/A</c:v>
                </c:pt>
                <c:pt idx="7">
                  <c:v>#N/A</c:v>
                </c:pt>
                <c:pt idx="8">
                  <c:v>278300</c:v>
                </c:pt>
                <c:pt idx="9">
                  <c:v>#N/A</c:v>
                </c:pt>
                <c:pt idx="10">
                  <c:v>#N/A</c:v>
                </c:pt>
                <c:pt idx="11">
                  <c:v>#N/A</c:v>
                </c:pt>
              </c:numCache>
            </c:numRef>
          </c:yVal>
          <c:smooth val="0"/>
          <c:extLst>
            <c:ext xmlns:c16="http://schemas.microsoft.com/office/drawing/2014/chart" uri="{C3380CC4-5D6E-409C-BE32-E72D297353CC}">
              <c16:uniqueId val="{00000003-273C-44CA-BB85-949430907639}"/>
            </c:ext>
          </c:extLst>
        </c:ser>
        <c:dLbls>
          <c:showLegendKey val="0"/>
          <c:showVal val="0"/>
          <c:showCatName val="0"/>
          <c:showSerName val="0"/>
          <c:showPercent val="0"/>
          <c:showBubbleSize val="0"/>
        </c:dLbls>
        <c:axId val="57015599"/>
        <c:axId val="1597770287"/>
      </c:scatterChart>
      <c:catAx>
        <c:axId val="57015599"/>
        <c:scaling>
          <c:orientation val="minMax"/>
        </c:scaling>
        <c:delete val="0"/>
        <c:axPos val="b"/>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97770287"/>
        <c:crosses val="autoZero"/>
        <c:auto val="1"/>
        <c:lblAlgn val="ctr"/>
        <c:lblOffset val="100"/>
        <c:noMultiLvlLbl val="0"/>
      </c:catAx>
      <c:valAx>
        <c:axId val="1597770287"/>
        <c:scaling>
          <c:orientation val="minMax"/>
        </c:scaling>
        <c:delete val="1"/>
        <c:axPos val="l"/>
        <c:numFmt formatCode="General" sourceLinked="1"/>
        <c:majorTickMark val="none"/>
        <c:minorTickMark val="none"/>
        <c:tickLblPos val="nextTo"/>
        <c:crossAx val="5701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gradFill>
                <a:gsLst>
                  <a:gs pos="0">
                    <a:srgbClr val="A1FF21"/>
                  </a:gs>
                  <a:gs pos="100000">
                    <a:srgbClr val="2596FF"/>
                  </a:gs>
                </a:gsLst>
                <a:lin ang="2700000" scaled="1"/>
              </a:gradFill>
              <a:ln>
                <a:noFill/>
              </a:ln>
              <a:effectLst/>
            </c:spPr>
            <c:extLst>
              <c:ext xmlns:c16="http://schemas.microsoft.com/office/drawing/2014/chart" uri="{C3380CC4-5D6E-409C-BE32-E72D297353CC}">
                <c16:uniqueId val="{00000001-EF84-48D7-98AF-A8E4D68D338D}"/>
              </c:ext>
            </c:extLst>
          </c:dPt>
          <c:dPt>
            <c:idx val="1"/>
            <c:invertIfNegative val="0"/>
            <c:bubble3D val="0"/>
            <c:spPr>
              <a:gradFill>
                <a:gsLst>
                  <a:gs pos="0">
                    <a:srgbClr val="8F4AE5"/>
                  </a:gs>
                  <a:gs pos="100000">
                    <a:srgbClr val="FA2A7F"/>
                  </a:gs>
                </a:gsLst>
                <a:lin ang="2700000" scaled="1"/>
              </a:gradFill>
              <a:ln>
                <a:noFill/>
              </a:ln>
              <a:effectLst/>
            </c:spPr>
            <c:extLst>
              <c:ext xmlns:c16="http://schemas.microsoft.com/office/drawing/2014/chart" uri="{C3380CC4-5D6E-409C-BE32-E72D297353CC}">
                <c16:uniqueId val="{00000003-EF84-48D7-98AF-A8E4D68D338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Processing!$K$7:$K$8</c:f>
              <c:numCache>
                <c:formatCode>0.00</c:formatCode>
                <c:ptCount val="2"/>
                <c:pt idx="0">
                  <c:v>7.7374999999999998</c:v>
                </c:pt>
                <c:pt idx="1">
                  <c:v>3.5458333333333329</c:v>
                </c:pt>
              </c:numCache>
            </c:numRef>
          </c:val>
          <c:extLst>
            <c:ext xmlns:c16="http://schemas.microsoft.com/office/drawing/2014/chart" uri="{C3380CC4-5D6E-409C-BE32-E72D297353CC}">
              <c16:uniqueId val="{00000004-EF84-48D7-98AF-A8E4D68D338D}"/>
            </c:ext>
          </c:extLst>
        </c:ser>
        <c:dLbls>
          <c:showLegendKey val="0"/>
          <c:showVal val="0"/>
          <c:showCatName val="0"/>
          <c:showSerName val="0"/>
          <c:showPercent val="0"/>
          <c:showBubbleSize val="0"/>
        </c:dLbls>
        <c:gapWidth val="70"/>
        <c:axId val="241330559"/>
        <c:axId val="241367039"/>
      </c:barChart>
      <c:catAx>
        <c:axId val="241330559"/>
        <c:scaling>
          <c:orientation val="maxMin"/>
        </c:scaling>
        <c:delete val="1"/>
        <c:axPos val="l"/>
        <c:majorTickMark val="none"/>
        <c:minorTickMark val="none"/>
        <c:tickLblPos val="nextTo"/>
        <c:crossAx val="241367039"/>
        <c:crosses val="autoZero"/>
        <c:auto val="1"/>
        <c:lblAlgn val="ctr"/>
        <c:lblOffset val="100"/>
        <c:noMultiLvlLbl val="0"/>
      </c:catAx>
      <c:valAx>
        <c:axId val="241367039"/>
        <c:scaling>
          <c:orientation val="minMax"/>
        </c:scaling>
        <c:delete val="1"/>
        <c:axPos val="t"/>
        <c:numFmt formatCode="0.00" sourceLinked="1"/>
        <c:majorTickMark val="none"/>
        <c:minorTickMark val="none"/>
        <c:tickLblPos val="nextTo"/>
        <c:crossAx val="24133055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Processing!$H$27</c:f>
          <c:strCache>
            <c:ptCount val="1"/>
            <c:pt idx="0">
              <c:v>Total Annual Profit</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ru-RU"/>
        </a:p>
      </c:txPr>
    </c:title>
    <c:autoTitleDeleted val="0"/>
    <c:plotArea>
      <c:layout/>
      <c:areaChart>
        <c:grouping val="standard"/>
        <c:varyColors val="0"/>
        <c:ser>
          <c:idx val="0"/>
          <c:order val="0"/>
          <c:spPr>
            <a:gradFill>
              <a:gsLst>
                <a:gs pos="0">
                  <a:srgbClr val="FFDB04"/>
                </a:gs>
                <a:gs pos="100000">
                  <a:srgbClr val="FF7B21">
                    <a:alpha val="25000"/>
                  </a:srgbClr>
                </a:gs>
              </a:gsLst>
              <a:lin ang="5400000" scaled="0"/>
            </a:gradFill>
            <a:ln>
              <a:noFill/>
            </a:ln>
            <a:effectLst/>
          </c:spPr>
          <c:val>
            <c:numRef>
              <c:f>Processing!$J$28:$J$33</c:f>
              <c:numCache>
                <c:formatCode>#,##0</c:formatCode>
                <c:ptCount val="6"/>
                <c:pt idx="0">
                  <c:v>0</c:v>
                </c:pt>
                <c:pt idx="1">
                  <c:v>23981</c:v>
                </c:pt>
                <c:pt idx="2">
                  <c:v>0</c:v>
                </c:pt>
                <c:pt idx="3">
                  <c:v>0</c:v>
                </c:pt>
                <c:pt idx="4">
                  <c:v>0</c:v>
                </c:pt>
                <c:pt idx="5">
                  <c:v>0</c:v>
                </c:pt>
              </c:numCache>
            </c:numRef>
          </c:val>
          <c:extLst>
            <c:ext xmlns:c16="http://schemas.microsoft.com/office/drawing/2014/chart" uri="{C3380CC4-5D6E-409C-BE32-E72D297353CC}">
              <c16:uniqueId val="{00000000-1354-4F11-9093-FD189E8F8EA4}"/>
            </c:ext>
          </c:extLst>
        </c:ser>
        <c:ser>
          <c:idx val="1"/>
          <c:order val="1"/>
          <c:spPr>
            <a:gradFill>
              <a:gsLst>
                <a:gs pos="0">
                  <a:srgbClr val="A868FA"/>
                </a:gs>
                <a:gs pos="100000">
                  <a:srgbClr val="6469FF">
                    <a:alpha val="25000"/>
                  </a:srgbClr>
                </a:gs>
              </a:gsLst>
              <a:lin ang="5400000" scaled="0"/>
            </a:gradFill>
            <a:ln>
              <a:noFill/>
            </a:ln>
            <a:effectLst/>
          </c:spPr>
          <c:val>
            <c:numRef>
              <c:f>Processing!$K$28:$K$33</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1354-4F11-9093-FD189E8F8EA4}"/>
            </c:ext>
          </c:extLst>
        </c:ser>
        <c:ser>
          <c:idx val="2"/>
          <c:order val="2"/>
          <c:spPr>
            <a:gradFill>
              <a:gsLst>
                <a:gs pos="0">
                  <a:srgbClr val="8F4AE5">
                    <a:alpha val="25000"/>
                  </a:srgbClr>
                </a:gs>
                <a:gs pos="100000">
                  <a:srgbClr val="FA2A7F"/>
                </a:gs>
              </a:gsLst>
              <a:lin ang="16200000" scaled="0"/>
            </a:gradFill>
            <a:ln>
              <a:noFill/>
            </a:ln>
            <a:effectLst/>
          </c:spPr>
          <c:val>
            <c:numRef>
              <c:f>Processing!$L$28:$L$33</c:f>
              <c:numCache>
                <c:formatCode>#,##0</c:formatCode>
                <c:ptCount val="6"/>
                <c:pt idx="0">
                  <c:v>0</c:v>
                </c:pt>
                <c:pt idx="1">
                  <c:v>0</c:v>
                </c:pt>
                <c:pt idx="2">
                  <c:v>0</c:v>
                </c:pt>
                <c:pt idx="3">
                  <c:v>24836</c:v>
                </c:pt>
                <c:pt idx="4">
                  <c:v>0</c:v>
                </c:pt>
                <c:pt idx="5">
                  <c:v>0</c:v>
                </c:pt>
              </c:numCache>
            </c:numRef>
          </c:val>
          <c:extLst>
            <c:ext xmlns:c16="http://schemas.microsoft.com/office/drawing/2014/chart" uri="{C3380CC4-5D6E-409C-BE32-E72D297353CC}">
              <c16:uniqueId val="{00000002-1354-4F11-9093-FD189E8F8EA4}"/>
            </c:ext>
          </c:extLst>
        </c:ser>
        <c:ser>
          <c:idx val="3"/>
          <c:order val="3"/>
          <c:spPr>
            <a:gradFill>
              <a:gsLst>
                <a:gs pos="0">
                  <a:srgbClr val="29EBFC"/>
                </a:gs>
                <a:gs pos="100000">
                  <a:srgbClr val="2596FF">
                    <a:alpha val="25000"/>
                  </a:srgbClr>
                </a:gs>
              </a:gsLst>
              <a:lin ang="5400000" scaled="0"/>
            </a:gradFill>
            <a:ln>
              <a:noFill/>
            </a:ln>
            <a:effectLst/>
          </c:spPr>
          <c:val>
            <c:numRef>
              <c:f>Processing!$M$28:$M$33</c:f>
              <c:numCache>
                <c:formatCode>#,##0</c:formatCode>
                <c:ptCount val="6"/>
                <c:pt idx="0">
                  <c:v>0</c:v>
                </c:pt>
                <c:pt idx="1">
                  <c:v>0</c:v>
                </c:pt>
                <c:pt idx="2">
                  <c:v>0</c:v>
                </c:pt>
                <c:pt idx="3">
                  <c:v>0</c:v>
                </c:pt>
                <c:pt idx="4">
                  <c:v>28781</c:v>
                </c:pt>
                <c:pt idx="5">
                  <c:v>0</c:v>
                </c:pt>
              </c:numCache>
            </c:numRef>
          </c:val>
          <c:extLst>
            <c:ext xmlns:c16="http://schemas.microsoft.com/office/drawing/2014/chart" uri="{C3380CC4-5D6E-409C-BE32-E72D297353CC}">
              <c16:uniqueId val="{00000003-1354-4F11-9093-FD189E8F8EA4}"/>
            </c:ext>
          </c:extLst>
        </c:ser>
        <c:ser>
          <c:idx val="4"/>
          <c:order val="4"/>
          <c:spPr>
            <a:gradFill>
              <a:gsLst>
                <a:gs pos="0">
                  <a:srgbClr val="A1FF21"/>
                </a:gs>
                <a:gs pos="100000">
                  <a:srgbClr val="2596FF">
                    <a:alpha val="50000"/>
                  </a:srgbClr>
                </a:gs>
              </a:gsLst>
              <a:lin ang="5400000" scaled="0"/>
            </a:gradFill>
            <a:ln w="25400">
              <a:noFill/>
            </a:ln>
            <a:effectLst/>
          </c:spPr>
          <c:val>
            <c:numRef>
              <c:f>Processing!$N$28:$N$33</c:f>
              <c:numCache>
                <c:formatCode>#,##0</c:formatCode>
                <c:ptCount val="6"/>
                <c:pt idx="0">
                  <c:v>0</c:v>
                </c:pt>
                <c:pt idx="1">
                  <c:v>0</c:v>
                </c:pt>
                <c:pt idx="2">
                  <c:v>22699</c:v>
                </c:pt>
                <c:pt idx="3">
                  <c:v>0</c:v>
                </c:pt>
                <c:pt idx="4">
                  <c:v>0</c:v>
                </c:pt>
                <c:pt idx="5">
                  <c:v>0</c:v>
                </c:pt>
              </c:numCache>
            </c:numRef>
          </c:val>
          <c:extLst>
            <c:ext xmlns:c16="http://schemas.microsoft.com/office/drawing/2014/chart" uri="{C3380CC4-5D6E-409C-BE32-E72D297353CC}">
              <c16:uniqueId val="{00000004-1354-4F11-9093-FD189E8F8EA4}"/>
            </c:ext>
          </c:extLst>
        </c:ser>
        <c:dLbls>
          <c:showLegendKey val="0"/>
          <c:showVal val="0"/>
          <c:showCatName val="0"/>
          <c:showSerName val="0"/>
          <c:showPercent val="0"/>
          <c:showBubbleSize val="0"/>
        </c:dLbls>
        <c:axId val="1317229296"/>
        <c:axId val="1317213936"/>
      </c:areaChart>
      <c:scatterChart>
        <c:scatterStyle val="lineMarker"/>
        <c:varyColors val="0"/>
        <c:ser>
          <c:idx val="5"/>
          <c:order val="5"/>
          <c:spPr>
            <a:ln w="25400" cap="rnd">
              <a:noFill/>
              <a:round/>
            </a:ln>
            <a:effectLst>
              <a:glow rad="63500">
                <a:schemeClr val="accent4">
                  <a:satMod val="175000"/>
                  <a:alpha val="40000"/>
                </a:schemeClr>
              </a:glow>
            </a:effectLst>
          </c:spPr>
          <c:marker>
            <c:symbol val="circle"/>
            <c:size val="5"/>
            <c:spPr>
              <a:solidFill>
                <a:schemeClr val="bg1"/>
              </a:solidFill>
              <a:ln w="9525">
                <a:noFill/>
              </a:ln>
              <a:effectLst>
                <a:glow rad="63500">
                  <a:schemeClr val="accent4">
                    <a:satMod val="175000"/>
                    <a:alpha val="40000"/>
                  </a:schemeClr>
                </a:glo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ysClr val="windowText" lastClr="00000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Processing!$P$28</c:f>
              <c:numCache>
                <c:formatCode>General</c:formatCode>
                <c:ptCount val="1"/>
                <c:pt idx="0">
                  <c:v>3</c:v>
                </c:pt>
              </c:numCache>
            </c:numRef>
          </c:xVal>
          <c:yVal>
            <c:numRef>
              <c:f>Processing!$O$28</c:f>
              <c:numCache>
                <c:formatCode>General</c:formatCode>
                <c:ptCount val="1"/>
                <c:pt idx="0">
                  <c:v>22699</c:v>
                </c:pt>
              </c:numCache>
            </c:numRef>
          </c:yVal>
          <c:smooth val="0"/>
          <c:extLst>
            <c:ext xmlns:c16="http://schemas.microsoft.com/office/drawing/2014/chart" uri="{C3380CC4-5D6E-409C-BE32-E72D297353CC}">
              <c16:uniqueId val="{00000005-1354-4F11-9093-FD189E8F8EA4}"/>
            </c:ext>
          </c:extLst>
        </c:ser>
        <c:dLbls>
          <c:showLegendKey val="0"/>
          <c:showVal val="0"/>
          <c:showCatName val="0"/>
          <c:showSerName val="0"/>
          <c:showPercent val="0"/>
          <c:showBubbleSize val="0"/>
        </c:dLbls>
        <c:axId val="1317229296"/>
        <c:axId val="1317213936"/>
      </c:scatterChart>
      <c:catAx>
        <c:axId val="1317229296"/>
        <c:scaling>
          <c:orientation val="minMax"/>
        </c:scaling>
        <c:delete val="1"/>
        <c:axPos val="b"/>
        <c:majorTickMark val="out"/>
        <c:minorTickMark val="none"/>
        <c:tickLblPos val="nextTo"/>
        <c:crossAx val="1317213936"/>
        <c:crosses val="autoZero"/>
        <c:auto val="1"/>
        <c:lblAlgn val="ctr"/>
        <c:lblOffset val="100"/>
        <c:noMultiLvlLbl val="0"/>
      </c:catAx>
      <c:valAx>
        <c:axId val="1317213936"/>
        <c:scaling>
          <c:orientation val="minMax"/>
        </c:scaling>
        <c:delete val="1"/>
        <c:axPos val="l"/>
        <c:numFmt formatCode="#,##0" sourceLinked="1"/>
        <c:majorTickMark val="none"/>
        <c:minorTickMark val="none"/>
        <c:tickLblPos val="nextTo"/>
        <c:crossAx val="13172292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DASHBOARD Light'!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hyperlink" Target="#DASHBOARD!A1"/><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430530</xdr:colOff>
      <xdr:row>23</xdr:row>
      <xdr:rowOff>167640</xdr:rowOff>
    </xdr:from>
    <xdr:to>
      <xdr:col>6</xdr:col>
      <xdr:colOff>156210</xdr:colOff>
      <xdr:row>36</xdr:row>
      <xdr:rowOff>167640</xdr:rowOff>
    </xdr:to>
    <xdr:sp macro="" textlink="">
      <xdr:nvSpPr>
        <xdr:cNvPr id="8" name="Rectangle: Rounded Corners 7">
          <a:extLst>
            <a:ext uri="{FF2B5EF4-FFF2-40B4-BE49-F238E27FC236}">
              <a16:creationId xmlns:a16="http://schemas.microsoft.com/office/drawing/2014/main" id="{AF3E7E9D-74F6-9776-B2EE-7E62E3E1AA59}"/>
            </a:ext>
          </a:extLst>
        </xdr:cNvPr>
        <xdr:cNvSpPr/>
      </xdr:nvSpPr>
      <xdr:spPr>
        <a:xfrm>
          <a:off x="430530" y="5303520"/>
          <a:ext cx="3383280" cy="2377440"/>
        </a:xfrm>
        <a:prstGeom prst="roundRect">
          <a:avLst>
            <a:gd name="adj" fmla="val 8975"/>
          </a:avLst>
        </a:prstGeom>
        <a:gradFill>
          <a:gsLst>
            <a:gs pos="0">
              <a:srgbClr val="1F222D"/>
            </a:gs>
            <a:gs pos="24000">
              <a:srgbClr val="10131E"/>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411480</xdr:colOff>
      <xdr:row>2</xdr:row>
      <xdr:rowOff>30480</xdr:rowOff>
    </xdr:from>
    <xdr:to>
      <xdr:col>6</xdr:col>
      <xdr:colOff>137160</xdr:colOff>
      <xdr:row>22</xdr:row>
      <xdr:rowOff>30480</xdr:rowOff>
    </xdr:to>
    <xdr:sp macro="" textlink="">
      <xdr:nvSpPr>
        <xdr:cNvPr id="3" name="Rectangle: Rounded Corners 2">
          <a:extLst>
            <a:ext uri="{FF2B5EF4-FFF2-40B4-BE49-F238E27FC236}">
              <a16:creationId xmlns:a16="http://schemas.microsoft.com/office/drawing/2014/main" id="{5170451F-E2E9-D2D4-40CA-72F39987E5C8}"/>
            </a:ext>
          </a:extLst>
        </xdr:cNvPr>
        <xdr:cNvSpPr/>
      </xdr:nvSpPr>
      <xdr:spPr>
        <a:xfrm>
          <a:off x="411480" y="1325880"/>
          <a:ext cx="3383280" cy="3657600"/>
        </a:xfrm>
        <a:prstGeom prst="roundRect">
          <a:avLst>
            <a:gd name="adj" fmla="val 5007"/>
          </a:avLst>
        </a:prstGeom>
        <a:gradFill>
          <a:gsLst>
            <a:gs pos="0">
              <a:srgbClr val="1F222D"/>
            </a:gs>
            <a:gs pos="24000">
              <a:srgbClr val="10131E"/>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6</xdr:col>
      <xdr:colOff>476250</xdr:colOff>
      <xdr:row>23</xdr:row>
      <xdr:rowOff>167640</xdr:rowOff>
    </xdr:from>
    <xdr:to>
      <xdr:col>16</xdr:col>
      <xdr:colOff>598170</xdr:colOff>
      <xdr:row>36</xdr:row>
      <xdr:rowOff>167640</xdr:rowOff>
    </xdr:to>
    <xdr:sp macro="" textlink="">
      <xdr:nvSpPr>
        <xdr:cNvPr id="11" name="Rectangle: Rounded Corners 10">
          <a:extLst>
            <a:ext uri="{FF2B5EF4-FFF2-40B4-BE49-F238E27FC236}">
              <a16:creationId xmlns:a16="http://schemas.microsoft.com/office/drawing/2014/main" id="{80B579E8-3D6A-9911-6806-D22954DE141C}"/>
            </a:ext>
          </a:extLst>
        </xdr:cNvPr>
        <xdr:cNvSpPr/>
      </xdr:nvSpPr>
      <xdr:spPr>
        <a:xfrm>
          <a:off x="4133850" y="5303520"/>
          <a:ext cx="6217920" cy="2377440"/>
        </a:xfrm>
        <a:prstGeom prst="roundRect">
          <a:avLst>
            <a:gd name="adj" fmla="val 8975"/>
          </a:avLst>
        </a:prstGeom>
        <a:gradFill>
          <a:gsLst>
            <a:gs pos="0">
              <a:srgbClr val="1F222D"/>
            </a:gs>
            <a:gs pos="24000">
              <a:srgbClr val="10131E"/>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6</xdr:col>
      <xdr:colOff>468630</xdr:colOff>
      <xdr:row>2</xdr:row>
      <xdr:rowOff>30480</xdr:rowOff>
    </xdr:from>
    <xdr:to>
      <xdr:col>16</xdr:col>
      <xdr:colOff>590550</xdr:colOff>
      <xdr:row>22</xdr:row>
      <xdr:rowOff>30480</xdr:rowOff>
    </xdr:to>
    <xdr:sp macro="" textlink="">
      <xdr:nvSpPr>
        <xdr:cNvPr id="12" name="Rectangle: Rounded Corners 11">
          <a:extLst>
            <a:ext uri="{FF2B5EF4-FFF2-40B4-BE49-F238E27FC236}">
              <a16:creationId xmlns:a16="http://schemas.microsoft.com/office/drawing/2014/main" id="{274409FF-7F6F-CC35-3C1B-EF60635FFDE9}"/>
            </a:ext>
          </a:extLst>
        </xdr:cNvPr>
        <xdr:cNvSpPr/>
      </xdr:nvSpPr>
      <xdr:spPr>
        <a:xfrm>
          <a:off x="4126230" y="1325880"/>
          <a:ext cx="6217920" cy="3657600"/>
        </a:xfrm>
        <a:prstGeom prst="roundRect">
          <a:avLst>
            <a:gd name="adj" fmla="val 5007"/>
          </a:avLst>
        </a:prstGeom>
        <a:gradFill>
          <a:gsLst>
            <a:gs pos="0">
              <a:srgbClr val="1F222D"/>
            </a:gs>
            <a:gs pos="24000">
              <a:srgbClr val="10131E"/>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320040</xdr:colOff>
      <xdr:row>23</xdr:row>
      <xdr:rowOff>167640</xdr:rowOff>
    </xdr:from>
    <xdr:to>
      <xdr:col>23</xdr:col>
      <xdr:colOff>45720</xdr:colOff>
      <xdr:row>36</xdr:row>
      <xdr:rowOff>167640</xdr:rowOff>
    </xdr:to>
    <xdr:sp macro="" textlink="">
      <xdr:nvSpPr>
        <xdr:cNvPr id="13" name="Rectangle: Rounded Corners 12">
          <a:extLst>
            <a:ext uri="{FF2B5EF4-FFF2-40B4-BE49-F238E27FC236}">
              <a16:creationId xmlns:a16="http://schemas.microsoft.com/office/drawing/2014/main" id="{A0508C97-6CBD-5D55-A2D2-85D97DA737A1}"/>
            </a:ext>
          </a:extLst>
        </xdr:cNvPr>
        <xdr:cNvSpPr/>
      </xdr:nvSpPr>
      <xdr:spPr>
        <a:xfrm>
          <a:off x="10683240" y="5303520"/>
          <a:ext cx="3383280" cy="2377440"/>
        </a:xfrm>
        <a:prstGeom prst="roundRect">
          <a:avLst>
            <a:gd name="adj" fmla="val 8975"/>
          </a:avLst>
        </a:prstGeom>
        <a:gradFill>
          <a:gsLst>
            <a:gs pos="0">
              <a:srgbClr val="1F222D"/>
            </a:gs>
            <a:gs pos="24000">
              <a:srgbClr val="10131E"/>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312420</xdr:colOff>
      <xdr:row>2</xdr:row>
      <xdr:rowOff>30480</xdr:rowOff>
    </xdr:from>
    <xdr:to>
      <xdr:col>23</xdr:col>
      <xdr:colOff>38100</xdr:colOff>
      <xdr:row>22</xdr:row>
      <xdr:rowOff>30480</xdr:rowOff>
    </xdr:to>
    <xdr:sp macro="" textlink="">
      <xdr:nvSpPr>
        <xdr:cNvPr id="14" name="Rectangle: Rounded Corners 13">
          <a:extLst>
            <a:ext uri="{FF2B5EF4-FFF2-40B4-BE49-F238E27FC236}">
              <a16:creationId xmlns:a16="http://schemas.microsoft.com/office/drawing/2014/main" id="{0362BF42-395F-4D3F-41B1-E0748CC89BF8}"/>
            </a:ext>
          </a:extLst>
        </xdr:cNvPr>
        <xdr:cNvSpPr/>
      </xdr:nvSpPr>
      <xdr:spPr>
        <a:xfrm>
          <a:off x="10675620" y="1325880"/>
          <a:ext cx="3383280" cy="3657600"/>
        </a:xfrm>
        <a:prstGeom prst="roundRect">
          <a:avLst>
            <a:gd name="adj" fmla="val 5007"/>
          </a:avLst>
        </a:prstGeom>
        <a:gradFill>
          <a:gsLst>
            <a:gs pos="0">
              <a:srgbClr val="1F222D"/>
            </a:gs>
            <a:gs pos="24000">
              <a:srgbClr val="10131E"/>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0</xdr:colOff>
      <xdr:row>5</xdr:row>
      <xdr:rowOff>129540</xdr:rowOff>
    </xdr:from>
    <xdr:to>
      <xdr:col>3</xdr:col>
      <xdr:colOff>243840</xdr:colOff>
      <xdr:row>13</xdr:row>
      <xdr:rowOff>38100</xdr:rowOff>
    </xdr:to>
    <xdr:graphicFrame macro="">
      <xdr:nvGraphicFramePr>
        <xdr:cNvPr id="2" name="Chart 1">
          <a:extLst>
            <a:ext uri="{FF2B5EF4-FFF2-40B4-BE49-F238E27FC236}">
              <a16:creationId xmlns:a16="http://schemas.microsoft.com/office/drawing/2014/main" id="{13E78ABC-CE5D-46F9-8F26-40FA021DC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335280</xdr:colOff>
      <xdr:row>5</xdr:row>
      <xdr:rowOff>129540</xdr:rowOff>
    </xdr:from>
    <xdr:to>
      <xdr:col>5</xdr:col>
      <xdr:colOff>579120</xdr:colOff>
      <xdr:row>13</xdr:row>
      <xdr:rowOff>38100</xdr:rowOff>
    </xdr:to>
    <xdr:graphicFrame macro="">
      <xdr:nvGraphicFramePr>
        <xdr:cNvPr id="4" name="Chart 3">
          <a:extLst>
            <a:ext uri="{FF2B5EF4-FFF2-40B4-BE49-F238E27FC236}">
              <a16:creationId xmlns:a16="http://schemas.microsoft.com/office/drawing/2014/main" id="{E61485EB-9B76-403F-8B81-FB7E9B3CD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13</xdr:row>
      <xdr:rowOff>106680</xdr:rowOff>
    </xdr:from>
    <xdr:to>
      <xdr:col>3</xdr:col>
      <xdr:colOff>243840</xdr:colOff>
      <xdr:row>21</xdr:row>
      <xdr:rowOff>15240</xdr:rowOff>
    </xdr:to>
    <xdr:graphicFrame macro="">
      <xdr:nvGraphicFramePr>
        <xdr:cNvPr id="5" name="Chart 4">
          <a:extLst>
            <a:ext uri="{FF2B5EF4-FFF2-40B4-BE49-F238E27FC236}">
              <a16:creationId xmlns:a16="http://schemas.microsoft.com/office/drawing/2014/main" id="{B3DEFF1A-8540-4887-8123-4A56E03A6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335280</xdr:colOff>
      <xdr:row>13</xdr:row>
      <xdr:rowOff>106680</xdr:rowOff>
    </xdr:from>
    <xdr:to>
      <xdr:col>5</xdr:col>
      <xdr:colOff>579120</xdr:colOff>
      <xdr:row>21</xdr:row>
      <xdr:rowOff>15240</xdr:rowOff>
    </xdr:to>
    <xdr:graphicFrame macro="">
      <xdr:nvGraphicFramePr>
        <xdr:cNvPr id="6" name="Chart 5">
          <a:extLst>
            <a:ext uri="{FF2B5EF4-FFF2-40B4-BE49-F238E27FC236}">
              <a16:creationId xmlns:a16="http://schemas.microsoft.com/office/drawing/2014/main" id="{C01F3E13-14A2-4EFC-84D8-D22EBA942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288951</xdr:colOff>
      <xdr:row>7</xdr:row>
      <xdr:rowOff>159639</xdr:rowOff>
    </xdr:from>
    <xdr:to>
      <xdr:col>2</xdr:col>
      <xdr:colOff>564490</xdr:colOff>
      <xdr:row>9</xdr:row>
      <xdr:rowOff>137541</xdr:rowOff>
    </xdr:to>
    <xdr:sp macro="" textlink="Processing!A4">
      <xdr:nvSpPr>
        <xdr:cNvPr id="9" name="TextBox 8">
          <a:extLst>
            <a:ext uri="{FF2B5EF4-FFF2-40B4-BE49-F238E27FC236}">
              <a16:creationId xmlns:a16="http://schemas.microsoft.com/office/drawing/2014/main" id="{C4EB46D7-275A-A62D-00E4-7DB3B2B4EF8F}"/>
            </a:ext>
          </a:extLst>
        </xdr:cNvPr>
        <xdr:cNvSpPr txBox="1"/>
      </xdr:nvSpPr>
      <xdr:spPr>
        <a:xfrm>
          <a:off x="898551" y="236943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135F59-47B1-4CCF-99D4-7D3AC18F23D5}" type="TxLink">
            <a:rPr lang="en-US" sz="2000" b="0" i="0" u="none" strike="noStrike">
              <a:solidFill>
                <a:schemeClr val="bg1">
                  <a:lumMod val="95000"/>
                </a:schemeClr>
              </a:solidFill>
              <a:latin typeface="Calibri Light" panose="020F0302020204030204" pitchFamily="34" charset="0"/>
              <a:ea typeface="+mn-ea"/>
              <a:cs typeface="Calibri Light" panose="020F0302020204030204" pitchFamily="34" charset="0"/>
            </a:rPr>
            <a:pPr marL="0" indent="0" algn="ctr"/>
            <a:t>89%</a:t>
          </a:fld>
          <a:endParaRPr lang="ru-RU" sz="2000" b="0" i="0" u="none" strike="noStrike">
            <a:solidFill>
              <a:schemeClr val="bg1">
                <a:lumMod val="9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4</xdr:col>
      <xdr:colOff>18441</xdr:colOff>
      <xdr:row>7</xdr:row>
      <xdr:rowOff>159639</xdr:rowOff>
    </xdr:from>
    <xdr:to>
      <xdr:col>5</xdr:col>
      <xdr:colOff>293980</xdr:colOff>
      <xdr:row>9</xdr:row>
      <xdr:rowOff>137541</xdr:rowOff>
    </xdr:to>
    <xdr:sp macro="" textlink="Processing!A6">
      <xdr:nvSpPr>
        <xdr:cNvPr id="10" name="TextBox 9">
          <a:extLst>
            <a:ext uri="{FF2B5EF4-FFF2-40B4-BE49-F238E27FC236}">
              <a16:creationId xmlns:a16="http://schemas.microsoft.com/office/drawing/2014/main" id="{181759F7-9094-A982-495C-C48D154D5BA9}"/>
            </a:ext>
          </a:extLst>
        </xdr:cNvPr>
        <xdr:cNvSpPr txBox="1"/>
      </xdr:nvSpPr>
      <xdr:spPr>
        <a:xfrm>
          <a:off x="2456841" y="236943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3D180A-EEF9-4911-B833-6D3DDD470A8F}" type="TxLink">
            <a:rPr lang="en-US" sz="2000" b="0" i="0" u="none" strike="noStrike">
              <a:solidFill>
                <a:schemeClr val="bg1">
                  <a:lumMod val="95000"/>
                </a:schemeClr>
              </a:solidFill>
              <a:latin typeface="Calibri Light" panose="020F0302020204030204" pitchFamily="34" charset="0"/>
              <a:ea typeface="+mn-ea"/>
              <a:cs typeface="Calibri Light" panose="020F0302020204030204" pitchFamily="34" charset="0"/>
            </a:rPr>
            <a:pPr marL="0" indent="0" algn="ctr"/>
            <a:t>65%</a:t>
          </a:fld>
          <a:endParaRPr lang="ru-RU" sz="2000" b="0" i="0" u="none" strike="noStrike">
            <a:solidFill>
              <a:schemeClr val="bg1">
                <a:lumMod val="9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4</xdr:col>
      <xdr:colOff>18441</xdr:colOff>
      <xdr:row>15</xdr:row>
      <xdr:rowOff>129159</xdr:rowOff>
    </xdr:from>
    <xdr:to>
      <xdr:col>5</xdr:col>
      <xdr:colOff>293980</xdr:colOff>
      <xdr:row>17</xdr:row>
      <xdr:rowOff>107061</xdr:rowOff>
    </xdr:to>
    <xdr:sp macro="" textlink="Processing!A10">
      <xdr:nvSpPr>
        <xdr:cNvPr id="15" name="TextBox 14">
          <a:extLst>
            <a:ext uri="{FF2B5EF4-FFF2-40B4-BE49-F238E27FC236}">
              <a16:creationId xmlns:a16="http://schemas.microsoft.com/office/drawing/2014/main" id="{3026A325-CA0F-E34B-CDFD-E7FEBC9D7F74}"/>
            </a:ext>
          </a:extLst>
        </xdr:cNvPr>
        <xdr:cNvSpPr txBox="1"/>
      </xdr:nvSpPr>
      <xdr:spPr>
        <a:xfrm>
          <a:off x="2456841" y="380199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B452F3E-44ED-472A-9D43-5E75E517D0A6}" type="TxLink">
            <a:rPr lang="en-US" sz="2000" b="0" i="0" u="none" strike="noStrike">
              <a:solidFill>
                <a:schemeClr val="bg1">
                  <a:lumMod val="95000"/>
                </a:schemeClr>
              </a:solidFill>
              <a:latin typeface="Calibri Light" panose="020F0302020204030204" pitchFamily="34" charset="0"/>
              <a:ea typeface="+mn-ea"/>
              <a:cs typeface="Calibri Light" panose="020F0302020204030204" pitchFamily="34" charset="0"/>
            </a:rPr>
            <a:pPr marL="0" indent="0" algn="ctr"/>
            <a:t>64%</a:t>
          </a:fld>
          <a:endParaRPr lang="ru-RU" sz="2000" b="0" i="0" u="none" strike="noStrike">
            <a:solidFill>
              <a:schemeClr val="bg1">
                <a:lumMod val="9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1</xdr:col>
      <xdr:colOff>288951</xdr:colOff>
      <xdr:row>15</xdr:row>
      <xdr:rowOff>129159</xdr:rowOff>
    </xdr:from>
    <xdr:to>
      <xdr:col>2</xdr:col>
      <xdr:colOff>564490</xdr:colOff>
      <xdr:row>17</xdr:row>
      <xdr:rowOff>107061</xdr:rowOff>
    </xdr:to>
    <xdr:sp macro="" textlink="Processing!A8">
      <xdr:nvSpPr>
        <xdr:cNvPr id="16" name="TextBox 15">
          <a:extLst>
            <a:ext uri="{FF2B5EF4-FFF2-40B4-BE49-F238E27FC236}">
              <a16:creationId xmlns:a16="http://schemas.microsoft.com/office/drawing/2014/main" id="{AD15432B-C316-F0D8-4B7F-859991F83A23}"/>
            </a:ext>
          </a:extLst>
        </xdr:cNvPr>
        <xdr:cNvSpPr txBox="1"/>
      </xdr:nvSpPr>
      <xdr:spPr>
        <a:xfrm>
          <a:off x="898551" y="380199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C5BB990-4C3D-47D7-9788-27FA2CD11E93}" type="TxLink">
            <a:rPr lang="en-US" sz="2000" b="0" i="0" u="none" strike="noStrike">
              <a:solidFill>
                <a:schemeClr val="bg1">
                  <a:lumMod val="95000"/>
                </a:schemeClr>
              </a:solidFill>
              <a:latin typeface="Calibri Light" panose="020F0302020204030204" pitchFamily="34" charset="0"/>
              <a:ea typeface="+mn-ea"/>
              <a:cs typeface="Calibri Light" panose="020F0302020204030204" pitchFamily="34" charset="0"/>
            </a:rPr>
            <a:pPr marL="0" indent="0" algn="ctr"/>
            <a:t>60%</a:t>
          </a:fld>
          <a:endParaRPr lang="ru-RU" sz="2000" b="0" i="0" u="none" strike="noStrike">
            <a:solidFill>
              <a:schemeClr val="bg1">
                <a:lumMod val="9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18</xdr:col>
      <xdr:colOff>22860</xdr:colOff>
      <xdr:row>6</xdr:row>
      <xdr:rowOff>60960</xdr:rowOff>
    </xdr:from>
    <xdr:to>
      <xdr:col>20</xdr:col>
      <xdr:colOff>266700</xdr:colOff>
      <xdr:row>14</xdr:row>
      <xdr:rowOff>60960</xdr:rowOff>
    </xdr:to>
    <xdr:graphicFrame macro="">
      <xdr:nvGraphicFramePr>
        <xdr:cNvPr id="17" name="Chart 16">
          <a:extLst>
            <a:ext uri="{FF2B5EF4-FFF2-40B4-BE49-F238E27FC236}">
              <a16:creationId xmlns:a16="http://schemas.microsoft.com/office/drawing/2014/main" id="{5EC21998-1694-E519-6CAC-45B7DA2CD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386715</xdr:colOff>
      <xdr:row>26</xdr:row>
      <xdr:rowOff>68580</xdr:rowOff>
    </xdr:from>
    <xdr:to>
      <xdr:col>22</xdr:col>
      <xdr:colOff>512445</xdr:colOff>
      <xdr:row>33</xdr:row>
      <xdr:rowOff>133350</xdr:rowOff>
    </xdr:to>
    <xdr:graphicFrame macro="">
      <xdr:nvGraphicFramePr>
        <xdr:cNvPr id="18" name="Chart 17">
          <a:extLst>
            <a:ext uri="{FF2B5EF4-FFF2-40B4-BE49-F238E27FC236}">
              <a16:creationId xmlns:a16="http://schemas.microsoft.com/office/drawing/2014/main" id="{155A329E-8A0D-4733-811E-386691546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434340</xdr:colOff>
      <xdr:row>14</xdr:row>
      <xdr:rowOff>129540</xdr:rowOff>
    </xdr:from>
    <xdr:to>
      <xdr:col>22</xdr:col>
      <xdr:colOff>533400</xdr:colOff>
      <xdr:row>21</xdr:row>
      <xdr:rowOff>160020</xdr:rowOff>
    </xdr:to>
    <xdr:graphicFrame macro="">
      <xdr:nvGraphicFramePr>
        <xdr:cNvPr id="19" name="Chart 18">
          <a:extLst>
            <a:ext uri="{FF2B5EF4-FFF2-40B4-BE49-F238E27FC236}">
              <a16:creationId xmlns:a16="http://schemas.microsoft.com/office/drawing/2014/main" id="{52F2A0A0-C857-4698-B62B-739575CBE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10858</xdr:colOff>
      <xdr:row>7</xdr:row>
      <xdr:rowOff>117566</xdr:rowOff>
    </xdr:from>
    <xdr:to>
      <xdr:col>21</xdr:col>
      <xdr:colOff>10858</xdr:colOff>
      <xdr:row>12</xdr:row>
      <xdr:rowOff>26126</xdr:rowOff>
    </xdr:to>
    <xdr:cxnSp macro="">
      <xdr:nvCxnSpPr>
        <xdr:cNvPr id="29" name="Straight Connector 28">
          <a:extLst>
            <a:ext uri="{FF2B5EF4-FFF2-40B4-BE49-F238E27FC236}">
              <a16:creationId xmlns:a16="http://schemas.microsoft.com/office/drawing/2014/main" id="{3C10BBFD-C9CB-F7B2-2E2E-57C2D7F9EB73}"/>
            </a:ext>
          </a:extLst>
        </xdr:cNvPr>
        <xdr:cNvCxnSpPr/>
      </xdr:nvCxnSpPr>
      <xdr:spPr>
        <a:xfrm>
          <a:off x="12812458" y="2329543"/>
          <a:ext cx="0" cy="822960"/>
        </a:xfrm>
        <a:prstGeom prst="line">
          <a:avLst/>
        </a:prstGeom>
        <a:ln w="9525">
          <a:solidFill>
            <a:srgbClr val="FA2A7F">
              <a:alpha val="31000"/>
            </a:srgb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583882</xdr:colOff>
      <xdr:row>7</xdr:row>
      <xdr:rowOff>80011</xdr:rowOff>
    </xdr:from>
    <xdr:to>
      <xdr:col>21</xdr:col>
      <xdr:colOff>47434</xdr:colOff>
      <xdr:row>7</xdr:row>
      <xdr:rowOff>153163</xdr:rowOff>
    </xdr:to>
    <xdr:sp macro="" textlink="">
      <xdr:nvSpPr>
        <xdr:cNvPr id="22" name="Oval 21">
          <a:extLst>
            <a:ext uri="{FF2B5EF4-FFF2-40B4-BE49-F238E27FC236}">
              <a16:creationId xmlns:a16="http://schemas.microsoft.com/office/drawing/2014/main" id="{13A6DC4B-7134-7320-12BD-AEA82EECEF71}"/>
            </a:ext>
          </a:extLst>
        </xdr:cNvPr>
        <xdr:cNvSpPr/>
      </xdr:nvSpPr>
      <xdr:spPr>
        <a:xfrm>
          <a:off x="12775882" y="2289811"/>
          <a:ext cx="73152" cy="73152"/>
        </a:xfrm>
        <a:prstGeom prst="ellipse">
          <a:avLst/>
        </a:prstGeom>
        <a:solidFill>
          <a:schemeClr val="tx1"/>
        </a:solidFill>
        <a:ln w="12700">
          <a:solidFill>
            <a:srgbClr val="FA2A7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583882</xdr:colOff>
      <xdr:row>8</xdr:row>
      <xdr:rowOff>175805</xdr:rowOff>
    </xdr:from>
    <xdr:to>
      <xdr:col>21</xdr:col>
      <xdr:colOff>47434</xdr:colOff>
      <xdr:row>9</xdr:row>
      <xdr:rowOff>66077</xdr:rowOff>
    </xdr:to>
    <xdr:sp macro="" textlink="">
      <xdr:nvSpPr>
        <xdr:cNvPr id="23" name="Oval 22">
          <a:extLst>
            <a:ext uri="{FF2B5EF4-FFF2-40B4-BE49-F238E27FC236}">
              <a16:creationId xmlns:a16="http://schemas.microsoft.com/office/drawing/2014/main" id="{87CE24D2-9DA9-2140-0391-468D5AF08FEC}"/>
            </a:ext>
          </a:extLst>
        </xdr:cNvPr>
        <xdr:cNvSpPr/>
      </xdr:nvSpPr>
      <xdr:spPr>
        <a:xfrm>
          <a:off x="12775882" y="2568485"/>
          <a:ext cx="73152" cy="73152"/>
        </a:xfrm>
        <a:prstGeom prst="ellipse">
          <a:avLst/>
        </a:prstGeom>
        <a:solidFill>
          <a:schemeClr val="tx1"/>
        </a:solidFill>
        <a:ln w="12700">
          <a:solidFill>
            <a:srgbClr val="FA2A7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583882</xdr:colOff>
      <xdr:row>10</xdr:row>
      <xdr:rowOff>88719</xdr:rowOff>
    </xdr:from>
    <xdr:to>
      <xdr:col>21</xdr:col>
      <xdr:colOff>47434</xdr:colOff>
      <xdr:row>10</xdr:row>
      <xdr:rowOff>161871</xdr:rowOff>
    </xdr:to>
    <xdr:sp macro="" textlink="">
      <xdr:nvSpPr>
        <xdr:cNvPr id="24" name="Oval 23">
          <a:extLst>
            <a:ext uri="{FF2B5EF4-FFF2-40B4-BE49-F238E27FC236}">
              <a16:creationId xmlns:a16="http://schemas.microsoft.com/office/drawing/2014/main" id="{5AB66910-A8CF-4036-E40D-8C35A1ADF210}"/>
            </a:ext>
          </a:extLst>
        </xdr:cNvPr>
        <xdr:cNvSpPr/>
      </xdr:nvSpPr>
      <xdr:spPr>
        <a:xfrm>
          <a:off x="12775882" y="2847159"/>
          <a:ext cx="73152" cy="73152"/>
        </a:xfrm>
        <a:prstGeom prst="ellipse">
          <a:avLst/>
        </a:prstGeom>
        <a:solidFill>
          <a:schemeClr val="tx1"/>
        </a:solidFill>
        <a:ln w="12700">
          <a:solidFill>
            <a:srgbClr val="FA2A7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583882</xdr:colOff>
      <xdr:row>12</xdr:row>
      <xdr:rowOff>1634</xdr:rowOff>
    </xdr:from>
    <xdr:to>
      <xdr:col>21</xdr:col>
      <xdr:colOff>47434</xdr:colOff>
      <xdr:row>12</xdr:row>
      <xdr:rowOff>74786</xdr:rowOff>
    </xdr:to>
    <xdr:sp macro="" textlink="">
      <xdr:nvSpPr>
        <xdr:cNvPr id="25" name="Oval 24">
          <a:extLst>
            <a:ext uri="{FF2B5EF4-FFF2-40B4-BE49-F238E27FC236}">
              <a16:creationId xmlns:a16="http://schemas.microsoft.com/office/drawing/2014/main" id="{46238F86-D542-AD6F-0B7D-621808570375}"/>
            </a:ext>
          </a:extLst>
        </xdr:cNvPr>
        <xdr:cNvSpPr/>
      </xdr:nvSpPr>
      <xdr:spPr>
        <a:xfrm>
          <a:off x="12775882" y="3125834"/>
          <a:ext cx="73152" cy="73152"/>
        </a:xfrm>
        <a:prstGeom prst="ellipse">
          <a:avLst/>
        </a:prstGeom>
        <a:solidFill>
          <a:schemeClr val="tx1"/>
        </a:solidFill>
        <a:ln w="12700">
          <a:solidFill>
            <a:srgbClr val="FA2A7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140970</xdr:colOff>
      <xdr:row>2</xdr:row>
      <xdr:rowOff>144780</xdr:rowOff>
    </xdr:from>
    <xdr:to>
      <xdr:col>16</xdr:col>
      <xdr:colOff>369570</xdr:colOff>
      <xdr:row>21</xdr:row>
      <xdr:rowOff>60960</xdr:rowOff>
    </xdr:to>
    <xdr:graphicFrame macro="">
      <xdr:nvGraphicFramePr>
        <xdr:cNvPr id="32" name="Chart 31">
          <a:extLst>
            <a:ext uri="{FF2B5EF4-FFF2-40B4-BE49-F238E27FC236}">
              <a16:creationId xmlns:a16="http://schemas.microsoft.com/office/drawing/2014/main" id="{3BAA8248-9376-4272-BD54-3C1A8894C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140970</xdr:colOff>
      <xdr:row>24</xdr:row>
      <xdr:rowOff>38099</xdr:rowOff>
    </xdr:from>
    <xdr:to>
      <xdr:col>16</xdr:col>
      <xdr:colOff>369570</xdr:colOff>
      <xdr:row>36</xdr:row>
      <xdr:rowOff>123825</xdr:rowOff>
    </xdr:to>
    <xdr:graphicFrame macro="">
      <xdr:nvGraphicFramePr>
        <xdr:cNvPr id="20" name="Chart 19">
          <a:extLst>
            <a:ext uri="{FF2B5EF4-FFF2-40B4-BE49-F238E27FC236}">
              <a16:creationId xmlns:a16="http://schemas.microsoft.com/office/drawing/2014/main" id="{2C0D8F32-0C6C-4C7F-8DC0-607B0C0A8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123825</xdr:colOff>
      <xdr:row>27</xdr:row>
      <xdr:rowOff>64332</xdr:rowOff>
    </xdr:from>
    <xdr:to>
      <xdr:col>20</xdr:col>
      <xdr:colOff>459105</xdr:colOff>
      <xdr:row>33</xdr:row>
      <xdr:rowOff>76200</xdr:rowOff>
    </xdr:to>
    <xdr:graphicFrame macro="">
      <xdr:nvGraphicFramePr>
        <xdr:cNvPr id="34" name="Chart 33">
          <a:extLst>
            <a:ext uri="{FF2B5EF4-FFF2-40B4-BE49-F238E27FC236}">
              <a16:creationId xmlns:a16="http://schemas.microsoft.com/office/drawing/2014/main" id="{1ED735AC-A765-45FE-A64D-9C8604A0E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1126</xdr:colOff>
      <xdr:row>28</xdr:row>
      <xdr:rowOff>157658</xdr:rowOff>
    </xdr:from>
    <xdr:to>
      <xdr:col>18</xdr:col>
      <xdr:colOff>160199</xdr:colOff>
      <xdr:row>29</xdr:row>
      <xdr:rowOff>115614</xdr:rowOff>
    </xdr:to>
    <xdr:grpSp>
      <xdr:nvGrpSpPr>
        <xdr:cNvPr id="33" name="Group 32">
          <a:extLst>
            <a:ext uri="{FF2B5EF4-FFF2-40B4-BE49-F238E27FC236}">
              <a16:creationId xmlns:a16="http://schemas.microsoft.com/office/drawing/2014/main" id="{AAF74A03-8FD0-6EE7-4D2E-88ACDD17CF69}"/>
            </a:ext>
          </a:extLst>
        </xdr:cNvPr>
        <xdr:cNvGrpSpPr/>
      </xdr:nvGrpSpPr>
      <xdr:grpSpPr>
        <a:xfrm>
          <a:off x="10669126" y="6412408"/>
          <a:ext cx="159073" cy="148456"/>
          <a:chOff x="9220200" y="8658225"/>
          <a:chExt cx="762000" cy="666750"/>
        </a:xfrm>
        <a:solidFill>
          <a:srgbClr val="3CD964"/>
        </a:solidFill>
      </xdr:grpSpPr>
      <xdr:sp macro="" textlink="">
        <xdr:nvSpPr>
          <xdr:cNvPr id="30" name="Freeform: Shape 29">
            <a:extLst>
              <a:ext uri="{FF2B5EF4-FFF2-40B4-BE49-F238E27FC236}">
                <a16:creationId xmlns:a16="http://schemas.microsoft.com/office/drawing/2014/main" id="{064322C0-D1E9-9545-C09A-762795A26C7C}"/>
              </a:ext>
            </a:extLst>
          </xdr:cNvPr>
          <xdr:cNvSpPr/>
        </xdr:nvSpPr>
        <xdr:spPr>
          <a:xfrm>
            <a:off x="9458325" y="8658225"/>
            <a:ext cx="523875" cy="666750"/>
          </a:xfrm>
          <a:custGeom>
            <a:avLst/>
            <a:gdLst>
              <a:gd name="connsiteX0" fmla="*/ 523875 w 523875"/>
              <a:gd name="connsiteY0" fmla="*/ 323850 h 666750"/>
              <a:gd name="connsiteX1" fmla="*/ 466725 w 523875"/>
              <a:gd name="connsiteY1" fmla="*/ 266700 h 666750"/>
              <a:gd name="connsiteX2" fmla="*/ 285750 w 523875"/>
              <a:gd name="connsiteY2" fmla="*/ 266700 h 666750"/>
              <a:gd name="connsiteX3" fmla="*/ 257175 w 523875"/>
              <a:gd name="connsiteY3" fmla="*/ 239077 h 666750"/>
              <a:gd name="connsiteX4" fmla="*/ 285750 w 523875"/>
              <a:gd name="connsiteY4" fmla="*/ 57150 h 666750"/>
              <a:gd name="connsiteX5" fmla="*/ 228600 w 523875"/>
              <a:gd name="connsiteY5" fmla="*/ 0 h 666750"/>
              <a:gd name="connsiteX6" fmla="*/ 171450 w 523875"/>
              <a:gd name="connsiteY6" fmla="*/ 57150 h 666750"/>
              <a:gd name="connsiteX7" fmla="*/ 0 w 523875"/>
              <a:gd name="connsiteY7" fmla="*/ 285750 h 666750"/>
              <a:gd name="connsiteX8" fmla="*/ 0 w 523875"/>
              <a:gd name="connsiteY8" fmla="*/ 590550 h 666750"/>
              <a:gd name="connsiteX9" fmla="*/ 200025 w 523875"/>
              <a:gd name="connsiteY9" fmla="*/ 666750 h 666750"/>
              <a:gd name="connsiteX10" fmla="*/ 371475 w 523875"/>
              <a:gd name="connsiteY10" fmla="*/ 666750 h 666750"/>
              <a:gd name="connsiteX11" fmla="*/ 428625 w 523875"/>
              <a:gd name="connsiteY11" fmla="*/ 609600 h 666750"/>
              <a:gd name="connsiteX12" fmla="*/ 413385 w 523875"/>
              <a:gd name="connsiteY12" fmla="*/ 571500 h 666750"/>
              <a:gd name="connsiteX13" fmla="*/ 419100 w 523875"/>
              <a:gd name="connsiteY13" fmla="*/ 571500 h 666750"/>
              <a:gd name="connsiteX14" fmla="*/ 476250 w 523875"/>
              <a:gd name="connsiteY14" fmla="*/ 514350 h 666750"/>
              <a:gd name="connsiteX15" fmla="*/ 460058 w 523875"/>
              <a:gd name="connsiteY15" fmla="*/ 474345 h 666750"/>
              <a:gd name="connsiteX16" fmla="*/ 504825 w 523875"/>
              <a:gd name="connsiteY16" fmla="*/ 419100 h 666750"/>
              <a:gd name="connsiteX17" fmla="*/ 486728 w 523875"/>
              <a:gd name="connsiteY17" fmla="*/ 377190 h 666750"/>
              <a:gd name="connsiteX18" fmla="*/ 523875 w 523875"/>
              <a:gd name="connsiteY18" fmla="*/ 323850 h 666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523875" h="666750">
                <a:moveTo>
                  <a:pt x="523875" y="323850"/>
                </a:moveTo>
                <a:cubicBezTo>
                  <a:pt x="523875" y="292418"/>
                  <a:pt x="498158" y="266700"/>
                  <a:pt x="466725" y="266700"/>
                </a:cubicBezTo>
                <a:lnTo>
                  <a:pt x="285750" y="266700"/>
                </a:lnTo>
                <a:cubicBezTo>
                  <a:pt x="270510" y="266700"/>
                  <a:pt x="258127" y="254318"/>
                  <a:pt x="257175" y="239077"/>
                </a:cubicBezTo>
                <a:cubicBezTo>
                  <a:pt x="258127" y="221933"/>
                  <a:pt x="285750" y="187643"/>
                  <a:pt x="285750" y="57150"/>
                </a:cubicBezTo>
                <a:cubicBezTo>
                  <a:pt x="285750" y="25717"/>
                  <a:pt x="260033" y="0"/>
                  <a:pt x="228600" y="0"/>
                </a:cubicBezTo>
                <a:cubicBezTo>
                  <a:pt x="197168" y="0"/>
                  <a:pt x="171450" y="25717"/>
                  <a:pt x="171450" y="57150"/>
                </a:cubicBezTo>
                <a:cubicBezTo>
                  <a:pt x="171450" y="201930"/>
                  <a:pt x="2857" y="283845"/>
                  <a:pt x="0" y="285750"/>
                </a:cubicBezTo>
                <a:lnTo>
                  <a:pt x="0" y="590550"/>
                </a:lnTo>
                <a:cubicBezTo>
                  <a:pt x="67627" y="590550"/>
                  <a:pt x="72390" y="666750"/>
                  <a:pt x="200025" y="666750"/>
                </a:cubicBezTo>
                <a:cubicBezTo>
                  <a:pt x="242888" y="666750"/>
                  <a:pt x="371475" y="666750"/>
                  <a:pt x="371475" y="666750"/>
                </a:cubicBezTo>
                <a:cubicBezTo>
                  <a:pt x="402908" y="666750"/>
                  <a:pt x="428625" y="641033"/>
                  <a:pt x="428625" y="609600"/>
                </a:cubicBezTo>
                <a:cubicBezTo>
                  <a:pt x="428625" y="594360"/>
                  <a:pt x="422910" y="581025"/>
                  <a:pt x="413385" y="571500"/>
                </a:cubicBezTo>
                <a:cubicBezTo>
                  <a:pt x="415290" y="571500"/>
                  <a:pt x="417195" y="571500"/>
                  <a:pt x="419100" y="571500"/>
                </a:cubicBezTo>
                <a:cubicBezTo>
                  <a:pt x="450533" y="571500"/>
                  <a:pt x="476250" y="545783"/>
                  <a:pt x="476250" y="514350"/>
                </a:cubicBezTo>
                <a:cubicBezTo>
                  <a:pt x="476250" y="499110"/>
                  <a:pt x="470535" y="484823"/>
                  <a:pt x="460058" y="474345"/>
                </a:cubicBezTo>
                <a:cubicBezTo>
                  <a:pt x="485775" y="468630"/>
                  <a:pt x="504825" y="445770"/>
                  <a:pt x="504825" y="419100"/>
                </a:cubicBezTo>
                <a:cubicBezTo>
                  <a:pt x="504825" y="402908"/>
                  <a:pt x="498158" y="387668"/>
                  <a:pt x="486728" y="377190"/>
                </a:cubicBezTo>
                <a:cubicBezTo>
                  <a:pt x="508635" y="369570"/>
                  <a:pt x="523875" y="348615"/>
                  <a:pt x="523875" y="323850"/>
                </a:cubicBezTo>
                <a:close/>
              </a:path>
            </a:pathLst>
          </a:custGeom>
          <a:grpFill/>
          <a:ln w="9525" cap="flat">
            <a:noFill/>
            <a:prstDash val="solid"/>
            <a:miter/>
          </a:ln>
        </xdr:spPr>
        <xdr:txBody>
          <a:bodyPr rtlCol="0" anchor="ctr"/>
          <a:lstStyle/>
          <a:p>
            <a:endParaRPr lang="ru-RU">
              <a:solidFill>
                <a:srgbClr val="3CD964"/>
              </a:solidFill>
            </a:endParaRPr>
          </a:p>
        </xdr:txBody>
      </xdr:sp>
      <xdr:sp macro="" textlink="">
        <xdr:nvSpPr>
          <xdr:cNvPr id="31" name="Freeform: Shape 30">
            <a:extLst>
              <a:ext uri="{FF2B5EF4-FFF2-40B4-BE49-F238E27FC236}">
                <a16:creationId xmlns:a16="http://schemas.microsoft.com/office/drawing/2014/main" id="{4E1C13B7-CFA4-ABEE-4DAE-CC4EC3CA871D}"/>
              </a:ext>
            </a:extLst>
          </xdr:cNvPr>
          <xdr:cNvSpPr/>
        </xdr:nvSpPr>
        <xdr:spPr>
          <a:xfrm>
            <a:off x="9220200" y="8896350"/>
            <a:ext cx="180975" cy="400050"/>
          </a:xfrm>
          <a:custGeom>
            <a:avLst/>
            <a:gdLst>
              <a:gd name="connsiteX0" fmla="*/ 142875 w 180975"/>
              <a:gd name="connsiteY0" fmla="*/ 0 h 400050"/>
              <a:gd name="connsiteX1" fmla="*/ 0 w 180975"/>
              <a:gd name="connsiteY1" fmla="*/ 0 h 400050"/>
              <a:gd name="connsiteX2" fmla="*/ 0 w 180975"/>
              <a:gd name="connsiteY2" fmla="*/ 400050 h 400050"/>
              <a:gd name="connsiteX3" fmla="*/ 142875 w 180975"/>
              <a:gd name="connsiteY3" fmla="*/ 400050 h 400050"/>
              <a:gd name="connsiteX4" fmla="*/ 180975 w 180975"/>
              <a:gd name="connsiteY4" fmla="*/ 361950 h 400050"/>
              <a:gd name="connsiteX5" fmla="*/ 180975 w 180975"/>
              <a:gd name="connsiteY5" fmla="*/ 38100 h 400050"/>
              <a:gd name="connsiteX6" fmla="*/ 142875 w 180975"/>
              <a:gd name="connsiteY6" fmla="*/ 0 h 400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80975" h="400050">
                <a:moveTo>
                  <a:pt x="142875" y="0"/>
                </a:moveTo>
                <a:lnTo>
                  <a:pt x="0" y="0"/>
                </a:lnTo>
                <a:lnTo>
                  <a:pt x="0" y="400050"/>
                </a:lnTo>
                <a:lnTo>
                  <a:pt x="142875" y="400050"/>
                </a:lnTo>
                <a:cubicBezTo>
                  <a:pt x="163830" y="400050"/>
                  <a:pt x="180975" y="382905"/>
                  <a:pt x="180975" y="361950"/>
                </a:cubicBezTo>
                <a:lnTo>
                  <a:pt x="180975" y="38100"/>
                </a:lnTo>
                <a:cubicBezTo>
                  <a:pt x="180975" y="17145"/>
                  <a:pt x="163830" y="0"/>
                  <a:pt x="142875" y="0"/>
                </a:cubicBezTo>
                <a:close/>
              </a:path>
            </a:pathLst>
          </a:custGeom>
          <a:grpFill/>
          <a:ln w="9525" cap="flat">
            <a:noFill/>
            <a:prstDash val="solid"/>
            <a:miter/>
          </a:ln>
        </xdr:spPr>
        <xdr:txBody>
          <a:bodyPr rtlCol="0" anchor="ctr"/>
          <a:lstStyle/>
          <a:p>
            <a:endParaRPr lang="ru-RU">
              <a:solidFill>
                <a:srgbClr val="3CD964"/>
              </a:solidFill>
            </a:endParaRPr>
          </a:p>
        </xdr:txBody>
      </xdr:sp>
    </xdr:grpSp>
    <xdr:clientData/>
  </xdr:twoCellAnchor>
  <xdr:twoCellAnchor>
    <xdr:from>
      <xdr:col>18</xdr:col>
      <xdr:colOff>1126</xdr:colOff>
      <xdr:row>31</xdr:row>
      <xdr:rowOff>21022</xdr:rowOff>
    </xdr:from>
    <xdr:to>
      <xdr:col>18</xdr:col>
      <xdr:colOff>160199</xdr:colOff>
      <xdr:row>31</xdr:row>
      <xdr:rowOff>162910</xdr:rowOff>
    </xdr:to>
    <xdr:grpSp>
      <xdr:nvGrpSpPr>
        <xdr:cNvPr id="36" name="Group 35">
          <a:extLst>
            <a:ext uri="{FF2B5EF4-FFF2-40B4-BE49-F238E27FC236}">
              <a16:creationId xmlns:a16="http://schemas.microsoft.com/office/drawing/2014/main" id="{68B6F062-F853-85BA-FD9C-811E441EB702}"/>
            </a:ext>
          </a:extLst>
        </xdr:cNvPr>
        <xdr:cNvGrpSpPr/>
      </xdr:nvGrpSpPr>
      <xdr:grpSpPr>
        <a:xfrm flipH="1" flipV="1">
          <a:off x="10669126" y="6847272"/>
          <a:ext cx="159073" cy="141888"/>
          <a:chOff x="9220200" y="8658225"/>
          <a:chExt cx="762000" cy="666750"/>
        </a:xfrm>
        <a:solidFill>
          <a:srgbClr val="FA2A7F"/>
        </a:solidFill>
      </xdr:grpSpPr>
      <xdr:sp macro="" textlink="">
        <xdr:nvSpPr>
          <xdr:cNvPr id="37" name="Freeform: Shape 36">
            <a:extLst>
              <a:ext uri="{FF2B5EF4-FFF2-40B4-BE49-F238E27FC236}">
                <a16:creationId xmlns:a16="http://schemas.microsoft.com/office/drawing/2014/main" id="{6DB8EF51-B84E-29A3-D9B2-E2B11CEC9B29}"/>
              </a:ext>
            </a:extLst>
          </xdr:cNvPr>
          <xdr:cNvSpPr/>
        </xdr:nvSpPr>
        <xdr:spPr>
          <a:xfrm>
            <a:off x="9458325" y="8658225"/>
            <a:ext cx="523875" cy="666750"/>
          </a:xfrm>
          <a:custGeom>
            <a:avLst/>
            <a:gdLst>
              <a:gd name="connsiteX0" fmla="*/ 523875 w 523875"/>
              <a:gd name="connsiteY0" fmla="*/ 323850 h 666750"/>
              <a:gd name="connsiteX1" fmla="*/ 466725 w 523875"/>
              <a:gd name="connsiteY1" fmla="*/ 266700 h 666750"/>
              <a:gd name="connsiteX2" fmla="*/ 285750 w 523875"/>
              <a:gd name="connsiteY2" fmla="*/ 266700 h 666750"/>
              <a:gd name="connsiteX3" fmla="*/ 257175 w 523875"/>
              <a:gd name="connsiteY3" fmla="*/ 239077 h 666750"/>
              <a:gd name="connsiteX4" fmla="*/ 285750 w 523875"/>
              <a:gd name="connsiteY4" fmla="*/ 57150 h 666750"/>
              <a:gd name="connsiteX5" fmla="*/ 228600 w 523875"/>
              <a:gd name="connsiteY5" fmla="*/ 0 h 666750"/>
              <a:gd name="connsiteX6" fmla="*/ 171450 w 523875"/>
              <a:gd name="connsiteY6" fmla="*/ 57150 h 666750"/>
              <a:gd name="connsiteX7" fmla="*/ 0 w 523875"/>
              <a:gd name="connsiteY7" fmla="*/ 285750 h 666750"/>
              <a:gd name="connsiteX8" fmla="*/ 0 w 523875"/>
              <a:gd name="connsiteY8" fmla="*/ 590550 h 666750"/>
              <a:gd name="connsiteX9" fmla="*/ 200025 w 523875"/>
              <a:gd name="connsiteY9" fmla="*/ 666750 h 666750"/>
              <a:gd name="connsiteX10" fmla="*/ 371475 w 523875"/>
              <a:gd name="connsiteY10" fmla="*/ 666750 h 666750"/>
              <a:gd name="connsiteX11" fmla="*/ 428625 w 523875"/>
              <a:gd name="connsiteY11" fmla="*/ 609600 h 666750"/>
              <a:gd name="connsiteX12" fmla="*/ 413385 w 523875"/>
              <a:gd name="connsiteY12" fmla="*/ 571500 h 666750"/>
              <a:gd name="connsiteX13" fmla="*/ 419100 w 523875"/>
              <a:gd name="connsiteY13" fmla="*/ 571500 h 666750"/>
              <a:gd name="connsiteX14" fmla="*/ 476250 w 523875"/>
              <a:gd name="connsiteY14" fmla="*/ 514350 h 666750"/>
              <a:gd name="connsiteX15" fmla="*/ 460058 w 523875"/>
              <a:gd name="connsiteY15" fmla="*/ 474345 h 666750"/>
              <a:gd name="connsiteX16" fmla="*/ 504825 w 523875"/>
              <a:gd name="connsiteY16" fmla="*/ 419100 h 666750"/>
              <a:gd name="connsiteX17" fmla="*/ 486728 w 523875"/>
              <a:gd name="connsiteY17" fmla="*/ 377190 h 666750"/>
              <a:gd name="connsiteX18" fmla="*/ 523875 w 523875"/>
              <a:gd name="connsiteY18" fmla="*/ 323850 h 666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523875" h="666750">
                <a:moveTo>
                  <a:pt x="523875" y="323850"/>
                </a:moveTo>
                <a:cubicBezTo>
                  <a:pt x="523875" y="292418"/>
                  <a:pt x="498158" y="266700"/>
                  <a:pt x="466725" y="266700"/>
                </a:cubicBezTo>
                <a:lnTo>
                  <a:pt x="285750" y="266700"/>
                </a:lnTo>
                <a:cubicBezTo>
                  <a:pt x="270510" y="266700"/>
                  <a:pt x="258127" y="254318"/>
                  <a:pt x="257175" y="239077"/>
                </a:cubicBezTo>
                <a:cubicBezTo>
                  <a:pt x="258127" y="221933"/>
                  <a:pt x="285750" y="187643"/>
                  <a:pt x="285750" y="57150"/>
                </a:cubicBezTo>
                <a:cubicBezTo>
                  <a:pt x="285750" y="25717"/>
                  <a:pt x="260033" y="0"/>
                  <a:pt x="228600" y="0"/>
                </a:cubicBezTo>
                <a:cubicBezTo>
                  <a:pt x="197168" y="0"/>
                  <a:pt x="171450" y="25717"/>
                  <a:pt x="171450" y="57150"/>
                </a:cubicBezTo>
                <a:cubicBezTo>
                  <a:pt x="171450" y="201930"/>
                  <a:pt x="2857" y="283845"/>
                  <a:pt x="0" y="285750"/>
                </a:cubicBezTo>
                <a:lnTo>
                  <a:pt x="0" y="590550"/>
                </a:lnTo>
                <a:cubicBezTo>
                  <a:pt x="67627" y="590550"/>
                  <a:pt x="72390" y="666750"/>
                  <a:pt x="200025" y="666750"/>
                </a:cubicBezTo>
                <a:cubicBezTo>
                  <a:pt x="242888" y="666750"/>
                  <a:pt x="371475" y="666750"/>
                  <a:pt x="371475" y="666750"/>
                </a:cubicBezTo>
                <a:cubicBezTo>
                  <a:pt x="402908" y="666750"/>
                  <a:pt x="428625" y="641033"/>
                  <a:pt x="428625" y="609600"/>
                </a:cubicBezTo>
                <a:cubicBezTo>
                  <a:pt x="428625" y="594360"/>
                  <a:pt x="422910" y="581025"/>
                  <a:pt x="413385" y="571500"/>
                </a:cubicBezTo>
                <a:cubicBezTo>
                  <a:pt x="415290" y="571500"/>
                  <a:pt x="417195" y="571500"/>
                  <a:pt x="419100" y="571500"/>
                </a:cubicBezTo>
                <a:cubicBezTo>
                  <a:pt x="450533" y="571500"/>
                  <a:pt x="476250" y="545783"/>
                  <a:pt x="476250" y="514350"/>
                </a:cubicBezTo>
                <a:cubicBezTo>
                  <a:pt x="476250" y="499110"/>
                  <a:pt x="470535" y="484823"/>
                  <a:pt x="460058" y="474345"/>
                </a:cubicBezTo>
                <a:cubicBezTo>
                  <a:pt x="485775" y="468630"/>
                  <a:pt x="504825" y="445770"/>
                  <a:pt x="504825" y="419100"/>
                </a:cubicBezTo>
                <a:cubicBezTo>
                  <a:pt x="504825" y="402908"/>
                  <a:pt x="498158" y="387668"/>
                  <a:pt x="486728" y="377190"/>
                </a:cubicBezTo>
                <a:cubicBezTo>
                  <a:pt x="508635" y="369570"/>
                  <a:pt x="523875" y="348615"/>
                  <a:pt x="523875" y="323850"/>
                </a:cubicBezTo>
                <a:close/>
              </a:path>
            </a:pathLst>
          </a:custGeom>
          <a:grpFill/>
          <a:ln w="9525" cap="flat">
            <a:noFill/>
            <a:prstDash val="solid"/>
            <a:miter/>
          </a:ln>
        </xdr:spPr>
        <xdr:txBody>
          <a:bodyPr rtlCol="0" anchor="ctr"/>
          <a:lstStyle/>
          <a:p>
            <a:endParaRPr lang="ru-RU"/>
          </a:p>
        </xdr:txBody>
      </xdr:sp>
      <xdr:sp macro="" textlink="">
        <xdr:nvSpPr>
          <xdr:cNvPr id="38" name="Freeform: Shape 37">
            <a:extLst>
              <a:ext uri="{FF2B5EF4-FFF2-40B4-BE49-F238E27FC236}">
                <a16:creationId xmlns:a16="http://schemas.microsoft.com/office/drawing/2014/main" id="{E28C3B6B-CA52-5597-9253-0DA9C0A9A266}"/>
              </a:ext>
            </a:extLst>
          </xdr:cNvPr>
          <xdr:cNvSpPr/>
        </xdr:nvSpPr>
        <xdr:spPr>
          <a:xfrm>
            <a:off x="9220200" y="8896350"/>
            <a:ext cx="180975" cy="400050"/>
          </a:xfrm>
          <a:custGeom>
            <a:avLst/>
            <a:gdLst>
              <a:gd name="connsiteX0" fmla="*/ 142875 w 180975"/>
              <a:gd name="connsiteY0" fmla="*/ 0 h 400050"/>
              <a:gd name="connsiteX1" fmla="*/ 0 w 180975"/>
              <a:gd name="connsiteY1" fmla="*/ 0 h 400050"/>
              <a:gd name="connsiteX2" fmla="*/ 0 w 180975"/>
              <a:gd name="connsiteY2" fmla="*/ 400050 h 400050"/>
              <a:gd name="connsiteX3" fmla="*/ 142875 w 180975"/>
              <a:gd name="connsiteY3" fmla="*/ 400050 h 400050"/>
              <a:gd name="connsiteX4" fmla="*/ 180975 w 180975"/>
              <a:gd name="connsiteY4" fmla="*/ 361950 h 400050"/>
              <a:gd name="connsiteX5" fmla="*/ 180975 w 180975"/>
              <a:gd name="connsiteY5" fmla="*/ 38100 h 400050"/>
              <a:gd name="connsiteX6" fmla="*/ 142875 w 180975"/>
              <a:gd name="connsiteY6" fmla="*/ 0 h 400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80975" h="400050">
                <a:moveTo>
                  <a:pt x="142875" y="0"/>
                </a:moveTo>
                <a:lnTo>
                  <a:pt x="0" y="0"/>
                </a:lnTo>
                <a:lnTo>
                  <a:pt x="0" y="400050"/>
                </a:lnTo>
                <a:lnTo>
                  <a:pt x="142875" y="400050"/>
                </a:lnTo>
                <a:cubicBezTo>
                  <a:pt x="163830" y="400050"/>
                  <a:pt x="180975" y="382905"/>
                  <a:pt x="180975" y="361950"/>
                </a:cubicBezTo>
                <a:lnTo>
                  <a:pt x="180975" y="38100"/>
                </a:lnTo>
                <a:cubicBezTo>
                  <a:pt x="180975" y="17145"/>
                  <a:pt x="163830" y="0"/>
                  <a:pt x="142875" y="0"/>
                </a:cubicBezTo>
                <a:close/>
              </a:path>
            </a:pathLst>
          </a:custGeom>
          <a:grpFill/>
          <a:ln w="9525" cap="flat">
            <a:noFill/>
            <a:prstDash val="solid"/>
            <a:miter/>
          </a:ln>
        </xdr:spPr>
        <xdr:txBody>
          <a:bodyPr rtlCol="0" anchor="ctr"/>
          <a:lstStyle/>
          <a:p>
            <a:endParaRPr lang="ru-RU"/>
          </a:p>
        </xdr:txBody>
      </xdr:sp>
    </xdr:grpSp>
    <xdr:clientData/>
  </xdr:twoCellAnchor>
  <xdr:twoCellAnchor>
    <xdr:from>
      <xdr:col>0</xdr:col>
      <xdr:colOff>335279</xdr:colOff>
      <xdr:row>24</xdr:row>
      <xdr:rowOff>60156</xdr:rowOff>
    </xdr:from>
    <xdr:to>
      <xdr:col>6</xdr:col>
      <xdr:colOff>266700</xdr:colOff>
      <xdr:row>35</xdr:row>
      <xdr:rowOff>99059</xdr:rowOff>
    </xdr:to>
    <xdr:graphicFrame macro="">
      <xdr:nvGraphicFramePr>
        <xdr:cNvPr id="26" name="Chart 25">
          <a:extLst>
            <a:ext uri="{FF2B5EF4-FFF2-40B4-BE49-F238E27FC236}">
              <a16:creationId xmlns:a16="http://schemas.microsoft.com/office/drawing/2014/main" id="{229473E7-70CF-4FA2-BC31-8036932D5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311811</xdr:colOff>
      <xdr:row>10</xdr:row>
      <xdr:rowOff>30099</xdr:rowOff>
    </xdr:from>
    <xdr:to>
      <xdr:col>19</xdr:col>
      <xdr:colOff>587350</xdr:colOff>
      <xdr:row>12</xdr:row>
      <xdr:rowOff>8001</xdr:rowOff>
    </xdr:to>
    <xdr:sp macro="" textlink="">
      <xdr:nvSpPr>
        <xdr:cNvPr id="27" name="TextBox 26">
          <a:extLst>
            <a:ext uri="{FF2B5EF4-FFF2-40B4-BE49-F238E27FC236}">
              <a16:creationId xmlns:a16="http://schemas.microsoft.com/office/drawing/2014/main" id="{C28E151E-3835-2388-00A4-C19ABA604ECA}"/>
            </a:ext>
          </a:extLst>
        </xdr:cNvPr>
        <xdr:cNvSpPr txBox="1"/>
      </xdr:nvSpPr>
      <xdr:spPr>
        <a:xfrm>
          <a:off x="11284611" y="278853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1400" b="0" i="0" u="none" strike="noStrike">
              <a:solidFill>
                <a:schemeClr val="bg1">
                  <a:lumMod val="95000"/>
                </a:schemeClr>
              </a:solidFill>
              <a:latin typeface="Calibri Light" panose="020F0302020204030204" pitchFamily="34" charset="0"/>
              <a:cs typeface="Calibri Light" panose="020F0302020204030204" pitchFamily="34" charset="0"/>
            </a:rPr>
            <a:t>KPI</a:t>
          </a:r>
          <a:endParaRPr lang="en-US" sz="1400" b="0" i="0" u="none" strike="noStrike">
            <a:solidFill>
              <a:schemeClr val="bg1">
                <a:lumMod val="95000"/>
              </a:schemeClr>
            </a:solidFill>
            <a:latin typeface="Calibri Light" panose="020F0302020204030204" pitchFamily="34" charset="0"/>
            <a:cs typeface="Calibri Light" panose="020F0302020204030204" pitchFamily="34" charset="0"/>
          </a:endParaRPr>
        </a:p>
      </xdr:txBody>
    </xdr:sp>
    <xdr:clientData/>
  </xdr:twoCellAnchor>
  <xdr:twoCellAnchor>
    <xdr:from>
      <xdr:col>21</xdr:col>
      <xdr:colOff>87630</xdr:colOff>
      <xdr:row>28</xdr:row>
      <xdr:rowOff>68199</xdr:rowOff>
    </xdr:from>
    <xdr:to>
      <xdr:col>22</xdr:col>
      <xdr:colOff>209550</xdr:colOff>
      <xdr:row>30</xdr:row>
      <xdr:rowOff>46101</xdr:rowOff>
    </xdr:to>
    <xdr:sp macro="" textlink="Processing!G8">
      <xdr:nvSpPr>
        <xdr:cNvPr id="28" name="TextBox 27">
          <a:extLst>
            <a:ext uri="{FF2B5EF4-FFF2-40B4-BE49-F238E27FC236}">
              <a16:creationId xmlns:a16="http://schemas.microsoft.com/office/drawing/2014/main" id="{9FCC2DAE-797D-7E2A-4075-19AD55A665D1}"/>
            </a:ext>
          </a:extLst>
        </xdr:cNvPr>
        <xdr:cNvSpPr txBox="1"/>
      </xdr:nvSpPr>
      <xdr:spPr>
        <a:xfrm>
          <a:off x="12889230" y="6118479"/>
          <a:ext cx="731520"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28EE84-A2F5-4E70-9507-3C44F5561061}" type="TxLink">
            <a:rPr lang="en-US" sz="1800" b="0" i="0" u="none" strike="noStrike">
              <a:solidFill>
                <a:srgbClr val="A1FF21"/>
              </a:solidFill>
              <a:latin typeface="Aptos Narrow"/>
              <a:cs typeface="Calibri Light" panose="020F0302020204030204" pitchFamily="34" charset="0"/>
            </a:rPr>
            <a:pPr algn="ctr"/>
            <a:t>68%</a:t>
          </a:fld>
          <a:endParaRPr lang="en-US" sz="1800" b="0" i="0" u="none" strike="noStrike">
            <a:solidFill>
              <a:srgbClr val="A1FF21"/>
            </a:solidFill>
            <a:latin typeface="Calibri Light" panose="020F0302020204030204" pitchFamily="34" charset="0"/>
            <a:cs typeface="Calibri Light" panose="020F0302020204030204" pitchFamily="34" charset="0"/>
          </a:endParaRPr>
        </a:p>
      </xdr:txBody>
    </xdr:sp>
    <xdr:clientData/>
  </xdr:twoCellAnchor>
  <xdr:twoCellAnchor>
    <xdr:from>
      <xdr:col>21</xdr:col>
      <xdr:colOff>80010</xdr:colOff>
      <xdr:row>30</xdr:row>
      <xdr:rowOff>60579</xdr:rowOff>
    </xdr:from>
    <xdr:to>
      <xdr:col>22</xdr:col>
      <xdr:colOff>201930</xdr:colOff>
      <xdr:row>32</xdr:row>
      <xdr:rowOff>38481</xdr:rowOff>
    </xdr:to>
    <xdr:sp macro="" textlink="Processing!H8">
      <xdr:nvSpPr>
        <xdr:cNvPr id="35" name="TextBox 34">
          <a:extLst>
            <a:ext uri="{FF2B5EF4-FFF2-40B4-BE49-F238E27FC236}">
              <a16:creationId xmlns:a16="http://schemas.microsoft.com/office/drawing/2014/main" id="{5E60D8F5-F096-05F9-AE4B-0E0E51B632CC}"/>
            </a:ext>
          </a:extLst>
        </xdr:cNvPr>
        <xdr:cNvSpPr txBox="1"/>
      </xdr:nvSpPr>
      <xdr:spPr>
        <a:xfrm>
          <a:off x="12881610" y="6476619"/>
          <a:ext cx="731520"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9DF72C-15CE-46FE-BF3C-089852BCAE39}" type="TxLink">
            <a:rPr lang="en-US" sz="1200" b="0" i="0" u="none" strike="noStrike">
              <a:solidFill>
                <a:srgbClr val="FA2A7F"/>
              </a:solidFill>
              <a:latin typeface="Aptos Narrow"/>
              <a:cs typeface="Calibri Light" panose="020F0302020204030204" pitchFamily="34" charset="0"/>
            </a:rPr>
            <a:pPr algn="ctr"/>
            <a:t>32%</a:t>
          </a:fld>
          <a:endParaRPr lang="en-US" sz="1200" b="0"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xdr:from>
      <xdr:col>21</xdr:col>
      <xdr:colOff>128839</xdr:colOff>
      <xdr:row>30</xdr:row>
      <xdr:rowOff>68580</xdr:rowOff>
    </xdr:from>
    <xdr:to>
      <xdr:col>22</xdr:col>
      <xdr:colOff>168341</xdr:colOff>
      <xdr:row>30</xdr:row>
      <xdr:rowOff>76200</xdr:rowOff>
    </xdr:to>
    <xdr:cxnSp macro="">
      <xdr:nvCxnSpPr>
        <xdr:cNvPr id="40" name="Straight Connector 39">
          <a:extLst>
            <a:ext uri="{FF2B5EF4-FFF2-40B4-BE49-F238E27FC236}">
              <a16:creationId xmlns:a16="http://schemas.microsoft.com/office/drawing/2014/main" id="{69D1C4AF-40C4-3543-3DF7-9DD1B3BFC904}"/>
            </a:ext>
          </a:extLst>
        </xdr:cNvPr>
        <xdr:cNvCxnSpPr/>
      </xdr:nvCxnSpPr>
      <xdr:spPr>
        <a:xfrm flipH="1" flipV="1">
          <a:off x="12930439" y="6484620"/>
          <a:ext cx="649102" cy="7620"/>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453393</xdr:colOff>
      <xdr:row>24</xdr:row>
      <xdr:rowOff>75819</xdr:rowOff>
    </xdr:from>
    <xdr:to>
      <xdr:col>21</xdr:col>
      <xdr:colOff>521968</xdr:colOff>
      <xdr:row>26</xdr:row>
      <xdr:rowOff>53721</xdr:rowOff>
    </xdr:to>
    <xdr:sp macro="" textlink="Processing!G6">
      <xdr:nvSpPr>
        <xdr:cNvPr id="42" name="TextBox 41">
          <a:extLst>
            <a:ext uri="{FF2B5EF4-FFF2-40B4-BE49-F238E27FC236}">
              <a16:creationId xmlns:a16="http://schemas.microsoft.com/office/drawing/2014/main" id="{ADDE5F93-01C0-3AEB-D57F-9DCABB3DB650}"/>
            </a:ext>
          </a:extLst>
        </xdr:cNvPr>
        <xdr:cNvSpPr txBox="1"/>
      </xdr:nvSpPr>
      <xdr:spPr>
        <a:xfrm>
          <a:off x="11426193" y="539457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7FA3BC-748A-454E-8036-C443F030ED9B}" type="TxLink">
            <a:rPr lang="en-US" sz="1400" b="0" i="0" u="none" strike="noStrike">
              <a:solidFill>
                <a:schemeClr val="bg1"/>
              </a:solidFill>
              <a:latin typeface="Aptos Narrow"/>
              <a:cs typeface="Calibri Light" panose="020F0302020204030204" pitchFamily="34" charset="0"/>
            </a:rPr>
            <a:pPr algn="ctr"/>
            <a:t>Factors of Influence</a:t>
          </a:fld>
          <a:endParaRPr lang="en-US" sz="1600" b="0" i="0" u="none" strike="noStrike">
            <a:solidFill>
              <a:schemeClr val="bg1"/>
            </a:solidFill>
            <a:latin typeface="Calibri Light" panose="020F0302020204030204" pitchFamily="34" charset="0"/>
            <a:cs typeface="Calibri Light" panose="020F0302020204030204" pitchFamily="34" charset="0"/>
          </a:endParaRPr>
        </a:p>
      </xdr:txBody>
    </xdr:sp>
    <xdr:clientData/>
  </xdr:twoCellAnchor>
  <xdr:twoCellAnchor>
    <xdr:from>
      <xdr:col>18</xdr:col>
      <xdr:colOff>94958</xdr:colOff>
      <xdr:row>26</xdr:row>
      <xdr:rowOff>83439</xdr:rowOff>
    </xdr:from>
    <xdr:to>
      <xdr:col>20</xdr:col>
      <xdr:colOff>301283</xdr:colOff>
      <xdr:row>28</xdr:row>
      <xdr:rowOff>61341</xdr:rowOff>
    </xdr:to>
    <xdr:sp macro="" textlink="Processing!J6">
      <xdr:nvSpPr>
        <xdr:cNvPr id="43" name="TextBox 42">
          <a:extLst>
            <a:ext uri="{FF2B5EF4-FFF2-40B4-BE49-F238E27FC236}">
              <a16:creationId xmlns:a16="http://schemas.microsoft.com/office/drawing/2014/main" id="{89D3E1DD-63AB-C75C-1AB3-464FBA673D4D}"/>
            </a:ext>
          </a:extLst>
        </xdr:cNvPr>
        <xdr:cNvSpPr txBox="1"/>
      </xdr:nvSpPr>
      <xdr:spPr>
        <a:xfrm>
          <a:off x="11067758" y="5767959"/>
          <a:ext cx="142552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F5BABB-DC22-4DAF-BD90-ED027EF4ECCE}" type="TxLink">
            <a:rPr lang="en-US" sz="1100" b="0" i="0" u="none" strike="noStrike">
              <a:solidFill>
                <a:schemeClr val="bg1">
                  <a:lumMod val="85000"/>
                </a:schemeClr>
              </a:solidFill>
              <a:latin typeface="Aptos Narrow"/>
              <a:cs typeface="Calibri Light" panose="020F0302020204030204" pitchFamily="34" charset="0"/>
            </a:rPr>
            <a:pPr algn="ctr"/>
            <a:t>Factors Coefficients</a:t>
          </a:fld>
          <a:endParaRPr lang="en-US" sz="1600" b="0" i="0" u="none" strike="noStrike">
            <a:solidFill>
              <a:schemeClr val="bg1">
                <a:lumMod val="85000"/>
              </a:schemeClr>
            </a:solidFill>
            <a:latin typeface="Calibri Light" panose="020F0302020204030204" pitchFamily="34" charset="0"/>
            <a:cs typeface="Calibri Light" panose="020F0302020204030204" pitchFamily="34" charset="0"/>
          </a:endParaRPr>
        </a:p>
      </xdr:txBody>
    </xdr:sp>
    <xdr:clientData/>
  </xdr:twoCellAnchor>
  <xdr:twoCellAnchor>
    <xdr:from>
      <xdr:col>20</xdr:col>
      <xdr:colOff>331178</xdr:colOff>
      <xdr:row>33</xdr:row>
      <xdr:rowOff>37719</xdr:rowOff>
    </xdr:from>
    <xdr:to>
      <xdr:col>22</xdr:col>
      <xdr:colOff>537503</xdr:colOff>
      <xdr:row>35</xdr:row>
      <xdr:rowOff>15621</xdr:rowOff>
    </xdr:to>
    <xdr:sp macro="" textlink="Processing!G7">
      <xdr:nvSpPr>
        <xdr:cNvPr id="44" name="TextBox 43">
          <a:extLst>
            <a:ext uri="{FF2B5EF4-FFF2-40B4-BE49-F238E27FC236}">
              <a16:creationId xmlns:a16="http://schemas.microsoft.com/office/drawing/2014/main" id="{74510281-AA1F-26D2-E28D-03765F7FF7FE}"/>
            </a:ext>
          </a:extLst>
        </xdr:cNvPr>
        <xdr:cNvSpPr txBox="1"/>
      </xdr:nvSpPr>
      <xdr:spPr>
        <a:xfrm>
          <a:off x="12523178" y="7002399"/>
          <a:ext cx="142552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C28963-F6E7-48CD-B39E-825590CCADE1}" type="TxLink">
            <a:rPr lang="en-US" sz="1100" b="0" i="0" u="none" strike="noStrike">
              <a:solidFill>
                <a:schemeClr val="bg1">
                  <a:lumMod val="85000"/>
                </a:schemeClr>
              </a:solidFill>
              <a:latin typeface="Aptos Narrow"/>
              <a:cs typeface="Calibri Light" panose="020F0302020204030204" pitchFamily="34" charset="0"/>
            </a:rPr>
            <a:pPr algn="ctr"/>
            <a:t>Factors Ratio</a:t>
          </a:fld>
          <a:endParaRPr lang="en-US" sz="1600" b="0" i="0" u="none" strike="noStrike">
            <a:solidFill>
              <a:schemeClr val="bg1">
                <a:lumMod val="85000"/>
              </a:schemeClr>
            </a:solidFill>
            <a:latin typeface="Calibri Light" panose="020F0302020204030204" pitchFamily="34" charset="0"/>
            <a:cs typeface="Calibri Light" panose="020F0302020204030204" pitchFamily="34" charset="0"/>
          </a:endParaRPr>
        </a:p>
      </xdr:txBody>
    </xdr:sp>
    <xdr:clientData/>
  </xdr:twoCellAnchor>
  <xdr:twoCellAnchor>
    <xdr:from>
      <xdr:col>18</xdr:col>
      <xdr:colOff>163538</xdr:colOff>
      <xdr:row>33</xdr:row>
      <xdr:rowOff>30099</xdr:rowOff>
    </xdr:from>
    <xdr:to>
      <xdr:col>20</xdr:col>
      <xdr:colOff>369863</xdr:colOff>
      <xdr:row>35</xdr:row>
      <xdr:rowOff>8001</xdr:rowOff>
    </xdr:to>
    <xdr:sp macro="" textlink="Processing!J7">
      <xdr:nvSpPr>
        <xdr:cNvPr id="45" name="TextBox 44">
          <a:extLst>
            <a:ext uri="{FF2B5EF4-FFF2-40B4-BE49-F238E27FC236}">
              <a16:creationId xmlns:a16="http://schemas.microsoft.com/office/drawing/2014/main" id="{7E32B244-E900-227D-F438-1F054EA4DB28}"/>
            </a:ext>
          </a:extLst>
        </xdr:cNvPr>
        <xdr:cNvSpPr txBox="1"/>
      </xdr:nvSpPr>
      <xdr:spPr>
        <a:xfrm>
          <a:off x="11136338" y="6994779"/>
          <a:ext cx="142552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B6DDB50-1090-4C8B-BFBE-98F93721E5AB}" type="TxLink">
            <a:rPr lang="en-US" sz="1100" b="0" i="0" u="none" strike="noStrike">
              <a:solidFill>
                <a:schemeClr val="bg1">
                  <a:lumMod val="85000"/>
                </a:schemeClr>
              </a:solidFill>
              <a:latin typeface="Aptos Narrow"/>
              <a:cs typeface="Calibri Light" panose="020F0302020204030204" pitchFamily="34" charset="0"/>
            </a:rPr>
            <a:pPr algn="l"/>
            <a:t>Positive Factors</a:t>
          </a:fld>
          <a:endParaRPr lang="en-US" sz="1600" b="0" i="0" u="none" strike="noStrike">
            <a:solidFill>
              <a:schemeClr val="bg1">
                <a:lumMod val="85000"/>
              </a:schemeClr>
            </a:solidFill>
            <a:latin typeface="Calibri Light" panose="020F0302020204030204" pitchFamily="34" charset="0"/>
            <a:cs typeface="Calibri Light" panose="020F0302020204030204" pitchFamily="34" charset="0"/>
          </a:endParaRPr>
        </a:p>
      </xdr:txBody>
    </xdr:sp>
    <xdr:clientData/>
  </xdr:twoCellAnchor>
  <xdr:twoCellAnchor>
    <xdr:from>
      <xdr:col>18</xdr:col>
      <xdr:colOff>163538</xdr:colOff>
      <xdr:row>34</xdr:row>
      <xdr:rowOff>91059</xdr:rowOff>
    </xdr:from>
    <xdr:to>
      <xdr:col>20</xdr:col>
      <xdr:colOff>369863</xdr:colOff>
      <xdr:row>36</xdr:row>
      <xdr:rowOff>68961</xdr:rowOff>
    </xdr:to>
    <xdr:sp macro="" textlink="Processing!J8">
      <xdr:nvSpPr>
        <xdr:cNvPr id="46" name="TextBox 45">
          <a:extLst>
            <a:ext uri="{FF2B5EF4-FFF2-40B4-BE49-F238E27FC236}">
              <a16:creationId xmlns:a16="http://schemas.microsoft.com/office/drawing/2014/main" id="{F3010E5D-98E7-8114-B524-E944967D46B1}"/>
            </a:ext>
          </a:extLst>
        </xdr:cNvPr>
        <xdr:cNvSpPr txBox="1"/>
      </xdr:nvSpPr>
      <xdr:spPr>
        <a:xfrm>
          <a:off x="11136338" y="7238619"/>
          <a:ext cx="142552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E1478F8-C340-4767-9F83-FA5AA22E4C5E}" type="TxLink">
            <a:rPr lang="en-US" sz="1100" b="0" i="0" u="none" strike="noStrike">
              <a:solidFill>
                <a:schemeClr val="bg1">
                  <a:lumMod val="85000"/>
                </a:schemeClr>
              </a:solidFill>
              <a:latin typeface="Aptos Narrow"/>
              <a:cs typeface="Calibri Light" panose="020F0302020204030204" pitchFamily="34" charset="0"/>
            </a:rPr>
            <a:pPr algn="l"/>
            <a:t>Negative Factors</a:t>
          </a:fld>
          <a:endParaRPr lang="en-US" sz="1600" b="0" i="0" u="none" strike="noStrike">
            <a:solidFill>
              <a:schemeClr val="bg1">
                <a:lumMod val="85000"/>
              </a:schemeClr>
            </a:solidFill>
            <a:latin typeface="Calibri Light" panose="020F0302020204030204" pitchFamily="34" charset="0"/>
            <a:cs typeface="Calibri Light" panose="020F0302020204030204" pitchFamily="34" charset="0"/>
          </a:endParaRPr>
        </a:p>
      </xdr:txBody>
    </xdr:sp>
    <xdr:clientData/>
  </xdr:twoCellAnchor>
  <xdr:twoCellAnchor>
    <xdr:from>
      <xdr:col>18</xdr:col>
      <xdr:colOff>30480</xdr:colOff>
      <xdr:row>33</xdr:row>
      <xdr:rowOff>156210</xdr:rowOff>
    </xdr:from>
    <xdr:to>
      <xdr:col>18</xdr:col>
      <xdr:colOff>121920</xdr:colOff>
      <xdr:row>34</xdr:row>
      <xdr:rowOff>64770</xdr:rowOff>
    </xdr:to>
    <xdr:sp macro="" textlink="">
      <xdr:nvSpPr>
        <xdr:cNvPr id="50" name="Oval 49">
          <a:extLst>
            <a:ext uri="{FF2B5EF4-FFF2-40B4-BE49-F238E27FC236}">
              <a16:creationId xmlns:a16="http://schemas.microsoft.com/office/drawing/2014/main" id="{CBF9C0E5-ECC9-36A6-8DDE-8EA86A25F49E}"/>
            </a:ext>
          </a:extLst>
        </xdr:cNvPr>
        <xdr:cNvSpPr/>
      </xdr:nvSpPr>
      <xdr:spPr>
        <a:xfrm>
          <a:off x="11003280" y="7120890"/>
          <a:ext cx="91440" cy="91440"/>
        </a:xfrm>
        <a:prstGeom prst="ellipse">
          <a:avLst/>
        </a:prstGeom>
        <a:solidFill>
          <a:srgbClr val="A1FF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30480</xdr:colOff>
      <xdr:row>35</xdr:row>
      <xdr:rowOff>34290</xdr:rowOff>
    </xdr:from>
    <xdr:to>
      <xdr:col>18</xdr:col>
      <xdr:colOff>121920</xdr:colOff>
      <xdr:row>35</xdr:row>
      <xdr:rowOff>125730</xdr:rowOff>
    </xdr:to>
    <xdr:sp macro="" textlink="">
      <xdr:nvSpPr>
        <xdr:cNvPr id="51" name="Oval 50">
          <a:extLst>
            <a:ext uri="{FF2B5EF4-FFF2-40B4-BE49-F238E27FC236}">
              <a16:creationId xmlns:a16="http://schemas.microsoft.com/office/drawing/2014/main" id="{D1CE784D-67F7-4F17-9F4E-2DA59AEF2326}"/>
            </a:ext>
          </a:extLst>
        </xdr:cNvPr>
        <xdr:cNvSpPr/>
      </xdr:nvSpPr>
      <xdr:spPr>
        <a:xfrm>
          <a:off x="11003280" y="7364730"/>
          <a:ext cx="91440" cy="91440"/>
        </a:xfrm>
        <a:prstGeom prst="ellipse">
          <a:avLst/>
        </a:prstGeom>
        <a:solidFill>
          <a:srgbClr val="FA2A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288951</xdr:colOff>
      <xdr:row>9</xdr:row>
      <xdr:rowOff>52959</xdr:rowOff>
    </xdr:from>
    <xdr:to>
      <xdr:col>2</xdr:col>
      <xdr:colOff>564490</xdr:colOff>
      <xdr:row>11</xdr:row>
      <xdr:rowOff>30861</xdr:rowOff>
    </xdr:to>
    <xdr:sp macro="" textlink="Processing!A3">
      <xdr:nvSpPr>
        <xdr:cNvPr id="52" name="TextBox 51">
          <a:extLst>
            <a:ext uri="{FF2B5EF4-FFF2-40B4-BE49-F238E27FC236}">
              <a16:creationId xmlns:a16="http://schemas.microsoft.com/office/drawing/2014/main" id="{7D1E927B-9787-9FC6-B5BD-F0FB22846A5F}"/>
            </a:ext>
          </a:extLst>
        </xdr:cNvPr>
        <xdr:cNvSpPr txBox="1"/>
      </xdr:nvSpPr>
      <xdr:spPr>
        <a:xfrm>
          <a:off x="898551" y="262851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088E04-96A9-4833-B501-5351775A1899}" type="TxLink">
            <a:rPr lang="en-US" sz="1100" b="0" i="0" u="none" strike="noStrike">
              <a:solidFill>
                <a:schemeClr val="bg1">
                  <a:lumMod val="85000"/>
                </a:schemeClr>
              </a:solidFill>
              <a:latin typeface="Aptos Narrow"/>
              <a:ea typeface="+mn-ea"/>
              <a:cs typeface="Calibri Light" panose="020F0302020204030204" pitchFamily="34" charset="0"/>
            </a:rPr>
            <a:pPr marL="0" indent="0" algn="ctr"/>
            <a:t>Revenue</a:t>
          </a:fld>
          <a:endParaRPr lang="ru-RU" sz="2000" b="0" i="0" u="none" strike="noStrike">
            <a:solidFill>
              <a:schemeClr val="bg1">
                <a:lumMod val="8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4</xdr:col>
      <xdr:colOff>18441</xdr:colOff>
      <xdr:row>9</xdr:row>
      <xdr:rowOff>52959</xdr:rowOff>
    </xdr:from>
    <xdr:to>
      <xdr:col>5</xdr:col>
      <xdr:colOff>293980</xdr:colOff>
      <xdr:row>11</xdr:row>
      <xdr:rowOff>30861</xdr:rowOff>
    </xdr:to>
    <xdr:sp macro="" textlink="Processing!A5">
      <xdr:nvSpPr>
        <xdr:cNvPr id="53" name="TextBox 52">
          <a:extLst>
            <a:ext uri="{FF2B5EF4-FFF2-40B4-BE49-F238E27FC236}">
              <a16:creationId xmlns:a16="http://schemas.microsoft.com/office/drawing/2014/main" id="{5481A471-B23F-84BA-719A-8DE8F1A6F7BA}"/>
            </a:ext>
          </a:extLst>
        </xdr:cNvPr>
        <xdr:cNvSpPr txBox="1"/>
      </xdr:nvSpPr>
      <xdr:spPr>
        <a:xfrm>
          <a:off x="2456841" y="262851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CA5007-4956-4998-885E-3C1A2E704009}" type="TxLink">
            <a:rPr lang="en-US" sz="1100" b="0" i="0" u="none" strike="noStrike">
              <a:solidFill>
                <a:schemeClr val="bg1">
                  <a:lumMod val="85000"/>
                </a:schemeClr>
              </a:solidFill>
              <a:latin typeface="Aptos Narrow"/>
              <a:ea typeface="+mn-ea"/>
              <a:cs typeface="Calibri Light" panose="020F0302020204030204" pitchFamily="34" charset="0"/>
            </a:rPr>
            <a:pPr marL="0" indent="0" algn="ctr"/>
            <a:t>Profitability</a:t>
          </a:fld>
          <a:endParaRPr lang="ru-RU" sz="2000" b="0" i="0" u="none" strike="noStrike">
            <a:solidFill>
              <a:schemeClr val="bg1">
                <a:lumMod val="8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4</xdr:col>
      <xdr:colOff>18441</xdr:colOff>
      <xdr:row>17</xdr:row>
      <xdr:rowOff>14859</xdr:rowOff>
    </xdr:from>
    <xdr:to>
      <xdr:col>5</xdr:col>
      <xdr:colOff>293980</xdr:colOff>
      <xdr:row>18</xdr:row>
      <xdr:rowOff>175641</xdr:rowOff>
    </xdr:to>
    <xdr:sp macro="" textlink="Processing!A9">
      <xdr:nvSpPr>
        <xdr:cNvPr id="54" name="TextBox 53">
          <a:extLst>
            <a:ext uri="{FF2B5EF4-FFF2-40B4-BE49-F238E27FC236}">
              <a16:creationId xmlns:a16="http://schemas.microsoft.com/office/drawing/2014/main" id="{D6AFE960-4E77-0150-6D57-7297135A2523}"/>
            </a:ext>
          </a:extLst>
        </xdr:cNvPr>
        <xdr:cNvSpPr txBox="1"/>
      </xdr:nvSpPr>
      <xdr:spPr>
        <a:xfrm>
          <a:off x="2456841" y="405345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1B43BF-AF63-40B9-A68A-D6441A24C201}" type="TxLink">
            <a:rPr lang="en-US" sz="1100" b="0" i="0" u="none" strike="noStrike">
              <a:solidFill>
                <a:schemeClr val="bg1">
                  <a:lumMod val="85000"/>
                </a:schemeClr>
              </a:solidFill>
              <a:latin typeface="Aptos Narrow"/>
              <a:ea typeface="+mn-ea"/>
              <a:cs typeface="Calibri Light" panose="020F0302020204030204" pitchFamily="34" charset="0"/>
            </a:rPr>
            <a:pPr marL="0" indent="0" algn="ctr"/>
            <a:t>Transaction</a:t>
          </a:fld>
          <a:endParaRPr lang="ru-RU" sz="2000" b="0" i="0" u="none" strike="noStrike">
            <a:solidFill>
              <a:schemeClr val="bg1">
                <a:lumMod val="8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1</xdr:col>
      <xdr:colOff>288951</xdr:colOff>
      <xdr:row>17</xdr:row>
      <xdr:rowOff>14859</xdr:rowOff>
    </xdr:from>
    <xdr:to>
      <xdr:col>2</xdr:col>
      <xdr:colOff>564490</xdr:colOff>
      <xdr:row>18</xdr:row>
      <xdr:rowOff>175641</xdr:rowOff>
    </xdr:to>
    <xdr:sp macro="" textlink="Processing!A7">
      <xdr:nvSpPr>
        <xdr:cNvPr id="55" name="TextBox 54">
          <a:extLst>
            <a:ext uri="{FF2B5EF4-FFF2-40B4-BE49-F238E27FC236}">
              <a16:creationId xmlns:a16="http://schemas.microsoft.com/office/drawing/2014/main" id="{88890904-26BD-D15E-A21F-1BB7090D827C}"/>
            </a:ext>
          </a:extLst>
        </xdr:cNvPr>
        <xdr:cNvSpPr txBox="1"/>
      </xdr:nvSpPr>
      <xdr:spPr>
        <a:xfrm>
          <a:off x="898551" y="405345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5CA987-3B07-458D-BC34-2D4E400EB175}" type="TxLink">
            <a:rPr lang="en-US" sz="1100" b="0" i="0" u="none" strike="noStrike">
              <a:solidFill>
                <a:schemeClr val="bg1">
                  <a:lumMod val="85000"/>
                </a:schemeClr>
              </a:solidFill>
              <a:latin typeface="Aptos Narrow"/>
              <a:ea typeface="+mn-ea"/>
              <a:cs typeface="Calibri Light" panose="020F0302020204030204" pitchFamily="34" charset="0"/>
            </a:rPr>
            <a:pPr marL="0" indent="0" algn="ctr"/>
            <a:t>Conversion</a:t>
          </a:fld>
          <a:endParaRPr lang="ru-RU" sz="2000" b="0" i="0" u="none" strike="noStrike">
            <a:solidFill>
              <a:schemeClr val="bg1">
                <a:lumMod val="8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1</xdr:col>
      <xdr:colOff>544833</xdr:colOff>
      <xdr:row>2</xdr:row>
      <xdr:rowOff>167259</xdr:rowOff>
    </xdr:from>
    <xdr:to>
      <xdr:col>5</xdr:col>
      <xdr:colOff>3808</xdr:colOff>
      <xdr:row>4</xdr:row>
      <xdr:rowOff>145161</xdr:rowOff>
    </xdr:to>
    <xdr:sp macro="" textlink="Processing!A2">
      <xdr:nvSpPr>
        <xdr:cNvPr id="56" name="TextBox 55">
          <a:extLst>
            <a:ext uri="{FF2B5EF4-FFF2-40B4-BE49-F238E27FC236}">
              <a16:creationId xmlns:a16="http://schemas.microsoft.com/office/drawing/2014/main" id="{B4A45431-E30A-7070-972D-47CD7839FDC1}"/>
            </a:ext>
          </a:extLst>
        </xdr:cNvPr>
        <xdr:cNvSpPr txBox="1"/>
      </xdr:nvSpPr>
      <xdr:spPr>
        <a:xfrm>
          <a:off x="1154433" y="146265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71AD49-CB2A-4C46-838B-D56376C09555}" type="TxLink">
            <a:rPr lang="en-US" sz="1400" b="0" i="0" u="none" strike="noStrike">
              <a:solidFill>
                <a:schemeClr val="bg1"/>
              </a:solidFill>
              <a:latin typeface="Aptos Narrow"/>
              <a:cs typeface="Calibri Light" panose="020F0302020204030204" pitchFamily="34" charset="0"/>
            </a:rPr>
            <a:pPr algn="ctr"/>
            <a:t>Sales Plans</a:t>
          </a:fld>
          <a:endParaRPr lang="en-US" sz="2000" b="0" i="0" u="none" strike="noStrike">
            <a:solidFill>
              <a:schemeClr val="bg1"/>
            </a:solidFill>
            <a:latin typeface="Calibri Light" panose="020F0302020204030204" pitchFamily="34" charset="0"/>
            <a:cs typeface="Calibri Light" panose="020F0302020204030204" pitchFamily="34" charset="0"/>
          </a:endParaRPr>
        </a:p>
      </xdr:txBody>
    </xdr:sp>
    <xdr:clientData/>
  </xdr:twoCellAnchor>
  <xdr:twoCellAnchor>
    <xdr:from>
      <xdr:col>18</xdr:col>
      <xdr:colOff>445773</xdr:colOff>
      <xdr:row>2</xdr:row>
      <xdr:rowOff>167259</xdr:rowOff>
    </xdr:from>
    <xdr:to>
      <xdr:col>21</xdr:col>
      <xdr:colOff>514348</xdr:colOff>
      <xdr:row>4</xdr:row>
      <xdr:rowOff>145161</xdr:rowOff>
    </xdr:to>
    <xdr:sp macro="" textlink="Processing!G2">
      <xdr:nvSpPr>
        <xdr:cNvPr id="57" name="TextBox 56">
          <a:extLst>
            <a:ext uri="{FF2B5EF4-FFF2-40B4-BE49-F238E27FC236}">
              <a16:creationId xmlns:a16="http://schemas.microsoft.com/office/drawing/2014/main" id="{F39A8A57-C02B-C849-442E-1F63225FE0AB}"/>
            </a:ext>
          </a:extLst>
        </xdr:cNvPr>
        <xdr:cNvSpPr txBox="1"/>
      </xdr:nvSpPr>
      <xdr:spPr>
        <a:xfrm>
          <a:off x="11418573" y="146265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B868AF-3A3F-430A-9B77-3AE06B7CBCA9}" type="TxLink">
            <a:rPr lang="en-US" sz="1400" b="0" i="0" u="none" strike="noStrike">
              <a:solidFill>
                <a:schemeClr val="bg1"/>
              </a:solidFill>
              <a:latin typeface="Aptos Narrow"/>
              <a:cs typeface="Calibri Light" panose="020F0302020204030204" pitchFamily="34" charset="0"/>
            </a:rPr>
            <a:pPr algn="ctr"/>
            <a:t>Departments</a:t>
          </a:fld>
          <a:endParaRPr lang="en-US" sz="2800" b="0" i="0" u="none" strike="noStrike">
            <a:solidFill>
              <a:schemeClr val="bg1"/>
            </a:solidFill>
            <a:latin typeface="Calibri Light" panose="020F0302020204030204" pitchFamily="34" charset="0"/>
            <a:cs typeface="Calibri Light" panose="020F0302020204030204" pitchFamily="34" charset="0"/>
          </a:endParaRPr>
        </a:p>
      </xdr:txBody>
    </xdr:sp>
    <xdr:clientData/>
  </xdr:twoCellAnchor>
  <xdr:twoCellAnchor>
    <xdr:from>
      <xdr:col>18</xdr:col>
      <xdr:colOff>319431</xdr:colOff>
      <xdr:row>8</xdr:row>
      <xdr:rowOff>121539</xdr:rowOff>
    </xdr:from>
    <xdr:to>
      <xdr:col>19</xdr:col>
      <xdr:colOff>594970</xdr:colOff>
      <xdr:row>10</xdr:row>
      <xdr:rowOff>99441</xdr:rowOff>
    </xdr:to>
    <xdr:sp macro="" textlink="Processing!G4">
      <xdr:nvSpPr>
        <xdr:cNvPr id="58" name="TextBox 57">
          <a:extLst>
            <a:ext uri="{FF2B5EF4-FFF2-40B4-BE49-F238E27FC236}">
              <a16:creationId xmlns:a16="http://schemas.microsoft.com/office/drawing/2014/main" id="{B1414D44-F6E6-ED94-76C4-0C4232618493}"/>
            </a:ext>
          </a:extLst>
        </xdr:cNvPr>
        <xdr:cNvSpPr txBox="1"/>
      </xdr:nvSpPr>
      <xdr:spPr>
        <a:xfrm>
          <a:off x="11292231" y="251421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694429-1A1C-4F4B-B0E3-74C9C8F54E19}" type="TxLink">
            <a:rPr lang="en-US" sz="2000" b="0" i="0" u="none" strike="noStrike">
              <a:solidFill>
                <a:schemeClr val="bg1">
                  <a:lumMod val="95000"/>
                </a:schemeClr>
              </a:solidFill>
              <a:latin typeface="Aptos Narrow"/>
              <a:cs typeface="Calibri Light" panose="020F0302020204030204" pitchFamily="34" charset="0"/>
            </a:rPr>
            <a:pPr algn="ctr"/>
            <a:t>90%</a:t>
          </a:fld>
          <a:endParaRPr lang="en-US" sz="3600" b="0" i="0" u="none" strike="noStrike">
            <a:solidFill>
              <a:schemeClr val="bg1">
                <a:lumMod val="95000"/>
              </a:schemeClr>
            </a:solidFill>
            <a:latin typeface="Calibri Light" panose="020F0302020204030204" pitchFamily="34" charset="0"/>
            <a:cs typeface="Calibri Light" panose="020F0302020204030204" pitchFamily="34" charset="0"/>
          </a:endParaRPr>
        </a:p>
      </xdr:txBody>
    </xdr:sp>
    <xdr:clientData/>
  </xdr:twoCellAnchor>
  <xdr:twoCellAnchor>
    <xdr:from>
      <xdr:col>13</xdr:col>
      <xdr:colOff>194313</xdr:colOff>
      <xdr:row>24</xdr:row>
      <xdr:rowOff>75819</xdr:rowOff>
    </xdr:from>
    <xdr:to>
      <xdr:col>16</xdr:col>
      <xdr:colOff>262888</xdr:colOff>
      <xdr:row>26</xdr:row>
      <xdr:rowOff>53721</xdr:rowOff>
    </xdr:to>
    <xdr:sp macro="" textlink="Processing!F40">
      <xdr:nvSpPr>
        <xdr:cNvPr id="59" name="TextBox 58">
          <a:extLst>
            <a:ext uri="{FF2B5EF4-FFF2-40B4-BE49-F238E27FC236}">
              <a16:creationId xmlns:a16="http://schemas.microsoft.com/office/drawing/2014/main" id="{0EA1A823-0B07-DFCE-9F41-AF04EB043E00}"/>
            </a:ext>
          </a:extLst>
        </xdr:cNvPr>
        <xdr:cNvSpPr txBox="1"/>
      </xdr:nvSpPr>
      <xdr:spPr>
        <a:xfrm>
          <a:off x="8119113" y="539457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7F61B7-ADEA-4912-AB60-2CB5F7C6EC3F}" type="TxLink">
            <a:rPr lang="en-US" sz="1400" b="0" i="0" u="none" strike="noStrike">
              <a:solidFill>
                <a:schemeClr val="bg1">
                  <a:lumMod val="85000"/>
                </a:schemeClr>
              </a:solidFill>
              <a:latin typeface="Aptos Narrow"/>
              <a:cs typeface="Calibri Light" panose="020F0302020204030204" pitchFamily="34" charset="0"/>
            </a:rPr>
            <a:pPr algn="r"/>
            <a:t>18,34,398</a:t>
          </a:fld>
          <a:endParaRPr lang="en-US" sz="2000" b="0" i="0" u="none" strike="noStrike">
            <a:solidFill>
              <a:schemeClr val="bg1">
                <a:lumMod val="85000"/>
              </a:schemeClr>
            </a:solidFill>
            <a:latin typeface="Calibri Light" panose="020F0302020204030204" pitchFamily="34" charset="0"/>
            <a:cs typeface="Calibri Light" panose="020F0302020204030204" pitchFamily="34" charset="0"/>
          </a:endParaRPr>
        </a:p>
      </xdr:txBody>
    </xdr:sp>
    <xdr:clientData/>
  </xdr:twoCellAnchor>
  <xdr:twoCellAnchor>
    <xdr:from>
      <xdr:col>8</xdr:col>
      <xdr:colOff>87633</xdr:colOff>
      <xdr:row>24</xdr:row>
      <xdr:rowOff>75819</xdr:rowOff>
    </xdr:from>
    <xdr:to>
      <xdr:col>9</xdr:col>
      <xdr:colOff>411480</xdr:colOff>
      <xdr:row>26</xdr:row>
      <xdr:rowOff>53721</xdr:rowOff>
    </xdr:to>
    <xdr:sp macro="" textlink="Processing!B40">
      <xdr:nvSpPr>
        <xdr:cNvPr id="60" name="TextBox 59">
          <a:extLst>
            <a:ext uri="{FF2B5EF4-FFF2-40B4-BE49-F238E27FC236}">
              <a16:creationId xmlns:a16="http://schemas.microsoft.com/office/drawing/2014/main" id="{BE4AF829-2FE8-DADD-D321-43021E427637}"/>
            </a:ext>
          </a:extLst>
        </xdr:cNvPr>
        <xdr:cNvSpPr txBox="1"/>
      </xdr:nvSpPr>
      <xdr:spPr>
        <a:xfrm>
          <a:off x="4964433" y="5394579"/>
          <a:ext cx="933447"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3BAE094-40CB-454D-8463-A8E9926FB9FA}" type="TxLink">
            <a:rPr lang="en-US" sz="1400" b="0" i="0" u="none" strike="noStrike">
              <a:solidFill>
                <a:schemeClr val="bg1">
                  <a:lumMod val="85000"/>
                </a:schemeClr>
              </a:solidFill>
              <a:latin typeface="Aptos Narrow"/>
              <a:cs typeface="Calibri Light" panose="020F0302020204030204" pitchFamily="34" charset="0"/>
            </a:rPr>
            <a:pPr algn="l"/>
            <a:t>35,27,485</a:t>
          </a:fld>
          <a:endParaRPr lang="en-US" sz="2800" b="0" i="0" u="none" strike="noStrike">
            <a:solidFill>
              <a:schemeClr val="bg1">
                <a:lumMod val="85000"/>
              </a:schemeClr>
            </a:solidFill>
            <a:latin typeface="Calibri Light" panose="020F0302020204030204" pitchFamily="34" charset="0"/>
            <a:cs typeface="Calibri Light" panose="020F0302020204030204" pitchFamily="34" charset="0"/>
          </a:endParaRPr>
        </a:p>
      </xdr:txBody>
    </xdr:sp>
    <xdr:clientData/>
  </xdr:twoCellAnchor>
  <xdr:twoCellAnchor>
    <xdr:from>
      <xdr:col>7</xdr:col>
      <xdr:colOff>179073</xdr:colOff>
      <xdr:row>24</xdr:row>
      <xdr:rowOff>75819</xdr:rowOff>
    </xdr:from>
    <xdr:to>
      <xdr:col>8</xdr:col>
      <xdr:colOff>281940</xdr:colOff>
      <xdr:row>26</xdr:row>
      <xdr:rowOff>53721</xdr:rowOff>
    </xdr:to>
    <xdr:sp macro="" textlink="">
      <xdr:nvSpPr>
        <xdr:cNvPr id="61" name="TextBox 60">
          <a:extLst>
            <a:ext uri="{FF2B5EF4-FFF2-40B4-BE49-F238E27FC236}">
              <a16:creationId xmlns:a16="http://schemas.microsoft.com/office/drawing/2014/main" id="{C571CDAD-D42E-19D7-DDB5-9B5675E8F5EC}"/>
            </a:ext>
          </a:extLst>
        </xdr:cNvPr>
        <xdr:cNvSpPr txBox="1"/>
      </xdr:nvSpPr>
      <xdr:spPr>
        <a:xfrm>
          <a:off x="4446273" y="5394579"/>
          <a:ext cx="712467"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bg1">
                  <a:lumMod val="85000"/>
                </a:schemeClr>
              </a:solidFill>
              <a:latin typeface="Aptos Narrow"/>
              <a:cs typeface="Calibri Light" panose="020F0302020204030204" pitchFamily="34" charset="0"/>
            </a:rPr>
            <a:t>TOTAL:</a:t>
          </a:r>
        </a:p>
      </xdr:txBody>
    </xdr:sp>
    <xdr:clientData/>
  </xdr:twoCellAnchor>
  <xdr:twoCellAnchor>
    <xdr:from>
      <xdr:col>13</xdr:col>
      <xdr:colOff>590553</xdr:colOff>
      <xdr:row>24</xdr:row>
      <xdr:rowOff>75819</xdr:rowOff>
    </xdr:from>
    <xdr:to>
      <xdr:col>15</xdr:col>
      <xdr:colOff>83820</xdr:colOff>
      <xdr:row>26</xdr:row>
      <xdr:rowOff>53721</xdr:rowOff>
    </xdr:to>
    <xdr:sp macro="" textlink="">
      <xdr:nvSpPr>
        <xdr:cNvPr id="62" name="TextBox 61">
          <a:extLst>
            <a:ext uri="{FF2B5EF4-FFF2-40B4-BE49-F238E27FC236}">
              <a16:creationId xmlns:a16="http://schemas.microsoft.com/office/drawing/2014/main" id="{8D1A4DF2-ECDD-D4CB-CB19-AC3A08BDCFE8}"/>
            </a:ext>
          </a:extLst>
        </xdr:cNvPr>
        <xdr:cNvSpPr txBox="1"/>
      </xdr:nvSpPr>
      <xdr:spPr>
        <a:xfrm>
          <a:off x="8515353" y="5394579"/>
          <a:ext cx="712467"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solidFill>
                <a:schemeClr val="bg1">
                  <a:lumMod val="85000"/>
                </a:schemeClr>
              </a:solidFill>
            </a:rPr>
            <a:t>Selected</a:t>
          </a:r>
          <a:r>
            <a:rPr lang="en-US" sz="1100" b="0" i="0" u="none" strike="noStrike">
              <a:solidFill>
                <a:schemeClr val="bg1">
                  <a:lumMod val="85000"/>
                </a:schemeClr>
              </a:solidFill>
              <a:latin typeface="Aptos Narrow"/>
              <a:cs typeface="Calibri Light" panose="020F0302020204030204" pitchFamily="34" charset="0"/>
            </a:rPr>
            <a:t>:</a:t>
          </a:r>
        </a:p>
      </xdr:txBody>
    </xdr:sp>
    <xdr:clientData/>
  </xdr:twoCellAnchor>
  <xdr:twoCellAnchor editAs="oneCell">
    <xdr:from>
      <xdr:col>7</xdr:col>
      <xdr:colOff>335280</xdr:colOff>
      <xdr:row>34</xdr:row>
      <xdr:rowOff>121920</xdr:rowOff>
    </xdr:from>
    <xdr:to>
      <xdr:col>16</xdr:col>
      <xdr:colOff>382152</xdr:colOff>
      <xdr:row>37</xdr:row>
      <xdr:rowOff>0</xdr:rowOff>
    </xdr:to>
    <mc:AlternateContent xmlns:mc="http://schemas.openxmlformats.org/markup-compatibility/2006" xmlns:a14="http://schemas.microsoft.com/office/drawing/2010/main">
      <mc:Choice Requires="a14">
        <xdr:graphicFrame macro="">
          <xdr:nvGraphicFramePr>
            <xdr:cNvPr id="39" name="Name Month">
              <a:extLst>
                <a:ext uri="{FF2B5EF4-FFF2-40B4-BE49-F238E27FC236}">
                  <a16:creationId xmlns:a16="http://schemas.microsoft.com/office/drawing/2014/main" id="{E77375F4-54E2-4475-AB72-AD2B436E77A5}"/>
                </a:ext>
              </a:extLst>
            </xdr:cNvPr>
            <xdr:cNvGraphicFramePr/>
          </xdr:nvGraphicFramePr>
          <xdr:xfrm>
            <a:off x="0" y="0"/>
            <a:ext cx="0" cy="0"/>
          </xdr:xfrm>
          <a:graphic>
            <a:graphicData uri="http://schemas.microsoft.com/office/drawing/2010/slicer">
              <sle:slicer xmlns:sle="http://schemas.microsoft.com/office/drawing/2010/slicer" name="Name Month"/>
            </a:graphicData>
          </a:graphic>
        </xdr:graphicFrame>
      </mc:Choice>
      <mc:Fallback xmlns="">
        <xdr:sp macro="" textlink="">
          <xdr:nvSpPr>
            <xdr:cNvPr id="0" name=""/>
            <xdr:cNvSpPr>
              <a:spLocks noTextEdit="1"/>
            </xdr:cNvSpPr>
          </xdr:nvSpPr>
          <xdr:spPr>
            <a:xfrm>
              <a:off x="4602480" y="7269480"/>
              <a:ext cx="5533272"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320040</xdr:colOff>
      <xdr:row>34</xdr:row>
      <xdr:rowOff>144781</xdr:rowOff>
    </xdr:from>
    <xdr:to>
      <xdr:col>5</xdr:col>
      <xdr:colOff>403860</xdr:colOff>
      <xdr:row>36</xdr:row>
      <xdr:rowOff>144780</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C664103A-7A28-44FF-B371-6F3D024D1A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9640" y="7292341"/>
              <a:ext cx="2522220" cy="36575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483873</xdr:colOff>
      <xdr:row>13</xdr:row>
      <xdr:rowOff>152019</xdr:rowOff>
    </xdr:from>
    <xdr:to>
      <xdr:col>20</xdr:col>
      <xdr:colOff>552448</xdr:colOff>
      <xdr:row>15</xdr:row>
      <xdr:rowOff>129921</xdr:rowOff>
    </xdr:to>
    <xdr:sp macro="" textlink="Processing!C13">
      <xdr:nvSpPr>
        <xdr:cNvPr id="47" name="TextBox 46">
          <a:extLst>
            <a:ext uri="{FF2B5EF4-FFF2-40B4-BE49-F238E27FC236}">
              <a16:creationId xmlns:a16="http://schemas.microsoft.com/office/drawing/2014/main" id="{86581576-0335-3332-6D3A-8A825FC44189}"/>
            </a:ext>
          </a:extLst>
        </xdr:cNvPr>
        <xdr:cNvSpPr txBox="1"/>
      </xdr:nvSpPr>
      <xdr:spPr>
        <a:xfrm>
          <a:off x="10847073" y="345909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7D3351A-716A-4FB4-AC7D-06E0852E6971}" type="TxLink">
            <a:rPr lang="en-US" sz="1200" b="0" i="0" u="none" strike="noStrike">
              <a:solidFill>
                <a:schemeClr val="bg1">
                  <a:lumMod val="75000"/>
                </a:schemeClr>
              </a:solidFill>
              <a:latin typeface="Aptos Narrow"/>
              <a:cs typeface="Calibri Light" panose="020F0302020204030204" pitchFamily="34" charset="0"/>
            </a:rPr>
            <a:pPr algn="l"/>
            <a:t>Revenue</a:t>
          </a:fld>
          <a:endParaRPr lang="en-US" sz="2800" b="0" i="0" u="none" strike="noStrike">
            <a:solidFill>
              <a:schemeClr val="bg1">
                <a:lumMod val="75000"/>
              </a:schemeClr>
            </a:solidFill>
            <a:latin typeface="Calibri Light" panose="020F0302020204030204" pitchFamily="34" charset="0"/>
            <a:cs typeface="Calibri Light" panose="020F0302020204030204" pitchFamily="34" charset="0"/>
          </a:endParaRPr>
        </a:p>
      </xdr:txBody>
    </xdr:sp>
    <xdr:clientData/>
  </xdr:twoCellAnchor>
  <xdr:twoCellAnchor>
    <xdr:from>
      <xdr:col>19</xdr:col>
      <xdr:colOff>110493</xdr:colOff>
      <xdr:row>13</xdr:row>
      <xdr:rowOff>152019</xdr:rowOff>
    </xdr:from>
    <xdr:to>
      <xdr:col>22</xdr:col>
      <xdr:colOff>179068</xdr:colOff>
      <xdr:row>15</xdr:row>
      <xdr:rowOff>129921</xdr:rowOff>
    </xdr:to>
    <xdr:sp macro="" textlink="Processing!D26">
      <xdr:nvSpPr>
        <xdr:cNvPr id="48" name="TextBox 47">
          <a:extLst>
            <a:ext uri="{FF2B5EF4-FFF2-40B4-BE49-F238E27FC236}">
              <a16:creationId xmlns:a16="http://schemas.microsoft.com/office/drawing/2014/main" id="{ABE850E7-AB54-95C1-73ED-E8DF22BCE350}"/>
            </a:ext>
          </a:extLst>
        </xdr:cNvPr>
        <xdr:cNvSpPr txBox="1"/>
      </xdr:nvSpPr>
      <xdr:spPr>
        <a:xfrm>
          <a:off x="11692893" y="345909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08A17D4-C4B9-4907-A936-F39C0DAA4B37}" type="TxLink">
            <a:rPr lang="en-US" sz="1200" b="0" i="0" u="none" strike="noStrike">
              <a:solidFill>
                <a:schemeClr val="bg1">
                  <a:lumMod val="75000"/>
                </a:schemeClr>
              </a:solidFill>
              <a:latin typeface="Aptos Narrow"/>
              <a:cs typeface="Calibri Light" panose="020F0302020204030204" pitchFamily="34" charset="0"/>
            </a:rPr>
            <a:pPr algn="r"/>
            <a:t>1,67,197</a:t>
          </a:fld>
          <a:endParaRPr lang="en-US" sz="3200" b="0" i="0" u="none" strike="noStrike">
            <a:solidFill>
              <a:schemeClr val="bg1">
                <a:lumMod val="75000"/>
              </a:schemeClr>
            </a:solidFill>
            <a:latin typeface="Calibri Light" panose="020F0302020204030204" pitchFamily="34" charset="0"/>
            <a:cs typeface="Calibri Light" panose="020F0302020204030204" pitchFamily="34" charset="0"/>
          </a:endParaRPr>
        </a:p>
      </xdr:txBody>
    </xdr:sp>
    <xdr:clientData/>
  </xdr:twoCellAnchor>
  <xdr:twoCellAnchor>
    <xdr:from>
      <xdr:col>8</xdr:col>
      <xdr:colOff>11433</xdr:colOff>
      <xdr:row>3</xdr:row>
      <xdr:rowOff>7239</xdr:rowOff>
    </xdr:from>
    <xdr:to>
      <xdr:col>11</xdr:col>
      <xdr:colOff>80008</xdr:colOff>
      <xdr:row>4</xdr:row>
      <xdr:rowOff>168021</xdr:rowOff>
    </xdr:to>
    <xdr:sp macro="" textlink="Processing!L26">
      <xdr:nvSpPr>
        <xdr:cNvPr id="49" name="TextBox 48">
          <a:extLst>
            <a:ext uri="{FF2B5EF4-FFF2-40B4-BE49-F238E27FC236}">
              <a16:creationId xmlns:a16="http://schemas.microsoft.com/office/drawing/2014/main" id="{FB91BC2D-D79C-23E0-F32D-5D9BDAF1E141}"/>
            </a:ext>
          </a:extLst>
        </xdr:cNvPr>
        <xdr:cNvSpPr txBox="1"/>
      </xdr:nvSpPr>
      <xdr:spPr>
        <a:xfrm>
          <a:off x="4888233" y="148551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16DC74-8727-4BA3-9F21-4B19C39D6F9F}" type="TxLink">
            <a:rPr lang="en-US" sz="1400" b="0" i="0" u="none" strike="noStrike">
              <a:solidFill>
                <a:srgbClr val="3CD964"/>
              </a:solidFill>
              <a:latin typeface="Aptos Narrow"/>
              <a:cs typeface="Calibri Light" panose="020F0302020204030204" pitchFamily="34" charset="0"/>
            </a:rPr>
            <a:pPr algn="r"/>
            <a:t>11,682</a:t>
          </a:fld>
          <a:endParaRPr lang="en-US" sz="3600" b="0" i="0" u="none" strike="noStrike">
            <a:solidFill>
              <a:srgbClr val="3CD964"/>
            </a:solidFill>
            <a:latin typeface="Calibri Light" panose="020F0302020204030204" pitchFamily="34" charset="0"/>
            <a:cs typeface="Calibri Light" panose="020F0302020204030204" pitchFamily="34" charset="0"/>
          </a:endParaRPr>
        </a:p>
      </xdr:txBody>
    </xdr:sp>
    <xdr:clientData/>
  </xdr:twoCellAnchor>
  <xdr:twoCellAnchor>
    <xdr:from>
      <xdr:col>12</xdr:col>
      <xdr:colOff>422913</xdr:colOff>
      <xdr:row>3</xdr:row>
      <xdr:rowOff>7239</xdr:rowOff>
    </xdr:from>
    <xdr:to>
      <xdr:col>15</xdr:col>
      <xdr:colOff>491488</xdr:colOff>
      <xdr:row>4</xdr:row>
      <xdr:rowOff>168021</xdr:rowOff>
    </xdr:to>
    <xdr:sp macro="" textlink="Processing!M26">
      <xdr:nvSpPr>
        <xdr:cNvPr id="63" name="TextBox 62">
          <a:extLst>
            <a:ext uri="{FF2B5EF4-FFF2-40B4-BE49-F238E27FC236}">
              <a16:creationId xmlns:a16="http://schemas.microsoft.com/office/drawing/2014/main" id="{ADC1B002-D35E-9261-0EF3-34E441853A42}"/>
            </a:ext>
          </a:extLst>
        </xdr:cNvPr>
        <xdr:cNvSpPr txBox="1"/>
      </xdr:nvSpPr>
      <xdr:spPr>
        <a:xfrm>
          <a:off x="7738113" y="148551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39A1073-6143-45C5-9D8B-A50812A09AD5}" type="TxLink">
            <a:rPr lang="en-US" sz="1400" b="0" i="0" u="none" strike="noStrike">
              <a:solidFill>
                <a:srgbClr val="FA2A7F"/>
              </a:solidFill>
              <a:latin typeface="Aptos Narrow"/>
              <a:cs typeface="Calibri Light" panose="020F0302020204030204" pitchFamily="34" charset="0"/>
            </a:rPr>
            <a:pPr algn="l"/>
            <a:t>-10,847</a:t>
          </a:fld>
          <a:endParaRPr lang="en-US" sz="4400" b="0"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editAs="oneCell">
    <xdr:from>
      <xdr:col>21</xdr:col>
      <xdr:colOff>68580</xdr:colOff>
      <xdr:row>6</xdr:row>
      <xdr:rowOff>83821</xdr:rowOff>
    </xdr:from>
    <xdr:to>
      <xdr:col>22</xdr:col>
      <xdr:colOff>502920</xdr:colOff>
      <xdr:row>13</xdr:row>
      <xdr:rowOff>76201</xdr:rowOff>
    </xdr:to>
    <mc:AlternateContent xmlns:mc="http://schemas.openxmlformats.org/markup-compatibility/2006" xmlns:a14="http://schemas.microsoft.com/office/drawing/2010/main">
      <mc:Choice Requires="a14">
        <xdr:graphicFrame macro="">
          <xdr:nvGraphicFramePr>
            <xdr:cNvPr id="64" name="Departments">
              <a:extLst>
                <a:ext uri="{FF2B5EF4-FFF2-40B4-BE49-F238E27FC236}">
                  <a16:creationId xmlns:a16="http://schemas.microsoft.com/office/drawing/2014/main" id="{69C14D8A-74B9-4135-8D3C-54EE1026D5FF}"/>
                </a:ext>
              </a:extLst>
            </xdr:cNvPr>
            <xdr:cNvGraphicFramePr/>
          </xdr:nvGraphicFramePr>
          <xdr:xfrm>
            <a:off x="0" y="0"/>
            <a:ext cx="0" cy="0"/>
          </xdr:xfrm>
          <a:graphic>
            <a:graphicData uri="http://schemas.microsoft.com/office/drawing/2010/slicer">
              <sle:slicer xmlns:sle="http://schemas.microsoft.com/office/drawing/2010/slicer" name="Departments"/>
            </a:graphicData>
          </a:graphic>
        </xdr:graphicFrame>
      </mc:Choice>
      <mc:Fallback xmlns="">
        <xdr:sp macro="" textlink="">
          <xdr:nvSpPr>
            <xdr:cNvPr id="0" name=""/>
            <xdr:cNvSpPr>
              <a:spLocks noTextEdit="1"/>
            </xdr:cNvSpPr>
          </xdr:nvSpPr>
          <xdr:spPr>
            <a:xfrm>
              <a:off x="12870180" y="2110741"/>
              <a:ext cx="1043940" cy="12725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433521</xdr:colOff>
      <xdr:row>7</xdr:row>
      <xdr:rowOff>28278</xdr:rowOff>
    </xdr:from>
    <xdr:to>
      <xdr:col>21</xdr:col>
      <xdr:colOff>199306</xdr:colOff>
      <xdr:row>8</xdr:row>
      <xdr:rowOff>21092</xdr:rowOff>
    </xdr:to>
    <xdr:sp macro="" textlink="Processing!N3">
      <xdr:nvSpPr>
        <xdr:cNvPr id="21" name="TextBox 20">
          <a:extLst>
            <a:ext uri="{FF2B5EF4-FFF2-40B4-BE49-F238E27FC236}">
              <a16:creationId xmlns:a16="http://schemas.microsoft.com/office/drawing/2014/main" id="{E6AD648E-A0B8-17C9-056E-B115F6C52E8E}"/>
            </a:ext>
          </a:extLst>
        </xdr:cNvPr>
        <xdr:cNvSpPr txBox="1"/>
      </xdr:nvSpPr>
      <xdr:spPr>
        <a:xfrm>
          <a:off x="12625521" y="2229972"/>
          <a:ext cx="375385" cy="17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434ACA-915B-4D81-89EB-F68F0200C208}" type="TxLink">
            <a:rPr lang="en-US" sz="1600" b="1" i="0" u="none" strike="noStrike">
              <a:solidFill>
                <a:srgbClr val="FA2A7F"/>
              </a:solidFill>
              <a:latin typeface="Aptos Narrow"/>
              <a:cs typeface="Calibri Light" panose="020F0302020204030204" pitchFamily="34" charset="0"/>
            </a:rPr>
            <a:pPr algn="ctr"/>
            <a:t>•</a:t>
          </a:fld>
          <a:endParaRPr lang="en-US" sz="1600" b="0"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xdr:from>
      <xdr:col>20</xdr:col>
      <xdr:colOff>433521</xdr:colOff>
      <xdr:row>8</xdr:row>
      <xdr:rowOff>130740</xdr:rowOff>
    </xdr:from>
    <xdr:to>
      <xdr:col>21</xdr:col>
      <xdr:colOff>199306</xdr:colOff>
      <xdr:row>9</xdr:row>
      <xdr:rowOff>124162</xdr:rowOff>
    </xdr:to>
    <xdr:sp macro="" textlink="Processing!N4">
      <xdr:nvSpPr>
        <xdr:cNvPr id="65" name="TextBox 64">
          <a:extLst>
            <a:ext uri="{FF2B5EF4-FFF2-40B4-BE49-F238E27FC236}">
              <a16:creationId xmlns:a16="http://schemas.microsoft.com/office/drawing/2014/main" id="{3A6733C9-4EA8-E7E3-C962-F322A7E64806}"/>
            </a:ext>
          </a:extLst>
        </xdr:cNvPr>
        <xdr:cNvSpPr txBox="1"/>
      </xdr:nvSpPr>
      <xdr:spPr>
        <a:xfrm>
          <a:off x="12625521" y="2523420"/>
          <a:ext cx="375385" cy="176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8475A7-B014-43E8-9411-EF00CE284C38}" type="TxLink">
            <a:rPr lang="en-US" sz="1600" b="1" i="0" u="none" strike="noStrike">
              <a:solidFill>
                <a:srgbClr val="FA2A7F"/>
              </a:solidFill>
              <a:latin typeface="Aptos Narrow"/>
              <a:cs typeface="Calibri Light" panose="020F0302020204030204" pitchFamily="34" charset="0"/>
            </a:rPr>
            <a:pPr algn="ctr"/>
            <a:t>•</a:t>
          </a:fld>
          <a:endParaRPr lang="en-US" sz="1600" b="0"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xdr:from>
      <xdr:col>20</xdr:col>
      <xdr:colOff>433521</xdr:colOff>
      <xdr:row>10</xdr:row>
      <xdr:rowOff>37803</xdr:rowOff>
    </xdr:from>
    <xdr:to>
      <xdr:col>21</xdr:col>
      <xdr:colOff>199306</xdr:colOff>
      <xdr:row>11</xdr:row>
      <xdr:rowOff>31225</xdr:rowOff>
    </xdr:to>
    <xdr:sp macro="" textlink="Processing!N5">
      <xdr:nvSpPr>
        <xdr:cNvPr id="66" name="TextBox 65">
          <a:extLst>
            <a:ext uri="{FF2B5EF4-FFF2-40B4-BE49-F238E27FC236}">
              <a16:creationId xmlns:a16="http://schemas.microsoft.com/office/drawing/2014/main" id="{2D68919D-C538-ABF6-492B-E8D0580E79DC}"/>
            </a:ext>
          </a:extLst>
        </xdr:cNvPr>
        <xdr:cNvSpPr txBox="1"/>
      </xdr:nvSpPr>
      <xdr:spPr>
        <a:xfrm>
          <a:off x="12625521" y="2784246"/>
          <a:ext cx="375385" cy="175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742E00-F8E0-4658-B50C-060198B9D76B}" type="TxLink">
            <a:rPr lang="en-US" sz="1600" b="1" i="0" u="none" strike="noStrike">
              <a:solidFill>
                <a:srgbClr val="FA2A7F"/>
              </a:solidFill>
              <a:latin typeface="Aptos Narrow"/>
              <a:cs typeface="Calibri Light" panose="020F0302020204030204" pitchFamily="34" charset="0"/>
            </a:rPr>
            <a:pPr algn="ctr"/>
            <a:t>•</a:t>
          </a:fld>
          <a:endParaRPr lang="en-US" sz="1600" b="0"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xdr:from>
      <xdr:col>20</xdr:col>
      <xdr:colOff>433521</xdr:colOff>
      <xdr:row>11</xdr:row>
      <xdr:rowOff>136523</xdr:rowOff>
    </xdr:from>
    <xdr:to>
      <xdr:col>21</xdr:col>
      <xdr:colOff>199306</xdr:colOff>
      <xdr:row>12</xdr:row>
      <xdr:rowOff>129945</xdr:rowOff>
    </xdr:to>
    <xdr:sp macro="" textlink="Processing!N6">
      <xdr:nvSpPr>
        <xdr:cNvPr id="67" name="TextBox 66">
          <a:extLst>
            <a:ext uri="{FF2B5EF4-FFF2-40B4-BE49-F238E27FC236}">
              <a16:creationId xmlns:a16="http://schemas.microsoft.com/office/drawing/2014/main" id="{C9C693CF-85A9-FD2D-AA2F-B2E5D207FF02}"/>
            </a:ext>
          </a:extLst>
        </xdr:cNvPr>
        <xdr:cNvSpPr txBox="1"/>
      </xdr:nvSpPr>
      <xdr:spPr>
        <a:xfrm>
          <a:off x="12625521" y="3077843"/>
          <a:ext cx="375385" cy="176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176170-C7F2-4C94-AAF0-9853A0449B0D}" type="TxLink">
            <a:rPr lang="en-US" sz="1600" b="1" i="0" u="none" strike="noStrike">
              <a:solidFill>
                <a:srgbClr val="FA2A7F"/>
              </a:solidFill>
              <a:latin typeface="Aptos Narrow"/>
              <a:cs typeface="Calibri Light" panose="020F0302020204030204" pitchFamily="34" charset="0"/>
            </a:rPr>
            <a:pPr algn="ctr"/>
            <a:t>•</a:t>
          </a:fld>
          <a:endParaRPr lang="en-US" sz="1600" b="0"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xdr:from>
      <xdr:col>8</xdr:col>
      <xdr:colOff>72390</xdr:colOff>
      <xdr:row>0</xdr:row>
      <xdr:rowOff>115850</xdr:rowOff>
    </xdr:from>
    <xdr:to>
      <xdr:col>16</xdr:col>
      <xdr:colOff>24179</xdr:colOff>
      <xdr:row>0</xdr:row>
      <xdr:rowOff>1089660</xdr:rowOff>
    </xdr:to>
    <xdr:grpSp>
      <xdr:nvGrpSpPr>
        <xdr:cNvPr id="69" name="Group 68">
          <a:extLst>
            <a:ext uri="{FF2B5EF4-FFF2-40B4-BE49-F238E27FC236}">
              <a16:creationId xmlns:a16="http://schemas.microsoft.com/office/drawing/2014/main" id="{51F4CA58-7EF4-8226-77EB-870484692823}"/>
            </a:ext>
          </a:extLst>
        </xdr:cNvPr>
        <xdr:cNvGrpSpPr/>
      </xdr:nvGrpSpPr>
      <xdr:grpSpPr>
        <a:xfrm>
          <a:off x="4813723" y="115850"/>
          <a:ext cx="4693123" cy="973810"/>
          <a:chOff x="3383280" y="4777168"/>
          <a:chExt cx="4818037" cy="973810"/>
        </a:xfrm>
      </xdr:grpSpPr>
      <xdr:sp macro="" textlink="">
        <xdr:nvSpPr>
          <xdr:cNvPr id="70" name="Rectangle 69">
            <a:extLst>
              <a:ext uri="{FF2B5EF4-FFF2-40B4-BE49-F238E27FC236}">
                <a16:creationId xmlns:a16="http://schemas.microsoft.com/office/drawing/2014/main" id="{97193701-50F4-537D-7CB0-6361669437A6}"/>
              </a:ext>
            </a:extLst>
          </xdr:cNvPr>
          <xdr:cNvSpPr/>
        </xdr:nvSpPr>
        <xdr:spPr>
          <a:xfrm>
            <a:off x="3383280" y="4783238"/>
            <a:ext cx="4572000" cy="96774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1" name="Rectangle 70">
            <a:extLst>
              <a:ext uri="{FF2B5EF4-FFF2-40B4-BE49-F238E27FC236}">
                <a16:creationId xmlns:a16="http://schemas.microsoft.com/office/drawing/2014/main" id="{B531F494-BB6A-7013-F8E6-3DF518E974AA}"/>
              </a:ext>
            </a:extLst>
          </xdr:cNvPr>
          <xdr:cNvSpPr/>
        </xdr:nvSpPr>
        <xdr:spPr>
          <a:xfrm>
            <a:off x="3607842" y="4846609"/>
            <a:ext cx="895118" cy="738665"/>
          </a:xfrm>
          <a:prstGeom prst="rect">
            <a:avLst/>
          </a:prstGeom>
          <a:gradFill>
            <a:gsLst>
              <a:gs pos="77000">
                <a:srgbClr val="C1A35F"/>
              </a:gs>
              <a:gs pos="25000">
                <a:srgbClr val="C1A35F"/>
              </a:gs>
              <a:gs pos="0">
                <a:srgbClr val="94632A"/>
              </a:gs>
              <a:gs pos="49000">
                <a:srgbClr val="F3E999"/>
              </a:gs>
              <a:gs pos="100000">
                <a:srgbClr val="94632A"/>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sp macro="" textlink="">
        <xdr:nvSpPr>
          <xdr:cNvPr id="72" name="TextBox 4">
            <a:extLst>
              <a:ext uri="{FF2B5EF4-FFF2-40B4-BE49-F238E27FC236}">
                <a16:creationId xmlns:a16="http://schemas.microsoft.com/office/drawing/2014/main" id="{F74CCECB-27A1-E59B-B93E-2396B345B694}"/>
              </a:ext>
            </a:extLst>
          </xdr:cNvPr>
          <xdr:cNvSpPr txBox="1"/>
        </xdr:nvSpPr>
        <xdr:spPr>
          <a:xfrm>
            <a:off x="4517427" y="5019970"/>
            <a:ext cx="3683890" cy="69871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3800">
                <a:gradFill>
                  <a:gsLst>
                    <a:gs pos="77000">
                      <a:srgbClr val="C1A35F"/>
                    </a:gs>
                    <a:gs pos="25000">
                      <a:srgbClr val="C1A35F"/>
                    </a:gs>
                    <a:gs pos="0">
                      <a:srgbClr val="94632A"/>
                    </a:gs>
                    <a:gs pos="49000">
                      <a:srgbClr val="F3E999"/>
                    </a:gs>
                    <a:gs pos="100000">
                      <a:srgbClr val="94632A"/>
                    </a:gs>
                  </a:gsLst>
                  <a:lin ang="0" scaled="0"/>
                </a:gradFill>
                <a:latin typeface="Amasis MT Pro Black" panose="02040A04050005020304" pitchFamily="18" charset="0"/>
                <a:cs typeface="Aharoni" panose="02010803020104030203" pitchFamily="2" charset="-79"/>
              </a:rPr>
              <a:t>DASHBOARD</a:t>
            </a:r>
            <a:endParaRPr lang="ru-RU" sz="3800">
              <a:gradFill>
                <a:gsLst>
                  <a:gs pos="77000">
                    <a:srgbClr val="C1A35F"/>
                  </a:gs>
                  <a:gs pos="25000">
                    <a:srgbClr val="C1A35F"/>
                  </a:gs>
                  <a:gs pos="0">
                    <a:srgbClr val="94632A"/>
                  </a:gs>
                  <a:gs pos="49000">
                    <a:srgbClr val="F3E999"/>
                  </a:gs>
                  <a:gs pos="100000">
                    <a:srgbClr val="94632A"/>
                  </a:gs>
                </a:gsLst>
                <a:lin ang="0" scaled="0"/>
              </a:gradFill>
              <a:latin typeface="Verdana Pro Black" panose="020B0A04030504040204" pitchFamily="34" charset="0"/>
              <a:cs typeface="Aharoni" panose="02010803020104030203" pitchFamily="2" charset="-79"/>
            </a:endParaRPr>
          </a:p>
        </xdr:txBody>
      </xdr:sp>
      <xdr:sp macro="" textlink="">
        <xdr:nvSpPr>
          <xdr:cNvPr id="73" name="TextBox 6">
            <a:extLst>
              <a:ext uri="{FF2B5EF4-FFF2-40B4-BE49-F238E27FC236}">
                <a16:creationId xmlns:a16="http://schemas.microsoft.com/office/drawing/2014/main" id="{4CF2BDDA-9464-24B1-AF09-2FBDAD2339FE}"/>
              </a:ext>
            </a:extLst>
          </xdr:cNvPr>
          <xdr:cNvSpPr txBox="1"/>
        </xdr:nvSpPr>
        <xdr:spPr>
          <a:xfrm>
            <a:off x="4542496" y="4777168"/>
            <a:ext cx="3601746" cy="37952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800">
                <a:gradFill>
                  <a:gsLst>
                    <a:gs pos="77000">
                      <a:srgbClr val="C1A35F"/>
                    </a:gs>
                    <a:gs pos="25000">
                      <a:srgbClr val="C1A35F"/>
                    </a:gs>
                    <a:gs pos="0">
                      <a:srgbClr val="94632A"/>
                    </a:gs>
                    <a:gs pos="49000">
                      <a:srgbClr val="F3E999"/>
                    </a:gs>
                    <a:gs pos="100000">
                      <a:srgbClr val="94632A"/>
                    </a:gs>
                  </a:gsLst>
                  <a:lin ang="0" scaled="0"/>
                </a:gradFill>
                <a:latin typeface="Amasis MT Pro Black" panose="02040A04050005020304" pitchFamily="18" charset="0"/>
                <a:cs typeface="Aharoni" panose="02010803020104030203" pitchFamily="2" charset="-79"/>
              </a:rPr>
              <a:t>BUSINESS  INTELLIGENCE</a:t>
            </a:r>
            <a:endParaRPr lang="ru-RU" sz="1800">
              <a:gradFill>
                <a:gsLst>
                  <a:gs pos="77000">
                    <a:srgbClr val="C1A35F"/>
                  </a:gs>
                  <a:gs pos="25000">
                    <a:srgbClr val="C1A35F"/>
                  </a:gs>
                  <a:gs pos="0">
                    <a:srgbClr val="94632A"/>
                  </a:gs>
                  <a:gs pos="49000">
                    <a:srgbClr val="F3E999"/>
                  </a:gs>
                  <a:gs pos="100000">
                    <a:srgbClr val="94632A"/>
                  </a:gs>
                </a:gsLst>
                <a:lin ang="0" scaled="0"/>
              </a:gradFill>
              <a:latin typeface="Verdana Pro Black" panose="020B0A04030504040204" pitchFamily="34" charset="0"/>
              <a:cs typeface="Aharoni" panose="02010803020104030203" pitchFamily="2" charset="-79"/>
            </a:endParaRPr>
          </a:p>
        </xdr:txBody>
      </xdr:sp>
      <xdr:grpSp>
        <xdr:nvGrpSpPr>
          <xdr:cNvPr id="74" name="Group 73">
            <a:extLst>
              <a:ext uri="{FF2B5EF4-FFF2-40B4-BE49-F238E27FC236}">
                <a16:creationId xmlns:a16="http://schemas.microsoft.com/office/drawing/2014/main" id="{96B49C42-1CB6-CF4E-60B8-D10CB6080B19}"/>
              </a:ext>
            </a:extLst>
          </xdr:cNvPr>
          <xdr:cNvGrpSpPr/>
        </xdr:nvGrpSpPr>
        <xdr:grpSpPr>
          <a:xfrm>
            <a:off x="3684014" y="4883047"/>
            <a:ext cx="746680" cy="636333"/>
            <a:chOff x="3156601" y="5563497"/>
            <a:chExt cx="746680" cy="636333"/>
          </a:xfrm>
        </xdr:grpSpPr>
        <xdr:sp macro="" textlink="">
          <xdr:nvSpPr>
            <xdr:cNvPr id="75" name="Rectangle 74">
              <a:extLst>
                <a:ext uri="{FF2B5EF4-FFF2-40B4-BE49-F238E27FC236}">
                  <a16:creationId xmlns:a16="http://schemas.microsoft.com/office/drawing/2014/main" id="{62AC13B6-3360-72ED-859D-FA449D30EFC3}"/>
                </a:ext>
              </a:extLst>
            </xdr:cNvPr>
            <xdr:cNvSpPr/>
          </xdr:nvSpPr>
          <xdr:spPr>
            <a:xfrm>
              <a:off x="3156601" y="5615055"/>
              <a:ext cx="702147" cy="584775"/>
            </a:xfrm>
            <a:prstGeom prst="rect">
              <a:avLst/>
            </a:prstGeom>
            <a:noFill/>
          </xdr:spPr>
          <xdr:txBody>
            <a:bodyPr wrap="square" lIns="91440" tIns="45720" rIns="91440" bIns="4572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3200" b="1" cap="none" spc="0">
                  <a:ln w="6350">
                    <a:solidFill>
                      <a:schemeClr val="tx1"/>
                    </a:solidFill>
                    <a:prstDash val="solid"/>
                  </a:ln>
                  <a:pattFill prst="narHorz">
                    <a:fgClr>
                      <a:schemeClr val="tx1"/>
                    </a:fgClr>
                    <a:bgClr>
                      <a:schemeClr val="bg1"/>
                    </a:bgClr>
                  </a:pattFill>
                  <a:effectLst>
                    <a:innerShdw blurRad="177800">
                      <a:schemeClr val="accent3">
                        <a:lumMod val="50000"/>
                      </a:schemeClr>
                    </a:innerShdw>
                  </a:effectLst>
                  <a:latin typeface="Amasis MT Pro Black" panose="02040A04050005020304" pitchFamily="18" charset="0"/>
                </a:rPr>
                <a:t>BI</a:t>
              </a:r>
            </a:p>
          </xdr:txBody>
        </xdr:sp>
        <xdr:sp macro="" textlink="">
          <xdr:nvSpPr>
            <xdr:cNvPr id="76" name="TextBox 7">
              <a:extLst>
                <a:ext uri="{FF2B5EF4-FFF2-40B4-BE49-F238E27FC236}">
                  <a16:creationId xmlns:a16="http://schemas.microsoft.com/office/drawing/2014/main" id="{8CC5271B-6522-0171-C70E-32E7C0C00653}"/>
                </a:ext>
              </a:extLst>
            </xdr:cNvPr>
            <xdr:cNvSpPr txBox="1"/>
          </xdr:nvSpPr>
          <xdr:spPr>
            <a:xfrm>
              <a:off x="3199193" y="5563497"/>
              <a:ext cx="704088" cy="58477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3200">
                  <a:latin typeface="Amasis MT Pro Black" panose="02040A04050005020304" pitchFamily="18" charset="0"/>
                  <a:cs typeface="Aharoni" panose="02010803020104030203" pitchFamily="2" charset="-79"/>
                </a:rPr>
                <a:t>BI</a:t>
              </a:r>
              <a:endParaRPr lang="ru-RU" sz="3200">
                <a:latin typeface="Verdana Pro Black" panose="020B0A04030504040204" pitchFamily="34" charset="0"/>
                <a:cs typeface="Aharoni" panose="02010803020104030203" pitchFamily="2" charset="-79"/>
              </a:endParaRPr>
            </a:p>
          </xdr:txBody>
        </xdr:sp>
      </xdr:grpSp>
    </xdr:grpSp>
    <xdr:clientData/>
  </xdr:twoCellAnchor>
  <xdr:twoCellAnchor>
    <xdr:from>
      <xdr:col>0</xdr:col>
      <xdr:colOff>7620</xdr:colOff>
      <xdr:row>0</xdr:row>
      <xdr:rowOff>0</xdr:rowOff>
    </xdr:from>
    <xdr:to>
      <xdr:col>1</xdr:col>
      <xdr:colOff>205740</xdr:colOff>
      <xdr:row>1</xdr:row>
      <xdr:rowOff>106680</xdr:rowOff>
    </xdr:to>
    <xdr:sp macro="" textlink="">
      <xdr:nvSpPr>
        <xdr:cNvPr id="77" name="Rectangle 76">
          <a:extLst>
            <a:ext uri="{FF2B5EF4-FFF2-40B4-BE49-F238E27FC236}">
              <a16:creationId xmlns:a16="http://schemas.microsoft.com/office/drawing/2014/main" id="{1E628981-F45B-F9D4-05AA-6360D48FDE3B}"/>
            </a:ext>
          </a:extLst>
        </xdr:cNvPr>
        <xdr:cNvSpPr/>
      </xdr:nvSpPr>
      <xdr:spPr>
        <a:xfrm>
          <a:off x="7620" y="0"/>
          <a:ext cx="807720" cy="121920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419511</xdr:colOff>
      <xdr:row>0</xdr:row>
      <xdr:rowOff>586741</xdr:rowOff>
    </xdr:from>
    <xdr:to>
      <xdr:col>21</xdr:col>
      <xdr:colOff>84819</xdr:colOff>
      <xdr:row>0</xdr:row>
      <xdr:rowOff>842551</xdr:rowOff>
    </xdr:to>
    <xdr:grpSp>
      <xdr:nvGrpSpPr>
        <xdr:cNvPr id="85" name="Group 84">
          <a:extLst>
            <a:ext uri="{FF2B5EF4-FFF2-40B4-BE49-F238E27FC236}">
              <a16:creationId xmlns:a16="http://schemas.microsoft.com/office/drawing/2014/main" id="{F85D4ED4-D485-48BA-8AC5-CFA3D7D32822}"/>
            </a:ext>
          </a:extLst>
        </xdr:cNvPr>
        <xdr:cNvGrpSpPr/>
      </xdr:nvGrpSpPr>
      <xdr:grpSpPr>
        <a:xfrm>
          <a:off x="12272844" y="586741"/>
          <a:ext cx="257975" cy="255810"/>
          <a:chOff x="6535559" y="690283"/>
          <a:chExt cx="274908" cy="248639"/>
        </a:xfrm>
        <a:gradFill>
          <a:gsLst>
            <a:gs pos="0">
              <a:srgbClr val="FFF2A7"/>
            </a:gs>
            <a:gs pos="72000">
              <a:srgbClr val="C0A500"/>
            </a:gs>
          </a:gsLst>
          <a:lin ang="8100000" scaled="1"/>
        </a:gradFill>
      </xdr:grpSpPr>
      <xdr:sp macro="" textlink="">
        <xdr:nvSpPr>
          <xdr:cNvPr id="86" name="Moon">
            <a:extLst>
              <a:ext uri="{FF2B5EF4-FFF2-40B4-BE49-F238E27FC236}">
                <a16:creationId xmlns:a16="http://schemas.microsoft.com/office/drawing/2014/main" id="{1FB60332-1D98-FB9E-47AA-FF4AD2BBD964}"/>
              </a:ext>
            </a:extLst>
          </xdr:cNvPr>
          <xdr:cNvSpPr/>
        </xdr:nvSpPr>
        <xdr:spPr>
          <a:xfrm>
            <a:off x="6535559" y="690283"/>
            <a:ext cx="140283" cy="245398"/>
          </a:xfrm>
          <a:prstGeom prst="moon">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7" name="Big Star">
            <a:extLst>
              <a:ext uri="{FF2B5EF4-FFF2-40B4-BE49-F238E27FC236}">
                <a16:creationId xmlns:a16="http://schemas.microsoft.com/office/drawing/2014/main" id="{20FA5304-1AED-9810-725D-0CED11CEB75E}"/>
              </a:ext>
            </a:extLst>
          </xdr:cNvPr>
          <xdr:cNvSpPr/>
        </xdr:nvSpPr>
        <xdr:spPr>
          <a:xfrm>
            <a:off x="6675270" y="773921"/>
            <a:ext cx="108000" cy="107972"/>
          </a:xfrm>
          <a:prstGeom prst="star4">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8" name="Star">
            <a:extLst>
              <a:ext uri="{FF2B5EF4-FFF2-40B4-BE49-F238E27FC236}">
                <a16:creationId xmlns:a16="http://schemas.microsoft.com/office/drawing/2014/main" id="{4422212A-44E7-8143-B9A0-B250431E323F}"/>
              </a:ext>
            </a:extLst>
          </xdr:cNvPr>
          <xdr:cNvSpPr/>
        </xdr:nvSpPr>
        <xdr:spPr>
          <a:xfrm>
            <a:off x="6756467" y="881723"/>
            <a:ext cx="54000" cy="57199"/>
          </a:xfrm>
          <a:prstGeom prst="star4">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19</xdr:col>
      <xdr:colOff>265702</xdr:colOff>
      <xdr:row>0</xdr:row>
      <xdr:rowOff>586740</xdr:rowOff>
    </xdr:from>
    <xdr:to>
      <xdr:col>19</xdr:col>
      <xdr:colOff>524902</xdr:colOff>
      <xdr:row>0</xdr:row>
      <xdr:rowOff>842550</xdr:rowOff>
    </xdr:to>
    <xdr:grpSp>
      <xdr:nvGrpSpPr>
        <xdr:cNvPr id="89" name="sun">
          <a:hlinkClick xmlns:r="http://schemas.openxmlformats.org/officeDocument/2006/relationships" r:id="rId12"/>
          <a:extLst>
            <a:ext uri="{FF2B5EF4-FFF2-40B4-BE49-F238E27FC236}">
              <a16:creationId xmlns:a16="http://schemas.microsoft.com/office/drawing/2014/main" id="{550955DF-5E19-4341-BD62-8B16599C6B68}"/>
            </a:ext>
          </a:extLst>
        </xdr:cNvPr>
        <xdr:cNvGrpSpPr/>
      </xdr:nvGrpSpPr>
      <xdr:grpSpPr>
        <a:xfrm>
          <a:off x="11526369" y="586740"/>
          <a:ext cx="259200" cy="255810"/>
          <a:chOff x="14630400" y="0"/>
          <a:chExt cx="1320905" cy="1291901"/>
        </a:xfrm>
        <a:effectLst/>
      </xdr:grpSpPr>
      <xdr:sp macro="" textlink="">
        <xdr:nvSpPr>
          <xdr:cNvPr id="90" name="Lights">
            <a:extLst>
              <a:ext uri="{FF2B5EF4-FFF2-40B4-BE49-F238E27FC236}">
                <a16:creationId xmlns:a16="http://schemas.microsoft.com/office/drawing/2014/main" id="{6CE46A62-8EA9-4B37-4DCA-77947D96CAE3}"/>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1" name="Sun">
            <a:extLst>
              <a:ext uri="{FF2B5EF4-FFF2-40B4-BE49-F238E27FC236}">
                <a16:creationId xmlns:a16="http://schemas.microsoft.com/office/drawing/2014/main" id="{801B4CEE-C0D5-783B-4CF5-094ACECBF028}"/>
              </a:ext>
            </a:extLst>
          </xdr:cNvPr>
          <xdr:cNvSpPr/>
        </xdr:nvSpPr>
        <xdr:spPr>
          <a:xfrm rot="18324177">
            <a:off x="14829219" y="190232"/>
            <a:ext cx="942318" cy="930488"/>
          </a:xfrm>
          <a:prstGeom prst="ellipse">
            <a:avLst/>
          </a:pr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430530</xdr:colOff>
      <xdr:row>23</xdr:row>
      <xdr:rowOff>167640</xdr:rowOff>
    </xdr:from>
    <xdr:to>
      <xdr:col>6</xdr:col>
      <xdr:colOff>156210</xdr:colOff>
      <xdr:row>36</xdr:row>
      <xdr:rowOff>167640</xdr:rowOff>
    </xdr:to>
    <xdr:sp macro="" textlink="">
      <xdr:nvSpPr>
        <xdr:cNvPr id="2" name="Rectangle: Rounded Corners 1">
          <a:extLst>
            <a:ext uri="{FF2B5EF4-FFF2-40B4-BE49-F238E27FC236}">
              <a16:creationId xmlns:a16="http://schemas.microsoft.com/office/drawing/2014/main" id="{278DF03E-F8B1-4412-9E3F-C40322CED974}"/>
            </a:ext>
          </a:extLst>
        </xdr:cNvPr>
        <xdr:cNvSpPr/>
      </xdr:nvSpPr>
      <xdr:spPr>
        <a:xfrm>
          <a:off x="430530" y="5303520"/>
          <a:ext cx="3383280" cy="2377440"/>
        </a:xfrm>
        <a:prstGeom prst="roundRect">
          <a:avLst>
            <a:gd name="adj" fmla="val 8975"/>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411480</xdr:colOff>
      <xdr:row>2</xdr:row>
      <xdr:rowOff>30480</xdr:rowOff>
    </xdr:from>
    <xdr:to>
      <xdr:col>6</xdr:col>
      <xdr:colOff>137160</xdr:colOff>
      <xdr:row>22</xdr:row>
      <xdr:rowOff>30480</xdr:rowOff>
    </xdr:to>
    <xdr:sp macro="" textlink="">
      <xdr:nvSpPr>
        <xdr:cNvPr id="3" name="Rectangle: Rounded Corners 2">
          <a:extLst>
            <a:ext uri="{FF2B5EF4-FFF2-40B4-BE49-F238E27FC236}">
              <a16:creationId xmlns:a16="http://schemas.microsoft.com/office/drawing/2014/main" id="{C784AAB3-4DDD-4706-A06E-08FE84F408C4}"/>
            </a:ext>
          </a:extLst>
        </xdr:cNvPr>
        <xdr:cNvSpPr/>
      </xdr:nvSpPr>
      <xdr:spPr>
        <a:xfrm>
          <a:off x="411480" y="1325880"/>
          <a:ext cx="3383280" cy="3657600"/>
        </a:xfrm>
        <a:prstGeom prst="roundRect">
          <a:avLst>
            <a:gd name="adj" fmla="val 5007"/>
          </a:avLst>
        </a:prstGeom>
        <a:solidFill>
          <a:schemeClr val="lt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6</xdr:col>
      <xdr:colOff>476250</xdr:colOff>
      <xdr:row>23</xdr:row>
      <xdr:rowOff>167640</xdr:rowOff>
    </xdr:from>
    <xdr:to>
      <xdr:col>16</xdr:col>
      <xdr:colOff>598170</xdr:colOff>
      <xdr:row>36</xdr:row>
      <xdr:rowOff>167640</xdr:rowOff>
    </xdr:to>
    <xdr:sp macro="" textlink="">
      <xdr:nvSpPr>
        <xdr:cNvPr id="4" name="Rectangle: Rounded Corners 3">
          <a:extLst>
            <a:ext uri="{FF2B5EF4-FFF2-40B4-BE49-F238E27FC236}">
              <a16:creationId xmlns:a16="http://schemas.microsoft.com/office/drawing/2014/main" id="{0776115B-0A8A-45F4-AFED-4D1595BBF529}"/>
            </a:ext>
          </a:extLst>
        </xdr:cNvPr>
        <xdr:cNvSpPr/>
      </xdr:nvSpPr>
      <xdr:spPr>
        <a:xfrm>
          <a:off x="4133850" y="5303520"/>
          <a:ext cx="6217920" cy="2377440"/>
        </a:xfrm>
        <a:prstGeom prst="roundRect">
          <a:avLst>
            <a:gd name="adj" fmla="val 8975"/>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6</xdr:col>
      <xdr:colOff>468630</xdr:colOff>
      <xdr:row>2</xdr:row>
      <xdr:rowOff>30480</xdr:rowOff>
    </xdr:from>
    <xdr:to>
      <xdr:col>16</xdr:col>
      <xdr:colOff>590550</xdr:colOff>
      <xdr:row>22</xdr:row>
      <xdr:rowOff>30480</xdr:rowOff>
    </xdr:to>
    <xdr:sp macro="" textlink="">
      <xdr:nvSpPr>
        <xdr:cNvPr id="5" name="Rectangle: Rounded Corners 4">
          <a:extLst>
            <a:ext uri="{FF2B5EF4-FFF2-40B4-BE49-F238E27FC236}">
              <a16:creationId xmlns:a16="http://schemas.microsoft.com/office/drawing/2014/main" id="{633DCCA0-3F44-463A-94C9-076BD4E4DF40}"/>
            </a:ext>
          </a:extLst>
        </xdr:cNvPr>
        <xdr:cNvSpPr/>
      </xdr:nvSpPr>
      <xdr:spPr>
        <a:xfrm>
          <a:off x="4126230" y="1325880"/>
          <a:ext cx="6217920" cy="3657600"/>
        </a:xfrm>
        <a:prstGeom prst="roundRect">
          <a:avLst>
            <a:gd name="adj" fmla="val 5007"/>
          </a:avLst>
        </a:prstGeom>
        <a:solidFill>
          <a:schemeClr val="lt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320040</xdr:colOff>
      <xdr:row>23</xdr:row>
      <xdr:rowOff>167640</xdr:rowOff>
    </xdr:from>
    <xdr:to>
      <xdr:col>23</xdr:col>
      <xdr:colOff>45720</xdr:colOff>
      <xdr:row>36</xdr:row>
      <xdr:rowOff>167640</xdr:rowOff>
    </xdr:to>
    <xdr:sp macro="" textlink="">
      <xdr:nvSpPr>
        <xdr:cNvPr id="6" name="Rectangle: Rounded Corners 5">
          <a:extLst>
            <a:ext uri="{FF2B5EF4-FFF2-40B4-BE49-F238E27FC236}">
              <a16:creationId xmlns:a16="http://schemas.microsoft.com/office/drawing/2014/main" id="{34BC91C9-EAA9-4763-BB41-BB335D557DC5}"/>
            </a:ext>
          </a:extLst>
        </xdr:cNvPr>
        <xdr:cNvSpPr/>
      </xdr:nvSpPr>
      <xdr:spPr>
        <a:xfrm>
          <a:off x="10683240" y="5303520"/>
          <a:ext cx="3383280" cy="2377440"/>
        </a:xfrm>
        <a:prstGeom prst="roundRect">
          <a:avLst>
            <a:gd name="adj" fmla="val 8975"/>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312420</xdr:colOff>
      <xdr:row>2</xdr:row>
      <xdr:rowOff>30480</xdr:rowOff>
    </xdr:from>
    <xdr:to>
      <xdr:col>23</xdr:col>
      <xdr:colOff>38100</xdr:colOff>
      <xdr:row>22</xdr:row>
      <xdr:rowOff>30480</xdr:rowOff>
    </xdr:to>
    <xdr:sp macro="" textlink="">
      <xdr:nvSpPr>
        <xdr:cNvPr id="7" name="Rectangle: Rounded Corners 6">
          <a:extLst>
            <a:ext uri="{FF2B5EF4-FFF2-40B4-BE49-F238E27FC236}">
              <a16:creationId xmlns:a16="http://schemas.microsoft.com/office/drawing/2014/main" id="{F5808CF2-F84E-4A0E-813E-1C3BA7E9696A}"/>
            </a:ext>
          </a:extLst>
        </xdr:cNvPr>
        <xdr:cNvSpPr/>
      </xdr:nvSpPr>
      <xdr:spPr>
        <a:xfrm>
          <a:off x="10675620" y="1325880"/>
          <a:ext cx="3383280" cy="3725333"/>
        </a:xfrm>
        <a:prstGeom prst="roundRect">
          <a:avLst>
            <a:gd name="adj" fmla="val 5007"/>
          </a:avLst>
        </a:prstGeom>
        <a:solidFill>
          <a:schemeClr val="lt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0</xdr:colOff>
      <xdr:row>5</xdr:row>
      <xdr:rowOff>129540</xdr:rowOff>
    </xdr:from>
    <xdr:to>
      <xdr:col>3</xdr:col>
      <xdr:colOff>243840</xdr:colOff>
      <xdr:row>13</xdr:row>
      <xdr:rowOff>38100</xdr:rowOff>
    </xdr:to>
    <xdr:graphicFrame macro="">
      <xdr:nvGraphicFramePr>
        <xdr:cNvPr id="8" name="Chart 7">
          <a:extLst>
            <a:ext uri="{FF2B5EF4-FFF2-40B4-BE49-F238E27FC236}">
              <a16:creationId xmlns:a16="http://schemas.microsoft.com/office/drawing/2014/main" id="{B4877F1D-5A40-4190-BF2A-29CE9D827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335280</xdr:colOff>
      <xdr:row>5</xdr:row>
      <xdr:rowOff>129540</xdr:rowOff>
    </xdr:from>
    <xdr:to>
      <xdr:col>5</xdr:col>
      <xdr:colOff>579120</xdr:colOff>
      <xdr:row>13</xdr:row>
      <xdr:rowOff>38100</xdr:rowOff>
    </xdr:to>
    <xdr:graphicFrame macro="">
      <xdr:nvGraphicFramePr>
        <xdr:cNvPr id="9" name="Chart 8">
          <a:extLst>
            <a:ext uri="{FF2B5EF4-FFF2-40B4-BE49-F238E27FC236}">
              <a16:creationId xmlns:a16="http://schemas.microsoft.com/office/drawing/2014/main" id="{9728E3BC-1DA6-456F-83DD-878D648BA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13</xdr:row>
      <xdr:rowOff>106680</xdr:rowOff>
    </xdr:from>
    <xdr:to>
      <xdr:col>3</xdr:col>
      <xdr:colOff>243840</xdr:colOff>
      <xdr:row>21</xdr:row>
      <xdr:rowOff>15240</xdr:rowOff>
    </xdr:to>
    <xdr:graphicFrame macro="">
      <xdr:nvGraphicFramePr>
        <xdr:cNvPr id="10" name="Chart 9">
          <a:extLst>
            <a:ext uri="{FF2B5EF4-FFF2-40B4-BE49-F238E27FC236}">
              <a16:creationId xmlns:a16="http://schemas.microsoft.com/office/drawing/2014/main" id="{4849311D-9612-4032-9AB4-AD6FC3659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335280</xdr:colOff>
      <xdr:row>13</xdr:row>
      <xdr:rowOff>106680</xdr:rowOff>
    </xdr:from>
    <xdr:to>
      <xdr:col>5</xdr:col>
      <xdr:colOff>579120</xdr:colOff>
      <xdr:row>21</xdr:row>
      <xdr:rowOff>15240</xdr:rowOff>
    </xdr:to>
    <xdr:graphicFrame macro="">
      <xdr:nvGraphicFramePr>
        <xdr:cNvPr id="11" name="Chart 10">
          <a:extLst>
            <a:ext uri="{FF2B5EF4-FFF2-40B4-BE49-F238E27FC236}">
              <a16:creationId xmlns:a16="http://schemas.microsoft.com/office/drawing/2014/main" id="{1741EB77-4D5B-45D6-BFB0-5CD9D06EF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288951</xdr:colOff>
      <xdr:row>7</xdr:row>
      <xdr:rowOff>159639</xdr:rowOff>
    </xdr:from>
    <xdr:to>
      <xdr:col>2</xdr:col>
      <xdr:colOff>564490</xdr:colOff>
      <xdr:row>9</xdr:row>
      <xdr:rowOff>137541</xdr:rowOff>
    </xdr:to>
    <xdr:sp macro="" textlink="Processing!A4">
      <xdr:nvSpPr>
        <xdr:cNvPr id="13" name="TextBox 12">
          <a:extLst>
            <a:ext uri="{FF2B5EF4-FFF2-40B4-BE49-F238E27FC236}">
              <a16:creationId xmlns:a16="http://schemas.microsoft.com/office/drawing/2014/main" id="{84D2D325-228B-452B-93B2-F33698C4EA67}"/>
            </a:ext>
          </a:extLst>
        </xdr:cNvPr>
        <xdr:cNvSpPr txBox="1"/>
      </xdr:nvSpPr>
      <xdr:spPr>
        <a:xfrm>
          <a:off x="898551" y="236943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135F59-47B1-4CCF-99D4-7D3AC18F23D5}" type="TxLink">
            <a:rPr lang="en-US" sz="2000" b="0" i="0" u="none" strike="noStrike">
              <a:solidFill>
                <a:schemeClr val="tx1">
                  <a:lumMod val="75000"/>
                  <a:lumOff val="25000"/>
                </a:schemeClr>
              </a:solidFill>
              <a:latin typeface="Calibri Light" panose="020F0302020204030204" pitchFamily="34" charset="0"/>
              <a:ea typeface="+mn-ea"/>
              <a:cs typeface="Calibri Light" panose="020F0302020204030204" pitchFamily="34" charset="0"/>
            </a:rPr>
            <a:pPr marL="0" indent="0" algn="ctr"/>
            <a:t>89%</a:t>
          </a:fld>
          <a:endParaRPr lang="ru-RU" sz="2000" b="0" i="0" u="none" strike="noStrike">
            <a:solidFill>
              <a:schemeClr val="tx1">
                <a:lumMod val="75000"/>
                <a:lumOff val="2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4</xdr:col>
      <xdr:colOff>18441</xdr:colOff>
      <xdr:row>7</xdr:row>
      <xdr:rowOff>159639</xdr:rowOff>
    </xdr:from>
    <xdr:to>
      <xdr:col>5</xdr:col>
      <xdr:colOff>293980</xdr:colOff>
      <xdr:row>9</xdr:row>
      <xdr:rowOff>137541</xdr:rowOff>
    </xdr:to>
    <xdr:sp macro="" textlink="Processing!A6">
      <xdr:nvSpPr>
        <xdr:cNvPr id="14" name="TextBox 13">
          <a:extLst>
            <a:ext uri="{FF2B5EF4-FFF2-40B4-BE49-F238E27FC236}">
              <a16:creationId xmlns:a16="http://schemas.microsoft.com/office/drawing/2014/main" id="{65B2341C-1300-4F00-8291-57A176696984}"/>
            </a:ext>
          </a:extLst>
        </xdr:cNvPr>
        <xdr:cNvSpPr txBox="1"/>
      </xdr:nvSpPr>
      <xdr:spPr>
        <a:xfrm>
          <a:off x="2456841" y="236943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3D180A-EEF9-4911-B833-6D3DDD470A8F}" type="TxLink">
            <a:rPr lang="en-US" sz="2000" b="0" i="0" u="none" strike="noStrike">
              <a:solidFill>
                <a:schemeClr val="tx1">
                  <a:lumMod val="75000"/>
                  <a:lumOff val="25000"/>
                </a:schemeClr>
              </a:solidFill>
              <a:latin typeface="Calibri Light" panose="020F0302020204030204" pitchFamily="34" charset="0"/>
              <a:ea typeface="+mn-ea"/>
              <a:cs typeface="Calibri Light" panose="020F0302020204030204" pitchFamily="34" charset="0"/>
            </a:rPr>
            <a:pPr marL="0" indent="0" algn="ctr"/>
            <a:t>65%</a:t>
          </a:fld>
          <a:endParaRPr lang="ru-RU" sz="2000" b="0" i="0" u="none" strike="noStrike">
            <a:solidFill>
              <a:schemeClr val="tx1">
                <a:lumMod val="75000"/>
                <a:lumOff val="2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4</xdr:col>
      <xdr:colOff>18441</xdr:colOff>
      <xdr:row>15</xdr:row>
      <xdr:rowOff>129159</xdr:rowOff>
    </xdr:from>
    <xdr:to>
      <xdr:col>5</xdr:col>
      <xdr:colOff>293980</xdr:colOff>
      <xdr:row>17</xdr:row>
      <xdr:rowOff>107061</xdr:rowOff>
    </xdr:to>
    <xdr:sp macro="" textlink="Processing!A10">
      <xdr:nvSpPr>
        <xdr:cNvPr id="15" name="TextBox 14">
          <a:extLst>
            <a:ext uri="{FF2B5EF4-FFF2-40B4-BE49-F238E27FC236}">
              <a16:creationId xmlns:a16="http://schemas.microsoft.com/office/drawing/2014/main" id="{55BBD76D-6D6D-42EF-8C0E-E9CD4FB48E59}"/>
            </a:ext>
          </a:extLst>
        </xdr:cNvPr>
        <xdr:cNvSpPr txBox="1"/>
      </xdr:nvSpPr>
      <xdr:spPr>
        <a:xfrm>
          <a:off x="2456841" y="380199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B452F3E-44ED-472A-9D43-5E75E517D0A6}" type="TxLink">
            <a:rPr lang="en-US" sz="2000" b="0" i="0" u="none" strike="noStrike">
              <a:solidFill>
                <a:schemeClr val="tx1">
                  <a:lumMod val="75000"/>
                  <a:lumOff val="25000"/>
                </a:schemeClr>
              </a:solidFill>
              <a:latin typeface="Calibri Light" panose="020F0302020204030204" pitchFamily="34" charset="0"/>
              <a:ea typeface="+mn-ea"/>
              <a:cs typeface="Calibri Light" panose="020F0302020204030204" pitchFamily="34" charset="0"/>
            </a:rPr>
            <a:pPr marL="0" indent="0" algn="ctr"/>
            <a:t>64%</a:t>
          </a:fld>
          <a:endParaRPr lang="ru-RU" sz="2000" b="0" i="0" u="none" strike="noStrike">
            <a:solidFill>
              <a:schemeClr val="tx1">
                <a:lumMod val="75000"/>
                <a:lumOff val="2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1</xdr:col>
      <xdr:colOff>288951</xdr:colOff>
      <xdr:row>15</xdr:row>
      <xdr:rowOff>129159</xdr:rowOff>
    </xdr:from>
    <xdr:to>
      <xdr:col>2</xdr:col>
      <xdr:colOff>564490</xdr:colOff>
      <xdr:row>17</xdr:row>
      <xdr:rowOff>107061</xdr:rowOff>
    </xdr:to>
    <xdr:sp macro="" textlink="Processing!A8">
      <xdr:nvSpPr>
        <xdr:cNvPr id="16" name="TextBox 15">
          <a:extLst>
            <a:ext uri="{FF2B5EF4-FFF2-40B4-BE49-F238E27FC236}">
              <a16:creationId xmlns:a16="http://schemas.microsoft.com/office/drawing/2014/main" id="{3E2DD8CE-B8B8-4498-9276-76F6665A19A2}"/>
            </a:ext>
          </a:extLst>
        </xdr:cNvPr>
        <xdr:cNvSpPr txBox="1"/>
      </xdr:nvSpPr>
      <xdr:spPr>
        <a:xfrm>
          <a:off x="898551" y="380199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C5BB990-4C3D-47D7-9788-27FA2CD11E93}" type="TxLink">
            <a:rPr lang="en-US" sz="2000" b="0" i="0" u="none" strike="noStrike">
              <a:solidFill>
                <a:schemeClr val="tx1">
                  <a:lumMod val="75000"/>
                  <a:lumOff val="25000"/>
                </a:schemeClr>
              </a:solidFill>
              <a:latin typeface="Calibri Light" panose="020F0302020204030204" pitchFamily="34" charset="0"/>
              <a:ea typeface="+mn-ea"/>
              <a:cs typeface="Calibri Light" panose="020F0302020204030204" pitchFamily="34" charset="0"/>
            </a:rPr>
            <a:pPr marL="0" indent="0" algn="ctr"/>
            <a:t>60%</a:t>
          </a:fld>
          <a:endParaRPr lang="ru-RU" sz="2000" b="0" i="0" u="none" strike="noStrike">
            <a:solidFill>
              <a:schemeClr val="tx1">
                <a:lumMod val="75000"/>
                <a:lumOff val="25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18</xdr:col>
      <xdr:colOff>22860</xdr:colOff>
      <xdr:row>6</xdr:row>
      <xdr:rowOff>60960</xdr:rowOff>
    </xdr:from>
    <xdr:to>
      <xdr:col>20</xdr:col>
      <xdr:colOff>266700</xdr:colOff>
      <xdr:row>14</xdr:row>
      <xdr:rowOff>60960</xdr:rowOff>
    </xdr:to>
    <xdr:graphicFrame macro="">
      <xdr:nvGraphicFramePr>
        <xdr:cNvPr id="17" name="Chart 16">
          <a:extLst>
            <a:ext uri="{FF2B5EF4-FFF2-40B4-BE49-F238E27FC236}">
              <a16:creationId xmlns:a16="http://schemas.microsoft.com/office/drawing/2014/main" id="{2D3D64BA-256E-47B2-A918-36B42DB99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386715</xdr:colOff>
      <xdr:row>26</xdr:row>
      <xdr:rowOff>68580</xdr:rowOff>
    </xdr:from>
    <xdr:to>
      <xdr:col>22</xdr:col>
      <xdr:colOff>512445</xdr:colOff>
      <xdr:row>33</xdr:row>
      <xdr:rowOff>133350</xdr:rowOff>
    </xdr:to>
    <xdr:graphicFrame macro="">
      <xdr:nvGraphicFramePr>
        <xdr:cNvPr id="18" name="Chart 17">
          <a:extLst>
            <a:ext uri="{FF2B5EF4-FFF2-40B4-BE49-F238E27FC236}">
              <a16:creationId xmlns:a16="http://schemas.microsoft.com/office/drawing/2014/main" id="{3AADE62E-9016-4AFC-8217-31218D0F0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434340</xdr:colOff>
      <xdr:row>14</xdr:row>
      <xdr:rowOff>129540</xdr:rowOff>
    </xdr:from>
    <xdr:to>
      <xdr:col>22</xdr:col>
      <xdr:colOff>533400</xdr:colOff>
      <xdr:row>21</xdr:row>
      <xdr:rowOff>160020</xdr:rowOff>
    </xdr:to>
    <xdr:graphicFrame macro="">
      <xdr:nvGraphicFramePr>
        <xdr:cNvPr id="19" name="Chart 18">
          <a:extLst>
            <a:ext uri="{FF2B5EF4-FFF2-40B4-BE49-F238E27FC236}">
              <a16:creationId xmlns:a16="http://schemas.microsoft.com/office/drawing/2014/main" id="{97CC5035-F486-4C75-9A94-5E35543F5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10858</xdr:colOff>
      <xdr:row>7</xdr:row>
      <xdr:rowOff>117566</xdr:rowOff>
    </xdr:from>
    <xdr:to>
      <xdr:col>21</xdr:col>
      <xdr:colOff>10858</xdr:colOff>
      <xdr:row>12</xdr:row>
      <xdr:rowOff>60960</xdr:rowOff>
    </xdr:to>
    <xdr:cxnSp macro="">
      <xdr:nvCxnSpPr>
        <xdr:cNvPr id="20" name="Straight Connector 19">
          <a:extLst>
            <a:ext uri="{FF2B5EF4-FFF2-40B4-BE49-F238E27FC236}">
              <a16:creationId xmlns:a16="http://schemas.microsoft.com/office/drawing/2014/main" id="{AA0CC84F-D9A2-405F-AA75-7D1BEA074CCB}"/>
            </a:ext>
          </a:extLst>
        </xdr:cNvPr>
        <xdr:cNvCxnSpPr/>
      </xdr:nvCxnSpPr>
      <xdr:spPr>
        <a:xfrm>
          <a:off x="12812458" y="2327366"/>
          <a:ext cx="0" cy="857794"/>
        </a:xfrm>
        <a:prstGeom prst="line">
          <a:avLst/>
        </a:prstGeom>
        <a:ln w="9525">
          <a:solidFill>
            <a:srgbClr val="FA2A7F">
              <a:alpha val="31000"/>
            </a:srgb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583882</xdr:colOff>
      <xdr:row>7</xdr:row>
      <xdr:rowOff>80011</xdr:rowOff>
    </xdr:from>
    <xdr:to>
      <xdr:col>21</xdr:col>
      <xdr:colOff>47434</xdr:colOff>
      <xdr:row>7</xdr:row>
      <xdr:rowOff>153163</xdr:rowOff>
    </xdr:to>
    <xdr:sp macro="" textlink="">
      <xdr:nvSpPr>
        <xdr:cNvPr id="21" name="Oval 20">
          <a:extLst>
            <a:ext uri="{FF2B5EF4-FFF2-40B4-BE49-F238E27FC236}">
              <a16:creationId xmlns:a16="http://schemas.microsoft.com/office/drawing/2014/main" id="{ED63B67A-F61E-431A-9E79-76B633386101}"/>
            </a:ext>
          </a:extLst>
        </xdr:cNvPr>
        <xdr:cNvSpPr/>
      </xdr:nvSpPr>
      <xdr:spPr>
        <a:xfrm>
          <a:off x="12775882" y="2289811"/>
          <a:ext cx="73152" cy="73152"/>
        </a:xfrm>
        <a:prstGeom prst="ellipse">
          <a:avLst/>
        </a:prstGeom>
        <a:solidFill>
          <a:schemeClr val="bg1"/>
        </a:solidFill>
        <a:ln w="12700">
          <a:solidFill>
            <a:srgbClr val="FA2A7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583882</xdr:colOff>
      <xdr:row>8</xdr:row>
      <xdr:rowOff>175805</xdr:rowOff>
    </xdr:from>
    <xdr:to>
      <xdr:col>21</xdr:col>
      <xdr:colOff>47434</xdr:colOff>
      <xdr:row>9</xdr:row>
      <xdr:rowOff>66077</xdr:rowOff>
    </xdr:to>
    <xdr:sp macro="" textlink="">
      <xdr:nvSpPr>
        <xdr:cNvPr id="22" name="Oval 21">
          <a:extLst>
            <a:ext uri="{FF2B5EF4-FFF2-40B4-BE49-F238E27FC236}">
              <a16:creationId xmlns:a16="http://schemas.microsoft.com/office/drawing/2014/main" id="{6B69EFAE-EEE3-478E-87EA-372634DEEB76}"/>
            </a:ext>
          </a:extLst>
        </xdr:cNvPr>
        <xdr:cNvSpPr/>
      </xdr:nvSpPr>
      <xdr:spPr>
        <a:xfrm>
          <a:off x="12775882" y="2568485"/>
          <a:ext cx="73152" cy="73152"/>
        </a:xfrm>
        <a:prstGeom prst="ellipse">
          <a:avLst/>
        </a:prstGeom>
        <a:solidFill>
          <a:schemeClr val="bg1"/>
        </a:solidFill>
        <a:ln w="12700">
          <a:solidFill>
            <a:srgbClr val="FA2A7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583882</xdr:colOff>
      <xdr:row>10</xdr:row>
      <xdr:rowOff>88719</xdr:rowOff>
    </xdr:from>
    <xdr:to>
      <xdr:col>21</xdr:col>
      <xdr:colOff>47434</xdr:colOff>
      <xdr:row>10</xdr:row>
      <xdr:rowOff>161871</xdr:rowOff>
    </xdr:to>
    <xdr:sp macro="" textlink="">
      <xdr:nvSpPr>
        <xdr:cNvPr id="23" name="Oval 22">
          <a:extLst>
            <a:ext uri="{FF2B5EF4-FFF2-40B4-BE49-F238E27FC236}">
              <a16:creationId xmlns:a16="http://schemas.microsoft.com/office/drawing/2014/main" id="{0FFF680B-E1EE-4A8C-A6A0-738C3C978374}"/>
            </a:ext>
          </a:extLst>
        </xdr:cNvPr>
        <xdr:cNvSpPr/>
      </xdr:nvSpPr>
      <xdr:spPr>
        <a:xfrm>
          <a:off x="12775882" y="2847159"/>
          <a:ext cx="73152" cy="73152"/>
        </a:xfrm>
        <a:prstGeom prst="ellipse">
          <a:avLst/>
        </a:prstGeom>
        <a:solidFill>
          <a:schemeClr val="bg1"/>
        </a:solidFill>
        <a:ln w="12700">
          <a:solidFill>
            <a:srgbClr val="FA2A7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583882</xdr:colOff>
      <xdr:row>12</xdr:row>
      <xdr:rowOff>1634</xdr:rowOff>
    </xdr:from>
    <xdr:to>
      <xdr:col>21</xdr:col>
      <xdr:colOff>47434</xdr:colOff>
      <xdr:row>12</xdr:row>
      <xdr:rowOff>74786</xdr:rowOff>
    </xdr:to>
    <xdr:sp macro="" textlink="">
      <xdr:nvSpPr>
        <xdr:cNvPr id="24" name="Oval 23">
          <a:extLst>
            <a:ext uri="{FF2B5EF4-FFF2-40B4-BE49-F238E27FC236}">
              <a16:creationId xmlns:a16="http://schemas.microsoft.com/office/drawing/2014/main" id="{0AD0700F-1F73-4D93-A313-C81BEC0E5828}"/>
            </a:ext>
          </a:extLst>
        </xdr:cNvPr>
        <xdr:cNvSpPr/>
      </xdr:nvSpPr>
      <xdr:spPr>
        <a:xfrm>
          <a:off x="12775882" y="3125834"/>
          <a:ext cx="73152" cy="73152"/>
        </a:xfrm>
        <a:prstGeom prst="ellipse">
          <a:avLst/>
        </a:prstGeom>
        <a:solidFill>
          <a:schemeClr val="bg1"/>
        </a:solidFill>
        <a:ln w="12700">
          <a:solidFill>
            <a:srgbClr val="FA2A7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140970</xdr:colOff>
      <xdr:row>2</xdr:row>
      <xdr:rowOff>144780</xdr:rowOff>
    </xdr:from>
    <xdr:to>
      <xdr:col>16</xdr:col>
      <xdr:colOff>369570</xdr:colOff>
      <xdr:row>21</xdr:row>
      <xdr:rowOff>60960</xdr:rowOff>
    </xdr:to>
    <xdr:graphicFrame macro="">
      <xdr:nvGraphicFramePr>
        <xdr:cNvPr id="25" name="Chart 24">
          <a:extLst>
            <a:ext uri="{FF2B5EF4-FFF2-40B4-BE49-F238E27FC236}">
              <a16:creationId xmlns:a16="http://schemas.microsoft.com/office/drawing/2014/main" id="{4E7106B5-7DCD-4056-AA5D-D8733974D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140970</xdr:colOff>
      <xdr:row>24</xdr:row>
      <xdr:rowOff>38099</xdr:rowOff>
    </xdr:from>
    <xdr:to>
      <xdr:col>16</xdr:col>
      <xdr:colOff>369570</xdr:colOff>
      <xdr:row>36</xdr:row>
      <xdr:rowOff>123825</xdr:rowOff>
    </xdr:to>
    <xdr:graphicFrame macro="">
      <xdr:nvGraphicFramePr>
        <xdr:cNvPr id="26" name="Chart 25">
          <a:extLst>
            <a:ext uri="{FF2B5EF4-FFF2-40B4-BE49-F238E27FC236}">
              <a16:creationId xmlns:a16="http://schemas.microsoft.com/office/drawing/2014/main" id="{25BEF3CA-253E-4A82-80C6-5F4A9213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123825</xdr:colOff>
      <xdr:row>27</xdr:row>
      <xdr:rowOff>64332</xdr:rowOff>
    </xdr:from>
    <xdr:to>
      <xdr:col>20</xdr:col>
      <xdr:colOff>459105</xdr:colOff>
      <xdr:row>33</xdr:row>
      <xdr:rowOff>76200</xdr:rowOff>
    </xdr:to>
    <xdr:graphicFrame macro="">
      <xdr:nvGraphicFramePr>
        <xdr:cNvPr id="27" name="Chart 26">
          <a:extLst>
            <a:ext uri="{FF2B5EF4-FFF2-40B4-BE49-F238E27FC236}">
              <a16:creationId xmlns:a16="http://schemas.microsoft.com/office/drawing/2014/main" id="{5F9F5B93-F058-4A43-9328-0A184E970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1126</xdr:colOff>
      <xdr:row>28</xdr:row>
      <xdr:rowOff>157658</xdr:rowOff>
    </xdr:from>
    <xdr:to>
      <xdr:col>18</xdr:col>
      <xdr:colOff>160199</xdr:colOff>
      <xdr:row>29</xdr:row>
      <xdr:rowOff>115614</xdr:rowOff>
    </xdr:to>
    <xdr:grpSp>
      <xdr:nvGrpSpPr>
        <xdr:cNvPr id="28" name="Group 27">
          <a:extLst>
            <a:ext uri="{FF2B5EF4-FFF2-40B4-BE49-F238E27FC236}">
              <a16:creationId xmlns:a16="http://schemas.microsoft.com/office/drawing/2014/main" id="{67BF6A6B-AD68-4735-8B41-8CC2BA898E10}"/>
            </a:ext>
          </a:extLst>
        </xdr:cNvPr>
        <xdr:cNvGrpSpPr/>
      </xdr:nvGrpSpPr>
      <xdr:grpSpPr>
        <a:xfrm>
          <a:off x="10669126" y="6412408"/>
          <a:ext cx="159073" cy="148456"/>
          <a:chOff x="9220200" y="8658225"/>
          <a:chExt cx="762000" cy="666750"/>
        </a:xfrm>
        <a:solidFill>
          <a:srgbClr val="3CD964"/>
        </a:solidFill>
      </xdr:grpSpPr>
      <xdr:sp macro="" textlink="">
        <xdr:nvSpPr>
          <xdr:cNvPr id="29" name="Freeform: Shape 28">
            <a:extLst>
              <a:ext uri="{FF2B5EF4-FFF2-40B4-BE49-F238E27FC236}">
                <a16:creationId xmlns:a16="http://schemas.microsoft.com/office/drawing/2014/main" id="{02085975-C60B-A183-3C11-295BD18AF5F2}"/>
              </a:ext>
            </a:extLst>
          </xdr:cNvPr>
          <xdr:cNvSpPr/>
        </xdr:nvSpPr>
        <xdr:spPr>
          <a:xfrm>
            <a:off x="9458325" y="8658225"/>
            <a:ext cx="523875" cy="666750"/>
          </a:xfrm>
          <a:custGeom>
            <a:avLst/>
            <a:gdLst>
              <a:gd name="connsiteX0" fmla="*/ 523875 w 523875"/>
              <a:gd name="connsiteY0" fmla="*/ 323850 h 666750"/>
              <a:gd name="connsiteX1" fmla="*/ 466725 w 523875"/>
              <a:gd name="connsiteY1" fmla="*/ 266700 h 666750"/>
              <a:gd name="connsiteX2" fmla="*/ 285750 w 523875"/>
              <a:gd name="connsiteY2" fmla="*/ 266700 h 666750"/>
              <a:gd name="connsiteX3" fmla="*/ 257175 w 523875"/>
              <a:gd name="connsiteY3" fmla="*/ 239077 h 666750"/>
              <a:gd name="connsiteX4" fmla="*/ 285750 w 523875"/>
              <a:gd name="connsiteY4" fmla="*/ 57150 h 666750"/>
              <a:gd name="connsiteX5" fmla="*/ 228600 w 523875"/>
              <a:gd name="connsiteY5" fmla="*/ 0 h 666750"/>
              <a:gd name="connsiteX6" fmla="*/ 171450 w 523875"/>
              <a:gd name="connsiteY6" fmla="*/ 57150 h 666750"/>
              <a:gd name="connsiteX7" fmla="*/ 0 w 523875"/>
              <a:gd name="connsiteY7" fmla="*/ 285750 h 666750"/>
              <a:gd name="connsiteX8" fmla="*/ 0 w 523875"/>
              <a:gd name="connsiteY8" fmla="*/ 590550 h 666750"/>
              <a:gd name="connsiteX9" fmla="*/ 200025 w 523875"/>
              <a:gd name="connsiteY9" fmla="*/ 666750 h 666750"/>
              <a:gd name="connsiteX10" fmla="*/ 371475 w 523875"/>
              <a:gd name="connsiteY10" fmla="*/ 666750 h 666750"/>
              <a:gd name="connsiteX11" fmla="*/ 428625 w 523875"/>
              <a:gd name="connsiteY11" fmla="*/ 609600 h 666750"/>
              <a:gd name="connsiteX12" fmla="*/ 413385 w 523875"/>
              <a:gd name="connsiteY12" fmla="*/ 571500 h 666750"/>
              <a:gd name="connsiteX13" fmla="*/ 419100 w 523875"/>
              <a:gd name="connsiteY13" fmla="*/ 571500 h 666750"/>
              <a:gd name="connsiteX14" fmla="*/ 476250 w 523875"/>
              <a:gd name="connsiteY14" fmla="*/ 514350 h 666750"/>
              <a:gd name="connsiteX15" fmla="*/ 460058 w 523875"/>
              <a:gd name="connsiteY15" fmla="*/ 474345 h 666750"/>
              <a:gd name="connsiteX16" fmla="*/ 504825 w 523875"/>
              <a:gd name="connsiteY16" fmla="*/ 419100 h 666750"/>
              <a:gd name="connsiteX17" fmla="*/ 486728 w 523875"/>
              <a:gd name="connsiteY17" fmla="*/ 377190 h 666750"/>
              <a:gd name="connsiteX18" fmla="*/ 523875 w 523875"/>
              <a:gd name="connsiteY18" fmla="*/ 323850 h 666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523875" h="666750">
                <a:moveTo>
                  <a:pt x="523875" y="323850"/>
                </a:moveTo>
                <a:cubicBezTo>
                  <a:pt x="523875" y="292418"/>
                  <a:pt x="498158" y="266700"/>
                  <a:pt x="466725" y="266700"/>
                </a:cubicBezTo>
                <a:lnTo>
                  <a:pt x="285750" y="266700"/>
                </a:lnTo>
                <a:cubicBezTo>
                  <a:pt x="270510" y="266700"/>
                  <a:pt x="258127" y="254318"/>
                  <a:pt x="257175" y="239077"/>
                </a:cubicBezTo>
                <a:cubicBezTo>
                  <a:pt x="258127" y="221933"/>
                  <a:pt x="285750" y="187643"/>
                  <a:pt x="285750" y="57150"/>
                </a:cubicBezTo>
                <a:cubicBezTo>
                  <a:pt x="285750" y="25717"/>
                  <a:pt x="260033" y="0"/>
                  <a:pt x="228600" y="0"/>
                </a:cubicBezTo>
                <a:cubicBezTo>
                  <a:pt x="197168" y="0"/>
                  <a:pt x="171450" y="25717"/>
                  <a:pt x="171450" y="57150"/>
                </a:cubicBezTo>
                <a:cubicBezTo>
                  <a:pt x="171450" y="201930"/>
                  <a:pt x="2857" y="283845"/>
                  <a:pt x="0" y="285750"/>
                </a:cubicBezTo>
                <a:lnTo>
                  <a:pt x="0" y="590550"/>
                </a:lnTo>
                <a:cubicBezTo>
                  <a:pt x="67627" y="590550"/>
                  <a:pt x="72390" y="666750"/>
                  <a:pt x="200025" y="666750"/>
                </a:cubicBezTo>
                <a:cubicBezTo>
                  <a:pt x="242888" y="666750"/>
                  <a:pt x="371475" y="666750"/>
                  <a:pt x="371475" y="666750"/>
                </a:cubicBezTo>
                <a:cubicBezTo>
                  <a:pt x="402908" y="666750"/>
                  <a:pt x="428625" y="641033"/>
                  <a:pt x="428625" y="609600"/>
                </a:cubicBezTo>
                <a:cubicBezTo>
                  <a:pt x="428625" y="594360"/>
                  <a:pt x="422910" y="581025"/>
                  <a:pt x="413385" y="571500"/>
                </a:cubicBezTo>
                <a:cubicBezTo>
                  <a:pt x="415290" y="571500"/>
                  <a:pt x="417195" y="571500"/>
                  <a:pt x="419100" y="571500"/>
                </a:cubicBezTo>
                <a:cubicBezTo>
                  <a:pt x="450533" y="571500"/>
                  <a:pt x="476250" y="545783"/>
                  <a:pt x="476250" y="514350"/>
                </a:cubicBezTo>
                <a:cubicBezTo>
                  <a:pt x="476250" y="499110"/>
                  <a:pt x="470535" y="484823"/>
                  <a:pt x="460058" y="474345"/>
                </a:cubicBezTo>
                <a:cubicBezTo>
                  <a:pt x="485775" y="468630"/>
                  <a:pt x="504825" y="445770"/>
                  <a:pt x="504825" y="419100"/>
                </a:cubicBezTo>
                <a:cubicBezTo>
                  <a:pt x="504825" y="402908"/>
                  <a:pt x="498158" y="387668"/>
                  <a:pt x="486728" y="377190"/>
                </a:cubicBezTo>
                <a:cubicBezTo>
                  <a:pt x="508635" y="369570"/>
                  <a:pt x="523875" y="348615"/>
                  <a:pt x="523875" y="323850"/>
                </a:cubicBezTo>
                <a:close/>
              </a:path>
            </a:pathLst>
          </a:custGeom>
          <a:grpFill/>
          <a:ln w="9525" cap="flat">
            <a:noFill/>
            <a:prstDash val="solid"/>
            <a:miter/>
          </a:ln>
        </xdr:spPr>
        <xdr:txBody>
          <a:bodyPr rtlCol="0" anchor="ctr"/>
          <a:lstStyle/>
          <a:p>
            <a:endParaRPr lang="ru-RU">
              <a:solidFill>
                <a:srgbClr val="3CD964"/>
              </a:solidFill>
            </a:endParaRPr>
          </a:p>
        </xdr:txBody>
      </xdr:sp>
      <xdr:sp macro="" textlink="">
        <xdr:nvSpPr>
          <xdr:cNvPr id="30" name="Freeform: Shape 29">
            <a:extLst>
              <a:ext uri="{FF2B5EF4-FFF2-40B4-BE49-F238E27FC236}">
                <a16:creationId xmlns:a16="http://schemas.microsoft.com/office/drawing/2014/main" id="{E11B4ADA-8A3C-44FE-0B59-56CC0CD1B721}"/>
              </a:ext>
            </a:extLst>
          </xdr:cNvPr>
          <xdr:cNvSpPr/>
        </xdr:nvSpPr>
        <xdr:spPr>
          <a:xfrm>
            <a:off x="9220200" y="8896350"/>
            <a:ext cx="180975" cy="400050"/>
          </a:xfrm>
          <a:custGeom>
            <a:avLst/>
            <a:gdLst>
              <a:gd name="connsiteX0" fmla="*/ 142875 w 180975"/>
              <a:gd name="connsiteY0" fmla="*/ 0 h 400050"/>
              <a:gd name="connsiteX1" fmla="*/ 0 w 180975"/>
              <a:gd name="connsiteY1" fmla="*/ 0 h 400050"/>
              <a:gd name="connsiteX2" fmla="*/ 0 w 180975"/>
              <a:gd name="connsiteY2" fmla="*/ 400050 h 400050"/>
              <a:gd name="connsiteX3" fmla="*/ 142875 w 180975"/>
              <a:gd name="connsiteY3" fmla="*/ 400050 h 400050"/>
              <a:gd name="connsiteX4" fmla="*/ 180975 w 180975"/>
              <a:gd name="connsiteY4" fmla="*/ 361950 h 400050"/>
              <a:gd name="connsiteX5" fmla="*/ 180975 w 180975"/>
              <a:gd name="connsiteY5" fmla="*/ 38100 h 400050"/>
              <a:gd name="connsiteX6" fmla="*/ 142875 w 180975"/>
              <a:gd name="connsiteY6" fmla="*/ 0 h 400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80975" h="400050">
                <a:moveTo>
                  <a:pt x="142875" y="0"/>
                </a:moveTo>
                <a:lnTo>
                  <a:pt x="0" y="0"/>
                </a:lnTo>
                <a:lnTo>
                  <a:pt x="0" y="400050"/>
                </a:lnTo>
                <a:lnTo>
                  <a:pt x="142875" y="400050"/>
                </a:lnTo>
                <a:cubicBezTo>
                  <a:pt x="163830" y="400050"/>
                  <a:pt x="180975" y="382905"/>
                  <a:pt x="180975" y="361950"/>
                </a:cubicBezTo>
                <a:lnTo>
                  <a:pt x="180975" y="38100"/>
                </a:lnTo>
                <a:cubicBezTo>
                  <a:pt x="180975" y="17145"/>
                  <a:pt x="163830" y="0"/>
                  <a:pt x="142875" y="0"/>
                </a:cubicBezTo>
                <a:close/>
              </a:path>
            </a:pathLst>
          </a:custGeom>
          <a:grpFill/>
          <a:ln w="9525" cap="flat">
            <a:noFill/>
            <a:prstDash val="solid"/>
            <a:miter/>
          </a:ln>
        </xdr:spPr>
        <xdr:txBody>
          <a:bodyPr rtlCol="0" anchor="ctr"/>
          <a:lstStyle/>
          <a:p>
            <a:endParaRPr lang="ru-RU">
              <a:solidFill>
                <a:srgbClr val="3CD964"/>
              </a:solidFill>
            </a:endParaRPr>
          </a:p>
        </xdr:txBody>
      </xdr:sp>
    </xdr:grpSp>
    <xdr:clientData/>
  </xdr:twoCellAnchor>
  <xdr:twoCellAnchor>
    <xdr:from>
      <xdr:col>18</xdr:col>
      <xdr:colOff>1126</xdr:colOff>
      <xdr:row>31</xdr:row>
      <xdr:rowOff>21022</xdr:rowOff>
    </xdr:from>
    <xdr:to>
      <xdr:col>18</xdr:col>
      <xdr:colOff>160199</xdr:colOff>
      <xdr:row>31</xdr:row>
      <xdr:rowOff>162910</xdr:rowOff>
    </xdr:to>
    <xdr:grpSp>
      <xdr:nvGrpSpPr>
        <xdr:cNvPr id="31" name="Group 30">
          <a:extLst>
            <a:ext uri="{FF2B5EF4-FFF2-40B4-BE49-F238E27FC236}">
              <a16:creationId xmlns:a16="http://schemas.microsoft.com/office/drawing/2014/main" id="{589E2335-B8A1-4C72-8974-249034E067D2}"/>
            </a:ext>
          </a:extLst>
        </xdr:cNvPr>
        <xdr:cNvGrpSpPr/>
      </xdr:nvGrpSpPr>
      <xdr:grpSpPr>
        <a:xfrm flipH="1" flipV="1">
          <a:off x="10669126" y="6847272"/>
          <a:ext cx="159073" cy="141888"/>
          <a:chOff x="9220200" y="8658225"/>
          <a:chExt cx="762000" cy="666750"/>
        </a:xfrm>
        <a:solidFill>
          <a:srgbClr val="FA2A7F"/>
        </a:solidFill>
      </xdr:grpSpPr>
      <xdr:sp macro="" textlink="">
        <xdr:nvSpPr>
          <xdr:cNvPr id="32" name="Freeform: Shape 31">
            <a:extLst>
              <a:ext uri="{FF2B5EF4-FFF2-40B4-BE49-F238E27FC236}">
                <a16:creationId xmlns:a16="http://schemas.microsoft.com/office/drawing/2014/main" id="{FB68557B-038B-4CF4-507C-F09C3874E028}"/>
              </a:ext>
            </a:extLst>
          </xdr:cNvPr>
          <xdr:cNvSpPr/>
        </xdr:nvSpPr>
        <xdr:spPr>
          <a:xfrm>
            <a:off x="9458325" y="8658225"/>
            <a:ext cx="523875" cy="666750"/>
          </a:xfrm>
          <a:custGeom>
            <a:avLst/>
            <a:gdLst>
              <a:gd name="connsiteX0" fmla="*/ 523875 w 523875"/>
              <a:gd name="connsiteY0" fmla="*/ 323850 h 666750"/>
              <a:gd name="connsiteX1" fmla="*/ 466725 w 523875"/>
              <a:gd name="connsiteY1" fmla="*/ 266700 h 666750"/>
              <a:gd name="connsiteX2" fmla="*/ 285750 w 523875"/>
              <a:gd name="connsiteY2" fmla="*/ 266700 h 666750"/>
              <a:gd name="connsiteX3" fmla="*/ 257175 w 523875"/>
              <a:gd name="connsiteY3" fmla="*/ 239077 h 666750"/>
              <a:gd name="connsiteX4" fmla="*/ 285750 w 523875"/>
              <a:gd name="connsiteY4" fmla="*/ 57150 h 666750"/>
              <a:gd name="connsiteX5" fmla="*/ 228600 w 523875"/>
              <a:gd name="connsiteY5" fmla="*/ 0 h 666750"/>
              <a:gd name="connsiteX6" fmla="*/ 171450 w 523875"/>
              <a:gd name="connsiteY6" fmla="*/ 57150 h 666750"/>
              <a:gd name="connsiteX7" fmla="*/ 0 w 523875"/>
              <a:gd name="connsiteY7" fmla="*/ 285750 h 666750"/>
              <a:gd name="connsiteX8" fmla="*/ 0 w 523875"/>
              <a:gd name="connsiteY8" fmla="*/ 590550 h 666750"/>
              <a:gd name="connsiteX9" fmla="*/ 200025 w 523875"/>
              <a:gd name="connsiteY9" fmla="*/ 666750 h 666750"/>
              <a:gd name="connsiteX10" fmla="*/ 371475 w 523875"/>
              <a:gd name="connsiteY10" fmla="*/ 666750 h 666750"/>
              <a:gd name="connsiteX11" fmla="*/ 428625 w 523875"/>
              <a:gd name="connsiteY11" fmla="*/ 609600 h 666750"/>
              <a:gd name="connsiteX12" fmla="*/ 413385 w 523875"/>
              <a:gd name="connsiteY12" fmla="*/ 571500 h 666750"/>
              <a:gd name="connsiteX13" fmla="*/ 419100 w 523875"/>
              <a:gd name="connsiteY13" fmla="*/ 571500 h 666750"/>
              <a:gd name="connsiteX14" fmla="*/ 476250 w 523875"/>
              <a:gd name="connsiteY14" fmla="*/ 514350 h 666750"/>
              <a:gd name="connsiteX15" fmla="*/ 460058 w 523875"/>
              <a:gd name="connsiteY15" fmla="*/ 474345 h 666750"/>
              <a:gd name="connsiteX16" fmla="*/ 504825 w 523875"/>
              <a:gd name="connsiteY16" fmla="*/ 419100 h 666750"/>
              <a:gd name="connsiteX17" fmla="*/ 486728 w 523875"/>
              <a:gd name="connsiteY17" fmla="*/ 377190 h 666750"/>
              <a:gd name="connsiteX18" fmla="*/ 523875 w 523875"/>
              <a:gd name="connsiteY18" fmla="*/ 323850 h 666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523875" h="666750">
                <a:moveTo>
                  <a:pt x="523875" y="323850"/>
                </a:moveTo>
                <a:cubicBezTo>
                  <a:pt x="523875" y="292418"/>
                  <a:pt x="498158" y="266700"/>
                  <a:pt x="466725" y="266700"/>
                </a:cubicBezTo>
                <a:lnTo>
                  <a:pt x="285750" y="266700"/>
                </a:lnTo>
                <a:cubicBezTo>
                  <a:pt x="270510" y="266700"/>
                  <a:pt x="258127" y="254318"/>
                  <a:pt x="257175" y="239077"/>
                </a:cubicBezTo>
                <a:cubicBezTo>
                  <a:pt x="258127" y="221933"/>
                  <a:pt x="285750" y="187643"/>
                  <a:pt x="285750" y="57150"/>
                </a:cubicBezTo>
                <a:cubicBezTo>
                  <a:pt x="285750" y="25717"/>
                  <a:pt x="260033" y="0"/>
                  <a:pt x="228600" y="0"/>
                </a:cubicBezTo>
                <a:cubicBezTo>
                  <a:pt x="197168" y="0"/>
                  <a:pt x="171450" y="25717"/>
                  <a:pt x="171450" y="57150"/>
                </a:cubicBezTo>
                <a:cubicBezTo>
                  <a:pt x="171450" y="201930"/>
                  <a:pt x="2857" y="283845"/>
                  <a:pt x="0" y="285750"/>
                </a:cubicBezTo>
                <a:lnTo>
                  <a:pt x="0" y="590550"/>
                </a:lnTo>
                <a:cubicBezTo>
                  <a:pt x="67627" y="590550"/>
                  <a:pt x="72390" y="666750"/>
                  <a:pt x="200025" y="666750"/>
                </a:cubicBezTo>
                <a:cubicBezTo>
                  <a:pt x="242888" y="666750"/>
                  <a:pt x="371475" y="666750"/>
                  <a:pt x="371475" y="666750"/>
                </a:cubicBezTo>
                <a:cubicBezTo>
                  <a:pt x="402908" y="666750"/>
                  <a:pt x="428625" y="641033"/>
                  <a:pt x="428625" y="609600"/>
                </a:cubicBezTo>
                <a:cubicBezTo>
                  <a:pt x="428625" y="594360"/>
                  <a:pt x="422910" y="581025"/>
                  <a:pt x="413385" y="571500"/>
                </a:cubicBezTo>
                <a:cubicBezTo>
                  <a:pt x="415290" y="571500"/>
                  <a:pt x="417195" y="571500"/>
                  <a:pt x="419100" y="571500"/>
                </a:cubicBezTo>
                <a:cubicBezTo>
                  <a:pt x="450533" y="571500"/>
                  <a:pt x="476250" y="545783"/>
                  <a:pt x="476250" y="514350"/>
                </a:cubicBezTo>
                <a:cubicBezTo>
                  <a:pt x="476250" y="499110"/>
                  <a:pt x="470535" y="484823"/>
                  <a:pt x="460058" y="474345"/>
                </a:cubicBezTo>
                <a:cubicBezTo>
                  <a:pt x="485775" y="468630"/>
                  <a:pt x="504825" y="445770"/>
                  <a:pt x="504825" y="419100"/>
                </a:cubicBezTo>
                <a:cubicBezTo>
                  <a:pt x="504825" y="402908"/>
                  <a:pt x="498158" y="387668"/>
                  <a:pt x="486728" y="377190"/>
                </a:cubicBezTo>
                <a:cubicBezTo>
                  <a:pt x="508635" y="369570"/>
                  <a:pt x="523875" y="348615"/>
                  <a:pt x="523875" y="323850"/>
                </a:cubicBezTo>
                <a:close/>
              </a:path>
            </a:pathLst>
          </a:custGeom>
          <a:grpFill/>
          <a:ln w="9525" cap="flat">
            <a:noFill/>
            <a:prstDash val="solid"/>
            <a:miter/>
          </a:ln>
        </xdr:spPr>
        <xdr:txBody>
          <a:bodyPr rtlCol="0" anchor="ctr"/>
          <a:lstStyle/>
          <a:p>
            <a:endParaRPr lang="ru-RU"/>
          </a:p>
        </xdr:txBody>
      </xdr:sp>
      <xdr:sp macro="" textlink="">
        <xdr:nvSpPr>
          <xdr:cNvPr id="33" name="Freeform: Shape 32">
            <a:extLst>
              <a:ext uri="{FF2B5EF4-FFF2-40B4-BE49-F238E27FC236}">
                <a16:creationId xmlns:a16="http://schemas.microsoft.com/office/drawing/2014/main" id="{2B407B7F-7D96-F0C5-2ABC-43521CC10D8C}"/>
              </a:ext>
            </a:extLst>
          </xdr:cNvPr>
          <xdr:cNvSpPr/>
        </xdr:nvSpPr>
        <xdr:spPr>
          <a:xfrm>
            <a:off x="9220200" y="8896350"/>
            <a:ext cx="180975" cy="400050"/>
          </a:xfrm>
          <a:custGeom>
            <a:avLst/>
            <a:gdLst>
              <a:gd name="connsiteX0" fmla="*/ 142875 w 180975"/>
              <a:gd name="connsiteY0" fmla="*/ 0 h 400050"/>
              <a:gd name="connsiteX1" fmla="*/ 0 w 180975"/>
              <a:gd name="connsiteY1" fmla="*/ 0 h 400050"/>
              <a:gd name="connsiteX2" fmla="*/ 0 w 180975"/>
              <a:gd name="connsiteY2" fmla="*/ 400050 h 400050"/>
              <a:gd name="connsiteX3" fmla="*/ 142875 w 180975"/>
              <a:gd name="connsiteY3" fmla="*/ 400050 h 400050"/>
              <a:gd name="connsiteX4" fmla="*/ 180975 w 180975"/>
              <a:gd name="connsiteY4" fmla="*/ 361950 h 400050"/>
              <a:gd name="connsiteX5" fmla="*/ 180975 w 180975"/>
              <a:gd name="connsiteY5" fmla="*/ 38100 h 400050"/>
              <a:gd name="connsiteX6" fmla="*/ 142875 w 180975"/>
              <a:gd name="connsiteY6" fmla="*/ 0 h 400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80975" h="400050">
                <a:moveTo>
                  <a:pt x="142875" y="0"/>
                </a:moveTo>
                <a:lnTo>
                  <a:pt x="0" y="0"/>
                </a:lnTo>
                <a:lnTo>
                  <a:pt x="0" y="400050"/>
                </a:lnTo>
                <a:lnTo>
                  <a:pt x="142875" y="400050"/>
                </a:lnTo>
                <a:cubicBezTo>
                  <a:pt x="163830" y="400050"/>
                  <a:pt x="180975" y="382905"/>
                  <a:pt x="180975" y="361950"/>
                </a:cubicBezTo>
                <a:lnTo>
                  <a:pt x="180975" y="38100"/>
                </a:lnTo>
                <a:cubicBezTo>
                  <a:pt x="180975" y="17145"/>
                  <a:pt x="163830" y="0"/>
                  <a:pt x="142875" y="0"/>
                </a:cubicBezTo>
                <a:close/>
              </a:path>
            </a:pathLst>
          </a:custGeom>
          <a:grpFill/>
          <a:ln w="9525" cap="flat">
            <a:noFill/>
            <a:prstDash val="solid"/>
            <a:miter/>
          </a:ln>
        </xdr:spPr>
        <xdr:txBody>
          <a:bodyPr rtlCol="0" anchor="ctr"/>
          <a:lstStyle/>
          <a:p>
            <a:endParaRPr lang="ru-RU"/>
          </a:p>
        </xdr:txBody>
      </xdr:sp>
    </xdr:grpSp>
    <xdr:clientData/>
  </xdr:twoCellAnchor>
  <xdr:twoCellAnchor>
    <xdr:from>
      <xdr:col>0</xdr:col>
      <xdr:colOff>335279</xdr:colOff>
      <xdr:row>24</xdr:row>
      <xdr:rowOff>60156</xdr:rowOff>
    </xdr:from>
    <xdr:to>
      <xdr:col>6</xdr:col>
      <xdr:colOff>266700</xdr:colOff>
      <xdr:row>35</xdr:row>
      <xdr:rowOff>99059</xdr:rowOff>
    </xdr:to>
    <xdr:graphicFrame macro="">
      <xdr:nvGraphicFramePr>
        <xdr:cNvPr id="34" name="Chart 33">
          <a:extLst>
            <a:ext uri="{FF2B5EF4-FFF2-40B4-BE49-F238E27FC236}">
              <a16:creationId xmlns:a16="http://schemas.microsoft.com/office/drawing/2014/main" id="{5BA21EA4-7516-4E03-96D3-89E285C5E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311811</xdr:colOff>
      <xdr:row>10</xdr:row>
      <xdr:rowOff>30099</xdr:rowOff>
    </xdr:from>
    <xdr:to>
      <xdr:col>19</xdr:col>
      <xdr:colOff>587350</xdr:colOff>
      <xdr:row>12</xdr:row>
      <xdr:rowOff>8001</xdr:rowOff>
    </xdr:to>
    <xdr:sp macro="" textlink="">
      <xdr:nvSpPr>
        <xdr:cNvPr id="35" name="TextBox 34">
          <a:extLst>
            <a:ext uri="{FF2B5EF4-FFF2-40B4-BE49-F238E27FC236}">
              <a16:creationId xmlns:a16="http://schemas.microsoft.com/office/drawing/2014/main" id="{9B27BD03-9524-4612-AA19-BB8F6F50E554}"/>
            </a:ext>
          </a:extLst>
        </xdr:cNvPr>
        <xdr:cNvSpPr txBox="1"/>
      </xdr:nvSpPr>
      <xdr:spPr>
        <a:xfrm>
          <a:off x="11284611" y="278853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1400" b="0" i="0" u="none" strike="noStrike">
              <a:solidFill>
                <a:schemeClr val="bg1">
                  <a:lumMod val="50000"/>
                </a:schemeClr>
              </a:solidFill>
              <a:latin typeface="Calibri Light" panose="020F0302020204030204" pitchFamily="34" charset="0"/>
              <a:cs typeface="Calibri Light" panose="020F0302020204030204" pitchFamily="34" charset="0"/>
            </a:rPr>
            <a:t>KPI</a:t>
          </a:r>
          <a:endParaRPr lang="en-US" sz="1400" b="0" i="0" u="none" strike="noStrike">
            <a:solidFill>
              <a:schemeClr val="bg1">
                <a:lumMod val="50000"/>
              </a:schemeClr>
            </a:solidFill>
            <a:latin typeface="Calibri Light" panose="020F0302020204030204" pitchFamily="34" charset="0"/>
            <a:cs typeface="Calibri Light" panose="020F0302020204030204" pitchFamily="34" charset="0"/>
          </a:endParaRPr>
        </a:p>
      </xdr:txBody>
    </xdr:sp>
    <xdr:clientData/>
  </xdr:twoCellAnchor>
  <xdr:twoCellAnchor>
    <xdr:from>
      <xdr:col>21</xdr:col>
      <xdr:colOff>87630</xdr:colOff>
      <xdr:row>28</xdr:row>
      <xdr:rowOff>68199</xdr:rowOff>
    </xdr:from>
    <xdr:to>
      <xdr:col>22</xdr:col>
      <xdr:colOff>209550</xdr:colOff>
      <xdr:row>30</xdr:row>
      <xdr:rowOff>46101</xdr:rowOff>
    </xdr:to>
    <xdr:sp macro="" textlink="Processing!G8">
      <xdr:nvSpPr>
        <xdr:cNvPr id="36" name="TextBox 35">
          <a:extLst>
            <a:ext uri="{FF2B5EF4-FFF2-40B4-BE49-F238E27FC236}">
              <a16:creationId xmlns:a16="http://schemas.microsoft.com/office/drawing/2014/main" id="{BB080DF5-9060-410D-AF1E-030382E164DE}"/>
            </a:ext>
          </a:extLst>
        </xdr:cNvPr>
        <xdr:cNvSpPr txBox="1"/>
      </xdr:nvSpPr>
      <xdr:spPr>
        <a:xfrm>
          <a:off x="12889230" y="6118479"/>
          <a:ext cx="731520"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28EE84-A2F5-4E70-9507-3C44F5561061}" type="TxLink">
            <a:rPr lang="en-US" sz="1800" b="1" i="0" u="none" strike="noStrike">
              <a:solidFill>
                <a:srgbClr val="3CD964"/>
              </a:solidFill>
              <a:latin typeface="Aptos Narrow"/>
              <a:cs typeface="Calibri Light" panose="020F0302020204030204" pitchFamily="34" charset="0"/>
            </a:rPr>
            <a:pPr algn="ctr"/>
            <a:t>68%</a:t>
          </a:fld>
          <a:endParaRPr lang="en-US" sz="1800" b="1" i="0" u="none" strike="noStrike">
            <a:solidFill>
              <a:srgbClr val="3CD964"/>
            </a:solidFill>
            <a:latin typeface="Calibri Light" panose="020F0302020204030204" pitchFamily="34" charset="0"/>
            <a:cs typeface="Calibri Light" panose="020F0302020204030204" pitchFamily="34" charset="0"/>
          </a:endParaRPr>
        </a:p>
      </xdr:txBody>
    </xdr:sp>
    <xdr:clientData/>
  </xdr:twoCellAnchor>
  <xdr:twoCellAnchor>
    <xdr:from>
      <xdr:col>21</xdr:col>
      <xdr:colOff>80010</xdr:colOff>
      <xdr:row>30</xdr:row>
      <xdr:rowOff>60579</xdr:rowOff>
    </xdr:from>
    <xdr:to>
      <xdr:col>22</xdr:col>
      <xdr:colOff>201930</xdr:colOff>
      <xdr:row>32</xdr:row>
      <xdr:rowOff>38481</xdr:rowOff>
    </xdr:to>
    <xdr:sp macro="" textlink="Processing!H8">
      <xdr:nvSpPr>
        <xdr:cNvPr id="37" name="TextBox 36">
          <a:extLst>
            <a:ext uri="{FF2B5EF4-FFF2-40B4-BE49-F238E27FC236}">
              <a16:creationId xmlns:a16="http://schemas.microsoft.com/office/drawing/2014/main" id="{F86A31EA-6B81-4E97-BA6A-3472A017A91E}"/>
            </a:ext>
          </a:extLst>
        </xdr:cNvPr>
        <xdr:cNvSpPr txBox="1"/>
      </xdr:nvSpPr>
      <xdr:spPr>
        <a:xfrm>
          <a:off x="12881610" y="6476619"/>
          <a:ext cx="731520"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9DF72C-15CE-46FE-BF3C-089852BCAE39}" type="TxLink">
            <a:rPr lang="en-US" sz="1200" b="1" i="0" u="none" strike="noStrike">
              <a:solidFill>
                <a:srgbClr val="FA2A7F"/>
              </a:solidFill>
              <a:latin typeface="Aptos Narrow"/>
              <a:cs typeface="Calibri Light" panose="020F0302020204030204" pitchFamily="34" charset="0"/>
            </a:rPr>
            <a:pPr algn="ctr"/>
            <a:t>32%</a:t>
          </a:fld>
          <a:endParaRPr lang="en-US" sz="1200" b="1"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xdr:from>
      <xdr:col>21</xdr:col>
      <xdr:colOff>128839</xdr:colOff>
      <xdr:row>30</xdr:row>
      <xdr:rowOff>68580</xdr:rowOff>
    </xdr:from>
    <xdr:to>
      <xdr:col>22</xdr:col>
      <xdr:colOff>168341</xdr:colOff>
      <xdr:row>30</xdr:row>
      <xdr:rowOff>76200</xdr:rowOff>
    </xdr:to>
    <xdr:cxnSp macro="">
      <xdr:nvCxnSpPr>
        <xdr:cNvPr id="38" name="Straight Connector 37">
          <a:extLst>
            <a:ext uri="{FF2B5EF4-FFF2-40B4-BE49-F238E27FC236}">
              <a16:creationId xmlns:a16="http://schemas.microsoft.com/office/drawing/2014/main" id="{3D6B8AD2-CE6E-4FEA-9C4F-E9EE3B68B9C4}"/>
            </a:ext>
          </a:extLst>
        </xdr:cNvPr>
        <xdr:cNvCxnSpPr/>
      </xdr:nvCxnSpPr>
      <xdr:spPr>
        <a:xfrm flipH="1" flipV="1">
          <a:off x="12930439" y="6484620"/>
          <a:ext cx="649102" cy="7620"/>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453393</xdr:colOff>
      <xdr:row>24</xdr:row>
      <xdr:rowOff>75819</xdr:rowOff>
    </xdr:from>
    <xdr:to>
      <xdr:col>21</xdr:col>
      <xdr:colOff>521968</xdr:colOff>
      <xdr:row>26</xdr:row>
      <xdr:rowOff>53721</xdr:rowOff>
    </xdr:to>
    <xdr:sp macro="" textlink="Processing!G6">
      <xdr:nvSpPr>
        <xdr:cNvPr id="39" name="TextBox 38">
          <a:extLst>
            <a:ext uri="{FF2B5EF4-FFF2-40B4-BE49-F238E27FC236}">
              <a16:creationId xmlns:a16="http://schemas.microsoft.com/office/drawing/2014/main" id="{FE0D1D25-73E3-4B99-9C0A-C9B61EA19969}"/>
            </a:ext>
          </a:extLst>
        </xdr:cNvPr>
        <xdr:cNvSpPr txBox="1"/>
      </xdr:nvSpPr>
      <xdr:spPr>
        <a:xfrm>
          <a:off x="11426193" y="539457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7FA3BC-748A-454E-8036-C443F030ED9B}" type="TxLink">
            <a:rPr lang="en-US" sz="1400" b="1" i="0" u="none" strike="noStrike">
              <a:solidFill>
                <a:sysClr val="windowText" lastClr="000000"/>
              </a:solidFill>
              <a:latin typeface="Aptos Narrow"/>
              <a:cs typeface="Calibri Light" panose="020F0302020204030204" pitchFamily="34" charset="0"/>
            </a:rPr>
            <a:pPr algn="ctr"/>
            <a:t>Factors of Influence</a:t>
          </a:fld>
          <a:endParaRPr lang="en-US" sz="1600" b="1" i="0" u="none" strike="noStrike">
            <a:solidFill>
              <a:sysClr val="windowText" lastClr="000000"/>
            </a:solidFill>
            <a:latin typeface="Calibri Light" panose="020F0302020204030204" pitchFamily="34" charset="0"/>
            <a:cs typeface="Calibri Light" panose="020F0302020204030204" pitchFamily="34" charset="0"/>
          </a:endParaRPr>
        </a:p>
      </xdr:txBody>
    </xdr:sp>
    <xdr:clientData/>
  </xdr:twoCellAnchor>
  <xdr:twoCellAnchor>
    <xdr:from>
      <xdr:col>18</xdr:col>
      <xdr:colOff>94958</xdr:colOff>
      <xdr:row>26</xdr:row>
      <xdr:rowOff>83439</xdr:rowOff>
    </xdr:from>
    <xdr:to>
      <xdr:col>20</xdr:col>
      <xdr:colOff>301283</xdr:colOff>
      <xdr:row>28</xdr:row>
      <xdr:rowOff>61341</xdr:rowOff>
    </xdr:to>
    <xdr:sp macro="" textlink="Processing!J6">
      <xdr:nvSpPr>
        <xdr:cNvPr id="40" name="TextBox 39">
          <a:extLst>
            <a:ext uri="{FF2B5EF4-FFF2-40B4-BE49-F238E27FC236}">
              <a16:creationId xmlns:a16="http://schemas.microsoft.com/office/drawing/2014/main" id="{5207E26B-D34C-44E0-AEBD-5EC1038EAD0C}"/>
            </a:ext>
          </a:extLst>
        </xdr:cNvPr>
        <xdr:cNvSpPr txBox="1"/>
      </xdr:nvSpPr>
      <xdr:spPr>
        <a:xfrm>
          <a:off x="11067758" y="5767959"/>
          <a:ext cx="142552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F5BABB-DC22-4DAF-BD90-ED027EF4ECCE}" type="TxLink">
            <a:rPr lang="en-US" sz="1100" b="0" i="0" u="none" strike="noStrike">
              <a:solidFill>
                <a:schemeClr val="tx1">
                  <a:lumMod val="65000"/>
                  <a:lumOff val="35000"/>
                </a:schemeClr>
              </a:solidFill>
              <a:latin typeface="Aptos Narrow"/>
              <a:cs typeface="Calibri Light" panose="020F0302020204030204" pitchFamily="34" charset="0"/>
            </a:rPr>
            <a:pPr algn="ctr"/>
            <a:t>Factors Coefficients</a:t>
          </a:fld>
          <a:endParaRPr lang="en-US" sz="1600" b="0" i="0" u="none" strike="noStrike">
            <a:solidFill>
              <a:schemeClr val="tx1">
                <a:lumMod val="65000"/>
                <a:lumOff val="35000"/>
              </a:schemeClr>
            </a:solidFill>
            <a:latin typeface="Calibri Light" panose="020F0302020204030204" pitchFamily="34" charset="0"/>
            <a:cs typeface="Calibri Light" panose="020F0302020204030204" pitchFamily="34" charset="0"/>
          </a:endParaRPr>
        </a:p>
      </xdr:txBody>
    </xdr:sp>
    <xdr:clientData/>
  </xdr:twoCellAnchor>
  <xdr:twoCellAnchor>
    <xdr:from>
      <xdr:col>20</xdr:col>
      <xdr:colOff>331178</xdr:colOff>
      <xdr:row>33</xdr:row>
      <xdr:rowOff>37719</xdr:rowOff>
    </xdr:from>
    <xdr:to>
      <xdr:col>22</xdr:col>
      <xdr:colOff>537503</xdr:colOff>
      <xdr:row>35</xdr:row>
      <xdr:rowOff>15621</xdr:rowOff>
    </xdr:to>
    <xdr:sp macro="" textlink="Processing!G7">
      <xdr:nvSpPr>
        <xdr:cNvPr id="41" name="TextBox 40">
          <a:extLst>
            <a:ext uri="{FF2B5EF4-FFF2-40B4-BE49-F238E27FC236}">
              <a16:creationId xmlns:a16="http://schemas.microsoft.com/office/drawing/2014/main" id="{47D78FB4-DD9C-4522-A36B-732D85FF3FF5}"/>
            </a:ext>
          </a:extLst>
        </xdr:cNvPr>
        <xdr:cNvSpPr txBox="1"/>
      </xdr:nvSpPr>
      <xdr:spPr>
        <a:xfrm>
          <a:off x="12523178" y="7002399"/>
          <a:ext cx="142552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C28963-F6E7-48CD-B39E-825590CCADE1}" type="TxLink">
            <a:rPr lang="en-US" sz="1100" b="0" i="0" u="none" strike="noStrike">
              <a:solidFill>
                <a:schemeClr val="tx1">
                  <a:lumMod val="65000"/>
                  <a:lumOff val="35000"/>
                </a:schemeClr>
              </a:solidFill>
              <a:latin typeface="Aptos Narrow"/>
              <a:cs typeface="Calibri Light" panose="020F0302020204030204" pitchFamily="34" charset="0"/>
            </a:rPr>
            <a:pPr algn="ctr"/>
            <a:t>Factors Ratio</a:t>
          </a:fld>
          <a:endParaRPr lang="en-US" sz="1600" b="0" i="0" u="none" strike="noStrike">
            <a:solidFill>
              <a:schemeClr val="tx1">
                <a:lumMod val="65000"/>
                <a:lumOff val="35000"/>
              </a:schemeClr>
            </a:solidFill>
            <a:latin typeface="Calibri Light" panose="020F0302020204030204" pitchFamily="34" charset="0"/>
            <a:cs typeface="Calibri Light" panose="020F0302020204030204" pitchFamily="34" charset="0"/>
          </a:endParaRPr>
        </a:p>
      </xdr:txBody>
    </xdr:sp>
    <xdr:clientData/>
  </xdr:twoCellAnchor>
  <xdr:twoCellAnchor>
    <xdr:from>
      <xdr:col>18</xdr:col>
      <xdr:colOff>163538</xdr:colOff>
      <xdr:row>33</xdr:row>
      <xdr:rowOff>30099</xdr:rowOff>
    </xdr:from>
    <xdr:to>
      <xdr:col>20</xdr:col>
      <xdr:colOff>369863</xdr:colOff>
      <xdr:row>35</xdr:row>
      <xdr:rowOff>8001</xdr:rowOff>
    </xdr:to>
    <xdr:sp macro="" textlink="Processing!J7">
      <xdr:nvSpPr>
        <xdr:cNvPr id="42" name="TextBox 41">
          <a:extLst>
            <a:ext uri="{FF2B5EF4-FFF2-40B4-BE49-F238E27FC236}">
              <a16:creationId xmlns:a16="http://schemas.microsoft.com/office/drawing/2014/main" id="{DFDA227F-19DE-4881-B339-0B1D6D7113BA}"/>
            </a:ext>
          </a:extLst>
        </xdr:cNvPr>
        <xdr:cNvSpPr txBox="1"/>
      </xdr:nvSpPr>
      <xdr:spPr>
        <a:xfrm>
          <a:off x="11136338" y="6994779"/>
          <a:ext cx="142552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B6DDB50-1090-4C8B-BFBE-98F93721E5AB}" type="TxLink">
            <a:rPr lang="en-US" sz="1100" b="0" i="0" u="none" strike="noStrike">
              <a:solidFill>
                <a:schemeClr val="tx1">
                  <a:lumMod val="65000"/>
                  <a:lumOff val="35000"/>
                </a:schemeClr>
              </a:solidFill>
              <a:latin typeface="Aptos Narrow"/>
              <a:cs typeface="Calibri Light" panose="020F0302020204030204" pitchFamily="34" charset="0"/>
            </a:rPr>
            <a:pPr algn="l"/>
            <a:t>Positive Factors</a:t>
          </a:fld>
          <a:endParaRPr lang="en-US" sz="1600" b="0" i="0" u="none" strike="noStrike">
            <a:solidFill>
              <a:schemeClr val="tx1">
                <a:lumMod val="65000"/>
                <a:lumOff val="35000"/>
              </a:schemeClr>
            </a:solidFill>
            <a:latin typeface="Calibri Light" panose="020F0302020204030204" pitchFamily="34" charset="0"/>
            <a:cs typeface="Calibri Light" panose="020F0302020204030204" pitchFamily="34" charset="0"/>
          </a:endParaRPr>
        </a:p>
      </xdr:txBody>
    </xdr:sp>
    <xdr:clientData/>
  </xdr:twoCellAnchor>
  <xdr:twoCellAnchor>
    <xdr:from>
      <xdr:col>18</xdr:col>
      <xdr:colOff>163538</xdr:colOff>
      <xdr:row>34</xdr:row>
      <xdr:rowOff>91059</xdr:rowOff>
    </xdr:from>
    <xdr:to>
      <xdr:col>20</xdr:col>
      <xdr:colOff>369863</xdr:colOff>
      <xdr:row>36</xdr:row>
      <xdr:rowOff>68961</xdr:rowOff>
    </xdr:to>
    <xdr:sp macro="" textlink="Processing!J8">
      <xdr:nvSpPr>
        <xdr:cNvPr id="43" name="TextBox 42">
          <a:extLst>
            <a:ext uri="{FF2B5EF4-FFF2-40B4-BE49-F238E27FC236}">
              <a16:creationId xmlns:a16="http://schemas.microsoft.com/office/drawing/2014/main" id="{263AD7F3-73FB-469B-B850-D92A3A49763F}"/>
            </a:ext>
          </a:extLst>
        </xdr:cNvPr>
        <xdr:cNvSpPr txBox="1"/>
      </xdr:nvSpPr>
      <xdr:spPr>
        <a:xfrm>
          <a:off x="11136338" y="7238619"/>
          <a:ext cx="142552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E1478F8-C340-4767-9F83-FA5AA22E4C5E}" type="TxLink">
            <a:rPr lang="en-US" sz="1100" b="0" i="0" u="none" strike="noStrike">
              <a:solidFill>
                <a:schemeClr val="tx1">
                  <a:lumMod val="65000"/>
                  <a:lumOff val="35000"/>
                </a:schemeClr>
              </a:solidFill>
              <a:latin typeface="Aptos Narrow"/>
              <a:cs typeface="Calibri Light" panose="020F0302020204030204" pitchFamily="34" charset="0"/>
            </a:rPr>
            <a:pPr algn="l"/>
            <a:t>Negative Factors</a:t>
          </a:fld>
          <a:endParaRPr lang="en-US" sz="1600" b="0" i="0" u="none" strike="noStrike">
            <a:solidFill>
              <a:schemeClr val="tx1">
                <a:lumMod val="65000"/>
                <a:lumOff val="35000"/>
              </a:schemeClr>
            </a:solidFill>
            <a:latin typeface="Calibri Light" panose="020F0302020204030204" pitchFamily="34" charset="0"/>
            <a:cs typeface="Calibri Light" panose="020F0302020204030204" pitchFamily="34" charset="0"/>
          </a:endParaRPr>
        </a:p>
      </xdr:txBody>
    </xdr:sp>
    <xdr:clientData/>
  </xdr:twoCellAnchor>
  <xdr:twoCellAnchor>
    <xdr:from>
      <xdr:col>18</xdr:col>
      <xdr:colOff>30480</xdr:colOff>
      <xdr:row>33</xdr:row>
      <xdr:rowOff>156210</xdr:rowOff>
    </xdr:from>
    <xdr:to>
      <xdr:col>18</xdr:col>
      <xdr:colOff>121920</xdr:colOff>
      <xdr:row>34</xdr:row>
      <xdr:rowOff>64770</xdr:rowOff>
    </xdr:to>
    <xdr:sp macro="" textlink="">
      <xdr:nvSpPr>
        <xdr:cNvPr id="44" name="Oval 43">
          <a:extLst>
            <a:ext uri="{FF2B5EF4-FFF2-40B4-BE49-F238E27FC236}">
              <a16:creationId xmlns:a16="http://schemas.microsoft.com/office/drawing/2014/main" id="{AD8BFFFF-5193-41C8-B0FB-0490CB714A46}"/>
            </a:ext>
          </a:extLst>
        </xdr:cNvPr>
        <xdr:cNvSpPr/>
      </xdr:nvSpPr>
      <xdr:spPr>
        <a:xfrm>
          <a:off x="11003280" y="7120890"/>
          <a:ext cx="91440" cy="91440"/>
        </a:xfrm>
        <a:prstGeom prst="ellipse">
          <a:avLst/>
        </a:prstGeom>
        <a:solidFill>
          <a:srgbClr val="A1FF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30480</xdr:colOff>
      <xdr:row>35</xdr:row>
      <xdr:rowOff>34290</xdr:rowOff>
    </xdr:from>
    <xdr:to>
      <xdr:col>18</xdr:col>
      <xdr:colOff>121920</xdr:colOff>
      <xdr:row>35</xdr:row>
      <xdr:rowOff>125730</xdr:rowOff>
    </xdr:to>
    <xdr:sp macro="" textlink="">
      <xdr:nvSpPr>
        <xdr:cNvPr id="45" name="Oval 44">
          <a:extLst>
            <a:ext uri="{FF2B5EF4-FFF2-40B4-BE49-F238E27FC236}">
              <a16:creationId xmlns:a16="http://schemas.microsoft.com/office/drawing/2014/main" id="{5D350EF6-FDF0-4B98-B6EA-52C5DFDE2EEF}"/>
            </a:ext>
          </a:extLst>
        </xdr:cNvPr>
        <xdr:cNvSpPr/>
      </xdr:nvSpPr>
      <xdr:spPr>
        <a:xfrm>
          <a:off x="11003280" y="7364730"/>
          <a:ext cx="91440" cy="91440"/>
        </a:xfrm>
        <a:prstGeom prst="ellipse">
          <a:avLst/>
        </a:prstGeom>
        <a:solidFill>
          <a:srgbClr val="FA2A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288951</xdr:colOff>
      <xdr:row>9</xdr:row>
      <xdr:rowOff>52959</xdr:rowOff>
    </xdr:from>
    <xdr:to>
      <xdr:col>2</xdr:col>
      <xdr:colOff>564490</xdr:colOff>
      <xdr:row>11</xdr:row>
      <xdr:rowOff>30861</xdr:rowOff>
    </xdr:to>
    <xdr:sp macro="" textlink="Processing!A3">
      <xdr:nvSpPr>
        <xdr:cNvPr id="46" name="TextBox 45">
          <a:extLst>
            <a:ext uri="{FF2B5EF4-FFF2-40B4-BE49-F238E27FC236}">
              <a16:creationId xmlns:a16="http://schemas.microsoft.com/office/drawing/2014/main" id="{64671230-1283-4AE1-A155-C1CD9A34A833}"/>
            </a:ext>
          </a:extLst>
        </xdr:cNvPr>
        <xdr:cNvSpPr txBox="1"/>
      </xdr:nvSpPr>
      <xdr:spPr>
        <a:xfrm>
          <a:off x="898551" y="262851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088E04-96A9-4833-B501-5351775A1899}" type="TxLink">
            <a:rPr lang="en-US" sz="1100" b="0" i="0" u="none" strike="noStrike">
              <a:solidFill>
                <a:schemeClr val="bg1">
                  <a:lumMod val="50000"/>
                </a:schemeClr>
              </a:solidFill>
              <a:latin typeface="Aptos Narrow"/>
              <a:ea typeface="+mn-ea"/>
              <a:cs typeface="Calibri Light" panose="020F0302020204030204" pitchFamily="34" charset="0"/>
            </a:rPr>
            <a:pPr marL="0" indent="0" algn="ctr"/>
            <a:t>Revenue</a:t>
          </a:fld>
          <a:endParaRPr lang="ru-RU" sz="2000" b="0" i="0" u="none" strike="noStrike">
            <a:solidFill>
              <a:schemeClr val="bg1">
                <a:lumMod val="50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4</xdr:col>
      <xdr:colOff>18441</xdr:colOff>
      <xdr:row>9</xdr:row>
      <xdr:rowOff>52959</xdr:rowOff>
    </xdr:from>
    <xdr:to>
      <xdr:col>5</xdr:col>
      <xdr:colOff>293980</xdr:colOff>
      <xdr:row>11</xdr:row>
      <xdr:rowOff>30861</xdr:rowOff>
    </xdr:to>
    <xdr:sp macro="" textlink="Processing!A5">
      <xdr:nvSpPr>
        <xdr:cNvPr id="47" name="TextBox 46">
          <a:extLst>
            <a:ext uri="{FF2B5EF4-FFF2-40B4-BE49-F238E27FC236}">
              <a16:creationId xmlns:a16="http://schemas.microsoft.com/office/drawing/2014/main" id="{21F1448E-6190-46E9-A326-3C21F2A3457D}"/>
            </a:ext>
          </a:extLst>
        </xdr:cNvPr>
        <xdr:cNvSpPr txBox="1"/>
      </xdr:nvSpPr>
      <xdr:spPr>
        <a:xfrm>
          <a:off x="2456841" y="262851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CA5007-4956-4998-885E-3C1A2E704009}" type="TxLink">
            <a:rPr lang="en-US" sz="1100" b="0" i="0" u="none" strike="noStrike">
              <a:solidFill>
                <a:schemeClr val="bg1">
                  <a:lumMod val="50000"/>
                </a:schemeClr>
              </a:solidFill>
              <a:latin typeface="Aptos Narrow"/>
              <a:ea typeface="+mn-ea"/>
              <a:cs typeface="Calibri Light" panose="020F0302020204030204" pitchFamily="34" charset="0"/>
            </a:rPr>
            <a:pPr marL="0" indent="0" algn="ctr"/>
            <a:t>Profitability</a:t>
          </a:fld>
          <a:endParaRPr lang="ru-RU" sz="2000" b="0" i="0" u="none" strike="noStrike">
            <a:solidFill>
              <a:schemeClr val="bg1">
                <a:lumMod val="50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4</xdr:col>
      <xdr:colOff>18441</xdr:colOff>
      <xdr:row>17</xdr:row>
      <xdr:rowOff>14859</xdr:rowOff>
    </xdr:from>
    <xdr:to>
      <xdr:col>5</xdr:col>
      <xdr:colOff>293980</xdr:colOff>
      <xdr:row>18</xdr:row>
      <xdr:rowOff>175641</xdr:rowOff>
    </xdr:to>
    <xdr:sp macro="" textlink="Processing!A9">
      <xdr:nvSpPr>
        <xdr:cNvPr id="48" name="TextBox 47">
          <a:extLst>
            <a:ext uri="{FF2B5EF4-FFF2-40B4-BE49-F238E27FC236}">
              <a16:creationId xmlns:a16="http://schemas.microsoft.com/office/drawing/2014/main" id="{A3B4991A-B44C-4B1D-A44C-2A91636B0705}"/>
            </a:ext>
          </a:extLst>
        </xdr:cNvPr>
        <xdr:cNvSpPr txBox="1"/>
      </xdr:nvSpPr>
      <xdr:spPr>
        <a:xfrm>
          <a:off x="2456841" y="405345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1B43BF-AF63-40B9-A68A-D6441A24C201}" type="TxLink">
            <a:rPr lang="en-US" sz="1100" b="0" i="0" u="none" strike="noStrike">
              <a:solidFill>
                <a:schemeClr val="bg1">
                  <a:lumMod val="50000"/>
                </a:schemeClr>
              </a:solidFill>
              <a:latin typeface="Aptos Narrow"/>
              <a:ea typeface="+mn-ea"/>
              <a:cs typeface="Calibri Light" panose="020F0302020204030204" pitchFamily="34" charset="0"/>
            </a:rPr>
            <a:pPr marL="0" indent="0" algn="ctr"/>
            <a:t>Transaction</a:t>
          </a:fld>
          <a:endParaRPr lang="ru-RU" sz="2000" b="0" i="0" u="none" strike="noStrike">
            <a:solidFill>
              <a:schemeClr val="bg1">
                <a:lumMod val="50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1</xdr:col>
      <xdr:colOff>288951</xdr:colOff>
      <xdr:row>17</xdr:row>
      <xdr:rowOff>14859</xdr:rowOff>
    </xdr:from>
    <xdr:to>
      <xdr:col>2</xdr:col>
      <xdr:colOff>564490</xdr:colOff>
      <xdr:row>18</xdr:row>
      <xdr:rowOff>175641</xdr:rowOff>
    </xdr:to>
    <xdr:sp macro="" textlink="Processing!A7">
      <xdr:nvSpPr>
        <xdr:cNvPr id="49" name="TextBox 48">
          <a:extLst>
            <a:ext uri="{FF2B5EF4-FFF2-40B4-BE49-F238E27FC236}">
              <a16:creationId xmlns:a16="http://schemas.microsoft.com/office/drawing/2014/main" id="{51267D10-3BCF-4E38-B24C-9E9FBCBA4BBF}"/>
            </a:ext>
          </a:extLst>
        </xdr:cNvPr>
        <xdr:cNvSpPr txBox="1"/>
      </xdr:nvSpPr>
      <xdr:spPr>
        <a:xfrm>
          <a:off x="898551" y="405345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5CA987-3B07-458D-BC34-2D4E400EB175}" type="TxLink">
            <a:rPr lang="en-US" sz="1100" b="0" i="0" u="none" strike="noStrike">
              <a:solidFill>
                <a:schemeClr val="bg1">
                  <a:lumMod val="50000"/>
                </a:schemeClr>
              </a:solidFill>
              <a:latin typeface="Aptos Narrow"/>
              <a:ea typeface="+mn-ea"/>
              <a:cs typeface="Calibri Light" panose="020F0302020204030204" pitchFamily="34" charset="0"/>
            </a:rPr>
            <a:pPr marL="0" indent="0" algn="ctr"/>
            <a:t>Conversion</a:t>
          </a:fld>
          <a:endParaRPr lang="ru-RU" sz="2000" b="0" i="0" u="none" strike="noStrike">
            <a:solidFill>
              <a:schemeClr val="bg1">
                <a:lumMod val="50000"/>
              </a:schemeClr>
            </a:solidFill>
            <a:latin typeface="Calibri Light" panose="020F0302020204030204" pitchFamily="34" charset="0"/>
            <a:ea typeface="+mn-ea"/>
            <a:cs typeface="Calibri Light" panose="020F0302020204030204" pitchFamily="34" charset="0"/>
          </a:endParaRPr>
        </a:p>
      </xdr:txBody>
    </xdr:sp>
    <xdr:clientData/>
  </xdr:twoCellAnchor>
  <xdr:twoCellAnchor>
    <xdr:from>
      <xdr:col>1</xdr:col>
      <xdr:colOff>544833</xdr:colOff>
      <xdr:row>2</xdr:row>
      <xdr:rowOff>167259</xdr:rowOff>
    </xdr:from>
    <xdr:to>
      <xdr:col>5</xdr:col>
      <xdr:colOff>3808</xdr:colOff>
      <xdr:row>4</xdr:row>
      <xdr:rowOff>145161</xdr:rowOff>
    </xdr:to>
    <xdr:sp macro="" textlink="Processing!A2">
      <xdr:nvSpPr>
        <xdr:cNvPr id="50" name="TextBox 49">
          <a:extLst>
            <a:ext uri="{FF2B5EF4-FFF2-40B4-BE49-F238E27FC236}">
              <a16:creationId xmlns:a16="http://schemas.microsoft.com/office/drawing/2014/main" id="{261153A9-854D-46AB-B2FB-0887C5E216E3}"/>
            </a:ext>
          </a:extLst>
        </xdr:cNvPr>
        <xdr:cNvSpPr txBox="1"/>
      </xdr:nvSpPr>
      <xdr:spPr>
        <a:xfrm>
          <a:off x="1154433" y="146265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71AD49-CB2A-4C46-838B-D56376C09555}" type="TxLink">
            <a:rPr lang="en-US" sz="1400" b="1" i="0" u="none" strike="noStrike">
              <a:solidFill>
                <a:schemeClr val="tx1"/>
              </a:solidFill>
              <a:latin typeface="Aptos Narrow"/>
              <a:cs typeface="Calibri Light" panose="020F0302020204030204" pitchFamily="34" charset="0"/>
            </a:rPr>
            <a:pPr algn="ctr"/>
            <a:t>Sales Plans</a:t>
          </a:fld>
          <a:endParaRPr lang="en-US" sz="2000" b="1" i="0" u="none" strike="noStrike">
            <a:solidFill>
              <a:schemeClr val="tx1"/>
            </a:solidFill>
            <a:latin typeface="Calibri Light" panose="020F0302020204030204" pitchFamily="34" charset="0"/>
            <a:cs typeface="Calibri Light" panose="020F0302020204030204" pitchFamily="34" charset="0"/>
          </a:endParaRPr>
        </a:p>
      </xdr:txBody>
    </xdr:sp>
    <xdr:clientData/>
  </xdr:twoCellAnchor>
  <xdr:twoCellAnchor>
    <xdr:from>
      <xdr:col>18</xdr:col>
      <xdr:colOff>445773</xdr:colOff>
      <xdr:row>2</xdr:row>
      <xdr:rowOff>167259</xdr:rowOff>
    </xdr:from>
    <xdr:to>
      <xdr:col>21</xdr:col>
      <xdr:colOff>514348</xdr:colOff>
      <xdr:row>4</xdr:row>
      <xdr:rowOff>145161</xdr:rowOff>
    </xdr:to>
    <xdr:sp macro="" textlink="Processing!G2">
      <xdr:nvSpPr>
        <xdr:cNvPr id="51" name="TextBox 50">
          <a:extLst>
            <a:ext uri="{FF2B5EF4-FFF2-40B4-BE49-F238E27FC236}">
              <a16:creationId xmlns:a16="http://schemas.microsoft.com/office/drawing/2014/main" id="{3A738FC1-393A-476E-B204-60EC83A7860E}"/>
            </a:ext>
          </a:extLst>
        </xdr:cNvPr>
        <xdr:cNvSpPr txBox="1"/>
      </xdr:nvSpPr>
      <xdr:spPr>
        <a:xfrm>
          <a:off x="11418573" y="146265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B868AF-3A3F-430A-9B77-3AE06B7CBCA9}" type="TxLink">
            <a:rPr lang="en-US" sz="1400" b="1" i="0" u="none" strike="noStrike">
              <a:solidFill>
                <a:schemeClr val="tx1"/>
              </a:solidFill>
              <a:latin typeface="Aptos Narrow"/>
              <a:cs typeface="Calibri Light" panose="020F0302020204030204" pitchFamily="34" charset="0"/>
            </a:rPr>
            <a:pPr algn="ctr"/>
            <a:t>Departments</a:t>
          </a:fld>
          <a:endParaRPr lang="en-US" sz="2800" b="1" i="0" u="none" strike="noStrike">
            <a:solidFill>
              <a:schemeClr val="tx1"/>
            </a:solidFill>
            <a:latin typeface="Calibri Light" panose="020F0302020204030204" pitchFamily="34" charset="0"/>
            <a:cs typeface="Calibri Light" panose="020F0302020204030204" pitchFamily="34" charset="0"/>
          </a:endParaRPr>
        </a:p>
      </xdr:txBody>
    </xdr:sp>
    <xdr:clientData/>
  </xdr:twoCellAnchor>
  <xdr:twoCellAnchor>
    <xdr:from>
      <xdr:col>18</xdr:col>
      <xdr:colOff>319431</xdr:colOff>
      <xdr:row>8</xdr:row>
      <xdr:rowOff>121539</xdr:rowOff>
    </xdr:from>
    <xdr:to>
      <xdr:col>19</xdr:col>
      <xdr:colOff>594970</xdr:colOff>
      <xdr:row>10</xdr:row>
      <xdr:rowOff>99441</xdr:rowOff>
    </xdr:to>
    <xdr:sp macro="" textlink="Processing!G4">
      <xdr:nvSpPr>
        <xdr:cNvPr id="52" name="TextBox 51">
          <a:extLst>
            <a:ext uri="{FF2B5EF4-FFF2-40B4-BE49-F238E27FC236}">
              <a16:creationId xmlns:a16="http://schemas.microsoft.com/office/drawing/2014/main" id="{5619B0C3-CADF-4B8E-9D6C-1CFCBCEE2846}"/>
            </a:ext>
          </a:extLst>
        </xdr:cNvPr>
        <xdr:cNvSpPr txBox="1"/>
      </xdr:nvSpPr>
      <xdr:spPr>
        <a:xfrm>
          <a:off x="11292231" y="2514219"/>
          <a:ext cx="885139"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694429-1A1C-4F4B-B0E3-74C9C8F54E19}" type="TxLink">
            <a:rPr lang="en-US" sz="2000" b="0" i="0" u="none" strike="noStrike">
              <a:solidFill>
                <a:schemeClr val="tx1">
                  <a:lumMod val="65000"/>
                  <a:lumOff val="35000"/>
                </a:schemeClr>
              </a:solidFill>
              <a:latin typeface="Aptos Narrow"/>
              <a:cs typeface="Calibri Light" panose="020F0302020204030204" pitchFamily="34" charset="0"/>
            </a:rPr>
            <a:pPr algn="ctr"/>
            <a:t>90%</a:t>
          </a:fld>
          <a:endParaRPr lang="en-US" sz="3600" b="0" i="0" u="none" strike="noStrike">
            <a:solidFill>
              <a:schemeClr val="tx1">
                <a:lumMod val="65000"/>
                <a:lumOff val="35000"/>
              </a:schemeClr>
            </a:solidFill>
            <a:latin typeface="Calibri Light" panose="020F0302020204030204" pitchFamily="34" charset="0"/>
            <a:cs typeface="Calibri Light" panose="020F0302020204030204" pitchFamily="34" charset="0"/>
          </a:endParaRPr>
        </a:p>
      </xdr:txBody>
    </xdr:sp>
    <xdr:clientData/>
  </xdr:twoCellAnchor>
  <xdr:twoCellAnchor>
    <xdr:from>
      <xdr:col>13</xdr:col>
      <xdr:colOff>194313</xdr:colOff>
      <xdr:row>24</xdr:row>
      <xdr:rowOff>75819</xdr:rowOff>
    </xdr:from>
    <xdr:to>
      <xdr:col>16</xdr:col>
      <xdr:colOff>262888</xdr:colOff>
      <xdr:row>26</xdr:row>
      <xdr:rowOff>53721</xdr:rowOff>
    </xdr:to>
    <xdr:sp macro="" textlink="Processing!F40">
      <xdr:nvSpPr>
        <xdr:cNvPr id="53" name="TextBox 52">
          <a:extLst>
            <a:ext uri="{FF2B5EF4-FFF2-40B4-BE49-F238E27FC236}">
              <a16:creationId xmlns:a16="http://schemas.microsoft.com/office/drawing/2014/main" id="{D963ECFD-4969-438F-941F-08C1D7B23B76}"/>
            </a:ext>
          </a:extLst>
        </xdr:cNvPr>
        <xdr:cNvSpPr txBox="1"/>
      </xdr:nvSpPr>
      <xdr:spPr>
        <a:xfrm>
          <a:off x="8119113" y="539457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7F61B7-ADEA-4912-AB60-2CB5F7C6EC3F}" type="TxLink">
            <a:rPr lang="en-US" sz="1400" b="0" i="0" u="none" strike="noStrike">
              <a:solidFill>
                <a:schemeClr val="tx1">
                  <a:lumMod val="65000"/>
                  <a:lumOff val="35000"/>
                </a:schemeClr>
              </a:solidFill>
              <a:latin typeface="Aptos Narrow"/>
              <a:cs typeface="Calibri Light" panose="020F0302020204030204" pitchFamily="34" charset="0"/>
            </a:rPr>
            <a:pPr algn="r"/>
            <a:t>18,34,398</a:t>
          </a:fld>
          <a:endParaRPr lang="en-US" sz="2000" b="0" i="0" u="none" strike="noStrike">
            <a:solidFill>
              <a:schemeClr val="tx1">
                <a:lumMod val="65000"/>
                <a:lumOff val="35000"/>
              </a:schemeClr>
            </a:solidFill>
            <a:latin typeface="Calibri Light" panose="020F0302020204030204" pitchFamily="34" charset="0"/>
            <a:cs typeface="Calibri Light" panose="020F0302020204030204" pitchFamily="34" charset="0"/>
          </a:endParaRPr>
        </a:p>
      </xdr:txBody>
    </xdr:sp>
    <xdr:clientData/>
  </xdr:twoCellAnchor>
  <xdr:twoCellAnchor>
    <xdr:from>
      <xdr:col>8</xdr:col>
      <xdr:colOff>87633</xdr:colOff>
      <xdr:row>24</xdr:row>
      <xdr:rowOff>75819</xdr:rowOff>
    </xdr:from>
    <xdr:to>
      <xdr:col>9</xdr:col>
      <xdr:colOff>411480</xdr:colOff>
      <xdr:row>26</xdr:row>
      <xdr:rowOff>53721</xdr:rowOff>
    </xdr:to>
    <xdr:sp macro="" textlink="Processing!B40">
      <xdr:nvSpPr>
        <xdr:cNvPr id="54" name="TextBox 53">
          <a:extLst>
            <a:ext uri="{FF2B5EF4-FFF2-40B4-BE49-F238E27FC236}">
              <a16:creationId xmlns:a16="http://schemas.microsoft.com/office/drawing/2014/main" id="{109C6F53-6B01-4396-ACA9-2315AAE883F8}"/>
            </a:ext>
          </a:extLst>
        </xdr:cNvPr>
        <xdr:cNvSpPr txBox="1"/>
      </xdr:nvSpPr>
      <xdr:spPr>
        <a:xfrm>
          <a:off x="4964433" y="5394579"/>
          <a:ext cx="933447"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3BAE094-40CB-454D-8463-A8E9926FB9FA}" type="TxLink">
            <a:rPr lang="en-US" sz="1400" b="0" i="0" u="none" strike="noStrike">
              <a:solidFill>
                <a:schemeClr val="tx1">
                  <a:lumMod val="65000"/>
                  <a:lumOff val="35000"/>
                </a:schemeClr>
              </a:solidFill>
              <a:latin typeface="Aptos Narrow"/>
              <a:cs typeface="Calibri Light" panose="020F0302020204030204" pitchFamily="34" charset="0"/>
            </a:rPr>
            <a:pPr algn="l"/>
            <a:t>35,27,485</a:t>
          </a:fld>
          <a:endParaRPr lang="en-US" sz="2800" b="0" i="0" u="none" strike="noStrike">
            <a:solidFill>
              <a:schemeClr val="tx1">
                <a:lumMod val="65000"/>
                <a:lumOff val="35000"/>
              </a:schemeClr>
            </a:solidFill>
            <a:latin typeface="Calibri Light" panose="020F0302020204030204" pitchFamily="34" charset="0"/>
            <a:cs typeface="Calibri Light" panose="020F0302020204030204" pitchFamily="34" charset="0"/>
          </a:endParaRPr>
        </a:p>
      </xdr:txBody>
    </xdr:sp>
    <xdr:clientData/>
  </xdr:twoCellAnchor>
  <xdr:twoCellAnchor>
    <xdr:from>
      <xdr:col>7</xdr:col>
      <xdr:colOff>179073</xdr:colOff>
      <xdr:row>24</xdr:row>
      <xdr:rowOff>75819</xdr:rowOff>
    </xdr:from>
    <xdr:to>
      <xdr:col>8</xdr:col>
      <xdr:colOff>281940</xdr:colOff>
      <xdr:row>26</xdr:row>
      <xdr:rowOff>53721</xdr:rowOff>
    </xdr:to>
    <xdr:sp macro="" textlink="">
      <xdr:nvSpPr>
        <xdr:cNvPr id="55" name="TextBox 54">
          <a:extLst>
            <a:ext uri="{FF2B5EF4-FFF2-40B4-BE49-F238E27FC236}">
              <a16:creationId xmlns:a16="http://schemas.microsoft.com/office/drawing/2014/main" id="{12BEFDC2-EE87-41AE-A7B7-0BAC4A510268}"/>
            </a:ext>
          </a:extLst>
        </xdr:cNvPr>
        <xdr:cNvSpPr txBox="1"/>
      </xdr:nvSpPr>
      <xdr:spPr>
        <a:xfrm>
          <a:off x="4446273" y="5394579"/>
          <a:ext cx="712467"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1">
                  <a:lumMod val="65000"/>
                  <a:lumOff val="35000"/>
                </a:schemeClr>
              </a:solidFill>
              <a:latin typeface="Aptos Narrow"/>
              <a:cs typeface="Calibri Light" panose="020F0302020204030204" pitchFamily="34" charset="0"/>
            </a:rPr>
            <a:t>TOTAL:</a:t>
          </a:r>
        </a:p>
      </xdr:txBody>
    </xdr:sp>
    <xdr:clientData/>
  </xdr:twoCellAnchor>
  <xdr:twoCellAnchor>
    <xdr:from>
      <xdr:col>13</xdr:col>
      <xdr:colOff>590553</xdr:colOff>
      <xdr:row>24</xdr:row>
      <xdr:rowOff>75819</xdr:rowOff>
    </xdr:from>
    <xdr:to>
      <xdr:col>15</xdr:col>
      <xdr:colOff>83820</xdr:colOff>
      <xdr:row>26</xdr:row>
      <xdr:rowOff>53721</xdr:rowOff>
    </xdr:to>
    <xdr:sp macro="" textlink="">
      <xdr:nvSpPr>
        <xdr:cNvPr id="56" name="TextBox 55">
          <a:extLst>
            <a:ext uri="{FF2B5EF4-FFF2-40B4-BE49-F238E27FC236}">
              <a16:creationId xmlns:a16="http://schemas.microsoft.com/office/drawing/2014/main" id="{C0AF73A7-769F-4921-9426-4FB086577D11}"/>
            </a:ext>
          </a:extLst>
        </xdr:cNvPr>
        <xdr:cNvSpPr txBox="1"/>
      </xdr:nvSpPr>
      <xdr:spPr>
        <a:xfrm>
          <a:off x="8515353" y="5394579"/>
          <a:ext cx="712467"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solidFill>
                <a:schemeClr val="tx1">
                  <a:lumMod val="65000"/>
                  <a:lumOff val="35000"/>
                </a:schemeClr>
              </a:solidFill>
            </a:rPr>
            <a:t>Selected</a:t>
          </a:r>
          <a:r>
            <a:rPr lang="en-US" sz="1100" b="0" i="0" u="none" strike="noStrike">
              <a:solidFill>
                <a:schemeClr val="tx1">
                  <a:lumMod val="65000"/>
                  <a:lumOff val="35000"/>
                </a:schemeClr>
              </a:solidFill>
              <a:latin typeface="Aptos Narrow"/>
              <a:cs typeface="Calibri Light" panose="020F0302020204030204" pitchFamily="34" charset="0"/>
            </a:rPr>
            <a:t>:</a:t>
          </a:r>
        </a:p>
      </xdr:txBody>
    </xdr:sp>
    <xdr:clientData/>
  </xdr:twoCellAnchor>
  <xdr:twoCellAnchor editAs="oneCell">
    <xdr:from>
      <xdr:col>7</xdr:col>
      <xdr:colOff>259080</xdr:colOff>
      <xdr:row>34</xdr:row>
      <xdr:rowOff>88959</xdr:rowOff>
    </xdr:from>
    <xdr:to>
      <xdr:col>16</xdr:col>
      <xdr:colOff>305952</xdr:colOff>
      <xdr:row>36</xdr:row>
      <xdr:rowOff>149919</xdr:rowOff>
    </xdr:to>
    <mc:AlternateContent xmlns:mc="http://schemas.openxmlformats.org/markup-compatibility/2006" xmlns:a14="http://schemas.microsoft.com/office/drawing/2010/main">
      <mc:Choice Requires="a14">
        <xdr:graphicFrame macro="">
          <xdr:nvGraphicFramePr>
            <xdr:cNvPr id="57" name="Name Month 1">
              <a:extLst>
                <a:ext uri="{FF2B5EF4-FFF2-40B4-BE49-F238E27FC236}">
                  <a16:creationId xmlns:a16="http://schemas.microsoft.com/office/drawing/2014/main" id="{696F0711-648A-442B-90E2-3D9CA95AD431}"/>
                </a:ext>
              </a:extLst>
            </xdr:cNvPr>
            <xdr:cNvGraphicFramePr/>
          </xdr:nvGraphicFramePr>
          <xdr:xfrm>
            <a:off x="0" y="0"/>
            <a:ext cx="0" cy="0"/>
          </xdr:xfrm>
          <a:graphic>
            <a:graphicData uri="http://schemas.microsoft.com/office/drawing/2010/slicer">
              <sle:slicer xmlns:sle="http://schemas.microsoft.com/office/drawing/2010/slicer" name="Name Month 1"/>
            </a:graphicData>
          </a:graphic>
        </xdr:graphicFrame>
      </mc:Choice>
      <mc:Fallback xmlns="">
        <xdr:sp macro="" textlink="">
          <xdr:nvSpPr>
            <xdr:cNvPr id="0" name=""/>
            <xdr:cNvSpPr>
              <a:spLocks noTextEdit="1"/>
            </xdr:cNvSpPr>
          </xdr:nvSpPr>
          <xdr:spPr>
            <a:xfrm>
              <a:off x="4526280" y="7236519"/>
              <a:ext cx="5533272"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320040</xdr:colOff>
      <xdr:row>34</xdr:row>
      <xdr:rowOff>144781</xdr:rowOff>
    </xdr:from>
    <xdr:to>
      <xdr:col>5</xdr:col>
      <xdr:colOff>403860</xdr:colOff>
      <xdr:row>36</xdr:row>
      <xdr:rowOff>144780</xdr:rowOff>
    </xdr:to>
    <mc:AlternateContent xmlns:mc="http://schemas.openxmlformats.org/markup-compatibility/2006" xmlns:a14="http://schemas.microsoft.com/office/drawing/2010/main">
      <mc:Choice Requires="a14">
        <xdr:graphicFrame macro="">
          <xdr:nvGraphicFramePr>
            <xdr:cNvPr id="58" name="Year 1">
              <a:extLst>
                <a:ext uri="{FF2B5EF4-FFF2-40B4-BE49-F238E27FC236}">
                  <a16:creationId xmlns:a16="http://schemas.microsoft.com/office/drawing/2014/main" id="{EC87CEE5-F64A-4316-9687-13200B7BBA9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29640" y="7292341"/>
              <a:ext cx="2522220" cy="36575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483873</xdr:colOff>
      <xdr:row>13</xdr:row>
      <xdr:rowOff>152019</xdr:rowOff>
    </xdr:from>
    <xdr:to>
      <xdr:col>20</xdr:col>
      <xdr:colOff>552448</xdr:colOff>
      <xdr:row>15</xdr:row>
      <xdr:rowOff>129921</xdr:rowOff>
    </xdr:to>
    <xdr:sp macro="" textlink="Processing!C13">
      <xdr:nvSpPr>
        <xdr:cNvPr id="59" name="TextBox 58">
          <a:extLst>
            <a:ext uri="{FF2B5EF4-FFF2-40B4-BE49-F238E27FC236}">
              <a16:creationId xmlns:a16="http://schemas.microsoft.com/office/drawing/2014/main" id="{67988A87-B151-40F1-ADDA-981D9A9CC1D2}"/>
            </a:ext>
          </a:extLst>
        </xdr:cNvPr>
        <xdr:cNvSpPr txBox="1"/>
      </xdr:nvSpPr>
      <xdr:spPr>
        <a:xfrm>
          <a:off x="10847073" y="345909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7D3351A-716A-4FB4-AC7D-06E0852E6971}" type="TxLink">
            <a:rPr lang="en-US" sz="1200" b="0" i="0" u="none" strike="noStrike">
              <a:solidFill>
                <a:schemeClr val="tx1">
                  <a:lumMod val="65000"/>
                  <a:lumOff val="35000"/>
                </a:schemeClr>
              </a:solidFill>
              <a:latin typeface="Aptos Narrow"/>
              <a:cs typeface="Calibri Light" panose="020F0302020204030204" pitchFamily="34" charset="0"/>
            </a:rPr>
            <a:pPr algn="l"/>
            <a:t>Revenue</a:t>
          </a:fld>
          <a:endParaRPr lang="en-US" sz="2800" b="0" i="0" u="none" strike="noStrike">
            <a:solidFill>
              <a:schemeClr val="tx1">
                <a:lumMod val="65000"/>
                <a:lumOff val="35000"/>
              </a:schemeClr>
            </a:solidFill>
            <a:latin typeface="Calibri Light" panose="020F0302020204030204" pitchFamily="34" charset="0"/>
            <a:cs typeface="Calibri Light" panose="020F0302020204030204" pitchFamily="34" charset="0"/>
          </a:endParaRPr>
        </a:p>
      </xdr:txBody>
    </xdr:sp>
    <xdr:clientData/>
  </xdr:twoCellAnchor>
  <xdr:twoCellAnchor>
    <xdr:from>
      <xdr:col>19</xdr:col>
      <xdr:colOff>110493</xdr:colOff>
      <xdr:row>13</xdr:row>
      <xdr:rowOff>152019</xdr:rowOff>
    </xdr:from>
    <xdr:to>
      <xdr:col>22</xdr:col>
      <xdr:colOff>179068</xdr:colOff>
      <xdr:row>15</xdr:row>
      <xdr:rowOff>129921</xdr:rowOff>
    </xdr:to>
    <xdr:sp macro="" textlink="Processing!D26">
      <xdr:nvSpPr>
        <xdr:cNvPr id="60" name="TextBox 59">
          <a:extLst>
            <a:ext uri="{FF2B5EF4-FFF2-40B4-BE49-F238E27FC236}">
              <a16:creationId xmlns:a16="http://schemas.microsoft.com/office/drawing/2014/main" id="{F15D3718-83AE-4545-B474-7A5AC6B67A46}"/>
            </a:ext>
          </a:extLst>
        </xdr:cNvPr>
        <xdr:cNvSpPr txBox="1"/>
      </xdr:nvSpPr>
      <xdr:spPr>
        <a:xfrm>
          <a:off x="11692893" y="345909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08A17D4-C4B9-4907-A936-F39C0DAA4B37}" type="TxLink">
            <a:rPr lang="en-US" sz="1200" b="0" i="0" u="none" strike="noStrike">
              <a:solidFill>
                <a:schemeClr val="tx1">
                  <a:lumMod val="65000"/>
                  <a:lumOff val="35000"/>
                </a:schemeClr>
              </a:solidFill>
              <a:latin typeface="Aptos Narrow"/>
              <a:cs typeface="Calibri Light" panose="020F0302020204030204" pitchFamily="34" charset="0"/>
            </a:rPr>
            <a:pPr algn="r"/>
            <a:t>1,67,197</a:t>
          </a:fld>
          <a:endParaRPr lang="en-US" sz="3200" b="0" i="0" u="none" strike="noStrike">
            <a:solidFill>
              <a:schemeClr val="tx1">
                <a:lumMod val="65000"/>
                <a:lumOff val="35000"/>
              </a:schemeClr>
            </a:solidFill>
            <a:latin typeface="Calibri Light" panose="020F0302020204030204" pitchFamily="34" charset="0"/>
            <a:cs typeface="Calibri Light" panose="020F0302020204030204" pitchFamily="34" charset="0"/>
          </a:endParaRPr>
        </a:p>
      </xdr:txBody>
    </xdr:sp>
    <xdr:clientData/>
  </xdr:twoCellAnchor>
  <xdr:twoCellAnchor>
    <xdr:from>
      <xdr:col>8</xdr:col>
      <xdr:colOff>11433</xdr:colOff>
      <xdr:row>3</xdr:row>
      <xdr:rowOff>7239</xdr:rowOff>
    </xdr:from>
    <xdr:to>
      <xdr:col>11</xdr:col>
      <xdr:colOff>80008</xdr:colOff>
      <xdr:row>4</xdr:row>
      <xdr:rowOff>168021</xdr:rowOff>
    </xdr:to>
    <xdr:sp macro="" textlink="Processing!L26">
      <xdr:nvSpPr>
        <xdr:cNvPr id="61" name="TextBox 60">
          <a:extLst>
            <a:ext uri="{FF2B5EF4-FFF2-40B4-BE49-F238E27FC236}">
              <a16:creationId xmlns:a16="http://schemas.microsoft.com/office/drawing/2014/main" id="{F084B00C-AB25-4872-AE63-4329080D80E6}"/>
            </a:ext>
          </a:extLst>
        </xdr:cNvPr>
        <xdr:cNvSpPr txBox="1"/>
      </xdr:nvSpPr>
      <xdr:spPr>
        <a:xfrm>
          <a:off x="4888233" y="148551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16DC74-8727-4BA3-9F21-4B19C39D6F9F}" type="TxLink">
            <a:rPr lang="en-US" sz="1400" b="0" i="0" u="none" strike="noStrike">
              <a:solidFill>
                <a:srgbClr val="3CD964"/>
              </a:solidFill>
              <a:latin typeface="Aptos Narrow"/>
              <a:cs typeface="Calibri Light" panose="020F0302020204030204" pitchFamily="34" charset="0"/>
            </a:rPr>
            <a:pPr algn="r"/>
            <a:t>11,682</a:t>
          </a:fld>
          <a:endParaRPr lang="en-US" sz="3600" b="0" i="0" u="none" strike="noStrike">
            <a:solidFill>
              <a:srgbClr val="3CD964"/>
            </a:solidFill>
            <a:latin typeface="Calibri Light" panose="020F0302020204030204" pitchFamily="34" charset="0"/>
            <a:cs typeface="Calibri Light" panose="020F0302020204030204" pitchFamily="34" charset="0"/>
          </a:endParaRPr>
        </a:p>
      </xdr:txBody>
    </xdr:sp>
    <xdr:clientData/>
  </xdr:twoCellAnchor>
  <xdr:twoCellAnchor>
    <xdr:from>
      <xdr:col>12</xdr:col>
      <xdr:colOff>422913</xdr:colOff>
      <xdr:row>3</xdr:row>
      <xdr:rowOff>7239</xdr:rowOff>
    </xdr:from>
    <xdr:to>
      <xdr:col>15</xdr:col>
      <xdr:colOff>491488</xdr:colOff>
      <xdr:row>4</xdr:row>
      <xdr:rowOff>168021</xdr:rowOff>
    </xdr:to>
    <xdr:sp macro="" textlink="Processing!M26">
      <xdr:nvSpPr>
        <xdr:cNvPr id="62" name="TextBox 61">
          <a:extLst>
            <a:ext uri="{FF2B5EF4-FFF2-40B4-BE49-F238E27FC236}">
              <a16:creationId xmlns:a16="http://schemas.microsoft.com/office/drawing/2014/main" id="{7A0C74FF-E786-4922-B8C5-3BFA51259E01}"/>
            </a:ext>
          </a:extLst>
        </xdr:cNvPr>
        <xdr:cNvSpPr txBox="1"/>
      </xdr:nvSpPr>
      <xdr:spPr>
        <a:xfrm>
          <a:off x="7738113" y="1485519"/>
          <a:ext cx="1897375" cy="34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39A1073-6143-45C5-9D8B-A50812A09AD5}" type="TxLink">
            <a:rPr lang="en-US" sz="1400" b="0" i="0" u="none" strike="noStrike">
              <a:solidFill>
                <a:srgbClr val="FA2A7F"/>
              </a:solidFill>
              <a:latin typeface="Aptos Narrow"/>
              <a:cs typeface="Calibri Light" panose="020F0302020204030204" pitchFamily="34" charset="0"/>
            </a:rPr>
            <a:pPr algn="l"/>
            <a:t>-10,847</a:t>
          </a:fld>
          <a:endParaRPr lang="en-US" sz="4400" b="0"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editAs="oneCell">
    <xdr:from>
      <xdr:col>21</xdr:col>
      <xdr:colOff>68580</xdr:colOff>
      <xdr:row>6</xdr:row>
      <xdr:rowOff>83820</xdr:rowOff>
    </xdr:from>
    <xdr:to>
      <xdr:col>22</xdr:col>
      <xdr:colOff>502920</xdr:colOff>
      <xdr:row>13</xdr:row>
      <xdr:rowOff>123515</xdr:rowOff>
    </xdr:to>
    <mc:AlternateContent xmlns:mc="http://schemas.openxmlformats.org/markup-compatibility/2006" xmlns:a14="http://schemas.microsoft.com/office/drawing/2010/main">
      <mc:Choice Requires="a14">
        <xdr:graphicFrame macro="">
          <xdr:nvGraphicFramePr>
            <xdr:cNvPr id="63" name="Departments 1">
              <a:extLst>
                <a:ext uri="{FF2B5EF4-FFF2-40B4-BE49-F238E27FC236}">
                  <a16:creationId xmlns:a16="http://schemas.microsoft.com/office/drawing/2014/main" id="{C773E279-1967-4572-BD69-64C85B076E0D}"/>
                </a:ext>
              </a:extLst>
            </xdr:cNvPr>
            <xdr:cNvGraphicFramePr/>
          </xdr:nvGraphicFramePr>
          <xdr:xfrm>
            <a:off x="0" y="0"/>
            <a:ext cx="0" cy="0"/>
          </xdr:xfrm>
          <a:graphic>
            <a:graphicData uri="http://schemas.microsoft.com/office/drawing/2010/slicer">
              <sle:slicer xmlns:sle="http://schemas.microsoft.com/office/drawing/2010/slicer" name="Departments 1"/>
            </a:graphicData>
          </a:graphic>
        </xdr:graphicFrame>
      </mc:Choice>
      <mc:Fallback xmlns="">
        <xdr:sp macro="" textlink="">
          <xdr:nvSpPr>
            <xdr:cNvPr id="0" name=""/>
            <xdr:cNvSpPr>
              <a:spLocks noTextEdit="1"/>
            </xdr:cNvSpPr>
          </xdr:nvSpPr>
          <xdr:spPr>
            <a:xfrm>
              <a:off x="12870180" y="2110740"/>
              <a:ext cx="1043940" cy="131985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433521</xdr:colOff>
      <xdr:row>7</xdr:row>
      <xdr:rowOff>28278</xdr:rowOff>
    </xdr:from>
    <xdr:to>
      <xdr:col>21</xdr:col>
      <xdr:colOff>199306</xdr:colOff>
      <xdr:row>8</xdr:row>
      <xdr:rowOff>21092</xdr:rowOff>
    </xdr:to>
    <xdr:sp macro="" textlink="Processing!N3">
      <xdr:nvSpPr>
        <xdr:cNvPr id="64" name="TextBox 63">
          <a:extLst>
            <a:ext uri="{FF2B5EF4-FFF2-40B4-BE49-F238E27FC236}">
              <a16:creationId xmlns:a16="http://schemas.microsoft.com/office/drawing/2014/main" id="{36CDE8F6-FD86-4FA3-B38C-82A4FC3CC29F}"/>
            </a:ext>
          </a:extLst>
        </xdr:cNvPr>
        <xdr:cNvSpPr txBox="1"/>
      </xdr:nvSpPr>
      <xdr:spPr>
        <a:xfrm>
          <a:off x="12625521" y="2238078"/>
          <a:ext cx="375385" cy="175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434ACA-915B-4D81-89EB-F68F0200C208}" type="TxLink">
            <a:rPr lang="en-US" sz="1600" b="1" i="0" u="none" strike="noStrike">
              <a:solidFill>
                <a:srgbClr val="FA2A7F"/>
              </a:solidFill>
              <a:latin typeface="Aptos Narrow"/>
              <a:cs typeface="Calibri Light" panose="020F0302020204030204" pitchFamily="34" charset="0"/>
            </a:rPr>
            <a:pPr algn="ctr"/>
            <a:t>•</a:t>
          </a:fld>
          <a:endParaRPr lang="en-US" sz="1600" b="0"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xdr:from>
      <xdr:col>20</xdr:col>
      <xdr:colOff>433521</xdr:colOff>
      <xdr:row>8</xdr:row>
      <xdr:rowOff>130740</xdr:rowOff>
    </xdr:from>
    <xdr:to>
      <xdr:col>21</xdr:col>
      <xdr:colOff>199306</xdr:colOff>
      <xdr:row>9</xdr:row>
      <xdr:rowOff>124162</xdr:rowOff>
    </xdr:to>
    <xdr:sp macro="" textlink="Processing!N4">
      <xdr:nvSpPr>
        <xdr:cNvPr id="65" name="TextBox 64">
          <a:extLst>
            <a:ext uri="{FF2B5EF4-FFF2-40B4-BE49-F238E27FC236}">
              <a16:creationId xmlns:a16="http://schemas.microsoft.com/office/drawing/2014/main" id="{033C2133-899B-4641-8926-C4E758FCB89D}"/>
            </a:ext>
          </a:extLst>
        </xdr:cNvPr>
        <xdr:cNvSpPr txBox="1"/>
      </xdr:nvSpPr>
      <xdr:spPr>
        <a:xfrm>
          <a:off x="12625521" y="2523420"/>
          <a:ext cx="375385" cy="176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8475A7-B014-43E8-9411-EF00CE284C38}" type="TxLink">
            <a:rPr lang="en-US" sz="1600" b="1" i="0" u="none" strike="noStrike">
              <a:solidFill>
                <a:srgbClr val="FA2A7F"/>
              </a:solidFill>
              <a:latin typeface="Aptos Narrow"/>
              <a:cs typeface="Calibri Light" panose="020F0302020204030204" pitchFamily="34" charset="0"/>
            </a:rPr>
            <a:pPr algn="ctr"/>
            <a:t>•</a:t>
          </a:fld>
          <a:endParaRPr lang="en-US" sz="1600" b="0"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xdr:from>
      <xdr:col>20</xdr:col>
      <xdr:colOff>433521</xdr:colOff>
      <xdr:row>10</xdr:row>
      <xdr:rowOff>37803</xdr:rowOff>
    </xdr:from>
    <xdr:to>
      <xdr:col>21</xdr:col>
      <xdr:colOff>199306</xdr:colOff>
      <xdr:row>11</xdr:row>
      <xdr:rowOff>31225</xdr:rowOff>
    </xdr:to>
    <xdr:sp macro="" textlink="Processing!N5">
      <xdr:nvSpPr>
        <xdr:cNvPr id="66" name="TextBox 65">
          <a:extLst>
            <a:ext uri="{FF2B5EF4-FFF2-40B4-BE49-F238E27FC236}">
              <a16:creationId xmlns:a16="http://schemas.microsoft.com/office/drawing/2014/main" id="{B352F813-1C51-409E-B926-D30BF068D409}"/>
            </a:ext>
          </a:extLst>
        </xdr:cNvPr>
        <xdr:cNvSpPr txBox="1"/>
      </xdr:nvSpPr>
      <xdr:spPr>
        <a:xfrm>
          <a:off x="12625521" y="2796243"/>
          <a:ext cx="375385" cy="176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742E00-F8E0-4658-B50C-060198B9D76B}" type="TxLink">
            <a:rPr lang="en-US" sz="1600" b="1" i="0" u="none" strike="noStrike">
              <a:solidFill>
                <a:srgbClr val="FA2A7F"/>
              </a:solidFill>
              <a:latin typeface="Aptos Narrow"/>
              <a:cs typeface="Calibri Light" panose="020F0302020204030204" pitchFamily="34" charset="0"/>
            </a:rPr>
            <a:pPr algn="ctr"/>
            <a:t>•</a:t>
          </a:fld>
          <a:endParaRPr lang="en-US" sz="1600" b="0"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xdr:from>
      <xdr:col>20</xdr:col>
      <xdr:colOff>433521</xdr:colOff>
      <xdr:row>11</xdr:row>
      <xdr:rowOff>136523</xdr:rowOff>
    </xdr:from>
    <xdr:to>
      <xdr:col>21</xdr:col>
      <xdr:colOff>199306</xdr:colOff>
      <xdr:row>12</xdr:row>
      <xdr:rowOff>129945</xdr:rowOff>
    </xdr:to>
    <xdr:sp macro="" textlink="Processing!N6">
      <xdr:nvSpPr>
        <xdr:cNvPr id="67" name="TextBox 66">
          <a:extLst>
            <a:ext uri="{FF2B5EF4-FFF2-40B4-BE49-F238E27FC236}">
              <a16:creationId xmlns:a16="http://schemas.microsoft.com/office/drawing/2014/main" id="{90A43EE9-9680-4B17-813D-9CBE94CBFC45}"/>
            </a:ext>
          </a:extLst>
        </xdr:cNvPr>
        <xdr:cNvSpPr txBox="1"/>
      </xdr:nvSpPr>
      <xdr:spPr>
        <a:xfrm>
          <a:off x="12625521" y="3077843"/>
          <a:ext cx="375385" cy="176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176170-C7F2-4C94-AAF0-9853A0449B0D}" type="TxLink">
            <a:rPr lang="en-US" sz="1600" b="1" i="0" u="none" strike="noStrike">
              <a:solidFill>
                <a:srgbClr val="FA2A7F"/>
              </a:solidFill>
              <a:latin typeface="Aptos Narrow"/>
              <a:cs typeface="Calibri Light" panose="020F0302020204030204" pitchFamily="34" charset="0"/>
            </a:rPr>
            <a:pPr algn="ctr"/>
            <a:t>•</a:t>
          </a:fld>
          <a:endParaRPr lang="en-US" sz="1600" b="0" i="0" u="none" strike="noStrike">
            <a:solidFill>
              <a:srgbClr val="FA2A7F"/>
            </a:solidFill>
            <a:latin typeface="Calibri Light" panose="020F0302020204030204" pitchFamily="34" charset="0"/>
            <a:cs typeface="Calibri Light" panose="020F0302020204030204" pitchFamily="34" charset="0"/>
          </a:endParaRPr>
        </a:p>
      </xdr:txBody>
    </xdr:sp>
    <xdr:clientData/>
  </xdr:twoCellAnchor>
  <xdr:twoCellAnchor>
    <xdr:from>
      <xdr:col>8</xdr:col>
      <xdr:colOff>72390</xdr:colOff>
      <xdr:row>0</xdr:row>
      <xdr:rowOff>115850</xdr:rowOff>
    </xdr:from>
    <xdr:to>
      <xdr:col>16</xdr:col>
      <xdr:colOff>159488</xdr:colOff>
      <xdr:row>0</xdr:row>
      <xdr:rowOff>1089660</xdr:rowOff>
    </xdr:to>
    <xdr:grpSp>
      <xdr:nvGrpSpPr>
        <xdr:cNvPr id="68" name="Group 67">
          <a:extLst>
            <a:ext uri="{FF2B5EF4-FFF2-40B4-BE49-F238E27FC236}">
              <a16:creationId xmlns:a16="http://schemas.microsoft.com/office/drawing/2014/main" id="{2F4824BD-FAE5-4D63-B3DB-31121797ABB8}"/>
            </a:ext>
          </a:extLst>
        </xdr:cNvPr>
        <xdr:cNvGrpSpPr/>
      </xdr:nvGrpSpPr>
      <xdr:grpSpPr>
        <a:xfrm>
          <a:off x="4813723" y="115850"/>
          <a:ext cx="4828432" cy="973810"/>
          <a:chOff x="3383280" y="4777168"/>
          <a:chExt cx="4572000" cy="973810"/>
        </a:xfrm>
      </xdr:grpSpPr>
      <xdr:sp macro="" textlink="">
        <xdr:nvSpPr>
          <xdr:cNvPr id="69" name="Rectangle 68">
            <a:extLst>
              <a:ext uri="{FF2B5EF4-FFF2-40B4-BE49-F238E27FC236}">
                <a16:creationId xmlns:a16="http://schemas.microsoft.com/office/drawing/2014/main" id="{5016BDB8-750B-06DC-1ED1-C5D67FA56FA7}"/>
              </a:ext>
            </a:extLst>
          </xdr:cNvPr>
          <xdr:cNvSpPr/>
        </xdr:nvSpPr>
        <xdr:spPr>
          <a:xfrm>
            <a:off x="3383280" y="4783238"/>
            <a:ext cx="4572000" cy="9677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0" name="Rectangle 69">
            <a:extLst>
              <a:ext uri="{FF2B5EF4-FFF2-40B4-BE49-F238E27FC236}">
                <a16:creationId xmlns:a16="http://schemas.microsoft.com/office/drawing/2014/main" id="{A8A7D0FD-A1B5-51C0-0E7A-129F9F092D1F}"/>
              </a:ext>
            </a:extLst>
          </xdr:cNvPr>
          <xdr:cNvSpPr/>
        </xdr:nvSpPr>
        <xdr:spPr>
          <a:xfrm>
            <a:off x="3648529" y="4846609"/>
            <a:ext cx="813743" cy="738665"/>
          </a:xfrm>
          <a:prstGeom prst="rect">
            <a:avLst/>
          </a:prstGeom>
          <a:gradFill>
            <a:gsLst>
              <a:gs pos="77000">
                <a:srgbClr val="C1A35F"/>
              </a:gs>
              <a:gs pos="25000">
                <a:srgbClr val="C1A35F"/>
              </a:gs>
              <a:gs pos="0">
                <a:srgbClr val="94632A"/>
              </a:gs>
              <a:gs pos="49000">
                <a:srgbClr val="F3E999"/>
              </a:gs>
              <a:gs pos="100000">
                <a:srgbClr val="94632A"/>
              </a:gs>
            </a:gsLst>
            <a:lin ang="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sp macro="" textlink="">
        <xdr:nvSpPr>
          <xdr:cNvPr id="71" name="TextBox 4">
            <a:extLst>
              <a:ext uri="{FF2B5EF4-FFF2-40B4-BE49-F238E27FC236}">
                <a16:creationId xmlns:a16="http://schemas.microsoft.com/office/drawing/2014/main" id="{41A7C456-26C7-034B-C556-0B3CD3D029B1}"/>
              </a:ext>
            </a:extLst>
          </xdr:cNvPr>
          <xdr:cNvSpPr txBox="1"/>
        </xdr:nvSpPr>
        <xdr:spPr>
          <a:xfrm>
            <a:off x="4511038" y="5019970"/>
            <a:ext cx="3348991" cy="698717"/>
          </a:xfrm>
          <a:prstGeom prst="rect">
            <a:avLst/>
          </a:prstGeom>
          <a:noFill/>
          <a:effectLst>
            <a:outerShdw blurRad="50800" dist="38100" dir="8100000" algn="tr" rotWithShape="0">
              <a:prstClr val="black">
                <a:alpha val="40000"/>
              </a:prstClr>
            </a:outerShdw>
          </a:effectLst>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3800">
                <a:solidFill>
                  <a:srgbClr val="FFF2A7"/>
                </a:solidFill>
                <a:latin typeface="Amasis MT Pro Black" panose="02040A04050005020304" pitchFamily="18" charset="0"/>
                <a:cs typeface="Aharoni" panose="02010803020104030203" pitchFamily="2" charset="-79"/>
              </a:rPr>
              <a:t>DASHBOARD</a:t>
            </a:r>
            <a:endParaRPr lang="ru-RU" sz="3800">
              <a:solidFill>
                <a:srgbClr val="FFF2A7"/>
              </a:solidFill>
              <a:latin typeface="Verdana Pro Black" panose="020B0A04030504040204" pitchFamily="34" charset="0"/>
              <a:cs typeface="Aharoni" panose="02010803020104030203" pitchFamily="2" charset="-79"/>
            </a:endParaRPr>
          </a:p>
        </xdr:txBody>
      </xdr:sp>
      <xdr:sp macro="" textlink="">
        <xdr:nvSpPr>
          <xdr:cNvPr id="72" name="TextBox 6">
            <a:extLst>
              <a:ext uri="{FF2B5EF4-FFF2-40B4-BE49-F238E27FC236}">
                <a16:creationId xmlns:a16="http://schemas.microsoft.com/office/drawing/2014/main" id="{C479EB24-725E-73AA-EC30-DA420CECEA07}"/>
              </a:ext>
            </a:extLst>
          </xdr:cNvPr>
          <xdr:cNvSpPr txBox="1"/>
        </xdr:nvSpPr>
        <xdr:spPr>
          <a:xfrm>
            <a:off x="4532375" y="4777168"/>
            <a:ext cx="3274314" cy="379527"/>
          </a:xfrm>
          <a:prstGeom prst="rect">
            <a:avLst/>
          </a:prstGeom>
          <a:noFill/>
          <a:effectLst>
            <a:outerShdw blurRad="50800" dist="38100" dir="8100000" algn="tr" rotWithShape="0">
              <a:prstClr val="black">
                <a:alpha val="40000"/>
              </a:prstClr>
            </a:outerShdw>
          </a:effectLst>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800">
                <a:solidFill>
                  <a:srgbClr val="FFF2A7"/>
                </a:solidFill>
                <a:latin typeface="Amasis MT Pro Black" panose="02040A04050005020304" pitchFamily="18" charset="0"/>
                <a:cs typeface="Aharoni" panose="02010803020104030203" pitchFamily="2" charset="-79"/>
              </a:rPr>
              <a:t>BUSINESS  INTELLIGENCE</a:t>
            </a:r>
            <a:endParaRPr lang="ru-RU" sz="1800">
              <a:solidFill>
                <a:srgbClr val="FFF2A7"/>
              </a:solidFill>
              <a:latin typeface="Verdana Pro Black" panose="020B0A04030504040204" pitchFamily="34" charset="0"/>
              <a:cs typeface="Aharoni" panose="02010803020104030203" pitchFamily="2" charset="-79"/>
            </a:endParaRPr>
          </a:p>
        </xdr:txBody>
      </xdr:sp>
      <xdr:grpSp>
        <xdr:nvGrpSpPr>
          <xdr:cNvPr id="73" name="Group 72">
            <a:extLst>
              <a:ext uri="{FF2B5EF4-FFF2-40B4-BE49-F238E27FC236}">
                <a16:creationId xmlns:a16="http://schemas.microsoft.com/office/drawing/2014/main" id="{C1682F09-6484-A516-204A-C856A540D049}"/>
              </a:ext>
            </a:extLst>
          </xdr:cNvPr>
          <xdr:cNvGrpSpPr/>
        </xdr:nvGrpSpPr>
        <xdr:grpSpPr>
          <a:xfrm>
            <a:off x="3715930" y="4883047"/>
            <a:ext cx="661032" cy="636333"/>
            <a:chOff x="3188517" y="5563497"/>
            <a:chExt cx="661032" cy="636333"/>
          </a:xfrm>
        </xdr:grpSpPr>
        <xdr:sp macro="" textlink="">
          <xdr:nvSpPr>
            <xdr:cNvPr id="74" name="Rectangle 73">
              <a:extLst>
                <a:ext uri="{FF2B5EF4-FFF2-40B4-BE49-F238E27FC236}">
                  <a16:creationId xmlns:a16="http://schemas.microsoft.com/office/drawing/2014/main" id="{12E68544-5939-E7EC-6474-B360A25A5C03}"/>
                </a:ext>
              </a:extLst>
            </xdr:cNvPr>
            <xdr:cNvSpPr/>
          </xdr:nvSpPr>
          <xdr:spPr>
            <a:xfrm>
              <a:off x="3188517" y="5615055"/>
              <a:ext cx="638315" cy="584775"/>
            </a:xfrm>
            <a:prstGeom prst="rect">
              <a:avLst/>
            </a:prstGeom>
            <a:noFill/>
          </xdr:spPr>
          <xdr:txBody>
            <a:bodyPr wrap="square" lIns="91440" tIns="45720" rIns="91440" bIns="4572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3200" b="1" cap="none" spc="0">
                  <a:ln w="6350">
                    <a:solidFill>
                      <a:schemeClr val="tx1"/>
                    </a:solidFill>
                    <a:prstDash val="solid"/>
                  </a:ln>
                  <a:pattFill prst="narHorz">
                    <a:fgClr>
                      <a:srgbClr val="94632A"/>
                    </a:fgClr>
                    <a:bgClr>
                      <a:schemeClr val="bg1"/>
                    </a:bgClr>
                  </a:pattFill>
                  <a:effectLst>
                    <a:innerShdw blurRad="177800">
                      <a:schemeClr val="accent3">
                        <a:lumMod val="50000"/>
                      </a:schemeClr>
                    </a:innerShdw>
                  </a:effectLst>
                  <a:latin typeface="Amasis MT Pro Black" panose="02040A04050005020304" pitchFamily="18" charset="0"/>
                </a:rPr>
                <a:t>BI</a:t>
              </a:r>
            </a:p>
          </xdr:txBody>
        </xdr:sp>
        <xdr:sp macro="" textlink="">
          <xdr:nvSpPr>
            <xdr:cNvPr id="75" name="TextBox 7">
              <a:extLst>
                <a:ext uri="{FF2B5EF4-FFF2-40B4-BE49-F238E27FC236}">
                  <a16:creationId xmlns:a16="http://schemas.microsoft.com/office/drawing/2014/main" id="{CEA03263-DBD3-6DC4-A672-1C77895B2129}"/>
                </a:ext>
              </a:extLst>
            </xdr:cNvPr>
            <xdr:cNvSpPr txBox="1"/>
          </xdr:nvSpPr>
          <xdr:spPr>
            <a:xfrm>
              <a:off x="3209469" y="5563497"/>
              <a:ext cx="640080" cy="6029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3200">
                  <a:solidFill>
                    <a:srgbClr val="94632A"/>
                  </a:solidFill>
                  <a:latin typeface="Amasis MT Pro Black" panose="02040A04050005020304" pitchFamily="18" charset="0"/>
                  <a:cs typeface="Aharoni" panose="02010803020104030203" pitchFamily="2" charset="-79"/>
                </a:rPr>
                <a:t>BI</a:t>
              </a:r>
              <a:endParaRPr lang="ru-RU" sz="3200">
                <a:solidFill>
                  <a:srgbClr val="94632A"/>
                </a:solidFill>
                <a:latin typeface="Verdana Pro Black" panose="020B0A04030504040204" pitchFamily="34" charset="0"/>
                <a:cs typeface="Aharoni" panose="02010803020104030203" pitchFamily="2" charset="-79"/>
              </a:endParaRPr>
            </a:p>
          </xdr:txBody>
        </xdr:sp>
      </xdr:grpSp>
    </xdr:grpSp>
    <xdr:clientData/>
  </xdr:twoCellAnchor>
  <xdr:twoCellAnchor>
    <xdr:from>
      <xdr:col>20</xdr:col>
      <xdr:colOff>419511</xdr:colOff>
      <xdr:row>0</xdr:row>
      <xdr:rowOff>608754</xdr:rowOff>
    </xdr:from>
    <xdr:to>
      <xdr:col>21</xdr:col>
      <xdr:colOff>84819</xdr:colOff>
      <xdr:row>0</xdr:row>
      <xdr:rowOff>857392</xdr:rowOff>
    </xdr:to>
    <xdr:grpSp>
      <xdr:nvGrpSpPr>
        <xdr:cNvPr id="76" name="Group 75">
          <a:hlinkClick xmlns:r="http://schemas.openxmlformats.org/officeDocument/2006/relationships" r:id="rId12"/>
          <a:extLst>
            <a:ext uri="{FF2B5EF4-FFF2-40B4-BE49-F238E27FC236}">
              <a16:creationId xmlns:a16="http://schemas.microsoft.com/office/drawing/2014/main" id="{90D5674E-9A19-4241-8BF3-C60D3D59FA8A}"/>
            </a:ext>
          </a:extLst>
        </xdr:cNvPr>
        <xdr:cNvGrpSpPr/>
      </xdr:nvGrpSpPr>
      <xdr:grpSpPr>
        <a:xfrm>
          <a:off x="12272844" y="608754"/>
          <a:ext cx="257975" cy="248638"/>
          <a:chOff x="6535559" y="690283"/>
          <a:chExt cx="274908" cy="248639"/>
        </a:xfrm>
      </xdr:grpSpPr>
      <xdr:sp macro="" textlink="">
        <xdr:nvSpPr>
          <xdr:cNvPr id="77" name="Moon">
            <a:extLst>
              <a:ext uri="{FF2B5EF4-FFF2-40B4-BE49-F238E27FC236}">
                <a16:creationId xmlns:a16="http://schemas.microsoft.com/office/drawing/2014/main" id="{9340A68C-822D-70C8-8FC3-22FAE6D94488}"/>
              </a:ext>
            </a:extLst>
          </xdr:cNvPr>
          <xdr:cNvSpPr/>
        </xdr:nvSpPr>
        <xdr:spPr>
          <a:xfrm>
            <a:off x="6535559" y="690283"/>
            <a:ext cx="140283" cy="245398"/>
          </a:xfrm>
          <a:prstGeom prst="moon">
            <a:avLst/>
          </a:prstGeom>
          <a:gradFill>
            <a:gsLst>
              <a:gs pos="0">
                <a:schemeClr val="bg1">
                  <a:lumMod val="85000"/>
                </a:schemeClr>
              </a:gs>
              <a:gs pos="72000">
                <a:schemeClr val="bg1">
                  <a:lumMod val="50000"/>
                </a:schemeClr>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8" name="Big Star">
            <a:extLst>
              <a:ext uri="{FF2B5EF4-FFF2-40B4-BE49-F238E27FC236}">
                <a16:creationId xmlns:a16="http://schemas.microsoft.com/office/drawing/2014/main" id="{784013D1-3BFE-83C3-ADA1-DECFB68CB950}"/>
              </a:ext>
            </a:extLst>
          </xdr:cNvPr>
          <xdr:cNvSpPr/>
        </xdr:nvSpPr>
        <xdr:spPr>
          <a:xfrm>
            <a:off x="6675270" y="773921"/>
            <a:ext cx="108000" cy="107972"/>
          </a:xfrm>
          <a:prstGeom prst="star4">
            <a:avLst/>
          </a:prstGeom>
          <a:gradFill>
            <a:gsLst>
              <a:gs pos="0">
                <a:schemeClr val="bg1">
                  <a:lumMod val="85000"/>
                </a:schemeClr>
              </a:gs>
              <a:gs pos="72000">
                <a:schemeClr val="bg1">
                  <a:lumMod val="50000"/>
                </a:schemeClr>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9" name="Star">
            <a:extLst>
              <a:ext uri="{FF2B5EF4-FFF2-40B4-BE49-F238E27FC236}">
                <a16:creationId xmlns:a16="http://schemas.microsoft.com/office/drawing/2014/main" id="{36A62E42-F17B-2502-DD27-1C0826C544C5}"/>
              </a:ext>
            </a:extLst>
          </xdr:cNvPr>
          <xdr:cNvSpPr/>
        </xdr:nvSpPr>
        <xdr:spPr>
          <a:xfrm>
            <a:off x="6756467" y="881723"/>
            <a:ext cx="54000" cy="57199"/>
          </a:xfrm>
          <a:prstGeom prst="star4">
            <a:avLst/>
          </a:prstGeom>
          <a:gradFill>
            <a:gsLst>
              <a:gs pos="0">
                <a:schemeClr val="bg1">
                  <a:lumMod val="85000"/>
                </a:schemeClr>
              </a:gs>
              <a:gs pos="72000">
                <a:schemeClr val="bg1">
                  <a:lumMod val="50000"/>
                </a:schemeClr>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19</xdr:col>
      <xdr:colOff>265702</xdr:colOff>
      <xdr:row>0</xdr:row>
      <xdr:rowOff>608753</xdr:rowOff>
    </xdr:from>
    <xdr:to>
      <xdr:col>19</xdr:col>
      <xdr:colOff>524902</xdr:colOff>
      <xdr:row>0</xdr:row>
      <xdr:rowOff>857391</xdr:rowOff>
    </xdr:to>
    <xdr:grpSp>
      <xdr:nvGrpSpPr>
        <xdr:cNvPr id="80" name="sun">
          <a:extLst>
            <a:ext uri="{FF2B5EF4-FFF2-40B4-BE49-F238E27FC236}">
              <a16:creationId xmlns:a16="http://schemas.microsoft.com/office/drawing/2014/main" id="{C5AE64D7-E4B0-4924-A3F8-D47B259FCBCC}"/>
            </a:ext>
          </a:extLst>
        </xdr:cNvPr>
        <xdr:cNvGrpSpPr/>
      </xdr:nvGrpSpPr>
      <xdr:grpSpPr>
        <a:xfrm>
          <a:off x="11526369" y="608753"/>
          <a:ext cx="259200" cy="248638"/>
          <a:chOff x="14630400" y="0"/>
          <a:chExt cx="1320905" cy="1291901"/>
        </a:xfrm>
        <a:gradFill flip="none" rotWithShape="1">
          <a:gsLst>
            <a:gs pos="10000">
              <a:srgbClr val="FFF9D5"/>
            </a:gs>
            <a:gs pos="100000">
              <a:srgbClr val="C0A500"/>
            </a:gs>
            <a:gs pos="26000">
              <a:srgbClr val="FFF2A7"/>
            </a:gs>
            <a:gs pos="89000">
              <a:srgbClr val="F3E999"/>
            </a:gs>
          </a:gsLst>
          <a:path path="circle">
            <a:fillToRect l="50000" t="50000" r="50000" b="50000"/>
          </a:path>
          <a:tileRect/>
        </a:gradFill>
        <a:effectLst/>
      </xdr:grpSpPr>
      <xdr:sp macro="" textlink="">
        <xdr:nvSpPr>
          <xdr:cNvPr id="81" name="Lights">
            <a:extLst>
              <a:ext uri="{FF2B5EF4-FFF2-40B4-BE49-F238E27FC236}">
                <a16:creationId xmlns:a16="http://schemas.microsoft.com/office/drawing/2014/main" id="{83511A70-CC1A-D018-637F-1EE77E55C258}"/>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pFill/>
          <a:ln w="6350">
            <a:solidFill>
              <a:srgbClr val="C0A5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2" name="Sun">
            <a:extLst>
              <a:ext uri="{FF2B5EF4-FFF2-40B4-BE49-F238E27FC236}">
                <a16:creationId xmlns:a16="http://schemas.microsoft.com/office/drawing/2014/main" id="{A6D7225D-BE0C-D4AC-DABE-01113F004B6C}"/>
              </a:ext>
            </a:extLst>
          </xdr:cNvPr>
          <xdr:cNvSpPr/>
        </xdr:nvSpPr>
        <xdr:spPr>
          <a:xfrm rot="18324177">
            <a:off x="14829217" y="190233"/>
            <a:ext cx="942320" cy="930489"/>
          </a:xfrm>
          <a:prstGeom prst="ellipse">
            <a:avLst/>
          </a:prstGeom>
          <a:grp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0</xdr:colOff>
      <xdr:row>0</xdr:row>
      <xdr:rowOff>0</xdr:rowOff>
    </xdr:from>
    <xdr:to>
      <xdr:col>1</xdr:col>
      <xdr:colOff>198120</xdr:colOff>
      <xdr:row>1</xdr:row>
      <xdr:rowOff>110067</xdr:rowOff>
    </xdr:to>
    <xdr:sp macro="" textlink="">
      <xdr:nvSpPr>
        <xdr:cNvPr id="84" name="Rectangle 83">
          <a:extLst>
            <a:ext uri="{FF2B5EF4-FFF2-40B4-BE49-F238E27FC236}">
              <a16:creationId xmlns:a16="http://schemas.microsoft.com/office/drawing/2014/main" id="{F3544125-0592-42D6-B7BE-8295FEC64BAF}"/>
            </a:ext>
          </a:extLst>
        </xdr:cNvPr>
        <xdr:cNvSpPr/>
      </xdr:nvSpPr>
      <xdr:spPr>
        <a:xfrm>
          <a:off x="0" y="0"/>
          <a:ext cx="807720" cy="12192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5</xdr:row>
      <xdr:rowOff>0</xdr:rowOff>
    </xdr:from>
    <xdr:to>
      <xdr:col>10</xdr:col>
      <xdr:colOff>335280</xdr:colOff>
      <xdr:row>25</xdr:row>
      <xdr:rowOff>0</xdr:rowOff>
    </xdr:to>
    <xdr:sp macro="" textlink="">
      <xdr:nvSpPr>
        <xdr:cNvPr id="2" name="Rectangle: Rounded Corners 1">
          <a:extLst>
            <a:ext uri="{FF2B5EF4-FFF2-40B4-BE49-F238E27FC236}">
              <a16:creationId xmlns:a16="http://schemas.microsoft.com/office/drawing/2014/main" id="{43316274-C15B-43A3-857A-5F9800D42A43}"/>
            </a:ext>
          </a:extLst>
        </xdr:cNvPr>
        <xdr:cNvSpPr/>
      </xdr:nvSpPr>
      <xdr:spPr>
        <a:xfrm>
          <a:off x="3048000" y="914400"/>
          <a:ext cx="3383280" cy="3657600"/>
        </a:xfrm>
        <a:prstGeom prst="roundRect">
          <a:avLst>
            <a:gd name="adj" fmla="val 5007"/>
          </a:avLst>
        </a:prstGeom>
        <a:gradFill>
          <a:gsLst>
            <a:gs pos="0">
              <a:srgbClr val="262835"/>
            </a:gs>
            <a:gs pos="58000">
              <a:srgbClr val="121622"/>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0</xdr:colOff>
      <xdr:row>2</xdr:row>
      <xdr:rowOff>0</xdr:rowOff>
    </xdr:from>
    <xdr:to>
      <xdr:col>2</xdr:col>
      <xdr:colOff>53340</xdr:colOff>
      <xdr:row>5</xdr:row>
      <xdr:rowOff>114300</xdr:rowOff>
    </xdr:to>
    <xdr:sp macro="" textlink="">
      <xdr:nvSpPr>
        <xdr:cNvPr id="6" name="Rectangle 5">
          <a:extLst>
            <a:ext uri="{FF2B5EF4-FFF2-40B4-BE49-F238E27FC236}">
              <a16:creationId xmlns:a16="http://schemas.microsoft.com/office/drawing/2014/main" id="{DBD5C70D-4AD1-4B41-9FEA-2927418D8C24}"/>
            </a:ext>
          </a:extLst>
        </xdr:cNvPr>
        <xdr:cNvSpPr/>
      </xdr:nvSpPr>
      <xdr:spPr>
        <a:xfrm>
          <a:off x="609600" y="365760"/>
          <a:ext cx="662940" cy="662940"/>
        </a:xfrm>
        <a:prstGeom prst="rect">
          <a:avLst/>
        </a:prstGeom>
        <a:gradFill>
          <a:gsLst>
            <a:gs pos="0">
              <a:srgbClr val="FFDB04"/>
            </a:gs>
            <a:gs pos="100000">
              <a:srgbClr val="FF7B21"/>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0</xdr:colOff>
      <xdr:row>6</xdr:row>
      <xdr:rowOff>41910</xdr:rowOff>
    </xdr:from>
    <xdr:to>
      <xdr:col>2</xdr:col>
      <xdr:colOff>53340</xdr:colOff>
      <xdr:row>9</xdr:row>
      <xdr:rowOff>156210</xdr:rowOff>
    </xdr:to>
    <xdr:sp macro="" textlink="">
      <xdr:nvSpPr>
        <xdr:cNvPr id="7" name="Rectangle 6">
          <a:extLst>
            <a:ext uri="{FF2B5EF4-FFF2-40B4-BE49-F238E27FC236}">
              <a16:creationId xmlns:a16="http://schemas.microsoft.com/office/drawing/2014/main" id="{121CD2B9-3500-40B2-946E-85313187D8FA}"/>
            </a:ext>
          </a:extLst>
        </xdr:cNvPr>
        <xdr:cNvSpPr/>
      </xdr:nvSpPr>
      <xdr:spPr>
        <a:xfrm>
          <a:off x="609600" y="1139190"/>
          <a:ext cx="662940" cy="662940"/>
        </a:xfrm>
        <a:prstGeom prst="rect">
          <a:avLst/>
        </a:prstGeom>
        <a:gradFill>
          <a:gsLst>
            <a:gs pos="0">
              <a:srgbClr val="A868FA"/>
            </a:gs>
            <a:gs pos="100000">
              <a:srgbClr val="6469FF"/>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0</xdr:colOff>
      <xdr:row>10</xdr:row>
      <xdr:rowOff>83820</xdr:rowOff>
    </xdr:from>
    <xdr:to>
      <xdr:col>2</xdr:col>
      <xdr:colOff>53340</xdr:colOff>
      <xdr:row>14</xdr:row>
      <xdr:rowOff>15240</xdr:rowOff>
    </xdr:to>
    <xdr:sp macro="" textlink="">
      <xdr:nvSpPr>
        <xdr:cNvPr id="8" name="Rectangle 7">
          <a:extLst>
            <a:ext uri="{FF2B5EF4-FFF2-40B4-BE49-F238E27FC236}">
              <a16:creationId xmlns:a16="http://schemas.microsoft.com/office/drawing/2014/main" id="{4BEBF7DA-B139-403D-B83F-E1CCDF62538B}"/>
            </a:ext>
          </a:extLst>
        </xdr:cNvPr>
        <xdr:cNvSpPr/>
      </xdr:nvSpPr>
      <xdr:spPr>
        <a:xfrm>
          <a:off x="609600" y="1912620"/>
          <a:ext cx="662940" cy="662940"/>
        </a:xfrm>
        <a:prstGeom prst="rect">
          <a:avLst/>
        </a:prstGeom>
        <a:gradFill>
          <a:gsLst>
            <a:gs pos="0">
              <a:srgbClr val="29EBFC"/>
            </a:gs>
            <a:gs pos="100000">
              <a:srgbClr val="2596FF"/>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0</xdr:colOff>
      <xdr:row>14</xdr:row>
      <xdr:rowOff>125730</xdr:rowOff>
    </xdr:from>
    <xdr:to>
      <xdr:col>2</xdr:col>
      <xdr:colOff>53340</xdr:colOff>
      <xdr:row>18</xdr:row>
      <xdr:rowOff>57150</xdr:rowOff>
    </xdr:to>
    <xdr:sp macro="" textlink="">
      <xdr:nvSpPr>
        <xdr:cNvPr id="9" name="Rectangle 8">
          <a:extLst>
            <a:ext uri="{FF2B5EF4-FFF2-40B4-BE49-F238E27FC236}">
              <a16:creationId xmlns:a16="http://schemas.microsoft.com/office/drawing/2014/main" id="{0CCD97E2-D864-44DD-BC69-29A3B048F12A}"/>
            </a:ext>
          </a:extLst>
        </xdr:cNvPr>
        <xdr:cNvSpPr/>
      </xdr:nvSpPr>
      <xdr:spPr>
        <a:xfrm>
          <a:off x="609600" y="2686050"/>
          <a:ext cx="662940" cy="662940"/>
        </a:xfrm>
        <a:prstGeom prst="rect">
          <a:avLst/>
        </a:prstGeom>
        <a:gradFill>
          <a:gsLst>
            <a:gs pos="0">
              <a:srgbClr val="8F4AE5"/>
            </a:gs>
            <a:gs pos="100000">
              <a:srgbClr val="FA2A7F"/>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0</xdr:colOff>
      <xdr:row>18</xdr:row>
      <xdr:rowOff>167640</xdr:rowOff>
    </xdr:from>
    <xdr:to>
      <xdr:col>2</xdr:col>
      <xdr:colOff>53340</xdr:colOff>
      <xdr:row>22</xdr:row>
      <xdr:rowOff>99060</xdr:rowOff>
    </xdr:to>
    <xdr:sp macro="" textlink="">
      <xdr:nvSpPr>
        <xdr:cNvPr id="10" name="Rectangle 9">
          <a:extLst>
            <a:ext uri="{FF2B5EF4-FFF2-40B4-BE49-F238E27FC236}">
              <a16:creationId xmlns:a16="http://schemas.microsoft.com/office/drawing/2014/main" id="{6EB631EA-A9BE-45B8-A6EC-83A5BB09813C}"/>
            </a:ext>
          </a:extLst>
        </xdr:cNvPr>
        <xdr:cNvSpPr/>
      </xdr:nvSpPr>
      <xdr:spPr>
        <a:xfrm>
          <a:off x="609600" y="3459480"/>
          <a:ext cx="662940" cy="662940"/>
        </a:xfrm>
        <a:prstGeom prst="rect">
          <a:avLst/>
        </a:prstGeom>
        <a:gradFill>
          <a:gsLst>
            <a:gs pos="0">
              <a:srgbClr val="A1FF21"/>
            </a:gs>
            <a:gs pos="100000">
              <a:srgbClr val="2596FF"/>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364.730975578706" createdVersion="8" refreshedVersion="8" minRefreshableVersion="3" recordCount="192" xr:uid="{6F27EAB6-4087-42A4-8C08-D5FAD3129AB8}">
  <cacheSource type="worksheet">
    <worksheetSource name="mydata"/>
  </cacheSource>
  <cacheFields count="16">
    <cacheField name="Year" numFmtId="0">
      <sharedItems containsSemiMixedTypes="0" containsString="0" containsNumber="1" containsInteger="1" minValue="2022" maxValue="2025" count="4">
        <n v="2022"/>
        <n v="2023"/>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Name Month" numFmtId="0">
      <sharedItems count="12">
        <s v="JAN"/>
        <s v="FEB"/>
        <s v="MAR"/>
        <s v="APR"/>
        <s v="MAY"/>
        <s v="JUN"/>
        <s v="JUL"/>
        <s v="AUG"/>
        <s v="SEP"/>
        <s v="OCT"/>
        <s v="NOV"/>
        <s v="DEC"/>
      </sharedItems>
    </cacheField>
    <cacheField name="Departments" numFmtId="0">
      <sharedItems count="4">
        <s v="InnoForge"/>
        <s v="MarketFlow"/>
        <s v="CashOptic"/>
        <s v="ClientPulse"/>
      </sharedItems>
    </cacheField>
    <cacheField name="Revenue Plan" numFmtId="9">
      <sharedItems containsSemiMixedTypes="0" containsString="0" containsNumber="1" minValue="0.7" maxValue="1.1000000000000001"/>
    </cacheField>
    <cacheField name="Profitability Plan" numFmtId="9">
      <sharedItems containsSemiMixedTypes="0" containsString="0" containsNumber="1" minValue="0.37" maxValue="0.97"/>
    </cacheField>
    <cacheField name="Conversion Plan" numFmtId="9">
      <sharedItems containsSemiMixedTypes="0" containsString="0" containsNumber="1" minValue="0.38" maxValue="0.78"/>
    </cacheField>
    <cacheField name="Transaction Quantity Plan" numFmtId="9">
      <sharedItems containsSemiMixedTypes="0" containsString="0" containsNumber="1" minValue="0.35" maxValue="1.1499999999999999"/>
    </cacheField>
    <cacheField name="Profit" numFmtId="0">
      <sharedItems containsSemiMixedTypes="0" containsString="0" containsNumber="1" containsInteger="1" minValue="50" maxValue="993"/>
    </cacheField>
    <cacheField name="Loss" numFmtId="0">
      <sharedItems containsSemiMixedTypes="0" containsString="0" containsNumber="1" containsInteger="1" minValue="28" maxValue="788"/>
    </cacheField>
    <cacheField name="KPI" numFmtId="9">
      <sharedItems containsSemiMixedTypes="0" containsString="0" containsNumber="1" minValue="0.65" maxValue="1.2"/>
    </cacheField>
    <cacheField name="Positive Factors" numFmtId="0">
      <sharedItems containsSemiMixedTypes="0" containsString="0" containsNumber="1" minValue="5" maxValue="10"/>
    </cacheField>
    <cacheField name="Negative Factors" numFmtId="0">
      <sharedItems containsSemiMixedTypes="0" containsString="0" containsNumber="1" minValue="2.5" maxValue="5"/>
    </cacheField>
    <cacheField name="Factor ratio" numFmtId="9">
      <sharedItems containsSemiMixedTypes="0" containsString="0" containsNumber="1" minValue="0.52" maxValue="0.79365079365079372"/>
    </cacheField>
    <cacheField name="Cash Flow" numFmtId="0">
      <sharedItems containsSemiMixedTypes="0" containsString="0" containsNumber="1" containsInteger="1" minValue="30654" maxValue="97993"/>
    </cacheField>
    <cacheField name="Revenue" numFmtId="0">
      <sharedItems containsSemiMixedTypes="0" containsString="0" containsNumber="1" containsInteger="1" minValue="3065" maxValue="9799"/>
    </cacheField>
  </cacheFields>
  <extLst>
    <ext xmlns:x14="http://schemas.microsoft.com/office/spreadsheetml/2009/9/main" uri="{725AE2AE-9491-48be-B2B4-4EB974FC3084}">
      <x14:pivotCacheDefinition pivotCacheId="2055287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x v="0"/>
    <n v="0.88"/>
    <n v="0.65"/>
    <n v="0.43"/>
    <n v="0.95"/>
    <n v="647"/>
    <n v="112"/>
    <n v="1.1000000000000001"/>
    <n v="7.6"/>
    <n v="4.5"/>
    <n v="0.62809917355371903"/>
    <n v="54273"/>
    <n v="4713"/>
  </r>
  <r>
    <x v="0"/>
    <x v="1"/>
    <x v="1"/>
    <x v="0"/>
    <n v="0.93"/>
    <n v="0.75"/>
    <n v="0.56999999999999995"/>
    <n v="0.81"/>
    <n v="663"/>
    <n v="97"/>
    <n v="0.8"/>
    <n v="6"/>
    <n v="4"/>
    <n v="0.6"/>
    <n v="70184"/>
    <n v="4660"/>
  </r>
  <r>
    <x v="0"/>
    <x v="2"/>
    <x v="2"/>
    <x v="0"/>
    <n v="0.92"/>
    <n v="0.79"/>
    <n v="0.75"/>
    <n v="0.57999999999999996"/>
    <n v="575"/>
    <n v="38"/>
    <n v="1.17"/>
    <n v="5.8"/>
    <n v="4.2"/>
    <n v="0.57999999999999996"/>
    <n v="55321"/>
    <n v="6259"/>
  </r>
  <r>
    <x v="0"/>
    <x v="3"/>
    <x v="3"/>
    <x v="0"/>
    <n v="0.92"/>
    <n v="0.53"/>
    <n v="0.56000000000000005"/>
    <n v="0.95"/>
    <n v="271"/>
    <n v="448"/>
    <n v="0.79"/>
    <n v="5.0999999999999996"/>
    <n v="3.1"/>
    <n v="0.62195121951219512"/>
    <n v="44235"/>
    <n v="8885"/>
  </r>
  <r>
    <x v="0"/>
    <x v="4"/>
    <x v="4"/>
    <x v="0"/>
    <n v="1.05"/>
    <n v="0.6"/>
    <n v="0.51"/>
    <n v="0.63"/>
    <n v="604"/>
    <n v="356"/>
    <n v="1.03"/>
    <n v="8.1"/>
    <n v="3.3"/>
    <n v="0.71052631578947378"/>
    <n v="44309"/>
    <n v="7606"/>
  </r>
  <r>
    <x v="0"/>
    <x v="5"/>
    <x v="5"/>
    <x v="0"/>
    <n v="0.87"/>
    <n v="0.54"/>
    <n v="0.68"/>
    <n v="0.57999999999999996"/>
    <n v="557"/>
    <n v="33"/>
    <n v="0.65"/>
    <n v="9.6"/>
    <n v="3.6"/>
    <n v="0.72727272727272729"/>
    <n v="70269"/>
    <n v="8541"/>
  </r>
  <r>
    <x v="0"/>
    <x v="6"/>
    <x v="6"/>
    <x v="0"/>
    <n v="0.9"/>
    <n v="0.81"/>
    <n v="0.47"/>
    <n v="0.7"/>
    <n v="915"/>
    <n v="153"/>
    <n v="0.91"/>
    <n v="9.6999999999999993"/>
    <n v="2.8"/>
    <n v="0.77599999999999991"/>
    <n v="87151"/>
    <n v="6941"/>
  </r>
  <r>
    <x v="0"/>
    <x v="7"/>
    <x v="7"/>
    <x v="0"/>
    <n v="0.84"/>
    <n v="0.8"/>
    <n v="0.45"/>
    <n v="0.92"/>
    <n v="993"/>
    <n v="240"/>
    <n v="0.96"/>
    <n v="7.4"/>
    <n v="3.2"/>
    <n v="0.69811320754716977"/>
    <n v="69112"/>
    <n v="7427"/>
  </r>
  <r>
    <x v="0"/>
    <x v="8"/>
    <x v="8"/>
    <x v="0"/>
    <n v="0.79"/>
    <n v="0.78"/>
    <n v="0.64"/>
    <n v="0.45"/>
    <n v="659"/>
    <n v="374"/>
    <n v="0.9"/>
    <n v="8"/>
    <n v="4.2"/>
    <n v="0.65573770491803285"/>
    <n v="62321"/>
    <n v="8984"/>
  </r>
  <r>
    <x v="0"/>
    <x v="9"/>
    <x v="9"/>
    <x v="0"/>
    <n v="1.1000000000000001"/>
    <n v="0.53"/>
    <n v="0.6"/>
    <n v="0.56999999999999995"/>
    <n v="219"/>
    <n v="440"/>
    <n v="0.66"/>
    <n v="9.3000000000000007"/>
    <n v="4.8"/>
    <n v="0.65957446808510634"/>
    <n v="53127"/>
    <n v="8695"/>
  </r>
  <r>
    <x v="0"/>
    <x v="10"/>
    <x v="10"/>
    <x v="0"/>
    <n v="0.81"/>
    <n v="0.37"/>
    <n v="0.4"/>
    <n v="0.98"/>
    <n v="762"/>
    <n v="324"/>
    <n v="0.72"/>
    <n v="9.9"/>
    <n v="4.3"/>
    <n v="0.69718309859154937"/>
    <n v="86122"/>
    <n v="5150"/>
  </r>
  <r>
    <x v="0"/>
    <x v="11"/>
    <x v="11"/>
    <x v="0"/>
    <n v="1.08"/>
    <n v="0.37"/>
    <n v="0.49"/>
    <n v="0.51"/>
    <n v="939"/>
    <n v="44"/>
    <n v="1.0900000000000001"/>
    <n v="6.6"/>
    <n v="4.8"/>
    <n v="0.57894736842105265"/>
    <n v="85271"/>
    <n v="7412"/>
  </r>
  <r>
    <x v="1"/>
    <x v="0"/>
    <x v="0"/>
    <x v="0"/>
    <n v="0.93"/>
    <n v="0.86"/>
    <n v="0.48"/>
    <n v="0.66"/>
    <n v="100"/>
    <n v="160"/>
    <n v="0.98"/>
    <n v="7.2"/>
    <n v="3.7"/>
    <n v="0.66055045871559637"/>
    <n v="40333"/>
    <n v="4904"/>
  </r>
  <r>
    <x v="1"/>
    <x v="1"/>
    <x v="1"/>
    <x v="0"/>
    <n v="0.73"/>
    <n v="0.88"/>
    <n v="0.63"/>
    <n v="0.43"/>
    <n v="300"/>
    <n v="400"/>
    <n v="0.83"/>
    <n v="5.2"/>
    <n v="4.8"/>
    <n v="0.52"/>
    <n v="54886"/>
    <n v="5531"/>
  </r>
  <r>
    <x v="1"/>
    <x v="2"/>
    <x v="2"/>
    <x v="0"/>
    <n v="1.08"/>
    <n v="0.74"/>
    <n v="0.5"/>
    <n v="0.85"/>
    <n v="50"/>
    <n v="272"/>
    <n v="1.06"/>
    <n v="6"/>
    <n v="4.4000000000000004"/>
    <n v="0.57692307692307687"/>
    <n v="59363"/>
    <n v="4424"/>
  </r>
  <r>
    <x v="1"/>
    <x v="3"/>
    <x v="3"/>
    <x v="0"/>
    <n v="0.83"/>
    <n v="0.77"/>
    <n v="0.41"/>
    <n v="0.7"/>
    <n v="330"/>
    <n v="728"/>
    <n v="0.96"/>
    <n v="8.6"/>
    <n v="4"/>
    <n v="0.68253968253968256"/>
    <n v="71415"/>
    <n v="4376"/>
  </r>
  <r>
    <x v="1"/>
    <x v="4"/>
    <x v="4"/>
    <x v="0"/>
    <n v="0.8"/>
    <n v="0.49"/>
    <n v="0.66"/>
    <n v="0.71"/>
    <n v="720"/>
    <n v="609"/>
    <n v="0.77"/>
    <n v="9"/>
    <n v="3"/>
    <n v="0.75"/>
    <n v="66493"/>
    <n v="6222"/>
  </r>
  <r>
    <x v="1"/>
    <x v="5"/>
    <x v="5"/>
    <x v="0"/>
    <n v="0.76"/>
    <n v="0.37"/>
    <n v="0.7"/>
    <n v="0.35"/>
    <n v="658"/>
    <n v="320"/>
    <n v="0.81"/>
    <n v="7.6"/>
    <n v="2.6"/>
    <n v="0.74509803921568629"/>
    <n v="70891"/>
    <n v="6094"/>
  </r>
  <r>
    <x v="1"/>
    <x v="6"/>
    <x v="6"/>
    <x v="0"/>
    <n v="0.98"/>
    <n v="0.66"/>
    <n v="0.57999999999999996"/>
    <n v="0.67"/>
    <n v="250"/>
    <n v="400"/>
    <n v="0.84"/>
    <n v="9"/>
    <n v="2.7"/>
    <n v="0.76923076923076927"/>
    <n v="60960"/>
    <n v="7272"/>
  </r>
  <r>
    <x v="1"/>
    <x v="7"/>
    <x v="7"/>
    <x v="0"/>
    <n v="0.8"/>
    <n v="0.63"/>
    <n v="0.65"/>
    <n v="0.68"/>
    <n v="400"/>
    <n v="680"/>
    <n v="0.97"/>
    <n v="6.8"/>
    <n v="4"/>
    <n v="0.62962962962962954"/>
    <n v="85995"/>
    <n v="5406"/>
  </r>
  <r>
    <x v="1"/>
    <x v="8"/>
    <x v="8"/>
    <x v="0"/>
    <n v="0.72"/>
    <n v="0.76"/>
    <n v="0.62"/>
    <n v="0.56000000000000005"/>
    <n v="300"/>
    <n v="560"/>
    <n v="0.7"/>
    <n v="8.6"/>
    <n v="4.8"/>
    <n v="0.64179104477611948"/>
    <n v="65576"/>
    <n v="7943"/>
  </r>
  <r>
    <x v="1"/>
    <x v="9"/>
    <x v="9"/>
    <x v="0"/>
    <n v="0.84"/>
    <n v="0.95"/>
    <n v="0.46"/>
    <n v="0.79"/>
    <n v="250"/>
    <n v="464"/>
    <n v="0.68"/>
    <n v="9.1999999999999993"/>
    <n v="3.4"/>
    <n v="0.73015873015873012"/>
    <n v="61421"/>
    <n v="8407"/>
  </r>
  <r>
    <x v="1"/>
    <x v="10"/>
    <x v="10"/>
    <x v="0"/>
    <n v="0.71"/>
    <n v="0.56000000000000005"/>
    <n v="0.46"/>
    <n v="1.1000000000000001"/>
    <n v="300"/>
    <n v="280"/>
    <n v="1.19"/>
    <n v="8.3000000000000007"/>
    <n v="2.9"/>
    <n v="0.7410714285714286"/>
    <n v="78210"/>
    <n v="7002"/>
  </r>
  <r>
    <x v="1"/>
    <x v="11"/>
    <x v="11"/>
    <x v="0"/>
    <n v="1.03"/>
    <n v="0.41"/>
    <n v="0.42"/>
    <n v="1.08"/>
    <n v="100"/>
    <n v="160"/>
    <n v="1.03"/>
    <n v="6.9"/>
    <n v="2.7"/>
    <n v="0.71874999999999989"/>
    <n v="68825"/>
    <n v="8075"/>
  </r>
  <r>
    <x v="2"/>
    <x v="0"/>
    <x v="0"/>
    <x v="0"/>
    <n v="1.08"/>
    <n v="0.38"/>
    <n v="0.5"/>
    <n v="0.39"/>
    <n v="660"/>
    <n v="110"/>
    <n v="0.73"/>
    <n v="7.3"/>
    <n v="2.8"/>
    <n v="0.72277227722772275"/>
    <n v="63230"/>
    <n v="8342"/>
  </r>
  <r>
    <x v="2"/>
    <x v="1"/>
    <x v="1"/>
    <x v="0"/>
    <n v="0.7"/>
    <n v="0.88"/>
    <n v="0.5"/>
    <n v="0.68"/>
    <n v="849"/>
    <n v="390"/>
    <n v="0.72"/>
    <n v="9.4"/>
    <n v="3.1"/>
    <n v="0.752"/>
    <n v="51236"/>
    <n v="6245"/>
  </r>
  <r>
    <x v="2"/>
    <x v="2"/>
    <x v="2"/>
    <x v="0"/>
    <n v="1.07"/>
    <n v="0.57999999999999996"/>
    <n v="0.59"/>
    <n v="0.36"/>
    <n v="186"/>
    <n v="200"/>
    <n v="1.1000000000000001"/>
    <n v="9.5"/>
    <n v="2.7"/>
    <n v="0.77868852459016402"/>
    <n v="74264"/>
    <n v="6817"/>
  </r>
  <r>
    <x v="2"/>
    <x v="3"/>
    <x v="3"/>
    <x v="0"/>
    <n v="1.03"/>
    <n v="0.8"/>
    <n v="0.41"/>
    <n v="0.4"/>
    <n v="975"/>
    <n v="471"/>
    <n v="0.75"/>
    <n v="7.4"/>
    <n v="4.5"/>
    <n v="0.62184873949579833"/>
    <n v="75244"/>
    <n v="6381"/>
  </r>
  <r>
    <x v="2"/>
    <x v="4"/>
    <x v="4"/>
    <x v="0"/>
    <n v="1.0900000000000001"/>
    <n v="0.57999999999999996"/>
    <n v="0.72"/>
    <n v="0.37"/>
    <n v="620"/>
    <n v="587"/>
    <n v="0.68"/>
    <n v="10"/>
    <n v="2.6"/>
    <n v="0.79365079365079372"/>
    <n v="59286"/>
    <n v="7176"/>
  </r>
  <r>
    <x v="2"/>
    <x v="5"/>
    <x v="5"/>
    <x v="0"/>
    <n v="1.07"/>
    <n v="0.93"/>
    <n v="0.73"/>
    <n v="0.49"/>
    <n v="527"/>
    <n v="165"/>
    <n v="1.17"/>
    <n v="5.4"/>
    <n v="4.9000000000000004"/>
    <n v="0.52427184466019416"/>
    <n v="59233"/>
    <n v="7358"/>
  </r>
  <r>
    <x v="2"/>
    <x v="6"/>
    <x v="6"/>
    <x v="0"/>
    <n v="0.76"/>
    <n v="0.76"/>
    <n v="0.55000000000000004"/>
    <n v="0.44"/>
    <n v="147"/>
    <n v="76"/>
    <n v="0.96"/>
    <n v="9.6999999999999993"/>
    <n v="4.4000000000000004"/>
    <n v="0.68794326241134751"/>
    <n v="88113"/>
    <n v="6991"/>
  </r>
  <r>
    <x v="2"/>
    <x v="7"/>
    <x v="7"/>
    <x v="0"/>
    <n v="0.87"/>
    <n v="0.63"/>
    <n v="0.48"/>
    <n v="1.1299999999999999"/>
    <n v="496"/>
    <n v="327"/>
    <n v="0.71"/>
    <n v="7.4"/>
    <n v="4"/>
    <n v="0.64912280701754388"/>
    <n v="95294"/>
    <n v="7323"/>
  </r>
  <r>
    <x v="2"/>
    <x v="8"/>
    <x v="8"/>
    <x v="0"/>
    <n v="1.1000000000000001"/>
    <n v="0.72"/>
    <n v="0.73"/>
    <n v="0.64"/>
    <n v="345"/>
    <n v="320"/>
    <n v="0.71"/>
    <n v="5.8"/>
    <n v="3.9"/>
    <n v="0.59793814432989689"/>
    <n v="75305"/>
    <n v="4918"/>
  </r>
  <r>
    <x v="2"/>
    <x v="9"/>
    <x v="9"/>
    <x v="0"/>
    <n v="0.96"/>
    <n v="0.71"/>
    <n v="0.45"/>
    <n v="0.71"/>
    <n v="600"/>
    <n v="539"/>
    <n v="1.1499999999999999"/>
    <n v="7.2"/>
    <n v="4.4000000000000004"/>
    <n v="0.6206896551724137"/>
    <n v="97127"/>
    <n v="4978"/>
  </r>
  <r>
    <x v="2"/>
    <x v="10"/>
    <x v="10"/>
    <x v="0"/>
    <n v="0.99"/>
    <n v="0.94"/>
    <n v="0.71"/>
    <n v="0.86"/>
    <n v="640"/>
    <n v="392"/>
    <n v="0.99"/>
    <n v="5.9"/>
    <n v="3.1"/>
    <n v="0.65555555555555556"/>
    <n v="90333"/>
    <n v="4927"/>
  </r>
  <r>
    <x v="2"/>
    <x v="11"/>
    <x v="11"/>
    <x v="0"/>
    <n v="0.71"/>
    <n v="0.47"/>
    <n v="0.56000000000000005"/>
    <n v="0.99"/>
    <n v="980"/>
    <n v="90"/>
    <n v="0.76"/>
    <n v="7.7"/>
    <n v="4.2"/>
    <n v="0.6470588235294118"/>
    <n v="55315"/>
    <n v="5724"/>
  </r>
  <r>
    <x v="3"/>
    <x v="0"/>
    <x v="0"/>
    <x v="0"/>
    <n v="0.74"/>
    <n v="0.87"/>
    <n v="0.77"/>
    <n v="0.7"/>
    <n v="143"/>
    <n v="432"/>
    <n v="0.91"/>
    <n v="7.6"/>
    <n v="3.8"/>
    <n v="0.66666666666666674"/>
    <n v="62764"/>
    <n v="4911"/>
  </r>
  <r>
    <x v="3"/>
    <x v="1"/>
    <x v="1"/>
    <x v="0"/>
    <n v="0.73"/>
    <n v="0.76"/>
    <n v="0.38"/>
    <n v="0.64"/>
    <n v="299"/>
    <n v="151"/>
    <n v="1"/>
    <n v="5.8"/>
    <n v="3"/>
    <n v="0.65909090909090906"/>
    <n v="31136"/>
    <n v="7174"/>
  </r>
  <r>
    <x v="3"/>
    <x v="2"/>
    <x v="2"/>
    <x v="0"/>
    <n v="0.73"/>
    <n v="0.6"/>
    <n v="0.59"/>
    <n v="1.1100000000000001"/>
    <n v="857"/>
    <n v="444"/>
    <n v="1.01"/>
    <n v="7.1"/>
    <n v="4.8"/>
    <n v="0.59663865546218486"/>
    <n v="30654"/>
    <n v="7639"/>
  </r>
  <r>
    <x v="3"/>
    <x v="3"/>
    <x v="3"/>
    <x v="0"/>
    <n v="1.02"/>
    <n v="0.87"/>
    <n v="0.73"/>
    <n v="0.89"/>
    <n v="366"/>
    <n v="369"/>
    <n v="0.75"/>
    <n v="5.2"/>
    <n v="4.7"/>
    <n v="0.5252525252525253"/>
    <n v="63732"/>
    <n v="7984"/>
  </r>
  <r>
    <x v="3"/>
    <x v="4"/>
    <x v="4"/>
    <x v="0"/>
    <n v="0.94"/>
    <n v="0.67"/>
    <n v="0.71"/>
    <n v="0.44"/>
    <n v="649"/>
    <n v="183"/>
    <n v="0.95"/>
    <n v="8.3000000000000007"/>
    <n v="4.5"/>
    <n v="0.6484375"/>
    <n v="74428"/>
    <n v="6249"/>
  </r>
  <r>
    <x v="3"/>
    <x v="5"/>
    <x v="5"/>
    <x v="0"/>
    <n v="0.73"/>
    <n v="0.8"/>
    <n v="0.7"/>
    <n v="0.42"/>
    <n v="414"/>
    <n v="451"/>
    <n v="1.08"/>
    <n v="8.9"/>
    <n v="3.5"/>
    <n v="0.717741935483871"/>
    <n v="79394"/>
    <n v="8188"/>
  </r>
  <r>
    <x v="3"/>
    <x v="6"/>
    <x v="6"/>
    <x v="0"/>
    <n v="1.08"/>
    <n v="0.51"/>
    <n v="0.65"/>
    <n v="0.5"/>
    <n v="987"/>
    <n v="465"/>
    <n v="1.01"/>
    <n v="8.5"/>
    <n v="5"/>
    <n v="0.62962962962962965"/>
    <n v="77949"/>
    <n v="6499"/>
  </r>
  <r>
    <x v="3"/>
    <x v="7"/>
    <x v="7"/>
    <x v="0"/>
    <n v="0.98"/>
    <n v="0.93"/>
    <n v="0.68"/>
    <n v="0.5"/>
    <n v="621"/>
    <n v="417"/>
    <n v="1.08"/>
    <n v="10"/>
    <n v="4.3"/>
    <n v="0.69930069930069927"/>
    <n v="47334"/>
    <n v="7559"/>
  </r>
  <r>
    <x v="3"/>
    <x v="8"/>
    <x v="8"/>
    <x v="0"/>
    <n v="0.84"/>
    <n v="0.7"/>
    <n v="0.67"/>
    <n v="0.66"/>
    <n v="456"/>
    <n v="76"/>
    <n v="0.78"/>
    <n v="9.1"/>
    <n v="5"/>
    <n v="0.64539007092198586"/>
    <n v="56566"/>
    <n v="7821"/>
  </r>
  <r>
    <x v="3"/>
    <x v="9"/>
    <x v="9"/>
    <x v="0"/>
    <n v="1"/>
    <n v="0.87"/>
    <n v="0.72"/>
    <n v="0.57999999999999996"/>
    <n v="556"/>
    <n v="277"/>
    <n v="1.01"/>
    <n v="6"/>
    <n v="2.7"/>
    <n v="0.68965517241379315"/>
    <n v="62222"/>
    <n v="8317"/>
  </r>
  <r>
    <x v="3"/>
    <x v="10"/>
    <x v="10"/>
    <x v="0"/>
    <n v="0.86"/>
    <n v="0.41"/>
    <n v="0.61"/>
    <n v="0.9"/>
    <n v="972"/>
    <n v="431"/>
    <n v="0.68"/>
    <n v="6"/>
    <n v="3.8"/>
    <n v="0.61224489795918358"/>
    <n v="88727"/>
    <n v="7752"/>
  </r>
  <r>
    <x v="3"/>
    <x v="11"/>
    <x v="11"/>
    <x v="0"/>
    <n v="1.04"/>
    <n v="0.41"/>
    <n v="0.48"/>
    <n v="1.04"/>
    <n v="531"/>
    <n v="52"/>
    <n v="1.1000000000000001"/>
    <n v="9.1999999999999993"/>
    <n v="4.2"/>
    <n v="0.68656716417910446"/>
    <n v="59156"/>
    <n v="9567"/>
  </r>
  <r>
    <x v="0"/>
    <x v="0"/>
    <x v="0"/>
    <x v="1"/>
    <n v="0.91"/>
    <n v="0.6"/>
    <n v="0.46"/>
    <n v="0.84"/>
    <n v="189"/>
    <n v="282"/>
    <n v="0.79"/>
    <n v="5.5"/>
    <n v="4.5999999999999996"/>
    <n v="0.54455445544554459"/>
    <n v="59363"/>
    <n v="5166"/>
  </r>
  <r>
    <x v="0"/>
    <x v="1"/>
    <x v="1"/>
    <x v="1"/>
    <n v="0.93"/>
    <n v="0.56999999999999995"/>
    <n v="0.56999999999999995"/>
    <n v="1.06"/>
    <n v="939"/>
    <n v="156"/>
    <n v="0.8"/>
    <n v="6.9"/>
    <n v="3.3"/>
    <n v="0.67647058823529416"/>
    <n v="89414"/>
    <n v="5952"/>
  </r>
  <r>
    <x v="0"/>
    <x v="2"/>
    <x v="2"/>
    <x v="1"/>
    <n v="0.94"/>
    <n v="0.87"/>
    <n v="0.48"/>
    <n v="1.01"/>
    <n v="950"/>
    <n v="226"/>
    <n v="1.1299999999999999"/>
    <n v="7.3"/>
    <n v="4.5"/>
    <n v="0.61864406779661008"/>
    <n v="73068"/>
    <n v="5745"/>
  </r>
  <r>
    <x v="0"/>
    <x v="3"/>
    <x v="3"/>
    <x v="1"/>
    <n v="1.08"/>
    <n v="0.83"/>
    <n v="0.75"/>
    <n v="0.77"/>
    <n v="369"/>
    <n v="312"/>
    <n v="1.17"/>
    <n v="6.5"/>
    <n v="2.9"/>
    <n v="0.6914893617021276"/>
    <n v="68212"/>
    <n v="8224"/>
  </r>
  <r>
    <x v="0"/>
    <x v="4"/>
    <x v="4"/>
    <x v="1"/>
    <n v="0.99"/>
    <n v="0.63"/>
    <n v="0.61"/>
    <n v="0.91"/>
    <n v="152"/>
    <n v="177"/>
    <n v="1.1299999999999999"/>
    <n v="8.6999999999999993"/>
    <n v="2.9"/>
    <n v="0.75"/>
    <n v="64010"/>
    <n v="8881"/>
  </r>
  <r>
    <x v="0"/>
    <x v="5"/>
    <x v="5"/>
    <x v="1"/>
    <n v="0.81"/>
    <n v="0.66"/>
    <n v="0.65"/>
    <n v="0.92"/>
    <n v="412"/>
    <n v="245"/>
    <n v="0.7"/>
    <n v="7.8"/>
    <n v="4.3"/>
    <n v="0.64462809917355368"/>
    <n v="96895"/>
    <n v="8037"/>
  </r>
  <r>
    <x v="0"/>
    <x v="6"/>
    <x v="6"/>
    <x v="1"/>
    <n v="0.85"/>
    <n v="0.95"/>
    <n v="0.53"/>
    <n v="0.95"/>
    <n v="248"/>
    <n v="86"/>
    <n v="0.81"/>
    <n v="7"/>
    <n v="3.7"/>
    <n v="0.65420560747663559"/>
    <n v="80299"/>
    <n v="9275"/>
  </r>
  <r>
    <x v="0"/>
    <x v="7"/>
    <x v="7"/>
    <x v="1"/>
    <n v="0.93"/>
    <n v="0.47"/>
    <n v="0.43"/>
    <n v="0.48"/>
    <n v="270"/>
    <n v="65"/>
    <n v="0.68"/>
    <n v="7"/>
    <n v="4.9000000000000004"/>
    <n v="0.58823529411764708"/>
    <n v="73592"/>
    <n v="8803"/>
  </r>
  <r>
    <x v="0"/>
    <x v="8"/>
    <x v="8"/>
    <x v="1"/>
    <n v="0.98"/>
    <n v="0.79"/>
    <n v="0.55000000000000004"/>
    <n v="0.73"/>
    <n v="156"/>
    <n v="344"/>
    <n v="1.1599999999999999"/>
    <n v="8.4"/>
    <n v="3.8"/>
    <n v="0.68852459016393452"/>
    <n v="81821"/>
    <n v="9220"/>
  </r>
  <r>
    <x v="0"/>
    <x v="9"/>
    <x v="9"/>
    <x v="1"/>
    <n v="0.9"/>
    <n v="0.4"/>
    <n v="0.6"/>
    <n v="0.87"/>
    <n v="560"/>
    <n v="309"/>
    <n v="1.1000000000000001"/>
    <n v="8"/>
    <n v="3.6"/>
    <n v="0.68965517241379315"/>
    <n v="64626"/>
    <n v="8148"/>
  </r>
  <r>
    <x v="0"/>
    <x v="10"/>
    <x v="10"/>
    <x v="1"/>
    <n v="1"/>
    <n v="0.61"/>
    <n v="0.74"/>
    <n v="0.9"/>
    <n v="768"/>
    <n v="126"/>
    <n v="1.04"/>
    <n v="6.5"/>
    <n v="3.3"/>
    <n v="0.66326530612244894"/>
    <n v="62199"/>
    <n v="9375"/>
  </r>
  <r>
    <x v="0"/>
    <x v="11"/>
    <x v="11"/>
    <x v="1"/>
    <n v="0.92"/>
    <n v="0.82"/>
    <n v="0.53"/>
    <n v="1.08"/>
    <n v="408"/>
    <n v="396"/>
    <n v="0.81"/>
    <n v="9.4"/>
    <n v="4.9000000000000004"/>
    <n v="0.65734265734265729"/>
    <n v="93684"/>
    <n v="8087"/>
  </r>
  <r>
    <x v="1"/>
    <x v="0"/>
    <x v="0"/>
    <x v="1"/>
    <n v="0.85"/>
    <n v="0.93"/>
    <n v="0.41"/>
    <n v="1.1100000000000001"/>
    <n v="302"/>
    <n v="200"/>
    <n v="1.08"/>
    <n v="9.4"/>
    <n v="3"/>
    <n v="0.75806451612903225"/>
    <n v="59421"/>
    <n v="8474"/>
  </r>
  <r>
    <x v="1"/>
    <x v="1"/>
    <x v="1"/>
    <x v="1"/>
    <n v="0.82"/>
    <n v="0.72"/>
    <n v="0.49"/>
    <n v="0.51"/>
    <n v="402"/>
    <n v="317"/>
    <n v="0.68"/>
    <n v="5.3"/>
    <n v="4.5999999999999996"/>
    <n v="0.53535353535353536"/>
    <n v="58013"/>
    <n v="7977"/>
  </r>
  <r>
    <x v="1"/>
    <x v="2"/>
    <x v="2"/>
    <x v="1"/>
    <n v="0.93"/>
    <n v="0.75"/>
    <n v="0.75"/>
    <n v="0.44"/>
    <n v="707"/>
    <n v="398"/>
    <n v="1.19"/>
    <n v="5.7"/>
    <n v="2.6"/>
    <n v="0.68674698795180722"/>
    <n v="86396"/>
    <n v="5616"/>
  </r>
  <r>
    <x v="1"/>
    <x v="3"/>
    <x v="3"/>
    <x v="1"/>
    <n v="0.82"/>
    <n v="0.95"/>
    <n v="0.7"/>
    <n v="0.57999999999999996"/>
    <n v="647"/>
    <n v="788"/>
    <n v="0.96"/>
    <n v="10"/>
    <n v="3.8"/>
    <n v="0.72463768115942029"/>
    <n v="74375"/>
    <n v="5723"/>
  </r>
  <r>
    <x v="1"/>
    <x v="4"/>
    <x v="4"/>
    <x v="1"/>
    <n v="0.83"/>
    <n v="0.75"/>
    <n v="0.69"/>
    <n v="0.42"/>
    <n v="339"/>
    <n v="774"/>
    <n v="0.87"/>
    <n v="5.3"/>
    <n v="3"/>
    <n v="0.63855421686746983"/>
    <n v="88534"/>
    <n v="7402"/>
  </r>
  <r>
    <x v="1"/>
    <x v="5"/>
    <x v="5"/>
    <x v="1"/>
    <n v="0.88"/>
    <n v="0.75"/>
    <n v="0.56999999999999995"/>
    <n v="0.85"/>
    <n v="460"/>
    <n v="441"/>
    <n v="1.1100000000000001"/>
    <n v="5.6"/>
    <n v="4.4000000000000004"/>
    <n v="0.55999999999999994"/>
    <n v="94240"/>
    <n v="6240"/>
  </r>
  <r>
    <x v="1"/>
    <x v="6"/>
    <x v="6"/>
    <x v="1"/>
    <n v="0.74"/>
    <n v="0.9"/>
    <n v="0.7"/>
    <n v="0.45"/>
    <n v="345"/>
    <n v="374"/>
    <n v="1"/>
    <n v="5.0999999999999996"/>
    <n v="4.5"/>
    <n v="0.53125"/>
    <n v="76545"/>
    <n v="6830"/>
  </r>
  <r>
    <x v="1"/>
    <x v="7"/>
    <x v="7"/>
    <x v="1"/>
    <n v="0.99"/>
    <n v="0.68"/>
    <n v="0.46"/>
    <n v="0.65"/>
    <n v="123"/>
    <n v="476"/>
    <n v="0.77"/>
    <n v="6.7"/>
    <n v="3"/>
    <n v="0.69072164948453618"/>
    <n v="64398"/>
    <n v="5844"/>
  </r>
  <r>
    <x v="1"/>
    <x v="8"/>
    <x v="8"/>
    <x v="1"/>
    <n v="1.0900000000000001"/>
    <n v="0.62"/>
    <n v="0.55000000000000004"/>
    <n v="0.71"/>
    <n v="585"/>
    <n v="370"/>
    <n v="1.03"/>
    <n v="6.4"/>
    <n v="4.7"/>
    <n v="0.57657657657657657"/>
    <n v="60550"/>
    <n v="6894"/>
  </r>
  <r>
    <x v="1"/>
    <x v="9"/>
    <x v="9"/>
    <x v="1"/>
    <n v="1.06"/>
    <n v="0.39"/>
    <n v="0.55000000000000004"/>
    <n v="0.46"/>
    <n v="503"/>
    <n v="324"/>
    <n v="1.1200000000000001"/>
    <n v="6.5"/>
    <n v="2.7"/>
    <n v="0.70652173913043481"/>
    <n v="93126"/>
    <n v="5003"/>
  </r>
  <r>
    <x v="1"/>
    <x v="10"/>
    <x v="10"/>
    <x v="1"/>
    <n v="0.87"/>
    <n v="0.71"/>
    <n v="0.48"/>
    <n v="0.84"/>
    <n v="746"/>
    <n v="701"/>
    <n v="0.92"/>
    <n v="8.3000000000000007"/>
    <n v="3.2"/>
    <n v="0.72173913043478266"/>
    <n v="93766"/>
    <n v="5041"/>
  </r>
  <r>
    <x v="1"/>
    <x v="11"/>
    <x v="11"/>
    <x v="1"/>
    <n v="0.93"/>
    <n v="0.88"/>
    <n v="0.52"/>
    <n v="0.55000000000000004"/>
    <n v="89"/>
    <n v="476"/>
    <n v="1.08"/>
    <n v="5.2"/>
    <n v="3.5"/>
    <n v="0.5977011494252874"/>
    <n v="97993"/>
    <n v="5938"/>
  </r>
  <r>
    <x v="2"/>
    <x v="0"/>
    <x v="0"/>
    <x v="1"/>
    <n v="0.74"/>
    <n v="0.56999999999999995"/>
    <n v="0.74"/>
    <n v="0.47"/>
    <n v="914"/>
    <n v="553"/>
    <n v="0.88"/>
    <n v="5.9"/>
    <n v="5"/>
    <n v="0.54128440366972475"/>
    <n v="57814"/>
    <n v="7236"/>
  </r>
  <r>
    <x v="2"/>
    <x v="1"/>
    <x v="1"/>
    <x v="1"/>
    <n v="1.07"/>
    <n v="0.72"/>
    <n v="0.54"/>
    <n v="0.92"/>
    <n v="295"/>
    <n v="482"/>
    <n v="0.93"/>
    <n v="8.6999999999999993"/>
    <n v="4.5999999999999996"/>
    <n v="0.65413533834586468"/>
    <n v="79808"/>
    <n v="9193"/>
  </r>
  <r>
    <x v="2"/>
    <x v="2"/>
    <x v="2"/>
    <x v="1"/>
    <n v="1.01"/>
    <n v="0.67"/>
    <n v="0.63"/>
    <n v="1.1499999999999999"/>
    <n v="144"/>
    <n v="62"/>
    <n v="1.1399999999999999"/>
    <n v="6.4"/>
    <n v="2.8"/>
    <n v="0.69565217391304357"/>
    <n v="85178"/>
    <n v="9422"/>
  </r>
  <r>
    <x v="2"/>
    <x v="3"/>
    <x v="3"/>
    <x v="1"/>
    <n v="0.74"/>
    <n v="0.69"/>
    <n v="0.47"/>
    <n v="0.6"/>
    <n v="671"/>
    <n v="572"/>
    <n v="0.98"/>
    <n v="7.9"/>
    <n v="4.9000000000000004"/>
    <n v="0.6171875"/>
    <n v="58715"/>
    <n v="7225"/>
  </r>
  <r>
    <x v="2"/>
    <x v="4"/>
    <x v="4"/>
    <x v="1"/>
    <n v="0.89"/>
    <n v="0.84"/>
    <n v="0.6"/>
    <n v="0.56000000000000005"/>
    <n v="675"/>
    <n v="336"/>
    <n v="1.1200000000000001"/>
    <n v="7.4"/>
    <n v="4.3"/>
    <n v="0.63247863247863256"/>
    <n v="58169"/>
    <n v="9604"/>
  </r>
  <r>
    <x v="2"/>
    <x v="5"/>
    <x v="5"/>
    <x v="1"/>
    <n v="1.01"/>
    <n v="0.62"/>
    <n v="0.76"/>
    <n v="0.68"/>
    <n v="78"/>
    <n v="540"/>
    <n v="0.9"/>
    <n v="7.1"/>
    <n v="4.7"/>
    <n v="0.60169491525423724"/>
    <n v="74894"/>
    <n v="6185"/>
  </r>
  <r>
    <x v="2"/>
    <x v="6"/>
    <x v="6"/>
    <x v="1"/>
    <n v="1"/>
    <n v="0.6"/>
    <n v="0.4"/>
    <n v="0.47"/>
    <n v="904"/>
    <n v="554"/>
    <n v="0.87"/>
    <n v="6.3"/>
    <n v="2.7"/>
    <n v="0.7"/>
    <n v="67504"/>
    <n v="7871"/>
  </r>
  <r>
    <x v="2"/>
    <x v="7"/>
    <x v="7"/>
    <x v="1"/>
    <n v="0.91"/>
    <n v="0.8"/>
    <n v="0.51"/>
    <n v="0.89"/>
    <n v="897"/>
    <n v="352"/>
    <n v="1.07"/>
    <n v="5.5"/>
    <n v="2.8"/>
    <n v="0.66265060240963847"/>
    <n v="56711"/>
    <n v="7097"/>
  </r>
  <r>
    <x v="2"/>
    <x v="8"/>
    <x v="8"/>
    <x v="1"/>
    <n v="0.82"/>
    <n v="0.52"/>
    <n v="0.74"/>
    <n v="0.87"/>
    <n v="863"/>
    <n v="483"/>
    <n v="0.68"/>
    <n v="7.7"/>
    <n v="3.2"/>
    <n v="0.70642201834862384"/>
    <n v="77272"/>
    <n v="6950"/>
  </r>
  <r>
    <x v="2"/>
    <x v="9"/>
    <x v="9"/>
    <x v="1"/>
    <n v="1"/>
    <n v="0.81"/>
    <n v="0.62"/>
    <n v="0.38"/>
    <n v="223"/>
    <n v="89"/>
    <n v="0.93"/>
    <n v="7"/>
    <n v="4.4000000000000004"/>
    <n v="0.61403508771929827"/>
    <n v="66486"/>
    <n v="9271"/>
  </r>
  <r>
    <x v="2"/>
    <x v="10"/>
    <x v="10"/>
    <x v="1"/>
    <n v="0.85"/>
    <n v="0.47"/>
    <n v="0.49"/>
    <n v="1.1200000000000001"/>
    <n v="66"/>
    <n v="89"/>
    <n v="0.75"/>
    <n v="7.8"/>
    <n v="3"/>
    <n v="0.72222222222222221"/>
    <n v="88251"/>
    <n v="8972"/>
  </r>
  <r>
    <x v="2"/>
    <x v="11"/>
    <x v="11"/>
    <x v="1"/>
    <n v="1.07"/>
    <n v="0.76"/>
    <n v="0.74"/>
    <n v="0.56999999999999995"/>
    <n v="801"/>
    <n v="307"/>
    <n v="0.75"/>
    <n v="5.7"/>
    <n v="5"/>
    <n v="0.53271028037383183"/>
    <n v="86111"/>
    <n v="7657"/>
  </r>
  <r>
    <x v="3"/>
    <x v="0"/>
    <x v="0"/>
    <x v="1"/>
    <n v="0.96"/>
    <n v="0.4"/>
    <n v="0.64"/>
    <n v="0.56999999999999995"/>
    <n v="746"/>
    <n v="105"/>
    <n v="0.99"/>
    <n v="9.1999999999999993"/>
    <n v="4.2"/>
    <n v="0.68656716417910446"/>
    <n v="85998"/>
    <n v="6675"/>
  </r>
  <r>
    <x v="3"/>
    <x v="1"/>
    <x v="1"/>
    <x v="1"/>
    <n v="0.84"/>
    <n v="0.42"/>
    <n v="0.62"/>
    <n v="0.64"/>
    <n v="343"/>
    <n v="369"/>
    <n v="0.69"/>
    <n v="6.2"/>
    <n v="3.4"/>
    <n v="0.64583333333333337"/>
    <n v="74541"/>
    <n v="9099"/>
  </r>
  <r>
    <x v="3"/>
    <x v="2"/>
    <x v="2"/>
    <x v="1"/>
    <n v="0.99"/>
    <n v="0.69"/>
    <n v="0.78"/>
    <n v="1.04"/>
    <n v="554"/>
    <n v="253"/>
    <n v="1.01"/>
    <n v="9.6999999999999993"/>
    <n v="4.0999999999999996"/>
    <n v="0.70289855072463769"/>
    <n v="94017"/>
    <n v="7163"/>
  </r>
  <r>
    <x v="3"/>
    <x v="3"/>
    <x v="3"/>
    <x v="1"/>
    <n v="1.1000000000000001"/>
    <n v="0.8"/>
    <n v="0.46"/>
    <n v="0.76"/>
    <n v="772"/>
    <n v="227"/>
    <n v="0.96"/>
    <n v="8.9"/>
    <n v="4.8"/>
    <n v="0.64963503649635046"/>
    <n v="85191"/>
    <n v="9630"/>
  </r>
  <r>
    <x v="3"/>
    <x v="4"/>
    <x v="4"/>
    <x v="1"/>
    <n v="0.78"/>
    <n v="0.84"/>
    <n v="0.41"/>
    <n v="0.38"/>
    <n v="218"/>
    <n v="303"/>
    <n v="1.0900000000000001"/>
    <n v="6.7"/>
    <n v="4.0999999999999996"/>
    <n v="0.62037037037037035"/>
    <n v="87158"/>
    <n v="7291"/>
  </r>
  <r>
    <x v="3"/>
    <x v="5"/>
    <x v="5"/>
    <x v="1"/>
    <n v="0.98"/>
    <n v="0.6"/>
    <n v="0.59"/>
    <n v="0.9"/>
    <n v="365"/>
    <n v="264"/>
    <n v="1.2"/>
    <n v="8.5"/>
    <n v="4.9000000000000004"/>
    <n v="0.63432835820895517"/>
    <n v="59871"/>
    <n v="9139"/>
  </r>
  <r>
    <x v="3"/>
    <x v="6"/>
    <x v="6"/>
    <x v="1"/>
    <n v="0.94"/>
    <n v="0.57999999999999996"/>
    <n v="0.65"/>
    <n v="0.41"/>
    <n v="456"/>
    <n v="418"/>
    <n v="0.69"/>
    <n v="10"/>
    <n v="3.3"/>
    <n v="0.75187969924812026"/>
    <n v="55766"/>
    <n v="6946"/>
  </r>
  <r>
    <x v="3"/>
    <x v="7"/>
    <x v="7"/>
    <x v="1"/>
    <n v="0.98"/>
    <n v="0.59"/>
    <n v="0.59"/>
    <n v="0.56000000000000005"/>
    <n v="123"/>
    <n v="284"/>
    <n v="0.82"/>
    <n v="8"/>
    <n v="3.5"/>
    <n v="0.69565217391304346"/>
    <n v="62194"/>
    <n v="5636"/>
  </r>
  <r>
    <x v="3"/>
    <x v="8"/>
    <x v="8"/>
    <x v="1"/>
    <n v="0.82"/>
    <n v="0.72"/>
    <n v="0.56000000000000005"/>
    <n v="0.65"/>
    <n v="515"/>
    <n v="450"/>
    <n v="1.17"/>
    <n v="9.1999999999999993"/>
    <n v="4.7"/>
    <n v="0.66187050359712229"/>
    <n v="62832"/>
    <n v="6745"/>
  </r>
  <r>
    <x v="3"/>
    <x v="9"/>
    <x v="9"/>
    <x v="1"/>
    <n v="1.0900000000000001"/>
    <n v="0.9"/>
    <n v="0.65"/>
    <n v="0.93"/>
    <n v="405"/>
    <n v="315"/>
    <n v="0.93"/>
    <n v="5.5"/>
    <n v="4.0999999999999996"/>
    <n v="0.57291666666666674"/>
    <n v="75865"/>
    <n v="6473"/>
  </r>
  <r>
    <x v="3"/>
    <x v="10"/>
    <x v="10"/>
    <x v="1"/>
    <n v="0.9"/>
    <n v="0.87"/>
    <n v="0.64"/>
    <n v="0.46"/>
    <n v="930"/>
    <n v="410"/>
    <n v="1.2"/>
    <n v="5.3"/>
    <n v="4.5"/>
    <n v="0.54081632653061218"/>
    <n v="55192"/>
    <n v="9311"/>
  </r>
  <r>
    <x v="3"/>
    <x v="11"/>
    <x v="11"/>
    <x v="1"/>
    <n v="1.06"/>
    <n v="0.97"/>
    <n v="0.46"/>
    <n v="0.78"/>
    <n v="435"/>
    <n v="509"/>
    <n v="0.91"/>
    <n v="9.3000000000000007"/>
    <n v="3.1"/>
    <n v="0.75"/>
    <n v="68958"/>
    <n v="9497"/>
  </r>
  <r>
    <x v="0"/>
    <x v="0"/>
    <x v="0"/>
    <x v="2"/>
    <n v="0.97"/>
    <n v="0.89"/>
    <n v="0.47"/>
    <n v="0.75"/>
    <n v="627"/>
    <n v="144"/>
    <n v="1.1399999999999999"/>
    <n v="7.3"/>
    <n v="2.7"/>
    <n v="0.73"/>
    <n v="64810"/>
    <n v="6274"/>
  </r>
  <r>
    <x v="0"/>
    <x v="1"/>
    <x v="1"/>
    <x v="2"/>
    <n v="0.96"/>
    <n v="0.7"/>
    <n v="0.44"/>
    <n v="0.62"/>
    <n v="731"/>
    <n v="440"/>
    <n v="0.96"/>
    <n v="5.0999999999999996"/>
    <n v="4.4000000000000004"/>
    <n v="0.5368421052631579"/>
    <n v="83792"/>
    <n v="9334"/>
  </r>
  <r>
    <x v="0"/>
    <x v="2"/>
    <x v="2"/>
    <x v="2"/>
    <n v="1.05"/>
    <n v="0.39"/>
    <n v="0.78"/>
    <n v="1"/>
    <n v="126"/>
    <n v="88"/>
    <n v="0.89"/>
    <n v="5.3"/>
    <n v="4.4000000000000004"/>
    <n v="0.54639175257731964"/>
    <n v="52486"/>
    <n v="7239"/>
  </r>
  <r>
    <x v="0"/>
    <x v="3"/>
    <x v="3"/>
    <x v="2"/>
    <n v="0.88"/>
    <n v="0.92"/>
    <n v="0.74"/>
    <n v="0.93"/>
    <n v="910"/>
    <n v="292"/>
    <n v="0.83"/>
    <n v="6.4"/>
    <n v="4.9000000000000004"/>
    <n v="0.5663716814159292"/>
    <n v="70833"/>
    <n v="6993"/>
  </r>
  <r>
    <x v="0"/>
    <x v="4"/>
    <x v="4"/>
    <x v="2"/>
    <n v="0.97"/>
    <n v="0.37"/>
    <n v="0.65"/>
    <n v="0.67"/>
    <n v="160"/>
    <n v="368"/>
    <n v="1.05"/>
    <n v="8.9"/>
    <n v="2.5"/>
    <n v="0.7807017543859649"/>
    <n v="74571"/>
    <n v="5844"/>
  </r>
  <r>
    <x v="0"/>
    <x v="5"/>
    <x v="5"/>
    <x v="2"/>
    <n v="0.91"/>
    <n v="0.68"/>
    <n v="0.39"/>
    <n v="0.62"/>
    <n v="379"/>
    <n v="37"/>
    <n v="1.17"/>
    <n v="9.6"/>
    <n v="4.5999999999999996"/>
    <n v="0.676056338028169"/>
    <n v="90807"/>
    <n v="7830"/>
  </r>
  <r>
    <x v="0"/>
    <x v="6"/>
    <x v="6"/>
    <x v="2"/>
    <n v="0.97"/>
    <n v="0.47"/>
    <n v="0.43"/>
    <n v="0.45"/>
    <n v="77"/>
    <n v="102"/>
    <n v="1.2"/>
    <n v="9.6999999999999993"/>
    <n v="4.9000000000000004"/>
    <n v="0.66438356164383561"/>
    <n v="64600"/>
    <n v="8117"/>
  </r>
  <r>
    <x v="0"/>
    <x v="7"/>
    <x v="7"/>
    <x v="2"/>
    <n v="0.91"/>
    <n v="0.43"/>
    <n v="0.72"/>
    <n v="0.65"/>
    <n v="723"/>
    <n v="350"/>
    <n v="0.82"/>
    <n v="8.1999999999999993"/>
    <n v="4.3"/>
    <n v="0.65599999999999992"/>
    <n v="73916"/>
    <n v="8767"/>
  </r>
  <r>
    <x v="0"/>
    <x v="8"/>
    <x v="8"/>
    <x v="2"/>
    <n v="1.1000000000000001"/>
    <n v="0.85"/>
    <n v="0.61"/>
    <n v="0.45"/>
    <n v="152"/>
    <n v="270"/>
    <n v="1.1499999999999999"/>
    <n v="5.3"/>
    <n v="3.6"/>
    <n v="0.5955056179775281"/>
    <n v="69999"/>
    <n v="5446"/>
  </r>
  <r>
    <x v="0"/>
    <x v="9"/>
    <x v="9"/>
    <x v="2"/>
    <n v="0.82"/>
    <n v="0.88"/>
    <n v="0.77"/>
    <n v="0.8"/>
    <n v="240"/>
    <n v="164"/>
    <n v="0.77"/>
    <n v="5.2"/>
    <n v="2.6"/>
    <n v="0.66666666666666663"/>
    <n v="69710"/>
    <n v="5448"/>
  </r>
  <r>
    <x v="0"/>
    <x v="10"/>
    <x v="10"/>
    <x v="2"/>
    <n v="0.71"/>
    <n v="0.38"/>
    <n v="0.41"/>
    <n v="0.69"/>
    <n v="570"/>
    <n v="134"/>
    <n v="0.98"/>
    <n v="10"/>
    <n v="2.6"/>
    <n v="0.79365079365079372"/>
    <n v="84870"/>
    <n v="7668"/>
  </r>
  <r>
    <x v="0"/>
    <x v="11"/>
    <x v="11"/>
    <x v="2"/>
    <n v="0.7"/>
    <n v="0.64"/>
    <n v="0.38"/>
    <n v="0.96"/>
    <n v="935"/>
    <n v="206"/>
    <n v="1"/>
    <n v="8"/>
    <n v="3.2"/>
    <n v="0.7142857142857143"/>
    <n v="72758"/>
    <n v="5692"/>
  </r>
  <r>
    <x v="1"/>
    <x v="0"/>
    <x v="0"/>
    <x v="2"/>
    <n v="1.03"/>
    <n v="0.68"/>
    <n v="0.69"/>
    <n v="0.7"/>
    <n v="732"/>
    <n v="568"/>
    <n v="1.1599999999999999"/>
    <n v="5.5"/>
    <n v="4.9000000000000004"/>
    <n v="0.52884615384615385"/>
    <n v="56927"/>
    <n v="7275"/>
  </r>
  <r>
    <x v="1"/>
    <x v="1"/>
    <x v="1"/>
    <x v="2"/>
    <n v="0.74"/>
    <n v="0.75"/>
    <n v="0.54"/>
    <n v="0.94"/>
    <n v="225"/>
    <n v="658"/>
    <n v="0.78"/>
    <n v="7.8"/>
    <n v="4.7"/>
    <n v="0.624"/>
    <n v="76681"/>
    <n v="8487"/>
  </r>
  <r>
    <x v="1"/>
    <x v="2"/>
    <x v="2"/>
    <x v="2"/>
    <n v="0.84"/>
    <n v="0.47"/>
    <n v="0.76"/>
    <n v="0.39"/>
    <n v="884"/>
    <n v="164"/>
    <n v="0.83"/>
    <n v="8.3000000000000007"/>
    <n v="4.5"/>
    <n v="0.6484375"/>
    <n v="54489"/>
    <n v="6971"/>
  </r>
  <r>
    <x v="1"/>
    <x v="3"/>
    <x v="3"/>
    <x v="2"/>
    <n v="1.0900000000000001"/>
    <n v="0.39"/>
    <n v="0.62"/>
    <n v="1"/>
    <n v="581"/>
    <n v="649"/>
    <n v="1.1200000000000001"/>
    <n v="10"/>
    <n v="3.7"/>
    <n v="0.72992700729927007"/>
    <n v="54468"/>
    <n v="6999"/>
  </r>
  <r>
    <x v="1"/>
    <x v="4"/>
    <x v="4"/>
    <x v="2"/>
    <n v="0.79"/>
    <n v="0.46"/>
    <n v="0.49"/>
    <n v="0.56999999999999995"/>
    <n v="449"/>
    <n v="282"/>
    <n v="1.17"/>
    <n v="9.3000000000000007"/>
    <n v="2.7"/>
    <n v="0.77500000000000002"/>
    <n v="87677"/>
    <n v="7391"/>
  </r>
  <r>
    <x v="1"/>
    <x v="5"/>
    <x v="5"/>
    <x v="2"/>
    <n v="0.8"/>
    <n v="0.89"/>
    <n v="0.38"/>
    <n v="0.66"/>
    <n v="415"/>
    <n v="739"/>
    <n v="0.86"/>
    <n v="5.2"/>
    <n v="2.6"/>
    <n v="0.66666666666666663"/>
    <n v="81173"/>
    <n v="6460"/>
  </r>
  <r>
    <x v="1"/>
    <x v="6"/>
    <x v="6"/>
    <x v="2"/>
    <n v="0.98"/>
    <n v="0.71"/>
    <n v="0.56999999999999995"/>
    <n v="0.7"/>
    <n v="458"/>
    <n v="60"/>
    <n v="0.75"/>
    <n v="8.9"/>
    <n v="3.9"/>
    <n v="0.6953125"/>
    <n v="78300"/>
    <n v="9080"/>
  </r>
  <r>
    <x v="1"/>
    <x v="7"/>
    <x v="7"/>
    <x v="2"/>
    <n v="1.03"/>
    <n v="0.72"/>
    <n v="0.53"/>
    <n v="0.37"/>
    <n v="119"/>
    <n v="238"/>
    <n v="1.01"/>
    <n v="8.1"/>
    <n v="3.4"/>
    <n v="0.70434782608695645"/>
    <n v="58445"/>
    <n v="7457"/>
  </r>
  <r>
    <x v="1"/>
    <x v="8"/>
    <x v="8"/>
    <x v="2"/>
    <n v="1.08"/>
    <n v="0.44"/>
    <n v="0.75"/>
    <n v="0.62"/>
    <n v="611"/>
    <n v="280"/>
    <n v="0.87"/>
    <n v="7.4"/>
    <n v="4.5999999999999996"/>
    <n v="0.6166666666666667"/>
    <n v="69932"/>
    <n v="7083"/>
  </r>
  <r>
    <x v="1"/>
    <x v="9"/>
    <x v="9"/>
    <x v="2"/>
    <n v="0.91"/>
    <n v="0.84"/>
    <n v="0.42"/>
    <n v="0.61"/>
    <n v="531"/>
    <n v="332"/>
    <n v="1.06"/>
    <n v="5.4"/>
    <n v="3.6"/>
    <n v="0.60000000000000009"/>
    <n v="72393"/>
    <n v="5248"/>
  </r>
  <r>
    <x v="1"/>
    <x v="10"/>
    <x v="10"/>
    <x v="2"/>
    <n v="0.89"/>
    <n v="0.62"/>
    <n v="0.64"/>
    <n v="0.75"/>
    <n v="975"/>
    <n v="268"/>
    <n v="0.94"/>
    <n v="7.2"/>
    <n v="3.8"/>
    <n v="0.65454545454545454"/>
    <n v="93343"/>
    <n v="8379"/>
  </r>
  <r>
    <x v="1"/>
    <x v="11"/>
    <x v="11"/>
    <x v="2"/>
    <n v="0.71"/>
    <n v="0.75"/>
    <n v="0.68"/>
    <n v="1.02"/>
    <n v="470"/>
    <n v="136"/>
    <n v="1.0900000000000001"/>
    <n v="9.9"/>
    <n v="3.5"/>
    <n v="0.73880597014925375"/>
    <n v="62747"/>
    <n v="6481"/>
  </r>
  <r>
    <x v="2"/>
    <x v="0"/>
    <x v="0"/>
    <x v="2"/>
    <n v="1.0900000000000001"/>
    <n v="0.82"/>
    <n v="0.75"/>
    <n v="0.47"/>
    <n v="608"/>
    <n v="419"/>
    <n v="0.94"/>
    <n v="5.7"/>
    <n v="3.7"/>
    <n v="0.6063829787234043"/>
    <n v="94978"/>
    <n v="6895"/>
  </r>
  <r>
    <x v="2"/>
    <x v="1"/>
    <x v="1"/>
    <x v="2"/>
    <n v="0.89"/>
    <n v="0.85"/>
    <n v="0.39"/>
    <n v="0.84"/>
    <n v="230"/>
    <n v="141"/>
    <n v="1.1200000000000001"/>
    <n v="9"/>
    <n v="3"/>
    <n v="0.75"/>
    <n v="93111"/>
    <n v="5519"/>
  </r>
  <r>
    <x v="2"/>
    <x v="2"/>
    <x v="2"/>
    <x v="2"/>
    <n v="0.8"/>
    <n v="0.68"/>
    <n v="0.44"/>
    <n v="0.94"/>
    <n v="942"/>
    <n v="89"/>
    <n v="0.83"/>
    <n v="6.5"/>
    <n v="3.6"/>
    <n v="0.64356435643564358"/>
    <n v="64735"/>
    <n v="7586"/>
  </r>
  <r>
    <x v="2"/>
    <x v="3"/>
    <x v="3"/>
    <x v="2"/>
    <n v="0.8"/>
    <n v="0.56000000000000005"/>
    <n v="0.73"/>
    <n v="0.8"/>
    <n v="452"/>
    <n v="147"/>
    <n v="0.65"/>
    <n v="5.5"/>
    <n v="2.8"/>
    <n v="0.66265060240963847"/>
    <n v="67457"/>
    <n v="6283"/>
  </r>
  <r>
    <x v="2"/>
    <x v="4"/>
    <x v="4"/>
    <x v="2"/>
    <n v="1.04"/>
    <n v="0.57999999999999996"/>
    <n v="0.73"/>
    <n v="0.74"/>
    <n v="809"/>
    <n v="470"/>
    <n v="0.81"/>
    <n v="5"/>
    <n v="4.5999999999999996"/>
    <n v="0.52083333333333337"/>
    <n v="56366"/>
    <n v="6219"/>
  </r>
  <r>
    <x v="2"/>
    <x v="5"/>
    <x v="5"/>
    <x v="2"/>
    <n v="0.95"/>
    <n v="0.67"/>
    <n v="0.72"/>
    <n v="0.41"/>
    <n v="780"/>
    <n v="497"/>
    <n v="0.93"/>
    <n v="6.6"/>
    <n v="3.2"/>
    <n v="0.6734693877551019"/>
    <n v="69467"/>
    <n v="5576"/>
  </r>
  <r>
    <x v="2"/>
    <x v="6"/>
    <x v="6"/>
    <x v="2"/>
    <n v="0.81"/>
    <n v="0.76"/>
    <n v="0.48"/>
    <n v="1.05"/>
    <n v="251"/>
    <n v="235"/>
    <n v="0.69"/>
    <n v="5.5"/>
    <n v="2.8"/>
    <n v="0.66265060240963847"/>
    <n v="91399"/>
    <n v="5987"/>
  </r>
  <r>
    <x v="2"/>
    <x v="7"/>
    <x v="7"/>
    <x v="2"/>
    <n v="0.74"/>
    <n v="0.42"/>
    <n v="0.39"/>
    <n v="0.83"/>
    <n v="507"/>
    <n v="528"/>
    <n v="1.08"/>
    <n v="6.6"/>
    <n v="4.2"/>
    <n v="0.61111111111111105"/>
    <n v="72911"/>
    <n v="8715"/>
  </r>
  <r>
    <x v="2"/>
    <x v="8"/>
    <x v="8"/>
    <x v="2"/>
    <n v="0.88"/>
    <n v="0.84"/>
    <n v="0.45"/>
    <n v="0.35"/>
    <n v="163"/>
    <n v="600"/>
    <n v="0.98"/>
    <n v="10"/>
    <n v="2.8"/>
    <n v="0.78125"/>
    <n v="96302"/>
    <n v="8519"/>
  </r>
  <r>
    <x v="2"/>
    <x v="9"/>
    <x v="9"/>
    <x v="2"/>
    <n v="0.8"/>
    <n v="0.61"/>
    <n v="0.7"/>
    <n v="1.07"/>
    <n v="306"/>
    <n v="179"/>
    <n v="0.97"/>
    <n v="8"/>
    <n v="3.7"/>
    <n v="0.68376068376068377"/>
    <n v="71637"/>
    <n v="9401"/>
  </r>
  <r>
    <x v="2"/>
    <x v="10"/>
    <x v="10"/>
    <x v="2"/>
    <n v="0.89"/>
    <n v="0.68"/>
    <n v="0.56999999999999995"/>
    <n v="0.41"/>
    <n v="239"/>
    <n v="212"/>
    <n v="1.06"/>
    <n v="7.5"/>
    <n v="3.5"/>
    <n v="0.68181818181818177"/>
    <n v="90995"/>
    <n v="7454"/>
  </r>
  <r>
    <x v="2"/>
    <x v="11"/>
    <x v="11"/>
    <x v="2"/>
    <n v="0.87"/>
    <n v="0.9"/>
    <n v="0.68"/>
    <n v="0.93"/>
    <n v="521"/>
    <n v="422"/>
    <n v="0.85"/>
    <n v="5.0999999999999996"/>
    <n v="2.5"/>
    <n v="0.67105263157894735"/>
    <n v="66756"/>
    <n v="8599"/>
  </r>
  <r>
    <x v="3"/>
    <x v="0"/>
    <x v="0"/>
    <x v="2"/>
    <n v="0.95"/>
    <n v="0.7"/>
    <n v="0.59"/>
    <n v="0.61"/>
    <n v="913"/>
    <n v="240"/>
    <n v="0.76"/>
    <n v="9.6"/>
    <n v="2.6"/>
    <n v="0.78688524590163933"/>
    <n v="76579"/>
    <n v="8611"/>
  </r>
  <r>
    <x v="3"/>
    <x v="1"/>
    <x v="1"/>
    <x v="2"/>
    <n v="0.77"/>
    <n v="0.91"/>
    <n v="0.53"/>
    <n v="0.45"/>
    <n v="138"/>
    <n v="184"/>
    <n v="0.8"/>
    <n v="7.3"/>
    <n v="3.9"/>
    <n v="0.6517857142857143"/>
    <n v="89720"/>
    <n v="8825"/>
  </r>
  <r>
    <x v="3"/>
    <x v="2"/>
    <x v="2"/>
    <x v="2"/>
    <n v="0.76"/>
    <n v="0.41"/>
    <n v="0.57999999999999996"/>
    <n v="1.03"/>
    <n v="483"/>
    <n v="445"/>
    <n v="1.1599999999999999"/>
    <n v="8"/>
    <n v="3.1"/>
    <n v="0.7207207207207208"/>
    <n v="92717"/>
    <n v="6648"/>
  </r>
  <r>
    <x v="3"/>
    <x v="3"/>
    <x v="3"/>
    <x v="2"/>
    <n v="0.89"/>
    <n v="0.53"/>
    <n v="0.61"/>
    <n v="0.64"/>
    <n v="946"/>
    <n v="135"/>
    <n v="0.78"/>
    <n v="6.3"/>
    <n v="3.6"/>
    <n v="0.63636363636363635"/>
    <n v="69501"/>
    <n v="7727"/>
  </r>
  <r>
    <x v="3"/>
    <x v="4"/>
    <x v="4"/>
    <x v="2"/>
    <n v="0.73"/>
    <n v="0.65"/>
    <n v="0.55000000000000004"/>
    <n v="0.76"/>
    <n v="901"/>
    <n v="385"/>
    <n v="1.06"/>
    <n v="8.1"/>
    <n v="2.6"/>
    <n v="0.7570093457943925"/>
    <n v="70977"/>
    <n v="5671"/>
  </r>
  <r>
    <x v="3"/>
    <x v="5"/>
    <x v="5"/>
    <x v="2"/>
    <n v="1.03"/>
    <n v="0.67"/>
    <n v="0.65"/>
    <n v="0.68"/>
    <n v="339"/>
    <n v="310"/>
    <n v="0.73"/>
    <n v="7.4"/>
    <n v="4.2"/>
    <n v="0.63793103448275856"/>
    <n v="78719"/>
    <n v="6750"/>
  </r>
  <r>
    <x v="3"/>
    <x v="6"/>
    <x v="6"/>
    <x v="2"/>
    <n v="0.98"/>
    <n v="0.6"/>
    <n v="0.78"/>
    <n v="0.6"/>
    <n v="729"/>
    <n v="28"/>
    <n v="1.02"/>
    <n v="5.4"/>
    <n v="3.8"/>
    <n v="0.58695652173913049"/>
    <n v="61851"/>
    <n v="7489"/>
  </r>
  <r>
    <x v="3"/>
    <x v="7"/>
    <x v="7"/>
    <x v="2"/>
    <n v="1.02"/>
    <n v="0.38"/>
    <n v="0.4"/>
    <n v="0.53"/>
    <n v="745"/>
    <n v="314"/>
    <n v="0.9"/>
    <n v="8.4"/>
    <n v="3.6"/>
    <n v="0.70000000000000007"/>
    <n v="96040"/>
    <n v="5816"/>
  </r>
  <r>
    <x v="3"/>
    <x v="8"/>
    <x v="8"/>
    <x v="2"/>
    <n v="1.02"/>
    <n v="0.54"/>
    <n v="0.56999999999999995"/>
    <n v="0.8"/>
    <n v="956"/>
    <n v="196"/>
    <n v="0.96"/>
    <n v="6.1"/>
    <n v="3.3"/>
    <n v="0.64893617021276606"/>
    <n v="72259"/>
    <n v="5871"/>
  </r>
  <r>
    <x v="3"/>
    <x v="9"/>
    <x v="9"/>
    <x v="2"/>
    <n v="0.72"/>
    <n v="0.48"/>
    <n v="0.75"/>
    <n v="0.35"/>
    <n v="778"/>
    <n v="64"/>
    <n v="0.97"/>
    <n v="5.2"/>
    <n v="3.3"/>
    <n v="0.61176470588235299"/>
    <n v="94220"/>
    <n v="8517"/>
  </r>
  <r>
    <x v="3"/>
    <x v="10"/>
    <x v="10"/>
    <x v="2"/>
    <n v="0.84"/>
    <n v="0.86"/>
    <n v="0.46"/>
    <n v="0.39"/>
    <n v="671"/>
    <n v="447"/>
    <n v="0.91"/>
    <n v="8.8000000000000007"/>
    <n v="4.5999999999999996"/>
    <n v="0.65671641791044777"/>
    <n v="91930"/>
    <n v="7980"/>
  </r>
  <r>
    <x v="3"/>
    <x v="11"/>
    <x v="11"/>
    <x v="2"/>
    <n v="0.88"/>
    <n v="0.75"/>
    <n v="0.4"/>
    <n v="0.96"/>
    <n v="783"/>
    <n v="257"/>
    <n v="1.07"/>
    <n v="9.5"/>
    <n v="4.7"/>
    <n v="0.66901408450704225"/>
    <n v="72369"/>
    <n v="5781"/>
  </r>
  <r>
    <x v="0"/>
    <x v="0"/>
    <x v="0"/>
    <x v="3"/>
    <n v="1.01"/>
    <n v="0.44"/>
    <n v="0.46"/>
    <n v="0.64"/>
    <n v="562"/>
    <n v="441"/>
    <n v="0.9"/>
    <n v="9.9"/>
    <n v="4.5"/>
    <n v="0.6875"/>
    <n v="59387"/>
    <n v="9799"/>
  </r>
  <r>
    <x v="0"/>
    <x v="1"/>
    <x v="1"/>
    <x v="3"/>
    <n v="0.72"/>
    <n v="0.53"/>
    <n v="0.65"/>
    <n v="0.44"/>
    <n v="494"/>
    <n v="222"/>
    <n v="0.93"/>
    <n v="7.6"/>
    <n v="4.2"/>
    <n v="0.64406779661016944"/>
    <n v="50410"/>
    <n v="9376"/>
  </r>
  <r>
    <x v="0"/>
    <x v="2"/>
    <x v="2"/>
    <x v="3"/>
    <n v="0.74"/>
    <n v="0.51"/>
    <n v="0.43"/>
    <n v="0.69"/>
    <n v="416"/>
    <n v="172"/>
    <n v="0.9"/>
    <n v="7.9"/>
    <n v="4.7"/>
    <n v="0.62698412698412698"/>
    <n v="50032"/>
    <n v="9312"/>
  </r>
  <r>
    <x v="0"/>
    <x v="3"/>
    <x v="3"/>
    <x v="3"/>
    <n v="0.84"/>
    <n v="0.53"/>
    <n v="0.62"/>
    <n v="0.67"/>
    <n v="141"/>
    <n v="169"/>
    <n v="1.02"/>
    <n v="9.4"/>
    <n v="4.7"/>
    <n v="0.66666666666666663"/>
    <n v="68943"/>
    <n v="6055"/>
  </r>
  <r>
    <x v="0"/>
    <x v="4"/>
    <x v="4"/>
    <x v="3"/>
    <n v="0.7"/>
    <n v="0.51"/>
    <n v="0.62"/>
    <n v="0.99"/>
    <n v="382"/>
    <n v="316"/>
    <n v="0.79"/>
    <n v="5.9"/>
    <n v="3.6"/>
    <n v="0.62105263157894741"/>
    <n v="58446"/>
    <n v="6439"/>
  </r>
  <r>
    <x v="0"/>
    <x v="5"/>
    <x v="5"/>
    <x v="3"/>
    <n v="1.1000000000000001"/>
    <n v="0.4"/>
    <n v="0.54"/>
    <n v="0.86"/>
    <n v="498"/>
    <n v="194"/>
    <n v="0.77"/>
    <n v="7.6"/>
    <n v="2.6"/>
    <n v="0.74509803921568629"/>
    <n v="68305"/>
    <n v="7654"/>
  </r>
  <r>
    <x v="0"/>
    <x v="6"/>
    <x v="6"/>
    <x v="3"/>
    <n v="0.86"/>
    <n v="0.52"/>
    <n v="0.62"/>
    <n v="0.46"/>
    <n v="139"/>
    <n v="200"/>
    <n v="0.84"/>
    <n v="9.6999999999999993"/>
    <n v="3"/>
    <n v="0.76377952755905509"/>
    <n v="62404"/>
    <n v="9424"/>
  </r>
  <r>
    <x v="0"/>
    <x v="7"/>
    <x v="7"/>
    <x v="3"/>
    <n v="0.96"/>
    <n v="0.42"/>
    <n v="0.51"/>
    <n v="1.05"/>
    <n v="565"/>
    <n v="234"/>
    <n v="0.75"/>
    <n v="9.1999999999999993"/>
    <n v="5"/>
    <n v="0.647887323943662"/>
    <n v="74027"/>
    <n v="8853"/>
  </r>
  <r>
    <x v="0"/>
    <x v="8"/>
    <x v="8"/>
    <x v="3"/>
    <n v="1.08"/>
    <n v="0.82"/>
    <n v="0.48"/>
    <n v="0.5"/>
    <n v="252"/>
    <n v="406"/>
    <n v="0.87"/>
    <n v="9.5"/>
    <n v="3.6"/>
    <n v="0.72519083969465647"/>
    <n v="57234"/>
    <n v="7437"/>
  </r>
  <r>
    <x v="0"/>
    <x v="9"/>
    <x v="9"/>
    <x v="3"/>
    <n v="0.96"/>
    <n v="0.85"/>
    <n v="0.6"/>
    <n v="0.59"/>
    <n v="251"/>
    <n v="294"/>
    <n v="1.05"/>
    <n v="6"/>
    <n v="4.4000000000000004"/>
    <n v="0.57692307692307687"/>
    <n v="56162"/>
    <n v="8639"/>
  </r>
  <r>
    <x v="0"/>
    <x v="10"/>
    <x v="10"/>
    <x v="3"/>
    <n v="1"/>
    <n v="0.48"/>
    <n v="0.54"/>
    <n v="0.83"/>
    <n v="884"/>
    <n v="400"/>
    <n v="0.99"/>
    <n v="5.0999999999999996"/>
    <n v="2.9"/>
    <n v="0.63749999999999996"/>
    <n v="79776"/>
    <n v="5801"/>
  </r>
  <r>
    <x v="0"/>
    <x v="11"/>
    <x v="11"/>
    <x v="3"/>
    <n v="1.07"/>
    <n v="0.4"/>
    <n v="0.71"/>
    <n v="0.98"/>
    <n v="542"/>
    <n v="182"/>
    <n v="0.75"/>
    <n v="5.2"/>
    <n v="4.0999999999999996"/>
    <n v="0.55913978494623651"/>
    <n v="84741"/>
    <n v="5942"/>
  </r>
  <r>
    <x v="1"/>
    <x v="0"/>
    <x v="0"/>
    <x v="3"/>
    <n v="0.85"/>
    <n v="0.53"/>
    <n v="0.63"/>
    <n v="0.41"/>
    <n v="795"/>
    <n v="589"/>
    <n v="0.81"/>
    <n v="5.7"/>
    <n v="2.8"/>
    <n v="0.67058823529411771"/>
    <n v="80875"/>
    <n v="9368"/>
  </r>
  <r>
    <x v="1"/>
    <x v="1"/>
    <x v="1"/>
    <x v="3"/>
    <n v="1.05"/>
    <n v="0.44"/>
    <n v="0.72"/>
    <n v="0.95"/>
    <n v="106"/>
    <n v="370"/>
    <n v="0.74"/>
    <n v="7.6"/>
    <n v="3.2"/>
    <n v="0.70370370370370361"/>
    <n v="93759"/>
    <n v="6219"/>
  </r>
  <r>
    <x v="1"/>
    <x v="2"/>
    <x v="2"/>
    <x v="3"/>
    <n v="1.0900000000000001"/>
    <n v="0.56999999999999995"/>
    <n v="0.63"/>
    <n v="0.63"/>
    <n v="855"/>
    <n v="207"/>
    <n v="1"/>
    <n v="5.5"/>
    <n v="3.7"/>
    <n v="0.59782608695652184"/>
    <n v="81480"/>
    <n v="6462"/>
  </r>
  <r>
    <x v="1"/>
    <x v="3"/>
    <x v="3"/>
    <x v="3"/>
    <n v="1"/>
    <n v="0.62"/>
    <n v="0.59"/>
    <n v="0.56000000000000005"/>
    <n v="379"/>
    <n v="100"/>
    <n v="0.72"/>
    <n v="6.1"/>
    <n v="3.7"/>
    <n v="0.62244897959183665"/>
    <n v="92200"/>
    <n v="8182"/>
  </r>
  <r>
    <x v="1"/>
    <x v="4"/>
    <x v="4"/>
    <x v="3"/>
    <n v="0.72"/>
    <n v="0.39"/>
    <n v="0.67"/>
    <n v="0.88"/>
    <n v="549"/>
    <n v="64"/>
    <n v="1.1299999999999999"/>
    <n v="9.1999999999999993"/>
    <n v="3.3"/>
    <n v="0.73599999999999999"/>
    <n v="88036"/>
    <n v="7359"/>
  </r>
  <r>
    <x v="1"/>
    <x v="5"/>
    <x v="5"/>
    <x v="3"/>
    <n v="0.82"/>
    <n v="0.51"/>
    <n v="0.66"/>
    <n v="0.87"/>
    <n v="613"/>
    <n v="251"/>
    <n v="0.8"/>
    <n v="7.8"/>
    <n v="2.5"/>
    <n v="0.75728155339805814"/>
    <n v="92756"/>
    <n v="8029"/>
  </r>
  <r>
    <x v="1"/>
    <x v="6"/>
    <x v="6"/>
    <x v="3"/>
    <n v="0.9"/>
    <n v="0.82"/>
    <n v="0.48"/>
    <n v="0.62"/>
    <n v="560"/>
    <n v="721"/>
    <n v="0.71"/>
    <n v="9.6999999999999993"/>
    <n v="3.2"/>
    <n v="0.75193798449612403"/>
    <n v="80378"/>
    <n v="9689"/>
  </r>
  <r>
    <x v="1"/>
    <x v="7"/>
    <x v="7"/>
    <x v="3"/>
    <n v="0.8"/>
    <n v="0.43"/>
    <n v="0.61"/>
    <n v="0.4"/>
    <n v="883"/>
    <n v="442"/>
    <n v="0.71"/>
    <n v="9.9"/>
    <n v="4.2"/>
    <n v="0.70212765957446799"/>
    <n v="88819"/>
    <n v="6401"/>
  </r>
  <r>
    <x v="1"/>
    <x v="8"/>
    <x v="8"/>
    <x v="3"/>
    <n v="1.07"/>
    <n v="0.91"/>
    <n v="0.64"/>
    <n v="0.66"/>
    <n v="908"/>
    <n v="501"/>
    <n v="0.95"/>
    <n v="5.4"/>
    <n v="2.8"/>
    <n v="0.6585365853658538"/>
    <n v="82242"/>
    <n v="6821"/>
  </r>
  <r>
    <x v="1"/>
    <x v="9"/>
    <x v="9"/>
    <x v="3"/>
    <n v="1.0900000000000001"/>
    <n v="0.78"/>
    <n v="0.55000000000000004"/>
    <n v="0.39"/>
    <n v="281"/>
    <n v="525"/>
    <n v="0.99"/>
    <n v="7.7"/>
    <n v="3.7"/>
    <n v="0.67543859649122806"/>
    <n v="57456"/>
    <n v="7306"/>
  </r>
  <r>
    <x v="1"/>
    <x v="10"/>
    <x v="10"/>
    <x v="3"/>
    <n v="0.7"/>
    <n v="0.5"/>
    <n v="0.42"/>
    <n v="0.79"/>
    <n v="954"/>
    <n v="255"/>
    <n v="0.85"/>
    <n v="5.6"/>
    <n v="4.3"/>
    <n v="0.56565656565656575"/>
    <n v="59520"/>
    <n v="8941"/>
  </r>
  <r>
    <x v="1"/>
    <x v="11"/>
    <x v="11"/>
    <x v="3"/>
    <n v="0.78"/>
    <n v="0.56000000000000005"/>
    <n v="0.55000000000000004"/>
    <n v="0.75"/>
    <n v="360"/>
    <n v="566"/>
    <n v="0.7"/>
    <n v="6.2"/>
    <n v="4.9000000000000004"/>
    <n v="0.55855855855855852"/>
    <n v="51664"/>
    <n v="5936"/>
  </r>
  <r>
    <x v="2"/>
    <x v="0"/>
    <x v="0"/>
    <x v="3"/>
    <n v="0.76"/>
    <n v="0.44"/>
    <n v="0.72"/>
    <n v="0.75"/>
    <n v="136"/>
    <n v="464"/>
    <n v="1.03"/>
    <n v="7.4"/>
    <n v="3.8"/>
    <n v="0.66071428571428581"/>
    <n v="95676"/>
    <n v="5915"/>
  </r>
  <r>
    <x v="2"/>
    <x v="1"/>
    <x v="1"/>
    <x v="3"/>
    <n v="0.79"/>
    <n v="0.39"/>
    <n v="0.61"/>
    <n v="0.47"/>
    <n v="482"/>
    <n v="639"/>
    <n v="0.8"/>
    <n v="7.7"/>
    <n v="4.9000000000000004"/>
    <n v="0.61111111111111105"/>
    <n v="77521"/>
    <n v="8872"/>
  </r>
  <r>
    <x v="2"/>
    <x v="2"/>
    <x v="2"/>
    <x v="3"/>
    <n v="1.06"/>
    <n v="0.66"/>
    <n v="0.44"/>
    <n v="0.37"/>
    <n v="63"/>
    <n v="48"/>
    <n v="1.1100000000000001"/>
    <n v="6.1"/>
    <n v="4.2"/>
    <n v="0.59223300970873782"/>
    <n v="83177"/>
    <n v="6222"/>
  </r>
  <r>
    <x v="2"/>
    <x v="3"/>
    <x v="3"/>
    <x v="3"/>
    <n v="0.99"/>
    <n v="0.95"/>
    <n v="0.52"/>
    <n v="0.78"/>
    <n v="952"/>
    <n v="499"/>
    <n v="1.1399999999999999"/>
    <n v="6.4"/>
    <n v="3.2"/>
    <n v="0.66666666666666663"/>
    <n v="78216"/>
    <n v="5656"/>
  </r>
  <r>
    <x v="2"/>
    <x v="4"/>
    <x v="4"/>
    <x v="3"/>
    <n v="1.0900000000000001"/>
    <n v="0.83"/>
    <n v="0.49"/>
    <n v="1.02"/>
    <n v="82"/>
    <n v="271"/>
    <n v="1.1000000000000001"/>
    <n v="8.1"/>
    <n v="2.5"/>
    <n v="0.76415094339622636"/>
    <n v="75597"/>
    <n v="4733"/>
  </r>
  <r>
    <x v="2"/>
    <x v="5"/>
    <x v="5"/>
    <x v="3"/>
    <n v="0.9"/>
    <n v="0.53"/>
    <n v="0.68"/>
    <n v="0.49"/>
    <n v="763"/>
    <n v="377"/>
    <n v="0.89"/>
    <n v="9.8000000000000007"/>
    <n v="4.2"/>
    <n v="0.70000000000000007"/>
    <n v="64995"/>
    <n v="7794"/>
  </r>
  <r>
    <x v="2"/>
    <x v="6"/>
    <x v="6"/>
    <x v="3"/>
    <n v="1.05"/>
    <n v="0.63"/>
    <n v="0.56000000000000005"/>
    <n v="0.52"/>
    <n v="483"/>
    <n v="270"/>
    <n v="0.83"/>
    <n v="7.2"/>
    <n v="3.8"/>
    <n v="0.65454545454545454"/>
    <n v="81885"/>
    <n v="7939"/>
  </r>
  <r>
    <x v="2"/>
    <x v="7"/>
    <x v="7"/>
    <x v="3"/>
    <n v="0.91"/>
    <n v="0.45"/>
    <n v="0.64"/>
    <n v="0.72"/>
    <n v="66"/>
    <n v="592"/>
    <n v="0.97"/>
    <n v="6.1"/>
    <n v="4.0999999999999996"/>
    <n v="0.59803921568627449"/>
    <n v="62493"/>
    <n v="7442"/>
  </r>
  <r>
    <x v="2"/>
    <x v="8"/>
    <x v="8"/>
    <x v="3"/>
    <n v="0.95"/>
    <n v="0.59"/>
    <n v="0.56000000000000005"/>
    <n v="0.88"/>
    <n v="839"/>
    <n v="300"/>
    <n v="1.1399999999999999"/>
    <n v="7.2"/>
    <n v="4"/>
    <n v="0.6428571428571429"/>
    <n v="79849"/>
    <n v="6373"/>
  </r>
  <r>
    <x v="2"/>
    <x v="9"/>
    <x v="9"/>
    <x v="3"/>
    <n v="0.84"/>
    <n v="0.79"/>
    <n v="0.68"/>
    <n v="0.78"/>
    <n v="501"/>
    <n v="335"/>
    <n v="0.71"/>
    <n v="7.8"/>
    <n v="4.0999999999999996"/>
    <n v="0.65546218487394969"/>
    <n v="76393"/>
    <n v="3065"/>
  </r>
  <r>
    <x v="2"/>
    <x v="10"/>
    <x v="10"/>
    <x v="3"/>
    <n v="0.78"/>
    <n v="0.44"/>
    <n v="0.73"/>
    <n v="0.56999999999999995"/>
    <n v="248"/>
    <n v="566"/>
    <n v="1.1200000000000001"/>
    <n v="9.5"/>
    <n v="2.8"/>
    <n v="0.77235772357723576"/>
    <n v="71741"/>
    <n v="3113"/>
  </r>
  <r>
    <x v="2"/>
    <x v="11"/>
    <x v="11"/>
    <x v="3"/>
    <n v="0.9"/>
    <n v="0.64"/>
    <n v="0.5"/>
    <n v="0.71"/>
    <n v="857"/>
    <n v="311"/>
    <n v="1.05"/>
    <n v="6.7"/>
    <n v="4.0999999999999996"/>
    <n v="0.62037037037037035"/>
    <n v="49116"/>
    <n v="6276"/>
  </r>
  <r>
    <x v="3"/>
    <x v="0"/>
    <x v="0"/>
    <x v="3"/>
    <n v="1"/>
    <n v="0.42"/>
    <n v="0.57999999999999996"/>
    <n v="0.57999999999999996"/>
    <n v="379"/>
    <n v="477"/>
    <n v="0.77"/>
    <n v="7.9"/>
    <n v="4.5999999999999996"/>
    <n v="0.63200000000000001"/>
    <n v="57246"/>
    <n v="5531"/>
  </r>
  <r>
    <x v="3"/>
    <x v="1"/>
    <x v="1"/>
    <x v="3"/>
    <n v="0.98"/>
    <n v="0.56999999999999995"/>
    <n v="0.69"/>
    <n v="0.43"/>
    <n v="872"/>
    <n v="410"/>
    <n v="0.7"/>
    <n v="8.5"/>
    <n v="3.1"/>
    <n v="0.73275862068965525"/>
    <n v="49270"/>
    <n v="9033"/>
  </r>
  <r>
    <x v="3"/>
    <x v="2"/>
    <x v="2"/>
    <x v="3"/>
    <n v="0.86"/>
    <n v="0.78"/>
    <n v="0.4"/>
    <n v="0.35"/>
    <n v="231"/>
    <n v="236"/>
    <n v="0.72"/>
    <n v="5.5"/>
    <n v="3.7"/>
    <n v="0.59782608695652184"/>
    <n v="49788"/>
    <n v="9712"/>
  </r>
  <r>
    <x v="3"/>
    <x v="3"/>
    <x v="3"/>
    <x v="3"/>
    <n v="0.83"/>
    <n v="0.67"/>
    <n v="0.72"/>
    <n v="0.35"/>
    <n v="229"/>
    <n v="491"/>
    <n v="0.71"/>
    <n v="6.4"/>
    <n v="2.7"/>
    <n v="0.70329670329670324"/>
    <n v="49186"/>
    <n v="7530"/>
  </r>
  <r>
    <x v="3"/>
    <x v="4"/>
    <x v="4"/>
    <x v="3"/>
    <n v="0.92"/>
    <n v="0.81"/>
    <n v="0.39"/>
    <n v="0.7"/>
    <n v="734"/>
    <n v="108"/>
    <n v="0.97"/>
    <n v="6.4"/>
    <n v="5"/>
    <n v="0.56140350877192979"/>
    <n v="73234"/>
    <n v="9529"/>
  </r>
  <r>
    <x v="3"/>
    <x v="5"/>
    <x v="5"/>
    <x v="3"/>
    <n v="1.01"/>
    <n v="0.56999999999999995"/>
    <n v="0.68"/>
    <n v="1.08"/>
    <n v="662"/>
    <n v="136"/>
    <n v="0.71"/>
    <n v="5.2"/>
    <n v="3.7"/>
    <n v="0.5842696629213483"/>
    <n v="69917"/>
    <n v="8811"/>
  </r>
  <r>
    <x v="3"/>
    <x v="6"/>
    <x v="6"/>
    <x v="3"/>
    <n v="1.07"/>
    <n v="0.53"/>
    <n v="0.56000000000000005"/>
    <n v="0.38"/>
    <n v="483"/>
    <n v="518"/>
    <n v="0.91"/>
    <n v="9.8000000000000007"/>
    <n v="2.9"/>
    <n v="0.77165354330708658"/>
    <n v="73580"/>
    <n v="4923"/>
  </r>
  <r>
    <x v="3"/>
    <x v="7"/>
    <x v="7"/>
    <x v="3"/>
    <n v="1.08"/>
    <n v="0.81"/>
    <n v="0.39"/>
    <n v="0.41"/>
    <n v="660"/>
    <n v="390"/>
    <n v="1.05"/>
    <n v="8.6999999999999993"/>
    <n v="4.3"/>
    <n v="0.66923076923076918"/>
    <n v="71763"/>
    <n v="4828"/>
  </r>
  <r>
    <x v="3"/>
    <x v="8"/>
    <x v="8"/>
    <x v="3"/>
    <n v="0.76"/>
    <n v="0.88"/>
    <n v="0.43"/>
    <n v="0.56999999999999995"/>
    <n v="822"/>
    <n v="409"/>
    <n v="0.67"/>
    <n v="9.3000000000000007"/>
    <n v="3.2"/>
    <n v="0.74400000000000011"/>
    <n v="63818"/>
    <n v="7524"/>
  </r>
  <r>
    <x v="3"/>
    <x v="9"/>
    <x v="9"/>
    <x v="3"/>
    <n v="0.96"/>
    <n v="0.42"/>
    <n v="0.74"/>
    <n v="0.68"/>
    <n v="915"/>
    <n v="106"/>
    <n v="0.83"/>
    <n v="7.3"/>
    <n v="3.2"/>
    <n v="0.69523809523809521"/>
    <n v="68176"/>
    <n v="7426"/>
  </r>
  <r>
    <x v="3"/>
    <x v="10"/>
    <x v="10"/>
    <x v="3"/>
    <n v="1"/>
    <n v="0.6"/>
    <n v="0.64"/>
    <n v="0.68"/>
    <n v="789"/>
    <n v="356"/>
    <n v="0.81"/>
    <n v="9.1999999999999993"/>
    <n v="4.2"/>
    <n v="0.68656716417910446"/>
    <n v="62456"/>
    <n v="5123"/>
  </r>
  <r>
    <x v="3"/>
    <x v="11"/>
    <x v="11"/>
    <x v="3"/>
    <n v="0.75"/>
    <n v="0.53"/>
    <n v="0.46"/>
    <n v="0.72"/>
    <n v="910"/>
    <n v="393"/>
    <n v="1.0900000000000001"/>
    <n v="9.1999999999999993"/>
    <n v="4.4000000000000004"/>
    <n v="0.67647058823529405"/>
    <n v="83422"/>
    <n v="63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55F4A5-E595-4B85-B956-FBF1B50A6F31}" name="PivotTable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10" firstHeaderRow="0" firstDataRow="1" firstDataCol="1" rowPageCount="1" colPageCount="1"/>
  <pivotFields count="16">
    <pivotField axis="axisPage"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items count="13">
        <item h="1" x="0"/>
        <item h="1" x="1"/>
        <item h="1" x="2"/>
        <item x="3"/>
        <item x="4"/>
        <item x="5"/>
        <item x="6"/>
        <item x="7"/>
        <item x="8"/>
        <item h="1" x="9"/>
        <item h="1" x="10"/>
        <item h="1" x="11"/>
        <item t="default"/>
      </items>
    </pivotField>
    <pivotField showAll="0">
      <items count="5">
        <item x="2"/>
        <item x="3"/>
        <item x="0"/>
        <item x="1"/>
        <item t="default"/>
      </items>
    </pivotField>
    <pivotField dataField="1" numFmtId="9" showAll="0"/>
    <pivotField dataField="1" numFmtId="9" showAll="0"/>
    <pivotField dataField="1" numFmtId="9" showAll="0"/>
    <pivotField dataField="1" numFmtId="9" showAll="0"/>
    <pivotField showAll="0"/>
    <pivotField showAll="0"/>
    <pivotField dataField="1" numFmtId="9" showAll="0"/>
    <pivotField dataField="1" showAll="0"/>
    <pivotField dataField="1" showAll="0"/>
    <pivotField dataField="1" numFmtId="9" showAll="0"/>
    <pivotField showAll="0"/>
    <pivotField dataField="1" showAll="0"/>
  </pivotFields>
  <rowFields count="1">
    <field x="1"/>
  </rowFields>
  <rowItems count="7">
    <i>
      <x v="3"/>
    </i>
    <i>
      <x v="4"/>
    </i>
    <i>
      <x v="5"/>
    </i>
    <i>
      <x v="6"/>
    </i>
    <i>
      <x v="7"/>
    </i>
    <i>
      <x v="8"/>
    </i>
    <i t="grand">
      <x/>
    </i>
  </rowItems>
  <colFields count="1">
    <field x="-2"/>
  </colFields>
  <colItems count="9">
    <i>
      <x/>
    </i>
    <i i="1">
      <x v="1"/>
    </i>
    <i i="2">
      <x v="2"/>
    </i>
    <i i="3">
      <x v="3"/>
    </i>
    <i i="4">
      <x v="4"/>
    </i>
    <i i="5">
      <x v="5"/>
    </i>
    <i i="6">
      <x v="6"/>
    </i>
    <i i="7">
      <x v="7"/>
    </i>
    <i i="8">
      <x v="8"/>
    </i>
  </colItems>
  <pageFields count="1">
    <pageField fld="0" item="1" hier="-1"/>
  </pageFields>
  <dataFields count="9">
    <dataField name="Average of Revenue Plan" fld="4" subtotal="average" baseField="1" baseItem="0"/>
    <dataField name="Average of Profitability Plan" fld="5" subtotal="average" baseField="1" baseItem="0"/>
    <dataField name="Average of Conversion Plan" fld="6" subtotal="average" baseField="1" baseItem="0"/>
    <dataField name="Average of Transaction Quantity Plan" fld="7" subtotal="average" baseField="1" baseItem="0"/>
    <dataField name="Sum of Revenue" fld="15" baseField="0" baseItem="0"/>
    <dataField name="Average of KPI" fld="10" subtotal="average" baseField="1" baseItem="0"/>
    <dataField name="Average of Positive Factors" fld="11" subtotal="average" baseField="1" baseItem="0"/>
    <dataField name="Average of Negative Factors" fld="12" subtotal="average" baseField="1" baseItem="0"/>
    <dataField name="Average of Factor ratio" fld="13" subtotal="average" baseField="1" baseItem="0"/>
  </dataFields>
  <formats count="4">
    <format dxfId="3">
      <pivotArea outline="0" collapsedLevelsAreSubtotals="1" fieldPosition="0"/>
    </format>
    <format dxfId="2">
      <pivotArea outline="0" collapsedLevelsAreSubtotals="1" fieldPosition="0">
        <references count="1">
          <reference field="4294967294" count="1" selected="0">
            <x v="4"/>
          </reference>
        </references>
      </pivotArea>
    </format>
    <format dxfId="1">
      <pivotArea outline="0" collapsedLevelsAreSubtotals="1" fieldPosition="0">
        <references count="1">
          <reference field="4294967294" count="2" selected="0">
            <x v="6"/>
            <x v="7"/>
          </reference>
        </references>
      </pivotArea>
    </format>
    <format dxfId="0">
      <pivotArea field="1" grandRow="1" outline="0" collapsedLevelsAreSubtotals="1" axis="axisRow" fieldPosition="0">
        <references count="1">
          <reference field="4294967294" count="2" selected="0">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5C2DB5-3876-427D-A15E-EF87A0DA23B4}" name="PivotTable3" cacheId="6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7:A41" firstHeaderRow="1" firstDataRow="1" firstDataCol="1"/>
  <pivotFields count="16">
    <pivotField showAll="0">
      <items count="5">
        <item h="1" x="0"/>
        <item x="1"/>
        <item h="1" x="2"/>
        <item h="1" x="3"/>
        <item t="default"/>
      </items>
    </pivotField>
    <pivotField showAll="0"/>
    <pivotField showAll="0"/>
    <pivotField axis="axisRow" multipleItemSelectionAllowed="1" showAll="0">
      <items count="5">
        <item x="2"/>
        <item x="3"/>
        <item x="0"/>
        <item x="1"/>
        <item t="default"/>
      </items>
    </pivotField>
    <pivotField numFmtId="9" showAll="0"/>
    <pivotField numFmtId="9" showAll="0"/>
    <pivotField numFmtId="9" showAll="0"/>
    <pivotField numFmtId="9" showAll="0"/>
    <pivotField showAll="0"/>
    <pivotField showAll="0"/>
    <pivotField numFmtId="9" showAll="0"/>
    <pivotField showAll="0"/>
    <pivotField showAll="0"/>
    <pivotField numFmtId="9" showAll="0"/>
    <pivotField showAll="0"/>
    <pivotField showAll="0"/>
  </pivotFields>
  <rowFields count="1">
    <field x="3"/>
  </rowFields>
  <rowItems count="4">
    <i>
      <x/>
    </i>
    <i>
      <x v="1"/>
    </i>
    <i>
      <x v="2"/>
    </i>
    <i>
      <x v="3"/>
    </i>
  </rowItems>
  <colItems count="1">
    <i/>
  </colItem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F49034-047C-4392-8E43-EE5BE4EE0E7E}" name="PivotTable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E33" firstHeaderRow="0" firstDataRow="1" firstDataCol="1" rowPageCount="1" colPageCount="1"/>
  <pivotFields count="16">
    <pivotField showAll="0">
      <items count="5">
        <item h="1" x="0"/>
        <item x="1"/>
        <item h="1" x="2"/>
        <item h="1" x="3"/>
        <item t="default"/>
      </items>
    </pivotField>
    <pivotField axis="axisRow" showAll="0">
      <items count="13">
        <item x="0"/>
        <item x="1"/>
        <item x="2"/>
        <item x="3"/>
        <item x="4"/>
        <item x="5"/>
        <item x="6"/>
        <item x="7"/>
        <item x="8"/>
        <item x="9"/>
        <item x="10"/>
        <item x="11"/>
        <item t="default"/>
      </items>
    </pivotField>
    <pivotField showAll="0"/>
    <pivotField axis="axisPage" multipleItemSelectionAllowed="1" showAll="0">
      <items count="5">
        <item x="2"/>
        <item x="3"/>
        <item x="0"/>
        <item x="1"/>
        <item t="default"/>
      </items>
    </pivotField>
    <pivotField numFmtId="9" showAll="0"/>
    <pivotField numFmtId="9" showAll="0"/>
    <pivotField numFmtId="9" showAll="0"/>
    <pivotField numFmtId="9" showAll="0"/>
    <pivotField dataField="1" showAll="0"/>
    <pivotField dataField="1" showAll="0"/>
    <pivotField numFmtId="9" showAll="0"/>
    <pivotField showAll="0"/>
    <pivotField showAll="0"/>
    <pivotField numFmtId="9" showAll="0"/>
    <pivotField dataField="1"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pageFields count="1">
    <pageField fld="3" hier="-1"/>
  </pageFields>
  <dataFields count="4">
    <dataField name="Sum of Revenue" fld="15" baseField="0" baseItem="0"/>
    <dataField name="Sum of Profit" fld="8" baseField="0" baseItem="0"/>
    <dataField name="Sum of Loss" fld="9" baseField="0" baseItem="0"/>
    <dataField name="Sum of Cash Flow" fld="14" baseField="0" baseItem="0"/>
  </dataFields>
  <formats count="4">
    <format dxfId="8">
      <pivotArea outline="0" collapsedLevelsAreSubtotals="1" fieldPosition="0"/>
    </format>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2" selected="0">
            <x v="1"/>
            <x v="2"/>
          </reference>
        </references>
      </pivotArea>
    </format>
    <format dxfId="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Month" xr10:uid="{736E26FE-065E-4EBF-B953-FC66870ADA8C}" sourceName="Name Month">
  <pivotTables>
    <pivotTable tabId="5" name="PivotTable1"/>
  </pivotTables>
  <data>
    <tabular pivotCacheId="2055287698">
      <items count="12">
        <i x="0"/>
        <i x="1"/>
        <i x="2"/>
        <i x="3" s="1"/>
        <i x="4" s="1"/>
        <i x="5" s="1"/>
        <i x="6" s="1"/>
        <i x="7" s="1"/>
        <i x="8" s="1"/>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60BDC10-F92F-40F7-AB0B-3C0B1CC9C843}" sourceName="Year">
  <pivotTables>
    <pivotTable tabId="5" name="PivotTable1"/>
    <pivotTable tabId="5" name="PivotTable2"/>
    <pivotTable tabId="5" name="PivotTable3"/>
  </pivotTables>
  <data>
    <tabular pivotCacheId="2055287698">
      <items count="4">
        <i x="0"/>
        <i x="1"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s" xr10:uid="{A96AEAB4-9809-427F-9E03-89152768E38E}" sourceName="Departments">
  <pivotTables>
    <pivotTable tabId="5" name="PivotTable1"/>
    <pivotTable tabId="5" name="PivotTable2"/>
    <pivotTable tabId="5" name="PivotTable3"/>
  </pivotTables>
  <data>
    <tabular pivotCacheId="205528769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Month" xr10:uid="{3B74FC6D-4A3A-476A-AFB6-BA16A9D3DCD6}" cache="Slicer_Name_Month" caption="Name Month" columnCount="12" showCaption="0" style="SlicerStyleLight1 2" rowHeight="201168"/>
  <slicer name="Year" xr10:uid="{B85A682D-0391-4A76-AECB-B60D96755F58}" cache="Slicer_Year" caption="Year" columnCount="4" showCaption="0" style="SlicerStyleLight1 2 2" rowHeight="201168"/>
  <slicer name="Departments" xr10:uid="{BD035F5A-945A-44A3-AE7D-7FC33A68A50C}" cache="Slicer_Departments" caption="Departments" showCaption="0" style="SlicerStyleLight1 2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Month 1" xr10:uid="{63180C36-49D2-457B-9236-312DADA8C649}" cache="Slicer_Name_Month" caption="Name Month" columnCount="12" showCaption="0" style="SlicerStyleLight1 2 2 2 2" rowHeight="201168"/>
  <slicer name="Year 1" xr10:uid="{41F6AC6B-918F-406E-B2F9-97ABFB1E798E}" cache="Slicer_Year" caption="Year" columnCount="4" showCaption="0" style="SlicerStyleLight1 2 2 2" rowHeight="201168"/>
  <slicer name="Departments 1" xr10:uid="{1FEF3A36-14D0-48A4-9E05-407E1F23A543}" cache="Slicer_Departments" caption="Departments" showCaption="0" style="SlicerStyleLight1 2 2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654B-1AEA-4297-8B16-ED8120DF7F82}">
  <dimension ref="B1:G41"/>
  <sheetViews>
    <sheetView showRowColHeaders="0" tabSelected="1" zoomScale="90" zoomScaleNormal="90" workbookViewId="0"/>
  </sheetViews>
  <sheetFormatPr defaultColWidth="8.85546875" defaultRowHeight="15" x14ac:dyDescent="0.25"/>
  <cols>
    <col min="1" max="16384" width="8.85546875" style="7"/>
  </cols>
  <sheetData>
    <row r="1" ht="88.15" customHeight="1" x14ac:dyDescent="0.25"/>
    <row r="40" spans="2:7" x14ac:dyDescent="0.25">
      <c r="B40" s="19"/>
      <c r="C40" s="19"/>
      <c r="D40" s="19"/>
      <c r="E40" s="19"/>
      <c r="F40" s="19"/>
      <c r="G40" s="19"/>
    </row>
    <row r="41" spans="2:7" x14ac:dyDescent="0.25">
      <c r="B41" s="19"/>
      <c r="C41" s="19"/>
      <c r="D41" s="19"/>
      <c r="E41" s="19"/>
      <c r="F41" s="19"/>
      <c r="G41" s="19"/>
    </row>
  </sheetData>
  <mergeCells count="1">
    <mergeCell ref="B40:G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CDED-B214-49F5-A078-1A93BE55A33F}">
  <dimension ref="A1:A42"/>
  <sheetViews>
    <sheetView showRowColHeaders="0" zoomScale="90" zoomScaleNormal="90" workbookViewId="0"/>
  </sheetViews>
  <sheetFormatPr defaultColWidth="8.85546875" defaultRowHeight="15" x14ac:dyDescent="0.25"/>
  <cols>
    <col min="1" max="16384" width="8.85546875" style="18"/>
  </cols>
  <sheetData>
    <row r="1" ht="88.15" customHeight="1" x14ac:dyDescent="0.25"/>
    <row r="41" ht="15" customHeight="1" x14ac:dyDescent="0.25"/>
    <row r="42"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34EE-8C72-4952-9259-B3E06A587337}">
  <dimension ref="A1:T40"/>
  <sheetViews>
    <sheetView workbookViewId="0"/>
  </sheetViews>
  <sheetFormatPr defaultRowHeight="15" x14ac:dyDescent="0.25"/>
  <cols>
    <col min="19" max="19" width="10" bestFit="1" customWidth="1"/>
    <col min="20" max="20" width="11.5703125" bestFit="1" customWidth="1"/>
  </cols>
  <sheetData>
    <row r="1" spans="1:20" ht="15" customHeight="1" x14ac:dyDescent="0.25">
      <c r="A1" s="4" t="s">
        <v>12</v>
      </c>
      <c r="B1" s="5">
        <f>Control!B1</f>
        <v>2023</v>
      </c>
    </row>
    <row r="2" spans="1:20" ht="15" customHeight="1" x14ac:dyDescent="0.25">
      <c r="A2" t="s">
        <v>49</v>
      </c>
      <c r="B2" s="5"/>
      <c r="G2" t="s">
        <v>39</v>
      </c>
      <c r="M2" s="6" t="s">
        <v>67</v>
      </c>
      <c r="N2" s="6" t="s">
        <v>66</v>
      </c>
    </row>
    <row r="3" spans="1:20" x14ac:dyDescent="0.25">
      <c r="A3" t="s">
        <v>43</v>
      </c>
      <c r="G3" s="3" t="s">
        <v>42</v>
      </c>
      <c r="M3" s="13" t="s">
        <v>37</v>
      </c>
      <c r="N3" s="6" t="str">
        <f>IF(IFERROR(MATCH(M3,Control!$A$38:$A$41,0)&gt;0,0),$N$2,"")</f>
        <v>•</v>
      </c>
    </row>
    <row r="4" spans="1:20" x14ac:dyDescent="0.25">
      <c r="A4" s="1">
        <f>GETPIVOTDATA("Average of Revenue Plan",Control!$A$3)</f>
        <v>0.88833333333333353</v>
      </c>
      <c r="B4" s="11">
        <f>IF(A4&lt;100%,A4,0)</f>
        <v>0.88833333333333353</v>
      </c>
      <c r="C4" s="11">
        <f>IF(A4&lt;100%,0,A4-1)</f>
        <v>0</v>
      </c>
      <c r="D4" s="11">
        <f>IF(A4&lt;100%,0,1-C4)</f>
        <v>0</v>
      </c>
      <c r="E4" s="2">
        <f>IF(A4&lt;100%,100%-B4,0)</f>
        <v>0.11166666666666647</v>
      </c>
      <c r="G4" s="1">
        <f>GETPIVOTDATA("Average of KPI",Control!$A$3)</f>
        <v>0.89958333333333329</v>
      </c>
      <c r="H4" s="11">
        <f>IF(G4&lt;100%,G4,0)</f>
        <v>0.89958333333333329</v>
      </c>
      <c r="I4" s="11">
        <f>IF(G4&lt;100%,0,G4-1)</f>
        <v>0</v>
      </c>
      <c r="J4" s="11">
        <f>IF(G4&lt;100%,0,1-I4)</f>
        <v>0</v>
      </c>
      <c r="K4" s="2">
        <f>IF(G4&lt;100%,100%-H4,0)</f>
        <v>0.10041666666666671</v>
      </c>
      <c r="M4" s="13" t="s">
        <v>38</v>
      </c>
      <c r="N4" s="6" t="str">
        <f>IF(IFERROR(MATCH(M4,Control!$A$38:$A$41,0)&gt;0,0),$N$2,"")</f>
        <v>•</v>
      </c>
    </row>
    <row r="5" spans="1:20" x14ac:dyDescent="0.25">
      <c r="A5" t="s">
        <v>50</v>
      </c>
      <c r="M5" s="13" t="s">
        <v>35</v>
      </c>
      <c r="N5" s="6" t="str">
        <f>IF(IFERROR(MATCH(M5,Control!$A$38:$A$41,0)&gt;0,0),$N$2,"")</f>
        <v>•</v>
      </c>
    </row>
    <row r="6" spans="1:20" x14ac:dyDescent="0.25">
      <c r="A6" s="1">
        <f>GETPIVOTDATA("Average of Profitability Plan",Control!$A$3)</f>
        <v>0.65083333333333337</v>
      </c>
      <c r="B6" s="11">
        <f>IF(A6&lt;100%,A6,0)</f>
        <v>0.65083333333333337</v>
      </c>
      <c r="C6" s="11">
        <f>IF(A6&lt;100%,0,A6-1)</f>
        <v>0</v>
      </c>
      <c r="D6" s="11">
        <f>IF(A6&lt;100%,0,1-C6)</f>
        <v>0</v>
      </c>
      <c r="E6" s="2">
        <f>IF(A6&lt;100%,100%-B6,0)</f>
        <v>0.34916666666666663</v>
      </c>
      <c r="G6" s="3" t="s">
        <v>47</v>
      </c>
      <c r="J6" s="3" t="s">
        <v>48</v>
      </c>
      <c r="M6" s="13" t="s">
        <v>36</v>
      </c>
      <c r="N6" s="6" t="str">
        <f>IF(IFERROR(MATCH(M6,Control!$A$38:$A$41,0)&gt;0,0),$N$2,"")</f>
        <v>•</v>
      </c>
    </row>
    <row r="7" spans="1:20" x14ac:dyDescent="0.25">
      <c r="A7" t="s">
        <v>51</v>
      </c>
      <c r="G7" s="3" t="s">
        <v>76</v>
      </c>
      <c r="J7" s="13" t="s">
        <v>44</v>
      </c>
      <c r="K7" s="16">
        <f>GETPIVOTDATA("Average of Positive Factors",Control!$A$3)</f>
        <v>7.7374999999999998</v>
      </c>
    </row>
    <row r="8" spans="1:20" x14ac:dyDescent="0.25">
      <c r="A8" s="1">
        <f>GETPIVOTDATA("Average of Conversion Plan",Control!$A$3)</f>
        <v>0.59500000000000008</v>
      </c>
      <c r="B8" s="11">
        <f>IF(A8&lt;100%,A8,0)</f>
        <v>0.59500000000000008</v>
      </c>
      <c r="C8" s="11">
        <f>IF(A8&lt;100%,0,A8-1)</f>
        <v>0</v>
      </c>
      <c r="D8" s="11">
        <f>IF(A8&lt;100%,0,1-C8)</f>
        <v>0</v>
      </c>
      <c r="E8" s="2">
        <f>IF(A8&lt;100%,100%-B8,0)</f>
        <v>0.40499999999999992</v>
      </c>
      <c r="G8" s="1">
        <f>GETPIVOTDATA("Average of Factor ratio",Control!$A$3)</f>
        <v>0.68151177994274115</v>
      </c>
      <c r="H8" s="1">
        <f>1-G8</f>
        <v>0.31848822005725885</v>
      </c>
      <c r="J8" s="13" t="s">
        <v>45</v>
      </c>
      <c r="K8" s="16">
        <f>GETPIVOTDATA("Average of Negative Factors",Control!$A$3)</f>
        <v>3.5458333333333329</v>
      </c>
    </row>
    <row r="9" spans="1:20" x14ac:dyDescent="0.25">
      <c r="A9" t="s">
        <v>52</v>
      </c>
    </row>
    <row r="10" spans="1:20" x14ac:dyDescent="0.25">
      <c r="A10" s="1">
        <f>GETPIVOTDATA("Average of Transaction Quantity Plan",Control!$A$3)</f>
        <v>0.6349999999999999</v>
      </c>
      <c r="B10" s="11">
        <f>IF(A10&lt;100%,A10,0)</f>
        <v>0.6349999999999999</v>
      </c>
      <c r="C10" s="11">
        <f>IF(A10&lt;100%,0,A10-1)</f>
        <v>0</v>
      </c>
      <c r="D10" s="11">
        <f>IF(A10&lt;100%,0,1-C10)</f>
        <v>0</v>
      </c>
      <c r="E10" s="2">
        <f>IF(A10&lt;100%,100%-B10,0)</f>
        <v>0.3650000000000001</v>
      </c>
    </row>
    <row r="12" spans="1:20" x14ac:dyDescent="0.25">
      <c r="F12" t="s">
        <v>53</v>
      </c>
      <c r="H12">
        <v>100</v>
      </c>
      <c r="J12">
        <f>0-H12</f>
        <v>-100</v>
      </c>
    </row>
    <row r="13" spans="1:20" x14ac:dyDescent="0.25">
      <c r="C13" s="3" t="s">
        <v>43</v>
      </c>
      <c r="F13" s="12" t="s">
        <v>40</v>
      </c>
      <c r="G13" s="12" t="s">
        <v>41</v>
      </c>
      <c r="H13" s="6" t="s">
        <v>13</v>
      </c>
      <c r="I13" s="6" t="s">
        <v>15</v>
      </c>
      <c r="J13" s="6" t="s">
        <v>14</v>
      </c>
      <c r="K13" s="6" t="s">
        <v>16</v>
      </c>
      <c r="L13" s="6" t="s">
        <v>17</v>
      </c>
      <c r="M13" s="6" t="s">
        <v>18</v>
      </c>
      <c r="N13" s="6" t="s">
        <v>19</v>
      </c>
      <c r="O13" s="6" t="s">
        <v>20</v>
      </c>
      <c r="P13" s="6" t="s">
        <v>21</v>
      </c>
      <c r="Q13" s="6" t="s">
        <v>22</v>
      </c>
      <c r="R13" s="6" t="s">
        <v>23</v>
      </c>
      <c r="S13" s="6" t="s">
        <v>24</v>
      </c>
      <c r="T13" s="6" t="s">
        <v>25</v>
      </c>
    </row>
    <row r="14" spans="1:20" x14ac:dyDescent="0.25">
      <c r="A14">
        <v>1</v>
      </c>
      <c r="B14" t="s">
        <v>0</v>
      </c>
      <c r="C14">
        <f>GETPIVOTDATA(""&amp;$C$13,Control!$A$20,"Month",A14)</f>
        <v>30021</v>
      </c>
      <c r="D14" t="e">
        <f>IFERROR(GETPIVOTDATA(""&amp;$C$13,Control!$A$3,"Month",A14),NA())</f>
        <v>#N/A</v>
      </c>
      <c r="F14">
        <f>GETPIVOTDATA(""&amp;$F$13,Control!$A$20,"Month",A14)</f>
        <v>1929</v>
      </c>
      <c r="G14">
        <f>GETPIVOTDATA(""&amp;$G$13,Control!$A$20,"Month",A14)</f>
        <v>1517</v>
      </c>
      <c r="H14">
        <f>IF(ISNA($D14),$H$12,0)</f>
        <v>100</v>
      </c>
      <c r="I14">
        <f t="shared" ref="I14:I25" si="0">IF(ISNA($D14),F14,0)</f>
        <v>1929</v>
      </c>
      <c r="J14">
        <f>IF(ISNA($D14),$J$12,0)</f>
        <v>-100</v>
      </c>
      <c r="K14">
        <f>IF(ISNA($D14),0-G14,0)</f>
        <v>-1517</v>
      </c>
      <c r="L14">
        <f>IF(ISNA($D14),0,F14)</f>
        <v>0</v>
      </c>
      <c r="M14">
        <f>IF(ISNA($D14),0,0-G14)</f>
        <v>0</v>
      </c>
      <c r="N14">
        <v>0</v>
      </c>
      <c r="O14">
        <f>IF(ISNA($D14),0,H12)</f>
        <v>0</v>
      </c>
      <c r="P14">
        <f>IF(ISNA($D14),0,$J$12)</f>
        <v>0</v>
      </c>
      <c r="Q14">
        <f>IF(ISNA($D14),F14+$H$12/2,NA())</f>
        <v>1979</v>
      </c>
      <c r="R14">
        <f>IF(ISNA($D14),0-G14+$J$12/2,NA())</f>
        <v>-1567</v>
      </c>
      <c r="S14" t="e">
        <f>IF(ISNA($D14),NA(),F14+$H$12/2)</f>
        <v>#N/A</v>
      </c>
      <c r="T14" t="e">
        <f>IF(ISNA($D14),NA(),0-G14+$J$12/2)</f>
        <v>#N/A</v>
      </c>
    </row>
    <row r="15" spans="1:20" x14ac:dyDescent="0.25">
      <c r="A15">
        <v>2</v>
      </c>
      <c r="B15" t="s">
        <v>1</v>
      </c>
      <c r="C15">
        <f>GETPIVOTDATA(""&amp;$C$13,Control!$A$20,"Month",A15)</f>
        <v>28214</v>
      </c>
      <c r="D15" t="e">
        <f>IFERROR(GETPIVOTDATA(""&amp;$C$13,Control!$A$3,"Month",A15),NA())</f>
        <v>#N/A</v>
      </c>
      <c r="F15">
        <f>GETPIVOTDATA(""&amp;$F$13,Control!$A$20,"Month",A15)</f>
        <v>1033</v>
      </c>
      <c r="G15">
        <f>GETPIVOTDATA(""&amp;$G$13,Control!$A$20,"Month",A15)</f>
        <v>1745</v>
      </c>
      <c r="H15">
        <f t="shared" ref="H15:H25" si="1">IF(ISNA($D15),$H$12,0)</f>
        <v>100</v>
      </c>
      <c r="I15">
        <f t="shared" si="0"/>
        <v>1033</v>
      </c>
      <c r="J15">
        <f t="shared" ref="J15:J25" si="2">IF(ISNA($D15),$J$12,0)</f>
        <v>-100</v>
      </c>
      <c r="K15">
        <f t="shared" ref="K15:K25" si="3">IF(ISNA($D15),0-G15,0)</f>
        <v>-1745</v>
      </c>
      <c r="L15">
        <f t="shared" ref="L15:L25" si="4">IF(ISNA($D15),0,F15)</f>
        <v>0</v>
      </c>
      <c r="M15">
        <f t="shared" ref="M15:M25" si="5">IF(ISNA($D15),0,0-G15)</f>
        <v>0</v>
      </c>
      <c r="N15">
        <v>0</v>
      </c>
      <c r="O15">
        <f t="shared" ref="O15:O25" si="6">IF(ISNA($D15),0,H13)</f>
        <v>0</v>
      </c>
      <c r="P15">
        <f t="shared" ref="P15:P25" si="7">IF(ISNA($D15),0,$J$12)</f>
        <v>0</v>
      </c>
      <c r="Q15">
        <f t="shared" ref="Q15:Q25" si="8">IF(ISNA($D15),F15+$H$12/2,NA())</f>
        <v>1083</v>
      </c>
      <c r="R15">
        <f t="shared" ref="R15:R25" si="9">IF(ISNA($D15),0-G15+$J$12/2,NA())</f>
        <v>-1795</v>
      </c>
      <c r="S15" t="e">
        <f t="shared" ref="S15:S25" si="10">IF(ISNA($D15),NA(),F15+$H$12/2)</f>
        <v>#N/A</v>
      </c>
      <c r="T15" t="e">
        <f t="shared" ref="T15:T25" si="11">IF(ISNA($D15),NA(),0-G15+$J$12/2)</f>
        <v>#N/A</v>
      </c>
    </row>
    <row r="16" spans="1:20" x14ac:dyDescent="0.25">
      <c r="A16">
        <v>3</v>
      </c>
      <c r="B16" t="s">
        <v>2</v>
      </c>
      <c r="C16">
        <f>GETPIVOTDATA(""&amp;$C$13,Control!$A$20,"Month",A16)</f>
        <v>23473</v>
      </c>
      <c r="D16" t="e">
        <f>IFERROR(GETPIVOTDATA(""&amp;$C$13,Control!$A$3,"Month",A16),NA())</f>
        <v>#N/A</v>
      </c>
      <c r="F16">
        <f>GETPIVOTDATA(""&amp;$F$13,Control!$A$20,"Month",A16)</f>
        <v>2496</v>
      </c>
      <c r="G16">
        <f>GETPIVOTDATA(""&amp;$G$13,Control!$A$20,"Month",A16)</f>
        <v>1041</v>
      </c>
      <c r="H16">
        <f t="shared" si="1"/>
        <v>100</v>
      </c>
      <c r="I16">
        <f t="shared" si="0"/>
        <v>2496</v>
      </c>
      <c r="J16">
        <f t="shared" si="2"/>
        <v>-100</v>
      </c>
      <c r="K16">
        <f t="shared" si="3"/>
        <v>-1041</v>
      </c>
      <c r="L16">
        <f t="shared" si="4"/>
        <v>0</v>
      </c>
      <c r="M16">
        <f t="shared" si="5"/>
        <v>0</v>
      </c>
      <c r="N16">
        <v>0</v>
      </c>
      <c r="O16">
        <f t="shared" si="6"/>
        <v>0</v>
      </c>
      <c r="P16">
        <f t="shared" si="7"/>
        <v>0</v>
      </c>
      <c r="Q16">
        <f t="shared" si="8"/>
        <v>2546</v>
      </c>
      <c r="R16">
        <f t="shared" si="9"/>
        <v>-1091</v>
      </c>
      <c r="S16" t="e">
        <f t="shared" si="10"/>
        <v>#N/A</v>
      </c>
      <c r="T16" t="e">
        <f t="shared" si="11"/>
        <v>#N/A</v>
      </c>
    </row>
    <row r="17" spans="1:20" x14ac:dyDescent="0.25">
      <c r="A17">
        <v>4</v>
      </c>
      <c r="B17" t="s">
        <v>3</v>
      </c>
      <c r="C17">
        <f>GETPIVOTDATA(""&amp;$C$13,Control!$A$20,"Month",A17)</f>
        <v>25280</v>
      </c>
      <c r="D17">
        <f>IFERROR(GETPIVOTDATA(""&amp;$C$13,Control!$A$3,"Month",A17),NA())</f>
        <v>25280</v>
      </c>
      <c r="F17">
        <f>GETPIVOTDATA(""&amp;$F$13,Control!$A$20,"Month",A17)</f>
        <v>1937</v>
      </c>
      <c r="G17">
        <f>GETPIVOTDATA(""&amp;$G$13,Control!$A$20,"Month",A17)</f>
        <v>2265</v>
      </c>
      <c r="H17">
        <f t="shared" si="1"/>
        <v>0</v>
      </c>
      <c r="I17">
        <f t="shared" si="0"/>
        <v>0</v>
      </c>
      <c r="J17">
        <f t="shared" si="2"/>
        <v>0</v>
      </c>
      <c r="K17">
        <f t="shared" si="3"/>
        <v>0</v>
      </c>
      <c r="L17">
        <f t="shared" si="4"/>
        <v>1937</v>
      </c>
      <c r="M17">
        <f t="shared" si="5"/>
        <v>-2265</v>
      </c>
      <c r="N17">
        <v>0</v>
      </c>
      <c r="O17">
        <f t="shared" si="6"/>
        <v>100</v>
      </c>
      <c r="P17">
        <f t="shared" si="7"/>
        <v>-100</v>
      </c>
      <c r="Q17" t="e">
        <f t="shared" si="8"/>
        <v>#N/A</v>
      </c>
      <c r="R17" t="e">
        <f t="shared" si="9"/>
        <v>#N/A</v>
      </c>
      <c r="S17">
        <f t="shared" si="10"/>
        <v>1987</v>
      </c>
      <c r="T17">
        <f t="shared" si="11"/>
        <v>-2315</v>
      </c>
    </row>
    <row r="18" spans="1:20" x14ac:dyDescent="0.25">
      <c r="A18">
        <v>5</v>
      </c>
      <c r="B18" t="s">
        <v>4</v>
      </c>
      <c r="C18">
        <f>GETPIVOTDATA(""&amp;$C$13,Control!$A$20,"Month",A18)</f>
        <v>28374</v>
      </c>
      <c r="D18">
        <f>IFERROR(GETPIVOTDATA(""&amp;$C$13,Control!$A$3,"Month",A18),NA())</f>
        <v>28374</v>
      </c>
      <c r="F18">
        <f>GETPIVOTDATA(""&amp;$F$13,Control!$A$20,"Month",A18)</f>
        <v>2057</v>
      </c>
      <c r="G18">
        <f>GETPIVOTDATA(""&amp;$G$13,Control!$A$20,"Month",A18)</f>
        <v>1729</v>
      </c>
      <c r="H18">
        <f t="shared" si="1"/>
        <v>0</v>
      </c>
      <c r="I18">
        <f t="shared" si="0"/>
        <v>0</v>
      </c>
      <c r="J18">
        <f t="shared" si="2"/>
        <v>0</v>
      </c>
      <c r="K18">
        <f t="shared" si="3"/>
        <v>0</v>
      </c>
      <c r="L18">
        <f t="shared" si="4"/>
        <v>2057</v>
      </c>
      <c r="M18">
        <f t="shared" si="5"/>
        <v>-1729</v>
      </c>
      <c r="N18">
        <v>0</v>
      </c>
      <c r="O18">
        <f t="shared" si="6"/>
        <v>100</v>
      </c>
      <c r="P18">
        <f t="shared" si="7"/>
        <v>-100</v>
      </c>
      <c r="Q18" t="e">
        <f t="shared" si="8"/>
        <v>#N/A</v>
      </c>
      <c r="R18" t="e">
        <f t="shared" si="9"/>
        <v>#N/A</v>
      </c>
      <c r="S18">
        <f t="shared" si="10"/>
        <v>2107</v>
      </c>
      <c r="T18">
        <f t="shared" si="11"/>
        <v>-1779</v>
      </c>
    </row>
    <row r="19" spans="1:20" x14ac:dyDescent="0.25">
      <c r="A19">
        <v>6</v>
      </c>
      <c r="B19" t="s">
        <v>5</v>
      </c>
      <c r="C19">
        <f>GETPIVOTDATA(""&amp;$C$13,Control!$A$20,"Month",A19)</f>
        <v>26823</v>
      </c>
      <c r="D19">
        <f>IFERROR(GETPIVOTDATA(""&amp;$C$13,Control!$A$3,"Month",A19),NA())</f>
        <v>26823</v>
      </c>
      <c r="F19">
        <f>GETPIVOTDATA(""&amp;$F$13,Control!$A$20,"Month",A19)</f>
        <v>2146</v>
      </c>
      <c r="G19">
        <f>GETPIVOTDATA(""&amp;$G$13,Control!$A$20,"Month",A19)</f>
        <v>1751</v>
      </c>
      <c r="H19">
        <f t="shared" si="1"/>
        <v>0</v>
      </c>
      <c r="I19">
        <f t="shared" si="0"/>
        <v>0</v>
      </c>
      <c r="J19">
        <f t="shared" si="2"/>
        <v>0</v>
      </c>
      <c r="K19">
        <f t="shared" si="3"/>
        <v>0</v>
      </c>
      <c r="L19">
        <f t="shared" si="4"/>
        <v>2146</v>
      </c>
      <c r="M19">
        <f t="shared" si="5"/>
        <v>-1751</v>
      </c>
      <c r="N19">
        <v>0</v>
      </c>
      <c r="O19">
        <f t="shared" si="6"/>
        <v>0</v>
      </c>
      <c r="P19">
        <f t="shared" si="7"/>
        <v>-100</v>
      </c>
      <c r="Q19" t="e">
        <f t="shared" si="8"/>
        <v>#N/A</v>
      </c>
      <c r="R19" t="e">
        <f t="shared" si="9"/>
        <v>#N/A</v>
      </c>
      <c r="S19">
        <f t="shared" si="10"/>
        <v>2196</v>
      </c>
      <c r="T19">
        <f t="shared" si="11"/>
        <v>-1801</v>
      </c>
    </row>
    <row r="20" spans="1:20" x14ac:dyDescent="0.25">
      <c r="A20">
        <v>7</v>
      </c>
      <c r="B20" t="s">
        <v>6</v>
      </c>
      <c r="C20">
        <f>GETPIVOTDATA(""&amp;$C$13,Control!$A$20,"Month",A20)</f>
        <v>32871</v>
      </c>
      <c r="D20">
        <f>IFERROR(GETPIVOTDATA(""&amp;$C$13,Control!$A$3,"Month",A20),NA())</f>
        <v>32871</v>
      </c>
      <c r="F20">
        <f>GETPIVOTDATA(""&amp;$F$13,Control!$A$20,"Month",A20)</f>
        <v>1613</v>
      </c>
      <c r="G20">
        <f>GETPIVOTDATA(""&amp;$G$13,Control!$A$20,"Month",A20)</f>
        <v>1555</v>
      </c>
      <c r="H20">
        <f t="shared" si="1"/>
        <v>0</v>
      </c>
      <c r="I20">
        <f t="shared" si="0"/>
        <v>0</v>
      </c>
      <c r="J20">
        <f t="shared" si="2"/>
        <v>0</v>
      </c>
      <c r="K20">
        <f t="shared" si="3"/>
        <v>0</v>
      </c>
      <c r="L20">
        <f t="shared" si="4"/>
        <v>1613</v>
      </c>
      <c r="M20">
        <f t="shared" si="5"/>
        <v>-1555</v>
      </c>
      <c r="N20">
        <v>0</v>
      </c>
      <c r="O20">
        <f t="shared" si="6"/>
        <v>0</v>
      </c>
      <c r="P20">
        <f t="shared" si="7"/>
        <v>-100</v>
      </c>
      <c r="Q20" t="e">
        <f t="shared" si="8"/>
        <v>#N/A</v>
      </c>
      <c r="R20" t="e">
        <f t="shared" si="9"/>
        <v>#N/A</v>
      </c>
      <c r="S20">
        <f t="shared" si="10"/>
        <v>1663</v>
      </c>
      <c r="T20">
        <f t="shared" si="11"/>
        <v>-1605</v>
      </c>
    </row>
    <row r="21" spans="1:20" x14ac:dyDescent="0.25">
      <c r="A21">
        <v>8</v>
      </c>
      <c r="B21" t="s">
        <v>7</v>
      </c>
      <c r="C21">
        <f>GETPIVOTDATA(""&amp;$C$13,Control!$A$20,"Month",A21)</f>
        <v>25108</v>
      </c>
      <c r="D21">
        <f>IFERROR(GETPIVOTDATA(""&amp;$C$13,Control!$A$3,"Month",A21),NA())</f>
        <v>25108</v>
      </c>
      <c r="F21">
        <f>GETPIVOTDATA(""&amp;$F$13,Control!$A$20,"Month",A21)</f>
        <v>1525</v>
      </c>
      <c r="G21">
        <f>GETPIVOTDATA(""&amp;$G$13,Control!$A$20,"Month",A21)</f>
        <v>1836</v>
      </c>
      <c r="H21">
        <f t="shared" si="1"/>
        <v>0</v>
      </c>
      <c r="I21">
        <f t="shared" si="0"/>
        <v>0</v>
      </c>
      <c r="J21">
        <f t="shared" si="2"/>
        <v>0</v>
      </c>
      <c r="K21">
        <f t="shared" si="3"/>
        <v>0</v>
      </c>
      <c r="L21">
        <f t="shared" si="4"/>
        <v>1525</v>
      </c>
      <c r="M21">
        <f t="shared" si="5"/>
        <v>-1836</v>
      </c>
      <c r="N21">
        <v>0</v>
      </c>
      <c r="O21">
        <f t="shared" si="6"/>
        <v>0</v>
      </c>
      <c r="P21">
        <f t="shared" si="7"/>
        <v>-100</v>
      </c>
      <c r="Q21" t="e">
        <f t="shared" si="8"/>
        <v>#N/A</v>
      </c>
      <c r="R21" t="e">
        <f t="shared" si="9"/>
        <v>#N/A</v>
      </c>
      <c r="S21">
        <f t="shared" si="10"/>
        <v>1575</v>
      </c>
      <c r="T21">
        <f t="shared" si="11"/>
        <v>-1886</v>
      </c>
    </row>
    <row r="22" spans="1:20" x14ac:dyDescent="0.25">
      <c r="A22">
        <v>9</v>
      </c>
      <c r="B22" t="s">
        <v>8</v>
      </c>
      <c r="C22">
        <f>GETPIVOTDATA(""&amp;$C$13,Control!$A$20,"Month",A22)</f>
        <v>28741</v>
      </c>
      <c r="D22">
        <f>IFERROR(GETPIVOTDATA(""&amp;$C$13,Control!$A$3,"Month",A22),NA())</f>
        <v>28741</v>
      </c>
      <c r="F22">
        <f>GETPIVOTDATA(""&amp;$F$13,Control!$A$20,"Month",A22)</f>
        <v>2404</v>
      </c>
      <c r="G22">
        <f>GETPIVOTDATA(""&amp;$G$13,Control!$A$20,"Month",A22)</f>
        <v>1711</v>
      </c>
      <c r="H22">
        <f t="shared" si="1"/>
        <v>0</v>
      </c>
      <c r="I22">
        <f t="shared" si="0"/>
        <v>0</v>
      </c>
      <c r="J22">
        <f t="shared" si="2"/>
        <v>0</v>
      </c>
      <c r="K22">
        <f t="shared" si="3"/>
        <v>0</v>
      </c>
      <c r="L22">
        <f t="shared" si="4"/>
        <v>2404</v>
      </c>
      <c r="M22">
        <f t="shared" si="5"/>
        <v>-1711</v>
      </c>
      <c r="N22">
        <v>0</v>
      </c>
      <c r="O22">
        <f t="shared" si="6"/>
        <v>0</v>
      </c>
      <c r="P22">
        <f t="shared" si="7"/>
        <v>-100</v>
      </c>
      <c r="Q22" t="e">
        <f t="shared" si="8"/>
        <v>#N/A</v>
      </c>
      <c r="R22" t="e">
        <f t="shared" si="9"/>
        <v>#N/A</v>
      </c>
      <c r="S22">
        <f t="shared" si="10"/>
        <v>2454</v>
      </c>
      <c r="T22">
        <f t="shared" si="11"/>
        <v>-1761</v>
      </c>
    </row>
    <row r="23" spans="1:20" x14ac:dyDescent="0.25">
      <c r="A23">
        <v>10</v>
      </c>
      <c r="B23" t="s">
        <v>9</v>
      </c>
      <c r="C23">
        <f>GETPIVOTDATA(""&amp;$C$13,Control!$A$20,"Month",A23)</f>
        <v>25964</v>
      </c>
      <c r="D23" t="e">
        <f>IFERROR(GETPIVOTDATA(""&amp;$C$13,Control!$A$3,"Month",A23),NA())</f>
        <v>#N/A</v>
      </c>
      <c r="F23">
        <f>GETPIVOTDATA(""&amp;$F$13,Control!$A$20,"Month",A23)</f>
        <v>1565</v>
      </c>
      <c r="G23">
        <f>GETPIVOTDATA(""&amp;$G$13,Control!$A$20,"Month",A23)</f>
        <v>1645</v>
      </c>
      <c r="H23">
        <f t="shared" si="1"/>
        <v>100</v>
      </c>
      <c r="I23">
        <f t="shared" si="0"/>
        <v>1565</v>
      </c>
      <c r="J23">
        <f t="shared" si="2"/>
        <v>-100</v>
      </c>
      <c r="K23">
        <f t="shared" si="3"/>
        <v>-1645</v>
      </c>
      <c r="L23">
        <f t="shared" si="4"/>
        <v>0</v>
      </c>
      <c r="M23">
        <f t="shared" si="5"/>
        <v>0</v>
      </c>
      <c r="N23">
        <v>0</v>
      </c>
      <c r="O23">
        <f t="shared" si="6"/>
        <v>0</v>
      </c>
      <c r="P23">
        <f t="shared" si="7"/>
        <v>0</v>
      </c>
      <c r="Q23">
        <f t="shared" si="8"/>
        <v>1615</v>
      </c>
      <c r="R23">
        <f t="shared" si="9"/>
        <v>-1695</v>
      </c>
      <c r="S23" t="e">
        <f t="shared" si="10"/>
        <v>#N/A</v>
      </c>
      <c r="T23" t="e">
        <f t="shared" si="11"/>
        <v>#N/A</v>
      </c>
    </row>
    <row r="24" spans="1:20" x14ac:dyDescent="0.25">
      <c r="A24">
        <v>11</v>
      </c>
      <c r="B24" t="s">
        <v>10</v>
      </c>
      <c r="C24">
        <f>GETPIVOTDATA(""&amp;$C$13,Control!$A$20,"Month",A24)</f>
        <v>29363</v>
      </c>
      <c r="D24" t="e">
        <f>IFERROR(GETPIVOTDATA(""&amp;$C$13,Control!$A$3,"Month",A24),NA())</f>
        <v>#N/A</v>
      </c>
      <c r="F24">
        <f>GETPIVOTDATA(""&amp;$F$13,Control!$A$20,"Month",A24)</f>
        <v>2975</v>
      </c>
      <c r="G24">
        <f>GETPIVOTDATA(""&amp;$G$13,Control!$A$20,"Month",A24)</f>
        <v>1504</v>
      </c>
      <c r="H24">
        <f t="shared" si="1"/>
        <v>100</v>
      </c>
      <c r="I24">
        <f t="shared" si="0"/>
        <v>2975</v>
      </c>
      <c r="J24">
        <f t="shared" si="2"/>
        <v>-100</v>
      </c>
      <c r="K24">
        <f t="shared" si="3"/>
        <v>-1504</v>
      </c>
      <c r="L24">
        <f t="shared" si="4"/>
        <v>0</v>
      </c>
      <c r="M24">
        <f t="shared" si="5"/>
        <v>0</v>
      </c>
      <c r="N24">
        <v>0</v>
      </c>
      <c r="O24">
        <f t="shared" si="6"/>
        <v>0</v>
      </c>
      <c r="P24">
        <f t="shared" si="7"/>
        <v>0</v>
      </c>
      <c r="Q24">
        <f t="shared" si="8"/>
        <v>3025</v>
      </c>
      <c r="R24">
        <f t="shared" si="9"/>
        <v>-1554</v>
      </c>
      <c r="S24" t="e">
        <f t="shared" si="10"/>
        <v>#N/A</v>
      </c>
      <c r="T24" t="e">
        <f t="shared" si="11"/>
        <v>#N/A</v>
      </c>
    </row>
    <row r="25" spans="1:20" x14ac:dyDescent="0.25">
      <c r="A25">
        <v>12</v>
      </c>
      <c r="B25" t="s">
        <v>11</v>
      </c>
      <c r="C25">
        <f>GETPIVOTDATA(""&amp;$C$13,Control!$A$20,"Month",A25)</f>
        <v>26430</v>
      </c>
      <c r="D25" t="e">
        <f>IFERROR(GETPIVOTDATA(""&amp;$C$13,Control!$A$3,"Month",A25),NA())</f>
        <v>#N/A</v>
      </c>
      <c r="F25">
        <f>GETPIVOTDATA(""&amp;$F$13,Control!$A$20,"Month",A25)</f>
        <v>1019</v>
      </c>
      <c r="G25">
        <f>GETPIVOTDATA(""&amp;$G$13,Control!$A$20,"Month",A25)</f>
        <v>1338</v>
      </c>
      <c r="H25">
        <f t="shared" si="1"/>
        <v>100</v>
      </c>
      <c r="I25">
        <f t="shared" si="0"/>
        <v>1019</v>
      </c>
      <c r="J25">
        <f t="shared" si="2"/>
        <v>-100</v>
      </c>
      <c r="K25">
        <f t="shared" si="3"/>
        <v>-1338</v>
      </c>
      <c r="L25">
        <f t="shared" si="4"/>
        <v>0</v>
      </c>
      <c r="M25">
        <f t="shared" si="5"/>
        <v>0</v>
      </c>
      <c r="N25">
        <v>0</v>
      </c>
      <c r="O25">
        <f t="shared" si="6"/>
        <v>0</v>
      </c>
      <c r="P25">
        <f t="shared" si="7"/>
        <v>0</v>
      </c>
      <c r="Q25">
        <f t="shared" si="8"/>
        <v>1069</v>
      </c>
      <c r="R25">
        <f t="shared" si="9"/>
        <v>-1388</v>
      </c>
      <c r="S25" t="e">
        <f t="shared" si="10"/>
        <v>#N/A</v>
      </c>
      <c r="T25" t="e">
        <f t="shared" si="11"/>
        <v>#N/A</v>
      </c>
    </row>
    <row r="26" spans="1:20" x14ac:dyDescent="0.25">
      <c r="D26" s="8">
        <f>SUMIF(D14:D25,"&gt;0")</f>
        <v>167197</v>
      </c>
      <c r="L26" s="8">
        <f>SUMIF(L14:L25,"&gt;0")</f>
        <v>11682</v>
      </c>
      <c r="M26" s="8">
        <f>SUMIF(M14:M25,"&lt;0")</f>
        <v>-10847</v>
      </c>
    </row>
    <row r="27" spans="1:20" x14ac:dyDescent="0.25">
      <c r="B27" t="s">
        <v>62</v>
      </c>
      <c r="C27" s="3" t="s">
        <v>26</v>
      </c>
      <c r="D27" s="3" t="s">
        <v>27</v>
      </c>
      <c r="E27" s="3" t="s">
        <v>28</v>
      </c>
      <c r="H27" t="s">
        <v>54</v>
      </c>
    </row>
    <row r="28" spans="1:20" x14ac:dyDescent="0.25">
      <c r="A28">
        <v>1</v>
      </c>
      <c r="B28">
        <f>GETPIVOTDATA(""&amp;$B$27,Control!$A$20,"Month",A28)</f>
        <v>237556</v>
      </c>
      <c r="C28" s="8" t="e" cm="1">
        <f t="array" ref="C28">IF(D14=INDEX($D$14:$D$25,MATCH(TRUE,$D$14:$D$25&gt;0,0)),B28,NA())</f>
        <v>#N/A</v>
      </c>
      <c r="D28" s="8" t="e" cm="1">
        <f t="array" ref="D28">IF(D14=INDEX($D$14:$D$25,MAX(IFERROR(IF($D$14:$D$25&gt;0,ROW($D$14:$D$25)-MIN(ROW($D$14:$D$25))+1),0))),B28,NA())</f>
        <v>#N/A</v>
      </c>
      <c r="E28" t="e" cm="1">
        <f t="array" ref="E28">IF(OR(D14=INDEX($D$14:$D$25,MATCH(TRUE,$D$14:$D$25&gt;0,0)),D14=INDEX($D$14:$D$25,MAX(IFERROR(IF($D$14:$D$25&gt;0,ROW($D$14:$D$25)-MIN(ROW($D$14:$D$25))+1),0)))),B28,NA())</f>
        <v>#N/A</v>
      </c>
      <c r="F28" t="e">
        <f>IF(ISNA(D14),D14,B28)</f>
        <v>#N/A</v>
      </c>
      <c r="J28" s="8">
        <v>0</v>
      </c>
      <c r="K28" s="8">
        <v>0</v>
      </c>
      <c r="L28" s="8">
        <v>0</v>
      </c>
      <c r="M28" s="8">
        <v>0</v>
      </c>
      <c r="N28" s="8">
        <f t="shared" ref="N28:N33" si="12">IF($B$1=H28,I28,0)</f>
        <v>0</v>
      </c>
      <c r="O28" cm="1">
        <f t="array" ref="O28">INDEX(I29:I32,P28-1)</f>
        <v>22699</v>
      </c>
      <c r="P28">
        <f>MATCH(B1,H29:H32,0)+1</f>
        <v>3</v>
      </c>
    </row>
    <row r="29" spans="1:20" x14ac:dyDescent="0.25">
      <c r="A29">
        <v>2</v>
      </c>
      <c r="B29">
        <f>GETPIVOTDATA(""&amp;$B$27,Control!$A$20,"Month",A29)</f>
        <v>283339</v>
      </c>
      <c r="C29" s="8" t="e" cm="1">
        <f t="array" ref="C29">IF(D15=INDEX($D$14:$D$25,MATCH(TRUE,$D$14:$D$25&gt;0,0)),B29,NA())</f>
        <v>#N/A</v>
      </c>
      <c r="D29" s="8" t="e" cm="1">
        <f t="array" ref="D29">IF(D15=INDEX($D$14:$D$25,MAX(IFERROR(IF($D$14:$D$25&gt;0,ROW($D$14:$D$25)-MIN(ROW($D$14:$D$25))+1),0))),B29,NA())</f>
        <v>#N/A</v>
      </c>
      <c r="E29" t="e" cm="1">
        <f t="array" ref="E29">IF(OR(D15=INDEX($D$14:$D$25,MATCH(TRUE,$D$14:$D$25&gt;0,0)),D15=INDEX($D$14:$D$25,MAX(IFERROR(IF($D$14:$D$25&gt;0,ROW($D$14:$D$25)-MIN(ROW($D$14:$D$25))+1),0)))),B29,NA())</f>
        <v>#N/A</v>
      </c>
      <c r="F29" t="e">
        <f t="shared" ref="F29:F39" si="13">IF(ISNA(D15),D15,B29)</f>
        <v>#N/A</v>
      </c>
      <c r="H29">
        <v>2022</v>
      </c>
      <c r="I29" s="8">
        <f>SUMIF(Data!$A$2:$A$193,H29,Data!$I$2:$I$193)</f>
        <v>23981</v>
      </c>
      <c r="J29" s="8">
        <f>IF($B$1=H29,0,I29)</f>
        <v>23981</v>
      </c>
      <c r="K29" s="8">
        <v>0</v>
      </c>
      <c r="L29" s="8">
        <v>0</v>
      </c>
      <c r="M29" s="8">
        <v>0</v>
      </c>
      <c r="N29" s="8">
        <f t="shared" si="12"/>
        <v>0</v>
      </c>
      <c r="O29" s="8"/>
    </row>
    <row r="30" spans="1:20" x14ac:dyDescent="0.25">
      <c r="A30">
        <v>3</v>
      </c>
      <c r="B30">
        <f>GETPIVOTDATA(""&amp;$B$27,Control!$A$20,"Month",A30)</f>
        <v>281728</v>
      </c>
      <c r="C30" s="8" t="e" cm="1">
        <f t="array" ref="C30">IF(D16=INDEX($D$14:$D$25,MATCH(TRUE,$D$14:$D$25&gt;0,0)),B30,NA())</f>
        <v>#N/A</v>
      </c>
      <c r="D30" s="8" t="e" cm="1">
        <f t="array" ref="D30">IF(D16=INDEX($D$14:$D$25,MAX(IFERROR(IF($D$14:$D$25&gt;0,ROW($D$14:$D$25)-MIN(ROW($D$14:$D$25))+1),0))),B30,NA())</f>
        <v>#N/A</v>
      </c>
      <c r="E30" t="e" cm="1">
        <f t="array" ref="E30">IF(OR(D16=INDEX($D$14:$D$25,MATCH(TRUE,$D$14:$D$25&gt;0,0)),D16=INDEX($D$14:$D$25,MAX(IFERROR(IF($D$14:$D$25&gt;0,ROW($D$14:$D$25)-MIN(ROW($D$14:$D$25))+1),0)))),B30,NA())</f>
        <v>#N/A</v>
      </c>
      <c r="F30" t="e">
        <f t="shared" si="13"/>
        <v>#N/A</v>
      </c>
      <c r="H30">
        <v>2023</v>
      </c>
      <c r="I30" s="8">
        <f>SUMIF(Data!$A$2:$A$193,H30,Data!$I$2:$I$193)</f>
        <v>22699</v>
      </c>
      <c r="J30" s="8">
        <v>0</v>
      </c>
      <c r="K30" s="8">
        <f>IF($B$1=H30,0,I30)</f>
        <v>0</v>
      </c>
      <c r="L30" s="8">
        <v>0</v>
      </c>
      <c r="M30" s="8">
        <v>0</v>
      </c>
      <c r="N30" s="8">
        <f t="shared" si="12"/>
        <v>22699</v>
      </c>
      <c r="O30" s="8"/>
    </row>
    <row r="31" spans="1:20" x14ac:dyDescent="0.25">
      <c r="A31">
        <v>4</v>
      </c>
      <c r="B31">
        <f>GETPIVOTDATA(""&amp;$B$27,Control!$A$20,"Month",A31)</f>
        <v>292458</v>
      </c>
      <c r="C31" s="8" cm="1">
        <f t="array" ref="C31">IF(D17=INDEX($D$14:$D$25,MATCH(TRUE,$D$14:$D$25&gt;0,0)),B31,NA())</f>
        <v>292458</v>
      </c>
      <c r="D31" s="8" t="e" cm="1">
        <f t="array" ref="D31">IF(D17=INDEX($D$14:$D$25,MAX(IFERROR(IF($D$14:$D$25&gt;0,ROW($D$14:$D$25)-MIN(ROW($D$14:$D$25))+1),0))),B31,NA())</f>
        <v>#N/A</v>
      </c>
      <c r="E31" cm="1">
        <f t="array" ref="E31">IF(OR(D17=INDEX($D$14:$D$25,MATCH(TRUE,$D$14:$D$25&gt;0,0)),D17=INDEX($D$14:$D$25,MAX(IFERROR(IF($D$14:$D$25&gt;0,ROW($D$14:$D$25)-MIN(ROW($D$14:$D$25))+1),0)))),B31,NA())</f>
        <v>292458</v>
      </c>
      <c r="F31">
        <f t="shared" si="13"/>
        <v>292458</v>
      </c>
      <c r="H31">
        <v>2024</v>
      </c>
      <c r="I31" s="8">
        <f>SUMIF(Data!$A$2:$A$193,H31,Data!$I$2:$I$193)</f>
        <v>24836</v>
      </c>
      <c r="J31" s="8">
        <v>0</v>
      </c>
      <c r="K31" s="8">
        <v>0</v>
      </c>
      <c r="L31" s="8">
        <f>IF($B$1=H31,0,I31)</f>
        <v>24836</v>
      </c>
      <c r="M31" s="8">
        <v>0</v>
      </c>
      <c r="N31" s="8">
        <f t="shared" si="12"/>
        <v>0</v>
      </c>
      <c r="O31" s="8"/>
    </row>
    <row r="32" spans="1:20" x14ac:dyDescent="0.25">
      <c r="A32">
        <v>5</v>
      </c>
      <c r="B32">
        <f>GETPIVOTDATA(""&amp;$B$27,Control!$A$20,"Month",A32)</f>
        <v>330740</v>
      </c>
      <c r="C32" s="8" t="e" cm="1">
        <f t="array" ref="C32">IF(D18=INDEX($D$14:$D$25,MATCH(TRUE,$D$14:$D$25&gt;0,0)),B32,NA())</f>
        <v>#N/A</v>
      </c>
      <c r="D32" s="8" t="e" cm="1">
        <f t="array" ref="D32">IF(D18=INDEX($D$14:$D$25,MAX(IFERROR(IF($D$14:$D$25&gt;0,ROW($D$14:$D$25)-MIN(ROW($D$14:$D$25))+1),0))),B32,NA())</f>
        <v>#N/A</v>
      </c>
      <c r="E32" t="e" cm="1">
        <f t="array" ref="E32">IF(OR(D18=INDEX($D$14:$D$25,MATCH(TRUE,$D$14:$D$25&gt;0,0)),D18=INDEX($D$14:$D$25,MAX(IFERROR(IF($D$14:$D$25&gt;0,ROW($D$14:$D$25)-MIN(ROW($D$14:$D$25))+1),0)))),B32,NA())</f>
        <v>#N/A</v>
      </c>
      <c r="F32">
        <f t="shared" si="13"/>
        <v>330740</v>
      </c>
      <c r="H32">
        <v>2025</v>
      </c>
      <c r="I32" s="8">
        <f>SUMIF(Data!$A$2:$A$193,H32,Data!$I$2:$I$193)</f>
        <v>28781</v>
      </c>
      <c r="J32" s="8">
        <v>0</v>
      </c>
      <c r="K32" s="8">
        <v>0</v>
      </c>
      <c r="L32" s="8">
        <v>0</v>
      </c>
      <c r="M32" s="8">
        <f>IF($B$1=H32,0,I32)</f>
        <v>28781</v>
      </c>
      <c r="N32" s="8">
        <f t="shared" si="12"/>
        <v>0</v>
      </c>
      <c r="O32" s="8"/>
    </row>
    <row r="33" spans="1:15" x14ac:dyDescent="0.25">
      <c r="A33">
        <v>6</v>
      </c>
      <c r="B33">
        <f>GETPIVOTDATA(""&amp;$B$27,Control!$A$20,"Month",A33)</f>
        <v>339060</v>
      </c>
      <c r="C33" s="8" t="e" cm="1">
        <f t="array" ref="C33">IF(D19=INDEX($D$14:$D$25,MATCH(TRUE,$D$14:$D$25&gt;0,0)),B33,NA())</f>
        <v>#N/A</v>
      </c>
      <c r="D33" s="8" t="e" cm="1">
        <f t="array" ref="D33">IF(D19=INDEX($D$14:$D$25,MAX(IFERROR(IF($D$14:$D$25&gt;0,ROW($D$14:$D$25)-MIN(ROW($D$14:$D$25))+1),0))),B33,NA())</f>
        <v>#N/A</v>
      </c>
      <c r="E33" t="e" cm="1">
        <f t="array" ref="E33">IF(OR(D19=INDEX($D$14:$D$25,MATCH(TRUE,$D$14:$D$25&gt;0,0)),D19=INDEX($D$14:$D$25,MAX(IFERROR(IF($D$14:$D$25&gt;0,ROW($D$14:$D$25)-MIN(ROW($D$14:$D$25))+1),0)))),B33,NA())</f>
        <v>#N/A</v>
      </c>
      <c r="F33">
        <f t="shared" si="13"/>
        <v>339060</v>
      </c>
      <c r="J33" s="8">
        <v>0</v>
      </c>
      <c r="K33" s="8">
        <v>0</v>
      </c>
      <c r="L33" s="8">
        <v>0</v>
      </c>
      <c r="M33" s="8">
        <v>0</v>
      </c>
      <c r="N33" s="8">
        <f t="shared" si="12"/>
        <v>0</v>
      </c>
      <c r="O33" s="8"/>
    </row>
    <row r="34" spans="1:15" x14ac:dyDescent="0.25">
      <c r="A34">
        <v>7</v>
      </c>
      <c r="B34">
        <f>GETPIVOTDATA(""&amp;$B$27,Control!$A$20,"Month",A34)</f>
        <v>296183</v>
      </c>
      <c r="C34" s="8" t="e" cm="1">
        <f t="array" ref="C34">IF(D20=INDEX($D$14:$D$25,MATCH(TRUE,$D$14:$D$25&gt;0,0)),B34,NA())</f>
        <v>#N/A</v>
      </c>
      <c r="D34" s="8" t="e" cm="1">
        <f t="array" ref="D34">IF(D20=INDEX($D$14:$D$25,MAX(IFERROR(IF($D$14:$D$25&gt;0,ROW($D$14:$D$25)-MIN(ROW($D$14:$D$25))+1),0))),B34,NA())</f>
        <v>#N/A</v>
      </c>
      <c r="E34" t="e" cm="1">
        <f t="array" ref="E34">IF(OR(D20=INDEX($D$14:$D$25,MATCH(TRUE,$D$14:$D$25&gt;0,0)),D20=INDEX($D$14:$D$25,MAX(IFERROR(IF($D$14:$D$25&gt;0,ROW($D$14:$D$25)-MIN(ROW($D$14:$D$25))+1),0)))),B34,NA())</f>
        <v>#N/A</v>
      </c>
      <c r="F34">
        <f t="shared" si="13"/>
        <v>296183</v>
      </c>
    </row>
    <row r="35" spans="1:15" x14ac:dyDescent="0.25">
      <c r="A35">
        <v>8</v>
      </c>
      <c r="B35">
        <f>GETPIVOTDATA(""&amp;$B$27,Control!$A$20,"Month",A35)</f>
        <v>297657</v>
      </c>
      <c r="C35" s="8" t="e" cm="1">
        <f t="array" ref="C35">IF(D21=INDEX($D$14:$D$25,MATCH(TRUE,$D$14:$D$25&gt;0,0)),B35,NA())</f>
        <v>#N/A</v>
      </c>
      <c r="D35" s="8" t="e" cm="1">
        <f t="array" ref="D35">IF(D21=INDEX($D$14:$D$25,MAX(IFERROR(IF($D$14:$D$25&gt;0,ROW($D$14:$D$25)-MIN(ROW($D$14:$D$25))+1),0))),B35,NA())</f>
        <v>#N/A</v>
      </c>
      <c r="E35" t="e" cm="1">
        <f t="array" ref="E35">IF(OR(D21=INDEX($D$14:$D$25,MATCH(TRUE,$D$14:$D$25&gt;0,0)),D21=INDEX($D$14:$D$25,MAX(IFERROR(IF($D$14:$D$25&gt;0,ROW($D$14:$D$25)-MIN(ROW($D$14:$D$25))+1),0)))),B35,NA())</f>
        <v>#N/A</v>
      </c>
      <c r="F35">
        <f t="shared" si="13"/>
        <v>297657</v>
      </c>
    </row>
    <row r="36" spans="1:15" x14ac:dyDescent="0.25">
      <c r="A36">
        <v>9</v>
      </c>
      <c r="B36">
        <f>GETPIVOTDATA(""&amp;$B$27,Control!$A$20,"Month",A36)</f>
        <v>278300</v>
      </c>
      <c r="C36" s="8" t="e" cm="1">
        <f t="array" ref="C36">IF(D22=INDEX($D$14:$D$25,MATCH(TRUE,$D$14:$D$25&gt;0,0)),B36,NA())</f>
        <v>#N/A</v>
      </c>
      <c r="D36" s="8" cm="1">
        <f t="array" ref="D36">IF(D22=INDEX($D$14:$D$25,MAX(IFERROR(IF($D$14:$D$25&gt;0,ROW($D$14:$D$25)-MIN(ROW($D$14:$D$25))+1),0))),B36,NA())</f>
        <v>278300</v>
      </c>
      <c r="E36" cm="1">
        <f t="array" ref="E36">IF(OR(D22=INDEX($D$14:$D$25,MATCH(TRUE,$D$14:$D$25&gt;0,0)),D22=INDEX($D$14:$D$25,MAX(IFERROR(IF($D$14:$D$25&gt;0,ROW($D$14:$D$25)-MIN(ROW($D$14:$D$25))+1),0)))),B36,NA())</f>
        <v>278300</v>
      </c>
      <c r="F36">
        <f t="shared" si="13"/>
        <v>278300</v>
      </c>
    </row>
    <row r="37" spans="1:15" x14ac:dyDescent="0.25">
      <c r="A37">
        <v>10</v>
      </c>
      <c r="B37">
        <f>GETPIVOTDATA(""&amp;$B$27,Control!$A$20,"Month",A37)</f>
        <v>284396</v>
      </c>
      <c r="C37" s="8" t="e" cm="1">
        <f t="array" ref="C37">IF(D23=INDEX($D$14:$D$25,MATCH(TRUE,$D$14:$D$25&gt;0,0)),B37,NA())</f>
        <v>#N/A</v>
      </c>
      <c r="D37" s="8" t="e" cm="1">
        <f t="array" ref="D37">IF(D23=INDEX($D$14:$D$25,MAX(IFERROR(IF($D$14:$D$25&gt;0,ROW($D$14:$D$25)-MIN(ROW($D$14:$D$25))+1),0))),B37,NA())</f>
        <v>#N/A</v>
      </c>
      <c r="E37" t="e" cm="1">
        <f t="array" ref="E37">IF(OR(D23=INDEX($D$14:$D$25,MATCH(TRUE,$D$14:$D$25&gt;0,0)),D23=INDEX($D$14:$D$25,MAX(IFERROR(IF($D$14:$D$25&gt;0,ROW($D$14:$D$25)-MIN(ROW($D$14:$D$25))+1),0)))),B37,NA())</f>
        <v>#N/A</v>
      </c>
      <c r="F37" t="e">
        <f t="shared" si="13"/>
        <v>#N/A</v>
      </c>
    </row>
    <row r="38" spans="1:15" x14ac:dyDescent="0.25">
      <c r="A38">
        <v>11</v>
      </c>
      <c r="B38">
        <f>GETPIVOTDATA(""&amp;$B$27,Control!$A$20,"Month",A38)</f>
        <v>324839</v>
      </c>
      <c r="C38" s="8" t="e" cm="1">
        <f t="array" ref="C38">IF(D24=INDEX($D$14:$D$25,MATCH(TRUE,$D$14:$D$25&gt;0,0)),B38,NA())</f>
        <v>#N/A</v>
      </c>
      <c r="D38" s="8" t="e" cm="1">
        <f t="array" ref="D38">IF(D24=INDEX($D$14:$D$25,MAX(IFERROR(IF($D$14:$D$25&gt;0,ROW($D$14:$D$25)-MIN(ROW($D$14:$D$25))+1),0))),B38,NA())</f>
        <v>#N/A</v>
      </c>
      <c r="E38" t="e" cm="1">
        <f t="array" ref="E38">IF(OR(D24=INDEX($D$14:$D$25,MATCH(TRUE,$D$14:$D$25&gt;0,0)),D24=INDEX($D$14:$D$25,MAX(IFERROR(IF($D$14:$D$25&gt;0,ROW($D$14:$D$25)-MIN(ROW($D$14:$D$25))+1),0)))),B38,NA())</f>
        <v>#N/A</v>
      </c>
      <c r="F38" t="e">
        <f t="shared" si="13"/>
        <v>#N/A</v>
      </c>
    </row>
    <row r="39" spans="1:15" x14ac:dyDescent="0.25">
      <c r="A39">
        <v>12</v>
      </c>
      <c r="B39">
        <f>GETPIVOTDATA(""&amp;$B$27,Control!$A$20,"Month",A39)</f>
        <v>281229</v>
      </c>
      <c r="C39" s="8" t="e" cm="1">
        <f t="array" ref="C39">IF(D25=INDEX($D$14:$D$25,MATCH(TRUE,$D$14:$D$25&gt;0,0)),B39,NA())</f>
        <v>#N/A</v>
      </c>
      <c r="D39" s="8" t="e" cm="1">
        <f t="array" ref="D39">IF(D25=INDEX($D$14:$D$25,MAX(IFERROR(IF($D$14:$D$25&gt;0,ROW($D$14:$D$25)-MIN(ROW($D$14:$D$25))+1),0))),B39,NA())</f>
        <v>#N/A</v>
      </c>
      <c r="E39" t="e" cm="1">
        <f t="array" ref="E39">IF(OR(D25=INDEX($D$14:$D$25,MATCH(TRUE,$D$14:$D$25&gt;0,0)),D25=INDEX($D$14:$D$25,MAX(IFERROR(IF($D$14:$D$25&gt;0,ROW($D$14:$D$25)-MIN(ROW($D$14:$D$25))+1),0)))),B39,NA())</f>
        <v>#N/A</v>
      </c>
      <c r="F39" t="e">
        <f t="shared" si="13"/>
        <v>#N/A</v>
      </c>
    </row>
    <row r="40" spans="1:15" x14ac:dyDescent="0.25">
      <c r="B40" s="8">
        <f>SUM(B28:B39)</f>
        <v>3527485</v>
      </c>
      <c r="F40" s="8">
        <f>SUMIF(F28:F39,"&gt;0")</f>
        <v>1834398</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4BA35-94D8-4848-B35D-94D32B48A7D2}">
  <dimension ref="A1:P193"/>
  <sheetViews>
    <sheetView workbookViewId="0"/>
  </sheetViews>
  <sheetFormatPr defaultRowHeight="15" x14ac:dyDescent="0.25"/>
  <cols>
    <col min="4" max="4" width="12.28515625" customWidth="1"/>
    <col min="6" max="6" width="11.28515625" customWidth="1"/>
    <col min="7" max="7" width="10.7109375" customWidth="1"/>
    <col min="8" max="8" width="11.28515625" customWidth="1"/>
    <col min="11" max="11" width="7.85546875" customWidth="1"/>
    <col min="12" max="12" width="10.7109375" customWidth="1"/>
  </cols>
  <sheetData>
    <row r="1" spans="1:16" ht="45" x14ac:dyDescent="0.25">
      <c r="A1" s="9" t="s">
        <v>12</v>
      </c>
      <c r="B1" s="9" t="s">
        <v>29</v>
      </c>
      <c r="C1" s="10" t="s">
        <v>30</v>
      </c>
      <c r="D1" s="10" t="s">
        <v>39</v>
      </c>
      <c r="E1" s="12" t="s">
        <v>31</v>
      </c>
      <c r="F1" s="12" t="s">
        <v>32</v>
      </c>
      <c r="G1" s="12" t="s">
        <v>33</v>
      </c>
      <c r="H1" s="12" t="s">
        <v>34</v>
      </c>
      <c r="I1" s="12" t="s">
        <v>40</v>
      </c>
      <c r="J1" s="12" t="s">
        <v>41</v>
      </c>
      <c r="K1" s="12" t="s">
        <v>42</v>
      </c>
      <c r="L1" s="12" t="s">
        <v>44</v>
      </c>
      <c r="M1" s="12" t="s">
        <v>45</v>
      </c>
      <c r="N1" s="12" t="s">
        <v>46</v>
      </c>
      <c r="O1" s="12" t="s">
        <v>62</v>
      </c>
      <c r="P1" s="12" t="s">
        <v>43</v>
      </c>
    </row>
    <row r="2" spans="1:16" ht="15" customHeight="1" x14ac:dyDescent="0.25">
      <c r="A2">
        <v>2022</v>
      </c>
      <c r="B2" s="5">
        <v>1</v>
      </c>
      <c r="C2" s="5" t="s">
        <v>0</v>
      </c>
      <c r="D2" s="5" t="s">
        <v>35</v>
      </c>
      <c r="E2" s="11">
        <v>0.88</v>
      </c>
      <c r="F2" s="11">
        <v>0.65</v>
      </c>
      <c r="G2" s="11">
        <v>0.43</v>
      </c>
      <c r="H2" s="11">
        <v>0.95</v>
      </c>
      <c r="I2">
        <v>647</v>
      </c>
      <c r="J2">
        <v>112</v>
      </c>
      <c r="K2" s="11">
        <v>1.1000000000000001</v>
      </c>
      <c r="L2">
        <v>7.6</v>
      </c>
      <c r="M2">
        <v>4.5</v>
      </c>
      <c r="N2" s="11">
        <f>L2/(L2+M2)</f>
        <v>0.62809917355371903</v>
      </c>
      <c r="O2">
        <v>54273</v>
      </c>
      <c r="P2">
        <v>4713</v>
      </c>
    </row>
    <row r="3" spans="1:16" ht="15" customHeight="1" x14ac:dyDescent="0.25">
      <c r="A3">
        <v>2022</v>
      </c>
      <c r="B3" s="5">
        <v>2</v>
      </c>
      <c r="C3" s="5" t="s">
        <v>1</v>
      </c>
      <c r="D3" s="5" t="s">
        <v>35</v>
      </c>
      <c r="E3" s="11">
        <v>0.93</v>
      </c>
      <c r="F3" s="11">
        <v>0.75</v>
      </c>
      <c r="G3" s="11">
        <v>0.56999999999999995</v>
      </c>
      <c r="H3" s="11">
        <v>0.81</v>
      </c>
      <c r="I3">
        <v>663</v>
      </c>
      <c r="J3">
        <v>97</v>
      </c>
      <c r="K3" s="11">
        <v>0.8</v>
      </c>
      <c r="L3">
        <v>6</v>
      </c>
      <c r="M3">
        <v>4</v>
      </c>
      <c r="N3" s="11">
        <f>L3/(L3+M3)</f>
        <v>0.6</v>
      </c>
      <c r="O3">
        <v>70184</v>
      </c>
      <c r="P3">
        <v>4660</v>
      </c>
    </row>
    <row r="4" spans="1:16" x14ac:dyDescent="0.25">
      <c r="A4">
        <v>2022</v>
      </c>
      <c r="B4" s="5">
        <v>3</v>
      </c>
      <c r="C4" s="5" t="s">
        <v>2</v>
      </c>
      <c r="D4" s="5" t="s">
        <v>35</v>
      </c>
      <c r="E4" s="11">
        <v>0.92</v>
      </c>
      <c r="F4" s="11">
        <v>0.79</v>
      </c>
      <c r="G4" s="11">
        <v>0.75</v>
      </c>
      <c r="H4" s="11">
        <v>0.57999999999999996</v>
      </c>
      <c r="I4">
        <v>575</v>
      </c>
      <c r="J4">
        <v>38</v>
      </c>
      <c r="K4" s="11">
        <v>1.17</v>
      </c>
      <c r="L4">
        <v>5.8</v>
      </c>
      <c r="M4">
        <v>4.2</v>
      </c>
      <c r="N4" s="11">
        <f t="shared" ref="N4:N67" si="0">L4/(L4+M4)</f>
        <v>0.57999999999999996</v>
      </c>
      <c r="O4">
        <v>55321</v>
      </c>
      <c r="P4">
        <v>6259</v>
      </c>
    </row>
    <row r="5" spans="1:16" x14ac:dyDescent="0.25">
      <c r="A5">
        <v>2022</v>
      </c>
      <c r="B5" s="5">
        <v>4</v>
      </c>
      <c r="C5" s="5" t="s">
        <v>3</v>
      </c>
      <c r="D5" s="5" t="s">
        <v>35</v>
      </c>
      <c r="E5" s="11">
        <v>0.92</v>
      </c>
      <c r="F5" s="11">
        <v>0.53</v>
      </c>
      <c r="G5" s="11">
        <v>0.56000000000000005</v>
      </c>
      <c r="H5" s="11">
        <v>0.95</v>
      </c>
      <c r="I5">
        <v>271</v>
      </c>
      <c r="J5">
        <v>448</v>
      </c>
      <c r="K5" s="11">
        <v>0.79</v>
      </c>
      <c r="L5">
        <v>5.0999999999999996</v>
      </c>
      <c r="M5">
        <v>3.1</v>
      </c>
      <c r="N5" s="11">
        <f t="shared" si="0"/>
        <v>0.62195121951219512</v>
      </c>
      <c r="O5">
        <v>44235</v>
      </c>
      <c r="P5">
        <v>8885</v>
      </c>
    </row>
    <row r="6" spans="1:16" x14ac:dyDescent="0.25">
      <c r="A6">
        <v>2022</v>
      </c>
      <c r="B6" s="5">
        <v>5</v>
      </c>
      <c r="C6" s="5" t="s">
        <v>4</v>
      </c>
      <c r="D6" s="5" t="s">
        <v>35</v>
      </c>
      <c r="E6" s="11">
        <v>1.05</v>
      </c>
      <c r="F6" s="11">
        <v>0.6</v>
      </c>
      <c r="G6" s="11">
        <v>0.51</v>
      </c>
      <c r="H6" s="11">
        <v>0.63</v>
      </c>
      <c r="I6">
        <v>604</v>
      </c>
      <c r="J6">
        <v>356</v>
      </c>
      <c r="K6" s="11">
        <v>1.03</v>
      </c>
      <c r="L6">
        <v>8.1</v>
      </c>
      <c r="M6">
        <v>3.3</v>
      </c>
      <c r="N6" s="11">
        <f t="shared" si="0"/>
        <v>0.71052631578947378</v>
      </c>
      <c r="O6">
        <v>44309</v>
      </c>
      <c r="P6">
        <v>7606</v>
      </c>
    </row>
    <row r="7" spans="1:16" x14ac:dyDescent="0.25">
      <c r="A7">
        <v>2022</v>
      </c>
      <c r="B7" s="5">
        <v>6</v>
      </c>
      <c r="C7" s="5" t="s">
        <v>5</v>
      </c>
      <c r="D7" s="5" t="s">
        <v>35</v>
      </c>
      <c r="E7" s="11">
        <v>0.87</v>
      </c>
      <c r="F7" s="11">
        <v>0.54</v>
      </c>
      <c r="G7" s="11">
        <v>0.68</v>
      </c>
      <c r="H7" s="11">
        <v>0.57999999999999996</v>
      </c>
      <c r="I7">
        <v>557</v>
      </c>
      <c r="J7">
        <v>33</v>
      </c>
      <c r="K7" s="11">
        <v>0.65</v>
      </c>
      <c r="L7">
        <v>9.6</v>
      </c>
      <c r="M7">
        <v>3.6</v>
      </c>
      <c r="N7" s="11">
        <f t="shared" si="0"/>
        <v>0.72727272727272729</v>
      </c>
      <c r="O7">
        <v>70269</v>
      </c>
      <c r="P7">
        <v>8541</v>
      </c>
    </row>
    <row r="8" spans="1:16" x14ac:dyDescent="0.25">
      <c r="A8">
        <v>2022</v>
      </c>
      <c r="B8" s="5">
        <v>7</v>
      </c>
      <c r="C8" s="5" t="s">
        <v>6</v>
      </c>
      <c r="D8" s="5" t="s">
        <v>35</v>
      </c>
      <c r="E8" s="11">
        <v>0.9</v>
      </c>
      <c r="F8" s="11">
        <v>0.81</v>
      </c>
      <c r="G8" s="11">
        <v>0.47</v>
      </c>
      <c r="H8" s="11">
        <v>0.7</v>
      </c>
      <c r="I8">
        <v>915</v>
      </c>
      <c r="J8">
        <v>153</v>
      </c>
      <c r="K8" s="11">
        <v>0.91</v>
      </c>
      <c r="L8">
        <v>9.6999999999999993</v>
      </c>
      <c r="M8">
        <v>2.8</v>
      </c>
      <c r="N8" s="11">
        <f t="shared" si="0"/>
        <v>0.77599999999999991</v>
      </c>
      <c r="O8">
        <v>87151</v>
      </c>
      <c r="P8">
        <v>6941</v>
      </c>
    </row>
    <row r="9" spans="1:16" x14ac:dyDescent="0.25">
      <c r="A9">
        <v>2022</v>
      </c>
      <c r="B9" s="5">
        <v>8</v>
      </c>
      <c r="C9" s="5" t="s">
        <v>7</v>
      </c>
      <c r="D9" s="5" t="s">
        <v>35</v>
      </c>
      <c r="E9" s="11">
        <v>0.84</v>
      </c>
      <c r="F9" s="11">
        <v>0.8</v>
      </c>
      <c r="G9" s="11">
        <v>0.45</v>
      </c>
      <c r="H9" s="11">
        <v>0.92</v>
      </c>
      <c r="I9">
        <v>993</v>
      </c>
      <c r="J9">
        <v>240</v>
      </c>
      <c r="K9" s="11">
        <v>0.96</v>
      </c>
      <c r="L9">
        <v>7.4</v>
      </c>
      <c r="M9">
        <v>3.2</v>
      </c>
      <c r="N9" s="11">
        <f t="shared" si="0"/>
        <v>0.69811320754716977</v>
      </c>
      <c r="O9">
        <v>69112</v>
      </c>
      <c r="P9">
        <v>7427</v>
      </c>
    </row>
    <row r="10" spans="1:16" x14ac:dyDescent="0.25">
      <c r="A10">
        <v>2022</v>
      </c>
      <c r="B10" s="5">
        <v>9</v>
      </c>
      <c r="C10" s="5" t="s">
        <v>8</v>
      </c>
      <c r="D10" s="5" t="s">
        <v>35</v>
      </c>
      <c r="E10" s="11">
        <v>0.79</v>
      </c>
      <c r="F10" s="11">
        <v>0.78</v>
      </c>
      <c r="G10" s="11">
        <v>0.64</v>
      </c>
      <c r="H10" s="11">
        <v>0.45</v>
      </c>
      <c r="I10">
        <v>659</v>
      </c>
      <c r="J10">
        <v>374</v>
      </c>
      <c r="K10" s="11">
        <v>0.9</v>
      </c>
      <c r="L10">
        <v>8</v>
      </c>
      <c r="M10">
        <v>4.2</v>
      </c>
      <c r="N10" s="11">
        <f t="shared" si="0"/>
        <v>0.65573770491803285</v>
      </c>
      <c r="O10">
        <v>62321</v>
      </c>
      <c r="P10">
        <v>8984</v>
      </c>
    </row>
    <row r="11" spans="1:16" x14ac:dyDescent="0.25">
      <c r="A11">
        <v>2022</v>
      </c>
      <c r="B11" s="5">
        <v>10</v>
      </c>
      <c r="C11" s="5" t="s">
        <v>9</v>
      </c>
      <c r="D11" s="5" t="s">
        <v>35</v>
      </c>
      <c r="E11" s="11">
        <v>1.1000000000000001</v>
      </c>
      <c r="F11" s="11">
        <v>0.53</v>
      </c>
      <c r="G11" s="11">
        <v>0.6</v>
      </c>
      <c r="H11" s="11">
        <v>0.56999999999999995</v>
      </c>
      <c r="I11">
        <v>219</v>
      </c>
      <c r="J11">
        <v>440</v>
      </c>
      <c r="K11" s="11">
        <v>0.66</v>
      </c>
      <c r="L11">
        <v>9.3000000000000007</v>
      </c>
      <c r="M11">
        <v>4.8</v>
      </c>
      <c r="N11" s="11">
        <f t="shared" si="0"/>
        <v>0.65957446808510634</v>
      </c>
      <c r="O11">
        <v>53127</v>
      </c>
      <c r="P11">
        <v>8695</v>
      </c>
    </row>
    <row r="12" spans="1:16" x14ac:dyDescent="0.25">
      <c r="A12">
        <v>2022</v>
      </c>
      <c r="B12" s="5">
        <v>11</v>
      </c>
      <c r="C12" s="5" t="s">
        <v>10</v>
      </c>
      <c r="D12" s="5" t="s">
        <v>35</v>
      </c>
      <c r="E12" s="11">
        <v>0.81</v>
      </c>
      <c r="F12" s="11">
        <v>0.37</v>
      </c>
      <c r="G12" s="11">
        <v>0.4</v>
      </c>
      <c r="H12" s="11">
        <v>0.98</v>
      </c>
      <c r="I12">
        <v>762</v>
      </c>
      <c r="J12">
        <v>324</v>
      </c>
      <c r="K12" s="11">
        <v>0.72</v>
      </c>
      <c r="L12">
        <v>9.9</v>
      </c>
      <c r="M12">
        <v>4.3</v>
      </c>
      <c r="N12" s="11">
        <f t="shared" si="0"/>
        <v>0.69718309859154937</v>
      </c>
      <c r="O12">
        <v>86122</v>
      </c>
      <c r="P12">
        <v>5150</v>
      </c>
    </row>
    <row r="13" spans="1:16" x14ac:dyDescent="0.25">
      <c r="A13">
        <v>2022</v>
      </c>
      <c r="B13" s="5">
        <v>12</v>
      </c>
      <c r="C13" s="5" t="s">
        <v>11</v>
      </c>
      <c r="D13" s="5" t="s">
        <v>35</v>
      </c>
      <c r="E13" s="11">
        <v>1.08</v>
      </c>
      <c r="F13" s="11">
        <v>0.37</v>
      </c>
      <c r="G13" s="11">
        <v>0.49</v>
      </c>
      <c r="H13" s="11">
        <v>0.51</v>
      </c>
      <c r="I13">
        <v>939</v>
      </c>
      <c r="J13">
        <v>44</v>
      </c>
      <c r="K13" s="11">
        <v>1.0900000000000001</v>
      </c>
      <c r="L13">
        <v>6.6</v>
      </c>
      <c r="M13">
        <v>4.8</v>
      </c>
      <c r="N13" s="11">
        <f t="shared" si="0"/>
        <v>0.57894736842105265</v>
      </c>
      <c r="O13">
        <v>85271</v>
      </c>
      <c r="P13">
        <v>7412</v>
      </c>
    </row>
    <row r="14" spans="1:16" x14ac:dyDescent="0.25">
      <c r="A14">
        <v>2023</v>
      </c>
      <c r="B14" s="5">
        <v>1</v>
      </c>
      <c r="C14" s="5" t="s">
        <v>0</v>
      </c>
      <c r="D14" s="5" t="s">
        <v>35</v>
      </c>
      <c r="E14" s="11">
        <v>0.93</v>
      </c>
      <c r="F14" s="11">
        <v>0.86</v>
      </c>
      <c r="G14" s="11">
        <v>0.48</v>
      </c>
      <c r="H14" s="11">
        <v>0.66</v>
      </c>
      <c r="I14">
        <v>100</v>
      </c>
      <c r="J14">
        <v>160</v>
      </c>
      <c r="K14" s="11">
        <v>0.98</v>
      </c>
      <c r="L14">
        <v>7.2</v>
      </c>
      <c r="M14">
        <v>3.7</v>
      </c>
      <c r="N14" s="11">
        <f t="shared" si="0"/>
        <v>0.66055045871559637</v>
      </c>
      <c r="O14">
        <v>40333</v>
      </c>
      <c r="P14">
        <v>4904</v>
      </c>
    </row>
    <row r="15" spans="1:16" x14ac:dyDescent="0.25">
      <c r="A15">
        <v>2023</v>
      </c>
      <c r="B15" s="5">
        <v>2</v>
      </c>
      <c r="C15" s="5" t="s">
        <v>1</v>
      </c>
      <c r="D15" s="5" t="s">
        <v>35</v>
      </c>
      <c r="E15" s="11">
        <v>0.73</v>
      </c>
      <c r="F15" s="11">
        <v>0.88</v>
      </c>
      <c r="G15" s="11">
        <v>0.63</v>
      </c>
      <c r="H15" s="11">
        <v>0.43</v>
      </c>
      <c r="I15">
        <v>300</v>
      </c>
      <c r="J15">
        <v>400</v>
      </c>
      <c r="K15" s="11">
        <v>0.83</v>
      </c>
      <c r="L15">
        <v>5.2</v>
      </c>
      <c r="M15">
        <v>4.8</v>
      </c>
      <c r="N15" s="11">
        <f t="shared" si="0"/>
        <v>0.52</v>
      </c>
      <c r="O15">
        <v>54886</v>
      </c>
      <c r="P15">
        <v>5531</v>
      </c>
    </row>
    <row r="16" spans="1:16" x14ac:dyDescent="0.25">
      <c r="A16">
        <v>2023</v>
      </c>
      <c r="B16" s="5">
        <v>3</v>
      </c>
      <c r="C16" s="5" t="s">
        <v>2</v>
      </c>
      <c r="D16" s="5" t="s">
        <v>35</v>
      </c>
      <c r="E16" s="11">
        <v>1.08</v>
      </c>
      <c r="F16" s="11">
        <v>0.74</v>
      </c>
      <c r="G16" s="11">
        <v>0.5</v>
      </c>
      <c r="H16" s="11">
        <v>0.85</v>
      </c>
      <c r="I16">
        <v>50</v>
      </c>
      <c r="J16">
        <v>272</v>
      </c>
      <c r="K16" s="11">
        <v>1.06</v>
      </c>
      <c r="L16">
        <v>6</v>
      </c>
      <c r="M16">
        <v>4.4000000000000004</v>
      </c>
      <c r="N16" s="11">
        <f t="shared" si="0"/>
        <v>0.57692307692307687</v>
      </c>
      <c r="O16">
        <v>59363</v>
      </c>
      <c r="P16">
        <v>4424</v>
      </c>
    </row>
    <row r="17" spans="1:16" x14ac:dyDescent="0.25">
      <c r="A17">
        <v>2023</v>
      </c>
      <c r="B17" s="5">
        <v>4</v>
      </c>
      <c r="C17" s="5" t="s">
        <v>3</v>
      </c>
      <c r="D17" s="5" t="s">
        <v>35</v>
      </c>
      <c r="E17" s="11">
        <v>0.83</v>
      </c>
      <c r="F17" s="11">
        <v>0.77</v>
      </c>
      <c r="G17" s="11">
        <v>0.41</v>
      </c>
      <c r="H17" s="11">
        <v>0.7</v>
      </c>
      <c r="I17">
        <v>330</v>
      </c>
      <c r="J17">
        <v>728</v>
      </c>
      <c r="K17" s="11">
        <v>0.96</v>
      </c>
      <c r="L17">
        <v>8.6</v>
      </c>
      <c r="M17">
        <v>4</v>
      </c>
      <c r="N17" s="11">
        <f t="shared" si="0"/>
        <v>0.68253968253968256</v>
      </c>
      <c r="O17">
        <v>71415</v>
      </c>
      <c r="P17">
        <v>4376</v>
      </c>
    </row>
    <row r="18" spans="1:16" x14ac:dyDescent="0.25">
      <c r="A18">
        <v>2023</v>
      </c>
      <c r="B18" s="5">
        <v>5</v>
      </c>
      <c r="C18" s="5" t="s">
        <v>4</v>
      </c>
      <c r="D18" s="5" t="s">
        <v>35</v>
      </c>
      <c r="E18" s="11">
        <v>0.8</v>
      </c>
      <c r="F18" s="11">
        <v>0.49</v>
      </c>
      <c r="G18" s="11">
        <v>0.66</v>
      </c>
      <c r="H18" s="11">
        <v>0.71</v>
      </c>
      <c r="I18">
        <v>720</v>
      </c>
      <c r="J18">
        <v>609</v>
      </c>
      <c r="K18" s="11">
        <v>0.77</v>
      </c>
      <c r="L18">
        <v>9</v>
      </c>
      <c r="M18">
        <v>3</v>
      </c>
      <c r="N18" s="11">
        <f t="shared" si="0"/>
        <v>0.75</v>
      </c>
      <c r="O18">
        <v>66493</v>
      </c>
      <c r="P18">
        <v>6222</v>
      </c>
    </row>
    <row r="19" spans="1:16" x14ac:dyDescent="0.25">
      <c r="A19">
        <v>2023</v>
      </c>
      <c r="B19" s="5">
        <v>6</v>
      </c>
      <c r="C19" s="5" t="s">
        <v>5</v>
      </c>
      <c r="D19" s="5" t="s">
        <v>35</v>
      </c>
      <c r="E19" s="11">
        <v>0.76</v>
      </c>
      <c r="F19" s="11">
        <v>0.37</v>
      </c>
      <c r="G19" s="11">
        <v>0.7</v>
      </c>
      <c r="H19" s="11">
        <v>0.35</v>
      </c>
      <c r="I19">
        <v>658</v>
      </c>
      <c r="J19">
        <v>320</v>
      </c>
      <c r="K19" s="11">
        <v>0.81</v>
      </c>
      <c r="L19">
        <v>7.6</v>
      </c>
      <c r="M19">
        <v>2.6</v>
      </c>
      <c r="N19" s="11">
        <f t="shared" si="0"/>
        <v>0.74509803921568629</v>
      </c>
      <c r="O19">
        <v>70891</v>
      </c>
      <c r="P19">
        <v>6094</v>
      </c>
    </row>
    <row r="20" spans="1:16" x14ac:dyDescent="0.25">
      <c r="A20">
        <v>2023</v>
      </c>
      <c r="B20" s="5">
        <v>7</v>
      </c>
      <c r="C20" s="5" t="s">
        <v>6</v>
      </c>
      <c r="D20" s="5" t="s">
        <v>35</v>
      </c>
      <c r="E20" s="11">
        <v>0.98</v>
      </c>
      <c r="F20" s="11">
        <v>0.66</v>
      </c>
      <c r="G20" s="11">
        <v>0.57999999999999996</v>
      </c>
      <c r="H20" s="11">
        <v>0.67</v>
      </c>
      <c r="I20">
        <v>250</v>
      </c>
      <c r="J20">
        <v>400</v>
      </c>
      <c r="K20" s="11">
        <v>0.84</v>
      </c>
      <c r="L20">
        <v>9</v>
      </c>
      <c r="M20">
        <v>2.7</v>
      </c>
      <c r="N20" s="11">
        <f t="shared" si="0"/>
        <v>0.76923076923076927</v>
      </c>
      <c r="O20">
        <v>60960</v>
      </c>
      <c r="P20">
        <v>7272</v>
      </c>
    </row>
    <row r="21" spans="1:16" x14ac:dyDescent="0.25">
      <c r="A21">
        <v>2023</v>
      </c>
      <c r="B21" s="5">
        <v>8</v>
      </c>
      <c r="C21" s="5" t="s">
        <v>7</v>
      </c>
      <c r="D21" s="5" t="s">
        <v>35</v>
      </c>
      <c r="E21" s="11">
        <v>0.8</v>
      </c>
      <c r="F21" s="11">
        <v>0.63</v>
      </c>
      <c r="G21" s="11">
        <v>0.65</v>
      </c>
      <c r="H21" s="11">
        <v>0.68</v>
      </c>
      <c r="I21">
        <v>400</v>
      </c>
      <c r="J21">
        <v>680</v>
      </c>
      <c r="K21" s="11">
        <v>0.97</v>
      </c>
      <c r="L21">
        <v>6.8</v>
      </c>
      <c r="M21">
        <v>4</v>
      </c>
      <c r="N21" s="11">
        <f t="shared" si="0"/>
        <v>0.62962962962962954</v>
      </c>
      <c r="O21">
        <v>85995</v>
      </c>
      <c r="P21">
        <v>5406</v>
      </c>
    </row>
    <row r="22" spans="1:16" x14ac:dyDescent="0.25">
      <c r="A22">
        <v>2023</v>
      </c>
      <c r="B22" s="5">
        <v>9</v>
      </c>
      <c r="C22" s="5" t="s">
        <v>8</v>
      </c>
      <c r="D22" s="5" t="s">
        <v>35</v>
      </c>
      <c r="E22" s="11">
        <v>0.72</v>
      </c>
      <c r="F22" s="11">
        <v>0.76</v>
      </c>
      <c r="G22" s="11">
        <v>0.62</v>
      </c>
      <c r="H22" s="11">
        <v>0.56000000000000005</v>
      </c>
      <c r="I22">
        <v>300</v>
      </c>
      <c r="J22">
        <v>560</v>
      </c>
      <c r="K22" s="11">
        <v>0.7</v>
      </c>
      <c r="L22">
        <v>8.6</v>
      </c>
      <c r="M22">
        <v>4.8</v>
      </c>
      <c r="N22" s="11">
        <f t="shared" si="0"/>
        <v>0.64179104477611948</v>
      </c>
      <c r="O22">
        <v>65576</v>
      </c>
      <c r="P22">
        <v>7943</v>
      </c>
    </row>
    <row r="23" spans="1:16" x14ac:dyDescent="0.25">
      <c r="A23">
        <v>2023</v>
      </c>
      <c r="B23" s="5">
        <v>10</v>
      </c>
      <c r="C23" s="5" t="s">
        <v>9</v>
      </c>
      <c r="D23" s="5" t="s">
        <v>35</v>
      </c>
      <c r="E23" s="11">
        <v>0.84</v>
      </c>
      <c r="F23" s="11">
        <v>0.95</v>
      </c>
      <c r="G23" s="11">
        <v>0.46</v>
      </c>
      <c r="H23" s="11">
        <v>0.79</v>
      </c>
      <c r="I23">
        <v>250</v>
      </c>
      <c r="J23">
        <v>464</v>
      </c>
      <c r="K23" s="11">
        <v>0.68</v>
      </c>
      <c r="L23">
        <v>9.1999999999999993</v>
      </c>
      <c r="M23">
        <v>3.4</v>
      </c>
      <c r="N23" s="11">
        <f t="shared" si="0"/>
        <v>0.73015873015873012</v>
      </c>
      <c r="O23">
        <v>61421</v>
      </c>
      <c r="P23">
        <v>8407</v>
      </c>
    </row>
    <row r="24" spans="1:16" x14ac:dyDescent="0.25">
      <c r="A24">
        <v>2023</v>
      </c>
      <c r="B24" s="5">
        <v>11</v>
      </c>
      <c r="C24" s="5" t="s">
        <v>10</v>
      </c>
      <c r="D24" s="5" t="s">
        <v>35</v>
      </c>
      <c r="E24" s="11">
        <v>0.71</v>
      </c>
      <c r="F24" s="11">
        <v>0.56000000000000005</v>
      </c>
      <c r="G24" s="11">
        <v>0.46</v>
      </c>
      <c r="H24" s="11">
        <v>1.1000000000000001</v>
      </c>
      <c r="I24">
        <v>300</v>
      </c>
      <c r="J24">
        <v>280</v>
      </c>
      <c r="K24" s="11">
        <v>1.19</v>
      </c>
      <c r="L24">
        <v>8.3000000000000007</v>
      </c>
      <c r="M24">
        <v>2.9</v>
      </c>
      <c r="N24" s="11">
        <f t="shared" si="0"/>
        <v>0.7410714285714286</v>
      </c>
      <c r="O24">
        <v>78210</v>
      </c>
      <c r="P24">
        <v>7002</v>
      </c>
    </row>
    <row r="25" spans="1:16" x14ac:dyDescent="0.25">
      <c r="A25">
        <v>2023</v>
      </c>
      <c r="B25" s="5">
        <v>12</v>
      </c>
      <c r="C25" s="5" t="s">
        <v>11</v>
      </c>
      <c r="D25" s="5" t="s">
        <v>35</v>
      </c>
      <c r="E25" s="11">
        <v>1.03</v>
      </c>
      <c r="F25" s="11">
        <v>0.41</v>
      </c>
      <c r="G25" s="11">
        <v>0.42</v>
      </c>
      <c r="H25" s="11">
        <v>1.08</v>
      </c>
      <c r="I25">
        <v>100</v>
      </c>
      <c r="J25">
        <v>160</v>
      </c>
      <c r="K25" s="11">
        <v>1.03</v>
      </c>
      <c r="L25">
        <v>6.9</v>
      </c>
      <c r="M25">
        <v>2.7</v>
      </c>
      <c r="N25" s="11">
        <f t="shared" si="0"/>
        <v>0.71874999999999989</v>
      </c>
      <c r="O25">
        <v>68825</v>
      </c>
      <c r="P25">
        <v>8075</v>
      </c>
    </row>
    <row r="26" spans="1:16" x14ac:dyDescent="0.25">
      <c r="A26">
        <v>2024</v>
      </c>
      <c r="B26" s="5">
        <v>1</v>
      </c>
      <c r="C26" s="5" t="s">
        <v>0</v>
      </c>
      <c r="D26" s="5" t="s">
        <v>35</v>
      </c>
      <c r="E26" s="11">
        <v>1.08</v>
      </c>
      <c r="F26" s="11">
        <v>0.38</v>
      </c>
      <c r="G26" s="11">
        <v>0.5</v>
      </c>
      <c r="H26" s="11">
        <v>0.39</v>
      </c>
      <c r="I26">
        <v>660</v>
      </c>
      <c r="J26">
        <v>110</v>
      </c>
      <c r="K26" s="11">
        <v>0.73</v>
      </c>
      <c r="L26">
        <v>7.3</v>
      </c>
      <c r="M26">
        <v>2.8</v>
      </c>
      <c r="N26" s="11">
        <f t="shared" si="0"/>
        <v>0.72277227722772275</v>
      </c>
      <c r="O26">
        <v>63230</v>
      </c>
      <c r="P26">
        <v>8342</v>
      </c>
    </row>
    <row r="27" spans="1:16" x14ac:dyDescent="0.25">
      <c r="A27">
        <v>2024</v>
      </c>
      <c r="B27" s="5">
        <v>2</v>
      </c>
      <c r="C27" s="5" t="s">
        <v>1</v>
      </c>
      <c r="D27" s="5" t="s">
        <v>35</v>
      </c>
      <c r="E27" s="11">
        <v>0.7</v>
      </c>
      <c r="F27" s="11">
        <v>0.88</v>
      </c>
      <c r="G27" s="11">
        <v>0.5</v>
      </c>
      <c r="H27" s="11">
        <v>0.68</v>
      </c>
      <c r="I27">
        <v>849</v>
      </c>
      <c r="J27">
        <v>390</v>
      </c>
      <c r="K27" s="11">
        <v>0.72</v>
      </c>
      <c r="L27">
        <v>9.4</v>
      </c>
      <c r="M27">
        <v>3.1</v>
      </c>
      <c r="N27" s="11">
        <f t="shared" si="0"/>
        <v>0.752</v>
      </c>
      <c r="O27">
        <v>51236</v>
      </c>
      <c r="P27">
        <v>6245</v>
      </c>
    </row>
    <row r="28" spans="1:16" x14ac:dyDescent="0.25">
      <c r="A28">
        <v>2024</v>
      </c>
      <c r="B28" s="5">
        <v>3</v>
      </c>
      <c r="C28" s="5" t="s">
        <v>2</v>
      </c>
      <c r="D28" s="5" t="s">
        <v>35</v>
      </c>
      <c r="E28" s="11">
        <v>1.07</v>
      </c>
      <c r="F28" s="11">
        <v>0.57999999999999996</v>
      </c>
      <c r="G28" s="11">
        <v>0.59</v>
      </c>
      <c r="H28" s="11">
        <v>0.36</v>
      </c>
      <c r="I28">
        <v>186</v>
      </c>
      <c r="J28">
        <v>200</v>
      </c>
      <c r="K28" s="11">
        <v>1.1000000000000001</v>
      </c>
      <c r="L28">
        <v>9.5</v>
      </c>
      <c r="M28">
        <v>2.7</v>
      </c>
      <c r="N28" s="11">
        <f t="shared" si="0"/>
        <v>0.77868852459016402</v>
      </c>
      <c r="O28">
        <v>74264</v>
      </c>
      <c r="P28">
        <v>6817</v>
      </c>
    </row>
    <row r="29" spans="1:16" x14ac:dyDescent="0.25">
      <c r="A29">
        <v>2024</v>
      </c>
      <c r="B29" s="5">
        <v>4</v>
      </c>
      <c r="C29" s="5" t="s">
        <v>3</v>
      </c>
      <c r="D29" s="5" t="s">
        <v>35</v>
      </c>
      <c r="E29" s="11">
        <v>1.03</v>
      </c>
      <c r="F29" s="11">
        <v>0.8</v>
      </c>
      <c r="G29" s="11">
        <v>0.41</v>
      </c>
      <c r="H29" s="11">
        <v>0.4</v>
      </c>
      <c r="I29">
        <v>975</v>
      </c>
      <c r="J29">
        <v>471</v>
      </c>
      <c r="K29" s="11">
        <v>0.75</v>
      </c>
      <c r="L29">
        <v>7.4</v>
      </c>
      <c r="M29">
        <v>4.5</v>
      </c>
      <c r="N29" s="11">
        <f t="shared" si="0"/>
        <v>0.62184873949579833</v>
      </c>
      <c r="O29">
        <v>75244</v>
      </c>
      <c r="P29">
        <v>6381</v>
      </c>
    </row>
    <row r="30" spans="1:16" x14ac:dyDescent="0.25">
      <c r="A30">
        <v>2024</v>
      </c>
      <c r="B30" s="5">
        <v>5</v>
      </c>
      <c r="C30" s="5" t="s">
        <v>4</v>
      </c>
      <c r="D30" s="5" t="s">
        <v>35</v>
      </c>
      <c r="E30" s="11">
        <v>1.0900000000000001</v>
      </c>
      <c r="F30" s="11">
        <v>0.57999999999999996</v>
      </c>
      <c r="G30" s="11">
        <v>0.72</v>
      </c>
      <c r="H30" s="11">
        <v>0.37</v>
      </c>
      <c r="I30">
        <v>620</v>
      </c>
      <c r="J30">
        <v>587</v>
      </c>
      <c r="K30" s="11">
        <v>0.68</v>
      </c>
      <c r="L30">
        <v>10</v>
      </c>
      <c r="M30">
        <v>2.6</v>
      </c>
      <c r="N30" s="11">
        <f t="shared" si="0"/>
        <v>0.79365079365079372</v>
      </c>
      <c r="O30">
        <v>59286</v>
      </c>
      <c r="P30">
        <v>7176</v>
      </c>
    </row>
    <row r="31" spans="1:16" x14ac:dyDescent="0.25">
      <c r="A31">
        <v>2024</v>
      </c>
      <c r="B31" s="5">
        <v>6</v>
      </c>
      <c r="C31" s="5" t="s">
        <v>5</v>
      </c>
      <c r="D31" s="5" t="s">
        <v>35</v>
      </c>
      <c r="E31" s="11">
        <v>1.07</v>
      </c>
      <c r="F31" s="11">
        <v>0.93</v>
      </c>
      <c r="G31" s="11">
        <v>0.73</v>
      </c>
      <c r="H31" s="11">
        <v>0.49</v>
      </c>
      <c r="I31">
        <v>527</v>
      </c>
      <c r="J31">
        <v>165</v>
      </c>
      <c r="K31" s="11">
        <v>1.17</v>
      </c>
      <c r="L31">
        <v>5.4</v>
      </c>
      <c r="M31">
        <v>4.9000000000000004</v>
      </c>
      <c r="N31" s="11">
        <f t="shared" si="0"/>
        <v>0.52427184466019416</v>
      </c>
      <c r="O31">
        <v>59233</v>
      </c>
      <c r="P31">
        <v>7358</v>
      </c>
    </row>
    <row r="32" spans="1:16" x14ac:dyDescent="0.25">
      <c r="A32">
        <v>2024</v>
      </c>
      <c r="B32" s="5">
        <v>7</v>
      </c>
      <c r="C32" s="5" t="s">
        <v>6</v>
      </c>
      <c r="D32" s="5" t="s">
        <v>35</v>
      </c>
      <c r="E32" s="11">
        <v>0.76</v>
      </c>
      <c r="F32" s="11">
        <v>0.76</v>
      </c>
      <c r="G32" s="11">
        <v>0.55000000000000004</v>
      </c>
      <c r="H32" s="11">
        <v>0.44</v>
      </c>
      <c r="I32">
        <v>147</v>
      </c>
      <c r="J32">
        <v>76</v>
      </c>
      <c r="K32" s="11">
        <v>0.96</v>
      </c>
      <c r="L32">
        <v>9.6999999999999993</v>
      </c>
      <c r="M32">
        <v>4.4000000000000004</v>
      </c>
      <c r="N32" s="11">
        <f t="shared" si="0"/>
        <v>0.68794326241134751</v>
      </c>
      <c r="O32">
        <v>88113</v>
      </c>
      <c r="P32">
        <v>6991</v>
      </c>
    </row>
    <row r="33" spans="1:16" x14ac:dyDescent="0.25">
      <c r="A33">
        <v>2024</v>
      </c>
      <c r="B33" s="5">
        <v>8</v>
      </c>
      <c r="C33" s="5" t="s">
        <v>7</v>
      </c>
      <c r="D33" s="5" t="s">
        <v>35</v>
      </c>
      <c r="E33" s="11">
        <v>0.87</v>
      </c>
      <c r="F33" s="11">
        <v>0.63</v>
      </c>
      <c r="G33" s="11">
        <v>0.48</v>
      </c>
      <c r="H33" s="11">
        <v>1.1299999999999999</v>
      </c>
      <c r="I33">
        <v>496</v>
      </c>
      <c r="J33">
        <v>327</v>
      </c>
      <c r="K33" s="11">
        <v>0.71</v>
      </c>
      <c r="L33">
        <v>7.4</v>
      </c>
      <c r="M33">
        <v>4</v>
      </c>
      <c r="N33" s="11">
        <f t="shared" si="0"/>
        <v>0.64912280701754388</v>
      </c>
      <c r="O33">
        <v>95294</v>
      </c>
      <c r="P33">
        <v>7323</v>
      </c>
    </row>
    <row r="34" spans="1:16" x14ac:dyDescent="0.25">
      <c r="A34">
        <v>2024</v>
      </c>
      <c r="B34" s="5">
        <v>9</v>
      </c>
      <c r="C34" s="5" t="s">
        <v>8</v>
      </c>
      <c r="D34" s="5" t="s">
        <v>35</v>
      </c>
      <c r="E34" s="11">
        <v>1.1000000000000001</v>
      </c>
      <c r="F34" s="11">
        <v>0.72</v>
      </c>
      <c r="G34" s="11">
        <v>0.73</v>
      </c>
      <c r="H34" s="11">
        <v>0.64</v>
      </c>
      <c r="I34">
        <v>345</v>
      </c>
      <c r="J34">
        <v>320</v>
      </c>
      <c r="K34" s="11">
        <v>0.71</v>
      </c>
      <c r="L34">
        <v>5.8</v>
      </c>
      <c r="M34">
        <v>3.9</v>
      </c>
      <c r="N34" s="11">
        <f t="shared" si="0"/>
        <v>0.59793814432989689</v>
      </c>
      <c r="O34">
        <v>75305</v>
      </c>
      <c r="P34">
        <v>4918</v>
      </c>
    </row>
    <row r="35" spans="1:16" x14ac:dyDescent="0.25">
      <c r="A35">
        <v>2024</v>
      </c>
      <c r="B35" s="5">
        <v>10</v>
      </c>
      <c r="C35" s="5" t="s">
        <v>9</v>
      </c>
      <c r="D35" s="5" t="s">
        <v>35</v>
      </c>
      <c r="E35" s="11">
        <v>0.96</v>
      </c>
      <c r="F35" s="11">
        <v>0.71</v>
      </c>
      <c r="G35" s="11">
        <v>0.45</v>
      </c>
      <c r="H35" s="11">
        <v>0.71</v>
      </c>
      <c r="I35">
        <v>600</v>
      </c>
      <c r="J35">
        <v>539</v>
      </c>
      <c r="K35" s="11">
        <v>1.1499999999999999</v>
      </c>
      <c r="L35">
        <v>7.2</v>
      </c>
      <c r="M35">
        <v>4.4000000000000004</v>
      </c>
      <c r="N35" s="11">
        <f t="shared" si="0"/>
        <v>0.6206896551724137</v>
      </c>
      <c r="O35">
        <v>97127</v>
      </c>
      <c r="P35">
        <v>4978</v>
      </c>
    </row>
    <row r="36" spans="1:16" x14ac:dyDescent="0.25">
      <c r="A36">
        <v>2024</v>
      </c>
      <c r="B36" s="5">
        <v>11</v>
      </c>
      <c r="C36" s="5" t="s">
        <v>10</v>
      </c>
      <c r="D36" s="5" t="s">
        <v>35</v>
      </c>
      <c r="E36" s="11">
        <v>0.99</v>
      </c>
      <c r="F36" s="11">
        <v>0.94</v>
      </c>
      <c r="G36" s="11">
        <v>0.71</v>
      </c>
      <c r="H36" s="11">
        <v>0.86</v>
      </c>
      <c r="I36">
        <v>640</v>
      </c>
      <c r="J36">
        <v>392</v>
      </c>
      <c r="K36" s="11">
        <v>0.99</v>
      </c>
      <c r="L36">
        <v>5.9</v>
      </c>
      <c r="M36">
        <v>3.1</v>
      </c>
      <c r="N36" s="11">
        <f t="shared" si="0"/>
        <v>0.65555555555555556</v>
      </c>
      <c r="O36">
        <v>90333</v>
      </c>
      <c r="P36">
        <v>4927</v>
      </c>
    </row>
    <row r="37" spans="1:16" x14ac:dyDescent="0.25">
      <c r="A37">
        <v>2024</v>
      </c>
      <c r="B37" s="5">
        <v>12</v>
      </c>
      <c r="C37" s="5" t="s">
        <v>11</v>
      </c>
      <c r="D37" s="5" t="s">
        <v>35</v>
      </c>
      <c r="E37" s="11">
        <v>0.71</v>
      </c>
      <c r="F37" s="11">
        <v>0.47</v>
      </c>
      <c r="G37" s="11">
        <v>0.56000000000000005</v>
      </c>
      <c r="H37" s="11">
        <v>0.99</v>
      </c>
      <c r="I37">
        <v>980</v>
      </c>
      <c r="J37">
        <v>90</v>
      </c>
      <c r="K37" s="11">
        <v>0.76</v>
      </c>
      <c r="L37">
        <v>7.7</v>
      </c>
      <c r="M37">
        <v>4.2</v>
      </c>
      <c r="N37" s="11">
        <f t="shared" si="0"/>
        <v>0.6470588235294118</v>
      </c>
      <c r="O37">
        <v>55315</v>
      </c>
      <c r="P37">
        <v>5724</v>
      </c>
    </row>
    <row r="38" spans="1:16" x14ac:dyDescent="0.25">
      <c r="A38">
        <v>2025</v>
      </c>
      <c r="B38" s="5">
        <v>1</v>
      </c>
      <c r="C38" s="5" t="s">
        <v>0</v>
      </c>
      <c r="D38" s="5" t="s">
        <v>35</v>
      </c>
      <c r="E38" s="11">
        <v>0.74</v>
      </c>
      <c r="F38" s="11">
        <v>0.87</v>
      </c>
      <c r="G38" s="11">
        <v>0.77</v>
      </c>
      <c r="H38" s="11">
        <v>0.7</v>
      </c>
      <c r="I38">
        <v>143</v>
      </c>
      <c r="J38">
        <v>432</v>
      </c>
      <c r="K38" s="11">
        <v>0.91</v>
      </c>
      <c r="L38">
        <v>7.6</v>
      </c>
      <c r="M38">
        <v>3.8</v>
      </c>
      <c r="N38" s="11">
        <f t="shared" si="0"/>
        <v>0.66666666666666674</v>
      </c>
      <c r="O38">
        <v>62764</v>
      </c>
      <c r="P38">
        <v>4911</v>
      </c>
    </row>
    <row r="39" spans="1:16" x14ac:dyDescent="0.25">
      <c r="A39">
        <v>2025</v>
      </c>
      <c r="B39" s="5">
        <v>2</v>
      </c>
      <c r="C39" s="5" t="s">
        <v>1</v>
      </c>
      <c r="D39" s="5" t="s">
        <v>35</v>
      </c>
      <c r="E39" s="11">
        <v>0.73</v>
      </c>
      <c r="F39" s="11">
        <v>0.76</v>
      </c>
      <c r="G39" s="11">
        <v>0.38</v>
      </c>
      <c r="H39" s="11">
        <v>0.64</v>
      </c>
      <c r="I39">
        <v>299</v>
      </c>
      <c r="J39">
        <v>151</v>
      </c>
      <c r="K39" s="11">
        <v>1</v>
      </c>
      <c r="L39">
        <v>5.8</v>
      </c>
      <c r="M39">
        <v>3</v>
      </c>
      <c r="N39" s="11">
        <f t="shared" si="0"/>
        <v>0.65909090909090906</v>
      </c>
      <c r="O39">
        <v>31136</v>
      </c>
      <c r="P39">
        <v>7174</v>
      </c>
    </row>
    <row r="40" spans="1:16" x14ac:dyDescent="0.25">
      <c r="A40">
        <v>2025</v>
      </c>
      <c r="B40" s="5">
        <v>3</v>
      </c>
      <c r="C40" s="5" t="s">
        <v>2</v>
      </c>
      <c r="D40" s="5" t="s">
        <v>35</v>
      </c>
      <c r="E40" s="11">
        <v>0.73</v>
      </c>
      <c r="F40" s="11">
        <v>0.6</v>
      </c>
      <c r="G40" s="11">
        <v>0.59</v>
      </c>
      <c r="H40" s="11">
        <v>1.1100000000000001</v>
      </c>
      <c r="I40">
        <v>857</v>
      </c>
      <c r="J40">
        <v>444</v>
      </c>
      <c r="K40" s="11">
        <v>1.01</v>
      </c>
      <c r="L40">
        <v>7.1</v>
      </c>
      <c r="M40">
        <v>4.8</v>
      </c>
      <c r="N40" s="11">
        <f t="shared" si="0"/>
        <v>0.59663865546218486</v>
      </c>
      <c r="O40">
        <v>30654</v>
      </c>
      <c r="P40">
        <v>7639</v>
      </c>
    </row>
    <row r="41" spans="1:16" x14ac:dyDescent="0.25">
      <c r="A41">
        <v>2025</v>
      </c>
      <c r="B41" s="5">
        <v>4</v>
      </c>
      <c r="C41" s="5" t="s">
        <v>3</v>
      </c>
      <c r="D41" s="5" t="s">
        <v>35</v>
      </c>
      <c r="E41" s="11">
        <v>1.02</v>
      </c>
      <c r="F41" s="11">
        <v>0.87</v>
      </c>
      <c r="G41" s="11">
        <v>0.73</v>
      </c>
      <c r="H41" s="11">
        <v>0.89</v>
      </c>
      <c r="I41">
        <v>366</v>
      </c>
      <c r="J41">
        <v>369</v>
      </c>
      <c r="K41" s="11">
        <v>0.75</v>
      </c>
      <c r="L41">
        <v>5.2</v>
      </c>
      <c r="M41">
        <v>4.7</v>
      </c>
      <c r="N41" s="11">
        <f t="shared" si="0"/>
        <v>0.5252525252525253</v>
      </c>
      <c r="O41">
        <v>63732</v>
      </c>
      <c r="P41">
        <v>7984</v>
      </c>
    </row>
    <row r="42" spans="1:16" x14ac:dyDescent="0.25">
      <c r="A42">
        <v>2025</v>
      </c>
      <c r="B42" s="5">
        <v>5</v>
      </c>
      <c r="C42" s="5" t="s">
        <v>4</v>
      </c>
      <c r="D42" s="5" t="s">
        <v>35</v>
      </c>
      <c r="E42" s="11">
        <v>0.94</v>
      </c>
      <c r="F42" s="11">
        <v>0.67</v>
      </c>
      <c r="G42" s="11">
        <v>0.71</v>
      </c>
      <c r="H42" s="11">
        <v>0.44</v>
      </c>
      <c r="I42">
        <v>649</v>
      </c>
      <c r="J42">
        <v>183</v>
      </c>
      <c r="K42" s="11">
        <v>0.95</v>
      </c>
      <c r="L42">
        <v>8.3000000000000007</v>
      </c>
      <c r="M42">
        <v>4.5</v>
      </c>
      <c r="N42" s="11">
        <f t="shared" si="0"/>
        <v>0.6484375</v>
      </c>
      <c r="O42">
        <v>74428</v>
      </c>
      <c r="P42">
        <v>6249</v>
      </c>
    </row>
    <row r="43" spans="1:16" x14ac:dyDescent="0.25">
      <c r="A43">
        <v>2025</v>
      </c>
      <c r="B43" s="5">
        <v>6</v>
      </c>
      <c r="C43" s="5" t="s">
        <v>5</v>
      </c>
      <c r="D43" s="5" t="s">
        <v>35</v>
      </c>
      <c r="E43" s="11">
        <v>0.73</v>
      </c>
      <c r="F43" s="11">
        <v>0.8</v>
      </c>
      <c r="G43" s="11">
        <v>0.7</v>
      </c>
      <c r="H43" s="11">
        <v>0.42</v>
      </c>
      <c r="I43">
        <v>414</v>
      </c>
      <c r="J43">
        <v>451</v>
      </c>
      <c r="K43" s="11">
        <v>1.08</v>
      </c>
      <c r="L43">
        <v>8.9</v>
      </c>
      <c r="M43">
        <v>3.5</v>
      </c>
      <c r="N43" s="11">
        <f t="shared" si="0"/>
        <v>0.717741935483871</v>
      </c>
      <c r="O43">
        <v>79394</v>
      </c>
      <c r="P43">
        <v>8188</v>
      </c>
    </row>
    <row r="44" spans="1:16" x14ac:dyDescent="0.25">
      <c r="A44">
        <v>2025</v>
      </c>
      <c r="B44" s="5">
        <v>7</v>
      </c>
      <c r="C44" s="5" t="s">
        <v>6</v>
      </c>
      <c r="D44" s="5" t="s">
        <v>35</v>
      </c>
      <c r="E44" s="11">
        <v>1.08</v>
      </c>
      <c r="F44" s="11">
        <v>0.51</v>
      </c>
      <c r="G44" s="11">
        <v>0.65</v>
      </c>
      <c r="H44" s="11">
        <v>0.5</v>
      </c>
      <c r="I44">
        <v>987</v>
      </c>
      <c r="J44">
        <v>465</v>
      </c>
      <c r="K44" s="11">
        <v>1.01</v>
      </c>
      <c r="L44">
        <v>8.5</v>
      </c>
      <c r="M44">
        <v>5</v>
      </c>
      <c r="N44" s="11">
        <f t="shared" si="0"/>
        <v>0.62962962962962965</v>
      </c>
      <c r="O44">
        <v>77949</v>
      </c>
      <c r="P44">
        <v>6499</v>
      </c>
    </row>
    <row r="45" spans="1:16" x14ac:dyDescent="0.25">
      <c r="A45">
        <v>2025</v>
      </c>
      <c r="B45" s="5">
        <v>8</v>
      </c>
      <c r="C45" s="5" t="s">
        <v>7</v>
      </c>
      <c r="D45" s="5" t="s">
        <v>35</v>
      </c>
      <c r="E45" s="11">
        <v>0.98</v>
      </c>
      <c r="F45" s="11">
        <v>0.93</v>
      </c>
      <c r="G45" s="11">
        <v>0.68</v>
      </c>
      <c r="H45" s="11">
        <v>0.5</v>
      </c>
      <c r="I45">
        <v>621</v>
      </c>
      <c r="J45">
        <v>417</v>
      </c>
      <c r="K45" s="11">
        <v>1.08</v>
      </c>
      <c r="L45">
        <v>10</v>
      </c>
      <c r="M45">
        <v>4.3</v>
      </c>
      <c r="N45" s="11">
        <f t="shared" si="0"/>
        <v>0.69930069930069927</v>
      </c>
      <c r="O45">
        <v>47334</v>
      </c>
      <c r="P45">
        <v>7559</v>
      </c>
    </row>
    <row r="46" spans="1:16" x14ac:dyDescent="0.25">
      <c r="A46">
        <v>2025</v>
      </c>
      <c r="B46" s="5">
        <v>9</v>
      </c>
      <c r="C46" s="5" t="s">
        <v>8</v>
      </c>
      <c r="D46" s="5" t="s">
        <v>35</v>
      </c>
      <c r="E46" s="11">
        <v>0.84</v>
      </c>
      <c r="F46" s="11">
        <v>0.7</v>
      </c>
      <c r="G46" s="11">
        <v>0.67</v>
      </c>
      <c r="H46" s="11">
        <v>0.66</v>
      </c>
      <c r="I46">
        <v>456</v>
      </c>
      <c r="J46">
        <v>76</v>
      </c>
      <c r="K46" s="11">
        <v>0.78</v>
      </c>
      <c r="L46">
        <v>9.1</v>
      </c>
      <c r="M46">
        <v>5</v>
      </c>
      <c r="N46" s="11">
        <f t="shared" si="0"/>
        <v>0.64539007092198586</v>
      </c>
      <c r="O46">
        <v>56566</v>
      </c>
      <c r="P46">
        <v>7821</v>
      </c>
    </row>
    <row r="47" spans="1:16" x14ac:dyDescent="0.25">
      <c r="A47">
        <v>2025</v>
      </c>
      <c r="B47" s="5">
        <v>10</v>
      </c>
      <c r="C47" s="5" t="s">
        <v>9</v>
      </c>
      <c r="D47" s="5" t="s">
        <v>35</v>
      </c>
      <c r="E47" s="11">
        <v>1</v>
      </c>
      <c r="F47" s="11">
        <v>0.87</v>
      </c>
      <c r="G47" s="11">
        <v>0.72</v>
      </c>
      <c r="H47" s="11">
        <v>0.57999999999999996</v>
      </c>
      <c r="I47">
        <v>556</v>
      </c>
      <c r="J47">
        <v>277</v>
      </c>
      <c r="K47" s="11">
        <v>1.01</v>
      </c>
      <c r="L47">
        <v>6</v>
      </c>
      <c r="M47">
        <v>2.7</v>
      </c>
      <c r="N47" s="11">
        <f t="shared" si="0"/>
        <v>0.68965517241379315</v>
      </c>
      <c r="O47">
        <v>62222</v>
      </c>
      <c r="P47">
        <v>8317</v>
      </c>
    </row>
    <row r="48" spans="1:16" x14ac:dyDescent="0.25">
      <c r="A48">
        <v>2025</v>
      </c>
      <c r="B48" s="5">
        <v>11</v>
      </c>
      <c r="C48" s="5" t="s">
        <v>10</v>
      </c>
      <c r="D48" s="5" t="s">
        <v>35</v>
      </c>
      <c r="E48" s="11">
        <v>0.86</v>
      </c>
      <c r="F48" s="11">
        <v>0.41</v>
      </c>
      <c r="G48" s="11">
        <v>0.61</v>
      </c>
      <c r="H48" s="11">
        <v>0.9</v>
      </c>
      <c r="I48">
        <v>972</v>
      </c>
      <c r="J48">
        <v>431</v>
      </c>
      <c r="K48" s="11">
        <v>0.68</v>
      </c>
      <c r="L48">
        <v>6</v>
      </c>
      <c r="M48">
        <v>3.8</v>
      </c>
      <c r="N48" s="11">
        <f t="shared" si="0"/>
        <v>0.61224489795918358</v>
      </c>
      <c r="O48">
        <v>88727</v>
      </c>
      <c r="P48">
        <v>7752</v>
      </c>
    </row>
    <row r="49" spans="1:16" x14ac:dyDescent="0.25">
      <c r="A49">
        <v>2025</v>
      </c>
      <c r="B49" s="5">
        <v>12</v>
      </c>
      <c r="C49" s="5" t="s">
        <v>11</v>
      </c>
      <c r="D49" s="5" t="s">
        <v>35</v>
      </c>
      <c r="E49" s="11">
        <v>1.04</v>
      </c>
      <c r="F49" s="11">
        <v>0.41</v>
      </c>
      <c r="G49" s="11">
        <v>0.48</v>
      </c>
      <c r="H49" s="11">
        <v>1.04</v>
      </c>
      <c r="I49">
        <v>531</v>
      </c>
      <c r="J49">
        <v>52</v>
      </c>
      <c r="K49" s="11">
        <v>1.1000000000000001</v>
      </c>
      <c r="L49">
        <v>9.1999999999999993</v>
      </c>
      <c r="M49">
        <v>4.2</v>
      </c>
      <c r="N49" s="11">
        <f t="shared" si="0"/>
        <v>0.68656716417910446</v>
      </c>
      <c r="O49">
        <v>59156</v>
      </c>
      <c r="P49">
        <v>9567</v>
      </c>
    </row>
    <row r="50" spans="1:16" x14ac:dyDescent="0.25">
      <c r="A50">
        <v>2022</v>
      </c>
      <c r="B50" s="5">
        <v>1</v>
      </c>
      <c r="C50" s="5" t="s">
        <v>0</v>
      </c>
      <c r="D50" t="s">
        <v>36</v>
      </c>
      <c r="E50" s="11">
        <v>0.91</v>
      </c>
      <c r="F50" s="11">
        <v>0.6</v>
      </c>
      <c r="G50" s="11">
        <v>0.46</v>
      </c>
      <c r="H50" s="11">
        <v>0.84</v>
      </c>
      <c r="I50">
        <v>189</v>
      </c>
      <c r="J50">
        <v>282</v>
      </c>
      <c r="K50" s="11">
        <v>0.79</v>
      </c>
      <c r="L50">
        <v>5.5</v>
      </c>
      <c r="M50">
        <v>4.5999999999999996</v>
      </c>
      <c r="N50" s="11">
        <f t="shared" si="0"/>
        <v>0.54455445544554459</v>
      </c>
      <c r="O50">
        <v>59363</v>
      </c>
      <c r="P50">
        <v>5166</v>
      </c>
    </row>
    <row r="51" spans="1:16" x14ac:dyDescent="0.25">
      <c r="A51">
        <v>2022</v>
      </c>
      <c r="B51" s="5">
        <v>2</v>
      </c>
      <c r="C51" s="5" t="s">
        <v>1</v>
      </c>
      <c r="D51" t="s">
        <v>36</v>
      </c>
      <c r="E51" s="11">
        <v>0.93</v>
      </c>
      <c r="F51" s="11">
        <v>0.56999999999999995</v>
      </c>
      <c r="G51" s="11">
        <v>0.56999999999999995</v>
      </c>
      <c r="H51" s="11">
        <v>1.06</v>
      </c>
      <c r="I51">
        <v>939</v>
      </c>
      <c r="J51">
        <v>156</v>
      </c>
      <c r="K51" s="11">
        <v>0.8</v>
      </c>
      <c r="L51">
        <v>6.9</v>
      </c>
      <c r="M51">
        <v>3.3</v>
      </c>
      <c r="N51" s="11">
        <f t="shared" si="0"/>
        <v>0.67647058823529416</v>
      </c>
      <c r="O51">
        <v>89414</v>
      </c>
      <c r="P51">
        <v>5952</v>
      </c>
    </row>
    <row r="52" spans="1:16" x14ac:dyDescent="0.25">
      <c r="A52">
        <v>2022</v>
      </c>
      <c r="B52" s="5">
        <v>3</v>
      </c>
      <c r="C52" s="5" t="s">
        <v>2</v>
      </c>
      <c r="D52" t="s">
        <v>36</v>
      </c>
      <c r="E52" s="11">
        <v>0.94</v>
      </c>
      <c r="F52" s="11">
        <v>0.87</v>
      </c>
      <c r="G52" s="11">
        <v>0.48</v>
      </c>
      <c r="H52" s="11">
        <v>1.01</v>
      </c>
      <c r="I52">
        <v>950</v>
      </c>
      <c r="J52">
        <v>226</v>
      </c>
      <c r="K52" s="11">
        <v>1.1299999999999999</v>
      </c>
      <c r="L52">
        <v>7.3</v>
      </c>
      <c r="M52">
        <v>4.5</v>
      </c>
      <c r="N52" s="11">
        <f t="shared" si="0"/>
        <v>0.61864406779661008</v>
      </c>
      <c r="O52">
        <v>73068</v>
      </c>
      <c r="P52">
        <v>5745</v>
      </c>
    </row>
    <row r="53" spans="1:16" x14ac:dyDescent="0.25">
      <c r="A53">
        <v>2022</v>
      </c>
      <c r="B53" s="5">
        <v>4</v>
      </c>
      <c r="C53" s="5" t="s">
        <v>3</v>
      </c>
      <c r="D53" t="s">
        <v>36</v>
      </c>
      <c r="E53" s="11">
        <v>1.08</v>
      </c>
      <c r="F53" s="11">
        <v>0.83</v>
      </c>
      <c r="G53" s="11">
        <v>0.75</v>
      </c>
      <c r="H53" s="11">
        <v>0.77</v>
      </c>
      <c r="I53">
        <v>369</v>
      </c>
      <c r="J53">
        <v>312</v>
      </c>
      <c r="K53" s="11">
        <v>1.17</v>
      </c>
      <c r="L53">
        <v>6.5</v>
      </c>
      <c r="M53">
        <v>2.9</v>
      </c>
      <c r="N53" s="11">
        <f t="shared" si="0"/>
        <v>0.6914893617021276</v>
      </c>
      <c r="O53">
        <v>68212</v>
      </c>
      <c r="P53">
        <v>8224</v>
      </c>
    </row>
    <row r="54" spans="1:16" x14ac:dyDescent="0.25">
      <c r="A54">
        <v>2022</v>
      </c>
      <c r="B54" s="5">
        <v>5</v>
      </c>
      <c r="C54" s="5" t="s">
        <v>4</v>
      </c>
      <c r="D54" t="s">
        <v>36</v>
      </c>
      <c r="E54" s="11">
        <v>0.99</v>
      </c>
      <c r="F54" s="11">
        <v>0.63</v>
      </c>
      <c r="G54" s="11">
        <v>0.61</v>
      </c>
      <c r="H54" s="11">
        <v>0.91</v>
      </c>
      <c r="I54">
        <v>152</v>
      </c>
      <c r="J54">
        <v>177</v>
      </c>
      <c r="K54" s="11">
        <v>1.1299999999999999</v>
      </c>
      <c r="L54">
        <v>8.6999999999999993</v>
      </c>
      <c r="M54">
        <v>2.9</v>
      </c>
      <c r="N54" s="11">
        <f t="shared" si="0"/>
        <v>0.75</v>
      </c>
      <c r="O54">
        <v>64010</v>
      </c>
      <c r="P54">
        <v>8881</v>
      </c>
    </row>
    <row r="55" spans="1:16" x14ac:dyDescent="0.25">
      <c r="A55">
        <v>2022</v>
      </c>
      <c r="B55" s="5">
        <v>6</v>
      </c>
      <c r="C55" s="5" t="s">
        <v>5</v>
      </c>
      <c r="D55" t="s">
        <v>36</v>
      </c>
      <c r="E55" s="11">
        <v>0.81</v>
      </c>
      <c r="F55" s="11">
        <v>0.66</v>
      </c>
      <c r="G55" s="11">
        <v>0.65</v>
      </c>
      <c r="H55" s="11">
        <v>0.92</v>
      </c>
      <c r="I55">
        <v>412</v>
      </c>
      <c r="J55">
        <v>245</v>
      </c>
      <c r="K55" s="11">
        <v>0.7</v>
      </c>
      <c r="L55">
        <v>7.8</v>
      </c>
      <c r="M55">
        <v>4.3</v>
      </c>
      <c r="N55" s="11">
        <f t="shared" si="0"/>
        <v>0.64462809917355368</v>
      </c>
      <c r="O55">
        <v>96895</v>
      </c>
      <c r="P55">
        <v>8037</v>
      </c>
    </row>
    <row r="56" spans="1:16" x14ac:dyDescent="0.25">
      <c r="A56">
        <v>2022</v>
      </c>
      <c r="B56" s="5">
        <v>7</v>
      </c>
      <c r="C56" s="5" t="s">
        <v>6</v>
      </c>
      <c r="D56" t="s">
        <v>36</v>
      </c>
      <c r="E56" s="11">
        <v>0.85</v>
      </c>
      <c r="F56" s="11">
        <v>0.95</v>
      </c>
      <c r="G56" s="11">
        <v>0.53</v>
      </c>
      <c r="H56" s="11">
        <v>0.95</v>
      </c>
      <c r="I56">
        <v>248</v>
      </c>
      <c r="J56">
        <v>86</v>
      </c>
      <c r="K56" s="11">
        <v>0.81</v>
      </c>
      <c r="L56">
        <v>7</v>
      </c>
      <c r="M56">
        <v>3.7</v>
      </c>
      <c r="N56" s="11">
        <f t="shared" si="0"/>
        <v>0.65420560747663559</v>
      </c>
      <c r="O56">
        <v>80299</v>
      </c>
      <c r="P56">
        <v>9275</v>
      </c>
    </row>
    <row r="57" spans="1:16" x14ac:dyDescent="0.25">
      <c r="A57">
        <v>2022</v>
      </c>
      <c r="B57" s="5">
        <v>8</v>
      </c>
      <c r="C57" s="5" t="s">
        <v>7</v>
      </c>
      <c r="D57" t="s">
        <v>36</v>
      </c>
      <c r="E57" s="11">
        <v>0.93</v>
      </c>
      <c r="F57" s="11">
        <v>0.47</v>
      </c>
      <c r="G57" s="11">
        <v>0.43</v>
      </c>
      <c r="H57" s="11">
        <v>0.48</v>
      </c>
      <c r="I57">
        <v>270</v>
      </c>
      <c r="J57">
        <v>65</v>
      </c>
      <c r="K57" s="11">
        <v>0.68</v>
      </c>
      <c r="L57">
        <v>7</v>
      </c>
      <c r="M57">
        <v>4.9000000000000004</v>
      </c>
      <c r="N57" s="11">
        <f t="shared" si="0"/>
        <v>0.58823529411764708</v>
      </c>
      <c r="O57">
        <v>73592</v>
      </c>
      <c r="P57">
        <v>8803</v>
      </c>
    </row>
    <row r="58" spans="1:16" x14ac:dyDescent="0.25">
      <c r="A58">
        <v>2022</v>
      </c>
      <c r="B58" s="5">
        <v>9</v>
      </c>
      <c r="C58" s="5" t="s">
        <v>8</v>
      </c>
      <c r="D58" t="s">
        <v>36</v>
      </c>
      <c r="E58" s="11">
        <v>0.98</v>
      </c>
      <c r="F58" s="11">
        <v>0.79</v>
      </c>
      <c r="G58" s="11">
        <v>0.55000000000000004</v>
      </c>
      <c r="H58" s="11">
        <v>0.73</v>
      </c>
      <c r="I58">
        <v>156</v>
      </c>
      <c r="J58">
        <v>344</v>
      </c>
      <c r="K58" s="11">
        <v>1.1599999999999999</v>
      </c>
      <c r="L58">
        <v>8.4</v>
      </c>
      <c r="M58">
        <v>3.8</v>
      </c>
      <c r="N58" s="11">
        <f t="shared" si="0"/>
        <v>0.68852459016393452</v>
      </c>
      <c r="O58">
        <v>81821</v>
      </c>
      <c r="P58">
        <v>9220</v>
      </c>
    </row>
    <row r="59" spans="1:16" x14ac:dyDescent="0.25">
      <c r="A59">
        <v>2022</v>
      </c>
      <c r="B59" s="5">
        <v>10</v>
      </c>
      <c r="C59" s="5" t="s">
        <v>9</v>
      </c>
      <c r="D59" t="s">
        <v>36</v>
      </c>
      <c r="E59" s="11">
        <v>0.9</v>
      </c>
      <c r="F59" s="11">
        <v>0.4</v>
      </c>
      <c r="G59" s="11">
        <v>0.6</v>
      </c>
      <c r="H59" s="11">
        <v>0.87</v>
      </c>
      <c r="I59">
        <v>560</v>
      </c>
      <c r="J59">
        <v>309</v>
      </c>
      <c r="K59" s="11">
        <v>1.1000000000000001</v>
      </c>
      <c r="L59">
        <v>8</v>
      </c>
      <c r="M59">
        <v>3.6</v>
      </c>
      <c r="N59" s="11">
        <f t="shared" si="0"/>
        <v>0.68965517241379315</v>
      </c>
      <c r="O59">
        <v>64626</v>
      </c>
      <c r="P59">
        <v>8148</v>
      </c>
    </row>
    <row r="60" spans="1:16" x14ac:dyDescent="0.25">
      <c r="A60">
        <v>2022</v>
      </c>
      <c r="B60" s="5">
        <v>11</v>
      </c>
      <c r="C60" s="5" t="s">
        <v>10</v>
      </c>
      <c r="D60" t="s">
        <v>36</v>
      </c>
      <c r="E60" s="11">
        <v>1</v>
      </c>
      <c r="F60" s="11">
        <v>0.61</v>
      </c>
      <c r="G60" s="11">
        <v>0.74</v>
      </c>
      <c r="H60" s="11">
        <v>0.9</v>
      </c>
      <c r="I60">
        <v>768</v>
      </c>
      <c r="J60">
        <v>126</v>
      </c>
      <c r="K60" s="11">
        <v>1.04</v>
      </c>
      <c r="L60">
        <v>6.5</v>
      </c>
      <c r="M60">
        <v>3.3</v>
      </c>
      <c r="N60" s="11">
        <f t="shared" si="0"/>
        <v>0.66326530612244894</v>
      </c>
      <c r="O60">
        <v>62199</v>
      </c>
      <c r="P60">
        <v>9375</v>
      </c>
    </row>
    <row r="61" spans="1:16" x14ac:dyDescent="0.25">
      <c r="A61">
        <v>2022</v>
      </c>
      <c r="B61" s="5">
        <v>12</v>
      </c>
      <c r="C61" s="5" t="s">
        <v>11</v>
      </c>
      <c r="D61" t="s">
        <v>36</v>
      </c>
      <c r="E61" s="11">
        <v>0.92</v>
      </c>
      <c r="F61" s="11">
        <v>0.82</v>
      </c>
      <c r="G61" s="11">
        <v>0.53</v>
      </c>
      <c r="H61" s="11">
        <v>1.08</v>
      </c>
      <c r="I61">
        <v>408</v>
      </c>
      <c r="J61">
        <v>396</v>
      </c>
      <c r="K61" s="11">
        <v>0.81</v>
      </c>
      <c r="L61">
        <v>9.4</v>
      </c>
      <c r="M61">
        <v>4.9000000000000004</v>
      </c>
      <c r="N61" s="11">
        <f t="shared" si="0"/>
        <v>0.65734265734265729</v>
      </c>
      <c r="O61">
        <v>93684</v>
      </c>
      <c r="P61">
        <v>8087</v>
      </c>
    </row>
    <row r="62" spans="1:16" x14ac:dyDescent="0.25">
      <c r="A62">
        <v>2023</v>
      </c>
      <c r="B62" s="5">
        <v>1</v>
      </c>
      <c r="C62" s="5" t="s">
        <v>0</v>
      </c>
      <c r="D62" t="s">
        <v>36</v>
      </c>
      <c r="E62" s="11">
        <v>0.85</v>
      </c>
      <c r="F62" s="11">
        <v>0.93</v>
      </c>
      <c r="G62" s="11">
        <v>0.41</v>
      </c>
      <c r="H62" s="11">
        <v>1.1100000000000001</v>
      </c>
      <c r="I62">
        <v>302</v>
      </c>
      <c r="J62">
        <v>200</v>
      </c>
      <c r="K62" s="11">
        <v>1.08</v>
      </c>
      <c r="L62">
        <v>9.4</v>
      </c>
      <c r="M62">
        <v>3</v>
      </c>
      <c r="N62" s="11">
        <f t="shared" si="0"/>
        <v>0.75806451612903225</v>
      </c>
      <c r="O62">
        <v>59421</v>
      </c>
      <c r="P62">
        <v>8474</v>
      </c>
    </row>
    <row r="63" spans="1:16" x14ac:dyDescent="0.25">
      <c r="A63">
        <v>2023</v>
      </c>
      <c r="B63" s="5">
        <v>2</v>
      </c>
      <c r="C63" s="5" t="s">
        <v>1</v>
      </c>
      <c r="D63" t="s">
        <v>36</v>
      </c>
      <c r="E63" s="11">
        <v>0.82</v>
      </c>
      <c r="F63" s="11">
        <v>0.72</v>
      </c>
      <c r="G63" s="11">
        <v>0.49</v>
      </c>
      <c r="H63" s="11">
        <v>0.51</v>
      </c>
      <c r="I63">
        <v>402</v>
      </c>
      <c r="J63">
        <v>317</v>
      </c>
      <c r="K63" s="11">
        <v>0.68</v>
      </c>
      <c r="L63">
        <v>5.3</v>
      </c>
      <c r="M63">
        <v>4.5999999999999996</v>
      </c>
      <c r="N63" s="11">
        <f t="shared" si="0"/>
        <v>0.53535353535353536</v>
      </c>
      <c r="O63">
        <v>58013</v>
      </c>
      <c r="P63">
        <v>7977</v>
      </c>
    </row>
    <row r="64" spans="1:16" x14ac:dyDescent="0.25">
      <c r="A64">
        <v>2023</v>
      </c>
      <c r="B64" s="5">
        <v>3</v>
      </c>
      <c r="C64" s="5" t="s">
        <v>2</v>
      </c>
      <c r="D64" t="s">
        <v>36</v>
      </c>
      <c r="E64" s="11">
        <v>0.93</v>
      </c>
      <c r="F64" s="11">
        <v>0.75</v>
      </c>
      <c r="G64" s="11">
        <v>0.75</v>
      </c>
      <c r="H64" s="11">
        <v>0.44</v>
      </c>
      <c r="I64">
        <v>707</v>
      </c>
      <c r="J64">
        <v>398</v>
      </c>
      <c r="K64" s="11">
        <v>1.19</v>
      </c>
      <c r="L64">
        <v>5.7</v>
      </c>
      <c r="M64">
        <v>2.6</v>
      </c>
      <c r="N64" s="11">
        <f t="shared" si="0"/>
        <v>0.68674698795180722</v>
      </c>
      <c r="O64">
        <v>86396</v>
      </c>
      <c r="P64">
        <v>5616</v>
      </c>
    </row>
    <row r="65" spans="1:16" x14ac:dyDescent="0.25">
      <c r="A65">
        <v>2023</v>
      </c>
      <c r="B65" s="5">
        <v>4</v>
      </c>
      <c r="C65" s="5" t="s">
        <v>3</v>
      </c>
      <c r="D65" t="s">
        <v>36</v>
      </c>
      <c r="E65" s="11">
        <v>0.82</v>
      </c>
      <c r="F65" s="11">
        <v>0.95</v>
      </c>
      <c r="G65" s="11">
        <v>0.7</v>
      </c>
      <c r="H65" s="11">
        <v>0.57999999999999996</v>
      </c>
      <c r="I65">
        <v>647</v>
      </c>
      <c r="J65">
        <v>788</v>
      </c>
      <c r="K65" s="11">
        <v>0.96</v>
      </c>
      <c r="L65">
        <v>10</v>
      </c>
      <c r="M65">
        <v>3.8</v>
      </c>
      <c r="N65" s="11">
        <f t="shared" si="0"/>
        <v>0.72463768115942029</v>
      </c>
      <c r="O65">
        <v>74375</v>
      </c>
      <c r="P65">
        <v>5723</v>
      </c>
    </row>
    <row r="66" spans="1:16" x14ac:dyDescent="0.25">
      <c r="A66">
        <v>2023</v>
      </c>
      <c r="B66" s="5">
        <v>5</v>
      </c>
      <c r="C66" s="5" t="s">
        <v>4</v>
      </c>
      <c r="D66" t="s">
        <v>36</v>
      </c>
      <c r="E66" s="11">
        <v>0.83</v>
      </c>
      <c r="F66" s="11">
        <v>0.75</v>
      </c>
      <c r="G66" s="11">
        <v>0.69</v>
      </c>
      <c r="H66" s="11">
        <v>0.42</v>
      </c>
      <c r="I66">
        <v>339</v>
      </c>
      <c r="J66">
        <v>774</v>
      </c>
      <c r="K66" s="11">
        <v>0.87</v>
      </c>
      <c r="L66">
        <v>5.3</v>
      </c>
      <c r="M66">
        <v>3</v>
      </c>
      <c r="N66" s="11">
        <f t="shared" si="0"/>
        <v>0.63855421686746983</v>
      </c>
      <c r="O66">
        <v>88534</v>
      </c>
      <c r="P66">
        <v>7402</v>
      </c>
    </row>
    <row r="67" spans="1:16" x14ac:dyDescent="0.25">
      <c r="A67">
        <v>2023</v>
      </c>
      <c r="B67" s="5">
        <v>6</v>
      </c>
      <c r="C67" s="5" t="s">
        <v>5</v>
      </c>
      <c r="D67" t="s">
        <v>36</v>
      </c>
      <c r="E67" s="11">
        <v>0.88</v>
      </c>
      <c r="F67" s="11">
        <v>0.75</v>
      </c>
      <c r="G67" s="11">
        <v>0.56999999999999995</v>
      </c>
      <c r="H67" s="11">
        <v>0.85</v>
      </c>
      <c r="I67">
        <v>460</v>
      </c>
      <c r="J67">
        <v>441</v>
      </c>
      <c r="K67" s="11">
        <v>1.1100000000000001</v>
      </c>
      <c r="L67">
        <v>5.6</v>
      </c>
      <c r="M67">
        <v>4.4000000000000004</v>
      </c>
      <c r="N67" s="11">
        <f t="shared" si="0"/>
        <v>0.55999999999999994</v>
      </c>
      <c r="O67">
        <v>94240</v>
      </c>
      <c r="P67">
        <v>6240</v>
      </c>
    </row>
    <row r="68" spans="1:16" x14ac:dyDescent="0.25">
      <c r="A68">
        <v>2023</v>
      </c>
      <c r="B68" s="5">
        <v>7</v>
      </c>
      <c r="C68" s="5" t="s">
        <v>6</v>
      </c>
      <c r="D68" t="s">
        <v>36</v>
      </c>
      <c r="E68" s="11">
        <v>0.74</v>
      </c>
      <c r="F68" s="11">
        <v>0.9</v>
      </c>
      <c r="G68" s="11">
        <v>0.7</v>
      </c>
      <c r="H68" s="11">
        <v>0.45</v>
      </c>
      <c r="I68">
        <v>345</v>
      </c>
      <c r="J68">
        <v>374</v>
      </c>
      <c r="K68" s="11">
        <v>1</v>
      </c>
      <c r="L68">
        <v>5.0999999999999996</v>
      </c>
      <c r="M68">
        <v>4.5</v>
      </c>
      <c r="N68" s="11">
        <f t="shared" ref="N68:N131" si="1">L68/(L68+M68)</f>
        <v>0.53125</v>
      </c>
      <c r="O68">
        <v>76545</v>
      </c>
      <c r="P68">
        <v>6830</v>
      </c>
    </row>
    <row r="69" spans="1:16" x14ac:dyDescent="0.25">
      <c r="A69">
        <v>2023</v>
      </c>
      <c r="B69" s="5">
        <v>8</v>
      </c>
      <c r="C69" s="5" t="s">
        <v>7</v>
      </c>
      <c r="D69" t="s">
        <v>36</v>
      </c>
      <c r="E69" s="11">
        <v>0.99</v>
      </c>
      <c r="F69" s="11">
        <v>0.68</v>
      </c>
      <c r="G69" s="11">
        <v>0.46</v>
      </c>
      <c r="H69" s="11">
        <v>0.65</v>
      </c>
      <c r="I69">
        <v>123</v>
      </c>
      <c r="J69">
        <v>476</v>
      </c>
      <c r="K69" s="11">
        <v>0.77</v>
      </c>
      <c r="L69">
        <v>6.7</v>
      </c>
      <c r="M69">
        <v>3</v>
      </c>
      <c r="N69" s="11">
        <f t="shared" si="1"/>
        <v>0.69072164948453618</v>
      </c>
      <c r="O69">
        <v>64398</v>
      </c>
      <c r="P69">
        <v>5844</v>
      </c>
    </row>
    <row r="70" spans="1:16" x14ac:dyDescent="0.25">
      <c r="A70">
        <v>2023</v>
      </c>
      <c r="B70" s="5">
        <v>9</v>
      </c>
      <c r="C70" s="5" t="s">
        <v>8</v>
      </c>
      <c r="D70" t="s">
        <v>36</v>
      </c>
      <c r="E70" s="11">
        <v>1.0900000000000001</v>
      </c>
      <c r="F70" s="11">
        <v>0.62</v>
      </c>
      <c r="G70" s="11">
        <v>0.55000000000000004</v>
      </c>
      <c r="H70" s="11">
        <v>0.71</v>
      </c>
      <c r="I70">
        <v>585</v>
      </c>
      <c r="J70">
        <v>370</v>
      </c>
      <c r="K70" s="11">
        <v>1.03</v>
      </c>
      <c r="L70">
        <v>6.4</v>
      </c>
      <c r="M70">
        <v>4.7</v>
      </c>
      <c r="N70" s="11">
        <f t="shared" si="1"/>
        <v>0.57657657657657657</v>
      </c>
      <c r="O70">
        <v>60550</v>
      </c>
      <c r="P70">
        <v>6894</v>
      </c>
    </row>
    <row r="71" spans="1:16" x14ac:dyDescent="0.25">
      <c r="A71">
        <v>2023</v>
      </c>
      <c r="B71" s="5">
        <v>10</v>
      </c>
      <c r="C71" s="5" t="s">
        <v>9</v>
      </c>
      <c r="D71" t="s">
        <v>36</v>
      </c>
      <c r="E71" s="11">
        <v>1.06</v>
      </c>
      <c r="F71" s="11">
        <v>0.39</v>
      </c>
      <c r="G71" s="11">
        <v>0.55000000000000004</v>
      </c>
      <c r="H71" s="11">
        <v>0.46</v>
      </c>
      <c r="I71">
        <v>503</v>
      </c>
      <c r="J71">
        <v>324</v>
      </c>
      <c r="K71" s="11">
        <v>1.1200000000000001</v>
      </c>
      <c r="L71">
        <v>6.5</v>
      </c>
      <c r="M71">
        <v>2.7</v>
      </c>
      <c r="N71" s="11">
        <f t="shared" si="1"/>
        <v>0.70652173913043481</v>
      </c>
      <c r="O71">
        <v>93126</v>
      </c>
      <c r="P71">
        <v>5003</v>
      </c>
    </row>
    <row r="72" spans="1:16" x14ac:dyDescent="0.25">
      <c r="A72">
        <v>2023</v>
      </c>
      <c r="B72" s="5">
        <v>11</v>
      </c>
      <c r="C72" s="5" t="s">
        <v>10</v>
      </c>
      <c r="D72" t="s">
        <v>36</v>
      </c>
      <c r="E72" s="11">
        <v>0.87</v>
      </c>
      <c r="F72" s="11">
        <v>0.71</v>
      </c>
      <c r="G72" s="11">
        <v>0.48</v>
      </c>
      <c r="H72" s="11">
        <v>0.84</v>
      </c>
      <c r="I72">
        <v>746</v>
      </c>
      <c r="J72">
        <v>701</v>
      </c>
      <c r="K72" s="11">
        <v>0.92</v>
      </c>
      <c r="L72">
        <v>8.3000000000000007</v>
      </c>
      <c r="M72">
        <v>3.2</v>
      </c>
      <c r="N72" s="11">
        <f t="shared" si="1"/>
        <v>0.72173913043478266</v>
      </c>
      <c r="O72">
        <v>93766</v>
      </c>
      <c r="P72">
        <v>5041</v>
      </c>
    </row>
    <row r="73" spans="1:16" x14ac:dyDescent="0.25">
      <c r="A73">
        <v>2023</v>
      </c>
      <c r="B73" s="5">
        <v>12</v>
      </c>
      <c r="C73" s="5" t="s">
        <v>11</v>
      </c>
      <c r="D73" t="s">
        <v>36</v>
      </c>
      <c r="E73" s="11">
        <v>0.93</v>
      </c>
      <c r="F73" s="11">
        <v>0.88</v>
      </c>
      <c r="G73" s="11">
        <v>0.52</v>
      </c>
      <c r="H73" s="11">
        <v>0.55000000000000004</v>
      </c>
      <c r="I73">
        <v>89</v>
      </c>
      <c r="J73">
        <v>476</v>
      </c>
      <c r="K73" s="11">
        <v>1.08</v>
      </c>
      <c r="L73">
        <v>5.2</v>
      </c>
      <c r="M73">
        <v>3.5</v>
      </c>
      <c r="N73" s="11">
        <f t="shared" si="1"/>
        <v>0.5977011494252874</v>
      </c>
      <c r="O73">
        <v>97993</v>
      </c>
      <c r="P73">
        <v>5938</v>
      </c>
    </row>
    <row r="74" spans="1:16" x14ac:dyDescent="0.25">
      <c r="A74">
        <v>2024</v>
      </c>
      <c r="B74" s="5">
        <v>1</v>
      </c>
      <c r="C74" s="5" t="s">
        <v>0</v>
      </c>
      <c r="D74" t="s">
        <v>36</v>
      </c>
      <c r="E74" s="11">
        <v>0.74</v>
      </c>
      <c r="F74" s="11">
        <v>0.56999999999999995</v>
      </c>
      <c r="G74" s="11">
        <v>0.74</v>
      </c>
      <c r="H74" s="11">
        <v>0.47</v>
      </c>
      <c r="I74">
        <v>914</v>
      </c>
      <c r="J74">
        <v>553</v>
      </c>
      <c r="K74" s="11">
        <v>0.88</v>
      </c>
      <c r="L74">
        <v>5.9</v>
      </c>
      <c r="M74">
        <v>5</v>
      </c>
      <c r="N74" s="11">
        <f t="shared" si="1"/>
        <v>0.54128440366972475</v>
      </c>
      <c r="O74">
        <v>57814</v>
      </c>
      <c r="P74">
        <v>7236</v>
      </c>
    </row>
    <row r="75" spans="1:16" x14ac:dyDescent="0.25">
      <c r="A75">
        <v>2024</v>
      </c>
      <c r="B75" s="5">
        <v>2</v>
      </c>
      <c r="C75" s="5" t="s">
        <v>1</v>
      </c>
      <c r="D75" t="s">
        <v>36</v>
      </c>
      <c r="E75" s="11">
        <v>1.07</v>
      </c>
      <c r="F75" s="11">
        <v>0.72</v>
      </c>
      <c r="G75" s="11">
        <v>0.54</v>
      </c>
      <c r="H75" s="11">
        <v>0.92</v>
      </c>
      <c r="I75">
        <v>295</v>
      </c>
      <c r="J75">
        <v>482</v>
      </c>
      <c r="K75" s="11">
        <v>0.93</v>
      </c>
      <c r="L75">
        <v>8.6999999999999993</v>
      </c>
      <c r="M75">
        <v>4.5999999999999996</v>
      </c>
      <c r="N75" s="11">
        <f t="shared" si="1"/>
        <v>0.65413533834586468</v>
      </c>
      <c r="O75">
        <v>79808</v>
      </c>
      <c r="P75">
        <v>9193</v>
      </c>
    </row>
    <row r="76" spans="1:16" x14ac:dyDescent="0.25">
      <c r="A76">
        <v>2024</v>
      </c>
      <c r="B76" s="5">
        <v>3</v>
      </c>
      <c r="C76" s="5" t="s">
        <v>2</v>
      </c>
      <c r="D76" t="s">
        <v>36</v>
      </c>
      <c r="E76" s="11">
        <v>1.01</v>
      </c>
      <c r="F76" s="11">
        <v>0.67</v>
      </c>
      <c r="G76" s="11">
        <v>0.63</v>
      </c>
      <c r="H76" s="11">
        <v>1.1499999999999999</v>
      </c>
      <c r="I76">
        <v>144</v>
      </c>
      <c r="J76">
        <v>62</v>
      </c>
      <c r="K76" s="11">
        <v>1.1399999999999999</v>
      </c>
      <c r="L76">
        <v>6.4</v>
      </c>
      <c r="M76">
        <v>2.8</v>
      </c>
      <c r="N76" s="11">
        <f t="shared" si="1"/>
        <v>0.69565217391304357</v>
      </c>
      <c r="O76">
        <v>85178</v>
      </c>
      <c r="P76">
        <v>9422</v>
      </c>
    </row>
    <row r="77" spans="1:16" x14ac:dyDescent="0.25">
      <c r="A77">
        <v>2024</v>
      </c>
      <c r="B77" s="5">
        <v>4</v>
      </c>
      <c r="C77" s="5" t="s">
        <v>3</v>
      </c>
      <c r="D77" t="s">
        <v>36</v>
      </c>
      <c r="E77" s="11">
        <v>0.74</v>
      </c>
      <c r="F77" s="11">
        <v>0.69</v>
      </c>
      <c r="G77" s="11">
        <v>0.47</v>
      </c>
      <c r="H77" s="11">
        <v>0.6</v>
      </c>
      <c r="I77">
        <v>671</v>
      </c>
      <c r="J77">
        <v>572</v>
      </c>
      <c r="K77" s="11">
        <v>0.98</v>
      </c>
      <c r="L77">
        <v>7.9</v>
      </c>
      <c r="M77">
        <v>4.9000000000000004</v>
      </c>
      <c r="N77" s="11">
        <f t="shared" si="1"/>
        <v>0.6171875</v>
      </c>
      <c r="O77">
        <v>58715</v>
      </c>
      <c r="P77">
        <v>7225</v>
      </c>
    </row>
    <row r="78" spans="1:16" x14ac:dyDescent="0.25">
      <c r="A78">
        <v>2024</v>
      </c>
      <c r="B78" s="5">
        <v>5</v>
      </c>
      <c r="C78" s="5" t="s">
        <v>4</v>
      </c>
      <c r="D78" t="s">
        <v>36</v>
      </c>
      <c r="E78" s="11">
        <v>0.89</v>
      </c>
      <c r="F78" s="11">
        <v>0.84</v>
      </c>
      <c r="G78" s="11">
        <v>0.6</v>
      </c>
      <c r="H78" s="11">
        <v>0.56000000000000005</v>
      </c>
      <c r="I78">
        <v>675</v>
      </c>
      <c r="J78">
        <v>336</v>
      </c>
      <c r="K78" s="11">
        <v>1.1200000000000001</v>
      </c>
      <c r="L78">
        <v>7.4</v>
      </c>
      <c r="M78">
        <v>4.3</v>
      </c>
      <c r="N78" s="11">
        <f t="shared" si="1"/>
        <v>0.63247863247863256</v>
      </c>
      <c r="O78">
        <v>58169</v>
      </c>
      <c r="P78">
        <v>9604</v>
      </c>
    </row>
    <row r="79" spans="1:16" x14ac:dyDescent="0.25">
      <c r="A79">
        <v>2024</v>
      </c>
      <c r="B79" s="5">
        <v>6</v>
      </c>
      <c r="C79" s="5" t="s">
        <v>5</v>
      </c>
      <c r="D79" t="s">
        <v>36</v>
      </c>
      <c r="E79" s="11">
        <v>1.01</v>
      </c>
      <c r="F79" s="11">
        <v>0.62</v>
      </c>
      <c r="G79" s="11">
        <v>0.76</v>
      </c>
      <c r="H79" s="11">
        <v>0.68</v>
      </c>
      <c r="I79">
        <v>78</v>
      </c>
      <c r="J79">
        <v>540</v>
      </c>
      <c r="K79" s="11">
        <v>0.9</v>
      </c>
      <c r="L79">
        <v>7.1</v>
      </c>
      <c r="M79">
        <v>4.7</v>
      </c>
      <c r="N79" s="11">
        <f t="shared" si="1"/>
        <v>0.60169491525423724</v>
      </c>
      <c r="O79">
        <v>74894</v>
      </c>
      <c r="P79">
        <v>6185</v>
      </c>
    </row>
    <row r="80" spans="1:16" x14ac:dyDescent="0.25">
      <c r="A80">
        <v>2024</v>
      </c>
      <c r="B80" s="5">
        <v>7</v>
      </c>
      <c r="C80" s="5" t="s">
        <v>6</v>
      </c>
      <c r="D80" t="s">
        <v>36</v>
      </c>
      <c r="E80" s="11">
        <v>1</v>
      </c>
      <c r="F80" s="11">
        <v>0.6</v>
      </c>
      <c r="G80" s="11">
        <v>0.4</v>
      </c>
      <c r="H80" s="11">
        <v>0.47</v>
      </c>
      <c r="I80">
        <v>904</v>
      </c>
      <c r="J80">
        <v>554</v>
      </c>
      <c r="K80" s="11">
        <v>0.87</v>
      </c>
      <c r="L80">
        <v>6.3</v>
      </c>
      <c r="M80">
        <v>2.7</v>
      </c>
      <c r="N80" s="11">
        <f t="shared" si="1"/>
        <v>0.7</v>
      </c>
      <c r="O80">
        <v>67504</v>
      </c>
      <c r="P80">
        <v>7871</v>
      </c>
    </row>
    <row r="81" spans="1:16" x14ac:dyDescent="0.25">
      <c r="A81">
        <v>2024</v>
      </c>
      <c r="B81" s="5">
        <v>8</v>
      </c>
      <c r="C81" s="5" t="s">
        <v>7</v>
      </c>
      <c r="D81" t="s">
        <v>36</v>
      </c>
      <c r="E81" s="11">
        <v>0.91</v>
      </c>
      <c r="F81" s="11">
        <v>0.8</v>
      </c>
      <c r="G81" s="11">
        <v>0.51</v>
      </c>
      <c r="H81" s="11">
        <v>0.89</v>
      </c>
      <c r="I81">
        <v>897</v>
      </c>
      <c r="J81">
        <v>352</v>
      </c>
      <c r="K81" s="11">
        <v>1.07</v>
      </c>
      <c r="L81">
        <v>5.5</v>
      </c>
      <c r="M81">
        <v>2.8</v>
      </c>
      <c r="N81" s="11">
        <f t="shared" si="1"/>
        <v>0.66265060240963847</v>
      </c>
      <c r="O81">
        <v>56711</v>
      </c>
      <c r="P81">
        <v>7097</v>
      </c>
    </row>
    <row r="82" spans="1:16" x14ac:dyDescent="0.25">
      <c r="A82">
        <v>2024</v>
      </c>
      <c r="B82" s="5">
        <v>9</v>
      </c>
      <c r="C82" s="5" t="s">
        <v>8</v>
      </c>
      <c r="D82" t="s">
        <v>36</v>
      </c>
      <c r="E82" s="11">
        <v>0.82</v>
      </c>
      <c r="F82" s="11">
        <v>0.52</v>
      </c>
      <c r="G82" s="11">
        <v>0.74</v>
      </c>
      <c r="H82" s="11">
        <v>0.87</v>
      </c>
      <c r="I82">
        <v>863</v>
      </c>
      <c r="J82">
        <v>483</v>
      </c>
      <c r="K82" s="11">
        <v>0.68</v>
      </c>
      <c r="L82">
        <v>7.7</v>
      </c>
      <c r="M82">
        <v>3.2</v>
      </c>
      <c r="N82" s="11">
        <f t="shared" si="1"/>
        <v>0.70642201834862384</v>
      </c>
      <c r="O82">
        <v>77272</v>
      </c>
      <c r="P82">
        <v>6950</v>
      </c>
    </row>
    <row r="83" spans="1:16" x14ac:dyDescent="0.25">
      <c r="A83">
        <v>2024</v>
      </c>
      <c r="B83" s="5">
        <v>10</v>
      </c>
      <c r="C83" s="5" t="s">
        <v>9</v>
      </c>
      <c r="D83" t="s">
        <v>36</v>
      </c>
      <c r="E83" s="11">
        <v>1</v>
      </c>
      <c r="F83" s="11">
        <v>0.81</v>
      </c>
      <c r="G83" s="11">
        <v>0.62</v>
      </c>
      <c r="H83" s="11">
        <v>0.38</v>
      </c>
      <c r="I83">
        <v>223</v>
      </c>
      <c r="J83">
        <v>89</v>
      </c>
      <c r="K83" s="11">
        <v>0.93</v>
      </c>
      <c r="L83">
        <v>7</v>
      </c>
      <c r="M83">
        <v>4.4000000000000004</v>
      </c>
      <c r="N83" s="11">
        <f t="shared" si="1"/>
        <v>0.61403508771929827</v>
      </c>
      <c r="O83">
        <v>66486</v>
      </c>
      <c r="P83">
        <v>9271</v>
      </c>
    </row>
    <row r="84" spans="1:16" x14ac:dyDescent="0.25">
      <c r="A84">
        <v>2024</v>
      </c>
      <c r="B84" s="5">
        <v>11</v>
      </c>
      <c r="C84" s="5" t="s">
        <v>10</v>
      </c>
      <c r="D84" t="s">
        <v>36</v>
      </c>
      <c r="E84" s="11">
        <v>0.85</v>
      </c>
      <c r="F84" s="11">
        <v>0.47</v>
      </c>
      <c r="G84" s="11">
        <v>0.49</v>
      </c>
      <c r="H84" s="11">
        <v>1.1200000000000001</v>
      </c>
      <c r="I84">
        <v>66</v>
      </c>
      <c r="J84">
        <v>89</v>
      </c>
      <c r="K84" s="11">
        <v>0.75</v>
      </c>
      <c r="L84">
        <v>7.8</v>
      </c>
      <c r="M84">
        <v>3</v>
      </c>
      <c r="N84" s="11">
        <f t="shared" si="1"/>
        <v>0.72222222222222221</v>
      </c>
      <c r="O84">
        <v>88251</v>
      </c>
      <c r="P84">
        <v>8972</v>
      </c>
    </row>
    <row r="85" spans="1:16" x14ac:dyDescent="0.25">
      <c r="A85">
        <v>2024</v>
      </c>
      <c r="B85" s="5">
        <v>12</v>
      </c>
      <c r="C85" s="5" t="s">
        <v>11</v>
      </c>
      <c r="D85" t="s">
        <v>36</v>
      </c>
      <c r="E85" s="11">
        <v>1.07</v>
      </c>
      <c r="F85" s="11">
        <v>0.76</v>
      </c>
      <c r="G85" s="11">
        <v>0.74</v>
      </c>
      <c r="H85" s="11">
        <v>0.56999999999999995</v>
      </c>
      <c r="I85">
        <v>801</v>
      </c>
      <c r="J85">
        <v>307</v>
      </c>
      <c r="K85" s="11">
        <v>0.75</v>
      </c>
      <c r="L85">
        <v>5.7</v>
      </c>
      <c r="M85">
        <v>5</v>
      </c>
      <c r="N85" s="11">
        <f t="shared" si="1"/>
        <v>0.53271028037383183</v>
      </c>
      <c r="O85">
        <v>86111</v>
      </c>
      <c r="P85">
        <v>7657</v>
      </c>
    </row>
    <row r="86" spans="1:16" x14ac:dyDescent="0.25">
      <c r="A86">
        <v>2025</v>
      </c>
      <c r="B86" s="5">
        <v>1</v>
      </c>
      <c r="C86" s="5" t="s">
        <v>0</v>
      </c>
      <c r="D86" t="s">
        <v>36</v>
      </c>
      <c r="E86" s="11">
        <v>0.96</v>
      </c>
      <c r="F86" s="11">
        <v>0.4</v>
      </c>
      <c r="G86" s="11">
        <v>0.64</v>
      </c>
      <c r="H86" s="11">
        <v>0.56999999999999995</v>
      </c>
      <c r="I86">
        <v>746</v>
      </c>
      <c r="J86">
        <v>105</v>
      </c>
      <c r="K86" s="11">
        <v>0.99</v>
      </c>
      <c r="L86">
        <v>9.1999999999999993</v>
      </c>
      <c r="M86">
        <v>4.2</v>
      </c>
      <c r="N86" s="11">
        <f t="shared" si="1"/>
        <v>0.68656716417910446</v>
      </c>
      <c r="O86">
        <v>85998</v>
      </c>
      <c r="P86">
        <v>6675</v>
      </c>
    </row>
    <row r="87" spans="1:16" x14ac:dyDescent="0.25">
      <c r="A87">
        <v>2025</v>
      </c>
      <c r="B87" s="5">
        <v>2</v>
      </c>
      <c r="C87" s="5" t="s">
        <v>1</v>
      </c>
      <c r="D87" t="s">
        <v>36</v>
      </c>
      <c r="E87" s="11">
        <v>0.84</v>
      </c>
      <c r="F87" s="11">
        <v>0.42</v>
      </c>
      <c r="G87" s="11">
        <v>0.62</v>
      </c>
      <c r="H87" s="11">
        <v>0.64</v>
      </c>
      <c r="I87">
        <v>343</v>
      </c>
      <c r="J87">
        <v>369</v>
      </c>
      <c r="K87" s="11">
        <v>0.69</v>
      </c>
      <c r="L87">
        <v>6.2</v>
      </c>
      <c r="M87">
        <v>3.4</v>
      </c>
      <c r="N87" s="11">
        <f t="shared" si="1"/>
        <v>0.64583333333333337</v>
      </c>
      <c r="O87">
        <v>74541</v>
      </c>
      <c r="P87">
        <v>9099</v>
      </c>
    </row>
    <row r="88" spans="1:16" x14ac:dyDescent="0.25">
      <c r="A88">
        <v>2025</v>
      </c>
      <c r="B88" s="5">
        <v>3</v>
      </c>
      <c r="C88" s="5" t="s">
        <v>2</v>
      </c>
      <c r="D88" t="s">
        <v>36</v>
      </c>
      <c r="E88" s="11">
        <v>0.99</v>
      </c>
      <c r="F88" s="11">
        <v>0.69</v>
      </c>
      <c r="G88" s="11">
        <v>0.78</v>
      </c>
      <c r="H88" s="11">
        <v>1.04</v>
      </c>
      <c r="I88">
        <v>554</v>
      </c>
      <c r="J88">
        <v>253</v>
      </c>
      <c r="K88" s="11">
        <v>1.01</v>
      </c>
      <c r="L88">
        <v>9.6999999999999993</v>
      </c>
      <c r="M88">
        <v>4.0999999999999996</v>
      </c>
      <c r="N88" s="11">
        <f t="shared" si="1"/>
        <v>0.70289855072463769</v>
      </c>
      <c r="O88">
        <v>94017</v>
      </c>
      <c r="P88">
        <v>7163</v>
      </c>
    </row>
    <row r="89" spans="1:16" x14ac:dyDescent="0.25">
      <c r="A89">
        <v>2025</v>
      </c>
      <c r="B89" s="5">
        <v>4</v>
      </c>
      <c r="C89" s="5" t="s">
        <v>3</v>
      </c>
      <c r="D89" t="s">
        <v>36</v>
      </c>
      <c r="E89" s="11">
        <v>1.1000000000000001</v>
      </c>
      <c r="F89" s="11">
        <v>0.8</v>
      </c>
      <c r="G89" s="11">
        <v>0.46</v>
      </c>
      <c r="H89" s="11">
        <v>0.76</v>
      </c>
      <c r="I89">
        <v>772</v>
      </c>
      <c r="J89">
        <v>227</v>
      </c>
      <c r="K89" s="11">
        <v>0.96</v>
      </c>
      <c r="L89">
        <v>8.9</v>
      </c>
      <c r="M89">
        <v>4.8</v>
      </c>
      <c r="N89" s="11">
        <f t="shared" si="1"/>
        <v>0.64963503649635046</v>
      </c>
      <c r="O89">
        <v>85191</v>
      </c>
      <c r="P89">
        <v>9630</v>
      </c>
    </row>
    <row r="90" spans="1:16" x14ac:dyDescent="0.25">
      <c r="A90">
        <v>2025</v>
      </c>
      <c r="B90" s="5">
        <v>5</v>
      </c>
      <c r="C90" s="5" t="s">
        <v>4</v>
      </c>
      <c r="D90" t="s">
        <v>36</v>
      </c>
      <c r="E90" s="11">
        <v>0.78</v>
      </c>
      <c r="F90" s="11">
        <v>0.84</v>
      </c>
      <c r="G90" s="11">
        <v>0.41</v>
      </c>
      <c r="H90" s="11">
        <v>0.38</v>
      </c>
      <c r="I90">
        <v>218</v>
      </c>
      <c r="J90">
        <v>303</v>
      </c>
      <c r="K90" s="11">
        <v>1.0900000000000001</v>
      </c>
      <c r="L90">
        <v>6.7</v>
      </c>
      <c r="M90">
        <v>4.0999999999999996</v>
      </c>
      <c r="N90" s="11">
        <f t="shared" si="1"/>
        <v>0.62037037037037035</v>
      </c>
      <c r="O90">
        <v>87158</v>
      </c>
      <c r="P90">
        <v>7291</v>
      </c>
    </row>
    <row r="91" spans="1:16" x14ac:dyDescent="0.25">
      <c r="A91">
        <v>2025</v>
      </c>
      <c r="B91" s="5">
        <v>6</v>
      </c>
      <c r="C91" s="5" t="s">
        <v>5</v>
      </c>
      <c r="D91" t="s">
        <v>36</v>
      </c>
      <c r="E91" s="11">
        <v>0.98</v>
      </c>
      <c r="F91" s="11">
        <v>0.6</v>
      </c>
      <c r="G91" s="11">
        <v>0.59</v>
      </c>
      <c r="H91" s="11">
        <v>0.9</v>
      </c>
      <c r="I91">
        <v>365</v>
      </c>
      <c r="J91">
        <v>264</v>
      </c>
      <c r="K91" s="11">
        <v>1.2</v>
      </c>
      <c r="L91">
        <v>8.5</v>
      </c>
      <c r="M91">
        <v>4.9000000000000004</v>
      </c>
      <c r="N91" s="11">
        <f t="shared" si="1"/>
        <v>0.63432835820895517</v>
      </c>
      <c r="O91">
        <v>59871</v>
      </c>
      <c r="P91">
        <v>9139</v>
      </c>
    </row>
    <row r="92" spans="1:16" x14ac:dyDescent="0.25">
      <c r="A92">
        <v>2025</v>
      </c>
      <c r="B92" s="5">
        <v>7</v>
      </c>
      <c r="C92" s="5" t="s">
        <v>6</v>
      </c>
      <c r="D92" t="s">
        <v>36</v>
      </c>
      <c r="E92" s="11">
        <v>0.94</v>
      </c>
      <c r="F92" s="11">
        <v>0.57999999999999996</v>
      </c>
      <c r="G92" s="11">
        <v>0.65</v>
      </c>
      <c r="H92" s="11">
        <v>0.41</v>
      </c>
      <c r="I92">
        <v>456</v>
      </c>
      <c r="J92">
        <v>418</v>
      </c>
      <c r="K92" s="11">
        <v>0.69</v>
      </c>
      <c r="L92">
        <v>10</v>
      </c>
      <c r="M92">
        <v>3.3</v>
      </c>
      <c r="N92" s="11">
        <f t="shared" si="1"/>
        <v>0.75187969924812026</v>
      </c>
      <c r="O92">
        <v>55766</v>
      </c>
      <c r="P92">
        <v>6946</v>
      </c>
    </row>
    <row r="93" spans="1:16" x14ac:dyDescent="0.25">
      <c r="A93">
        <v>2025</v>
      </c>
      <c r="B93" s="5">
        <v>8</v>
      </c>
      <c r="C93" s="5" t="s">
        <v>7</v>
      </c>
      <c r="D93" t="s">
        <v>36</v>
      </c>
      <c r="E93" s="11">
        <v>0.98</v>
      </c>
      <c r="F93" s="11">
        <v>0.59</v>
      </c>
      <c r="G93" s="11">
        <v>0.59</v>
      </c>
      <c r="H93" s="11">
        <v>0.56000000000000005</v>
      </c>
      <c r="I93">
        <v>123</v>
      </c>
      <c r="J93">
        <v>284</v>
      </c>
      <c r="K93" s="11">
        <v>0.82</v>
      </c>
      <c r="L93">
        <v>8</v>
      </c>
      <c r="M93">
        <v>3.5</v>
      </c>
      <c r="N93" s="11">
        <f t="shared" si="1"/>
        <v>0.69565217391304346</v>
      </c>
      <c r="O93">
        <v>62194</v>
      </c>
      <c r="P93">
        <v>5636</v>
      </c>
    </row>
    <row r="94" spans="1:16" x14ac:dyDescent="0.25">
      <c r="A94">
        <v>2025</v>
      </c>
      <c r="B94" s="5">
        <v>9</v>
      </c>
      <c r="C94" s="5" t="s">
        <v>8</v>
      </c>
      <c r="D94" t="s">
        <v>36</v>
      </c>
      <c r="E94" s="11">
        <v>0.82</v>
      </c>
      <c r="F94" s="11">
        <v>0.72</v>
      </c>
      <c r="G94" s="11">
        <v>0.56000000000000005</v>
      </c>
      <c r="H94" s="11">
        <v>0.65</v>
      </c>
      <c r="I94">
        <v>515</v>
      </c>
      <c r="J94">
        <v>450</v>
      </c>
      <c r="K94" s="11">
        <v>1.17</v>
      </c>
      <c r="L94">
        <v>9.1999999999999993</v>
      </c>
      <c r="M94">
        <v>4.7</v>
      </c>
      <c r="N94" s="11">
        <f t="shared" si="1"/>
        <v>0.66187050359712229</v>
      </c>
      <c r="O94">
        <v>62832</v>
      </c>
      <c r="P94">
        <v>6745</v>
      </c>
    </row>
    <row r="95" spans="1:16" x14ac:dyDescent="0.25">
      <c r="A95">
        <v>2025</v>
      </c>
      <c r="B95" s="5">
        <v>10</v>
      </c>
      <c r="C95" s="5" t="s">
        <v>9</v>
      </c>
      <c r="D95" t="s">
        <v>36</v>
      </c>
      <c r="E95" s="11">
        <v>1.0900000000000001</v>
      </c>
      <c r="F95" s="11">
        <v>0.9</v>
      </c>
      <c r="G95" s="11">
        <v>0.65</v>
      </c>
      <c r="H95" s="11">
        <v>0.93</v>
      </c>
      <c r="I95">
        <v>405</v>
      </c>
      <c r="J95">
        <v>315</v>
      </c>
      <c r="K95" s="11">
        <v>0.93</v>
      </c>
      <c r="L95">
        <v>5.5</v>
      </c>
      <c r="M95">
        <v>4.0999999999999996</v>
      </c>
      <c r="N95" s="11">
        <f t="shared" si="1"/>
        <v>0.57291666666666674</v>
      </c>
      <c r="O95">
        <v>75865</v>
      </c>
      <c r="P95">
        <v>6473</v>
      </c>
    </row>
    <row r="96" spans="1:16" x14ac:dyDescent="0.25">
      <c r="A96">
        <v>2025</v>
      </c>
      <c r="B96" s="5">
        <v>11</v>
      </c>
      <c r="C96" s="5" t="s">
        <v>10</v>
      </c>
      <c r="D96" t="s">
        <v>36</v>
      </c>
      <c r="E96" s="11">
        <v>0.9</v>
      </c>
      <c r="F96" s="11">
        <v>0.87</v>
      </c>
      <c r="G96" s="11">
        <v>0.64</v>
      </c>
      <c r="H96" s="11">
        <v>0.46</v>
      </c>
      <c r="I96">
        <v>930</v>
      </c>
      <c r="J96">
        <v>410</v>
      </c>
      <c r="K96" s="11">
        <v>1.2</v>
      </c>
      <c r="L96">
        <v>5.3</v>
      </c>
      <c r="M96">
        <v>4.5</v>
      </c>
      <c r="N96" s="11">
        <f t="shared" si="1"/>
        <v>0.54081632653061218</v>
      </c>
      <c r="O96">
        <v>55192</v>
      </c>
      <c r="P96">
        <v>9311</v>
      </c>
    </row>
    <row r="97" spans="1:16" x14ac:dyDescent="0.25">
      <c r="A97">
        <v>2025</v>
      </c>
      <c r="B97" s="5">
        <v>12</v>
      </c>
      <c r="C97" s="5" t="s">
        <v>11</v>
      </c>
      <c r="D97" t="s">
        <v>36</v>
      </c>
      <c r="E97" s="11">
        <v>1.06</v>
      </c>
      <c r="F97" s="11">
        <v>0.97</v>
      </c>
      <c r="G97" s="11">
        <v>0.46</v>
      </c>
      <c r="H97" s="11">
        <v>0.78</v>
      </c>
      <c r="I97">
        <v>435</v>
      </c>
      <c r="J97">
        <v>509</v>
      </c>
      <c r="K97" s="11">
        <v>0.91</v>
      </c>
      <c r="L97">
        <v>9.3000000000000007</v>
      </c>
      <c r="M97">
        <v>3.1</v>
      </c>
      <c r="N97" s="11">
        <f t="shared" si="1"/>
        <v>0.75</v>
      </c>
      <c r="O97">
        <v>68958</v>
      </c>
      <c r="P97">
        <v>9497</v>
      </c>
    </row>
    <row r="98" spans="1:16" x14ac:dyDescent="0.25">
      <c r="A98">
        <v>2022</v>
      </c>
      <c r="B98" s="5">
        <v>1</v>
      </c>
      <c r="C98" s="5" t="s">
        <v>0</v>
      </c>
      <c r="D98" t="s">
        <v>37</v>
      </c>
      <c r="E98" s="11">
        <v>0.97</v>
      </c>
      <c r="F98" s="11">
        <v>0.89</v>
      </c>
      <c r="G98" s="11">
        <v>0.47</v>
      </c>
      <c r="H98" s="11">
        <v>0.75</v>
      </c>
      <c r="I98">
        <v>627</v>
      </c>
      <c r="J98">
        <v>144</v>
      </c>
      <c r="K98" s="11">
        <v>1.1399999999999999</v>
      </c>
      <c r="L98">
        <v>7.3</v>
      </c>
      <c r="M98">
        <v>2.7</v>
      </c>
      <c r="N98" s="11">
        <f t="shared" si="1"/>
        <v>0.73</v>
      </c>
      <c r="O98">
        <v>64810</v>
      </c>
      <c r="P98">
        <v>6274</v>
      </c>
    </row>
    <row r="99" spans="1:16" x14ac:dyDescent="0.25">
      <c r="A99">
        <v>2022</v>
      </c>
      <c r="B99" s="5">
        <v>2</v>
      </c>
      <c r="C99" s="5" t="s">
        <v>1</v>
      </c>
      <c r="D99" t="s">
        <v>37</v>
      </c>
      <c r="E99" s="11">
        <v>0.96</v>
      </c>
      <c r="F99" s="11">
        <v>0.7</v>
      </c>
      <c r="G99" s="11">
        <v>0.44</v>
      </c>
      <c r="H99" s="11">
        <v>0.62</v>
      </c>
      <c r="I99">
        <v>731</v>
      </c>
      <c r="J99">
        <v>440</v>
      </c>
      <c r="K99" s="11">
        <v>0.96</v>
      </c>
      <c r="L99">
        <v>5.0999999999999996</v>
      </c>
      <c r="M99">
        <v>4.4000000000000004</v>
      </c>
      <c r="N99" s="11">
        <f t="shared" si="1"/>
        <v>0.5368421052631579</v>
      </c>
      <c r="O99">
        <v>83792</v>
      </c>
      <c r="P99">
        <v>9334</v>
      </c>
    </row>
    <row r="100" spans="1:16" x14ac:dyDescent="0.25">
      <c r="A100">
        <v>2022</v>
      </c>
      <c r="B100" s="5">
        <v>3</v>
      </c>
      <c r="C100" s="5" t="s">
        <v>2</v>
      </c>
      <c r="D100" t="s">
        <v>37</v>
      </c>
      <c r="E100" s="11">
        <v>1.05</v>
      </c>
      <c r="F100" s="11">
        <v>0.39</v>
      </c>
      <c r="G100" s="11">
        <v>0.78</v>
      </c>
      <c r="H100" s="11">
        <v>1</v>
      </c>
      <c r="I100">
        <v>126</v>
      </c>
      <c r="J100">
        <v>88</v>
      </c>
      <c r="K100" s="11">
        <v>0.89</v>
      </c>
      <c r="L100">
        <v>5.3</v>
      </c>
      <c r="M100">
        <v>4.4000000000000004</v>
      </c>
      <c r="N100" s="11">
        <f t="shared" si="1"/>
        <v>0.54639175257731964</v>
      </c>
      <c r="O100">
        <v>52486</v>
      </c>
      <c r="P100">
        <v>7239</v>
      </c>
    </row>
    <row r="101" spans="1:16" x14ac:dyDescent="0.25">
      <c r="A101">
        <v>2022</v>
      </c>
      <c r="B101" s="5">
        <v>4</v>
      </c>
      <c r="C101" s="5" t="s">
        <v>3</v>
      </c>
      <c r="D101" t="s">
        <v>37</v>
      </c>
      <c r="E101" s="11">
        <v>0.88</v>
      </c>
      <c r="F101" s="11">
        <v>0.92</v>
      </c>
      <c r="G101" s="11">
        <v>0.74</v>
      </c>
      <c r="H101" s="11">
        <v>0.93</v>
      </c>
      <c r="I101">
        <v>910</v>
      </c>
      <c r="J101">
        <v>292</v>
      </c>
      <c r="K101" s="11">
        <v>0.83</v>
      </c>
      <c r="L101">
        <v>6.4</v>
      </c>
      <c r="M101">
        <v>4.9000000000000004</v>
      </c>
      <c r="N101" s="11">
        <f t="shared" si="1"/>
        <v>0.5663716814159292</v>
      </c>
      <c r="O101">
        <v>70833</v>
      </c>
      <c r="P101">
        <v>6993</v>
      </c>
    </row>
    <row r="102" spans="1:16" x14ac:dyDescent="0.25">
      <c r="A102">
        <v>2022</v>
      </c>
      <c r="B102" s="5">
        <v>5</v>
      </c>
      <c r="C102" s="5" t="s">
        <v>4</v>
      </c>
      <c r="D102" t="s">
        <v>37</v>
      </c>
      <c r="E102" s="11">
        <v>0.97</v>
      </c>
      <c r="F102" s="11">
        <v>0.37</v>
      </c>
      <c r="G102" s="11">
        <v>0.65</v>
      </c>
      <c r="H102" s="11">
        <v>0.67</v>
      </c>
      <c r="I102">
        <v>160</v>
      </c>
      <c r="J102">
        <v>368</v>
      </c>
      <c r="K102" s="11">
        <v>1.05</v>
      </c>
      <c r="L102">
        <v>8.9</v>
      </c>
      <c r="M102">
        <v>2.5</v>
      </c>
      <c r="N102" s="11">
        <f t="shared" si="1"/>
        <v>0.7807017543859649</v>
      </c>
      <c r="O102">
        <v>74571</v>
      </c>
      <c r="P102">
        <v>5844</v>
      </c>
    </row>
    <row r="103" spans="1:16" x14ac:dyDescent="0.25">
      <c r="A103">
        <v>2022</v>
      </c>
      <c r="B103" s="5">
        <v>6</v>
      </c>
      <c r="C103" s="5" t="s">
        <v>5</v>
      </c>
      <c r="D103" t="s">
        <v>37</v>
      </c>
      <c r="E103" s="11">
        <v>0.91</v>
      </c>
      <c r="F103" s="11">
        <v>0.68</v>
      </c>
      <c r="G103" s="11">
        <v>0.39</v>
      </c>
      <c r="H103" s="11">
        <v>0.62</v>
      </c>
      <c r="I103">
        <v>379</v>
      </c>
      <c r="J103">
        <v>37</v>
      </c>
      <c r="K103" s="11">
        <v>1.17</v>
      </c>
      <c r="L103">
        <v>9.6</v>
      </c>
      <c r="M103">
        <v>4.5999999999999996</v>
      </c>
      <c r="N103" s="11">
        <f t="shared" si="1"/>
        <v>0.676056338028169</v>
      </c>
      <c r="O103">
        <v>90807</v>
      </c>
      <c r="P103">
        <v>7830</v>
      </c>
    </row>
    <row r="104" spans="1:16" x14ac:dyDescent="0.25">
      <c r="A104">
        <v>2022</v>
      </c>
      <c r="B104" s="5">
        <v>7</v>
      </c>
      <c r="C104" s="5" t="s">
        <v>6</v>
      </c>
      <c r="D104" t="s">
        <v>37</v>
      </c>
      <c r="E104" s="11">
        <v>0.97</v>
      </c>
      <c r="F104" s="11">
        <v>0.47</v>
      </c>
      <c r="G104" s="11">
        <v>0.43</v>
      </c>
      <c r="H104" s="11">
        <v>0.45</v>
      </c>
      <c r="I104">
        <v>77</v>
      </c>
      <c r="J104">
        <v>102</v>
      </c>
      <c r="K104" s="11">
        <v>1.2</v>
      </c>
      <c r="L104">
        <v>9.6999999999999993</v>
      </c>
      <c r="M104">
        <v>4.9000000000000004</v>
      </c>
      <c r="N104" s="11">
        <f t="shared" si="1"/>
        <v>0.66438356164383561</v>
      </c>
      <c r="O104">
        <v>64600</v>
      </c>
      <c r="P104">
        <v>8117</v>
      </c>
    </row>
    <row r="105" spans="1:16" x14ac:dyDescent="0.25">
      <c r="A105">
        <v>2022</v>
      </c>
      <c r="B105" s="5">
        <v>8</v>
      </c>
      <c r="C105" s="5" t="s">
        <v>7</v>
      </c>
      <c r="D105" t="s">
        <v>37</v>
      </c>
      <c r="E105" s="11">
        <v>0.91</v>
      </c>
      <c r="F105" s="11">
        <v>0.43</v>
      </c>
      <c r="G105" s="11">
        <v>0.72</v>
      </c>
      <c r="H105" s="11">
        <v>0.65</v>
      </c>
      <c r="I105">
        <v>723</v>
      </c>
      <c r="J105">
        <v>350</v>
      </c>
      <c r="K105" s="11">
        <v>0.82</v>
      </c>
      <c r="L105">
        <v>8.1999999999999993</v>
      </c>
      <c r="M105">
        <v>4.3</v>
      </c>
      <c r="N105" s="11">
        <f t="shared" si="1"/>
        <v>0.65599999999999992</v>
      </c>
      <c r="O105">
        <v>73916</v>
      </c>
      <c r="P105">
        <v>8767</v>
      </c>
    </row>
    <row r="106" spans="1:16" x14ac:dyDescent="0.25">
      <c r="A106">
        <v>2022</v>
      </c>
      <c r="B106" s="5">
        <v>9</v>
      </c>
      <c r="C106" s="5" t="s">
        <v>8</v>
      </c>
      <c r="D106" t="s">
        <v>37</v>
      </c>
      <c r="E106" s="11">
        <v>1.1000000000000001</v>
      </c>
      <c r="F106" s="11">
        <v>0.85</v>
      </c>
      <c r="G106" s="11">
        <v>0.61</v>
      </c>
      <c r="H106" s="11">
        <v>0.45</v>
      </c>
      <c r="I106">
        <v>152</v>
      </c>
      <c r="J106">
        <v>270</v>
      </c>
      <c r="K106" s="11">
        <v>1.1499999999999999</v>
      </c>
      <c r="L106">
        <v>5.3</v>
      </c>
      <c r="M106">
        <v>3.6</v>
      </c>
      <c r="N106" s="11">
        <f t="shared" si="1"/>
        <v>0.5955056179775281</v>
      </c>
      <c r="O106">
        <v>69999</v>
      </c>
      <c r="P106">
        <v>5446</v>
      </c>
    </row>
    <row r="107" spans="1:16" x14ac:dyDescent="0.25">
      <c r="A107">
        <v>2022</v>
      </c>
      <c r="B107" s="5">
        <v>10</v>
      </c>
      <c r="C107" s="5" t="s">
        <v>9</v>
      </c>
      <c r="D107" t="s">
        <v>37</v>
      </c>
      <c r="E107" s="11">
        <v>0.82</v>
      </c>
      <c r="F107" s="11">
        <v>0.88</v>
      </c>
      <c r="G107" s="11">
        <v>0.77</v>
      </c>
      <c r="H107" s="11">
        <v>0.8</v>
      </c>
      <c r="I107">
        <v>240</v>
      </c>
      <c r="J107">
        <v>164</v>
      </c>
      <c r="K107" s="11">
        <v>0.77</v>
      </c>
      <c r="L107">
        <v>5.2</v>
      </c>
      <c r="M107">
        <v>2.6</v>
      </c>
      <c r="N107" s="11">
        <f t="shared" si="1"/>
        <v>0.66666666666666663</v>
      </c>
      <c r="O107">
        <v>69710</v>
      </c>
      <c r="P107">
        <v>5448</v>
      </c>
    </row>
    <row r="108" spans="1:16" x14ac:dyDescent="0.25">
      <c r="A108">
        <v>2022</v>
      </c>
      <c r="B108" s="5">
        <v>11</v>
      </c>
      <c r="C108" s="5" t="s">
        <v>10</v>
      </c>
      <c r="D108" t="s">
        <v>37</v>
      </c>
      <c r="E108" s="11">
        <v>0.71</v>
      </c>
      <c r="F108" s="11">
        <v>0.38</v>
      </c>
      <c r="G108" s="11">
        <v>0.41</v>
      </c>
      <c r="H108" s="11">
        <v>0.69</v>
      </c>
      <c r="I108">
        <v>570</v>
      </c>
      <c r="J108">
        <v>134</v>
      </c>
      <c r="K108" s="11">
        <v>0.98</v>
      </c>
      <c r="L108">
        <v>10</v>
      </c>
      <c r="M108">
        <v>2.6</v>
      </c>
      <c r="N108" s="11">
        <f t="shared" si="1"/>
        <v>0.79365079365079372</v>
      </c>
      <c r="O108">
        <v>84870</v>
      </c>
      <c r="P108">
        <v>7668</v>
      </c>
    </row>
    <row r="109" spans="1:16" x14ac:dyDescent="0.25">
      <c r="A109">
        <v>2022</v>
      </c>
      <c r="B109" s="5">
        <v>12</v>
      </c>
      <c r="C109" s="5" t="s">
        <v>11</v>
      </c>
      <c r="D109" t="s">
        <v>37</v>
      </c>
      <c r="E109" s="11">
        <v>0.7</v>
      </c>
      <c r="F109" s="11">
        <v>0.64</v>
      </c>
      <c r="G109" s="11">
        <v>0.38</v>
      </c>
      <c r="H109" s="11">
        <v>0.96</v>
      </c>
      <c r="I109">
        <v>935</v>
      </c>
      <c r="J109">
        <v>206</v>
      </c>
      <c r="K109" s="11">
        <v>1</v>
      </c>
      <c r="L109">
        <v>8</v>
      </c>
      <c r="M109">
        <v>3.2</v>
      </c>
      <c r="N109" s="11">
        <f t="shared" si="1"/>
        <v>0.7142857142857143</v>
      </c>
      <c r="O109">
        <v>72758</v>
      </c>
      <c r="P109">
        <v>5692</v>
      </c>
    </row>
    <row r="110" spans="1:16" x14ac:dyDescent="0.25">
      <c r="A110">
        <v>2023</v>
      </c>
      <c r="B110" s="5">
        <v>1</v>
      </c>
      <c r="C110" s="5" t="s">
        <v>0</v>
      </c>
      <c r="D110" t="s">
        <v>37</v>
      </c>
      <c r="E110" s="11">
        <v>1.03</v>
      </c>
      <c r="F110" s="11">
        <v>0.68</v>
      </c>
      <c r="G110" s="11">
        <v>0.69</v>
      </c>
      <c r="H110" s="11">
        <v>0.7</v>
      </c>
      <c r="I110">
        <v>732</v>
      </c>
      <c r="J110">
        <v>568</v>
      </c>
      <c r="K110" s="11">
        <v>1.1599999999999999</v>
      </c>
      <c r="L110">
        <v>5.5</v>
      </c>
      <c r="M110">
        <v>4.9000000000000004</v>
      </c>
      <c r="N110" s="11">
        <f t="shared" si="1"/>
        <v>0.52884615384615385</v>
      </c>
      <c r="O110">
        <v>56927</v>
      </c>
      <c r="P110">
        <v>7275</v>
      </c>
    </row>
    <row r="111" spans="1:16" x14ac:dyDescent="0.25">
      <c r="A111">
        <v>2023</v>
      </c>
      <c r="B111" s="5">
        <v>2</v>
      </c>
      <c r="C111" s="5" t="s">
        <v>1</v>
      </c>
      <c r="D111" t="s">
        <v>37</v>
      </c>
      <c r="E111" s="11">
        <v>0.74</v>
      </c>
      <c r="F111" s="11">
        <v>0.75</v>
      </c>
      <c r="G111" s="11">
        <v>0.54</v>
      </c>
      <c r="H111" s="11">
        <v>0.94</v>
      </c>
      <c r="I111">
        <v>225</v>
      </c>
      <c r="J111">
        <v>658</v>
      </c>
      <c r="K111" s="11">
        <v>0.78</v>
      </c>
      <c r="L111">
        <v>7.8</v>
      </c>
      <c r="M111">
        <v>4.7</v>
      </c>
      <c r="N111" s="11">
        <f t="shared" si="1"/>
        <v>0.624</v>
      </c>
      <c r="O111">
        <v>76681</v>
      </c>
      <c r="P111">
        <v>8487</v>
      </c>
    </row>
    <row r="112" spans="1:16" x14ac:dyDescent="0.25">
      <c r="A112">
        <v>2023</v>
      </c>
      <c r="B112" s="5">
        <v>3</v>
      </c>
      <c r="C112" s="5" t="s">
        <v>2</v>
      </c>
      <c r="D112" t="s">
        <v>37</v>
      </c>
      <c r="E112" s="11">
        <v>0.84</v>
      </c>
      <c r="F112" s="11">
        <v>0.47</v>
      </c>
      <c r="G112" s="11">
        <v>0.76</v>
      </c>
      <c r="H112" s="11">
        <v>0.39</v>
      </c>
      <c r="I112">
        <v>884</v>
      </c>
      <c r="J112">
        <v>164</v>
      </c>
      <c r="K112" s="11">
        <v>0.83</v>
      </c>
      <c r="L112">
        <v>8.3000000000000007</v>
      </c>
      <c r="M112">
        <v>4.5</v>
      </c>
      <c r="N112" s="11">
        <f t="shared" si="1"/>
        <v>0.6484375</v>
      </c>
      <c r="O112">
        <v>54489</v>
      </c>
      <c r="P112">
        <v>6971</v>
      </c>
    </row>
    <row r="113" spans="1:16" x14ac:dyDescent="0.25">
      <c r="A113">
        <v>2023</v>
      </c>
      <c r="B113" s="5">
        <v>4</v>
      </c>
      <c r="C113" s="5" t="s">
        <v>3</v>
      </c>
      <c r="D113" t="s">
        <v>37</v>
      </c>
      <c r="E113" s="11">
        <v>1.0900000000000001</v>
      </c>
      <c r="F113" s="11">
        <v>0.39</v>
      </c>
      <c r="G113" s="11">
        <v>0.62</v>
      </c>
      <c r="H113" s="11">
        <v>1</v>
      </c>
      <c r="I113">
        <v>581</v>
      </c>
      <c r="J113">
        <v>649</v>
      </c>
      <c r="K113" s="11">
        <v>1.1200000000000001</v>
      </c>
      <c r="L113">
        <v>10</v>
      </c>
      <c r="M113">
        <v>3.7</v>
      </c>
      <c r="N113" s="11">
        <f t="shared" si="1"/>
        <v>0.72992700729927007</v>
      </c>
      <c r="O113">
        <v>54468</v>
      </c>
      <c r="P113">
        <v>6999</v>
      </c>
    </row>
    <row r="114" spans="1:16" x14ac:dyDescent="0.25">
      <c r="A114">
        <v>2023</v>
      </c>
      <c r="B114" s="5">
        <v>5</v>
      </c>
      <c r="C114" s="5" t="s">
        <v>4</v>
      </c>
      <c r="D114" t="s">
        <v>37</v>
      </c>
      <c r="E114" s="11">
        <v>0.79</v>
      </c>
      <c r="F114" s="11">
        <v>0.46</v>
      </c>
      <c r="G114" s="11">
        <v>0.49</v>
      </c>
      <c r="H114" s="11">
        <v>0.56999999999999995</v>
      </c>
      <c r="I114">
        <v>449</v>
      </c>
      <c r="J114">
        <v>282</v>
      </c>
      <c r="K114" s="11">
        <v>1.17</v>
      </c>
      <c r="L114">
        <v>9.3000000000000007</v>
      </c>
      <c r="M114">
        <v>2.7</v>
      </c>
      <c r="N114" s="11">
        <f t="shared" si="1"/>
        <v>0.77500000000000002</v>
      </c>
      <c r="O114">
        <v>87677</v>
      </c>
      <c r="P114">
        <v>7391</v>
      </c>
    </row>
    <row r="115" spans="1:16" x14ac:dyDescent="0.25">
      <c r="A115">
        <v>2023</v>
      </c>
      <c r="B115" s="5">
        <v>6</v>
      </c>
      <c r="C115" s="5" t="s">
        <v>5</v>
      </c>
      <c r="D115" t="s">
        <v>37</v>
      </c>
      <c r="E115" s="11">
        <v>0.8</v>
      </c>
      <c r="F115" s="11">
        <v>0.89</v>
      </c>
      <c r="G115" s="11">
        <v>0.38</v>
      </c>
      <c r="H115" s="11">
        <v>0.66</v>
      </c>
      <c r="I115">
        <v>415</v>
      </c>
      <c r="J115">
        <v>739</v>
      </c>
      <c r="K115" s="11">
        <v>0.86</v>
      </c>
      <c r="L115">
        <v>5.2</v>
      </c>
      <c r="M115">
        <v>2.6</v>
      </c>
      <c r="N115" s="11">
        <f t="shared" si="1"/>
        <v>0.66666666666666663</v>
      </c>
      <c r="O115">
        <v>81173</v>
      </c>
      <c r="P115">
        <v>6460</v>
      </c>
    </row>
    <row r="116" spans="1:16" x14ac:dyDescent="0.25">
      <c r="A116">
        <v>2023</v>
      </c>
      <c r="B116" s="5">
        <v>7</v>
      </c>
      <c r="C116" s="5" t="s">
        <v>6</v>
      </c>
      <c r="D116" t="s">
        <v>37</v>
      </c>
      <c r="E116" s="11">
        <v>0.98</v>
      </c>
      <c r="F116" s="11">
        <v>0.71</v>
      </c>
      <c r="G116" s="11">
        <v>0.56999999999999995</v>
      </c>
      <c r="H116" s="11">
        <v>0.7</v>
      </c>
      <c r="I116">
        <v>458</v>
      </c>
      <c r="J116">
        <v>60</v>
      </c>
      <c r="K116" s="11">
        <v>0.75</v>
      </c>
      <c r="L116">
        <v>8.9</v>
      </c>
      <c r="M116">
        <v>3.9</v>
      </c>
      <c r="N116" s="11">
        <f t="shared" si="1"/>
        <v>0.6953125</v>
      </c>
      <c r="O116">
        <v>78300</v>
      </c>
      <c r="P116">
        <v>9080</v>
      </c>
    </row>
    <row r="117" spans="1:16" x14ac:dyDescent="0.25">
      <c r="A117">
        <v>2023</v>
      </c>
      <c r="B117" s="5">
        <v>8</v>
      </c>
      <c r="C117" s="5" t="s">
        <v>7</v>
      </c>
      <c r="D117" t="s">
        <v>37</v>
      </c>
      <c r="E117" s="11">
        <v>1.03</v>
      </c>
      <c r="F117" s="11">
        <v>0.72</v>
      </c>
      <c r="G117" s="11">
        <v>0.53</v>
      </c>
      <c r="H117" s="11">
        <v>0.37</v>
      </c>
      <c r="I117">
        <v>119</v>
      </c>
      <c r="J117">
        <v>238</v>
      </c>
      <c r="K117" s="11">
        <v>1.01</v>
      </c>
      <c r="L117">
        <v>8.1</v>
      </c>
      <c r="M117">
        <v>3.4</v>
      </c>
      <c r="N117" s="11">
        <f t="shared" si="1"/>
        <v>0.70434782608695645</v>
      </c>
      <c r="O117">
        <v>58445</v>
      </c>
      <c r="P117">
        <v>7457</v>
      </c>
    </row>
    <row r="118" spans="1:16" x14ac:dyDescent="0.25">
      <c r="A118">
        <v>2023</v>
      </c>
      <c r="B118" s="5">
        <v>9</v>
      </c>
      <c r="C118" s="5" t="s">
        <v>8</v>
      </c>
      <c r="D118" t="s">
        <v>37</v>
      </c>
      <c r="E118" s="11">
        <v>1.08</v>
      </c>
      <c r="F118" s="11">
        <v>0.44</v>
      </c>
      <c r="G118" s="11">
        <v>0.75</v>
      </c>
      <c r="H118" s="11">
        <v>0.62</v>
      </c>
      <c r="I118">
        <v>611</v>
      </c>
      <c r="J118">
        <v>280</v>
      </c>
      <c r="K118" s="11">
        <v>0.87</v>
      </c>
      <c r="L118">
        <v>7.4</v>
      </c>
      <c r="M118">
        <v>4.5999999999999996</v>
      </c>
      <c r="N118" s="11">
        <f t="shared" si="1"/>
        <v>0.6166666666666667</v>
      </c>
      <c r="O118">
        <v>69932</v>
      </c>
      <c r="P118">
        <v>7083</v>
      </c>
    </row>
    <row r="119" spans="1:16" x14ac:dyDescent="0.25">
      <c r="A119">
        <v>2023</v>
      </c>
      <c r="B119" s="5">
        <v>10</v>
      </c>
      <c r="C119" s="5" t="s">
        <v>9</v>
      </c>
      <c r="D119" t="s">
        <v>37</v>
      </c>
      <c r="E119" s="11">
        <v>0.91</v>
      </c>
      <c r="F119" s="11">
        <v>0.84</v>
      </c>
      <c r="G119" s="11">
        <v>0.42</v>
      </c>
      <c r="H119" s="11">
        <v>0.61</v>
      </c>
      <c r="I119">
        <v>531</v>
      </c>
      <c r="J119">
        <v>332</v>
      </c>
      <c r="K119" s="11">
        <v>1.06</v>
      </c>
      <c r="L119">
        <v>5.4</v>
      </c>
      <c r="M119">
        <v>3.6</v>
      </c>
      <c r="N119" s="11">
        <f t="shared" si="1"/>
        <v>0.60000000000000009</v>
      </c>
      <c r="O119">
        <v>72393</v>
      </c>
      <c r="P119">
        <v>5248</v>
      </c>
    </row>
    <row r="120" spans="1:16" x14ac:dyDescent="0.25">
      <c r="A120">
        <v>2023</v>
      </c>
      <c r="B120" s="5">
        <v>11</v>
      </c>
      <c r="C120" s="5" t="s">
        <v>10</v>
      </c>
      <c r="D120" t="s">
        <v>37</v>
      </c>
      <c r="E120" s="11">
        <v>0.89</v>
      </c>
      <c r="F120" s="11">
        <v>0.62</v>
      </c>
      <c r="G120" s="11">
        <v>0.64</v>
      </c>
      <c r="H120" s="11">
        <v>0.75</v>
      </c>
      <c r="I120">
        <v>975</v>
      </c>
      <c r="J120">
        <v>268</v>
      </c>
      <c r="K120" s="11">
        <v>0.94</v>
      </c>
      <c r="L120">
        <v>7.2</v>
      </c>
      <c r="M120">
        <v>3.8</v>
      </c>
      <c r="N120" s="11">
        <f t="shared" si="1"/>
        <v>0.65454545454545454</v>
      </c>
      <c r="O120">
        <v>93343</v>
      </c>
      <c r="P120">
        <v>8379</v>
      </c>
    </row>
    <row r="121" spans="1:16" x14ac:dyDescent="0.25">
      <c r="A121">
        <v>2023</v>
      </c>
      <c r="B121" s="5">
        <v>12</v>
      </c>
      <c r="C121" s="5" t="s">
        <v>11</v>
      </c>
      <c r="D121" t="s">
        <v>37</v>
      </c>
      <c r="E121" s="11">
        <v>0.71</v>
      </c>
      <c r="F121" s="11">
        <v>0.75</v>
      </c>
      <c r="G121" s="11">
        <v>0.68</v>
      </c>
      <c r="H121" s="11">
        <v>1.02</v>
      </c>
      <c r="I121">
        <v>470</v>
      </c>
      <c r="J121">
        <v>136</v>
      </c>
      <c r="K121" s="11">
        <v>1.0900000000000001</v>
      </c>
      <c r="L121">
        <v>9.9</v>
      </c>
      <c r="M121">
        <v>3.5</v>
      </c>
      <c r="N121" s="11">
        <f t="shared" si="1"/>
        <v>0.73880597014925375</v>
      </c>
      <c r="O121">
        <v>62747</v>
      </c>
      <c r="P121">
        <v>6481</v>
      </c>
    </row>
    <row r="122" spans="1:16" x14ac:dyDescent="0.25">
      <c r="A122">
        <v>2024</v>
      </c>
      <c r="B122" s="5">
        <v>1</v>
      </c>
      <c r="C122" s="5" t="s">
        <v>0</v>
      </c>
      <c r="D122" t="s">
        <v>37</v>
      </c>
      <c r="E122" s="11">
        <v>1.0900000000000001</v>
      </c>
      <c r="F122" s="11">
        <v>0.82</v>
      </c>
      <c r="G122" s="11">
        <v>0.75</v>
      </c>
      <c r="H122" s="11">
        <v>0.47</v>
      </c>
      <c r="I122">
        <v>608</v>
      </c>
      <c r="J122">
        <v>419</v>
      </c>
      <c r="K122" s="11">
        <v>0.94</v>
      </c>
      <c r="L122">
        <v>5.7</v>
      </c>
      <c r="M122">
        <v>3.7</v>
      </c>
      <c r="N122" s="11">
        <f t="shared" si="1"/>
        <v>0.6063829787234043</v>
      </c>
      <c r="O122">
        <v>94978</v>
      </c>
      <c r="P122">
        <v>6895</v>
      </c>
    </row>
    <row r="123" spans="1:16" x14ac:dyDescent="0.25">
      <c r="A123">
        <v>2024</v>
      </c>
      <c r="B123" s="5">
        <v>2</v>
      </c>
      <c r="C123" s="5" t="s">
        <v>1</v>
      </c>
      <c r="D123" t="s">
        <v>37</v>
      </c>
      <c r="E123" s="11">
        <v>0.89</v>
      </c>
      <c r="F123" s="11">
        <v>0.85</v>
      </c>
      <c r="G123" s="11">
        <v>0.39</v>
      </c>
      <c r="H123" s="11">
        <v>0.84</v>
      </c>
      <c r="I123">
        <v>230</v>
      </c>
      <c r="J123">
        <v>141</v>
      </c>
      <c r="K123" s="11">
        <v>1.1200000000000001</v>
      </c>
      <c r="L123">
        <v>9</v>
      </c>
      <c r="M123">
        <v>3</v>
      </c>
      <c r="N123" s="11">
        <f t="shared" si="1"/>
        <v>0.75</v>
      </c>
      <c r="O123">
        <v>93111</v>
      </c>
      <c r="P123">
        <v>5519</v>
      </c>
    </row>
    <row r="124" spans="1:16" x14ac:dyDescent="0.25">
      <c r="A124">
        <v>2024</v>
      </c>
      <c r="B124" s="5">
        <v>3</v>
      </c>
      <c r="C124" s="5" t="s">
        <v>2</v>
      </c>
      <c r="D124" t="s">
        <v>37</v>
      </c>
      <c r="E124" s="11">
        <v>0.8</v>
      </c>
      <c r="F124" s="11">
        <v>0.68</v>
      </c>
      <c r="G124" s="11">
        <v>0.44</v>
      </c>
      <c r="H124" s="11">
        <v>0.94</v>
      </c>
      <c r="I124">
        <v>942</v>
      </c>
      <c r="J124">
        <v>89</v>
      </c>
      <c r="K124" s="11">
        <v>0.83</v>
      </c>
      <c r="L124">
        <v>6.5</v>
      </c>
      <c r="M124">
        <v>3.6</v>
      </c>
      <c r="N124" s="11">
        <f t="shared" si="1"/>
        <v>0.64356435643564358</v>
      </c>
      <c r="O124">
        <v>64735</v>
      </c>
      <c r="P124">
        <v>7586</v>
      </c>
    </row>
    <row r="125" spans="1:16" x14ac:dyDescent="0.25">
      <c r="A125">
        <v>2024</v>
      </c>
      <c r="B125" s="5">
        <v>4</v>
      </c>
      <c r="C125" s="5" t="s">
        <v>3</v>
      </c>
      <c r="D125" t="s">
        <v>37</v>
      </c>
      <c r="E125" s="11">
        <v>0.8</v>
      </c>
      <c r="F125" s="11">
        <v>0.56000000000000005</v>
      </c>
      <c r="G125" s="11">
        <v>0.73</v>
      </c>
      <c r="H125" s="11">
        <v>0.8</v>
      </c>
      <c r="I125">
        <v>452</v>
      </c>
      <c r="J125">
        <v>147</v>
      </c>
      <c r="K125" s="11">
        <v>0.65</v>
      </c>
      <c r="L125">
        <v>5.5</v>
      </c>
      <c r="M125">
        <v>2.8</v>
      </c>
      <c r="N125" s="11">
        <f t="shared" si="1"/>
        <v>0.66265060240963847</v>
      </c>
      <c r="O125">
        <v>67457</v>
      </c>
      <c r="P125">
        <v>6283</v>
      </c>
    </row>
    <row r="126" spans="1:16" x14ac:dyDescent="0.25">
      <c r="A126">
        <v>2024</v>
      </c>
      <c r="B126" s="5">
        <v>5</v>
      </c>
      <c r="C126" s="5" t="s">
        <v>4</v>
      </c>
      <c r="D126" t="s">
        <v>37</v>
      </c>
      <c r="E126" s="11">
        <v>1.04</v>
      </c>
      <c r="F126" s="11">
        <v>0.57999999999999996</v>
      </c>
      <c r="G126" s="11">
        <v>0.73</v>
      </c>
      <c r="H126" s="11">
        <v>0.74</v>
      </c>
      <c r="I126">
        <v>809</v>
      </c>
      <c r="J126">
        <v>470</v>
      </c>
      <c r="K126" s="11">
        <v>0.81</v>
      </c>
      <c r="L126">
        <v>5</v>
      </c>
      <c r="M126">
        <v>4.5999999999999996</v>
      </c>
      <c r="N126" s="11">
        <f t="shared" si="1"/>
        <v>0.52083333333333337</v>
      </c>
      <c r="O126">
        <v>56366</v>
      </c>
      <c r="P126">
        <v>6219</v>
      </c>
    </row>
    <row r="127" spans="1:16" x14ac:dyDescent="0.25">
      <c r="A127">
        <v>2024</v>
      </c>
      <c r="B127" s="5">
        <v>6</v>
      </c>
      <c r="C127" s="5" t="s">
        <v>5</v>
      </c>
      <c r="D127" t="s">
        <v>37</v>
      </c>
      <c r="E127" s="11">
        <v>0.95</v>
      </c>
      <c r="F127" s="11">
        <v>0.67</v>
      </c>
      <c r="G127" s="11">
        <v>0.72</v>
      </c>
      <c r="H127" s="11">
        <v>0.41</v>
      </c>
      <c r="I127">
        <v>780</v>
      </c>
      <c r="J127">
        <v>497</v>
      </c>
      <c r="K127" s="11">
        <v>0.93</v>
      </c>
      <c r="L127">
        <v>6.6</v>
      </c>
      <c r="M127">
        <v>3.2</v>
      </c>
      <c r="N127" s="11">
        <f t="shared" si="1"/>
        <v>0.6734693877551019</v>
      </c>
      <c r="O127">
        <v>69467</v>
      </c>
      <c r="P127">
        <v>5576</v>
      </c>
    </row>
    <row r="128" spans="1:16" x14ac:dyDescent="0.25">
      <c r="A128">
        <v>2024</v>
      </c>
      <c r="B128" s="5">
        <v>7</v>
      </c>
      <c r="C128" s="5" t="s">
        <v>6</v>
      </c>
      <c r="D128" t="s">
        <v>37</v>
      </c>
      <c r="E128" s="11">
        <v>0.81</v>
      </c>
      <c r="F128" s="11">
        <v>0.76</v>
      </c>
      <c r="G128" s="11">
        <v>0.48</v>
      </c>
      <c r="H128" s="11">
        <v>1.05</v>
      </c>
      <c r="I128">
        <v>251</v>
      </c>
      <c r="J128">
        <v>235</v>
      </c>
      <c r="K128" s="11">
        <v>0.69</v>
      </c>
      <c r="L128">
        <v>5.5</v>
      </c>
      <c r="M128">
        <v>2.8</v>
      </c>
      <c r="N128" s="11">
        <f t="shared" si="1"/>
        <v>0.66265060240963847</v>
      </c>
      <c r="O128">
        <v>91399</v>
      </c>
      <c r="P128">
        <v>5987</v>
      </c>
    </row>
    <row r="129" spans="1:16" x14ac:dyDescent="0.25">
      <c r="A129">
        <v>2024</v>
      </c>
      <c r="B129" s="5">
        <v>8</v>
      </c>
      <c r="C129" s="5" t="s">
        <v>7</v>
      </c>
      <c r="D129" t="s">
        <v>37</v>
      </c>
      <c r="E129" s="11">
        <v>0.74</v>
      </c>
      <c r="F129" s="11">
        <v>0.42</v>
      </c>
      <c r="G129" s="11">
        <v>0.39</v>
      </c>
      <c r="H129" s="11">
        <v>0.83</v>
      </c>
      <c r="I129">
        <v>507</v>
      </c>
      <c r="J129">
        <v>528</v>
      </c>
      <c r="K129" s="11">
        <v>1.08</v>
      </c>
      <c r="L129">
        <v>6.6</v>
      </c>
      <c r="M129">
        <v>4.2</v>
      </c>
      <c r="N129" s="11">
        <f t="shared" si="1"/>
        <v>0.61111111111111105</v>
      </c>
      <c r="O129">
        <v>72911</v>
      </c>
      <c r="P129">
        <v>8715</v>
      </c>
    </row>
    <row r="130" spans="1:16" x14ac:dyDescent="0.25">
      <c r="A130">
        <v>2024</v>
      </c>
      <c r="B130" s="5">
        <v>9</v>
      </c>
      <c r="C130" s="5" t="s">
        <v>8</v>
      </c>
      <c r="D130" t="s">
        <v>37</v>
      </c>
      <c r="E130" s="11">
        <v>0.88</v>
      </c>
      <c r="F130" s="11">
        <v>0.84</v>
      </c>
      <c r="G130" s="11">
        <v>0.45</v>
      </c>
      <c r="H130" s="11">
        <v>0.35</v>
      </c>
      <c r="I130">
        <v>163</v>
      </c>
      <c r="J130">
        <v>600</v>
      </c>
      <c r="K130" s="11">
        <v>0.98</v>
      </c>
      <c r="L130">
        <v>10</v>
      </c>
      <c r="M130">
        <v>2.8</v>
      </c>
      <c r="N130" s="11">
        <f t="shared" si="1"/>
        <v>0.78125</v>
      </c>
      <c r="O130">
        <v>96302</v>
      </c>
      <c r="P130">
        <v>8519</v>
      </c>
    </row>
    <row r="131" spans="1:16" x14ac:dyDescent="0.25">
      <c r="A131">
        <v>2024</v>
      </c>
      <c r="B131" s="5">
        <v>10</v>
      </c>
      <c r="C131" s="5" t="s">
        <v>9</v>
      </c>
      <c r="D131" t="s">
        <v>37</v>
      </c>
      <c r="E131" s="11">
        <v>0.8</v>
      </c>
      <c r="F131" s="11">
        <v>0.61</v>
      </c>
      <c r="G131" s="11">
        <v>0.7</v>
      </c>
      <c r="H131" s="11">
        <v>1.07</v>
      </c>
      <c r="I131">
        <v>306</v>
      </c>
      <c r="J131">
        <v>179</v>
      </c>
      <c r="K131" s="11">
        <v>0.97</v>
      </c>
      <c r="L131">
        <v>8</v>
      </c>
      <c r="M131">
        <v>3.7</v>
      </c>
      <c r="N131" s="11">
        <f t="shared" si="1"/>
        <v>0.68376068376068377</v>
      </c>
      <c r="O131">
        <v>71637</v>
      </c>
      <c r="P131">
        <v>9401</v>
      </c>
    </row>
    <row r="132" spans="1:16" x14ac:dyDescent="0.25">
      <c r="A132">
        <v>2024</v>
      </c>
      <c r="B132" s="5">
        <v>11</v>
      </c>
      <c r="C132" s="5" t="s">
        <v>10</v>
      </c>
      <c r="D132" t="s">
        <v>37</v>
      </c>
      <c r="E132" s="11">
        <v>0.89</v>
      </c>
      <c r="F132" s="11">
        <v>0.68</v>
      </c>
      <c r="G132" s="11">
        <v>0.56999999999999995</v>
      </c>
      <c r="H132" s="11">
        <v>0.41</v>
      </c>
      <c r="I132">
        <v>239</v>
      </c>
      <c r="J132">
        <v>212</v>
      </c>
      <c r="K132" s="11">
        <v>1.06</v>
      </c>
      <c r="L132">
        <v>7.5</v>
      </c>
      <c r="M132">
        <v>3.5</v>
      </c>
      <c r="N132" s="11">
        <f t="shared" ref="N132:N193" si="2">L132/(L132+M132)</f>
        <v>0.68181818181818177</v>
      </c>
      <c r="O132">
        <v>90995</v>
      </c>
      <c r="P132">
        <v>7454</v>
      </c>
    </row>
    <row r="133" spans="1:16" x14ac:dyDescent="0.25">
      <c r="A133">
        <v>2024</v>
      </c>
      <c r="B133" s="5">
        <v>12</v>
      </c>
      <c r="C133" s="5" t="s">
        <v>11</v>
      </c>
      <c r="D133" t="s">
        <v>37</v>
      </c>
      <c r="E133" s="11">
        <v>0.87</v>
      </c>
      <c r="F133" s="11">
        <v>0.9</v>
      </c>
      <c r="G133" s="11">
        <v>0.68</v>
      </c>
      <c r="H133" s="11">
        <v>0.93</v>
      </c>
      <c r="I133">
        <v>521</v>
      </c>
      <c r="J133">
        <v>422</v>
      </c>
      <c r="K133" s="11">
        <v>0.85</v>
      </c>
      <c r="L133">
        <v>5.0999999999999996</v>
      </c>
      <c r="M133">
        <v>2.5</v>
      </c>
      <c r="N133" s="11">
        <f t="shared" si="2"/>
        <v>0.67105263157894735</v>
      </c>
      <c r="O133">
        <v>66756</v>
      </c>
      <c r="P133">
        <v>8599</v>
      </c>
    </row>
    <row r="134" spans="1:16" x14ac:dyDescent="0.25">
      <c r="A134">
        <v>2025</v>
      </c>
      <c r="B134" s="5">
        <v>1</v>
      </c>
      <c r="C134" s="5" t="s">
        <v>0</v>
      </c>
      <c r="D134" t="s">
        <v>37</v>
      </c>
      <c r="E134" s="11">
        <v>0.95</v>
      </c>
      <c r="F134" s="11">
        <v>0.7</v>
      </c>
      <c r="G134" s="11">
        <v>0.59</v>
      </c>
      <c r="H134" s="11">
        <v>0.61</v>
      </c>
      <c r="I134">
        <v>913</v>
      </c>
      <c r="J134">
        <v>240</v>
      </c>
      <c r="K134" s="11">
        <v>0.76</v>
      </c>
      <c r="L134">
        <v>9.6</v>
      </c>
      <c r="M134">
        <v>2.6</v>
      </c>
      <c r="N134" s="11">
        <f t="shared" si="2"/>
        <v>0.78688524590163933</v>
      </c>
      <c r="O134">
        <v>76579</v>
      </c>
      <c r="P134">
        <v>8611</v>
      </c>
    </row>
    <row r="135" spans="1:16" x14ac:dyDescent="0.25">
      <c r="A135">
        <v>2025</v>
      </c>
      <c r="B135" s="5">
        <v>2</v>
      </c>
      <c r="C135" s="5" t="s">
        <v>1</v>
      </c>
      <c r="D135" t="s">
        <v>37</v>
      </c>
      <c r="E135" s="11">
        <v>0.77</v>
      </c>
      <c r="F135" s="11">
        <v>0.91</v>
      </c>
      <c r="G135" s="11">
        <v>0.53</v>
      </c>
      <c r="H135" s="11">
        <v>0.45</v>
      </c>
      <c r="I135">
        <v>138</v>
      </c>
      <c r="J135">
        <v>184</v>
      </c>
      <c r="K135" s="11">
        <v>0.8</v>
      </c>
      <c r="L135">
        <v>7.3</v>
      </c>
      <c r="M135">
        <v>3.9</v>
      </c>
      <c r="N135" s="11">
        <f t="shared" si="2"/>
        <v>0.6517857142857143</v>
      </c>
      <c r="O135">
        <v>89720</v>
      </c>
      <c r="P135">
        <v>8825</v>
      </c>
    </row>
    <row r="136" spans="1:16" x14ac:dyDescent="0.25">
      <c r="A136">
        <v>2025</v>
      </c>
      <c r="B136" s="5">
        <v>3</v>
      </c>
      <c r="C136" s="5" t="s">
        <v>2</v>
      </c>
      <c r="D136" t="s">
        <v>37</v>
      </c>
      <c r="E136" s="11">
        <v>0.76</v>
      </c>
      <c r="F136" s="11">
        <v>0.41</v>
      </c>
      <c r="G136" s="11">
        <v>0.57999999999999996</v>
      </c>
      <c r="H136" s="11">
        <v>1.03</v>
      </c>
      <c r="I136">
        <v>483</v>
      </c>
      <c r="J136">
        <v>445</v>
      </c>
      <c r="K136" s="11">
        <v>1.1599999999999999</v>
      </c>
      <c r="L136">
        <v>8</v>
      </c>
      <c r="M136">
        <v>3.1</v>
      </c>
      <c r="N136" s="11">
        <f t="shared" si="2"/>
        <v>0.7207207207207208</v>
      </c>
      <c r="O136">
        <v>92717</v>
      </c>
      <c r="P136">
        <v>6648</v>
      </c>
    </row>
    <row r="137" spans="1:16" x14ac:dyDescent="0.25">
      <c r="A137">
        <v>2025</v>
      </c>
      <c r="B137" s="5">
        <v>4</v>
      </c>
      <c r="C137" s="5" t="s">
        <v>3</v>
      </c>
      <c r="D137" t="s">
        <v>37</v>
      </c>
      <c r="E137" s="11">
        <v>0.89</v>
      </c>
      <c r="F137" s="11">
        <v>0.53</v>
      </c>
      <c r="G137" s="11">
        <v>0.61</v>
      </c>
      <c r="H137" s="11">
        <v>0.64</v>
      </c>
      <c r="I137">
        <v>946</v>
      </c>
      <c r="J137">
        <v>135</v>
      </c>
      <c r="K137" s="11">
        <v>0.78</v>
      </c>
      <c r="L137">
        <v>6.3</v>
      </c>
      <c r="M137">
        <v>3.6</v>
      </c>
      <c r="N137" s="11">
        <f t="shared" si="2"/>
        <v>0.63636363636363635</v>
      </c>
      <c r="O137">
        <v>69501</v>
      </c>
      <c r="P137">
        <v>7727</v>
      </c>
    </row>
    <row r="138" spans="1:16" x14ac:dyDescent="0.25">
      <c r="A138">
        <v>2025</v>
      </c>
      <c r="B138" s="5">
        <v>5</v>
      </c>
      <c r="C138" s="5" t="s">
        <v>4</v>
      </c>
      <c r="D138" t="s">
        <v>37</v>
      </c>
      <c r="E138" s="11">
        <v>0.73</v>
      </c>
      <c r="F138" s="11">
        <v>0.65</v>
      </c>
      <c r="G138" s="11">
        <v>0.55000000000000004</v>
      </c>
      <c r="H138" s="11">
        <v>0.76</v>
      </c>
      <c r="I138">
        <v>901</v>
      </c>
      <c r="J138">
        <v>385</v>
      </c>
      <c r="K138" s="11">
        <v>1.06</v>
      </c>
      <c r="L138">
        <v>8.1</v>
      </c>
      <c r="M138">
        <v>2.6</v>
      </c>
      <c r="N138" s="11">
        <f t="shared" si="2"/>
        <v>0.7570093457943925</v>
      </c>
      <c r="O138">
        <v>70977</v>
      </c>
      <c r="P138">
        <v>5671</v>
      </c>
    </row>
    <row r="139" spans="1:16" x14ac:dyDescent="0.25">
      <c r="A139">
        <v>2025</v>
      </c>
      <c r="B139" s="5">
        <v>6</v>
      </c>
      <c r="C139" s="5" t="s">
        <v>5</v>
      </c>
      <c r="D139" t="s">
        <v>37</v>
      </c>
      <c r="E139" s="11">
        <v>1.03</v>
      </c>
      <c r="F139" s="11">
        <v>0.67</v>
      </c>
      <c r="G139" s="11">
        <v>0.65</v>
      </c>
      <c r="H139" s="11">
        <v>0.68</v>
      </c>
      <c r="I139">
        <v>339</v>
      </c>
      <c r="J139">
        <v>310</v>
      </c>
      <c r="K139" s="11">
        <v>0.73</v>
      </c>
      <c r="L139">
        <v>7.4</v>
      </c>
      <c r="M139">
        <v>4.2</v>
      </c>
      <c r="N139" s="11">
        <f t="shared" si="2"/>
        <v>0.63793103448275856</v>
      </c>
      <c r="O139">
        <v>78719</v>
      </c>
      <c r="P139">
        <v>6750</v>
      </c>
    </row>
    <row r="140" spans="1:16" x14ac:dyDescent="0.25">
      <c r="A140">
        <v>2025</v>
      </c>
      <c r="B140" s="5">
        <v>7</v>
      </c>
      <c r="C140" s="5" t="s">
        <v>6</v>
      </c>
      <c r="D140" t="s">
        <v>37</v>
      </c>
      <c r="E140" s="11">
        <v>0.98</v>
      </c>
      <c r="F140" s="11">
        <v>0.6</v>
      </c>
      <c r="G140" s="11">
        <v>0.78</v>
      </c>
      <c r="H140" s="11">
        <v>0.6</v>
      </c>
      <c r="I140">
        <v>729</v>
      </c>
      <c r="J140">
        <v>28</v>
      </c>
      <c r="K140" s="11">
        <v>1.02</v>
      </c>
      <c r="L140">
        <v>5.4</v>
      </c>
      <c r="M140">
        <v>3.8</v>
      </c>
      <c r="N140" s="11">
        <f t="shared" si="2"/>
        <v>0.58695652173913049</v>
      </c>
      <c r="O140">
        <v>61851</v>
      </c>
      <c r="P140">
        <v>7489</v>
      </c>
    </row>
    <row r="141" spans="1:16" x14ac:dyDescent="0.25">
      <c r="A141">
        <v>2025</v>
      </c>
      <c r="B141" s="5">
        <v>8</v>
      </c>
      <c r="C141" s="5" t="s">
        <v>7</v>
      </c>
      <c r="D141" t="s">
        <v>37</v>
      </c>
      <c r="E141" s="11">
        <v>1.02</v>
      </c>
      <c r="F141" s="11">
        <v>0.38</v>
      </c>
      <c r="G141" s="11">
        <v>0.4</v>
      </c>
      <c r="H141" s="11">
        <v>0.53</v>
      </c>
      <c r="I141">
        <v>745</v>
      </c>
      <c r="J141">
        <v>314</v>
      </c>
      <c r="K141" s="11">
        <v>0.9</v>
      </c>
      <c r="L141">
        <v>8.4</v>
      </c>
      <c r="M141">
        <v>3.6</v>
      </c>
      <c r="N141" s="11">
        <f t="shared" si="2"/>
        <v>0.70000000000000007</v>
      </c>
      <c r="O141">
        <v>96040</v>
      </c>
      <c r="P141">
        <v>5816</v>
      </c>
    </row>
    <row r="142" spans="1:16" x14ac:dyDescent="0.25">
      <c r="A142">
        <v>2025</v>
      </c>
      <c r="B142" s="5">
        <v>9</v>
      </c>
      <c r="C142" s="5" t="s">
        <v>8</v>
      </c>
      <c r="D142" t="s">
        <v>37</v>
      </c>
      <c r="E142" s="11">
        <v>1.02</v>
      </c>
      <c r="F142" s="11">
        <v>0.54</v>
      </c>
      <c r="G142" s="11">
        <v>0.56999999999999995</v>
      </c>
      <c r="H142" s="11">
        <v>0.8</v>
      </c>
      <c r="I142">
        <v>956</v>
      </c>
      <c r="J142">
        <v>196</v>
      </c>
      <c r="K142" s="11">
        <v>0.96</v>
      </c>
      <c r="L142">
        <v>6.1</v>
      </c>
      <c r="M142">
        <v>3.3</v>
      </c>
      <c r="N142" s="11">
        <f t="shared" si="2"/>
        <v>0.64893617021276606</v>
      </c>
      <c r="O142">
        <v>72259</v>
      </c>
      <c r="P142">
        <v>5871</v>
      </c>
    </row>
    <row r="143" spans="1:16" x14ac:dyDescent="0.25">
      <c r="A143">
        <v>2025</v>
      </c>
      <c r="B143" s="5">
        <v>10</v>
      </c>
      <c r="C143" s="5" t="s">
        <v>9</v>
      </c>
      <c r="D143" t="s">
        <v>37</v>
      </c>
      <c r="E143" s="11">
        <v>0.72</v>
      </c>
      <c r="F143" s="11">
        <v>0.48</v>
      </c>
      <c r="G143" s="11">
        <v>0.75</v>
      </c>
      <c r="H143" s="11">
        <v>0.35</v>
      </c>
      <c r="I143">
        <v>778</v>
      </c>
      <c r="J143">
        <v>64</v>
      </c>
      <c r="K143" s="11">
        <v>0.97</v>
      </c>
      <c r="L143">
        <v>5.2</v>
      </c>
      <c r="M143">
        <v>3.3</v>
      </c>
      <c r="N143" s="11">
        <f t="shared" si="2"/>
        <v>0.61176470588235299</v>
      </c>
      <c r="O143">
        <v>94220</v>
      </c>
      <c r="P143">
        <v>8517</v>
      </c>
    </row>
    <row r="144" spans="1:16" x14ac:dyDescent="0.25">
      <c r="A144">
        <v>2025</v>
      </c>
      <c r="B144" s="5">
        <v>11</v>
      </c>
      <c r="C144" s="5" t="s">
        <v>10</v>
      </c>
      <c r="D144" t="s">
        <v>37</v>
      </c>
      <c r="E144" s="11">
        <v>0.84</v>
      </c>
      <c r="F144" s="11">
        <v>0.86</v>
      </c>
      <c r="G144" s="11">
        <v>0.46</v>
      </c>
      <c r="H144" s="11">
        <v>0.39</v>
      </c>
      <c r="I144">
        <v>671</v>
      </c>
      <c r="J144">
        <v>447</v>
      </c>
      <c r="K144" s="11">
        <v>0.91</v>
      </c>
      <c r="L144">
        <v>8.8000000000000007</v>
      </c>
      <c r="M144">
        <v>4.5999999999999996</v>
      </c>
      <c r="N144" s="11">
        <f t="shared" si="2"/>
        <v>0.65671641791044777</v>
      </c>
      <c r="O144">
        <v>91930</v>
      </c>
      <c r="P144">
        <v>7980</v>
      </c>
    </row>
    <row r="145" spans="1:16" x14ac:dyDescent="0.25">
      <c r="A145">
        <v>2025</v>
      </c>
      <c r="B145" s="5">
        <v>12</v>
      </c>
      <c r="C145" s="5" t="s">
        <v>11</v>
      </c>
      <c r="D145" t="s">
        <v>37</v>
      </c>
      <c r="E145" s="11">
        <v>0.88</v>
      </c>
      <c r="F145" s="11">
        <v>0.75</v>
      </c>
      <c r="G145" s="11">
        <v>0.4</v>
      </c>
      <c r="H145" s="11">
        <v>0.96</v>
      </c>
      <c r="I145">
        <v>783</v>
      </c>
      <c r="J145">
        <v>257</v>
      </c>
      <c r="K145" s="11">
        <v>1.07</v>
      </c>
      <c r="L145">
        <v>9.5</v>
      </c>
      <c r="M145">
        <v>4.7</v>
      </c>
      <c r="N145" s="11">
        <f t="shared" si="2"/>
        <v>0.66901408450704225</v>
      </c>
      <c r="O145">
        <v>72369</v>
      </c>
      <c r="P145">
        <v>5781</v>
      </c>
    </row>
    <row r="146" spans="1:16" x14ac:dyDescent="0.25">
      <c r="A146">
        <v>2022</v>
      </c>
      <c r="B146" s="5">
        <v>1</v>
      </c>
      <c r="C146" s="5" t="s">
        <v>0</v>
      </c>
      <c r="D146" t="s">
        <v>38</v>
      </c>
      <c r="E146" s="11">
        <v>1.01</v>
      </c>
      <c r="F146" s="11">
        <v>0.44</v>
      </c>
      <c r="G146" s="11">
        <v>0.46</v>
      </c>
      <c r="H146" s="11">
        <v>0.64</v>
      </c>
      <c r="I146">
        <v>562</v>
      </c>
      <c r="J146">
        <v>441</v>
      </c>
      <c r="K146" s="11">
        <v>0.9</v>
      </c>
      <c r="L146">
        <v>9.9</v>
      </c>
      <c r="M146">
        <v>4.5</v>
      </c>
      <c r="N146" s="11">
        <f t="shared" si="2"/>
        <v>0.6875</v>
      </c>
      <c r="O146">
        <v>59387</v>
      </c>
      <c r="P146">
        <v>9799</v>
      </c>
    </row>
    <row r="147" spans="1:16" x14ac:dyDescent="0.25">
      <c r="A147">
        <v>2022</v>
      </c>
      <c r="B147" s="5">
        <v>2</v>
      </c>
      <c r="C147" s="5" t="s">
        <v>1</v>
      </c>
      <c r="D147" t="s">
        <v>38</v>
      </c>
      <c r="E147" s="11">
        <v>0.72</v>
      </c>
      <c r="F147" s="11">
        <v>0.53</v>
      </c>
      <c r="G147" s="11">
        <v>0.65</v>
      </c>
      <c r="H147" s="11">
        <v>0.44</v>
      </c>
      <c r="I147">
        <v>494</v>
      </c>
      <c r="J147">
        <v>222</v>
      </c>
      <c r="K147" s="11">
        <v>0.93</v>
      </c>
      <c r="L147">
        <v>7.6</v>
      </c>
      <c r="M147">
        <v>4.2</v>
      </c>
      <c r="N147" s="11">
        <f t="shared" si="2"/>
        <v>0.64406779661016944</v>
      </c>
      <c r="O147">
        <v>50410</v>
      </c>
      <c r="P147">
        <v>9376</v>
      </c>
    </row>
    <row r="148" spans="1:16" x14ac:dyDescent="0.25">
      <c r="A148">
        <v>2022</v>
      </c>
      <c r="B148" s="5">
        <v>3</v>
      </c>
      <c r="C148" s="5" t="s">
        <v>2</v>
      </c>
      <c r="D148" t="s">
        <v>38</v>
      </c>
      <c r="E148" s="11">
        <v>0.74</v>
      </c>
      <c r="F148" s="11">
        <v>0.51</v>
      </c>
      <c r="G148" s="11">
        <v>0.43</v>
      </c>
      <c r="H148" s="11">
        <v>0.69</v>
      </c>
      <c r="I148">
        <v>416</v>
      </c>
      <c r="J148">
        <v>172</v>
      </c>
      <c r="K148" s="11">
        <v>0.9</v>
      </c>
      <c r="L148">
        <v>7.9</v>
      </c>
      <c r="M148">
        <v>4.7</v>
      </c>
      <c r="N148" s="11">
        <f t="shared" si="2"/>
        <v>0.62698412698412698</v>
      </c>
      <c r="O148">
        <v>50032</v>
      </c>
      <c r="P148">
        <v>9312</v>
      </c>
    </row>
    <row r="149" spans="1:16" x14ac:dyDescent="0.25">
      <c r="A149">
        <v>2022</v>
      </c>
      <c r="B149" s="5">
        <v>4</v>
      </c>
      <c r="C149" s="5" t="s">
        <v>3</v>
      </c>
      <c r="D149" t="s">
        <v>38</v>
      </c>
      <c r="E149" s="11">
        <v>0.84</v>
      </c>
      <c r="F149" s="11">
        <v>0.53</v>
      </c>
      <c r="G149" s="11">
        <v>0.62</v>
      </c>
      <c r="H149" s="11">
        <v>0.67</v>
      </c>
      <c r="I149">
        <v>141</v>
      </c>
      <c r="J149">
        <v>169</v>
      </c>
      <c r="K149" s="11">
        <v>1.02</v>
      </c>
      <c r="L149">
        <v>9.4</v>
      </c>
      <c r="M149">
        <v>4.7</v>
      </c>
      <c r="N149" s="11">
        <f t="shared" si="2"/>
        <v>0.66666666666666663</v>
      </c>
      <c r="O149">
        <v>68943</v>
      </c>
      <c r="P149">
        <v>6055</v>
      </c>
    </row>
    <row r="150" spans="1:16" x14ac:dyDescent="0.25">
      <c r="A150">
        <v>2022</v>
      </c>
      <c r="B150" s="5">
        <v>5</v>
      </c>
      <c r="C150" s="5" t="s">
        <v>4</v>
      </c>
      <c r="D150" t="s">
        <v>38</v>
      </c>
      <c r="E150" s="11">
        <v>0.7</v>
      </c>
      <c r="F150" s="11">
        <v>0.51</v>
      </c>
      <c r="G150" s="11">
        <v>0.62</v>
      </c>
      <c r="H150" s="11">
        <v>0.99</v>
      </c>
      <c r="I150">
        <v>382</v>
      </c>
      <c r="J150">
        <v>316</v>
      </c>
      <c r="K150" s="11">
        <v>0.79</v>
      </c>
      <c r="L150">
        <v>5.9</v>
      </c>
      <c r="M150">
        <v>3.6</v>
      </c>
      <c r="N150" s="11">
        <f t="shared" si="2"/>
        <v>0.62105263157894741</v>
      </c>
      <c r="O150">
        <v>58446</v>
      </c>
      <c r="P150">
        <v>6439</v>
      </c>
    </row>
    <row r="151" spans="1:16" x14ac:dyDescent="0.25">
      <c r="A151">
        <v>2022</v>
      </c>
      <c r="B151" s="5">
        <v>6</v>
      </c>
      <c r="C151" s="5" t="s">
        <v>5</v>
      </c>
      <c r="D151" t="s">
        <v>38</v>
      </c>
      <c r="E151" s="11">
        <v>1.1000000000000001</v>
      </c>
      <c r="F151" s="11">
        <v>0.4</v>
      </c>
      <c r="G151" s="11">
        <v>0.54</v>
      </c>
      <c r="H151" s="11">
        <v>0.86</v>
      </c>
      <c r="I151">
        <v>498</v>
      </c>
      <c r="J151">
        <v>194</v>
      </c>
      <c r="K151" s="11">
        <v>0.77</v>
      </c>
      <c r="L151">
        <v>7.6</v>
      </c>
      <c r="M151">
        <v>2.6</v>
      </c>
      <c r="N151" s="11">
        <f t="shared" si="2"/>
        <v>0.74509803921568629</v>
      </c>
      <c r="O151">
        <v>68305</v>
      </c>
      <c r="P151">
        <v>7654</v>
      </c>
    </row>
    <row r="152" spans="1:16" x14ac:dyDescent="0.25">
      <c r="A152">
        <v>2022</v>
      </c>
      <c r="B152" s="5">
        <v>7</v>
      </c>
      <c r="C152" s="5" t="s">
        <v>6</v>
      </c>
      <c r="D152" t="s">
        <v>38</v>
      </c>
      <c r="E152" s="11">
        <v>0.86</v>
      </c>
      <c r="F152" s="11">
        <v>0.52</v>
      </c>
      <c r="G152" s="11">
        <v>0.62</v>
      </c>
      <c r="H152" s="11">
        <v>0.46</v>
      </c>
      <c r="I152">
        <v>139</v>
      </c>
      <c r="J152">
        <v>200</v>
      </c>
      <c r="K152" s="11">
        <v>0.84</v>
      </c>
      <c r="L152">
        <v>9.6999999999999993</v>
      </c>
      <c r="M152">
        <v>3</v>
      </c>
      <c r="N152" s="11">
        <f t="shared" si="2"/>
        <v>0.76377952755905509</v>
      </c>
      <c r="O152">
        <v>62404</v>
      </c>
      <c r="P152">
        <v>9424</v>
      </c>
    </row>
    <row r="153" spans="1:16" x14ac:dyDescent="0.25">
      <c r="A153">
        <v>2022</v>
      </c>
      <c r="B153" s="5">
        <v>8</v>
      </c>
      <c r="C153" s="5" t="s">
        <v>7</v>
      </c>
      <c r="D153" t="s">
        <v>38</v>
      </c>
      <c r="E153" s="11">
        <v>0.96</v>
      </c>
      <c r="F153" s="11">
        <v>0.42</v>
      </c>
      <c r="G153" s="11">
        <v>0.51</v>
      </c>
      <c r="H153" s="11">
        <v>1.05</v>
      </c>
      <c r="I153">
        <v>565</v>
      </c>
      <c r="J153">
        <v>234</v>
      </c>
      <c r="K153" s="11">
        <v>0.75</v>
      </c>
      <c r="L153">
        <v>9.1999999999999993</v>
      </c>
      <c r="M153">
        <v>5</v>
      </c>
      <c r="N153" s="11">
        <f t="shared" si="2"/>
        <v>0.647887323943662</v>
      </c>
      <c r="O153">
        <v>74027</v>
      </c>
      <c r="P153">
        <v>8853</v>
      </c>
    </row>
    <row r="154" spans="1:16" x14ac:dyDescent="0.25">
      <c r="A154">
        <v>2022</v>
      </c>
      <c r="B154" s="5">
        <v>9</v>
      </c>
      <c r="C154" s="5" t="s">
        <v>8</v>
      </c>
      <c r="D154" t="s">
        <v>38</v>
      </c>
      <c r="E154" s="11">
        <v>1.08</v>
      </c>
      <c r="F154" s="11">
        <v>0.82</v>
      </c>
      <c r="G154" s="11">
        <v>0.48</v>
      </c>
      <c r="H154" s="11">
        <v>0.5</v>
      </c>
      <c r="I154">
        <v>252</v>
      </c>
      <c r="J154">
        <v>406</v>
      </c>
      <c r="K154" s="11">
        <v>0.87</v>
      </c>
      <c r="L154">
        <v>9.5</v>
      </c>
      <c r="M154">
        <v>3.6</v>
      </c>
      <c r="N154" s="11">
        <f t="shared" si="2"/>
        <v>0.72519083969465647</v>
      </c>
      <c r="O154">
        <v>57234</v>
      </c>
      <c r="P154">
        <v>7437</v>
      </c>
    </row>
    <row r="155" spans="1:16" x14ac:dyDescent="0.25">
      <c r="A155">
        <v>2022</v>
      </c>
      <c r="B155" s="5">
        <v>10</v>
      </c>
      <c r="C155" s="5" t="s">
        <v>9</v>
      </c>
      <c r="D155" t="s">
        <v>38</v>
      </c>
      <c r="E155" s="11">
        <v>0.96</v>
      </c>
      <c r="F155" s="11">
        <v>0.85</v>
      </c>
      <c r="G155" s="11">
        <v>0.6</v>
      </c>
      <c r="H155" s="11">
        <v>0.59</v>
      </c>
      <c r="I155">
        <v>251</v>
      </c>
      <c r="J155">
        <v>294</v>
      </c>
      <c r="K155" s="11">
        <v>1.05</v>
      </c>
      <c r="L155">
        <v>6</v>
      </c>
      <c r="M155">
        <v>4.4000000000000004</v>
      </c>
      <c r="N155" s="11">
        <f t="shared" si="2"/>
        <v>0.57692307692307687</v>
      </c>
      <c r="O155">
        <v>56162</v>
      </c>
      <c r="P155">
        <v>8639</v>
      </c>
    </row>
    <row r="156" spans="1:16" x14ac:dyDescent="0.25">
      <c r="A156">
        <v>2022</v>
      </c>
      <c r="B156" s="5">
        <v>11</v>
      </c>
      <c r="C156" s="5" t="s">
        <v>10</v>
      </c>
      <c r="D156" t="s">
        <v>38</v>
      </c>
      <c r="E156" s="11">
        <v>1</v>
      </c>
      <c r="F156" s="11">
        <v>0.48</v>
      </c>
      <c r="G156" s="11">
        <v>0.54</v>
      </c>
      <c r="H156" s="11">
        <v>0.83</v>
      </c>
      <c r="I156">
        <v>884</v>
      </c>
      <c r="J156">
        <v>400</v>
      </c>
      <c r="K156" s="11">
        <v>0.99</v>
      </c>
      <c r="L156">
        <v>5.0999999999999996</v>
      </c>
      <c r="M156">
        <v>2.9</v>
      </c>
      <c r="N156" s="11">
        <f t="shared" si="2"/>
        <v>0.63749999999999996</v>
      </c>
      <c r="O156">
        <v>79776</v>
      </c>
      <c r="P156">
        <v>5801</v>
      </c>
    </row>
    <row r="157" spans="1:16" x14ac:dyDescent="0.25">
      <c r="A157">
        <v>2022</v>
      </c>
      <c r="B157" s="5">
        <v>12</v>
      </c>
      <c r="C157" s="5" t="s">
        <v>11</v>
      </c>
      <c r="D157" t="s">
        <v>38</v>
      </c>
      <c r="E157" s="11">
        <v>1.07</v>
      </c>
      <c r="F157" s="11">
        <v>0.4</v>
      </c>
      <c r="G157" s="11">
        <v>0.71</v>
      </c>
      <c r="H157" s="11">
        <v>0.98</v>
      </c>
      <c r="I157">
        <v>542</v>
      </c>
      <c r="J157">
        <v>182</v>
      </c>
      <c r="K157" s="11">
        <v>0.75</v>
      </c>
      <c r="L157">
        <v>5.2</v>
      </c>
      <c r="M157">
        <v>4.0999999999999996</v>
      </c>
      <c r="N157" s="11">
        <f t="shared" si="2"/>
        <v>0.55913978494623651</v>
      </c>
      <c r="O157">
        <v>84741</v>
      </c>
      <c r="P157">
        <v>5942</v>
      </c>
    </row>
    <row r="158" spans="1:16" x14ac:dyDescent="0.25">
      <c r="A158">
        <v>2023</v>
      </c>
      <c r="B158" s="5">
        <v>1</v>
      </c>
      <c r="C158" s="5" t="s">
        <v>0</v>
      </c>
      <c r="D158" t="s">
        <v>38</v>
      </c>
      <c r="E158" s="11">
        <v>0.85</v>
      </c>
      <c r="F158" s="11">
        <v>0.53</v>
      </c>
      <c r="G158" s="11">
        <v>0.63</v>
      </c>
      <c r="H158" s="11">
        <v>0.41</v>
      </c>
      <c r="I158">
        <v>795</v>
      </c>
      <c r="J158">
        <v>589</v>
      </c>
      <c r="K158" s="11">
        <v>0.81</v>
      </c>
      <c r="L158">
        <v>5.7</v>
      </c>
      <c r="M158">
        <v>2.8</v>
      </c>
      <c r="N158" s="11">
        <f t="shared" si="2"/>
        <v>0.67058823529411771</v>
      </c>
      <c r="O158">
        <v>80875</v>
      </c>
      <c r="P158">
        <v>9368</v>
      </c>
    </row>
    <row r="159" spans="1:16" x14ac:dyDescent="0.25">
      <c r="A159">
        <v>2023</v>
      </c>
      <c r="B159" s="5">
        <v>2</v>
      </c>
      <c r="C159" s="5" t="s">
        <v>1</v>
      </c>
      <c r="D159" t="s">
        <v>38</v>
      </c>
      <c r="E159" s="11">
        <v>1.05</v>
      </c>
      <c r="F159" s="11">
        <v>0.44</v>
      </c>
      <c r="G159" s="11">
        <v>0.72</v>
      </c>
      <c r="H159" s="11">
        <v>0.95</v>
      </c>
      <c r="I159">
        <v>106</v>
      </c>
      <c r="J159">
        <v>370</v>
      </c>
      <c r="K159" s="11">
        <v>0.74</v>
      </c>
      <c r="L159">
        <v>7.6</v>
      </c>
      <c r="M159">
        <v>3.2</v>
      </c>
      <c r="N159" s="11">
        <f t="shared" si="2"/>
        <v>0.70370370370370361</v>
      </c>
      <c r="O159">
        <v>93759</v>
      </c>
      <c r="P159">
        <v>6219</v>
      </c>
    </row>
    <row r="160" spans="1:16" x14ac:dyDescent="0.25">
      <c r="A160">
        <v>2023</v>
      </c>
      <c r="B160" s="5">
        <v>3</v>
      </c>
      <c r="C160" s="5" t="s">
        <v>2</v>
      </c>
      <c r="D160" t="s">
        <v>38</v>
      </c>
      <c r="E160" s="11">
        <v>1.0900000000000001</v>
      </c>
      <c r="F160" s="11">
        <v>0.56999999999999995</v>
      </c>
      <c r="G160" s="11">
        <v>0.63</v>
      </c>
      <c r="H160" s="11">
        <v>0.63</v>
      </c>
      <c r="I160">
        <v>855</v>
      </c>
      <c r="J160">
        <v>207</v>
      </c>
      <c r="K160" s="11">
        <v>1</v>
      </c>
      <c r="L160">
        <v>5.5</v>
      </c>
      <c r="M160">
        <v>3.7</v>
      </c>
      <c r="N160" s="11">
        <f t="shared" si="2"/>
        <v>0.59782608695652184</v>
      </c>
      <c r="O160">
        <v>81480</v>
      </c>
      <c r="P160">
        <v>6462</v>
      </c>
    </row>
    <row r="161" spans="1:16" x14ac:dyDescent="0.25">
      <c r="A161">
        <v>2023</v>
      </c>
      <c r="B161" s="5">
        <v>4</v>
      </c>
      <c r="C161" s="5" t="s">
        <v>3</v>
      </c>
      <c r="D161" t="s">
        <v>38</v>
      </c>
      <c r="E161" s="11">
        <v>1</v>
      </c>
      <c r="F161" s="11">
        <v>0.62</v>
      </c>
      <c r="G161" s="11">
        <v>0.59</v>
      </c>
      <c r="H161" s="11">
        <v>0.56000000000000005</v>
      </c>
      <c r="I161">
        <v>379</v>
      </c>
      <c r="J161">
        <v>100</v>
      </c>
      <c r="K161" s="11">
        <v>0.72</v>
      </c>
      <c r="L161">
        <v>6.1</v>
      </c>
      <c r="M161">
        <v>3.7</v>
      </c>
      <c r="N161" s="11">
        <f t="shared" si="2"/>
        <v>0.62244897959183665</v>
      </c>
      <c r="O161">
        <v>92200</v>
      </c>
      <c r="P161">
        <v>8182</v>
      </c>
    </row>
    <row r="162" spans="1:16" x14ac:dyDescent="0.25">
      <c r="A162">
        <v>2023</v>
      </c>
      <c r="B162" s="5">
        <v>5</v>
      </c>
      <c r="C162" s="5" t="s">
        <v>4</v>
      </c>
      <c r="D162" t="s">
        <v>38</v>
      </c>
      <c r="E162" s="11">
        <v>0.72</v>
      </c>
      <c r="F162" s="11">
        <v>0.39</v>
      </c>
      <c r="G162" s="11">
        <v>0.67</v>
      </c>
      <c r="H162" s="11">
        <v>0.88</v>
      </c>
      <c r="I162">
        <v>549</v>
      </c>
      <c r="J162">
        <v>64</v>
      </c>
      <c r="K162" s="11">
        <v>1.1299999999999999</v>
      </c>
      <c r="L162">
        <v>9.1999999999999993</v>
      </c>
      <c r="M162">
        <v>3.3</v>
      </c>
      <c r="N162" s="11">
        <f t="shared" si="2"/>
        <v>0.73599999999999999</v>
      </c>
      <c r="O162">
        <v>88036</v>
      </c>
      <c r="P162">
        <v>7359</v>
      </c>
    </row>
    <row r="163" spans="1:16" x14ac:dyDescent="0.25">
      <c r="A163">
        <v>2023</v>
      </c>
      <c r="B163" s="5">
        <v>6</v>
      </c>
      <c r="C163" s="5" t="s">
        <v>5</v>
      </c>
      <c r="D163" t="s">
        <v>38</v>
      </c>
      <c r="E163" s="11">
        <v>0.82</v>
      </c>
      <c r="F163" s="11">
        <v>0.51</v>
      </c>
      <c r="G163" s="11">
        <v>0.66</v>
      </c>
      <c r="H163" s="11">
        <v>0.87</v>
      </c>
      <c r="I163">
        <v>613</v>
      </c>
      <c r="J163">
        <v>251</v>
      </c>
      <c r="K163" s="11">
        <v>0.8</v>
      </c>
      <c r="L163">
        <v>7.8</v>
      </c>
      <c r="M163">
        <v>2.5</v>
      </c>
      <c r="N163" s="11">
        <f t="shared" si="2"/>
        <v>0.75728155339805814</v>
      </c>
      <c r="O163">
        <v>92756</v>
      </c>
      <c r="P163">
        <v>8029</v>
      </c>
    </row>
    <row r="164" spans="1:16" x14ac:dyDescent="0.25">
      <c r="A164">
        <v>2023</v>
      </c>
      <c r="B164" s="5">
        <v>7</v>
      </c>
      <c r="C164" s="5" t="s">
        <v>6</v>
      </c>
      <c r="D164" t="s">
        <v>38</v>
      </c>
      <c r="E164" s="11">
        <v>0.9</v>
      </c>
      <c r="F164" s="11">
        <v>0.82</v>
      </c>
      <c r="G164" s="11">
        <v>0.48</v>
      </c>
      <c r="H164" s="11">
        <v>0.62</v>
      </c>
      <c r="I164">
        <v>560</v>
      </c>
      <c r="J164">
        <v>721</v>
      </c>
      <c r="K164" s="11">
        <v>0.71</v>
      </c>
      <c r="L164">
        <v>9.6999999999999993</v>
      </c>
      <c r="M164">
        <v>3.2</v>
      </c>
      <c r="N164" s="11">
        <f t="shared" si="2"/>
        <v>0.75193798449612403</v>
      </c>
      <c r="O164">
        <v>80378</v>
      </c>
      <c r="P164">
        <v>9689</v>
      </c>
    </row>
    <row r="165" spans="1:16" x14ac:dyDescent="0.25">
      <c r="A165">
        <v>2023</v>
      </c>
      <c r="B165" s="5">
        <v>8</v>
      </c>
      <c r="C165" s="5" t="s">
        <v>7</v>
      </c>
      <c r="D165" t="s">
        <v>38</v>
      </c>
      <c r="E165" s="11">
        <v>0.8</v>
      </c>
      <c r="F165" s="11">
        <v>0.43</v>
      </c>
      <c r="G165" s="11">
        <v>0.61</v>
      </c>
      <c r="H165" s="11">
        <v>0.4</v>
      </c>
      <c r="I165">
        <v>883</v>
      </c>
      <c r="J165">
        <v>442</v>
      </c>
      <c r="K165" s="11">
        <v>0.71</v>
      </c>
      <c r="L165">
        <v>9.9</v>
      </c>
      <c r="M165">
        <v>4.2</v>
      </c>
      <c r="N165" s="11">
        <f t="shared" si="2"/>
        <v>0.70212765957446799</v>
      </c>
      <c r="O165">
        <v>88819</v>
      </c>
      <c r="P165">
        <v>6401</v>
      </c>
    </row>
    <row r="166" spans="1:16" x14ac:dyDescent="0.25">
      <c r="A166">
        <v>2023</v>
      </c>
      <c r="B166" s="5">
        <v>9</v>
      </c>
      <c r="C166" s="5" t="s">
        <v>8</v>
      </c>
      <c r="D166" t="s">
        <v>38</v>
      </c>
      <c r="E166" s="11">
        <v>1.07</v>
      </c>
      <c r="F166" s="11">
        <v>0.91</v>
      </c>
      <c r="G166" s="11">
        <v>0.64</v>
      </c>
      <c r="H166" s="11">
        <v>0.66</v>
      </c>
      <c r="I166">
        <v>908</v>
      </c>
      <c r="J166">
        <v>501</v>
      </c>
      <c r="K166" s="11">
        <v>0.95</v>
      </c>
      <c r="L166">
        <v>5.4</v>
      </c>
      <c r="M166">
        <v>2.8</v>
      </c>
      <c r="N166" s="11">
        <f t="shared" si="2"/>
        <v>0.6585365853658538</v>
      </c>
      <c r="O166">
        <v>82242</v>
      </c>
      <c r="P166">
        <v>6821</v>
      </c>
    </row>
    <row r="167" spans="1:16" x14ac:dyDescent="0.25">
      <c r="A167">
        <v>2023</v>
      </c>
      <c r="B167" s="5">
        <v>10</v>
      </c>
      <c r="C167" s="5" t="s">
        <v>9</v>
      </c>
      <c r="D167" t="s">
        <v>38</v>
      </c>
      <c r="E167" s="11">
        <v>1.0900000000000001</v>
      </c>
      <c r="F167" s="11">
        <v>0.78</v>
      </c>
      <c r="G167" s="11">
        <v>0.55000000000000004</v>
      </c>
      <c r="H167" s="11">
        <v>0.39</v>
      </c>
      <c r="I167">
        <v>281</v>
      </c>
      <c r="J167">
        <v>525</v>
      </c>
      <c r="K167" s="11">
        <v>0.99</v>
      </c>
      <c r="L167">
        <v>7.7</v>
      </c>
      <c r="M167">
        <v>3.7</v>
      </c>
      <c r="N167" s="11">
        <f t="shared" si="2"/>
        <v>0.67543859649122806</v>
      </c>
      <c r="O167">
        <v>57456</v>
      </c>
      <c r="P167">
        <v>7306</v>
      </c>
    </row>
    <row r="168" spans="1:16" x14ac:dyDescent="0.25">
      <c r="A168">
        <v>2023</v>
      </c>
      <c r="B168" s="5">
        <v>11</v>
      </c>
      <c r="C168" s="5" t="s">
        <v>10</v>
      </c>
      <c r="D168" t="s">
        <v>38</v>
      </c>
      <c r="E168" s="11">
        <v>0.7</v>
      </c>
      <c r="F168" s="11">
        <v>0.5</v>
      </c>
      <c r="G168" s="11">
        <v>0.42</v>
      </c>
      <c r="H168" s="11">
        <v>0.79</v>
      </c>
      <c r="I168">
        <v>954</v>
      </c>
      <c r="J168">
        <v>255</v>
      </c>
      <c r="K168" s="11">
        <v>0.85</v>
      </c>
      <c r="L168">
        <v>5.6</v>
      </c>
      <c r="M168">
        <v>4.3</v>
      </c>
      <c r="N168" s="11">
        <f t="shared" si="2"/>
        <v>0.56565656565656575</v>
      </c>
      <c r="O168">
        <v>59520</v>
      </c>
      <c r="P168">
        <v>8941</v>
      </c>
    </row>
    <row r="169" spans="1:16" x14ac:dyDescent="0.25">
      <c r="A169">
        <v>2023</v>
      </c>
      <c r="B169" s="5">
        <v>12</v>
      </c>
      <c r="C169" s="5" t="s">
        <v>11</v>
      </c>
      <c r="D169" t="s">
        <v>38</v>
      </c>
      <c r="E169" s="11">
        <v>0.78</v>
      </c>
      <c r="F169" s="11">
        <v>0.56000000000000005</v>
      </c>
      <c r="G169" s="11">
        <v>0.55000000000000004</v>
      </c>
      <c r="H169" s="11">
        <v>0.75</v>
      </c>
      <c r="I169">
        <v>360</v>
      </c>
      <c r="J169">
        <v>566</v>
      </c>
      <c r="K169" s="11">
        <v>0.7</v>
      </c>
      <c r="L169">
        <v>6.2</v>
      </c>
      <c r="M169">
        <v>4.9000000000000004</v>
      </c>
      <c r="N169" s="11">
        <f t="shared" si="2"/>
        <v>0.55855855855855852</v>
      </c>
      <c r="O169">
        <v>51664</v>
      </c>
      <c r="P169">
        <v>5936</v>
      </c>
    </row>
    <row r="170" spans="1:16" x14ac:dyDescent="0.25">
      <c r="A170">
        <v>2024</v>
      </c>
      <c r="B170" s="5">
        <v>1</v>
      </c>
      <c r="C170" s="5" t="s">
        <v>0</v>
      </c>
      <c r="D170" t="s">
        <v>38</v>
      </c>
      <c r="E170" s="11">
        <v>0.76</v>
      </c>
      <c r="F170" s="11">
        <v>0.44</v>
      </c>
      <c r="G170" s="11">
        <v>0.72</v>
      </c>
      <c r="H170" s="11">
        <v>0.75</v>
      </c>
      <c r="I170">
        <v>136</v>
      </c>
      <c r="J170">
        <v>464</v>
      </c>
      <c r="K170" s="11">
        <v>1.03</v>
      </c>
      <c r="L170">
        <v>7.4</v>
      </c>
      <c r="M170">
        <v>3.8</v>
      </c>
      <c r="N170" s="11">
        <f t="shared" si="2"/>
        <v>0.66071428571428581</v>
      </c>
      <c r="O170">
        <v>95676</v>
      </c>
      <c r="P170">
        <v>5915</v>
      </c>
    </row>
    <row r="171" spans="1:16" x14ac:dyDescent="0.25">
      <c r="A171">
        <v>2024</v>
      </c>
      <c r="B171" s="5">
        <v>2</v>
      </c>
      <c r="C171" s="5" t="s">
        <v>1</v>
      </c>
      <c r="D171" t="s">
        <v>38</v>
      </c>
      <c r="E171" s="11">
        <v>0.79</v>
      </c>
      <c r="F171" s="11">
        <v>0.39</v>
      </c>
      <c r="G171" s="11">
        <v>0.61</v>
      </c>
      <c r="H171" s="11">
        <v>0.47</v>
      </c>
      <c r="I171">
        <v>482</v>
      </c>
      <c r="J171">
        <v>639</v>
      </c>
      <c r="K171" s="11">
        <v>0.8</v>
      </c>
      <c r="L171">
        <v>7.7</v>
      </c>
      <c r="M171">
        <v>4.9000000000000004</v>
      </c>
      <c r="N171" s="11">
        <f t="shared" si="2"/>
        <v>0.61111111111111105</v>
      </c>
      <c r="O171">
        <v>77521</v>
      </c>
      <c r="P171">
        <v>8872</v>
      </c>
    </row>
    <row r="172" spans="1:16" x14ac:dyDescent="0.25">
      <c r="A172">
        <v>2024</v>
      </c>
      <c r="B172" s="5">
        <v>3</v>
      </c>
      <c r="C172" s="5" t="s">
        <v>2</v>
      </c>
      <c r="D172" t="s">
        <v>38</v>
      </c>
      <c r="E172" s="11">
        <v>1.06</v>
      </c>
      <c r="F172" s="11">
        <v>0.66</v>
      </c>
      <c r="G172" s="11">
        <v>0.44</v>
      </c>
      <c r="H172" s="11">
        <v>0.37</v>
      </c>
      <c r="I172">
        <v>63</v>
      </c>
      <c r="J172">
        <v>48</v>
      </c>
      <c r="K172" s="11">
        <v>1.1100000000000001</v>
      </c>
      <c r="L172">
        <v>6.1</v>
      </c>
      <c r="M172">
        <v>4.2</v>
      </c>
      <c r="N172" s="11">
        <f t="shared" si="2"/>
        <v>0.59223300970873782</v>
      </c>
      <c r="O172">
        <v>83177</v>
      </c>
      <c r="P172">
        <v>6222</v>
      </c>
    </row>
    <row r="173" spans="1:16" x14ac:dyDescent="0.25">
      <c r="A173">
        <v>2024</v>
      </c>
      <c r="B173" s="5">
        <v>4</v>
      </c>
      <c r="C173" s="5" t="s">
        <v>3</v>
      </c>
      <c r="D173" t="s">
        <v>38</v>
      </c>
      <c r="E173" s="11">
        <v>0.99</v>
      </c>
      <c r="F173" s="11">
        <v>0.95</v>
      </c>
      <c r="G173" s="11">
        <v>0.52</v>
      </c>
      <c r="H173" s="11">
        <v>0.78</v>
      </c>
      <c r="I173">
        <v>952</v>
      </c>
      <c r="J173">
        <v>499</v>
      </c>
      <c r="K173" s="11">
        <v>1.1399999999999999</v>
      </c>
      <c r="L173">
        <v>6.4</v>
      </c>
      <c r="M173">
        <v>3.2</v>
      </c>
      <c r="N173" s="11">
        <f t="shared" si="2"/>
        <v>0.66666666666666663</v>
      </c>
      <c r="O173">
        <v>78216</v>
      </c>
      <c r="P173">
        <v>5656</v>
      </c>
    </row>
    <row r="174" spans="1:16" x14ac:dyDescent="0.25">
      <c r="A174">
        <v>2024</v>
      </c>
      <c r="B174" s="5">
        <v>5</v>
      </c>
      <c r="C174" s="5" t="s">
        <v>4</v>
      </c>
      <c r="D174" t="s">
        <v>38</v>
      </c>
      <c r="E174" s="11">
        <v>1.0900000000000001</v>
      </c>
      <c r="F174" s="11">
        <v>0.83</v>
      </c>
      <c r="G174" s="11">
        <v>0.49</v>
      </c>
      <c r="H174" s="11">
        <v>1.02</v>
      </c>
      <c r="I174">
        <v>82</v>
      </c>
      <c r="J174">
        <v>271</v>
      </c>
      <c r="K174" s="11">
        <v>1.1000000000000001</v>
      </c>
      <c r="L174">
        <v>8.1</v>
      </c>
      <c r="M174">
        <v>2.5</v>
      </c>
      <c r="N174" s="11">
        <f t="shared" si="2"/>
        <v>0.76415094339622636</v>
      </c>
      <c r="O174">
        <v>75597</v>
      </c>
      <c r="P174">
        <v>4733</v>
      </c>
    </row>
    <row r="175" spans="1:16" x14ac:dyDescent="0.25">
      <c r="A175">
        <v>2024</v>
      </c>
      <c r="B175" s="5">
        <v>6</v>
      </c>
      <c r="C175" s="5" t="s">
        <v>5</v>
      </c>
      <c r="D175" t="s">
        <v>38</v>
      </c>
      <c r="E175" s="11">
        <v>0.9</v>
      </c>
      <c r="F175" s="11">
        <v>0.53</v>
      </c>
      <c r="G175" s="11">
        <v>0.68</v>
      </c>
      <c r="H175" s="11">
        <v>0.49</v>
      </c>
      <c r="I175">
        <v>763</v>
      </c>
      <c r="J175">
        <v>377</v>
      </c>
      <c r="K175" s="11">
        <v>0.89</v>
      </c>
      <c r="L175">
        <v>9.8000000000000007</v>
      </c>
      <c r="M175">
        <v>4.2</v>
      </c>
      <c r="N175" s="11">
        <f t="shared" si="2"/>
        <v>0.70000000000000007</v>
      </c>
      <c r="O175">
        <v>64995</v>
      </c>
      <c r="P175">
        <v>7794</v>
      </c>
    </row>
    <row r="176" spans="1:16" x14ac:dyDescent="0.25">
      <c r="A176">
        <v>2024</v>
      </c>
      <c r="B176" s="5">
        <v>7</v>
      </c>
      <c r="C176" s="5" t="s">
        <v>6</v>
      </c>
      <c r="D176" t="s">
        <v>38</v>
      </c>
      <c r="E176" s="11">
        <v>1.05</v>
      </c>
      <c r="F176" s="11">
        <v>0.63</v>
      </c>
      <c r="G176" s="11">
        <v>0.56000000000000005</v>
      </c>
      <c r="H176" s="11">
        <v>0.52</v>
      </c>
      <c r="I176">
        <v>483</v>
      </c>
      <c r="J176">
        <v>270</v>
      </c>
      <c r="K176" s="11">
        <v>0.83</v>
      </c>
      <c r="L176">
        <v>7.2</v>
      </c>
      <c r="M176">
        <v>3.8</v>
      </c>
      <c r="N176" s="11">
        <f t="shared" si="2"/>
        <v>0.65454545454545454</v>
      </c>
      <c r="O176">
        <v>81885</v>
      </c>
      <c r="P176">
        <v>7939</v>
      </c>
    </row>
    <row r="177" spans="1:16" x14ac:dyDescent="0.25">
      <c r="A177">
        <v>2024</v>
      </c>
      <c r="B177" s="5">
        <v>8</v>
      </c>
      <c r="C177" s="5" t="s">
        <v>7</v>
      </c>
      <c r="D177" t="s">
        <v>38</v>
      </c>
      <c r="E177" s="11">
        <v>0.91</v>
      </c>
      <c r="F177" s="11">
        <v>0.45</v>
      </c>
      <c r="G177" s="11">
        <v>0.64</v>
      </c>
      <c r="H177" s="11">
        <v>0.72</v>
      </c>
      <c r="I177">
        <v>66</v>
      </c>
      <c r="J177">
        <v>592</v>
      </c>
      <c r="K177" s="11">
        <v>0.97</v>
      </c>
      <c r="L177">
        <v>6.1</v>
      </c>
      <c r="M177">
        <v>4.0999999999999996</v>
      </c>
      <c r="N177" s="11">
        <f t="shared" si="2"/>
        <v>0.59803921568627449</v>
      </c>
      <c r="O177">
        <v>62493</v>
      </c>
      <c r="P177">
        <v>7442</v>
      </c>
    </row>
    <row r="178" spans="1:16" x14ac:dyDescent="0.25">
      <c r="A178">
        <v>2024</v>
      </c>
      <c r="B178" s="5">
        <v>9</v>
      </c>
      <c r="C178" s="5" t="s">
        <v>8</v>
      </c>
      <c r="D178" t="s">
        <v>38</v>
      </c>
      <c r="E178" s="11">
        <v>0.95</v>
      </c>
      <c r="F178" s="11">
        <v>0.59</v>
      </c>
      <c r="G178" s="11">
        <v>0.56000000000000005</v>
      </c>
      <c r="H178" s="11">
        <v>0.88</v>
      </c>
      <c r="I178">
        <v>839</v>
      </c>
      <c r="J178">
        <v>300</v>
      </c>
      <c r="K178" s="11">
        <v>1.1399999999999999</v>
      </c>
      <c r="L178">
        <v>7.2</v>
      </c>
      <c r="M178">
        <v>4</v>
      </c>
      <c r="N178" s="11">
        <f t="shared" si="2"/>
        <v>0.6428571428571429</v>
      </c>
      <c r="O178">
        <v>79849</v>
      </c>
      <c r="P178">
        <v>6373</v>
      </c>
    </row>
    <row r="179" spans="1:16" x14ac:dyDescent="0.25">
      <c r="A179">
        <v>2024</v>
      </c>
      <c r="B179" s="5">
        <v>10</v>
      </c>
      <c r="C179" s="5" t="s">
        <v>9</v>
      </c>
      <c r="D179" t="s">
        <v>38</v>
      </c>
      <c r="E179" s="11">
        <v>0.84</v>
      </c>
      <c r="F179" s="11">
        <v>0.79</v>
      </c>
      <c r="G179" s="11">
        <v>0.68</v>
      </c>
      <c r="H179" s="11">
        <v>0.78</v>
      </c>
      <c r="I179">
        <v>501</v>
      </c>
      <c r="J179">
        <v>335</v>
      </c>
      <c r="K179" s="11">
        <v>0.71</v>
      </c>
      <c r="L179">
        <v>7.8</v>
      </c>
      <c r="M179">
        <v>4.0999999999999996</v>
      </c>
      <c r="N179" s="11">
        <f t="shared" si="2"/>
        <v>0.65546218487394969</v>
      </c>
      <c r="O179">
        <v>76393</v>
      </c>
      <c r="P179">
        <v>3065</v>
      </c>
    </row>
    <row r="180" spans="1:16" x14ac:dyDescent="0.25">
      <c r="A180">
        <v>2024</v>
      </c>
      <c r="B180" s="5">
        <v>11</v>
      </c>
      <c r="C180" s="5" t="s">
        <v>10</v>
      </c>
      <c r="D180" t="s">
        <v>38</v>
      </c>
      <c r="E180" s="11">
        <v>0.78</v>
      </c>
      <c r="F180" s="11">
        <v>0.44</v>
      </c>
      <c r="G180" s="11">
        <v>0.73</v>
      </c>
      <c r="H180" s="11">
        <v>0.56999999999999995</v>
      </c>
      <c r="I180">
        <v>248</v>
      </c>
      <c r="J180">
        <v>566</v>
      </c>
      <c r="K180" s="11">
        <v>1.1200000000000001</v>
      </c>
      <c r="L180">
        <v>9.5</v>
      </c>
      <c r="M180">
        <v>2.8</v>
      </c>
      <c r="N180" s="11">
        <f t="shared" si="2"/>
        <v>0.77235772357723576</v>
      </c>
      <c r="O180">
        <v>71741</v>
      </c>
      <c r="P180">
        <v>3113</v>
      </c>
    </row>
    <row r="181" spans="1:16" x14ac:dyDescent="0.25">
      <c r="A181">
        <v>2024</v>
      </c>
      <c r="B181" s="5">
        <v>12</v>
      </c>
      <c r="C181" s="5" t="s">
        <v>11</v>
      </c>
      <c r="D181" t="s">
        <v>38</v>
      </c>
      <c r="E181" s="11">
        <v>0.9</v>
      </c>
      <c r="F181" s="11">
        <v>0.64</v>
      </c>
      <c r="G181" s="11">
        <v>0.5</v>
      </c>
      <c r="H181" s="11">
        <v>0.71</v>
      </c>
      <c r="I181">
        <v>857</v>
      </c>
      <c r="J181">
        <v>311</v>
      </c>
      <c r="K181" s="11">
        <v>1.05</v>
      </c>
      <c r="L181">
        <v>6.7</v>
      </c>
      <c r="M181">
        <v>4.0999999999999996</v>
      </c>
      <c r="N181" s="11">
        <f t="shared" si="2"/>
        <v>0.62037037037037035</v>
      </c>
      <c r="O181">
        <v>49116</v>
      </c>
      <c r="P181">
        <v>6276</v>
      </c>
    </row>
    <row r="182" spans="1:16" x14ac:dyDescent="0.25">
      <c r="A182">
        <v>2025</v>
      </c>
      <c r="B182" s="5">
        <v>1</v>
      </c>
      <c r="C182" s="5" t="s">
        <v>0</v>
      </c>
      <c r="D182" t="s">
        <v>38</v>
      </c>
      <c r="E182" s="11">
        <v>1</v>
      </c>
      <c r="F182" s="11">
        <v>0.42</v>
      </c>
      <c r="G182" s="11">
        <v>0.57999999999999996</v>
      </c>
      <c r="H182" s="11">
        <v>0.57999999999999996</v>
      </c>
      <c r="I182">
        <v>379</v>
      </c>
      <c r="J182">
        <v>477</v>
      </c>
      <c r="K182" s="11">
        <v>0.77</v>
      </c>
      <c r="L182">
        <v>7.9</v>
      </c>
      <c r="M182">
        <v>4.5999999999999996</v>
      </c>
      <c r="N182" s="11">
        <f t="shared" si="2"/>
        <v>0.63200000000000001</v>
      </c>
      <c r="O182">
        <v>57246</v>
      </c>
      <c r="P182">
        <v>5531</v>
      </c>
    </row>
    <row r="183" spans="1:16" x14ac:dyDescent="0.25">
      <c r="A183">
        <v>2025</v>
      </c>
      <c r="B183" s="5">
        <v>2</v>
      </c>
      <c r="C183" s="5" t="s">
        <v>1</v>
      </c>
      <c r="D183" t="s">
        <v>38</v>
      </c>
      <c r="E183" s="11">
        <v>0.98</v>
      </c>
      <c r="F183" s="11">
        <v>0.56999999999999995</v>
      </c>
      <c r="G183" s="11">
        <v>0.69</v>
      </c>
      <c r="H183" s="11">
        <v>0.43</v>
      </c>
      <c r="I183">
        <v>872</v>
      </c>
      <c r="J183">
        <v>410</v>
      </c>
      <c r="K183" s="11">
        <v>0.7</v>
      </c>
      <c r="L183">
        <v>8.5</v>
      </c>
      <c r="M183">
        <v>3.1</v>
      </c>
      <c r="N183" s="11">
        <f t="shared" si="2"/>
        <v>0.73275862068965525</v>
      </c>
      <c r="O183">
        <v>49270</v>
      </c>
      <c r="P183">
        <v>9033</v>
      </c>
    </row>
    <row r="184" spans="1:16" x14ac:dyDescent="0.25">
      <c r="A184">
        <v>2025</v>
      </c>
      <c r="B184" s="5">
        <v>3</v>
      </c>
      <c r="C184" s="5" t="s">
        <v>2</v>
      </c>
      <c r="D184" t="s">
        <v>38</v>
      </c>
      <c r="E184" s="11">
        <v>0.86</v>
      </c>
      <c r="F184" s="11">
        <v>0.78</v>
      </c>
      <c r="G184" s="11">
        <v>0.4</v>
      </c>
      <c r="H184" s="11">
        <v>0.35</v>
      </c>
      <c r="I184">
        <v>231</v>
      </c>
      <c r="J184">
        <v>236</v>
      </c>
      <c r="K184" s="11">
        <v>0.72</v>
      </c>
      <c r="L184">
        <v>5.5</v>
      </c>
      <c r="M184">
        <v>3.7</v>
      </c>
      <c r="N184" s="11">
        <f t="shared" si="2"/>
        <v>0.59782608695652184</v>
      </c>
      <c r="O184">
        <v>49788</v>
      </c>
      <c r="P184">
        <v>9712</v>
      </c>
    </row>
    <row r="185" spans="1:16" x14ac:dyDescent="0.25">
      <c r="A185">
        <v>2025</v>
      </c>
      <c r="B185" s="5">
        <v>4</v>
      </c>
      <c r="C185" s="5" t="s">
        <v>3</v>
      </c>
      <c r="D185" t="s">
        <v>38</v>
      </c>
      <c r="E185" s="11">
        <v>0.83</v>
      </c>
      <c r="F185" s="11">
        <v>0.67</v>
      </c>
      <c r="G185" s="11">
        <v>0.72</v>
      </c>
      <c r="H185" s="11">
        <v>0.35</v>
      </c>
      <c r="I185">
        <v>229</v>
      </c>
      <c r="J185">
        <v>491</v>
      </c>
      <c r="K185" s="11">
        <v>0.71</v>
      </c>
      <c r="L185">
        <v>6.4</v>
      </c>
      <c r="M185">
        <v>2.7</v>
      </c>
      <c r="N185" s="11">
        <f t="shared" si="2"/>
        <v>0.70329670329670324</v>
      </c>
      <c r="O185">
        <v>49186</v>
      </c>
      <c r="P185">
        <v>7530</v>
      </c>
    </row>
    <row r="186" spans="1:16" x14ac:dyDescent="0.25">
      <c r="A186">
        <v>2025</v>
      </c>
      <c r="B186" s="5">
        <v>5</v>
      </c>
      <c r="C186" s="5" t="s">
        <v>4</v>
      </c>
      <c r="D186" t="s">
        <v>38</v>
      </c>
      <c r="E186" s="11">
        <v>0.92</v>
      </c>
      <c r="F186" s="11">
        <v>0.81</v>
      </c>
      <c r="G186" s="11">
        <v>0.39</v>
      </c>
      <c r="H186" s="11">
        <v>0.7</v>
      </c>
      <c r="I186">
        <v>734</v>
      </c>
      <c r="J186">
        <v>108</v>
      </c>
      <c r="K186" s="11">
        <v>0.97</v>
      </c>
      <c r="L186">
        <v>6.4</v>
      </c>
      <c r="M186">
        <v>5</v>
      </c>
      <c r="N186" s="11">
        <f t="shared" si="2"/>
        <v>0.56140350877192979</v>
      </c>
      <c r="O186">
        <v>73234</v>
      </c>
      <c r="P186">
        <v>9529</v>
      </c>
    </row>
    <row r="187" spans="1:16" x14ac:dyDescent="0.25">
      <c r="A187">
        <v>2025</v>
      </c>
      <c r="B187" s="5">
        <v>6</v>
      </c>
      <c r="C187" s="5" t="s">
        <v>5</v>
      </c>
      <c r="D187" t="s">
        <v>38</v>
      </c>
      <c r="E187" s="11">
        <v>1.01</v>
      </c>
      <c r="F187" s="11">
        <v>0.56999999999999995</v>
      </c>
      <c r="G187" s="11">
        <v>0.68</v>
      </c>
      <c r="H187" s="11">
        <v>1.08</v>
      </c>
      <c r="I187">
        <v>662</v>
      </c>
      <c r="J187">
        <v>136</v>
      </c>
      <c r="K187" s="11">
        <v>0.71</v>
      </c>
      <c r="L187">
        <v>5.2</v>
      </c>
      <c r="M187">
        <v>3.7</v>
      </c>
      <c r="N187" s="11">
        <f t="shared" si="2"/>
        <v>0.5842696629213483</v>
      </c>
      <c r="O187">
        <v>69917</v>
      </c>
      <c r="P187">
        <v>8811</v>
      </c>
    </row>
    <row r="188" spans="1:16" x14ac:dyDescent="0.25">
      <c r="A188">
        <v>2025</v>
      </c>
      <c r="B188" s="5">
        <v>7</v>
      </c>
      <c r="C188" s="5" t="s">
        <v>6</v>
      </c>
      <c r="D188" t="s">
        <v>38</v>
      </c>
      <c r="E188" s="11">
        <v>1.07</v>
      </c>
      <c r="F188" s="11">
        <v>0.53</v>
      </c>
      <c r="G188" s="11">
        <v>0.56000000000000005</v>
      </c>
      <c r="H188" s="11">
        <v>0.38</v>
      </c>
      <c r="I188">
        <v>483</v>
      </c>
      <c r="J188">
        <v>518</v>
      </c>
      <c r="K188" s="11">
        <v>0.91</v>
      </c>
      <c r="L188">
        <v>9.8000000000000007</v>
      </c>
      <c r="M188">
        <v>2.9</v>
      </c>
      <c r="N188" s="11">
        <f t="shared" si="2"/>
        <v>0.77165354330708658</v>
      </c>
      <c r="O188">
        <v>73580</v>
      </c>
      <c r="P188">
        <v>4923</v>
      </c>
    </row>
    <row r="189" spans="1:16" x14ac:dyDescent="0.25">
      <c r="A189">
        <v>2025</v>
      </c>
      <c r="B189" s="5">
        <v>8</v>
      </c>
      <c r="C189" s="5" t="s">
        <v>7</v>
      </c>
      <c r="D189" t="s">
        <v>38</v>
      </c>
      <c r="E189" s="11">
        <v>1.08</v>
      </c>
      <c r="F189" s="11">
        <v>0.81</v>
      </c>
      <c r="G189" s="11">
        <v>0.39</v>
      </c>
      <c r="H189" s="11">
        <v>0.41</v>
      </c>
      <c r="I189">
        <v>660</v>
      </c>
      <c r="J189">
        <v>390</v>
      </c>
      <c r="K189" s="11">
        <v>1.05</v>
      </c>
      <c r="L189">
        <v>8.6999999999999993</v>
      </c>
      <c r="M189">
        <v>4.3</v>
      </c>
      <c r="N189" s="11">
        <f t="shared" si="2"/>
        <v>0.66923076923076918</v>
      </c>
      <c r="O189">
        <v>71763</v>
      </c>
      <c r="P189">
        <v>4828</v>
      </c>
    </row>
    <row r="190" spans="1:16" x14ac:dyDescent="0.25">
      <c r="A190">
        <v>2025</v>
      </c>
      <c r="B190" s="5">
        <v>9</v>
      </c>
      <c r="C190" s="5" t="s">
        <v>8</v>
      </c>
      <c r="D190" t="s">
        <v>38</v>
      </c>
      <c r="E190" s="11">
        <v>0.76</v>
      </c>
      <c r="F190" s="11">
        <v>0.88</v>
      </c>
      <c r="G190" s="11">
        <v>0.43</v>
      </c>
      <c r="H190" s="11">
        <v>0.56999999999999995</v>
      </c>
      <c r="I190">
        <v>822</v>
      </c>
      <c r="J190">
        <v>409</v>
      </c>
      <c r="K190" s="11">
        <v>0.67</v>
      </c>
      <c r="L190">
        <v>9.3000000000000007</v>
      </c>
      <c r="M190">
        <v>3.2</v>
      </c>
      <c r="N190" s="11">
        <f t="shared" si="2"/>
        <v>0.74400000000000011</v>
      </c>
      <c r="O190">
        <v>63818</v>
      </c>
      <c r="P190">
        <v>7524</v>
      </c>
    </row>
    <row r="191" spans="1:16" x14ac:dyDescent="0.25">
      <c r="A191">
        <v>2025</v>
      </c>
      <c r="B191" s="5">
        <v>10</v>
      </c>
      <c r="C191" s="5" t="s">
        <v>9</v>
      </c>
      <c r="D191" t="s">
        <v>38</v>
      </c>
      <c r="E191" s="11">
        <v>0.96</v>
      </c>
      <c r="F191" s="11">
        <v>0.42</v>
      </c>
      <c r="G191" s="11">
        <v>0.74</v>
      </c>
      <c r="H191" s="11">
        <v>0.68</v>
      </c>
      <c r="I191">
        <v>915</v>
      </c>
      <c r="J191">
        <v>106</v>
      </c>
      <c r="K191" s="11">
        <v>0.83</v>
      </c>
      <c r="L191">
        <v>7.3</v>
      </c>
      <c r="M191">
        <v>3.2</v>
      </c>
      <c r="N191" s="11">
        <f t="shared" si="2"/>
        <v>0.69523809523809521</v>
      </c>
      <c r="O191">
        <v>68176</v>
      </c>
      <c r="P191">
        <v>7426</v>
      </c>
    </row>
    <row r="192" spans="1:16" x14ac:dyDescent="0.25">
      <c r="A192">
        <v>2025</v>
      </c>
      <c r="B192" s="5">
        <v>11</v>
      </c>
      <c r="C192" s="5" t="s">
        <v>10</v>
      </c>
      <c r="D192" t="s">
        <v>38</v>
      </c>
      <c r="E192" s="11">
        <v>1</v>
      </c>
      <c r="F192" s="11">
        <v>0.6</v>
      </c>
      <c r="G192" s="11">
        <v>0.64</v>
      </c>
      <c r="H192" s="11">
        <v>0.68</v>
      </c>
      <c r="I192">
        <v>789</v>
      </c>
      <c r="J192">
        <v>356</v>
      </c>
      <c r="K192" s="11">
        <v>0.81</v>
      </c>
      <c r="L192">
        <v>9.1999999999999993</v>
      </c>
      <c r="M192">
        <v>4.2</v>
      </c>
      <c r="N192" s="11">
        <f t="shared" si="2"/>
        <v>0.68656716417910446</v>
      </c>
      <c r="O192">
        <v>62456</v>
      </c>
      <c r="P192">
        <v>5123</v>
      </c>
    </row>
    <row r="193" spans="1:16" x14ac:dyDescent="0.25">
      <c r="A193">
        <v>2025</v>
      </c>
      <c r="B193" s="5">
        <v>12</v>
      </c>
      <c r="C193" s="5" t="s">
        <v>11</v>
      </c>
      <c r="D193" t="s">
        <v>38</v>
      </c>
      <c r="E193" s="11">
        <v>0.75</v>
      </c>
      <c r="F193" s="11">
        <v>0.53</v>
      </c>
      <c r="G193" s="11">
        <v>0.46</v>
      </c>
      <c r="H193" s="11">
        <v>0.72</v>
      </c>
      <c r="I193">
        <v>910</v>
      </c>
      <c r="J193">
        <v>393</v>
      </c>
      <c r="K193" s="11">
        <v>1.0900000000000001</v>
      </c>
      <c r="L193">
        <v>9.1999999999999993</v>
      </c>
      <c r="M193">
        <v>4.4000000000000004</v>
      </c>
      <c r="N193" s="11">
        <f t="shared" si="2"/>
        <v>0.67647058823529405</v>
      </c>
      <c r="O193">
        <v>83422</v>
      </c>
      <c r="P193">
        <v>6323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581AA-41AA-4C74-B057-B7130CFB841C}">
  <dimension ref="A1:J41"/>
  <sheetViews>
    <sheetView workbookViewId="0"/>
  </sheetViews>
  <sheetFormatPr defaultRowHeight="15" x14ac:dyDescent="0.25"/>
  <cols>
    <col min="1" max="1" width="12.42578125" bestFit="1" customWidth="1"/>
    <col min="2" max="2" width="14.140625" bestFit="1" customWidth="1"/>
    <col min="3" max="3" width="11.5703125" bestFit="1" customWidth="1"/>
    <col min="4" max="4" width="10.7109375" bestFit="1" customWidth="1"/>
    <col min="5" max="5" width="15.42578125" bestFit="1" customWidth="1"/>
    <col min="6" max="6" width="14.140625" bestFit="1" customWidth="1"/>
    <col min="7" max="7" width="12.5703125" bestFit="1" customWidth="1"/>
    <col min="8" max="8" width="23.28515625" bestFit="1" customWidth="1"/>
    <col min="9" max="9" width="24" bestFit="1" customWidth="1"/>
    <col min="10" max="10" width="19.5703125" bestFit="1" customWidth="1"/>
    <col min="11" max="31" width="4.5703125" bestFit="1" customWidth="1"/>
    <col min="32" max="42" width="5.5703125" bestFit="1" customWidth="1"/>
    <col min="43" max="43" width="10.5703125" bestFit="1" customWidth="1"/>
  </cols>
  <sheetData>
    <row r="1" spans="1:10" ht="15" customHeight="1" x14ac:dyDescent="0.25">
      <c r="A1" s="14" t="s">
        <v>12</v>
      </c>
      <c r="B1" s="15">
        <v>2023</v>
      </c>
    </row>
    <row r="2" spans="1:10" ht="15" customHeight="1" x14ac:dyDescent="0.25"/>
    <row r="3" spans="1:10" x14ac:dyDescent="0.25">
      <c r="A3" s="14" t="s">
        <v>55</v>
      </c>
      <c r="B3" t="s">
        <v>57</v>
      </c>
      <c r="C3" t="s">
        <v>58</v>
      </c>
      <c r="D3" t="s">
        <v>59</v>
      </c>
      <c r="E3" t="s">
        <v>60</v>
      </c>
      <c r="F3" t="s">
        <v>61</v>
      </c>
      <c r="G3" t="s">
        <v>65</v>
      </c>
      <c r="H3" t="s">
        <v>70</v>
      </c>
      <c r="I3" t="s">
        <v>71</v>
      </c>
      <c r="J3" t="s">
        <v>69</v>
      </c>
    </row>
    <row r="4" spans="1:10" x14ac:dyDescent="0.25">
      <c r="A4" s="15">
        <v>4</v>
      </c>
      <c r="B4" s="1">
        <v>0.93499999999999994</v>
      </c>
      <c r="C4" s="1">
        <v>0.6825</v>
      </c>
      <c r="D4" s="1">
        <v>0.57999999999999996</v>
      </c>
      <c r="E4" s="1">
        <v>0.71</v>
      </c>
      <c r="F4">
        <v>25280</v>
      </c>
      <c r="G4" s="1">
        <v>0.94</v>
      </c>
      <c r="H4">
        <v>8.6750000000000007</v>
      </c>
      <c r="I4">
        <v>3.8</v>
      </c>
      <c r="J4" s="1">
        <v>0.68988833764755242</v>
      </c>
    </row>
    <row r="5" spans="1:10" x14ac:dyDescent="0.25">
      <c r="A5" s="15">
        <v>5</v>
      </c>
      <c r="B5" s="1">
        <v>0.78500000000000003</v>
      </c>
      <c r="C5" s="1">
        <v>0.52249999999999996</v>
      </c>
      <c r="D5" s="1">
        <v>0.62750000000000006</v>
      </c>
      <c r="E5" s="1">
        <v>0.64500000000000002</v>
      </c>
      <c r="F5">
        <v>28374</v>
      </c>
      <c r="G5" s="1">
        <v>0.98499999999999999</v>
      </c>
      <c r="H5">
        <v>8.1999999999999993</v>
      </c>
      <c r="I5">
        <v>3</v>
      </c>
      <c r="J5" s="1">
        <v>0.72488855421686749</v>
      </c>
    </row>
    <row r="6" spans="1:10" x14ac:dyDescent="0.25">
      <c r="A6" s="15">
        <v>6</v>
      </c>
      <c r="B6" s="1">
        <v>0.81499999999999995</v>
      </c>
      <c r="C6" s="1">
        <v>0.63</v>
      </c>
      <c r="D6" s="1">
        <v>0.57750000000000001</v>
      </c>
      <c r="E6" s="1">
        <v>0.6825</v>
      </c>
      <c r="F6">
        <v>26823</v>
      </c>
      <c r="G6" s="1">
        <v>0.89500000000000002</v>
      </c>
      <c r="H6">
        <v>6.5500000000000007</v>
      </c>
      <c r="I6">
        <v>3.0249999999999999</v>
      </c>
      <c r="J6" s="1">
        <v>0.68226156482010281</v>
      </c>
    </row>
    <row r="7" spans="1:10" x14ac:dyDescent="0.25">
      <c r="A7" s="15">
        <v>7</v>
      </c>
      <c r="B7" s="1">
        <v>0.9</v>
      </c>
      <c r="C7" s="1">
        <v>0.77249999999999996</v>
      </c>
      <c r="D7" s="1">
        <v>0.58249999999999991</v>
      </c>
      <c r="E7" s="1">
        <v>0.61</v>
      </c>
      <c r="F7">
        <v>32871</v>
      </c>
      <c r="G7" s="1">
        <v>0.82499999999999996</v>
      </c>
      <c r="H7">
        <v>8.1750000000000007</v>
      </c>
      <c r="I7">
        <v>3.5750000000000002</v>
      </c>
      <c r="J7" s="1">
        <v>0.6869328134317233</v>
      </c>
    </row>
    <row r="8" spans="1:10" x14ac:dyDescent="0.25">
      <c r="A8" s="15">
        <v>8</v>
      </c>
      <c r="B8" s="1">
        <v>0.90500000000000003</v>
      </c>
      <c r="C8" s="1">
        <v>0.61499999999999999</v>
      </c>
      <c r="D8" s="1">
        <v>0.5625</v>
      </c>
      <c r="E8" s="1">
        <v>0.52500000000000002</v>
      </c>
      <c r="F8">
        <v>25108</v>
      </c>
      <c r="G8" s="1">
        <v>0.86499999999999999</v>
      </c>
      <c r="H8">
        <v>7.875</v>
      </c>
      <c r="I8">
        <v>3.65</v>
      </c>
      <c r="J8" s="1">
        <v>0.6817066911938976</v>
      </c>
    </row>
    <row r="9" spans="1:10" x14ac:dyDescent="0.25">
      <c r="A9" s="15">
        <v>9</v>
      </c>
      <c r="B9" s="1">
        <v>0.99</v>
      </c>
      <c r="C9" s="1">
        <v>0.68250000000000011</v>
      </c>
      <c r="D9" s="1">
        <v>0.64</v>
      </c>
      <c r="E9" s="1">
        <v>0.63749999999999996</v>
      </c>
      <c r="F9">
        <v>28741</v>
      </c>
      <c r="G9" s="1">
        <v>0.88749999999999996</v>
      </c>
      <c r="H9">
        <v>6.9500000000000011</v>
      </c>
      <c r="I9">
        <v>4.2249999999999996</v>
      </c>
      <c r="J9" s="1">
        <v>0.62339271834630416</v>
      </c>
    </row>
    <row r="10" spans="1:10" x14ac:dyDescent="0.25">
      <c r="A10" s="15" t="s">
        <v>56</v>
      </c>
      <c r="B10" s="1">
        <v>0.88833333333333353</v>
      </c>
      <c r="C10" s="1">
        <v>0.65083333333333337</v>
      </c>
      <c r="D10" s="1">
        <v>0.59500000000000008</v>
      </c>
      <c r="E10" s="1">
        <v>0.6349999999999999</v>
      </c>
      <c r="F10">
        <v>167197</v>
      </c>
      <c r="G10" s="1">
        <v>0.89958333333333329</v>
      </c>
      <c r="H10" s="16">
        <v>7.7374999999999998</v>
      </c>
      <c r="I10" s="16">
        <v>3.5458333333333329</v>
      </c>
      <c r="J10" s="1">
        <v>0.68151177994274115</v>
      </c>
    </row>
    <row r="18" spans="1:5" x14ac:dyDescent="0.25">
      <c r="A18" s="14" t="s">
        <v>39</v>
      </c>
      <c r="B18" t="s">
        <v>77</v>
      </c>
    </row>
    <row r="20" spans="1:5" x14ac:dyDescent="0.25">
      <c r="A20" s="14" t="s">
        <v>55</v>
      </c>
      <c r="B20" t="s">
        <v>61</v>
      </c>
      <c r="C20" t="s">
        <v>63</v>
      </c>
      <c r="D20" t="s">
        <v>64</v>
      </c>
      <c r="E20" t="s">
        <v>68</v>
      </c>
    </row>
    <row r="21" spans="1:5" x14ac:dyDescent="0.25">
      <c r="A21" s="15">
        <v>1</v>
      </c>
      <c r="B21">
        <v>30021</v>
      </c>
      <c r="C21">
        <v>1929</v>
      </c>
      <c r="D21">
        <v>1517</v>
      </c>
      <c r="E21">
        <v>237556</v>
      </c>
    </row>
    <row r="22" spans="1:5" x14ac:dyDescent="0.25">
      <c r="A22" s="15">
        <v>2</v>
      </c>
      <c r="B22">
        <v>28214</v>
      </c>
      <c r="C22">
        <v>1033</v>
      </c>
      <c r="D22">
        <v>1745</v>
      </c>
      <c r="E22">
        <v>283339</v>
      </c>
    </row>
    <row r="23" spans="1:5" x14ac:dyDescent="0.25">
      <c r="A23" s="15">
        <v>3</v>
      </c>
      <c r="B23">
        <v>23473</v>
      </c>
      <c r="C23">
        <v>2496</v>
      </c>
      <c r="D23">
        <v>1041</v>
      </c>
      <c r="E23">
        <v>281728</v>
      </c>
    </row>
    <row r="24" spans="1:5" x14ac:dyDescent="0.25">
      <c r="A24" s="15">
        <v>4</v>
      </c>
      <c r="B24">
        <v>25280</v>
      </c>
      <c r="C24">
        <v>1937</v>
      </c>
      <c r="D24">
        <v>2265</v>
      </c>
      <c r="E24">
        <v>292458</v>
      </c>
    </row>
    <row r="25" spans="1:5" x14ac:dyDescent="0.25">
      <c r="A25" s="15">
        <v>5</v>
      </c>
      <c r="B25">
        <v>28374</v>
      </c>
      <c r="C25">
        <v>2057</v>
      </c>
      <c r="D25">
        <v>1729</v>
      </c>
      <c r="E25">
        <v>330740</v>
      </c>
    </row>
    <row r="26" spans="1:5" x14ac:dyDescent="0.25">
      <c r="A26" s="15">
        <v>6</v>
      </c>
      <c r="B26">
        <v>26823</v>
      </c>
      <c r="C26">
        <v>2146</v>
      </c>
      <c r="D26">
        <v>1751</v>
      </c>
      <c r="E26">
        <v>339060</v>
      </c>
    </row>
    <row r="27" spans="1:5" x14ac:dyDescent="0.25">
      <c r="A27" s="15">
        <v>7</v>
      </c>
      <c r="B27">
        <v>32871</v>
      </c>
      <c r="C27">
        <v>1613</v>
      </c>
      <c r="D27">
        <v>1555</v>
      </c>
      <c r="E27">
        <v>296183</v>
      </c>
    </row>
    <row r="28" spans="1:5" x14ac:dyDescent="0.25">
      <c r="A28" s="15">
        <v>8</v>
      </c>
      <c r="B28">
        <v>25108</v>
      </c>
      <c r="C28">
        <v>1525</v>
      </c>
      <c r="D28">
        <v>1836</v>
      </c>
      <c r="E28">
        <v>297657</v>
      </c>
    </row>
    <row r="29" spans="1:5" x14ac:dyDescent="0.25">
      <c r="A29" s="15">
        <v>9</v>
      </c>
      <c r="B29">
        <v>28741</v>
      </c>
      <c r="C29">
        <v>2404</v>
      </c>
      <c r="D29">
        <v>1711</v>
      </c>
      <c r="E29">
        <v>278300</v>
      </c>
    </row>
    <row r="30" spans="1:5" x14ac:dyDescent="0.25">
      <c r="A30" s="15">
        <v>10</v>
      </c>
      <c r="B30">
        <v>25964</v>
      </c>
      <c r="C30">
        <v>1565</v>
      </c>
      <c r="D30">
        <v>1645</v>
      </c>
      <c r="E30">
        <v>284396</v>
      </c>
    </row>
    <row r="31" spans="1:5" x14ac:dyDescent="0.25">
      <c r="A31" s="15">
        <v>11</v>
      </c>
      <c r="B31">
        <v>29363</v>
      </c>
      <c r="C31">
        <v>2975</v>
      </c>
      <c r="D31">
        <v>1504</v>
      </c>
      <c r="E31">
        <v>324839</v>
      </c>
    </row>
    <row r="32" spans="1:5" x14ac:dyDescent="0.25">
      <c r="A32" s="15">
        <v>12</v>
      </c>
      <c r="B32">
        <v>26430</v>
      </c>
      <c r="C32">
        <v>1019</v>
      </c>
      <c r="D32">
        <v>1338</v>
      </c>
      <c r="E32">
        <v>281229</v>
      </c>
    </row>
    <row r="33" spans="1:5" x14ac:dyDescent="0.25">
      <c r="A33" s="15" t="s">
        <v>56</v>
      </c>
      <c r="B33">
        <v>330662</v>
      </c>
      <c r="C33">
        <v>22699</v>
      </c>
      <c r="D33">
        <v>19637</v>
      </c>
      <c r="E33">
        <v>3527485</v>
      </c>
    </row>
    <row r="37" spans="1:5" x14ac:dyDescent="0.25">
      <c r="A37" s="14" t="s">
        <v>55</v>
      </c>
    </row>
    <row r="38" spans="1:5" x14ac:dyDescent="0.25">
      <c r="A38" s="15" t="s">
        <v>37</v>
      </c>
    </row>
    <row r="39" spans="1:5" x14ac:dyDescent="0.25">
      <c r="A39" s="15" t="s">
        <v>38</v>
      </c>
    </row>
    <row r="40" spans="1:5" x14ac:dyDescent="0.25">
      <c r="A40" s="15" t="s">
        <v>35</v>
      </c>
    </row>
    <row r="41" spans="1:5" x14ac:dyDescent="0.25">
      <c r="A41" s="15" t="s">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A7C28-7BAF-4359-A849-4C74FA5EF445}">
  <dimension ref="A2:M13"/>
  <sheetViews>
    <sheetView zoomScaleNormal="100" workbookViewId="0"/>
  </sheetViews>
  <sheetFormatPr defaultRowHeight="15" x14ac:dyDescent="0.25"/>
  <sheetData>
    <row r="2" spans="1:13" x14ac:dyDescent="0.25">
      <c r="A2">
        <v>47136</v>
      </c>
      <c r="D2">
        <v>490</v>
      </c>
      <c r="M2" s="17" t="s">
        <v>72</v>
      </c>
    </row>
    <row r="3" spans="1:13" x14ac:dyDescent="0.25">
      <c r="A3">
        <v>46603</v>
      </c>
      <c r="D3">
        <v>553</v>
      </c>
      <c r="M3" t="s">
        <v>73</v>
      </c>
    </row>
    <row r="4" spans="1:13" x14ac:dyDescent="0.25">
      <c r="A4">
        <v>62591</v>
      </c>
      <c r="D4">
        <v>442</v>
      </c>
      <c r="M4" t="s">
        <v>74</v>
      </c>
    </row>
    <row r="5" spans="1:13" x14ac:dyDescent="0.25">
      <c r="A5">
        <v>88850</v>
      </c>
      <c r="D5">
        <v>437</v>
      </c>
      <c r="M5" t="s">
        <v>75</v>
      </c>
    </row>
    <row r="6" spans="1:13" x14ac:dyDescent="0.25">
      <c r="A6">
        <v>76061</v>
      </c>
      <c r="D6">
        <v>622</v>
      </c>
    </row>
    <row r="7" spans="1:13" ht="15" customHeight="1" x14ac:dyDescent="0.25">
      <c r="A7">
        <v>85413</v>
      </c>
      <c r="D7">
        <v>609</v>
      </c>
    </row>
    <row r="8" spans="1:13" ht="15" customHeight="1" x14ac:dyDescent="0.25">
      <c r="A8">
        <v>69412</v>
      </c>
      <c r="D8">
        <v>727</v>
      </c>
    </row>
    <row r="9" spans="1:13" x14ac:dyDescent="0.25">
      <c r="A9">
        <v>74278</v>
      </c>
      <c r="D9">
        <v>540</v>
      </c>
    </row>
    <row r="10" spans="1:13" x14ac:dyDescent="0.25">
      <c r="A10">
        <v>89848</v>
      </c>
      <c r="D10">
        <v>794</v>
      </c>
    </row>
    <row r="11" spans="1:13" x14ac:dyDescent="0.25">
      <c r="A11">
        <v>86956</v>
      </c>
      <c r="D11">
        <v>840</v>
      </c>
    </row>
    <row r="12" spans="1:13" x14ac:dyDescent="0.25">
      <c r="A12">
        <v>51503</v>
      </c>
      <c r="D12">
        <v>700</v>
      </c>
    </row>
    <row r="13" spans="1:13" x14ac:dyDescent="0.25">
      <c r="A13">
        <v>74124</v>
      </c>
      <c r="D13">
        <v>807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DASHBOARD Light</vt:lpstr>
      <vt:lpstr>Processing</vt:lpstr>
      <vt:lpstr>Data</vt:lpstr>
      <vt:lpstr>Control</vt:lpstr>
      <vt:lpstr>Resources</vt:lpstr>
      <vt:lpstr>mydata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Serhii Ivanyk</dc:creator>
  <cp:lastModifiedBy>User</cp:lastModifiedBy>
  <dcterms:created xsi:type="dcterms:W3CDTF">2024-02-29T16:27:44Z</dcterms:created>
  <dcterms:modified xsi:type="dcterms:W3CDTF">2026-09-18T10:01:25Z</dcterms:modified>
</cp:coreProperties>
</file>