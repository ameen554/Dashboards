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c6e5fe5563ab6cfd/Desktop/Dashboard Projects/Dashboard/Chart120/"/>
    </mc:Choice>
  </mc:AlternateContent>
  <xr:revisionPtr revIDLastSave="1" documentId="8_{58F7A290-6540-40B0-9C4C-26ABEF5C55B0}" xr6:coauthVersionLast="47" xr6:coauthVersionMax="47" xr10:uidLastSave="{42664341-41A3-4A82-8943-AE965E9AD0EB}"/>
  <bookViews>
    <workbookView xWindow="-120" yWindow="-120" windowWidth="20730" windowHeight="11310" xr2:uid="{36BA4CE5-E2C5-42DC-9B78-9232BF50281F}"/>
  </bookViews>
  <sheets>
    <sheet name="DASHBOARD" sheetId="1" r:id="rId1"/>
    <sheet name="Processing" sheetId="2" r:id="rId2"/>
    <sheet name="Control" sheetId="3" r:id="rId3"/>
    <sheet name="Data" sheetId="4" r:id="rId4"/>
    <sheet name="Resources" sheetId="5" r:id="rId5"/>
  </sheets>
  <definedNames>
    <definedName name="Slicer_Market">#N/A</definedName>
    <definedName name="Slicer_Month">#N/A</definedName>
    <definedName name="Slicer_Year">#N/A</definedName>
  </definedNames>
  <calcPr calcId="191029"/>
  <pivotCaches>
    <pivotCache cacheId="50" r:id="rId6"/>
    <pivotCache cacheId="5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3" i="2" l="1"/>
  <c r="M13" i="2" s="1"/>
  <c r="N14" i="2"/>
  <c r="N15" i="2"/>
  <c r="M15" i="2" s="1"/>
  <c r="N12" i="2"/>
  <c r="M14" i="2"/>
  <c r="M12" i="2"/>
  <c r="D3" i="2" l="1"/>
  <c r="D2" i="2"/>
  <c r="D5" i="2"/>
  <c r="D4" i="2"/>
  <c r="M16" i="2"/>
  <c r="Z3" i="4" l="1"/>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C19" i="2"/>
  <c r="C12" i="2"/>
  <c r="C4" i="2"/>
  <c r="C20" i="2"/>
  <c r="C16" i="2"/>
  <c r="C5" i="2"/>
  <c r="C3" i="2"/>
  <c r="C24" i="2"/>
  <c r="C22" i="2"/>
  <c r="C23" i="2"/>
  <c r="C26" i="2"/>
  <c r="C2" i="2"/>
  <c r="C17" i="2"/>
  <c r="C27" i="2"/>
  <c r="C25" i="2"/>
  <c r="C15" i="2"/>
  <c r="C13" i="2"/>
  <c r="C21" i="2"/>
  <c r="C14" i="2"/>
  <c r="C18" i="2"/>
  <c r="F5" i="2" l="1"/>
  <c r="F4" i="2"/>
  <c r="F3" i="2"/>
  <c r="B6" i="2"/>
  <c r="F2" i="2"/>
  <c r="G26" i="2"/>
  <c r="G18" i="2"/>
  <c r="G25" i="2"/>
  <c r="G14" i="2"/>
  <c r="G17" i="2"/>
  <c r="G21" i="2"/>
  <c r="G13" i="2"/>
  <c r="G22" i="2"/>
  <c r="G12" i="2"/>
  <c r="G16" i="2"/>
  <c r="G24" i="2"/>
  <c r="G20" i="2"/>
  <c r="G23" i="2"/>
  <c r="G19" i="2"/>
  <c r="G27" i="2"/>
  <c r="G15" i="2"/>
  <c r="I12" i="2"/>
  <c r="K12" i="2" s="1"/>
  <c r="I27" i="2"/>
  <c r="K27" i="2" s="1"/>
  <c r="I19" i="2"/>
  <c r="I18" i="2"/>
  <c r="I25" i="2"/>
  <c r="I17" i="2"/>
  <c r="I24" i="2"/>
  <c r="I16" i="2"/>
  <c r="I15" i="2"/>
  <c r="K15" i="2" s="1"/>
  <c r="I26" i="2"/>
  <c r="K26" i="2" s="1"/>
  <c r="I14" i="2"/>
  <c r="I13" i="2"/>
  <c r="C6" i="2"/>
  <c r="G2" i="2" s="1"/>
  <c r="H2" i="2" s="1"/>
  <c r="I20" i="2"/>
  <c r="I23" i="2"/>
  <c r="I22" i="2"/>
  <c r="K22" i="2" s="1"/>
  <c r="I21" i="2"/>
  <c r="K13" i="2" l="1"/>
  <c r="K24" i="2"/>
  <c r="K20" i="2"/>
  <c r="K25" i="2"/>
  <c r="K18" i="2"/>
  <c r="K16" i="2"/>
  <c r="K14" i="2"/>
  <c r="B2" i="2"/>
  <c r="E2" i="2" s="1"/>
  <c r="B5" i="2"/>
  <c r="E5" i="2" s="1"/>
  <c r="B3" i="2"/>
  <c r="E3" i="2" s="1"/>
  <c r="B4" i="2"/>
  <c r="E4" i="2" s="1"/>
  <c r="K17" i="2"/>
  <c r="K19" i="2"/>
  <c r="K23" i="2"/>
  <c r="K21" i="2"/>
  <c r="F28" i="2"/>
  <c r="I3" i="2"/>
  <c r="I2" i="2"/>
  <c r="G3" i="2"/>
  <c r="H3" i="2" s="1"/>
  <c r="H6" i="2" s="1"/>
  <c r="G4" i="2"/>
  <c r="H4" i="2" s="1"/>
  <c r="G5" i="2"/>
  <c r="H5" i="2" s="1"/>
  <c r="I9" i="2" l="1"/>
  <c r="I8" i="2"/>
  <c r="I7" i="2"/>
  <c r="I6" i="2"/>
  <c r="I4" i="2"/>
  <c r="I5" i="2"/>
  <c r="F19" i="2"/>
  <c r="F27" i="2"/>
  <c r="F17" i="2"/>
  <c r="F20" i="2"/>
  <c r="F12" i="2"/>
  <c r="F13" i="2"/>
  <c r="F21" i="2"/>
  <c r="F14" i="2"/>
  <c r="F22" i="2"/>
  <c r="F15" i="2"/>
  <c r="F23" i="2"/>
  <c r="F25" i="2"/>
  <c r="F16" i="2"/>
  <c r="F24" i="2"/>
  <c r="F18" i="2"/>
  <c r="F26" i="2"/>
  <c r="H13" i="2" l="1"/>
  <c r="J13" i="2"/>
  <c r="H14" i="2"/>
  <c r="J14" i="2"/>
  <c r="H24" i="2"/>
  <c r="J24" i="2"/>
  <c r="H16" i="2"/>
  <c r="J16" i="2"/>
  <c r="H12" i="2"/>
  <c r="J12" i="2"/>
  <c r="H25" i="2"/>
  <c r="J25" i="2"/>
  <c r="H20" i="2"/>
  <c r="J20" i="2"/>
  <c r="H23" i="2"/>
  <c r="J23" i="2"/>
  <c r="H17" i="2"/>
  <c r="J17" i="2"/>
  <c r="H15" i="2"/>
  <c r="J15" i="2"/>
  <c r="H27" i="2"/>
  <c r="J27" i="2"/>
  <c r="H22" i="2"/>
  <c r="J22" i="2"/>
  <c r="H19" i="2"/>
  <c r="J19" i="2"/>
  <c r="H26" i="2"/>
  <c r="J26" i="2"/>
  <c r="H18" i="2"/>
  <c r="J18" i="2"/>
  <c r="H21" i="2"/>
  <c r="J21" i="2"/>
  <c r="M19" i="2" l="1" a="1"/>
  <c r="M17" i="2" a="1"/>
  <c r="M18" i="2" a="1"/>
  <c r="M20"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<sst xmlns="http://schemas.openxmlformats.org/spreadsheetml/2006/main" count="205" uniqueCount="100">
  <si>
    <t>Exhibitions</t>
  </si>
  <si>
    <t>Internet</t>
  </si>
  <si>
    <t>Hotels</t>
  </si>
  <si>
    <t>Office</t>
  </si>
  <si>
    <t>Year</t>
  </si>
  <si>
    <t>Month</t>
  </si>
  <si>
    <t>JAN</t>
  </si>
  <si>
    <t>FEB</t>
  </si>
  <si>
    <t>MAR</t>
  </si>
  <si>
    <t>APR</t>
  </si>
  <si>
    <t>MAY</t>
  </si>
  <si>
    <t>JUN</t>
  </si>
  <si>
    <t>JUL</t>
  </si>
  <si>
    <t>AUG</t>
  </si>
  <si>
    <t>SEP</t>
  </si>
  <si>
    <t>OCT</t>
  </si>
  <si>
    <t>NOV</t>
  </si>
  <si>
    <t>DEC</t>
  </si>
  <si>
    <t>Hig</t>
  </si>
  <si>
    <t>Pop</t>
  </si>
  <si>
    <t>Lof</t>
  </si>
  <si>
    <t>Van</t>
  </si>
  <si>
    <t>Vanguard</t>
  </si>
  <si>
    <t>High tech</t>
  </si>
  <si>
    <t>Loft</t>
  </si>
  <si>
    <t>Vanguard E</t>
  </si>
  <si>
    <t>High tech E</t>
  </si>
  <si>
    <t>Loft E</t>
  </si>
  <si>
    <t>Vanguard I</t>
  </si>
  <si>
    <t>High tech I</t>
  </si>
  <si>
    <t>Loft I</t>
  </si>
  <si>
    <t>Vanguard H</t>
  </si>
  <si>
    <t>High tech H</t>
  </si>
  <si>
    <t>Loft H</t>
  </si>
  <si>
    <t>Vanguard O</t>
  </si>
  <si>
    <t>High tech O</t>
  </si>
  <si>
    <t>Loft O</t>
  </si>
  <si>
    <t>Pop Art</t>
  </si>
  <si>
    <t>Row Labels</t>
  </si>
  <si>
    <t>Grand Total</t>
  </si>
  <si>
    <t>Sum of Vanguard E</t>
  </si>
  <si>
    <t>Sum of High tech E</t>
  </si>
  <si>
    <t>Sum of Loft E</t>
  </si>
  <si>
    <t>Sum of Vanguard I</t>
  </si>
  <si>
    <t>Sum of High tech I</t>
  </si>
  <si>
    <t>Sum of Loft I</t>
  </si>
  <si>
    <t>Sum of Vanguard H</t>
  </si>
  <si>
    <t>Sum of High tech H</t>
  </si>
  <si>
    <t>Sum of Loft H</t>
  </si>
  <si>
    <t>Sum of Vanguard O</t>
  </si>
  <si>
    <t>Sum of High tech O</t>
  </si>
  <si>
    <t>Sum of Loft O</t>
  </si>
  <si>
    <t>Pop Art E</t>
  </si>
  <si>
    <t>Pop Art I</t>
  </si>
  <si>
    <t>Pop Art H</t>
  </si>
  <si>
    <t>Pop Art O</t>
  </si>
  <si>
    <t>Sum of Pop Art E</t>
  </si>
  <si>
    <t>Sum of Pop Art I</t>
  </si>
  <si>
    <t>Sum of Pop Art H</t>
  </si>
  <si>
    <t>Sum of Pop Art O</t>
  </si>
  <si>
    <t>Sum of Exhibitions</t>
  </si>
  <si>
    <t>Sum of Internet</t>
  </si>
  <si>
    <t>Sum of Hotels</t>
  </si>
  <si>
    <t>Sum of Office</t>
  </si>
  <si>
    <t>Market</t>
  </si>
  <si>
    <t>%</t>
  </si>
  <si>
    <t>Share</t>
  </si>
  <si>
    <t>Value</t>
  </si>
  <si>
    <t>Cursors</t>
  </si>
  <si>
    <t>Indent</t>
  </si>
  <si>
    <t>Indent C</t>
  </si>
  <si>
    <t>Select</t>
  </si>
  <si>
    <t>Style</t>
  </si>
  <si>
    <t>Show</t>
  </si>
  <si>
    <t>Marker</t>
  </si>
  <si>
    <t>Labels</t>
  </si>
  <si>
    <t>Cursor</t>
  </si>
  <si>
    <t>Indent 1</t>
  </si>
  <si>
    <t>Indent 2</t>
  </si>
  <si>
    <t>Sales Source Channels</t>
  </si>
  <si>
    <t>Total Sales</t>
  </si>
  <si>
    <t>Sales Product Dashboard</t>
  </si>
  <si>
    <t>Categories</t>
  </si>
  <si>
    <t>#1E1E28</t>
  </si>
  <si>
    <t>#1C1E1C</t>
  </si>
  <si>
    <t>#000000</t>
  </si>
  <si>
    <t>#2C3939</t>
  </si>
  <si>
    <t>Line</t>
  </si>
  <si>
    <t>#124F4E</t>
  </si>
  <si>
    <t>#02FEFA</t>
  </si>
  <si>
    <t>#333E43</t>
  </si>
  <si>
    <t>#FFFF00</t>
  </si>
  <si>
    <t>#F3DC28</t>
  </si>
  <si>
    <t>#BE45D1</t>
  </si>
  <si>
    <t>#FF0077</t>
  </si>
  <si>
    <t>#00B0F0</t>
  </si>
  <si>
    <t>#00FF00</t>
  </si>
  <si>
    <t>#25DCF2</t>
  </si>
  <si>
    <t>#00C6C3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</si>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</sst>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04"/>
      <scheme val="minor"/>
    </font>
    <font>
      <sz val="11"/>
      <color theme="0"/>
      <name val="Aptos Narrow"/>
      <family val="2"/>
      <scheme val="minor"/>
    </font>
    <font>
      <u/>
      <sz val="11"/>
      <color theme="10"/>
      <name val="Aptos Narrow"/>
      <family val="2"/>
      <scheme val="minor"/>
    </font>
    <font>
      <b/>
      <u/>
      <sz val="24"/>
      <color theme="0"/>
      <name val="Aptos Narrow"/>
      <family val="2"/>
      <scheme val="minor"/>
    </font>
  </fonts>
  <fills count="17">
    <fill>
      <patternFill patternType="none"/>
    </fill>
    <fill>
      <patternFill patternType="gray125"/>
    </fill>
    <fill>
      <patternFill patternType="solid">
        <fgColor rgb="FF00C6C3"/>
        <bgColor indexed="64"/>
      </patternFill>
    </fill>
    <fill>
      <patternFill patternType="solid">
        <fgColor rgb="FF1E1E28"/>
        <bgColor indexed="64"/>
      </patternFill>
    </fill>
    <fill>
      <patternFill patternType="solid">
        <fgColor rgb="FF1C1E1C"/>
        <bgColor indexed="64"/>
      </patternFill>
    </fill>
    <fill>
      <patternFill patternType="solid">
        <fgColor rgb="FF000000"/>
        <bgColor indexed="64"/>
      </patternFill>
    </fill>
    <fill>
      <patternFill patternType="solid">
        <fgColor rgb="FF2C3939"/>
        <bgColor indexed="64"/>
      </patternFill>
    </fill>
    <fill>
      <patternFill patternType="solid">
        <fgColor rgb="FF124F4E"/>
        <bgColor indexed="64"/>
      </patternFill>
    </fill>
    <fill>
      <patternFill patternType="solid">
        <fgColor rgb="FF02FEFA"/>
        <bgColor indexed="64"/>
      </patternFill>
    </fill>
    <fill>
      <patternFill patternType="solid">
        <fgColor rgb="FF333E43"/>
        <bgColor indexed="64"/>
      </patternFill>
    </fill>
    <fill>
      <patternFill patternType="solid">
        <fgColor rgb="FFFFFF00"/>
        <bgColor indexed="64"/>
      </patternFill>
    </fill>
    <fill>
      <patternFill patternType="solid">
        <fgColor rgb="FFF3DC28"/>
        <bgColor indexed="64"/>
      </patternFill>
    </fill>
    <fill>
      <patternFill patternType="solid">
        <fgColor rgb="FFBE45D1"/>
        <bgColor indexed="64"/>
      </patternFill>
    </fill>
    <fill>
      <patternFill patternType="solid">
        <fgColor rgb="FFFF0077"/>
        <bgColor indexed="64"/>
      </patternFill>
    </fill>
    <fill>
      <patternFill patternType="solid">
        <fgColor rgb="FF00B0F0"/>
        <bgColor indexed="64"/>
      </patternFill>
    </fill>
    <fill>
      <patternFill patternType="solid">
        <fgColor rgb="FF00FF00"/>
        <bgColor indexed="64"/>
      </patternFill>
    </fill>
    <fill>
      <patternFill patternType="solid">
        <fgColor rgb="FF25DCF2"/>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cellStyleXfs>
  <cellXfs count="36">
    <xf numFmtId="0" fontId="0" fillId="0" borderId="0" xfId="0"/>
    <xf numFmtId="0" fontId="0" fillId="0" borderId="0" xfId="0" applyAlignment="1">
      <alignment horizontal="center" vertical="center"/>
    </xf>
    <xf numFmtId="0" fontId="3"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2" fillId="0" borderId="0" xfId="0" applyFont="1" applyAlignment="1">
      <alignment horizontal="center"/>
    </xf>
    <xf numFmtId="0" fontId="0" fillId="0" borderId="0" xfId="0" pivotButton="1"/>
    <xf numFmtId="0" fontId="2" fillId="0" borderId="0" xfId="0" applyFont="1"/>
    <xf numFmtId="9" fontId="0" fillId="0" borderId="0" xfId="1" applyFont="1" applyAlignment="1">
      <alignment horizontal="center"/>
    </xf>
    <xf numFmtId="9" fontId="0" fillId="0" borderId="0" xfId="0" applyNumberFormat="1" applyAlignment="1">
      <alignment horizontal="center"/>
    </xf>
    <xf numFmtId="0" fontId="0" fillId="2" borderId="0" xfId="0" applyFill="1"/>
    <xf numFmtId="164" fontId="0" fillId="0" borderId="0" xfId="2" applyNumberFormat="1" applyFont="1"/>
    <xf numFmtId="9" fontId="2" fillId="0" borderId="0" xfId="1" applyFont="1" applyAlignment="1">
      <alignment horizontal="center"/>
    </xf>
    <xf numFmtId="164" fontId="2" fillId="0" borderId="0" xfId="2" applyNumberFormat="1" applyFont="1" applyAlignment="1">
      <alignment horizontal="center"/>
    </xf>
    <xf numFmtId="0" fontId="2" fillId="0" borderId="0" xfId="0" applyFont="1" applyAlignment="1">
      <alignment horizontal="center" vertical="center"/>
    </xf>
    <xf numFmtId="164" fontId="2" fillId="0" borderId="0" xfId="0" applyNumberFormat="1" applyFont="1"/>
    <xf numFmtId="9" fontId="0" fillId="0" borderId="0" xfId="0" applyNumberFormat="1"/>
    <xf numFmtId="0" fontId="4" fillId="2" borderId="0" xfId="0" applyFont="1" applyFill="1"/>
    <xf numFmtId="0" fontId="4" fillId="3" borderId="0" xfId="0" applyFont="1" applyFill="1"/>
    <xf numFmtId="0" fontId="4" fillId="4" borderId="0" xfId="0" applyFont="1" applyFill="1"/>
    <xf numFmtId="0" fontId="4" fillId="0" borderId="0" xfId="0" applyFont="1"/>
    <xf numFmtId="0" fontId="4" fillId="5" borderId="0" xfId="0" applyFont="1" applyFill="1"/>
    <xf numFmtId="0" fontId="4" fillId="6" borderId="0" xfId="0" applyFont="1" applyFill="1"/>
    <xf numFmtId="0" fontId="4" fillId="7" borderId="0" xfId="0" applyFont="1" applyFill="1"/>
    <xf numFmtId="0" fontId="0" fillId="8" borderId="0" xfId="0" applyFill="1"/>
    <xf numFmtId="0" fontId="4" fillId="9" borderId="0" xfId="0" applyFont="1" applyFill="1"/>
    <xf numFmtId="0" fontId="0" fillId="10" borderId="0" xfId="0" applyFill="1"/>
    <xf numFmtId="0" fontId="0" fillId="11" borderId="0" xfId="0" applyFill="1"/>
    <xf numFmtId="0" fontId="4" fillId="12" borderId="0" xfId="0" applyFont="1" applyFill="1"/>
    <xf numFmtId="0" fontId="4" fillId="13" borderId="0" xfId="0" applyFont="1" applyFill="1"/>
    <xf numFmtId="0" fontId="4" fillId="14" borderId="0" xfId="0" applyFont="1" applyFill="1"/>
    <xf numFmtId="0" fontId="0" fillId="15" borderId="0" xfId="0" applyFill="1"/>
    <xf numFmtId="0" fontId="0" fillId="16" borderId="0" xfId="0" applyFill="1"/>
    <xf numFmtId="0" fontId="6" fillId="2" borderId="0" xfId="3" applyFont="1" applyFill="1"/>
    <xf numFmtId="0" fontId="0" fillId="0" borderId="0" xfId="0" applyNumberFormat="1"/>
    <xf numFmtId="0" fontId="6" fillId="0" borderId="0" xfId="3" applyFont="1" applyFill="1" applyAlignment="1"/>
  </cellXfs>
  <cellStyles count="4">
    <cellStyle name="Currency" xfId="2" builtinId="4"/>
    <cellStyle name="Hyperlink" xfId="3" builtinId="8"/>
    <cellStyle name="Normal" xfId="0" builtinId="0"/>
    <cellStyle name="Percent" xfId="1" builtinId="5"/>
  </cellStyles>
  <dxfs count="3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1"/>
        </patternFill>
      </fill>
      <border diagonalUp="0">
        <left/>
        <right/>
        <top/>
        <bottom/>
        <vertical/>
        <horizontal/>
      </border>
    </dxf>
    <dxf>
      <font>
        <b/>
        <color theme="1"/>
      </font>
      <border>
        <bottom style="thin">
          <color theme="4"/>
        </bottom>
        <vertical/>
        <horizontal/>
      </border>
    </dxf>
    <dxf>
      <font>
        <color theme="1"/>
      </font>
      <fill>
        <patternFill>
          <bgColor rgb="FF1C1E1C"/>
        </patternFill>
      </fill>
      <border diagonalUp="0">
        <left/>
        <right/>
        <top/>
        <bottom/>
        <vertical/>
        <horizontal/>
      </border>
    </dxf>
    <dxf>
      <font>
        <b/>
        <color theme="1"/>
      </font>
      <border>
        <bottom style="thin">
          <color theme="4"/>
        </bottom>
        <vertical/>
        <horizontal/>
      </border>
    </dxf>
    <dxf>
      <font>
        <color theme="1"/>
      </font>
      <fill>
        <patternFill>
          <bgColor rgb="FF1E1E28"/>
        </patternFill>
      </fill>
      <border diagonalUp="0">
        <left/>
        <right/>
        <top/>
        <bottom/>
        <vertical/>
        <horizontal/>
      </border>
    </dxf>
  </dxfs>
  <tableStyles count="3" defaultTableStyle="TableStyleMedium2" defaultPivotStyle="PivotStyleLight16">
    <tableStyle name="SlicerStyleLight1 2" pivot="0" table="0" count="10" xr9:uid="{E425C440-B175-48FA-8AC2-F99EF0E98A13}">
      <tableStyleElement type="wholeTable" dxfId="32"/>
      <tableStyleElement type="headerRow" dxfId="31"/>
    </tableStyle>
    <tableStyle name="SlicerStyleLight1 2 2 2" pivot="0" table="0" count="10" xr9:uid="{4B974191-8271-4D8B-80A4-59A3BF894EC1}">
      <tableStyleElement type="wholeTable" dxfId="30"/>
      <tableStyleElement type="headerRow" dxfId="29"/>
    </tableStyle>
    <tableStyle name="SlicerStyleLight1 2 2 2 2" pivot="0" table="0" count="10" xr9:uid="{177A0BEC-AE64-4F02-BAE2-2A197F9C8018}">
      <tableStyleElement type="wholeTable" dxfId="28"/>
      <tableStyleElement type="headerRow" dxfId="27"/>
    </tableStyle>
  </tableStyles>
  <colors>
    <mruColors>
      <color rgb="FFFF00FF"/>
      <color rgb="FF124F4E"/>
      <color rgb="FF02FEFA"/>
      <color rgb="FF333E43"/>
      <color rgb="FF373C3F"/>
      <color rgb="FF353E41"/>
      <color rgb="FF141614"/>
      <color rgb="FF15151D"/>
      <color rgb="FF1E1E28"/>
      <color rgb="FF1C1E1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tint="-4.9989318521683403E-2"/>
          </font>
          <fill>
            <patternFill patternType="solid">
              <fgColor theme="4" tint="0.59999389629810485"/>
              <bgColor rgb="FF353E41"/>
            </patternFill>
          </fill>
          <border>
            <left style="thin">
              <color rgb="FF343834"/>
            </left>
            <right style="thin">
              <color rgb="FF343834"/>
            </right>
            <top style="thin">
              <color rgb="FF343834"/>
            </top>
            <bottom style="thin">
              <color rgb="FF34383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theme="1" tint="0.499984740745262"/>
          </font>
          <fill>
            <patternFill patternType="solid">
              <fgColor rgb="FFFFFFFF"/>
              <bgColor rgb="FF1C1E1C"/>
            </patternFill>
          </fill>
          <border>
            <left style="thin">
              <color rgb="FF323632"/>
            </left>
            <right style="thin">
              <color rgb="FF323632"/>
            </right>
            <top style="thin">
              <color rgb="FF323632"/>
            </top>
            <bottom style="thin">
              <color rgb="FF323632"/>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3" tint="0.89996032593768116"/>
          </font>
          <fill>
            <patternFill patternType="solid">
              <fgColor theme="4" tint="0.59999389629810485"/>
              <bgColor rgb="FF373C3F"/>
            </patternFill>
          </fill>
          <border>
            <left style="thin">
              <color rgb="FF343834"/>
            </left>
            <right style="thin">
              <color rgb="FF343834"/>
            </right>
            <top style="thin">
              <color rgb="FF343834"/>
            </top>
            <bottom style="thin">
              <color rgb="FF34383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1" tint="0.499984740745262"/>
          </font>
          <fill>
            <patternFill patternType="solid">
              <fgColor rgb="FFFFFFFF"/>
              <bgColor rgb="FF1C1E1C"/>
            </patternFill>
          </fill>
          <border>
            <left style="thin">
              <color rgb="FF323632"/>
            </left>
            <right style="thin">
              <color rgb="FF323632"/>
            </right>
            <top style="thin">
              <color rgb="FF323632"/>
            </top>
            <bottom style="thin">
              <color rgb="FF323632"/>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FF00FF"/>
          </font>
          <fill>
            <patternFill patternType="solid">
              <fgColor theme="4" tint="0.59999389629810485"/>
              <bgColor rgb="FF333E43"/>
            </patternFill>
          </fill>
          <border>
            <left style="thin">
              <color rgb="FF343834"/>
            </left>
            <right style="thin">
              <color rgb="FF343834"/>
            </right>
            <top style="thin">
              <color rgb="FF343834"/>
            </top>
            <bottom style="thin">
              <color rgb="FF34383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2FEFA"/>
          </font>
          <fill>
            <patternFill patternType="solid">
              <fgColor rgb="FFFFFFFF"/>
              <bgColor rgb="FF141614"/>
            </patternFill>
          </fill>
          <border>
            <left style="thin">
              <color rgb="FF323632"/>
            </left>
            <right style="thin">
              <color rgb="FF323632"/>
            </right>
            <top style="thin">
              <color rgb="FF323632"/>
            </top>
            <bottom style="thin">
              <color rgb="FF323632"/>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Processing!$F$11</c:f>
              <c:strCache>
                <c:ptCount val="1"/>
                <c:pt idx="0">
                  <c:v>Indent</c:v>
                </c:pt>
              </c:strCache>
            </c:strRef>
          </c:tx>
          <c:spPr>
            <a:noFill/>
            <a:ln>
              <a:noFill/>
            </a:ln>
            <a:effectLst/>
          </c:spPr>
          <c:invertIfNegative val="0"/>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Processing!$F$12:$F$27</c:f>
              <c:numCache>
                <c:formatCode>General</c:formatCode>
                <c:ptCount val="16"/>
                <c:pt idx="0">
                  <c:v>425.5</c:v>
                </c:pt>
                <c:pt idx="1">
                  <c:v>425.5</c:v>
                </c:pt>
                <c:pt idx="2">
                  <c:v>425.5</c:v>
                </c:pt>
                <c:pt idx="3">
                  <c:v>425.5</c:v>
                </c:pt>
                <c:pt idx="4">
                  <c:v>425.5</c:v>
                </c:pt>
                <c:pt idx="5">
                  <c:v>425.5</c:v>
                </c:pt>
                <c:pt idx="6">
                  <c:v>425.5</c:v>
                </c:pt>
                <c:pt idx="7">
                  <c:v>425.5</c:v>
                </c:pt>
                <c:pt idx="8">
                  <c:v>425.5</c:v>
                </c:pt>
                <c:pt idx="9">
                  <c:v>425.5</c:v>
                </c:pt>
                <c:pt idx="10">
                  <c:v>425.5</c:v>
                </c:pt>
                <c:pt idx="11">
                  <c:v>425.5</c:v>
                </c:pt>
                <c:pt idx="12">
                  <c:v>425.5</c:v>
                </c:pt>
                <c:pt idx="13">
                  <c:v>425.5</c:v>
                </c:pt>
                <c:pt idx="14">
                  <c:v>425.5</c:v>
                </c:pt>
                <c:pt idx="15">
                  <c:v>425.5</c:v>
                </c:pt>
              </c:numCache>
            </c:numRef>
          </c:val>
          <c:extLst>
            <c:ext xmlns:c16="http://schemas.microsoft.com/office/drawing/2014/chart" uri="{C3380CC4-5D6E-409C-BE32-E72D297353CC}">
              <c16:uniqueId val="{00000000-7425-4D87-8DF7-DCDFCBCB19C9}"/>
            </c:ext>
          </c:extLst>
        </c:ser>
        <c:ser>
          <c:idx val="1"/>
          <c:order val="1"/>
          <c:tx>
            <c:strRef>
              <c:f>Processing!$G$11</c:f>
              <c:strCache>
                <c:ptCount val="1"/>
                <c:pt idx="0">
                  <c:v>Value</c:v>
                </c:pt>
              </c:strCache>
            </c:strRef>
          </c:tx>
          <c:spPr>
            <a:solidFill>
              <a:schemeClr val="accent2"/>
            </a:solidFill>
            <a:ln w="114300">
              <a:solidFill>
                <a:srgbClr val="124F4E"/>
              </a:solidFill>
            </a:ln>
            <a:effectLst/>
          </c:spPr>
          <c:invertIfNegative val="0"/>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Processing!$G$12:$G$27</c:f>
              <c:numCache>
                <c:formatCode>General</c:formatCode>
                <c:ptCount val="16"/>
                <c:pt idx="0">
                  <c:v>4255</c:v>
                </c:pt>
                <c:pt idx="1">
                  <c:v>1819</c:v>
                </c:pt>
                <c:pt idx="2">
                  <c:v>2688</c:v>
                </c:pt>
                <c:pt idx="3">
                  <c:v>1812</c:v>
                </c:pt>
                <c:pt idx="4">
                  <c:v>1773</c:v>
                </c:pt>
                <c:pt idx="5">
                  <c:v>3100</c:v>
                </c:pt>
                <c:pt idx="6">
                  <c:v>1800</c:v>
                </c:pt>
                <c:pt idx="7">
                  <c:v>2031</c:v>
                </c:pt>
                <c:pt idx="8">
                  <c:v>2660</c:v>
                </c:pt>
                <c:pt idx="9">
                  <c:v>1954</c:v>
                </c:pt>
                <c:pt idx="10">
                  <c:v>2112</c:v>
                </c:pt>
                <c:pt idx="11">
                  <c:v>1235</c:v>
                </c:pt>
                <c:pt idx="12">
                  <c:v>2172</c:v>
                </c:pt>
                <c:pt idx="13">
                  <c:v>1719</c:v>
                </c:pt>
                <c:pt idx="14">
                  <c:v>2400</c:v>
                </c:pt>
                <c:pt idx="15">
                  <c:v>1270</c:v>
                </c:pt>
              </c:numCache>
            </c:numRef>
          </c:val>
          <c:extLst>
            <c:ext xmlns:c16="http://schemas.microsoft.com/office/drawing/2014/chart" uri="{C3380CC4-5D6E-409C-BE32-E72D297353CC}">
              <c16:uniqueId val="{00000001-7425-4D87-8DF7-DCDFCBCB19C9}"/>
            </c:ext>
          </c:extLst>
        </c:ser>
        <c:dLbls>
          <c:showLegendKey val="0"/>
          <c:showVal val="0"/>
          <c:showCatName val="0"/>
          <c:showSerName val="0"/>
          <c:showPercent val="0"/>
          <c:showBubbleSize val="0"/>
        </c:dLbls>
        <c:gapWidth val="320"/>
        <c:overlap val="100"/>
        <c:axId val="1727639440"/>
        <c:axId val="1727637520"/>
      </c:barChart>
      <c:barChart>
        <c:barDir val="col"/>
        <c:grouping val="stacked"/>
        <c:varyColors val="0"/>
        <c:ser>
          <c:idx val="2"/>
          <c:order val="2"/>
          <c:tx>
            <c:strRef>
              <c:f>Processing!$H$11</c:f>
              <c:strCache>
                <c:ptCount val="1"/>
                <c:pt idx="0">
                  <c:v>Indent C</c:v>
                </c:pt>
              </c:strCache>
            </c:strRef>
          </c:tx>
          <c:spPr>
            <a:noFill/>
            <a:ln>
              <a:noFill/>
            </a:ln>
            <a:effectLst/>
          </c:spPr>
          <c:invertIfNegative val="0"/>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Processing!$H$12:$H$27</c:f>
              <c:numCache>
                <c:formatCode>General</c:formatCode>
                <c:ptCount val="16"/>
                <c:pt idx="0">
                  <c:v>425.5</c:v>
                </c:pt>
                <c:pt idx="1">
                  <c:v>425.5</c:v>
                </c:pt>
                <c:pt idx="2">
                  <c:v>425.5</c:v>
                </c:pt>
                <c:pt idx="3">
                  <c:v>425.5</c:v>
                </c:pt>
                <c:pt idx="4">
                  <c:v>425.5</c:v>
                </c:pt>
                <c:pt idx="5">
                  <c:v>425.5</c:v>
                </c:pt>
                <c:pt idx="6">
                  <c:v>425.5</c:v>
                </c:pt>
                <c:pt idx="7">
                  <c:v>425.5</c:v>
                </c:pt>
                <c:pt idx="8">
                  <c:v>425.5</c:v>
                </c:pt>
                <c:pt idx="9">
                  <c:v>425.5</c:v>
                </c:pt>
                <c:pt idx="10">
                  <c:v>425.5</c:v>
                </c:pt>
                <c:pt idx="11">
                  <c:v>425.5</c:v>
                </c:pt>
                <c:pt idx="12">
                  <c:v>425.5</c:v>
                </c:pt>
                <c:pt idx="13">
                  <c:v>425.5</c:v>
                </c:pt>
                <c:pt idx="14">
                  <c:v>425.5</c:v>
                </c:pt>
                <c:pt idx="15">
                  <c:v>425.5</c:v>
                </c:pt>
              </c:numCache>
            </c:numRef>
          </c:val>
          <c:extLst>
            <c:ext xmlns:c16="http://schemas.microsoft.com/office/drawing/2014/chart" uri="{C3380CC4-5D6E-409C-BE32-E72D297353CC}">
              <c16:uniqueId val="{00000002-7425-4D87-8DF7-DCDFCBCB19C9}"/>
            </c:ext>
          </c:extLst>
        </c:ser>
        <c:ser>
          <c:idx val="3"/>
          <c:order val="3"/>
          <c:tx>
            <c:strRef>
              <c:f>Processing!$I$11</c:f>
              <c:strCache>
                <c:ptCount val="1"/>
                <c:pt idx="0">
                  <c:v>Cursors</c:v>
                </c:pt>
              </c:strCache>
            </c:strRef>
          </c:tx>
          <c:spPr>
            <a:solidFill>
              <a:schemeClr val="accent4"/>
            </a:solidFill>
            <a:ln w="114300">
              <a:gradFill>
                <a:gsLst>
                  <a:gs pos="33000">
                    <a:srgbClr val="FFFF00"/>
                  </a:gs>
                  <a:gs pos="100000">
                    <a:srgbClr val="BE45D1"/>
                  </a:gs>
                </a:gsLst>
                <a:lin ang="5400000" scaled="1"/>
              </a:gradFill>
            </a:ln>
            <a:effectLst/>
          </c:spPr>
          <c:invertIfNegative val="0"/>
          <c:dPt>
            <c:idx val="0"/>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1D-7425-4D87-8DF7-DCDFCBCB19C9}"/>
              </c:ext>
            </c:extLst>
          </c:dPt>
          <c:dPt>
            <c:idx val="1"/>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1E-7425-4D87-8DF7-DCDFCBCB19C9}"/>
              </c:ext>
            </c:extLst>
          </c:dPt>
          <c:dPt>
            <c:idx val="2"/>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1F-7425-4D87-8DF7-DCDFCBCB19C9}"/>
              </c:ext>
            </c:extLst>
          </c:dPt>
          <c:dPt>
            <c:idx val="3"/>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20-7425-4D87-8DF7-DCDFCBCB19C9}"/>
              </c:ext>
            </c:extLst>
          </c:dPt>
          <c:dPt>
            <c:idx val="4"/>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5-7425-4D87-8DF7-DCDFCBCB19C9}"/>
              </c:ext>
            </c:extLst>
          </c:dPt>
          <c:dPt>
            <c:idx val="5"/>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6-7425-4D87-8DF7-DCDFCBCB19C9}"/>
              </c:ext>
            </c:extLst>
          </c:dPt>
          <c:dPt>
            <c:idx val="6"/>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7-7425-4D87-8DF7-DCDFCBCB19C9}"/>
              </c:ext>
            </c:extLst>
          </c:dPt>
          <c:dPt>
            <c:idx val="7"/>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8-7425-4D87-8DF7-DCDFCBCB19C9}"/>
              </c:ext>
            </c:extLst>
          </c:dPt>
          <c:dPt>
            <c:idx val="8"/>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9-7425-4D87-8DF7-DCDFCBCB19C9}"/>
              </c:ext>
            </c:extLst>
          </c:dPt>
          <c:dPt>
            <c:idx val="9"/>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A-7425-4D87-8DF7-DCDFCBCB19C9}"/>
              </c:ext>
            </c:extLst>
          </c:dPt>
          <c:dPt>
            <c:idx val="10"/>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B-7425-4D87-8DF7-DCDFCBCB19C9}"/>
              </c:ext>
            </c:extLst>
          </c:dPt>
          <c:dPt>
            <c:idx val="11"/>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C-7425-4D87-8DF7-DCDFCBCB19C9}"/>
              </c:ext>
            </c:extLst>
          </c:dPt>
          <c:dPt>
            <c:idx val="12"/>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1-7425-4D87-8DF7-DCDFCBCB19C9}"/>
              </c:ext>
            </c:extLst>
          </c:dPt>
          <c:dPt>
            <c:idx val="13"/>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2-7425-4D87-8DF7-DCDFCBCB19C9}"/>
              </c:ext>
            </c:extLst>
          </c:dPt>
          <c:dPt>
            <c:idx val="14"/>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3-7425-4D87-8DF7-DCDFCBCB19C9}"/>
              </c:ext>
            </c:extLst>
          </c:dPt>
          <c:dPt>
            <c:idx val="15"/>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4-7425-4D87-8DF7-DCDFCBCB19C9}"/>
              </c:ext>
            </c:extLst>
          </c:dPt>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Processing!$I$12:$I$27</c:f>
              <c:numCache>
                <c:formatCode>General</c:formatCode>
                <c:ptCount val="16"/>
                <c:pt idx="0">
                  <c:v>4255</c:v>
                </c:pt>
                <c:pt idx="1">
                  <c:v>1819</c:v>
                </c:pt>
                <c:pt idx="2">
                  <c:v>2688</c:v>
                </c:pt>
                <c:pt idx="3">
                  <c:v>1812</c:v>
                </c:pt>
                <c:pt idx="4">
                  <c:v>1773</c:v>
                </c:pt>
                <c:pt idx="5">
                  <c:v>3100</c:v>
                </c:pt>
                <c:pt idx="6">
                  <c:v>1800</c:v>
                </c:pt>
                <c:pt idx="7">
                  <c:v>2031</c:v>
                </c:pt>
                <c:pt idx="8">
                  <c:v>2660</c:v>
                </c:pt>
                <c:pt idx="9">
                  <c:v>1954</c:v>
                </c:pt>
                <c:pt idx="10">
                  <c:v>2112</c:v>
                </c:pt>
                <c:pt idx="11">
                  <c:v>1235</c:v>
                </c:pt>
                <c:pt idx="12">
                  <c:v>2172</c:v>
                </c:pt>
                <c:pt idx="13">
                  <c:v>1719</c:v>
                </c:pt>
                <c:pt idx="14">
                  <c:v>2400</c:v>
                </c:pt>
                <c:pt idx="15">
                  <c:v>1270</c:v>
                </c:pt>
              </c:numCache>
            </c:numRef>
          </c:val>
          <c:extLst>
            <c:ext xmlns:c16="http://schemas.microsoft.com/office/drawing/2014/chart" uri="{C3380CC4-5D6E-409C-BE32-E72D297353CC}">
              <c16:uniqueId val="{00000003-7425-4D87-8DF7-DCDFCBCB19C9}"/>
            </c:ext>
          </c:extLst>
        </c:ser>
        <c:dLbls>
          <c:showLegendKey val="0"/>
          <c:showVal val="0"/>
          <c:showCatName val="0"/>
          <c:showSerName val="0"/>
          <c:showPercent val="0"/>
          <c:showBubbleSize val="0"/>
        </c:dLbls>
        <c:gapWidth val="320"/>
        <c:overlap val="100"/>
        <c:axId val="1679844464"/>
        <c:axId val="1679844944"/>
      </c:barChart>
      <c:scatterChart>
        <c:scatterStyle val="lineMarker"/>
        <c:varyColors val="0"/>
        <c:ser>
          <c:idx val="4"/>
          <c:order val="4"/>
          <c:tx>
            <c:strRef>
              <c:f>Processing!$J$11</c:f>
              <c:strCache>
                <c:ptCount val="1"/>
                <c:pt idx="0">
                  <c:v>Marker</c:v>
                </c:pt>
              </c:strCache>
            </c:strRef>
          </c:tx>
          <c:spPr>
            <a:ln w="25400" cap="rnd">
              <a:noFill/>
              <a:round/>
            </a:ln>
            <a:effectLst/>
          </c:spPr>
          <c:marker>
            <c:symbol val="none"/>
          </c:marker>
          <c:dLbls>
            <c:dLbl>
              <c:idx val="0"/>
              <c:tx>
                <c:rich>
                  <a:bodyPr/>
                  <a:lstStyle/>
                  <a:p>
                    <a:fld id="{C39A4626-43F8-4D36-B478-A49BAEABF8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425-4D87-8DF7-DCDFCBCB19C9}"/>
                </c:ext>
              </c:extLst>
            </c:dLbl>
            <c:dLbl>
              <c:idx val="1"/>
              <c:tx>
                <c:rich>
                  <a:bodyPr/>
                  <a:lstStyle/>
                  <a:p>
                    <a:fld id="{40BB57ED-36CA-4231-BF8C-AA0C9C92CF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425-4D87-8DF7-DCDFCBCB19C9}"/>
                </c:ext>
              </c:extLst>
            </c:dLbl>
            <c:dLbl>
              <c:idx val="2"/>
              <c:tx>
                <c:rich>
                  <a:bodyPr/>
                  <a:lstStyle/>
                  <a:p>
                    <a:fld id="{D3E0FB7C-2404-45BE-A580-1C833ECFD2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425-4D87-8DF7-DCDFCBCB19C9}"/>
                </c:ext>
              </c:extLst>
            </c:dLbl>
            <c:dLbl>
              <c:idx val="3"/>
              <c:tx>
                <c:rich>
                  <a:bodyPr/>
                  <a:lstStyle/>
                  <a:p>
                    <a:fld id="{20F02973-DFBD-4CBB-A143-3775EFC674A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425-4D87-8DF7-DCDFCBCB19C9}"/>
                </c:ext>
              </c:extLst>
            </c:dLbl>
            <c:dLbl>
              <c:idx val="4"/>
              <c:tx>
                <c:rich>
                  <a:bodyPr/>
                  <a:lstStyle/>
                  <a:p>
                    <a:fld id="{670DCD3C-DEA5-4C53-BED9-7F049BF14BE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425-4D87-8DF7-DCDFCBCB19C9}"/>
                </c:ext>
              </c:extLst>
            </c:dLbl>
            <c:dLbl>
              <c:idx val="5"/>
              <c:tx>
                <c:rich>
                  <a:bodyPr/>
                  <a:lstStyle/>
                  <a:p>
                    <a:fld id="{A35FE297-DE65-4D3E-9F0D-E23B451415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425-4D87-8DF7-DCDFCBCB19C9}"/>
                </c:ext>
              </c:extLst>
            </c:dLbl>
            <c:dLbl>
              <c:idx val="6"/>
              <c:tx>
                <c:rich>
                  <a:bodyPr/>
                  <a:lstStyle/>
                  <a:p>
                    <a:fld id="{D550A8A5-B3AE-46C8-BC04-7C76DB407AA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425-4D87-8DF7-DCDFCBCB19C9}"/>
                </c:ext>
              </c:extLst>
            </c:dLbl>
            <c:dLbl>
              <c:idx val="7"/>
              <c:tx>
                <c:rich>
                  <a:bodyPr/>
                  <a:lstStyle/>
                  <a:p>
                    <a:fld id="{943BCD26-3A81-4481-8237-CB6D10DFEB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425-4D87-8DF7-DCDFCBCB19C9}"/>
                </c:ext>
              </c:extLst>
            </c:dLbl>
            <c:dLbl>
              <c:idx val="8"/>
              <c:tx>
                <c:rich>
                  <a:bodyPr/>
                  <a:lstStyle/>
                  <a:p>
                    <a:fld id="{B21F24C5-63B5-4D22-885C-C99FFE1676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425-4D87-8DF7-DCDFCBCB19C9}"/>
                </c:ext>
              </c:extLst>
            </c:dLbl>
            <c:dLbl>
              <c:idx val="9"/>
              <c:tx>
                <c:rich>
                  <a:bodyPr/>
                  <a:lstStyle/>
                  <a:p>
                    <a:fld id="{8731EC10-CF93-447D-AC37-74C370A85E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425-4D87-8DF7-DCDFCBCB19C9}"/>
                </c:ext>
              </c:extLst>
            </c:dLbl>
            <c:dLbl>
              <c:idx val="10"/>
              <c:tx>
                <c:rich>
                  <a:bodyPr/>
                  <a:lstStyle/>
                  <a:p>
                    <a:fld id="{342BD1A6-189E-40DE-B958-233497585D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425-4D87-8DF7-DCDFCBCB19C9}"/>
                </c:ext>
              </c:extLst>
            </c:dLbl>
            <c:dLbl>
              <c:idx val="11"/>
              <c:tx>
                <c:rich>
                  <a:bodyPr/>
                  <a:lstStyle/>
                  <a:p>
                    <a:fld id="{DEF0CF04-949D-416C-979D-9A0A7E225D4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425-4D87-8DF7-DCDFCBCB19C9}"/>
                </c:ext>
              </c:extLst>
            </c:dLbl>
            <c:dLbl>
              <c:idx val="12"/>
              <c:tx>
                <c:rich>
                  <a:bodyPr/>
                  <a:lstStyle/>
                  <a:p>
                    <a:fld id="{0695AD7A-3486-464F-85EB-B7778E234CF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425-4D87-8DF7-DCDFCBCB19C9}"/>
                </c:ext>
              </c:extLst>
            </c:dLbl>
            <c:dLbl>
              <c:idx val="13"/>
              <c:tx>
                <c:rich>
                  <a:bodyPr/>
                  <a:lstStyle/>
                  <a:p>
                    <a:fld id="{96E10D23-9A0A-4D3A-86B4-0A3B0E9330C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425-4D87-8DF7-DCDFCBCB19C9}"/>
                </c:ext>
              </c:extLst>
            </c:dLbl>
            <c:dLbl>
              <c:idx val="14"/>
              <c:tx>
                <c:rich>
                  <a:bodyPr/>
                  <a:lstStyle/>
                  <a:p>
                    <a:fld id="{ED09951F-C229-4BD4-AD03-5F4C6B7497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425-4D87-8DF7-DCDFCBCB19C9}"/>
                </c:ext>
              </c:extLst>
            </c:dLbl>
            <c:dLbl>
              <c:idx val="15"/>
              <c:tx>
                <c:rich>
                  <a:bodyPr/>
                  <a:lstStyle/>
                  <a:p>
                    <a:fld id="{2DA9E63E-1BA4-4D60-B1BE-CE33823240D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425-4D87-8DF7-DCDFCBCB19C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20000"/>
                        <a:lumOff val="80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Processing!$J$12:$J$27</c:f>
              <c:numCache>
                <c:formatCode>General</c:formatCode>
                <c:ptCount val="16"/>
                <c:pt idx="0">
                  <c:v>4680.5</c:v>
                </c:pt>
                <c:pt idx="1">
                  <c:v>2244.5</c:v>
                </c:pt>
                <c:pt idx="2">
                  <c:v>3113.5</c:v>
                </c:pt>
                <c:pt idx="3">
                  <c:v>2237.5</c:v>
                </c:pt>
                <c:pt idx="4">
                  <c:v>2198.5</c:v>
                </c:pt>
                <c:pt idx="5">
                  <c:v>3525.5</c:v>
                </c:pt>
                <c:pt idx="6">
                  <c:v>2225.5</c:v>
                </c:pt>
                <c:pt idx="7">
                  <c:v>2456.5</c:v>
                </c:pt>
                <c:pt idx="8">
                  <c:v>3085.5</c:v>
                </c:pt>
                <c:pt idx="9">
                  <c:v>2379.5</c:v>
                </c:pt>
                <c:pt idx="10">
                  <c:v>2537.5</c:v>
                </c:pt>
                <c:pt idx="11">
                  <c:v>1660.5</c:v>
                </c:pt>
                <c:pt idx="12">
                  <c:v>2597.5</c:v>
                </c:pt>
                <c:pt idx="13">
                  <c:v>2144.5</c:v>
                </c:pt>
                <c:pt idx="14">
                  <c:v>2825.5</c:v>
                </c:pt>
                <c:pt idx="15">
                  <c:v>1695.5</c:v>
                </c:pt>
              </c:numCache>
            </c:numRef>
          </c:yVal>
          <c:smooth val="0"/>
          <c:extLst>
            <c:ext xmlns:c15="http://schemas.microsoft.com/office/drawing/2012/chart" uri="{02D57815-91ED-43cb-92C2-25804820EDAC}">
              <c15:datalabelsRange>
                <c15:f>Processing!$K$12:$K$27</c15:f>
                <c15:dlblRangeCache>
                  <c:ptCount val="16"/>
                  <c:pt idx="0">
                    <c:v>4k</c:v>
                  </c:pt>
                  <c:pt idx="1">
                    <c:v>2k</c:v>
                  </c:pt>
                  <c:pt idx="2">
                    <c:v>3k</c:v>
                  </c:pt>
                  <c:pt idx="3">
                    <c:v>2k</c:v>
                  </c:pt>
                  <c:pt idx="4">
                    <c:v>2k</c:v>
                  </c:pt>
                  <c:pt idx="5">
                    <c:v>3k</c:v>
                  </c:pt>
                  <c:pt idx="6">
                    <c:v>2k</c:v>
                  </c:pt>
                  <c:pt idx="7">
                    <c:v>2k</c:v>
                  </c:pt>
                  <c:pt idx="8">
                    <c:v>3k</c:v>
                  </c:pt>
                  <c:pt idx="9">
                    <c:v>2k</c:v>
                  </c:pt>
                  <c:pt idx="10">
                    <c:v>2k</c:v>
                  </c:pt>
                  <c:pt idx="11">
                    <c:v>1k</c:v>
                  </c:pt>
                  <c:pt idx="12">
                    <c:v>2k</c:v>
                  </c:pt>
                  <c:pt idx="13">
                    <c:v>2k</c:v>
                  </c:pt>
                  <c:pt idx="14">
                    <c:v>2k</c:v>
                  </c:pt>
                  <c:pt idx="15">
                    <c:v>1k</c:v>
                  </c:pt>
                </c15:dlblRangeCache>
              </c15:datalabelsRange>
            </c:ext>
            <c:ext xmlns:c16="http://schemas.microsoft.com/office/drawing/2014/chart" uri="{C3380CC4-5D6E-409C-BE32-E72D297353CC}">
              <c16:uniqueId val="{00000014-7425-4D87-8DF7-DCDFCBCB19C9}"/>
            </c:ext>
          </c:extLst>
        </c:ser>
        <c:dLbls>
          <c:showLegendKey val="0"/>
          <c:showVal val="0"/>
          <c:showCatName val="0"/>
          <c:showSerName val="0"/>
          <c:showPercent val="0"/>
          <c:showBubbleSize val="0"/>
        </c:dLbls>
        <c:axId val="1679844464"/>
        <c:axId val="1679844944"/>
      </c:scatterChart>
      <c:catAx>
        <c:axId val="1727639440"/>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1727637520"/>
        <c:crosses val="autoZero"/>
        <c:auto val="1"/>
        <c:lblAlgn val="ctr"/>
        <c:lblOffset val="100"/>
        <c:noMultiLvlLbl val="0"/>
      </c:catAx>
      <c:valAx>
        <c:axId val="1727637520"/>
        <c:scaling>
          <c:orientation val="minMax"/>
        </c:scaling>
        <c:delete val="1"/>
        <c:axPos val="l"/>
        <c:numFmt formatCode="General" sourceLinked="1"/>
        <c:majorTickMark val="none"/>
        <c:minorTickMark val="none"/>
        <c:tickLblPos val="nextTo"/>
        <c:crossAx val="1727639440"/>
        <c:crosses val="autoZero"/>
        <c:crossBetween val="between"/>
      </c:valAx>
      <c:valAx>
        <c:axId val="1679844944"/>
        <c:scaling>
          <c:orientation val="minMax"/>
        </c:scaling>
        <c:delete val="1"/>
        <c:axPos val="r"/>
        <c:numFmt formatCode="General" sourceLinked="1"/>
        <c:majorTickMark val="out"/>
        <c:minorTickMark val="none"/>
        <c:tickLblPos val="nextTo"/>
        <c:crossAx val="1679844464"/>
        <c:crosses val="max"/>
        <c:crossBetween val="between"/>
      </c:valAx>
      <c:catAx>
        <c:axId val="1679844464"/>
        <c:scaling>
          <c:orientation val="minMax"/>
        </c:scaling>
        <c:delete val="1"/>
        <c:axPos val="b"/>
        <c:numFmt formatCode="General" sourceLinked="1"/>
        <c:majorTickMark val="out"/>
        <c:minorTickMark val="none"/>
        <c:tickLblPos val="nextTo"/>
        <c:crossAx val="16798449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Processing!$B$1</c:f>
              <c:strCache>
                <c:ptCount val="1"/>
                <c:pt idx="0">
                  <c:v>Indent 1</c:v>
                </c:pt>
              </c:strCache>
            </c:strRef>
          </c:tx>
          <c:spPr>
            <a:noFill/>
            <a:ln>
              <a:noFill/>
            </a:ln>
            <a:effectLst/>
          </c:spPr>
          <c:invertIfNegative val="0"/>
          <c:cat>
            <c:strRef>
              <c:f>Processing!$A$2:$A$5</c:f>
              <c:strCache>
                <c:ptCount val="4"/>
                <c:pt idx="0">
                  <c:v>Exhibitions</c:v>
                </c:pt>
                <c:pt idx="1">
                  <c:v>Hotels</c:v>
                </c:pt>
                <c:pt idx="2">
                  <c:v>Internet</c:v>
                </c:pt>
                <c:pt idx="3">
                  <c:v>Office</c:v>
                </c:pt>
              </c:strCache>
            </c:strRef>
          </c:cat>
          <c:val>
            <c:numRef>
              <c:f>Processing!$B$2:$B$5</c:f>
              <c:numCache>
                <c:formatCode>General</c:formatCode>
                <c:ptCount val="4"/>
                <c:pt idx="0">
                  <c:v>422.96000000000004</c:v>
                </c:pt>
                <c:pt idx="1">
                  <c:v>422.96000000000004</c:v>
                </c:pt>
                <c:pt idx="2">
                  <c:v>422.96000000000004</c:v>
                </c:pt>
                <c:pt idx="3">
                  <c:v>422.96000000000004</c:v>
                </c:pt>
              </c:numCache>
            </c:numRef>
          </c:val>
          <c:extLst>
            <c:ext xmlns:c16="http://schemas.microsoft.com/office/drawing/2014/chart" uri="{C3380CC4-5D6E-409C-BE32-E72D297353CC}">
              <c16:uniqueId val="{00000000-91CB-47D2-8A29-17BEF8D53D62}"/>
            </c:ext>
          </c:extLst>
        </c:ser>
        <c:ser>
          <c:idx val="1"/>
          <c:order val="1"/>
          <c:tx>
            <c:strRef>
              <c:f>Processing!$C$1</c:f>
              <c:strCache>
                <c:ptCount val="1"/>
                <c:pt idx="0">
                  <c:v>Value</c:v>
                </c:pt>
              </c:strCache>
            </c:strRef>
          </c:tx>
          <c:spPr>
            <a:solidFill>
              <a:schemeClr val="accent2"/>
            </a:solidFill>
            <a:ln w="101600">
              <a:solidFill>
                <a:srgbClr val="124F4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2FEFA"/>
                    </a:solidFill>
                    <a:latin typeface="+mn-lt"/>
                    <a:ea typeface="+mn-ea"/>
                    <a:cs typeface="+mn-cs"/>
                  </a:defRPr>
                </a:pPr>
                <a:endParaRPr lang="ru-RU"/>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Processing!$A$2:$A$5</c:f>
              <c:strCache>
                <c:ptCount val="4"/>
                <c:pt idx="0">
                  <c:v>Exhibitions</c:v>
                </c:pt>
                <c:pt idx="1">
                  <c:v>Hotels</c:v>
                </c:pt>
                <c:pt idx="2">
                  <c:v>Internet</c:v>
                </c:pt>
                <c:pt idx="3">
                  <c:v>Office</c:v>
                </c:pt>
              </c:strCache>
            </c:strRef>
          </c:cat>
          <c:val>
            <c:numRef>
              <c:f>Processing!$C$2:$C$5</c:f>
              <c:numCache>
                <c:formatCode>General</c:formatCode>
                <c:ptCount val="4"/>
                <c:pt idx="0">
                  <c:v>10574</c:v>
                </c:pt>
                <c:pt idx="1">
                  <c:v>8704</c:v>
                </c:pt>
                <c:pt idx="2">
                  <c:v>7961</c:v>
                </c:pt>
                <c:pt idx="3">
                  <c:v>7561</c:v>
                </c:pt>
              </c:numCache>
            </c:numRef>
          </c:val>
          <c:extLst>
            <c:ext xmlns:c16="http://schemas.microsoft.com/office/drawing/2014/chart" uri="{C3380CC4-5D6E-409C-BE32-E72D297353CC}">
              <c16:uniqueId val="{00000001-91CB-47D2-8A29-17BEF8D53D62}"/>
            </c:ext>
          </c:extLst>
        </c:ser>
        <c:ser>
          <c:idx val="2"/>
          <c:order val="2"/>
          <c:tx>
            <c:strRef>
              <c:f>Processing!$D$1</c:f>
              <c:strCache>
                <c:ptCount val="1"/>
                <c:pt idx="0">
                  <c:v>Indent 2</c:v>
                </c:pt>
              </c:strCache>
            </c:strRef>
          </c:tx>
          <c:spPr>
            <a:solidFill>
              <a:schemeClr val="accent3"/>
            </a:solidFill>
            <a:ln w="38100">
              <a:solidFill>
                <a:srgbClr val="02FEFA"/>
              </a:solidFill>
            </a:ln>
            <a:effectLst/>
          </c:spPr>
          <c:invertIfNegative val="0"/>
          <c:cat>
            <c:strRef>
              <c:f>Processing!$A$2:$A$5</c:f>
              <c:strCache>
                <c:ptCount val="4"/>
                <c:pt idx="0">
                  <c:v>Exhibitions</c:v>
                </c:pt>
                <c:pt idx="1">
                  <c:v>Hotels</c:v>
                </c:pt>
                <c:pt idx="2">
                  <c:v>Internet</c:v>
                </c:pt>
                <c:pt idx="3">
                  <c:v>Office</c:v>
                </c:pt>
              </c:strCache>
            </c:strRef>
          </c:cat>
          <c:val>
            <c:numRef>
              <c:f>Processing!$D$2:$D$5</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2-91CB-47D2-8A29-17BEF8D53D62}"/>
            </c:ext>
          </c:extLst>
        </c:ser>
        <c:dLbls>
          <c:showLegendKey val="0"/>
          <c:showVal val="0"/>
          <c:showCatName val="0"/>
          <c:showSerName val="0"/>
          <c:showPercent val="0"/>
          <c:showBubbleSize val="0"/>
        </c:dLbls>
        <c:gapWidth val="300"/>
        <c:overlap val="100"/>
        <c:axId val="1723674239"/>
        <c:axId val="1723686719"/>
      </c:barChart>
      <c:barChart>
        <c:barDir val="bar"/>
        <c:grouping val="stacked"/>
        <c:varyColors val="0"/>
        <c:ser>
          <c:idx val="3"/>
          <c:order val="3"/>
          <c:tx>
            <c:strRef>
              <c:f>Processing!$E$1</c:f>
              <c:strCache>
                <c:ptCount val="1"/>
                <c:pt idx="0">
                  <c:v>Indent C</c:v>
                </c:pt>
              </c:strCache>
            </c:strRef>
          </c:tx>
          <c:spPr>
            <a:noFill/>
            <a:ln>
              <a:noFill/>
            </a:ln>
            <a:effectLst/>
          </c:spPr>
          <c:invertIfNegative val="0"/>
          <c:cat>
            <c:strRef>
              <c:f>Processing!$A$2:$A$5</c:f>
              <c:strCache>
                <c:ptCount val="4"/>
                <c:pt idx="0">
                  <c:v>Exhibitions</c:v>
                </c:pt>
                <c:pt idx="1">
                  <c:v>Hotels</c:v>
                </c:pt>
                <c:pt idx="2">
                  <c:v>Internet</c:v>
                </c:pt>
                <c:pt idx="3">
                  <c:v>Office</c:v>
                </c:pt>
              </c:strCache>
            </c:strRef>
          </c:cat>
          <c:val>
            <c:numRef>
              <c:f>Processing!$E$2:$E$5</c:f>
              <c:numCache>
                <c:formatCode>General</c:formatCode>
                <c:ptCount val="4"/>
                <c:pt idx="0">
                  <c:v>422.96000000000004</c:v>
                </c:pt>
                <c:pt idx="1">
                  <c:v>422.96000000000004</c:v>
                </c:pt>
                <c:pt idx="2">
                  <c:v>422.96000000000004</c:v>
                </c:pt>
                <c:pt idx="3">
                  <c:v>422.96000000000004</c:v>
                </c:pt>
              </c:numCache>
            </c:numRef>
          </c:val>
          <c:extLst>
            <c:ext xmlns:c16="http://schemas.microsoft.com/office/drawing/2014/chart" uri="{C3380CC4-5D6E-409C-BE32-E72D297353CC}">
              <c16:uniqueId val="{00000003-91CB-47D2-8A29-17BEF8D53D62}"/>
            </c:ext>
          </c:extLst>
        </c:ser>
        <c:ser>
          <c:idx val="4"/>
          <c:order val="4"/>
          <c:tx>
            <c:strRef>
              <c:f>Processing!$F$1</c:f>
              <c:strCache>
                <c:ptCount val="1"/>
                <c:pt idx="0">
                  <c:v>Cursor</c:v>
                </c:pt>
              </c:strCache>
            </c:strRef>
          </c:tx>
          <c:spPr>
            <a:solidFill>
              <a:srgbClr val="02FEFA">
                <a:alpha val="0"/>
              </a:srgbClr>
            </a:solidFill>
            <a:ln w="101600">
              <a:solidFill>
                <a:srgbClr val="02FEFA">
                  <a:alpha val="50000"/>
                </a:srgbClr>
              </a:solidFill>
            </a:ln>
            <a:effectLst/>
          </c:spPr>
          <c:invertIfNegative val="0"/>
          <c:cat>
            <c:strRef>
              <c:f>Processing!$A$2:$A$5</c:f>
              <c:strCache>
                <c:ptCount val="4"/>
                <c:pt idx="0">
                  <c:v>Exhibitions</c:v>
                </c:pt>
                <c:pt idx="1">
                  <c:v>Hotels</c:v>
                </c:pt>
                <c:pt idx="2">
                  <c:v>Internet</c:v>
                </c:pt>
                <c:pt idx="3">
                  <c:v>Office</c:v>
                </c:pt>
              </c:strCache>
            </c:strRef>
          </c:cat>
          <c:val>
            <c:numRef>
              <c:f>Processing!$F$2:$F$5</c:f>
              <c:numCache>
                <c:formatCode>General</c:formatCode>
                <c:ptCount val="4"/>
                <c:pt idx="0">
                  <c:v>10574</c:v>
                </c:pt>
                <c:pt idx="1">
                  <c:v>8704</c:v>
                </c:pt>
                <c:pt idx="2">
                  <c:v>7961</c:v>
                </c:pt>
                <c:pt idx="3">
                  <c:v>7561</c:v>
                </c:pt>
              </c:numCache>
            </c:numRef>
          </c:val>
          <c:extLst>
            <c:ext xmlns:c16="http://schemas.microsoft.com/office/drawing/2014/chart" uri="{C3380CC4-5D6E-409C-BE32-E72D297353CC}">
              <c16:uniqueId val="{00000004-91CB-47D2-8A29-17BEF8D53D62}"/>
            </c:ext>
          </c:extLst>
        </c:ser>
        <c:dLbls>
          <c:showLegendKey val="0"/>
          <c:showVal val="0"/>
          <c:showCatName val="0"/>
          <c:showSerName val="0"/>
          <c:showPercent val="0"/>
          <c:showBubbleSize val="0"/>
        </c:dLbls>
        <c:gapWidth val="300"/>
        <c:overlap val="100"/>
        <c:axId val="1723663199"/>
        <c:axId val="1723677599"/>
      </c:barChart>
      <c:catAx>
        <c:axId val="17236742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23686719"/>
        <c:crosses val="autoZero"/>
        <c:auto val="1"/>
        <c:lblAlgn val="ctr"/>
        <c:lblOffset val="100"/>
        <c:noMultiLvlLbl val="0"/>
      </c:catAx>
      <c:valAx>
        <c:axId val="1723686719"/>
        <c:scaling>
          <c:orientation val="minMax"/>
        </c:scaling>
        <c:delete val="1"/>
        <c:axPos val="t"/>
        <c:numFmt formatCode="General" sourceLinked="1"/>
        <c:majorTickMark val="none"/>
        <c:minorTickMark val="none"/>
        <c:tickLblPos val="nextTo"/>
        <c:crossAx val="1723674239"/>
        <c:crosses val="autoZero"/>
        <c:crossBetween val="between"/>
      </c:valAx>
      <c:valAx>
        <c:axId val="1723677599"/>
        <c:scaling>
          <c:orientation val="minMax"/>
        </c:scaling>
        <c:delete val="1"/>
        <c:axPos val="t"/>
        <c:numFmt formatCode="General" sourceLinked="1"/>
        <c:majorTickMark val="out"/>
        <c:minorTickMark val="none"/>
        <c:tickLblPos val="nextTo"/>
        <c:crossAx val="1723663199"/>
        <c:crosses val="autoZero"/>
        <c:crossBetween val="between"/>
      </c:valAx>
      <c:catAx>
        <c:axId val="1723663199"/>
        <c:scaling>
          <c:orientation val="maxMin"/>
        </c:scaling>
        <c:delete val="1"/>
        <c:axPos val="r"/>
        <c:numFmt formatCode="General" sourceLinked="1"/>
        <c:majorTickMark val="out"/>
        <c:minorTickMark val="none"/>
        <c:tickLblPos val="nextTo"/>
        <c:crossAx val="172367759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Processing!$G$1</c:f>
              <c:strCache>
                <c:ptCount val="1"/>
                <c:pt idx="0">
                  <c:v>Share</c:v>
                </c:pt>
              </c:strCache>
            </c:strRef>
          </c:tx>
          <c:spPr>
            <a:ln>
              <a:noFill/>
            </a:ln>
          </c:spPr>
          <c:dPt>
            <c:idx val="0"/>
            <c:bubble3D val="0"/>
            <c:spPr>
              <a:gradFill>
                <a:gsLst>
                  <a:gs pos="46000">
                    <a:srgbClr val="F3DC28"/>
                  </a:gs>
                  <a:gs pos="25000">
                    <a:srgbClr val="FFFF00"/>
                  </a:gs>
                  <a:gs pos="100000">
                    <a:srgbClr val="BE45D1"/>
                  </a:gs>
                </a:gsLst>
                <a:lin ang="9000000" scaled="0"/>
              </a:gradFill>
              <a:ln w="19050">
                <a:noFill/>
              </a:ln>
              <a:effectLst/>
            </c:spPr>
            <c:extLst>
              <c:ext xmlns:c16="http://schemas.microsoft.com/office/drawing/2014/chart" uri="{C3380CC4-5D6E-409C-BE32-E72D297353CC}">
                <c16:uniqueId val="{00000001-48ED-4EBE-BDE9-05203375D9B2}"/>
              </c:ext>
            </c:extLst>
          </c:dPt>
          <c:dPt>
            <c:idx val="1"/>
            <c:bubble3D val="0"/>
            <c:spPr>
              <a:gradFill>
                <a:gsLst>
                  <a:gs pos="71000">
                    <a:srgbClr val="FF0077"/>
                  </a:gs>
                  <a:gs pos="15000">
                    <a:srgbClr val="BE45D1"/>
                  </a:gs>
                </a:gsLst>
                <a:lin ang="4200000" scaled="0"/>
              </a:gradFill>
              <a:ln w="19050">
                <a:noFill/>
              </a:ln>
              <a:effectLst/>
            </c:spPr>
            <c:extLst>
              <c:ext xmlns:c16="http://schemas.microsoft.com/office/drawing/2014/chart" uri="{C3380CC4-5D6E-409C-BE32-E72D297353CC}">
                <c16:uniqueId val="{00000003-48ED-4EBE-BDE9-05203375D9B2}"/>
              </c:ext>
            </c:extLst>
          </c:dPt>
          <c:dPt>
            <c:idx val="2"/>
            <c:bubble3D val="0"/>
            <c:spPr>
              <a:gradFill>
                <a:gsLst>
                  <a:gs pos="60000">
                    <a:srgbClr val="00FF00"/>
                  </a:gs>
                  <a:gs pos="4000">
                    <a:srgbClr val="00B0F0"/>
                  </a:gs>
                </a:gsLst>
                <a:lin ang="9000000" scaled="0"/>
              </a:gradFill>
              <a:ln w="19050">
                <a:noFill/>
              </a:ln>
              <a:effectLst/>
            </c:spPr>
            <c:extLst>
              <c:ext xmlns:c16="http://schemas.microsoft.com/office/drawing/2014/chart" uri="{C3380CC4-5D6E-409C-BE32-E72D297353CC}">
                <c16:uniqueId val="{00000005-48ED-4EBE-BDE9-05203375D9B2}"/>
              </c:ext>
            </c:extLst>
          </c:dPt>
          <c:dPt>
            <c:idx val="3"/>
            <c:bubble3D val="0"/>
            <c:spPr>
              <a:gradFill>
                <a:gsLst>
                  <a:gs pos="50000">
                    <a:srgbClr val="25DCF2"/>
                  </a:gs>
                  <a:gs pos="25000">
                    <a:srgbClr val="02FEFA"/>
                  </a:gs>
                  <a:gs pos="100000">
                    <a:srgbClr val="BE45D1"/>
                  </a:gs>
                </a:gsLst>
                <a:lin ang="3600000" scaled="0"/>
              </a:gradFill>
              <a:ln w="19050">
                <a:noFill/>
              </a:ln>
              <a:effectLst/>
            </c:spPr>
            <c:extLst>
              <c:ext xmlns:c16="http://schemas.microsoft.com/office/drawing/2014/chart" uri="{C3380CC4-5D6E-409C-BE32-E72D297353CC}">
                <c16:uniqueId val="{00000007-48ED-4EBE-BDE9-05203375D9B2}"/>
              </c:ext>
            </c:extLst>
          </c:dPt>
          <c:val>
            <c:numRef>
              <c:f>Processing!$G$2:$G$5</c:f>
              <c:numCache>
                <c:formatCode>0%</c:formatCode>
                <c:ptCount val="4"/>
                <c:pt idx="0">
                  <c:v>0.30385057471264365</c:v>
                </c:pt>
                <c:pt idx="1">
                  <c:v>0.25011494252873562</c:v>
                </c:pt>
                <c:pt idx="2">
                  <c:v>0.22876436781609194</c:v>
                </c:pt>
                <c:pt idx="3">
                  <c:v>0.21727011494252874</c:v>
                </c:pt>
              </c:numCache>
            </c:numRef>
          </c:val>
          <c:extLst>
            <c:ext xmlns:c16="http://schemas.microsoft.com/office/drawing/2014/chart" uri="{C3380CC4-5D6E-409C-BE32-E72D297353CC}">
              <c16:uniqueId val="{00000008-48ED-4EBE-BDE9-05203375D9B2}"/>
            </c:ext>
          </c:extLst>
        </c:ser>
        <c:ser>
          <c:idx val="1"/>
          <c:order val="1"/>
          <c:tx>
            <c:strRef>
              <c:f>Processing!$H$1</c:f>
              <c:strCache>
                <c:ptCount val="1"/>
                <c:pt idx="0">
                  <c:v>%</c:v>
                </c:pt>
              </c:strCache>
            </c:strRef>
          </c:tx>
          <c:spPr>
            <a:noFill/>
            <a:ln>
              <a:noFill/>
            </a:ln>
          </c:spPr>
          <c:dPt>
            <c:idx val="0"/>
            <c:bubble3D val="0"/>
            <c:spPr>
              <a:noFill/>
              <a:ln w="19050">
                <a:noFill/>
              </a:ln>
              <a:effectLst/>
            </c:spPr>
            <c:extLst>
              <c:ext xmlns:c16="http://schemas.microsoft.com/office/drawing/2014/chart" uri="{C3380CC4-5D6E-409C-BE32-E72D297353CC}">
                <c16:uniqueId val="{0000000A-48ED-4EBE-BDE9-05203375D9B2}"/>
              </c:ext>
            </c:extLst>
          </c:dPt>
          <c:dPt>
            <c:idx val="1"/>
            <c:bubble3D val="0"/>
            <c:spPr>
              <a:noFill/>
              <a:ln w="19050">
                <a:noFill/>
              </a:ln>
              <a:effectLst/>
            </c:spPr>
            <c:extLst>
              <c:ext xmlns:c16="http://schemas.microsoft.com/office/drawing/2014/chart" uri="{C3380CC4-5D6E-409C-BE32-E72D297353CC}">
                <c16:uniqueId val="{0000000C-48ED-4EBE-BDE9-05203375D9B2}"/>
              </c:ext>
            </c:extLst>
          </c:dPt>
          <c:dPt>
            <c:idx val="2"/>
            <c:bubble3D val="0"/>
            <c:spPr>
              <a:noFill/>
              <a:ln w="19050">
                <a:noFill/>
              </a:ln>
              <a:effectLst/>
            </c:spPr>
            <c:extLst>
              <c:ext xmlns:c16="http://schemas.microsoft.com/office/drawing/2014/chart" uri="{C3380CC4-5D6E-409C-BE32-E72D297353CC}">
                <c16:uniqueId val="{0000000E-48ED-4EBE-BDE9-05203375D9B2}"/>
              </c:ext>
            </c:extLst>
          </c:dPt>
          <c:dPt>
            <c:idx val="3"/>
            <c:bubble3D val="0"/>
            <c:spPr>
              <a:noFill/>
              <a:ln w="19050">
                <a:noFill/>
              </a:ln>
              <a:effectLst/>
            </c:spPr>
            <c:extLst>
              <c:ext xmlns:c16="http://schemas.microsoft.com/office/drawing/2014/chart" uri="{C3380CC4-5D6E-409C-BE32-E72D297353CC}">
                <c16:uniqueId val="{00000010-48ED-4EBE-BDE9-05203375D9B2}"/>
              </c:ext>
            </c:extLst>
          </c:dPt>
          <c:val>
            <c:numRef>
              <c:f>Processing!$H$2:$H$5</c:f>
              <c:numCache>
                <c:formatCode>0%</c:formatCode>
                <c:ptCount val="4"/>
                <c:pt idx="0">
                  <c:v>0.30385057471264365</c:v>
                </c:pt>
                <c:pt idx="1">
                  <c:v>0.25011494252873562</c:v>
                </c:pt>
                <c:pt idx="2">
                  <c:v>0.22876436781609194</c:v>
                </c:pt>
                <c:pt idx="3">
                  <c:v>0.21727011494252874</c:v>
                </c:pt>
              </c:numCache>
            </c:numRef>
          </c:val>
          <c:extLst>
            <c:ext xmlns:c16="http://schemas.microsoft.com/office/drawing/2014/chart" uri="{C3380CC4-5D6E-409C-BE32-E72D297353CC}">
              <c16:uniqueId val="{00000011-48ED-4EBE-BDE9-05203375D9B2}"/>
            </c:ext>
          </c:extLst>
        </c:ser>
        <c:dLbls>
          <c:showLegendKey val="0"/>
          <c:showVal val="0"/>
          <c:showCatName val="0"/>
          <c:showSerName val="0"/>
          <c:showPercent val="0"/>
          <c:showBubbleSize val="0"/>
          <c:showLeaderLines val="1"/>
        </c:dLbls>
        <c:firstSliceAng val="20"/>
        <c:holeSize val="35"/>
      </c:doughnutChart>
      <c:doughnutChart>
        <c:varyColors val="1"/>
        <c:ser>
          <c:idx val="2"/>
          <c:order val="2"/>
          <c:tx>
            <c:strRef>
              <c:f>Processing!$I$1</c:f>
              <c:strCache>
                <c:ptCount val="1"/>
                <c:pt idx="0">
                  <c:v>Cursor</c:v>
                </c:pt>
              </c:strCache>
            </c:strRef>
          </c:tx>
          <c:spPr>
            <a:noFill/>
            <a:ln>
              <a:noFill/>
            </a:ln>
          </c:spPr>
          <c:dPt>
            <c:idx val="0"/>
            <c:bubble3D val="0"/>
            <c:spPr>
              <a:gradFill>
                <a:gsLst>
                  <a:gs pos="54000">
                    <a:srgbClr val="F3DC28"/>
                  </a:gs>
                  <a:gs pos="25000">
                    <a:srgbClr val="FFFF00"/>
                  </a:gs>
                  <a:gs pos="100000">
                    <a:srgbClr val="BE45D1"/>
                  </a:gs>
                </a:gsLst>
                <a:lin ang="9000000" scaled="0"/>
              </a:gradFill>
              <a:ln w="19050">
                <a:noFill/>
              </a:ln>
              <a:effectLst/>
            </c:spPr>
            <c:extLst>
              <c:ext xmlns:c16="http://schemas.microsoft.com/office/drawing/2014/chart" uri="{C3380CC4-5D6E-409C-BE32-E72D297353CC}">
                <c16:uniqueId val="{00000013-48ED-4EBE-BDE9-05203375D9B2}"/>
              </c:ext>
            </c:extLst>
          </c:dPt>
          <c:dPt>
            <c:idx val="1"/>
            <c:bubble3D val="0"/>
            <c:spPr>
              <a:noFill/>
              <a:ln w="19050">
                <a:noFill/>
              </a:ln>
              <a:effectLst/>
            </c:spPr>
            <c:extLst>
              <c:ext xmlns:c16="http://schemas.microsoft.com/office/drawing/2014/chart" uri="{C3380CC4-5D6E-409C-BE32-E72D297353CC}">
                <c16:uniqueId val="{00000015-48ED-4EBE-BDE9-05203375D9B2}"/>
              </c:ext>
            </c:extLst>
          </c:dPt>
          <c:dPt>
            <c:idx val="2"/>
            <c:bubble3D val="0"/>
            <c:spPr>
              <a:gradFill>
                <a:gsLst>
                  <a:gs pos="62000">
                    <a:srgbClr val="FF0077"/>
                  </a:gs>
                  <a:gs pos="15000">
                    <a:srgbClr val="BE45D1"/>
                  </a:gs>
                </a:gsLst>
                <a:lin ang="4200000" scaled="0"/>
              </a:gradFill>
              <a:ln w="19050">
                <a:noFill/>
              </a:ln>
              <a:effectLst/>
            </c:spPr>
            <c:extLst>
              <c:ext xmlns:c16="http://schemas.microsoft.com/office/drawing/2014/chart" uri="{C3380CC4-5D6E-409C-BE32-E72D297353CC}">
                <c16:uniqueId val="{00000017-48ED-4EBE-BDE9-05203375D9B2}"/>
              </c:ext>
            </c:extLst>
          </c:dPt>
          <c:dPt>
            <c:idx val="3"/>
            <c:bubble3D val="0"/>
            <c:spPr>
              <a:noFill/>
              <a:ln w="19050">
                <a:noFill/>
              </a:ln>
              <a:effectLst/>
            </c:spPr>
            <c:extLst>
              <c:ext xmlns:c16="http://schemas.microsoft.com/office/drawing/2014/chart" uri="{C3380CC4-5D6E-409C-BE32-E72D297353CC}">
                <c16:uniqueId val="{00000019-48ED-4EBE-BDE9-05203375D9B2}"/>
              </c:ext>
            </c:extLst>
          </c:dPt>
          <c:dPt>
            <c:idx val="4"/>
            <c:bubble3D val="0"/>
            <c:spPr>
              <a:gradFill>
                <a:gsLst>
                  <a:gs pos="60000">
                    <a:srgbClr val="00FF00"/>
                  </a:gs>
                  <a:gs pos="4000">
                    <a:srgbClr val="00B0F0"/>
                  </a:gs>
                </a:gsLst>
                <a:lin ang="9000000" scaled="0"/>
              </a:gradFill>
              <a:ln w="19050">
                <a:noFill/>
              </a:ln>
              <a:effectLst/>
            </c:spPr>
            <c:extLst>
              <c:ext xmlns:c16="http://schemas.microsoft.com/office/drawing/2014/chart" uri="{C3380CC4-5D6E-409C-BE32-E72D297353CC}">
                <c16:uniqueId val="{0000001B-48ED-4EBE-BDE9-05203375D9B2}"/>
              </c:ext>
            </c:extLst>
          </c:dPt>
          <c:dPt>
            <c:idx val="5"/>
            <c:bubble3D val="0"/>
            <c:spPr>
              <a:noFill/>
              <a:ln w="19050">
                <a:noFill/>
              </a:ln>
              <a:effectLst/>
            </c:spPr>
            <c:extLst>
              <c:ext xmlns:c16="http://schemas.microsoft.com/office/drawing/2014/chart" uri="{C3380CC4-5D6E-409C-BE32-E72D297353CC}">
                <c16:uniqueId val="{0000001D-48ED-4EBE-BDE9-05203375D9B2}"/>
              </c:ext>
            </c:extLst>
          </c:dPt>
          <c:dPt>
            <c:idx val="6"/>
            <c:bubble3D val="0"/>
            <c:spPr>
              <a:gradFill>
                <a:gsLst>
                  <a:gs pos="54000">
                    <a:srgbClr val="25DCF2"/>
                  </a:gs>
                  <a:gs pos="25000">
                    <a:srgbClr val="02FEFA"/>
                  </a:gs>
                  <a:gs pos="100000">
                    <a:srgbClr val="BE45D1"/>
                  </a:gs>
                </a:gsLst>
                <a:lin ang="3600000" scaled="0"/>
              </a:gradFill>
              <a:ln w="19050">
                <a:noFill/>
              </a:ln>
              <a:effectLst/>
            </c:spPr>
            <c:extLst>
              <c:ext xmlns:c16="http://schemas.microsoft.com/office/drawing/2014/chart" uri="{C3380CC4-5D6E-409C-BE32-E72D297353CC}">
                <c16:uniqueId val="{0000001F-48ED-4EBE-BDE9-05203375D9B2}"/>
              </c:ext>
            </c:extLst>
          </c:dPt>
          <c:dPt>
            <c:idx val="7"/>
            <c:bubble3D val="0"/>
            <c:spPr>
              <a:noFill/>
              <a:ln w="19050">
                <a:noFill/>
              </a:ln>
              <a:effectLst/>
            </c:spPr>
            <c:extLst>
              <c:ext xmlns:c16="http://schemas.microsoft.com/office/drawing/2014/chart" uri="{C3380CC4-5D6E-409C-BE32-E72D297353CC}">
                <c16:uniqueId val="{00000021-48ED-4EBE-BDE9-05203375D9B2}"/>
              </c:ext>
            </c:extLst>
          </c:dPt>
          <c:val>
            <c:numRef>
              <c:f>Processing!$I$2:$I$9</c:f>
              <c:numCache>
                <c:formatCode>0%</c:formatCode>
                <c:ptCount val="8"/>
                <c:pt idx="0">
                  <c:v>0.30385057471264365</c:v>
                </c:pt>
                <c:pt idx="1">
                  <c:v>0</c:v>
                </c:pt>
                <c:pt idx="2">
                  <c:v>0.25011494252873562</c:v>
                </c:pt>
                <c:pt idx="3">
                  <c:v>0</c:v>
                </c:pt>
                <c:pt idx="4">
                  <c:v>0.22876436781609194</c:v>
                </c:pt>
                <c:pt idx="5">
                  <c:v>0</c:v>
                </c:pt>
                <c:pt idx="6">
                  <c:v>0.21727011494252874</c:v>
                </c:pt>
                <c:pt idx="7">
                  <c:v>0</c:v>
                </c:pt>
              </c:numCache>
            </c:numRef>
          </c:val>
          <c:extLst>
            <c:ext xmlns:c16="http://schemas.microsoft.com/office/drawing/2014/chart" uri="{C3380CC4-5D6E-409C-BE32-E72D297353CC}">
              <c16:uniqueId val="{00000022-48ED-4EBE-BDE9-05203375D9B2}"/>
            </c:ext>
          </c:extLst>
        </c:ser>
        <c:dLbls>
          <c:showLegendKey val="0"/>
          <c:showVal val="0"/>
          <c:showCatName val="0"/>
          <c:showSerName val="0"/>
          <c:showPercent val="0"/>
          <c:showBubbleSize val="0"/>
          <c:showLeaderLines val="1"/>
        </c:dLbls>
        <c:firstSliceAng val="2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144780</xdr:rowOff>
    </xdr:from>
    <xdr:to>
      <xdr:col>18</xdr:col>
      <xdr:colOff>574626</xdr:colOff>
      <xdr:row>40</xdr:row>
      <xdr:rowOff>144780</xdr:rowOff>
    </xdr:to>
    <xdr:sp macro="" textlink="">
      <xdr:nvSpPr>
        <xdr:cNvPr id="2" name="Rectangle: Rounded Corners 1">
          <a:extLst>
            <a:ext uri="{FF2B5EF4-FFF2-40B4-BE49-F238E27FC236}">
              <a16:creationId xmlns:a16="http://schemas.microsoft.com/office/drawing/2014/main" id="{8567F065-1844-4977-8031-BCAED3FB885C}"/>
            </a:ext>
          </a:extLst>
        </xdr:cNvPr>
        <xdr:cNvSpPr/>
      </xdr:nvSpPr>
      <xdr:spPr>
        <a:xfrm>
          <a:off x="3032760" y="144780"/>
          <a:ext cx="8514666" cy="7315200"/>
        </a:xfrm>
        <a:prstGeom prst="roundRect">
          <a:avLst>
            <a:gd name="adj" fmla="val 5384"/>
          </a:avLst>
        </a:prstGeom>
        <a:gradFill flip="none" rotWithShape="1">
          <a:gsLst>
            <a:gs pos="51000">
              <a:srgbClr val="1E1E28"/>
            </a:gs>
            <a:gs pos="100000">
              <a:srgbClr val="1C1E1C"/>
            </a:gs>
          </a:gsLst>
          <a:path path="circle">
            <a:fillToRect l="100000" b="100000"/>
          </a:path>
          <a:tileRect t="-100000" r="-100000"/>
        </a:gradFill>
        <a:ln w="9525">
          <a:solidFill>
            <a:srgbClr val="2C3939"/>
          </a:solidFill>
        </a:ln>
        <a:effectLst>
          <a:outerShdw blurRad="444500" dist="190500" dir="8100000" algn="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99060</xdr:colOff>
      <xdr:row>37</xdr:row>
      <xdr:rowOff>160019</xdr:rowOff>
    </xdr:from>
    <xdr:to>
      <xdr:col>17</xdr:col>
      <xdr:colOff>525780</xdr:colOff>
      <xdr:row>40</xdr:row>
      <xdr:rowOff>41147</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0878410B-6BEF-4EE5-A41E-A474DD1003C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56660" y="6926579"/>
              <a:ext cx="71323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307953</xdr:colOff>
      <xdr:row>19</xdr:row>
      <xdr:rowOff>91440</xdr:rowOff>
    </xdr:from>
    <xdr:to>
      <xdr:col>18</xdr:col>
      <xdr:colOff>281914</xdr:colOff>
      <xdr:row>37</xdr:row>
      <xdr:rowOff>54226</xdr:rowOff>
    </xdr:to>
    <xdr:sp macro="" textlink="">
      <xdr:nvSpPr>
        <xdr:cNvPr id="3" name="Rectangle: Rounded Corners 2">
          <a:extLst>
            <a:ext uri="{FF2B5EF4-FFF2-40B4-BE49-F238E27FC236}">
              <a16:creationId xmlns:a16="http://schemas.microsoft.com/office/drawing/2014/main" id="{5883D590-5C84-4583-899F-6C5C6FDD06EB}"/>
            </a:ext>
          </a:extLst>
        </xdr:cNvPr>
        <xdr:cNvSpPr/>
      </xdr:nvSpPr>
      <xdr:spPr>
        <a:xfrm>
          <a:off x="3355953" y="3566160"/>
          <a:ext cx="7898761" cy="3254626"/>
        </a:xfrm>
        <a:prstGeom prst="roundRect">
          <a:avLst>
            <a:gd name="adj" fmla="val 6168"/>
          </a:avLst>
        </a:prstGeom>
        <a:solidFill>
          <a:schemeClr val="tx1"/>
        </a:solidFill>
        <a:ln w="9525">
          <a:solidFill>
            <a:srgbClr val="2C3939"/>
          </a:soli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594360</xdr:colOff>
      <xdr:row>22</xdr:row>
      <xdr:rowOff>129540</xdr:rowOff>
    </xdr:from>
    <xdr:to>
      <xdr:col>17</xdr:col>
      <xdr:colOff>594360</xdr:colOff>
      <xdr:row>35</xdr:row>
      <xdr:rowOff>38100</xdr:rowOff>
    </xdr:to>
    <xdr:graphicFrame macro="">
      <xdr:nvGraphicFramePr>
        <xdr:cNvPr id="5" name="Chart 4">
          <a:extLst>
            <a:ext uri="{FF2B5EF4-FFF2-40B4-BE49-F238E27FC236}">
              <a16:creationId xmlns:a16="http://schemas.microsoft.com/office/drawing/2014/main" id="{BAFA180C-3602-4CFC-9B80-2206CB553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83820</xdr:colOff>
      <xdr:row>33</xdr:row>
      <xdr:rowOff>106680</xdr:rowOff>
    </xdr:from>
    <xdr:to>
      <xdr:col>17</xdr:col>
      <xdr:colOff>510540</xdr:colOff>
      <xdr:row>36</xdr:row>
      <xdr:rowOff>106680</xdr:rowOff>
    </xdr:to>
    <mc:AlternateContent xmlns:mc="http://schemas.openxmlformats.org/markup-compatibility/2006" xmlns:a14="http://schemas.microsoft.com/office/drawing/2010/main">
      <mc:Choice Requires="a14">
        <xdr:graphicFrame macro="">
          <xdr:nvGraphicFramePr>
            <xdr:cNvPr id="7" name="Market 1">
              <a:extLst>
                <a:ext uri="{FF2B5EF4-FFF2-40B4-BE49-F238E27FC236}">
                  <a16:creationId xmlns:a16="http://schemas.microsoft.com/office/drawing/2014/main" id="{F843B143-DFFE-4EE5-BEA0-B0F8EC69A8AA}"/>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3741420" y="6141720"/>
              <a:ext cx="7132320"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20</xdr:row>
      <xdr:rowOff>175260</xdr:rowOff>
    </xdr:from>
    <xdr:to>
      <xdr:col>8</xdr:col>
      <xdr:colOff>434340</xdr:colOff>
      <xdr:row>22</xdr:row>
      <xdr:rowOff>137160</xdr:rowOff>
    </xdr:to>
    <xdr:sp macro="" textlink="Processing!$M$12">
      <xdr:nvSpPr>
        <xdr:cNvPr id="12" name="TextBox 11">
          <a:extLst>
            <a:ext uri="{FF2B5EF4-FFF2-40B4-BE49-F238E27FC236}">
              <a16:creationId xmlns:a16="http://schemas.microsoft.com/office/drawing/2014/main" id="{BD4A1A09-09B3-DB6D-7EB3-03570C88EF01}"/>
            </a:ext>
          </a:extLst>
        </xdr:cNvPr>
        <xdr:cNvSpPr txBox="1"/>
      </xdr:nvSpPr>
      <xdr:spPr>
        <a:xfrm>
          <a:off x="414528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907441-B6E0-4A14-897A-279EBF24120C}" type="TxLink">
            <a:rPr lang="en-US" sz="1400" b="0" i="0" u="none" strike="noStrike">
              <a:solidFill>
                <a:schemeClr val="bg1"/>
              </a:solidFill>
              <a:latin typeface="Aptos Narrow"/>
            </a:rPr>
            <a:pPr algn="ctr"/>
            <a:t> $10,574 </a:t>
          </a:fld>
          <a:endParaRPr lang="ru-RU" sz="1400">
            <a:solidFill>
              <a:schemeClr val="bg1"/>
            </a:solidFill>
          </a:endParaRPr>
        </a:p>
      </xdr:txBody>
    </xdr:sp>
    <xdr:clientData/>
  </xdr:twoCellAnchor>
  <xdr:twoCellAnchor>
    <xdr:from>
      <xdr:col>9</xdr:col>
      <xdr:colOff>378460</xdr:colOff>
      <xdr:row>20</xdr:row>
      <xdr:rowOff>175260</xdr:rowOff>
    </xdr:from>
    <xdr:to>
      <xdr:col>11</xdr:col>
      <xdr:colOff>325120</xdr:colOff>
      <xdr:row>22</xdr:row>
      <xdr:rowOff>137160</xdr:rowOff>
    </xdr:to>
    <xdr:sp macro="" textlink="Processing!$M$13">
      <xdr:nvSpPr>
        <xdr:cNvPr id="13" name="TextBox 12">
          <a:extLst>
            <a:ext uri="{FF2B5EF4-FFF2-40B4-BE49-F238E27FC236}">
              <a16:creationId xmlns:a16="http://schemas.microsoft.com/office/drawing/2014/main" id="{75CF671F-7789-F23E-3070-5E59F34AE05C}"/>
            </a:ext>
          </a:extLst>
        </xdr:cNvPr>
        <xdr:cNvSpPr txBox="1"/>
      </xdr:nvSpPr>
      <xdr:spPr>
        <a:xfrm>
          <a:off x="586486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1564CF-C0A1-4653-864D-E31748585EB7}" type="TxLink">
            <a:rPr lang="en-US" sz="1400" b="0" i="0" u="none" strike="noStrike">
              <a:solidFill>
                <a:schemeClr val="bg1"/>
              </a:solidFill>
              <a:latin typeface="Aptos Narrow"/>
            </a:rPr>
            <a:pPr algn="ctr"/>
            <a:t> $8,704 </a:t>
          </a:fld>
          <a:endParaRPr lang="ru-RU" sz="1400">
            <a:solidFill>
              <a:schemeClr val="bg1"/>
            </a:solidFill>
          </a:endParaRPr>
        </a:p>
      </xdr:txBody>
    </xdr:sp>
    <xdr:clientData/>
  </xdr:twoCellAnchor>
  <xdr:twoCellAnchor>
    <xdr:from>
      <xdr:col>12</xdr:col>
      <xdr:colOff>269240</xdr:colOff>
      <xdr:row>20</xdr:row>
      <xdr:rowOff>175260</xdr:rowOff>
    </xdr:from>
    <xdr:to>
      <xdr:col>14</xdr:col>
      <xdr:colOff>215900</xdr:colOff>
      <xdr:row>22</xdr:row>
      <xdr:rowOff>137160</xdr:rowOff>
    </xdr:to>
    <xdr:sp macro="" textlink="Processing!$M$14">
      <xdr:nvSpPr>
        <xdr:cNvPr id="14" name="TextBox 13">
          <a:extLst>
            <a:ext uri="{FF2B5EF4-FFF2-40B4-BE49-F238E27FC236}">
              <a16:creationId xmlns:a16="http://schemas.microsoft.com/office/drawing/2014/main" id="{CF00B9B9-C122-92C1-B11D-8CFDBF221C4D}"/>
            </a:ext>
          </a:extLst>
        </xdr:cNvPr>
        <xdr:cNvSpPr txBox="1"/>
      </xdr:nvSpPr>
      <xdr:spPr>
        <a:xfrm>
          <a:off x="758444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2F7649-06A4-43A6-AD2B-3201205ED124}" type="TxLink">
            <a:rPr lang="en-US" sz="1400" b="0" i="0" u="none" strike="noStrike">
              <a:solidFill>
                <a:schemeClr val="bg1"/>
              </a:solidFill>
              <a:latin typeface="Aptos Narrow"/>
            </a:rPr>
            <a:pPr algn="ctr"/>
            <a:t> $7,961 </a:t>
          </a:fld>
          <a:endParaRPr lang="ru-RU" sz="1400">
            <a:solidFill>
              <a:schemeClr val="bg1"/>
            </a:solidFill>
          </a:endParaRPr>
        </a:p>
      </xdr:txBody>
    </xdr:sp>
    <xdr:clientData/>
  </xdr:twoCellAnchor>
  <xdr:twoCellAnchor>
    <xdr:from>
      <xdr:col>15</xdr:col>
      <xdr:colOff>160020</xdr:colOff>
      <xdr:row>20</xdr:row>
      <xdr:rowOff>175260</xdr:rowOff>
    </xdr:from>
    <xdr:to>
      <xdr:col>17</xdr:col>
      <xdr:colOff>106680</xdr:colOff>
      <xdr:row>22</xdr:row>
      <xdr:rowOff>137160</xdr:rowOff>
    </xdr:to>
    <xdr:sp macro="" textlink="Processing!$M$15">
      <xdr:nvSpPr>
        <xdr:cNvPr id="15" name="TextBox 14">
          <a:extLst>
            <a:ext uri="{FF2B5EF4-FFF2-40B4-BE49-F238E27FC236}">
              <a16:creationId xmlns:a16="http://schemas.microsoft.com/office/drawing/2014/main" id="{DA1E5DF0-6150-00D7-5EBA-8FFFB93AF0C7}"/>
            </a:ext>
          </a:extLst>
        </xdr:cNvPr>
        <xdr:cNvSpPr txBox="1"/>
      </xdr:nvSpPr>
      <xdr:spPr>
        <a:xfrm>
          <a:off x="930402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39E7BC-1B5C-41FD-8723-774B7BC014A4}" type="TxLink">
            <a:rPr lang="en-US" sz="1400" b="0" i="0" u="none" strike="noStrike">
              <a:solidFill>
                <a:schemeClr val="bg1"/>
              </a:solidFill>
              <a:latin typeface="Aptos Narrow"/>
            </a:rPr>
            <a:pPr algn="ctr"/>
            <a:t> $7,561 </a:t>
          </a:fld>
          <a:endParaRPr lang="ru-RU" sz="1400">
            <a:solidFill>
              <a:schemeClr val="bg1"/>
            </a:solidFill>
          </a:endParaRPr>
        </a:p>
      </xdr:txBody>
    </xdr:sp>
    <xdr:clientData/>
  </xdr:twoCellAnchor>
  <xdr:twoCellAnchor editAs="oneCell">
    <xdr:from>
      <xdr:col>10</xdr:col>
      <xdr:colOff>220980</xdr:colOff>
      <xdr:row>1</xdr:row>
      <xdr:rowOff>38101</xdr:rowOff>
    </xdr:from>
    <xdr:to>
      <xdr:col>13</xdr:col>
      <xdr:colOff>403860</xdr:colOff>
      <xdr:row>3</xdr:row>
      <xdr:rowOff>102109</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FADD56EE-4AF7-4ECA-B29B-FED44A7F81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16980" y="220981"/>
              <a:ext cx="20116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36</xdr:row>
      <xdr:rowOff>53340</xdr:rowOff>
    </xdr:from>
    <xdr:to>
      <xdr:col>8</xdr:col>
      <xdr:colOff>175260</xdr:colOff>
      <xdr:row>36</xdr:row>
      <xdr:rowOff>99060</xdr:rowOff>
    </xdr:to>
    <xdr:sp macro="" textlink="">
      <xdr:nvSpPr>
        <xdr:cNvPr id="20" name="Rectangle 19">
          <a:extLst>
            <a:ext uri="{FF2B5EF4-FFF2-40B4-BE49-F238E27FC236}">
              <a16:creationId xmlns:a16="http://schemas.microsoft.com/office/drawing/2014/main" id="{7A7B2680-D71E-FBF3-4598-BAFF90F280A1}"/>
            </a:ext>
          </a:extLst>
        </xdr:cNvPr>
        <xdr:cNvSpPr/>
      </xdr:nvSpPr>
      <xdr:spPr>
        <a:xfrm>
          <a:off x="4229100" y="6637020"/>
          <a:ext cx="822960" cy="45720"/>
        </a:xfrm>
        <a:prstGeom prst="rect">
          <a:avLst/>
        </a:prstGeom>
        <a:gradFill>
          <a:gsLst>
            <a:gs pos="46000">
              <a:srgbClr val="F3DC28"/>
            </a:gs>
            <a:gs pos="25000">
              <a:srgbClr val="FFFF00"/>
            </a:gs>
            <a:gs pos="100000">
              <a:srgbClr val="BE45D1"/>
            </a:gs>
          </a:gsLst>
          <a:lin ang="9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500380</xdr:colOff>
      <xdr:row>36</xdr:row>
      <xdr:rowOff>53340</xdr:rowOff>
    </xdr:from>
    <xdr:to>
      <xdr:col>11</xdr:col>
      <xdr:colOff>104140</xdr:colOff>
      <xdr:row>36</xdr:row>
      <xdr:rowOff>99060</xdr:rowOff>
    </xdr:to>
    <xdr:sp macro="" textlink="">
      <xdr:nvSpPr>
        <xdr:cNvPr id="21" name="Rectangle 20">
          <a:extLst>
            <a:ext uri="{FF2B5EF4-FFF2-40B4-BE49-F238E27FC236}">
              <a16:creationId xmlns:a16="http://schemas.microsoft.com/office/drawing/2014/main" id="{413CF2AA-6396-F1FB-5A6A-A571A4356C94}"/>
            </a:ext>
          </a:extLst>
        </xdr:cNvPr>
        <xdr:cNvSpPr/>
      </xdr:nvSpPr>
      <xdr:spPr>
        <a:xfrm>
          <a:off x="5986780" y="6637020"/>
          <a:ext cx="822960" cy="45720"/>
        </a:xfrm>
        <a:prstGeom prst="rect">
          <a:avLst/>
        </a:prstGeom>
        <a:gradFill>
          <a:gsLst>
            <a:gs pos="71000">
              <a:srgbClr val="FF0077"/>
            </a:gs>
            <a:gs pos="15000">
              <a:srgbClr val="BE45D1"/>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429260</xdr:colOff>
      <xdr:row>36</xdr:row>
      <xdr:rowOff>53340</xdr:rowOff>
    </xdr:from>
    <xdr:to>
      <xdr:col>14</xdr:col>
      <xdr:colOff>33020</xdr:colOff>
      <xdr:row>36</xdr:row>
      <xdr:rowOff>99060</xdr:rowOff>
    </xdr:to>
    <xdr:sp macro="" textlink="">
      <xdr:nvSpPr>
        <xdr:cNvPr id="22" name="Rectangle 21">
          <a:extLst>
            <a:ext uri="{FF2B5EF4-FFF2-40B4-BE49-F238E27FC236}">
              <a16:creationId xmlns:a16="http://schemas.microsoft.com/office/drawing/2014/main" id="{A9C00726-27BD-F788-B801-F755CB550E26}"/>
            </a:ext>
          </a:extLst>
        </xdr:cNvPr>
        <xdr:cNvSpPr/>
      </xdr:nvSpPr>
      <xdr:spPr>
        <a:xfrm>
          <a:off x="7744460" y="6637020"/>
          <a:ext cx="822960" cy="45720"/>
        </a:xfrm>
        <a:prstGeom prst="rect">
          <a:avLst/>
        </a:prstGeom>
        <a:gradFill>
          <a:gsLst>
            <a:gs pos="60000">
              <a:srgbClr val="00FF00"/>
            </a:gs>
            <a:gs pos="4000">
              <a:srgbClr val="00B0F0"/>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358140</xdr:colOff>
      <xdr:row>36</xdr:row>
      <xdr:rowOff>53341</xdr:rowOff>
    </xdr:from>
    <xdr:to>
      <xdr:col>16</xdr:col>
      <xdr:colOff>571500</xdr:colOff>
      <xdr:row>36</xdr:row>
      <xdr:rowOff>99060</xdr:rowOff>
    </xdr:to>
    <xdr:sp macro="" textlink="">
      <xdr:nvSpPr>
        <xdr:cNvPr id="23" name="Rectangle 22">
          <a:extLst>
            <a:ext uri="{FF2B5EF4-FFF2-40B4-BE49-F238E27FC236}">
              <a16:creationId xmlns:a16="http://schemas.microsoft.com/office/drawing/2014/main" id="{6481BE82-5641-DC48-A2F5-55B1FDBA6980}"/>
            </a:ext>
          </a:extLst>
        </xdr:cNvPr>
        <xdr:cNvSpPr/>
      </xdr:nvSpPr>
      <xdr:spPr>
        <a:xfrm>
          <a:off x="9502140" y="6637021"/>
          <a:ext cx="822960" cy="45719"/>
        </a:xfrm>
        <a:prstGeom prst="rect">
          <a:avLst/>
        </a:prstGeom>
        <a:gradFill>
          <a:gsLst>
            <a:gs pos="50000">
              <a:srgbClr val="25DCF2"/>
            </a:gs>
            <a:gs pos="25000">
              <a:srgbClr val="02FEFA"/>
            </a:gs>
            <a:gs pos="100000">
              <a:srgbClr val="BE45D1"/>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278130</xdr:colOff>
      <xdr:row>36</xdr:row>
      <xdr:rowOff>15583</xdr:rowOff>
    </xdr:from>
    <xdr:to>
      <xdr:col>8</xdr:col>
      <xdr:colOff>506730</xdr:colOff>
      <xdr:row>37</xdr:row>
      <xdr:rowOff>7277</xdr:rowOff>
    </xdr:to>
    <xdr:sp macro="" textlink="Processing!N12">
      <xdr:nvSpPr>
        <xdr:cNvPr id="24" name="TextBox 23">
          <a:extLst>
            <a:ext uri="{FF2B5EF4-FFF2-40B4-BE49-F238E27FC236}">
              <a16:creationId xmlns:a16="http://schemas.microsoft.com/office/drawing/2014/main" id="{6317FB96-D846-BE46-DA78-48245883B2AC}"/>
            </a:ext>
          </a:extLst>
        </xdr:cNvPr>
        <xdr:cNvSpPr txBox="1"/>
      </xdr:nvSpPr>
      <xdr:spPr>
        <a:xfrm rot="5400000">
          <a:off x="457234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D8704F-E7FA-4216-A6D6-B148DF9C3BE7}" type="TxLink">
            <a:rPr lang="en-US" sz="11500" b="0" i="0" u="none" strike="noStrike">
              <a:solidFill>
                <a:srgbClr val="000000"/>
              </a:solidFill>
              <a:latin typeface="Aptos Narrow"/>
            </a:rPr>
            <a:pPr algn="ctr"/>
            <a:t> </a:t>
          </a:fld>
          <a:endParaRPr lang="ru-RU" sz="49600" b="0">
            <a:solidFill>
              <a:schemeClr val="tx1">
                <a:lumMod val="50000"/>
                <a:lumOff val="50000"/>
              </a:schemeClr>
            </a:solidFill>
          </a:endParaRPr>
        </a:p>
      </xdr:txBody>
    </xdr:sp>
    <xdr:clientData/>
  </xdr:twoCellAnchor>
  <xdr:twoCellAnchor>
    <xdr:from>
      <xdr:col>9</xdr:col>
      <xdr:colOff>186690</xdr:colOff>
      <xdr:row>36</xdr:row>
      <xdr:rowOff>15583</xdr:rowOff>
    </xdr:from>
    <xdr:to>
      <xdr:col>11</xdr:col>
      <xdr:colOff>415290</xdr:colOff>
      <xdr:row>37</xdr:row>
      <xdr:rowOff>7277</xdr:rowOff>
    </xdr:to>
    <xdr:sp macro="" textlink="Processing!N13">
      <xdr:nvSpPr>
        <xdr:cNvPr id="25" name="TextBox 24">
          <a:extLst>
            <a:ext uri="{FF2B5EF4-FFF2-40B4-BE49-F238E27FC236}">
              <a16:creationId xmlns:a16="http://schemas.microsoft.com/office/drawing/2014/main" id="{3182ECA0-3457-F5E1-73EF-2F3CC77D8AA0}"/>
            </a:ext>
          </a:extLst>
        </xdr:cNvPr>
        <xdr:cNvSpPr txBox="1"/>
      </xdr:nvSpPr>
      <xdr:spPr>
        <a:xfrm rot="5400000">
          <a:off x="630970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9DD6E5-81E9-48C9-91E0-01D622BCF540}" type="TxLink">
            <a:rPr lang="en-US" sz="11500" b="0" i="0" u="none" strike="noStrike">
              <a:solidFill>
                <a:srgbClr val="000000"/>
              </a:solidFill>
              <a:latin typeface="Aptos Narrow"/>
              <a:ea typeface="+mn-ea"/>
              <a:cs typeface="+mn-cs"/>
            </a:rPr>
            <a:pPr marL="0" indent="0" algn="ctr"/>
            <a:t> </a:t>
          </a:fld>
          <a:endParaRPr lang="ru-RU" sz="11500" b="0" i="0" u="none" strike="noStrike">
            <a:solidFill>
              <a:srgbClr val="000000"/>
            </a:solidFill>
            <a:latin typeface="Aptos Narrow"/>
            <a:ea typeface="+mn-ea"/>
            <a:cs typeface="+mn-cs"/>
          </a:endParaRPr>
        </a:p>
      </xdr:txBody>
    </xdr:sp>
    <xdr:clientData/>
  </xdr:twoCellAnchor>
  <xdr:twoCellAnchor>
    <xdr:from>
      <xdr:col>12</xdr:col>
      <xdr:colOff>133350</xdr:colOff>
      <xdr:row>36</xdr:row>
      <xdr:rowOff>15583</xdr:rowOff>
    </xdr:from>
    <xdr:to>
      <xdr:col>14</xdr:col>
      <xdr:colOff>361950</xdr:colOff>
      <xdr:row>37</xdr:row>
      <xdr:rowOff>7277</xdr:rowOff>
    </xdr:to>
    <xdr:sp macro="" textlink="Processing!N14">
      <xdr:nvSpPr>
        <xdr:cNvPr id="26" name="TextBox 25">
          <a:extLst>
            <a:ext uri="{FF2B5EF4-FFF2-40B4-BE49-F238E27FC236}">
              <a16:creationId xmlns:a16="http://schemas.microsoft.com/office/drawing/2014/main" id="{CDD226AD-F23D-B7E9-1488-4B26E8481307}"/>
            </a:ext>
          </a:extLst>
        </xdr:cNvPr>
        <xdr:cNvSpPr txBox="1"/>
      </xdr:nvSpPr>
      <xdr:spPr>
        <a:xfrm rot="5400000">
          <a:off x="808516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943DC9-B9D7-46E6-BB78-6A2D17481E45}" type="TxLink">
            <a:rPr lang="en-US" sz="11500" b="0" i="0" u="none" strike="noStrike">
              <a:solidFill>
                <a:srgbClr val="000000"/>
              </a:solidFill>
              <a:latin typeface="Aptos Narrow"/>
              <a:ea typeface="+mn-ea"/>
              <a:cs typeface="+mn-cs"/>
            </a:rPr>
            <a:pPr marL="0" indent="0" algn="ctr"/>
            <a:t> </a:t>
          </a:fld>
          <a:endParaRPr lang="ru-RU" sz="11500" b="0" i="0" u="none" strike="noStrike">
            <a:solidFill>
              <a:srgbClr val="000000"/>
            </a:solidFill>
            <a:latin typeface="Aptos Narrow"/>
            <a:ea typeface="+mn-ea"/>
            <a:cs typeface="+mn-cs"/>
          </a:endParaRPr>
        </a:p>
      </xdr:txBody>
    </xdr:sp>
    <xdr:clientData/>
  </xdr:twoCellAnchor>
  <xdr:twoCellAnchor>
    <xdr:from>
      <xdr:col>15</xdr:col>
      <xdr:colOff>26670</xdr:colOff>
      <xdr:row>36</xdr:row>
      <xdr:rowOff>15583</xdr:rowOff>
    </xdr:from>
    <xdr:to>
      <xdr:col>17</xdr:col>
      <xdr:colOff>255270</xdr:colOff>
      <xdr:row>37</xdr:row>
      <xdr:rowOff>7277</xdr:rowOff>
    </xdr:to>
    <xdr:sp macro="" textlink="Processing!N15">
      <xdr:nvSpPr>
        <xdr:cNvPr id="27" name="TextBox 26">
          <a:extLst>
            <a:ext uri="{FF2B5EF4-FFF2-40B4-BE49-F238E27FC236}">
              <a16:creationId xmlns:a16="http://schemas.microsoft.com/office/drawing/2014/main" id="{05D5492C-D6D3-DB4F-B281-36A4E252E9F4}"/>
            </a:ext>
          </a:extLst>
        </xdr:cNvPr>
        <xdr:cNvSpPr txBox="1"/>
      </xdr:nvSpPr>
      <xdr:spPr>
        <a:xfrm rot="5400000">
          <a:off x="980728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5E7569-67F8-493A-9CBA-22824EAC8D08}" type="TxLink">
            <a:rPr lang="en-US" sz="11500" b="0" i="0" u="none" strike="noStrike">
              <a:solidFill>
                <a:srgbClr val="000000"/>
              </a:solidFill>
              <a:latin typeface="Aptos Narrow"/>
              <a:ea typeface="+mn-ea"/>
              <a:cs typeface="+mn-cs"/>
            </a:rPr>
            <a:pPr marL="0" indent="0" algn="ctr"/>
            <a:t> </a:t>
          </a:fld>
          <a:endParaRPr lang="ru-RU" sz="11500" b="0" i="0" u="none" strike="noStrike">
            <a:solidFill>
              <a:srgbClr val="000000"/>
            </a:solidFill>
            <a:latin typeface="Aptos Narrow"/>
            <a:ea typeface="+mn-ea"/>
            <a:cs typeface="+mn-cs"/>
          </a:endParaRPr>
        </a:p>
      </xdr:txBody>
    </xdr:sp>
    <xdr:clientData/>
  </xdr:twoCellAnchor>
  <xdr:twoCellAnchor>
    <xdr:from>
      <xdr:col>5</xdr:col>
      <xdr:colOff>307953</xdr:colOff>
      <xdr:row>3</xdr:row>
      <xdr:rowOff>83820</xdr:rowOff>
    </xdr:from>
    <xdr:to>
      <xdr:col>18</xdr:col>
      <xdr:colOff>281914</xdr:colOff>
      <xdr:row>17</xdr:row>
      <xdr:rowOff>30480</xdr:rowOff>
    </xdr:to>
    <xdr:sp macro="" textlink="">
      <xdr:nvSpPr>
        <xdr:cNvPr id="28" name="Rectangle: Rounded Corners 27">
          <a:extLst>
            <a:ext uri="{FF2B5EF4-FFF2-40B4-BE49-F238E27FC236}">
              <a16:creationId xmlns:a16="http://schemas.microsoft.com/office/drawing/2014/main" id="{9F5039B8-C928-8D03-84E4-EE607A79EF5D}"/>
            </a:ext>
          </a:extLst>
        </xdr:cNvPr>
        <xdr:cNvSpPr/>
      </xdr:nvSpPr>
      <xdr:spPr>
        <a:xfrm>
          <a:off x="3355953" y="632460"/>
          <a:ext cx="7898761" cy="2506980"/>
        </a:xfrm>
        <a:prstGeom prst="roundRect">
          <a:avLst>
            <a:gd name="adj" fmla="val 8296"/>
          </a:avLst>
        </a:prstGeom>
        <a:solidFill>
          <a:schemeClr val="tx1"/>
        </a:solidFill>
        <a:ln w="9525">
          <a:solidFill>
            <a:srgbClr val="2C3939"/>
          </a:soli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525780</xdr:colOff>
      <xdr:row>1</xdr:row>
      <xdr:rowOff>83820</xdr:rowOff>
    </xdr:from>
    <xdr:to>
      <xdr:col>10</xdr:col>
      <xdr:colOff>396240</xdr:colOff>
      <xdr:row>3</xdr:row>
      <xdr:rowOff>45720</xdr:rowOff>
    </xdr:to>
    <xdr:sp macro="" textlink="Processing!K1">
      <xdr:nvSpPr>
        <xdr:cNvPr id="29" name="TextBox 28">
          <a:extLst>
            <a:ext uri="{FF2B5EF4-FFF2-40B4-BE49-F238E27FC236}">
              <a16:creationId xmlns:a16="http://schemas.microsoft.com/office/drawing/2014/main" id="{AFC4FFEA-4A0B-17B1-634F-5E1C095EB7E1}"/>
            </a:ext>
          </a:extLst>
        </xdr:cNvPr>
        <xdr:cNvSpPr txBox="1"/>
      </xdr:nvSpPr>
      <xdr:spPr>
        <a:xfrm>
          <a:off x="3573780" y="266700"/>
          <a:ext cx="2918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44DE70A-E39F-4674-A700-A9D626882C31}" type="TxLink">
            <a:rPr lang="en-US" sz="1800" b="0" i="0" u="none" strike="noStrike">
              <a:solidFill>
                <a:schemeClr val="tx1">
                  <a:lumMod val="50000"/>
                  <a:lumOff val="50000"/>
                </a:schemeClr>
              </a:solidFill>
              <a:latin typeface="Aptos Narrow"/>
              <a:ea typeface="+mn-ea"/>
              <a:cs typeface="+mn-cs"/>
            </a:rPr>
            <a:pPr marL="0" indent="0" algn="l"/>
            <a:t>Sales Product Dashboard</a:t>
          </a:fld>
          <a:endParaRPr lang="ru-RU" sz="2400" b="0" i="0" u="none" strike="noStrike">
            <a:solidFill>
              <a:schemeClr val="tx1">
                <a:lumMod val="50000"/>
                <a:lumOff val="50000"/>
              </a:schemeClr>
            </a:solidFill>
            <a:latin typeface="Aptos Narrow"/>
            <a:ea typeface="+mn-ea"/>
            <a:cs typeface="+mn-cs"/>
          </a:endParaRPr>
        </a:p>
      </xdr:txBody>
    </xdr:sp>
    <xdr:clientData/>
  </xdr:twoCellAnchor>
  <xdr:twoCellAnchor>
    <xdr:from>
      <xdr:col>15</xdr:col>
      <xdr:colOff>198120</xdr:colOff>
      <xdr:row>1</xdr:row>
      <xdr:rowOff>121920</xdr:rowOff>
    </xdr:from>
    <xdr:to>
      <xdr:col>18</xdr:col>
      <xdr:colOff>15240</xdr:colOff>
      <xdr:row>3</xdr:row>
      <xdr:rowOff>83820</xdr:rowOff>
    </xdr:to>
    <xdr:sp macro="" textlink="Processing!C6">
      <xdr:nvSpPr>
        <xdr:cNvPr id="30" name="TextBox 29">
          <a:extLst>
            <a:ext uri="{FF2B5EF4-FFF2-40B4-BE49-F238E27FC236}">
              <a16:creationId xmlns:a16="http://schemas.microsoft.com/office/drawing/2014/main" id="{F883DB2F-0160-3376-47F4-2DC4FB558D0B}"/>
            </a:ext>
          </a:extLst>
        </xdr:cNvPr>
        <xdr:cNvSpPr txBox="1"/>
      </xdr:nvSpPr>
      <xdr:spPr>
        <a:xfrm>
          <a:off x="9342120" y="30480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6B43E0E-C74E-4779-B1C4-80BB342C9BDB}" type="TxLink">
            <a:rPr lang="en-US" sz="1800" b="0" i="0" u="none" strike="noStrike">
              <a:solidFill>
                <a:schemeClr val="tx1">
                  <a:lumMod val="50000"/>
                  <a:lumOff val="50000"/>
                </a:schemeClr>
              </a:solidFill>
              <a:latin typeface="Aptos Narrow"/>
            </a:rPr>
            <a:pPr algn="r"/>
            <a:t> $34,800 </a:t>
          </a:fld>
          <a:endParaRPr lang="ru-RU" sz="4800" b="0">
            <a:solidFill>
              <a:schemeClr val="tx1">
                <a:lumMod val="50000"/>
                <a:lumOff val="50000"/>
              </a:schemeClr>
            </a:solidFill>
          </a:endParaRPr>
        </a:p>
      </xdr:txBody>
    </xdr:sp>
    <xdr:clientData/>
  </xdr:twoCellAnchor>
  <xdr:twoCellAnchor>
    <xdr:from>
      <xdr:col>6</xdr:col>
      <xdr:colOff>327660</xdr:colOff>
      <xdr:row>5</xdr:row>
      <xdr:rowOff>99060</xdr:rowOff>
    </xdr:from>
    <xdr:to>
      <xdr:col>13</xdr:col>
      <xdr:colOff>449580</xdr:colOff>
      <xdr:row>15</xdr:row>
      <xdr:rowOff>99060</xdr:rowOff>
    </xdr:to>
    <xdr:graphicFrame macro="">
      <xdr:nvGraphicFramePr>
        <xdr:cNvPr id="4" name="Chart 3">
          <a:extLst>
            <a:ext uri="{FF2B5EF4-FFF2-40B4-BE49-F238E27FC236}">
              <a16:creationId xmlns:a16="http://schemas.microsoft.com/office/drawing/2014/main" id="{75149D46-46DA-40DF-AA34-1DDFBC0AD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320771</xdr:colOff>
      <xdr:row>2</xdr:row>
      <xdr:rowOff>0</xdr:rowOff>
    </xdr:from>
    <xdr:to>
      <xdr:col>18</xdr:col>
      <xdr:colOff>395509</xdr:colOff>
      <xdr:row>18</xdr:row>
      <xdr:rowOff>91440</xdr:rowOff>
    </xdr:to>
    <xdr:graphicFrame macro="">
      <xdr:nvGraphicFramePr>
        <xdr:cNvPr id="6" name="Chart 5">
          <a:extLst>
            <a:ext uri="{FF2B5EF4-FFF2-40B4-BE49-F238E27FC236}">
              <a16:creationId xmlns:a16="http://schemas.microsoft.com/office/drawing/2014/main" id="{6927E964-9ADA-4A35-A2C3-BFBEC85B3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60960</xdr:colOff>
      <xdr:row>3</xdr:row>
      <xdr:rowOff>114300</xdr:rowOff>
    </xdr:from>
    <xdr:to>
      <xdr:col>18</xdr:col>
      <xdr:colOff>45720</xdr:colOff>
      <xdr:row>16</xdr:row>
      <xdr:rowOff>160020</xdr:rowOff>
    </xdr:to>
    <xdr:sp macro="" textlink="">
      <xdr:nvSpPr>
        <xdr:cNvPr id="8" name="Circle: Hollow 7">
          <a:extLst>
            <a:ext uri="{FF2B5EF4-FFF2-40B4-BE49-F238E27FC236}">
              <a16:creationId xmlns:a16="http://schemas.microsoft.com/office/drawing/2014/main" id="{1CE9C624-C545-AE19-5D58-C8D03393D202}"/>
            </a:ext>
          </a:extLst>
        </xdr:cNvPr>
        <xdr:cNvSpPr/>
      </xdr:nvSpPr>
      <xdr:spPr>
        <a:xfrm>
          <a:off x="8595360" y="662940"/>
          <a:ext cx="2423160" cy="2423160"/>
        </a:xfrm>
        <a:prstGeom prst="donut">
          <a:avLst>
            <a:gd name="adj" fmla="val 13001"/>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editAs="oneCell">
    <xdr:from>
      <xdr:col>5</xdr:col>
      <xdr:colOff>548640</xdr:colOff>
      <xdr:row>6</xdr:row>
      <xdr:rowOff>15240</xdr:rowOff>
    </xdr:from>
    <xdr:to>
      <xdr:col>7</xdr:col>
      <xdr:colOff>415290</xdr:colOff>
      <xdr:row>15</xdr:row>
      <xdr:rowOff>106680</xdr:rowOff>
    </xdr:to>
    <mc:AlternateContent xmlns:mc="http://schemas.openxmlformats.org/markup-compatibility/2006" xmlns:a14="http://schemas.microsoft.com/office/drawing/2010/main">
      <mc:Choice Requires="a14">
        <xdr:graphicFrame macro="">
          <xdr:nvGraphicFramePr>
            <xdr:cNvPr id="9" name="Market 2">
              <a:extLst>
                <a:ext uri="{FF2B5EF4-FFF2-40B4-BE49-F238E27FC236}">
                  <a16:creationId xmlns:a16="http://schemas.microsoft.com/office/drawing/2014/main" id="{12630B22-7288-412E-841A-7E2F4E6ABF64}"/>
                </a:ext>
              </a:extLst>
            </xdr:cNvPr>
            <xdr:cNvGraphicFramePr/>
          </xdr:nvGraphicFramePr>
          <xdr:xfrm>
            <a:off x="0" y="0"/>
            <a:ext cx="0" cy="0"/>
          </xdr:xfrm>
          <a:graphic>
            <a:graphicData uri="http://schemas.microsoft.com/office/drawing/2010/slicer">
              <sle:slicer xmlns:sle="http://schemas.microsoft.com/office/drawing/2010/slicer" name="Market 2"/>
            </a:graphicData>
          </a:graphic>
        </xdr:graphicFrame>
      </mc:Choice>
      <mc:Fallback xmlns="">
        <xdr:sp macro="" textlink="">
          <xdr:nvSpPr>
            <xdr:cNvPr id="0" name=""/>
            <xdr:cNvSpPr>
              <a:spLocks noTextEdit="1"/>
            </xdr:cNvSpPr>
          </xdr:nvSpPr>
          <xdr:spPr>
            <a:xfrm>
              <a:off x="3596640" y="1112520"/>
              <a:ext cx="1085850" cy="17373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209414</xdr:colOff>
      <xdr:row>9</xdr:row>
      <xdr:rowOff>53340</xdr:rowOff>
    </xdr:from>
    <xdr:to>
      <xdr:col>16</xdr:col>
      <xdr:colOff>529727</xdr:colOff>
      <xdr:row>11</xdr:row>
      <xdr:rowOff>15240</xdr:rowOff>
    </xdr:to>
    <xdr:sp macro="" textlink="Processing!H6">
      <xdr:nvSpPr>
        <xdr:cNvPr id="10" name="TextBox 9">
          <a:extLst>
            <a:ext uri="{FF2B5EF4-FFF2-40B4-BE49-F238E27FC236}">
              <a16:creationId xmlns:a16="http://schemas.microsoft.com/office/drawing/2014/main" id="{F2400D10-66FE-6E43-8892-DA57F25368D0}"/>
            </a:ext>
          </a:extLst>
        </xdr:cNvPr>
        <xdr:cNvSpPr txBox="1"/>
      </xdr:nvSpPr>
      <xdr:spPr>
        <a:xfrm>
          <a:off x="9353414" y="1699260"/>
          <a:ext cx="929913"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C5E43A-DB24-4CA4-B9D5-8C86A326A488}" type="TxLink">
            <a:rPr lang="en-US" sz="2000" b="0" i="0" u="none" strike="noStrike">
              <a:solidFill>
                <a:schemeClr val="bg1"/>
              </a:solidFill>
              <a:latin typeface="Aptos Narrow"/>
            </a:rPr>
            <a:pPr algn="ctr"/>
            <a:t>100%</a:t>
          </a:fld>
          <a:endParaRPr lang="ru-RU" sz="3600" b="0">
            <a:solidFill>
              <a:schemeClr val="bg1"/>
            </a:solidFill>
          </a:endParaRPr>
        </a:p>
      </xdr:txBody>
    </xdr:sp>
    <xdr:clientData/>
  </xdr:twoCellAnchor>
  <xdr:twoCellAnchor>
    <xdr:from>
      <xdr:col>6</xdr:col>
      <xdr:colOff>7620</xdr:colOff>
      <xdr:row>4</xdr:row>
      <xdr:rowOff>60960</xdr:rowOff>
    </xdr:from>
    <xdr:to>
      <xdr:col>7</xdr:col>
      <xdr:colOff>464820</xdr:colOff>
      <xdr:row>6</xdr:row>
      <xdr:rowOff>22860</xdr:rowOff>
    </xdr:to>
    <xdr:sp macro="" textlink="Processing!C7">
      <xdr:nvSpPr>
        <xdr:cNvPr id="11" name="TextBox 10">
          <a:extLst>
            <a:ext uri="{FF2B5EF4-FFF2-40B4-BE49-F238E27FC236}">
              <a16:creationId xmlns:a16="http://schemas.microsoft.com/office/drawing/2014/main" id="{2BB28539-4DB2-49C6-E1F2-C5674127D807}"/>
            </a:ext>
          </a:extLst>
        </xdr:cNvPr>
        <xdr:cNvSpPr txBox="1"/>
      </xdr:nvSpPr>
      <xdr:spPr>
        <a:xfrm>
          <a:off x="3665220" y="792480"/>
          <a:ext cx="10668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AD3D144-9CB0-4AA6-AB7B-FA2DA51AF335}" type="TxLink">
            <a:rPr lang="en-US" sz="1400" b="0" i="0" u="none" strike="noStrike">
              <a:solidFill>
                <a:schemeClr val="bg1"/>
              </a:solidFill>
              <a:latin typeface="Aptos Narrow"/>
              <a:ea typeface="+mn-ea"/>
              <a:cs typeface="+mn-cs"/>
            </a:rPr>
            <a:pPr marL="0" indent="0" algn="l"/>
            <a:t>Total Sales</a:t>
          </a:fld>
          <a:endParaRPr lang="ru-RU" sz="1800" b="0" i="0" u="none" strike="noStrike">
            <a:solidFill>
              <a:schemeClr val="bg1"/>
            </a:solidFill>
            <a:latin typeface="Aptos Narrow"/>
            <a:ea typeface="+mn-ea"/>
            <a:cs typeface="+mn-cs"/>
          </a:endParaRPr>
        </a:p>
      </xdr:txBody>
    </xdr:sp>
    <xdr:clientData/>
  </xdr:twoCellAnchor>
  <xdr:twoCellAnchor>
    <xdr:from>
      <xdr:col>7</xdr:col>
      <xdr:colOff>426720</xdr:colOff>
      <xdr:row>4</xdr:row>
      <xdr:rowOff>60960</xdr:rowOff>
    </xdr:from>
    <xdr:to>
      <xdr:col>9</xdr:col>
      <xdr:colOff>274320</xdr:colOff>
      <xdr:row>6</xdr:row>
      <xdr:rowOff>22860</xdr:rowOff>
    </xdr:to>
    <xdr:sp macro="" textlink="Processing!M16">
      <xdr:nvSpPr>
        <xdr:cNvPr id="31" name="TextBox 30">
          <a:extLst>
            <a:ext uri="{FF2B5EF4-FFF2-40B4-BE49-F238E27FC236}">
              <a16:creationId xmlns:a16="http://schemas.microsoft.com/office/drawing/2014/main" id="{41EA9AFB-4B52-CEB6-A1B5-41ED390B96C2}"/>
            </a:ext>
          </a:extLst>
        </xdr:cNvPr>
        <xdr:cNvSpPr txBox="1"/>
      </xdr:nvSpPr>
      <xdr:spPr>
        <a:xfrm>
          <a:off x="4693920" y="792480"/>
          <a:ext cx="10668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3959E7-B2C2-4190-979A-014D1CB48411}" type="TxLink">
            <a:rPr lang="en-US" sz="1400" b="0" i="0" u="none" strike="noStrike">
              <a:solidFill>
                <a:schemeClr val="bg1"/>
              </a:solidFill>
              <a:latin typeface="Aptos Narrow"/>
              <a:ea typeface="+mn-ea"/>
              <a:cs typeface="+mn-cs"/>
            </a:rPr>
            <a:pPr marL="0" indent="0" algn="l"/>
            <a:t> $34,800 </a:t>
          </a:fld>
          <a:endParaRPr lang="ru-RU" sz="2400" b="0" i="0" u="none" strike="noStrike">
            <a:solidFill>
              <a:schemeClr val="bg1"/>
            </a:solidFill>
            <a:latin typeface="Aptos Narrow"/>
            <a:ea typeface="+mn-ea"/>
            <a:cs typeface="+mn-cs"/>
          </a:endParaRPr>
        </a:p>
      </xdr:txBody>
    </xdr:sp>
    <xdr:clientData/>
  </xdr:twoCellAnchor>
  <xdr:twoCellAnchor>
    <xdr:from>
      <xdr:col>9</xdr:col>
      <xdr:colOff>487680</xdr:colOff>
      <xdr:row>3</xdr:row>
      <xdr:rowOff>137160</xdr:rowOff>
    </xdr:from>
    <xdr:to>
      <xdr:col>14</xdr:col>
      <xdr:colOff>358140</xdr:colOff>
      <xdr:row>5</xdr:row>
      <xdr:rowOff>99060</xdr:rowOff>
    </xdr:to>
    <xdr:sp macro="" textlink="Processing!A7">
      <xdr:nvSpPr>
        <xdr:cNvPr id="32" name="TextBox 31">
          <a:extLst>
            <a:ext uri="{FF2B5EF4-FFF2-40B4-BE49-F238E27FC236}">
              <a16:creationId xmlns:a16="http://schemas.microsoft.com/office/drawing/2014/main" id="{F09B5C8B-8AE2-0D28-84A8-5616791B391F}"/>
            </a:ext>
          </a:extLst>
        </xdr:cNvPr>
        <xdr:cNvSpPr txBox="1"/>
      </xdr:nvSpPr>
      <xdr:spPr>
        <a:xfrm>
          <a:off x="5974080" y="685800"/>
          <a:ext cx="2918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724F8B-D651-4236-BBFD-38F23125D130}" type="TxLink">
            <a:rPr lang="en-US" sz="1400" b="0" i="0" u="none" strike="noStrike">
              <a:solidFill>
                <a:schemeClr val="tx2">
                  <a:lumMod val="25000"/>
                  <a:lumOff val="75000"/>
                </a:schemeClr>
              </a:solidFill>
              <a:latin typeface="Aptos Narrow"/>
              <a:ea typeface="+mn-ea"/>
              <a:cs typeface="+mn-cs"/>
            </a:rPr>
            <a:pPr marL="0" indent="0" algn="ctr"/>
            <a:t>Sales Source Channels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5</xdr:col>
      <xdr:colOff>571500</xdr:colOff>
      <xdr:row>17</xdr:row>
      <xdr:rowOff>76200</xdr:rowOff>
    </xdr:from>
    <xdr:to>
      <xdr:col>8</xdr:col>
      <xdr:colOff>406037</xdr:colOff>
      <xdr:row>19</xdr:row>
      <xdr:rowOff>38100</xdr:rowOff>
    </xdr:to>
    <xdr:grpSp>
      <xdr:nvGrpSpPr>
        <xdr:cNvPr id="50" name="Group 49">
          <a:extLst>
            <a:ext uri="{FF2B5EF4-FFF2-40B4-BE49-F238E27FC236}">
              <a16:creationId xmlns:a16="http://schemas.microsoft.com/office/drawing/2014/main" id="{F3479DEB-66A1-2F93-7FAE-AAD583C8882C}"/>
            </a:ext>
          </a:extLst>
        </xdr:cNvPr>
        <xdr:cNvGrpSpPr/>
      </xdr:nvGrpSpPr>
      <xdr:grpSpPr>
        <a:xfrm>
          <a:off x="3541059" y="3314700"/>
          <a:ext cx="1616272" cy="342900"/>
          <a:chOff x="3535680" y="3185160"/>
          <a:chExt cx="1663337" cy="327660"/>
        </a:xfrm>
      </xdr:grpSpPr>
      <xdr:sp macro="" textlink="Processing!B12">
        <xdr:nvSpPr>
          <xdr:cNvPr id="33" name="TextBox 32">
            <a:extLst>
              <a:ext uri="{FF2B5EF4-FFF2-40B4-BE49-F238E27FC236}">
                <a16:creationId xmlns:a16="http://schemas.microsoft.com/office/drawing/2014/main" id="{4716E5D3-D41F-6103-1C6A-0B5A32262484}"/>
              </a:ext>
            </a:extLst>
          </xdr:cNvPr>
          <xdr:cNvSpPr txBox="1"/>
        </xdr:nvSpPr>
        <xdr:spPr>
          <a:xfrm>
            <a:off x="3535680"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53BF4E-842D-4CB5-804C-CB1E33801D7A}" type="TxLink">
              <a:rPr lang="en-US" sz="1200" b="0" i="0" u="none" strike="noStrike">
                <a:solidFill>
                  <a:schemeClr val="tx1">
                    <a:lumMod val="50000"/>
                    <a:lumOff val="50000"/>
                  </a:schemeClr>
                </a:solidFill>
                <a:latin typeface="Aptos Narrow"/>
              </a:rPr>
              <a:pPr algn="l"/>
              <a:t>Vanguard</a:t>
            </a:fld>
            <a:endParaRPr lang="ru-RU" sz="2000" b="0">
              <a:solidFill>
                <a:schemeClr val="tx1">
                  <a:lumMod val="50000"/>
                  <a:lumOff val="50000"/>
                </a:schemeClr>
              </a:solidFill>
            </a:endParaRPr>
          </a:p>
        </xdr:txBody>
      </xdr:sp>
      <xdr:sp macro="" textlink="Processing!M17">
        <xdr:nvSpPr>
          <xdr:cNvPr id="40" name="TextBox 39">
            <a:extLst>
              <a:ext uri="{FF2B5EF4-FFF2-40B4-BE49-F238E27FC236}">
                <a16:creationId xmlns:a16="http://schemas.microsoft.com/office/drawing/2014/main" id="{F2F845CF-3F5A-5AD5-DC09-25B541AE9EE4}"/>
              </a:ext>
            </a:extLst>
          </xdr:cNvPr>
          <xdr:cNvSpPr txBox="1"/>
        </xdr:nvSpPr>
        <xdr:spPr>
          <a:xfrm>
            <a:off x="4307477"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CFFAE9C-FD9A-4127-9884-4CE1838DD5C9}" type="TxLink">
              <a:rPr lang="en-US" sz="1400" b="0" i="0" u="none" strike="noStrike">
                <a:solidFill>
                  <a:schemeClr val="tx2">
                    <a:lumMod val="25000"/>
                    <a:lumOff val="75000"/>
                  </a:schemeClr>
                </a:solidFill>
                <a:latin typeface="Aptos Narrow"/>
              </a:rPr>
              <a:pPr algn="l"/>
              <a:t> $10,860 </a:t>
            </a:fld>
            <a:endParaRPr lang="ru-RU" sz="2400" b="0">
              <a:solidFill>
                <a:schemeClr val="tx2">
                  <a:lumMod val="25000"/>
                  <a:lumOff val="75000"/>
                </a:schemeClr>
              </a:solidFill>
            </a:endParaRPr>
          </a:p>
        </xdr:txBody>
      </xdr:sp>
    </xdr:grpSp>
    <xdr:clientData/>
  </xdr:twoCellAnchor>
  <xdr:twoCellAnchor>
    <xdr:from>
      <xdr:col>9</xdr:col>
      <xdr:colOff>250734</xdr:colOff>
      <xdr:row>17</xdr:row>
      <xdr:rowOff>76200</xdr:rowOff>
    </xdr:from>
    <xdr:to>
      <xdr:col>12</xdr:col>
      <xdr:colOff>54791</xdr:colOff>
      <xdr:row>19</xdr:row>
      <xdr:rowOff>38100</xdr:rowOff>
    </xdr:to>
    <xdr:grpSp>
      <xdr:nvGrpSpPr>
        <xdr:cNvPr id="49" name="Group 48">
          <a:extLst>
            <a:ext uri="{FF2B5EF4-FFF2-40B4-BE49-F238E27FC236}">
              <a16:creationId xmlns:a16="http://schemas.microsoft.com/office/drawing/2014/main" id="{476EA4D2-C2F5-D0FC-471D-DC2D2F1B540B}"/>
            </a:ext>
          </a:extLst>
        </xdr:cNvPr>
        <xdr:cNvGrpSpPr/>
      </xdr:nvGrpSpPr>
      <xdr:grpSpPr>
        <a:xfrm>
          <a:off x="5595940" y="3314700"/>
          <a:ext cx="1585792" cy="342900"/>
          <a:chOff x="5414554" y="3185160"/>
          <a:chExt cx="1632857" cy="327660"/>
        </a:xfrm>
      </xdr:grpSpPr>
      <xdr:sp macro="" textlink="Processing!B13">
        <xdr:nvSpPr>
          <xdr:cNvPr id="41" name="TextBox 40">
            <a:extLst>
              <a:ext uri="{FF2B5EF4-FFF2-40B4-BE49-F238E27FC236}">
                <a16:creationId xmlns:a16="http://schemas.microsoft.com/office/drawing/2014/main" id="{69474631-1FF3-EDC5-7742-FAEB764225EB}"/>
              </a:ext>
            </a:extLst>
          </xdr:cNvPr>
          <xdr:cNvSpPr txBox="1"/>
        </xdr:nvSpPr>
        <xdr:spPr>
          <a:xfrm>
            <a:off x="5414554" y="3185160"/>
            <a:ext cx="711926"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09B2E76-05C9-49C2-84EA-230E51A63112}" type="TxLink">
              <a:rPr lang="en-US" sz="1100" b="0" i="0" u="none" strike="noStrike">
                <a:solidFill>
                  <a:schemeClr val="tx1">
                    <a:lumMod val="50000"/>
                    <a:lumOff val="50000"/>
                  </a:schemeClr>
                </a:solidFill>
                <a:latin typeface="Aptos Narrow"/>
              </a:rPr>
              <a:pPr algn="l"/>
              <a:t>High tech</a:t>
            </a:fld>
            <a:endParaRPr lang="ru-RU" sz="1800" b="0">
              <a:solidFill>
                <a:schemeClr val="tx1">
                  <a:lumMod val="50000"/>
                  <a:lumOff val="50000"/>
                </a:schemeClr>
              </a:solidFill>
            </a:endParaRPr>
          </a:p>
        </xdr:txBody>
      </xdr:sp>
      <xdr:sp macro="" textlink="Processing!M18">
        <xdr:nvSpPr>
          <xdr:cNvPr id="42" name="TextBox 41">
            <a:extLst>
              <a:ext uri="{FF2B5EF4-FFF2-40B4-BE49-F238E27FC236}">
                <a16:creationId xmlns:a16="http://schemas.microsoft.com/office/drawing/2014/main" id="{BFB96D16-3D78-3179-F8FC-14D8EC45C419}"/>
              </a:ext>
            </a:extLst>
          </xdr:cNvPr>
          <xdr:cNvSpPr txBox="1"/>
        </xdr:nvSpPr>
        <xdr:spPr>
          <a:xfrm>
            <a:off x="6155871"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5763BF-C18A-4E43-B4E6-5461EB14E6ED}" type="TxLink">
              <a:rPr lang="en-US" sz="1400" b="0" i="0" u="none" strike="noStrike">
                <a:solidFill>
                  <a:schemeClr val="tx2">
                    <a:lumMod val="25000"/>
                    <a:lumOff val="75000"/>
                  </a:schemeClr>
                </a:solidFill>
                <a:latin typeface="Aptos Narrow"/>
              </a:rPr>
              <a:pPr algn="l"/>
              <a:t> $8,592 </a:t>
            </a:fld>
            <a:endParaRPr lang="ru-RU" sz="2400" b="0">
              <a:solidFill>
                <a:schemeClr val="tx2">
                  <a:lumMod val="25000"/>
                  <a:lumOff val="75000"/>
                </a:schemeClr>
              </a:solidFill>
            </a:endParaRPr>
          </a:p>
        </xdr:txBody>
      </xdr:sp>
    </xdr:grpSp>
    <xdr:clientData/>
  </xdr:twoCellAnchor>
  <xdr:twoCellAnchor>
    <xdr:from>
      <xdr:col>12</xdr:col>
      <xdr:colOff>509088</xdr:colOff>
      <xdr:row>17</xdr:row>
      <xdr:rowOff>76200</xdr:rowOff>
    </xdr:from>
    <xdr:to>
      <xdr:col>15</xdr:col>
      <xdr:colOff>168365</xdr:colOff>
      <xdr:row>19</xdr:row>
      <xdr:rowOff>38100</xdr:rowOff>
    </xdr:to>
    <xdr:grpSp>
      <xdr:nvGrpSpPr>
        <xdr:cNvPr id="48" name="Group 47">
          <a:extLst>
            <a:ext uri="{FF2B5EF4-FFF2-40B4-BE49-F238E27FC236}">
              <a16:creationId xmlns:a16="http://schemas.microsoft.com/office/drawing/2014/main" id="{312632B4-EA0E-1F52-A7DC-172A05369966}"/>
            </a:ext>
          </a:extLst>
        </xdr:cNvPr>
        <xdr:cNvGrpSpPr/>
      </xdr:nvGrpSpPr>
      <xdr:grpSpPr>
        <a:xfrm>
          <a:off x="7636029" y="3314700"/>
          <a:ext cx="1441012" cy="342900"/>
          <a:chOff x="7369628" y="3185160"/>
          <a:chExt cx="1488077" cy="327660"/>
        </a:xfrm>
      </xdr:grpSpPr>
      <xdr:sp macro="" textlink="Processing!B14">
        <xdr:nvSpPr>
          <xdr:cNvPr id="43" name="TextBox 42">
            <a:extLst>
              <a:ext uri="{FF2B5EF4-FFF2-40B4-BE49-F238E27FC236}">
                <a16:creationId xmlns:a16="http://schemas.microsoft.com/office/drawing/2014/main" id="{DCCFD26F-26C9-0042-69AC-0AEA8A63968E}"/>
              </a:ext>
            </a:extLst>
          </xdr:cNvPr>
          <xdr:cNvSpPr txBox="1"/>
        </xdr:nvSpPr>
        <xdr:spPr>
          <a:xfrm>
            <a:off x="7369628" y="3185160"/>
            <a:ext cx="600892"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9430E2-3CFC-4BDF-90D8-D61DD4966822}" type="TxLink">
              <a:rPr lang="en-US" sz="1100" b="0" i="0" u="none" strike="noStrike">
                <a:solidFill>
                  <a:schemeClr val="tx1">
                    <a:lumMod val="50000"/>
                    <a:lumOff val="50000"/>
                  </a:schemeClr>
                </a:solidFill>
                <a:latin typeface="Aptos Narrow"/>
              </a:rPr>
              <a:pPr algn="l"/>
              <a:t>Pop Art</a:t>
            </a:fld>
            <a:endParaRPr lang="ru-RU" sz="1800" b="0">
              <a:solidFill>
                <a:schemeClr val="tx1">
                  <a:lumMod val="50000"/>
                  <a:lumOff val="50000"/>
                </a:schemeClr>
              </a:solidFill>
            </a:endParaRPr>
          </a:p>
        </xdr:txBody>
      </xdr:sp>
      <xdr:sp macro="" textlink="Processing!M19">
        <xdr:nvSpPr>
          <xdr:cNvPr id="44" name="TextBox 43">
            <a:extLst>
              <a:ext uri="{FF2B5EF4-FFF2-40B4-BE49-F238E27FC236}">
                <a16:creationId xmlns:a16="http://schemas.microsoft.com/office/drawing/2014/main" id="{C51D2C6C-3E8E-C40C-9D25-48DEA9616B15}"/>
              </a:ext>
            </a:extLst>
          </xdr:cNvPr>
          <xdr:cNvSpPr txBox="1"/>
        </xdr:nvSpPr>
        <xdr:spPr>
          <a:xfrm>
            <a:off x="7966165"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CC574ED-7E19-4BF5-9855-164222E3C39E}" type="TxLink">
              <a:rPr lang="en-US" sz="1400" b="0" i="0" u="none" strike="noStrike">
                <a:solidFill>
                  <a:schemeClr val="tx2">
                    <a:lumMod val="25000"/>
                    <a:lumOff val="75000"/>
                  </a:schemeClr>
                </a:solidFill>
                <a:latin typeface="Aptos Narrow"/>
              </a:rPr>
              <a:pPr algn="l"/>
              <a:t> $9,000 </a:t>
            </a:fld>
            <a:endParaRPr lang="ru-RU" sz="2400" b="0">
              <a:solidFill>
                <a:schemeClr val="tx2">
                  <a:lumMod val="25000"/>
                  <a:lumOff val="75000"/>
                </a:schemeClr>
              </a:solidFill>
            </a:endParaRPr>
          </a:p>
        </xdr:txBody>
      </xdr:sp>
    </xdr:grpSp>
    <xdr:clientData/>
  </xdr:twoCellAnchor>
  <xdr:twoCellAnchor>
    <xdr:from>
      <xdr:col>16</xdr:col>
      <xdr:colOff>13062</xdr:colOff>
      <xdr:row>17</xdr:row>
      <xdr:rowOff>76200</xdr:rowOff>
    </xdr:from>
    <xdr:to>
      <xdr:col>18</xdr:col>
      <xdr:colOff>99060</xdr:colOff>
      <xdr:row>19</xdr:row>
      <xdr:rowOff>38100</xdr:rowOff>
    </xdr:to>
    <xdr:grpSp>
      <xdr:nvGrpSpPr>
        <xdr:cNvPr id="47" name="Group 46">
          <a:extLst>
            <a:ext uri="{FF2B5EF4-FFF2-40B4-BE49-F238E27FC236}">
              <a16:creationId xmlns:a16="http://schemas.microsoft.com/office/drawing/2014/main" id="{5211D3F6-5DC4-3DFC-F018-CD804CAAE25F}"/>
            </a:ext>
          </a:extLst>
        </xdr:cNvPr>
        <xdr:cNvGrpSpPr/>
      </xdr:nvGrpSpPr>
      <xdr:grpSpPr>
        <a:xfrm>
          <a:off x="9515650" y="3314700"/>
          <a:ext cx="1273822" cy="342900"/>
          <a:chOff x="9324702" y="3185160"/>
          <a:chExt cx="1305198" cy="327660"/>
        </a:xfrm>
      </xdr:grpSpPr>
      <xdr:sp macro="" textlink="Processing!B15">
        <xdr:nvSpPr>
          <xdr:cNvPr id="45" name="TextBox 44">
            <a:extLst>
              <a:ext uri="{FF2B5EF4-FFF2-40B4-BE49-F238E27FC236}">
                <a16:creationId xmlns:a16="http://schemas.microsoft.com/office/drawing/2014/main" id="{656DBCF9-C3D7-A92F-5E73-9FBB9B3D17D9}"/>
              </a:ext>
            </a:extLst>
          </xdr:cNvPr>
          <xdr:cNvSpPr txBox="1"/>
        </xdr:nvSpPr>
        <xdr:spPr>
          <a:xfrm>
            <a:off x="9324702" y="3185160"/>
            <a:ext cx="51271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E50CB66-F047-484D-AB38-DD2C813C03DA}" type="TxLink">
              <a:rPr lang="en-US" sz="1100" b="0" i="0" u="none" strike="noStrike">
                <a:solidFill>
                  <a:schemeClr val="tx1">
                    <a:lumMod val="50000"/>
                    <a:lumOff val="50000"/>
                  </a:schemeClr>
                </a:solidFill>
                <a:latin typeface="Aptos Narrow"/>
              </a:rPr>
              <a:pPr algn="l"/>
              <a:t>Loft</a:t>
            </a:fld>
            <a:endParaRPr lang="ru-RU" sz="1800" b="0">
              <a:solidFill>
                <a:schemeClr val="tx1">
                  <a:lumMod val="50000"/>
                  <a:lumOff val="50000"/>
                </a:schemeClr>
              </a:solidFill>
            </a:endParaRPr>
          </a:p>
        </xdr:txBody>
      </xdr:sp>
      <xdr:sp macro="" textlink="Processing!M20">
        <xdr:nvSpPr>
          <xdr:cNvPr id="46" name="TextBox 45">
            <a:extLst>
              <a:ext uri="{FF2B5EF4-FFF2-40B4-BE49-F238E27FC236}">
                <a16:creationId xmlns:a16="http://schemas.microsoft.com/office/drawing/2014/main" id="{9B10B64A-5C41-5377-9202-80AE3DCBEF8D}"/>
              </a:ext>
            </a:extLst>
          </xdr:cNvPr>
          <xdr:cNvSpPr txBox="1"/>
        </xdr:nvSpPr>
        <xdr:spPr>
          <a:xfrm>
            <a:off x="9738360"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28B527-2795-4696-B46E-98AA52CC1D84}" type="TxLink">
              <a:rPr lang="en-US" sz="1400" b="0" i="0" u="none" strike="noStrike">
                <a:solidFill>
                  <a:schemeClr val="tx2">
                    <a:lumMod val="25000"/>
                    <a:lumOff val="75000"/>
                  </a:schemeClr>
                </a:solidFill>
                <a:latin typeface="Aptos Narrow"/>
              </a:rPr>
              <a:pPr algn="l"/>
              <a:t> $6,348 </a:t>
            </a:fld>
            <a:endParaRPr lang="ru-RU" sz="2400" b="0">
              <a:solidFill>
                <a:schemeClr val="tx2">
                  <a:lumMod val="25000"/>
                  <a:lumOff val="75000"/>
                </a:schemeClr>
              </a:solidFill>
            </a:endParaRPr>
          </a:p>
        </xdr:txBody>
      </xdr:sp>
    </xdr:grpSp>
    <xdr:clientData/>
  </xdr:twoCellAnchor>
  <xdr:twoCellAnchor>
    <xdr:from>
      <xdr:col>10</xdr:col>
      <xdr:colOff>599733</xdr:colOff>
      <xdr:row>19</xdr:row>
      <xdr:rowOff>121920</xdr:rowOff>
    </xdr:from>
    <xdr:to>
      <xdr:col>12</xdr:col>
      <xdr:colOff>599733</xdr:colOff>
      <xdr:row>21</xdr:row>
      <xdr:rowOff>83820</xdr:rowOff>
    </xdr:to>
    <xdr:sp macro="" textlink="Processing!A11">
      <xdr:nvSpPr>
        <xdr:cNvPr id="16" name="TextBox 15">
          <a:extLst>
            <a:ext uri="{FF2B5EF4-FFF2-40B4-BE49-F238E27FC236}">
              <a16:creationId xmlns:a16="http://schemas.microsoft.com/office/drawing/2014/main" id="{891F191C-622B-A789-9823-709307C657A3}"/>
            </a:ext>
          </a:extLst>
        </xdr:cNvPr>
        <xdr:cNvSpPr txBox="1"/>
      </xdr:nvSpPr>
      <xdr:spPr>
        <a:xfrm>
          <a:off x="6695733" y="3596640"/>
          <a:ext cx="12192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4101DB-A036-4BDC-8C02-ADDBA112C3A5}" type="TxLink">
            <a:rPr lang="en-US" sz="1400" b="0" i="0" u="none" strike="noStrike">
              <a:solidFill>
                <a:schemeClr val="tx2">
                  <a:lumMod val="25000"/>
                  <a:lumOff val="75000"/>
                </a:schemeClr>
              </a:solidFill>
              <a:latin typeface="Aptos Narrow"/>
            </a:rPr>
            <a:pPr algn="ctr"/>
            <a:t>Categories</a:t>
          </a:fld>
          <a:endParaRPr lang="ru-RU" sz="2400" b="0">
            <a:solidFill>
              <a:schemeClr val="tx2">
                <a:lumMod val="25000"/>
                <a:lumOff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1</xdr:row>
      <xdr:rowOff>0</xdr:rowOff>
    </xdr:from>
    <xdr:to>
      <xdr:col>7</xdr:col>
      <xdr:colOff>317500</xdr:colOff>
      <xdr:row>2</xdr:row>
      <xdr:rowOff>138853</xdr:rowOff>
    </xdr:to>
    <xdr:sp macro="" textlink="">
      <xdr:nvSpPr>
        <xdr:cNvPr id="2" name="Rectangle 1">
          <a:extLst>
            <a:ext uri="{FF2B5EF4-FFF2-40B4-BE49-F238E27FC236}">
              <a16:creationId xmlns:a16="http://schemas.microsoft.com/office/drawing/2014/main" id="{76F03A1B-117E-4842-B0D8-EBD7D2C85A2C}"/>
            </a:ext>
          </a:extLst>
        </xdr:cNvPr>
        <xdr:cNvSpPr/>
      </xdr:nvSpPr>
      <xdr:spPr>
        <a:xfrm>
          <a:off x="4152900" y="182880"/>
          <a:ext cx="431800" cy="321733"/>
        </a:xfrm>
        <a:prstGeom prst="rect">
          <a:avLst/>
        </a:prstGeom>
        <a:gradFill>
          <a:gsLst>
            <a:gs pos="46000">
              <a:srgbClr val="F3DC28"/>
            </a:gs>
            <a:gs pos="25000">
              <a:srgbClr val="FFFF00"/>
            </a:gs>
            <a:gs pos="100000">
              <a:srgbClr val="BE45D1"/>
            </a:gs>
          </a:gsLst>
          <a:lin ang="9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461433</xdr:colOff>
      <xdr:row>1</xdr:row>
      <xdr:rowOff>0</xdr:rowOff>
    </xdr:from>
    <xdr:to>
      <xdr:col>8</xdr:col>
      <xdr:colOff>283633</xdr:colOff>
      <xdr:row>2</xdr:row>
      <xdr:rowOff>138853</xdr:rowOff>
    </xdr:to>
    <xdr:sp macro="" textlink="">
      <xdr:nvSpPr>
        <xdr:cNvPr id="3" name="Rectangle 2">
          <a:extLst>
            <a:ext uri="{FF2B5EF4-FFF2-40B4-BE49-F238E27FC236}">
              <a16:creationId xmlns:a16="http://schemas.microsoft.com/office/drawing/2014/main" id="{2ABE9C6C-4644-4E77-A5D9-90C3282B3564}"/>
            </a:ext>
          </a:extLst>
        </xdr:cNvPr>
        <xdr:cNvSpPr/>
      </xdr:nvSpPr>
      <xdr:spPr>
        <a:xfrm>
          <a:off x="4728633" y="182880"/>
          <a:ext cx="431800" cy="321733"/>
        </a:xfrm>
        <a:prstGeom prst="rect">
          <a:avLst/>
        </a:prstGeom>
        <a:gradFill>
          <a:gsLst>
            <a:gs pos="71000">
              <a:srgbClr val="FF0077"/>
            </a:gs>
            <a:gs pos="15000">
              <a:srgbClr val="BE45D1"/>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563033</xdr:colOff>
      <xdr:row>1</xdr:row>
      <xdr:rowOff>0</xdr:rowOff>
    </xdr:from>
    <xdr:to>
      <xdr:col>9</xdr:col>
      <xdr:colOff>385233</xdr:colOff>
      <xdr:row>2</xdr:row>
      <xdr:rowOff>138853</xdr:rowOff>
    </xdr:to>
    <xdr:sp macro="" textlink="">
      <xdr:nvSpPr>
        <xdr:cNvPr id="4" name="Rectangle 3">
          <a:extLst>
            <a:ext uri="{FF2B5EF4-FFF2-40B4-BE49-F238E27FC236}">
              <a16:creationId xmlns:a16="http://schemas.microsoft.com/office/drawing/2014/main" id="{6218DB3B-F621-42C3-B3BE-B716D402C7EF}"/>
            </a:ext>
          </a:extLst>
        </xdr:cNvPr>
        <xdr:cNvSpPr/>
      </xdr:nvSpPr>
      <xdr:spPr>
        <a:xfrm>
          <a:off x="5439833" y="182880"/>
          <a:ext cx="431800" cy="321733"/>
        </a:xfrm>
        <a:prstGeom prst="rect">
          <a:avLst/>
        </a:prstGeom>
        <a:gradFill>
          <a:gsLst>
            <a:gs pos="60000">
              <a:srgbClr val="00FF00"/>
            </a:gs>
            <a:gs pos="4000">
              <a:srgbClr val="00B0F0"/>
            </a:gs>
          </a:gsLst>
          <a:lin ang="9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38100</xdr:colOff>
      <xdr:row>1</xdr:row>
      <xdr:rowOff>0</xdr:rowOff>
    </xdr:from>
    <xdr:to>
      <xdr:col>10</xdr:col>
      <xdr:colOff>469900</xdr:colOff>
      <xdr:row>2</xdr:row>
      <xdr:rowOff>138853</xdr:rowOff>
    </xdr:to>
    <xdr:sp macro="" textlink="">
      <xdr:nvSpPr>
        <xdr:cNvPr id="5" name="Rectangle 4">
          <a:extLst>
            <a:ext uri="{FF2B5EF4-FFF2-40B4-BE49-F238E27FC236}">
              <a16:creationId xmlns:a16="http://schemas.microsoft.com/office/drawing/2014/main" id="{AFB8957B-9634-49DD-A281-61F5511A67C2}"/>
            </a:ext>
          </a:extLst>
        </xdr:cNvPr>
        <xdr:cNvSpPr/>
      </xdr:nvSpPr>
      <xdr:spPr>
        <a:xfrm>
          <a:off x="6134100" y="182880"/>
          <a:ext cx="431800" cy="321733"/>
        </a:xfrm>
        <a:prstGeom prst="rect">
          <a:avLst/>
        </a:prstGeom>
        <a:gradFill>
          <a:gsLst>
            <a:gs pos="50000">
              <a:srgbClr val="25DCF2"/>
            </a:gs>
            <a:gs pos="25000">
              <a:srgbClr val="02FEFA"/>
            </a:gs>
            <a:gs pos="100000">
              <a:srgbClr val="BE45D1"/>
            </a:gs>
          </a:gsLst>
          <a:lin ang="3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2.461330208331" createdVersion="8" refreshedVersion="8" minRefreshableVersion="3" recordCount="4" xr:uid="{13DEEF32-2823-47A0-9366-CB91ED3690ED}">
  <cacheSource type="worksheet">
    <worksheetSource ref="A1:C5" sheet="Processing"/>
  </cacheSource>
  <cacheFields count="2">
    <cacheField name="Market" numFmtId="0">
      <sharedItems count="4">
        <s v="Exhibitions"/>
        <s v="Hotels"/>
        <s v="Internet"/>
        <s v="Office"/>
      </sharedItems>
    </cacheField>
    <cacheField name="Value" numFmtId="0">
      <sharedItems containsSemiMixedTypes="0" containsString="0" containsNumber="1" containsInteger="1" minValue="271892" maxValue="336347"/>
    </cacheField>
  </cacheFields>
  <extLst>
    <ext xmlns:x14="http://schemas.microsoft.com/office/spreadsheetml/2009/9/main" uri="{725AE2AE-9491-48be-B2B4-4EB974FC3084}">
      <x14:pivotCacheDefinition pivotCacheId="7275521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2.461331134262" createdVersion="8" refreshedVersion="8" minRefreshableVersion="3" recordCount="36" xr:uid="{637D0B45-6036-4913-BCFF-CD3589D425EC}">
  <cacheSource type="worksheet">
    <worksheetSource name="mydata"/>
  </cacheSource>
  <cacheFields count="26">
    <cacheField name="Year" numFmtId="0">
      <sharedItems containsSemiMixedTypes="0" containsString="0" containsNumber="1" containsInteger="1" minValue="2023" maxValue="2025" count="3">
        <n v="2025"/>
        <n v="2024"/>
        <n v="2023"/>
      </sharedItems>
    </cacheField>
    <cacheField name="Month" numFmtId="0">
      <sharedItems count="12">
        <s v="JAN"/>
        <s v="FEB"/>
        <s v="MAR"/>
        <s v="APR"/>
        <s v="MAY"/>
        <s v="JUN"/>
        <s v="JUL"/>
        <s v="AUG"/>
        <s v="SEP"/>
        <s v="OCT"/>
        <s v="NOV"/>
        <s v="DEC"/>
      </sharedItems>
    </cacheField>
    <cacheField name="Vanguard" numFmtId="0">
      <sharedItems containsSemiMixedTypes="0" containsString="0" containsNumber="1" containsInteger="1" minValue="9780" maxValue="12048"/>
    </cacheField>
    <cacheField name="High tech" numFmtId="0">
      <sharedItems containsSemiMixedTypes="0" containsString="0" containsNumber="1" containsInteger="1" minValue="7260" maxValue="10596"/>
    </cacheField>
    <cacheField name="Pop Art" numFmtId="0">
      <sharedItems containsSemiMixedTypes="0" containsString="0" containsNumber="1" containsInteger="1" minValue="6096" maxValue="9408"/>
    </cacheField>
    <cacheField name="Loft" numFmtId="0">
      <sharedItems containsSemiMixedTypes="0" containsString="0" containsNumber="1" containsInteger="1" minValue="5640" maxValue="8556"/>
    </cacheField>
    <cacheField name="Vanguard E" numFmtId="0">
      <sharedItems containsSemiMixedTypes="0" containsString="0" containsNumber="1" containsInteger="1" minValue="1700" maxValue="4664"/>
    </cacheField>
    <cacheField name="High tech E" numFmtId="0">
      <sharedItems containsSemiMixedTypes="0" containsString="0" containsNumber="1" containsInteger="1" minValue="1190" maxValue="4311"/>
    </cacheField>
    <cacheField name="Pop Art E" numFmtId="0">
      <sharedItems containsSemiMixedTypes="0" containsString="0" containsNumber="1" containsInteger="1" minValue="889" maxValue="2748"/>
    </cacheField>
    <cacheField name="Loft E" numFmtId="0">
      <sharedItems containsSemiMixedTypes="0" containsString="0" containsNumber="1" containsInteger="1" minValue="817" maxValue="3185"/>
    </cacheField>
    <cacheField name="Vanguard I" numFmtId="0">
      <sharedItems containsSemiMixedTypes="0" containsString="0" containsNumber="1" containsInteger="1" minValue="1273" maxValue="4455"/>
    </cacheField>
    <cacheField name="High tech I" numFmtId="0">
      <sharedItems containsSemiMixedTypes="0" containsString="0" containsNumber="1" containsInteger="1" minValue="1066" maxValue="4043"/>
    </cacheField>
    <cacheField name="Pop Art I" numFmtId="0">
      <sharedItems containsSemiMixedTypes="0" containsString="0" containsNumber="1" containsInteger="1" minValue="1265" maxValue="3392"/>
    </cacheField>
    <cacheField name="Loft I" numFmtId="0">
      <sharedItems containsSemiMixedTypes="0" containsString="0" containsNumber="1" containsInteger="1" minValue="1000" maxValue="3420"/>
    </cacheField>
    <cacheField name="Vanguard H" numFmtId="0">
      <sharedItems containsSemiMixedTypes="0" containsString="0" containsNumber="1" containsInteger="1" minValue="1460" maxValue="4534"/>
    </cacheField>
    <cacheField name="High tech H" numFmtId="0">
      <sharedItems containsSemiMixedTypes="0" containsString="0" containsNumber="1" containsInteger="1" minValue="1099" maxValue="3689"/>
    </cacheField>
    <cacheField name="Pop Art H" numFmtId="0">
      <sharedItems containsSemiMixedTypes="0" containsString="0" containsNumber="1" containsInteger="1" minValue="1219" maxValue="1882"/>
    </cacheField>
    <cacheField name="Loft H" numFmtId="0">
      <sharedItems containsSemiMixedTypes="0" containsString="0" containsNumber="1" containsInteger="1" minValue="885" maxValue="3585"/>
    </cacheField>
    <cacheField name="Vanguard O" numFmtId="0">
      <sharedItems containsSemiMixedTypes="0" containsString="0" containsNumber="1" containsInteger="1" minValue="1956" maxValue="2410"/>
    </cacheField>
    <cacheField name="High tech O" numFmtId="0">
      <sharedItems containsSemiMixedTypes="0" containsString="0" containsNumber="1" containsInteger="1" minValue="1452" maxValue="2119"/>
    </cacheField>
    <cacheField name="Pop Art O" numFmtId="0">
      <sharedItems containsSemiMixedTypes="0" containsString="0" containsNumber="1" containsInteger="1" minValue="1200" maxValue="3818"/>
    </cacheField>
    <cacheField name="Loft O" numFmtId="0">
      <sharedItems containsSemiMixedTypes="0" containsString="0" containsNumber="1" containsInteger="1" minValue="1127" maxValue="1711"/>
    </cacheField>
    <cacheField name="Exhibitions" numFmtId="0">
      <sharedItems containsSemiMixedTypes="0" containsString="0" containsNumber="1" containsInteger="1" minValue="6914" maxValue="11916"/>
    </cacheField>
    <cacheField name="Internet" numFmtId="0">
      <sharedItems containsSemiMixedTypes="0" containsString="0" containsNumber="1" containsInteger="1" minValue="6952" maxValue="12467"/>
    </cacheField>
    <cacheField name="Hotels" numFmtId="0">
      <sharedItems containsSemiMixedTypes="0" containsString="0" containsNumber="1" containsInteger="1" minValue="6265" maxValue="11344"/>
    </cacheField>
    <cacheField name="Office" numFmtId="0">
      <sharedItems containsSemiMixedTypes="0" containsString="0" containsNumber="1" containsInteger="1" minValue="6487" maxValue="8643"/>
    </cacheField>
  </cacheFields>
  <extLst>
    <ext xmlns:x14="http://schemas.microsoft.com/office/spreadsheetml/2009/9/main" uri="{725AE2AE-9491-48be-B2B4-4EB974FC3084}">
      <x14:pivotCacheDefinition pivotCacheId="1300209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36347"/>
  </r>
  <r>
    <x v="1"/>
    <n v="312666"/>
  </r>
  <r>
    <x v="2"/>
    <n v="333107"/>
  </r>
  <r>
    <x v="3"/>
    <n v="2718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1100"/>
    <n v="9276"/>
    <n v="7908"/>
    <n v="5640"/>
    <n v="3726"/>
    <n v="2221"/>
    <n v="1963"/>
    <n v="1164"/>
    <n v="2909"/>
    <n v="3358"/>
    <n v="2182"/>
    <n v="1193"/>
    <n v="2246"/>
    <n v="1842"/>
    <n v="1581"/>
    <n v="2154"/>
    <n v="2219"/>
    <n v="1855"/>
    <n v="2182"/>
    <n v="1129"/>
    <n v="9074"/>
    <n v="9642"/>
    <n v="7823"/>
    <n v="7385"/>
  </r>
  <r>
    <x v="0"/>
    <x v="1"/>
    <n v="11880"/>
    <n v="9960"/>
    <n v="6504"/>
    <n v="7488"/>
    <n v="4664"/>
    <n v="1386"/>
    <n v="1509"/>
    <n v="2749"/>
    <n v="2200"/>
    <n v="3415"/>
    <n v="2155"/>
    <n v="1313"/>
    <n v="2640"/>
    <n v="3167"/>
    <n v="1301"/>
    <n v="1928"/>
    <n v="2376"/>
    <n v="1992"/>
    <n v="1539"/>
    <n v="1498"/>
    <n v="10308"/>
    <n v="9083"/>
    <n v="9036"/>
    <n v="7405"/>
  </r>
  <r>
    <x v="0"/>
    <x v="2"/>
    <n v="12024"/>
    <n v="10104"/>
    <n v="6096"/>
    <n v="8256"/>
    <n v="3426"/>
    <n v="2947"/>
    <n v="889"/>
    <n v="1874"/>
    <n v="3294"/>
    <n v="2610"/>
    <n v="1836"/>
    <n v="3420"/>
    <n v="2899"/>
    <n v="2526"/>
    <n v="1219"/>
    <n v="1312"/>
    <n v="2405"/>
    <n v="2021"/>
    <n v="2152"/>
    <n v="1650"/>
    <n v="9136"/>
    <n v="11160"/>
    <n v="7956"/>
    <n v="8228"/>
  </r>
  <r>
    <x v="0"/>
    <x v="3"/>
    <n v="10956"/>
    <n v="9084"/>
    <n v="7152"/>
    <n v="7608"/>
    <n v="3487"/>
    <n v="2231"/>
    <n v="1852"/>
    <n v="2138"/>
    <n v="3487"/>
    <n v="2295"/>
    <n v="1819"/>
    <n v="2413"/>
    <n v="1791"/>
    <n v="2741"/>
    <n v="1430"/>
    <n v="1535"/>
    <n v="2191"/>
    <n v="1817"/>
    <n v="2051"/>
    <n v="1522"/>
    <n v="9708"/>
    <n v="10014"/>
    <n v="7497"/>
    <n v="7581"/>
  </r>
  <r>
    <x v="0"/>
    <x v="4"/>
    <n v="9792"/>
    <n v="7764"/>
    <n v="8688"/>
    <n v="6432"/>
    <n v="3036"/>
    <n v="2057"/>
    <n v="2183"/>
    <n v="1092"/>
    <n v="1273"/>
    <n v="1398"/>
    <n v="2815"/>
    <n v="2041"/>
    <n v="3525"/>
    <n v="2756"/>
    <n v="1737"/>
    <n v="2012"/>
    <n v="1958"/>
    <n v="1553"/>
    <n v="1953"/>
    <n v="1287"/>
    <n v="8368"/>
    <n v="7527"/>
    <n v="10030"/>
    <n v="6751"/>
  </r>
  <r>
    <x v="0"/>
    <x v="5"/>
    <n v="9780"/>
    <n v="7260"/>
    <n v="9408"/>
    <n v="5712"/>
    <n v="4445"/>
    <n v="1893"/>
    <n v="1378"/>
    <n v="1702"/>
    <n v="1897"/>
    <n v="2022"/>
    <n v="3392"/>
    <n v="1859"/>
    <n v="1482"/>
    <n v="1893"/>
    <n v="1882"/>
    <n v="1008"/>
    <n v="1956"/>
    <n v="1452"/>
    <n v="2756"/>
    <n v="1143"/>
    <n v="9418"/>
    <n v="9170"/>
    <n v="6265"/>
    <n v="7307"/>
  </r>
  <r>
    <x v="0"/>
    <x v="6"/>
    <n v="10860"/>
    <n v="8592"/>
    <n v="9000"/>
    <n v="6348"/>
    <n v="2251"/>
    <n v="2624"/>
    <n v="2326"/>
    <n v="2026"/>
    <n v="2669"/>
    <n v="1996"/>
    <n v="2548"/>
    <n v="1055"/>
    <n v="3768"/>
    <n v="2254"/>
    <n v="1800"/>
    <n v="1998"/>
    <n v="2172"/>
    <n v="1718"/>
    <n v="2326"/>
    <n v="1269"/>
    <n v="9227"/>
    <n v="8268"/>
    <n v="9820"/>
    <n v="7485"/>
  </r>
  <r>
    <x v="0"/>
    <x v="7"/>
    <n v="11964"/>
    <n v="10596"/>
    <n v="7212"/>
    <n v="7776"/>
    <n v="4143"/>
    <n v="2132"/>
    <n v="1309"/>
    <n v="2230"/>
    <n v="1786"/>
    <n v="2995"/>
    <n v="3006"/>
    <n v="1682"/>
    <n v="3643"/>
    <n v="3350"/>
    <n v="1442"/>
    <n v="2308"/>
    <n v="2392"/>
    <n v="2119"/>
    <n v="1455"/>
    <n v="1556"/>
    <n v="9814"/>
    <n v="9469"/>
    <n v="10743"/>
    <n v="7522"/>
  </r>
  <r>
    <x v="0"/>
    <x v="8"/>
    <n v="12048"/>
    <n v="10392"/>
    <n v="6264"/>
    <n v="8556"/>
    <n v="3833"/>
    <n v="2643"/>
    <n v="2011"/>
    <n v="1630"/>
    <n v="2987"/>
    <n v="1982"/>
    <n v="1423"/>
    <n v="1630"/>
    <n v="2818"/>
    <n v="3689"/>
    <n v="1252"/>
    <n v="3585"/>
    <n v="2410"/>
    <n v="2078"/>
    <n v="1578"/>
    <n v="1711"/>
    <n v="10117"/>
    <n v="8022"/>
    <n v="11344"/>
    <n v="7777"/>
  </r>
  <r>
    <x v="0"/>
    <x v="9"/>
    <n v="10884"/>
    <n v="8784"/>
    <n v="7320"/>
    <n v="8052"/>
    <n v="3813"/>
    <n v="1871"/>
    <n v="1917"/>
    <n v="2013"/>
    <n v="2422"/>
    <n v="2932"/>
    <n v="1970"/>
    <n v="2588"/>
    <n v="2473"/>
    <n v="2224"/>
    <n v="1463"/>
    <n v="1840"/>
    <n v="2176"/>
    <n v="1757"/>
    <n v="1970"/>
    <n v="1611"/>
    <n v="9614"/>
    <n v="9912"/>
    <n v="8000"/>
    <n v="7514"/>
  </r>
  <r>
    <x v="0"/>
    <x v="10"/>
    <n v="10032"/>
    <n v="8772"/>
    <n v="8148"/>
    <n v="7008"/>
    <n v="3192"/>
    <n v="2990"/>
    <n v="1748"/>
    <n v="2117"/>
    <n v="1733"/>
    <n v="2741"/>
    <n v="1842"/>
    <n v="1215"/>
    <n v="3101"/>
    <n v="1287"/>
    <n v="1629"/>
    <n v="2274"/>
    <n v="2006"/>
    <n v="1754"/>
    <n v="2929"/>
    <n v="1402"/>
    <n v="10047"/>
    <n v="7531"/>
    <n v="8291"/>
    <n v="8091"/>
  </r>
  <r>
    <x v="0"/>
    <x v="11"/>
    <n v="10512"/>
    <n v="9576"/>
    <n v="7788"/>
    <n v="5700"/>
    <n v="2168"/>
    <n v="3989"/>
    <n v="2380"/>
    <n v="1078"/>
    <n v="2628"/>
    <n v="1583"/>
    <n v="2520"/>
    <n v="2034"/>
    <n v="3614"/>
    <n v="2089"/>
    <n v="1558"/>
    <n v="1448"/>
    <n v="2102"/>
    <n v="1915"/>
    <n v="1330"/>
    <n v="1140"/>
    <n v="9615"/>
    <n v="8765"/>
    <n v="8709"/>
    <n v="6487"/>
  </r>
  <r>
    <x v="1"/>
    <x v="0"/>
    <n v="11964"/>
    <n v="10596"/>
    <n v="7212"/>
    <n v="7776"/>
    <n v="3658"/>
    <n v="2960"/>
    <n v="1977"/>
    <n v="2237"/>
    <n v="1768"/>
    <n v="3050"/>
    <n v="2139"/>
    <n v="2268"/>
    <n v="4145"/>
    <n v="2467"/>
    <n v="1443"/>
    <n v="1716"/>
    <n v="2393"/>
    <n v="2119"/>
    <n v="1653"/>
    <n v="1555"/>
    <n v="10832"/>
    <n v="9225"/>
    <n v="9771"/>
    <n v="7720"/>
  </r>
  <r>
    <x v="1"/>
    <x v="1"/>
    <n v="11880"/>
    <n v="9960"/>
    <n v="6504"/>
    <n v="7488"/>
    <n v="3564"/>
    <n v="2573"/>
    <n v="1823"/>
    <n v="2169"/>
    <n v="4455"/>
    <n v="2449"/>
    <n v="1881"/>
    <n v="1962"/>
    <n v="1485"/>
    <n v="2947"/>
    <n v="1301"/>
    <n v="1859"/>
    <n v="2376"/>
    <n v="1991"/>
    <n v="1499"/>
    <n v="1498"/>
    <n v="10129"/>
    <n v="10747"/>
    <n v="7592"/>
    <n v="7364"/>
  </r>
  <r>
    <x v="1"/>
    <x v="2"/>
    <n v="12024"/>
    <n v="10104"/>
    <n v="6096"/>
    <n v="8256"/>
    <n v="3764"/>
    <n v="3212"/>
    <n v="1829"/>
    <n v="1404"/>
    <n v="2689"/>
    <n v="1659"/>
    <n v="1469"/>
    <n v="2771"/>
    <n v="3167"/>
    <n v="3212"/>
    <n v="1219"/>
    <n v="2429"/>
    <n v="2404"/>
    <n v="2021"/>
    <n v="1579"/>
    <n v="1652"/>
    <n v="10209"/>
    <n v="8588"/>
    <n v="10027"/>
    <n v="7656"/>
  </r>
  <r>
    <x v="1"/>
    <x v="3"/>
    <n v="10512"/>
    <n v="9576"/>
    <n v="7788"/>
    <n v="5700"/>
    <n v="2892"/>
    <n v="1683"/>
    <n v="1350"/>
    <n v="1157"/>
    <n v="2625"/>
    <n v="3540"/>
    <n v="1869"/>
    <n v="2518"/>
    <n v="2892"/>
    <n v="2438"/>
    <n v="1558"/>
    <n v="885"/>
    <n v="2103"/>
    <n v="1915"/>
    <n v="3011"/>
    <n v="1140"/>
    <n v="7082"/>
    <n v="10552"/>
    <n v="7773"/>
    <n v="8169"/>
  </r>
  <r>
    <x v="1"/>
    <x v="4"/>
    <n v="9780"/>
    <n v="7260"/>
    <n v="9408"/>
    <n v="5712"/>
    <n v="2698"/>
    <n v="1190"/>
    <n v="1963"/>
    <n v="1819"/>
    <n v="2467"/>
    <n v="2519"/>
    <n v="1745"/>
    <n v="1259"/>
    <n v="2659"/>
    <n v="2099"/>
    <n v="1882"/>
    <n v="1492"/>
    <n v="1956"/>
    <n v="1452"/>
    <n v="3818"/>
    <n v="1142"/>
    <n v="7670"/>
    <n v="7990"/>
    <n v="8132"/>
    <n v="8368"/>
  </r>
  <r>
    <x v="1"/>
    <x v="5"/>
    <n v="12048"/>
    <n v="10392"/>
    <n v="6264"/>
    <n v="8556"/>
    <n v="3334"/>
    <n v="4311"/>
    <n v="1086"/>
    <n v="3185"/>
    <n v="3543"/>
    <n v="1601"/>
    <n v="1717"/>
    <n v="2187"/>
    <n v="2761"/>
    <n v="2402"/>
    <n v="1253"/>
    <n v="1474"/>
    <n v="2410"/>
    <n v="2078"/>
    <n v="2208"/>
    <n v="1710"/>
    <n v="11916"/>
    <n v="9048"/>
    <n v="7890"/>
    <n v="8406"/>
  </r>
  <r>
    <x v="1"/>
    <x v="6"/>
    <n v="11964"/>
    <n v="10596"/>
    <n v="7212"/>
    <n v="7776"/>
    <n v="2831"/>
    <n v="3428"/>
    <n v="1648"/>
    <n v="2360"/>
    <n v="3370"/>
    <n v="3289"/>
    <n v="1870"/>
    <n v="1287"/>
    <n v="3370"/>
    <n v="1760"/>
    <n v="1443"/>
    <n v="2574"/>
    <n v="2393"/>
    <n v="2119"/>
    <n v="2251"/>
    <n v="1555"/>
    <n v="10267"/>
    <n v="9816"/>
    <n v="9147"/>
    <n v="8318"/>
  </r>
  <r>
    <x v="1"/>
    <x v="7"/>
    <n v="9792"/>
    <n v="7764"/>
    <n v="8688"/>
    <n v="6432"/>
    <n v="2497"/>
    <n v="2573"/>
    <n v="2285"/>
    <n v="1466"/>
    <n v="1763"/>
    <n v="1066"/>
    <n v="2252"/>
    <n v="1871"/>
    <n v="3574"/>
    <n v="2573"/>
    <n v="1738"/>
    <n v="1809"/>
    <n v="1958"/>
    <n v="1552"/>
    <n v="2413"/>
    <n v="1286"/>
    <n v="8821"/>
    <n v="6952"/>
    <n v="9694"/>
    <n v="7209"/>
  </r>
  <r>
    <x v="1"/>
    <x v="8"/>
    <n v="11964"/>
    <n v="10596"/>
    <n v="7212"/>
    <n v="7776"/>
    <n v="3480"/>
    <n v="2347"/>
    <n v="1477"/>
    <n v="2267"/>
    <n v="3634"/>
    <n v="4043"/>
    <n v="1717"/>
    <n v="2035"/>
    <n v="2457"/>
    <n v="2087"/>
    <n v="1442"/>
    <n v="1919"/>
    <n v="2393"/>
    <n v="2119"/>
    <n v="2576"/>
    <n v="1555"/>
    <n v="9571"/>
    <n v="11429"/>
    <n v="7905"/>
    <n v="8643"/>
  </r>
  <r>
    <x v="1"/>
    <x v="9"/>
    <n v="11880"/>
    <n v="9960"/>
    <n v="6504"/>
    <n v="7488"/>
    <n v="3853"/>
    <n v="3074"/>
    <n v="1281"/>
    <n v="1692"/>
    <n v="2569"/>
    <n v="1631"/>
    <n v="1786"/>
    <n v="1921"/>
    <n v="3082"/>
    <n v="3262"/>
    <n v="1301"/>
    <n v="2378"/>
    <n v="2376"/>
    <n v="1993"/>
    <n v="2136"/>
    <n v="1497"/>
    <n v="9900"/>
    <n v="7907"/>
    <n v="10023"/>
    <n v="8002"/>
  </r>
  <r>
    <x v="1"/>
    <x v="10"/>
    <n v="10032"/>
    <n v="8772"/>
    <n v="8148"/>
    <n v="7008"/>
    <n v="2360"/>
    <n v="3399"/>
    <n v="1804"/>
    <n v="2243"/>
    <n v="1829"/>
    <n v="1535"/>
    <n v="3259"/>
    <n v="1005"/>
    <n v="3836"/>
    <n v="2083"/>
    <n v="1630"/>
    <n v="2359"/>
    <n v="2007"/>
    <n v="1755"/>
    <n v="1455"/>
    <n v="1401"/>
    <n v="9806"/>
    <n v="7628"/>
    <n v="9908"/>
    <n v="6618"/>
  </r>
  <r>
    <x v="1"/>
    <x v="11"/>
    <n v="11100"/>
    <n v="9276"/>
    <n v="7908"/>
    <n v="5640"/>
    <n v="1700"/>
    <n v="2412"/>
    <n v="2343"/>
    <n v="1869"/>
    <n v="2645"/>
    <n v="2736"/>
    <n v="1265"/>
    <n v="1629"/>
    <n v="4534"/>
    <n v="2273"/>
    <n v="1582"/>
    <n v="1015"/>
    <n v="2221"/>
    <n v="1855"/>
    <n v="2718"/>
    <n v="1127"/>
    <n v="8324"/>
    <n v="8275"/>
    <n v="9404"/>
    <n v="7921"/>
  </r>
  <r>
    <x v="2"/>
    <x v="0"/>
    <n v="11100"/>
    <n v="9276"/>
    <n v="7908"/>
    <n v="5640"/>
    <n v="1809"/>
    <n v="3661"/>
    <n v="1106"/>
    <n v="1822"/>
    <n v="3344"/>
    <n v="1336"/>
    <n v="2566"/>
    <n v="1244"/>
    <n v="3727"/>
    <n v="2424"/>
    <n v="1582"/>
    <n v="1446"/>
    <n v="2220"/>
    <n v="1855"/>
    <n v="2654"/>
    <n v="1128"/>
    <n v="8398"/>
    <n v="8490"/>
    <n v="9179"/>
    <n v="7857"/>
  </r>
  <r>
    <x v="2"/>
    <x v="1"/>
    <n v="10512"/>
    <n v="9576"/>
    <n v="7788"/>
    <n v="5700"/>
    <n v="3165"/>
    <n v="1851"/>
    <n v="1295"/>
    <n v="1298"/>
    <n v="3391"/>
    <n v="2554"/>
    <n v="2711"/>
    <n v="2248"/>
    <n v="1854"/>
    <n v="3256"/>
    <n v="1557"/>
    <n v="1013"/>
    <n v="2102"/>
    <n v="1915"/>
    <n v="2225"/>
    <n v="1141"/>
    <n v="7609"/>
    <n v="10904"/>
    <n v="7680"/>
    <n v="7383"/>
  </r>
  <r>
    <x v="2"/>
    <x v="2"/>
    <n v="10884"/>
    <n v="8784"/>
    <n v="7320"/>
    <n v="8052"/>
    <n v="3530"/>
    <n v="1661"/>
    <n v="2448"/>
    <n v="2744"/>
    <n v="3483"/>
    <n v="3194"/>
    <n v="2208"/>
    <n v="2211"/>
    <n v="1694"/>
    <n v="2172"/>
    <n v="1464"/>
    <n v="1487"/>
    <n v="2177"/>
    <n v="1757"/>
    <n v="1200"/>
    <n v="1610"/>
    <n v="10383"/>
    <n v="11096"/>
    <n v="6817"/>
    <n v="6744"/>
  </r>
  <r>
    <x v="2"/>
    <x v="3"/>
    <n v="10032"/>
    <n v="8772"/>
    <n v="8148"/>
    <n v="7008"/>
    <n v="2788"/>
    <n v="2259"/>
    <n v="1336"/>
    <n v="1525"/>
    <n v="2619"/>
    <n v="1394"/>
    <n v="1923"/>
    <n v="2102"/>
    <n v="2619"/>
    <n v="3365"/>
    <n v="1630"/>
    <n v="1979"/>
    <n v="2006"/>
    <n v="1754"/>
    <n v="3259"/>
    <n v="1402"/>
    <n v="7908"/>
    <n v="8038"/>
    <n v="9593"/>
    <n v="8421"/>
  </r>
  <r>
    <x v="2"/>
    <x v="4"/>
    <n v="10956"/>
    <n v="9084"/>
    <n v="7152"/>
    <n v="7608"/>
    <n v="2974"/>
    <n v="3024"/>
    <n v="2298"/>
    <n v="2010"/>
    <n v="2895"/>
    <n v="1591"/>
    <n v="1757"/>
    <n v="1665"/>
    <n v="2895"/>
    <n v="2652"/>
    <n v="1430"/>
    <n v="2412"/>
    <n v="2192"/>
    <n v="1817"/>
    <n v="1667"/>
    <n v="1521"/>
    <n v="10306"/>
    <n v="7908"/>
    <n v="9389"/>
    <n v="7197"/>
  </r>
  <r>
    <x v="2"/>
    <x v="5"/>
    <n v="10860"/>
    <n v="8592"/>
    <n v="9000"/>
    <n v="6348"/>
    <n v="2812"/>
    <n v="2187"/>
    <n v="1170"/>
    <n v="1200"/>
    <n v="3114"/>
    <n v="1607"/>
    <n v="2655"/>
    <n v="1000"/>
    <n v="2762"/>
    <n v="3080"/>
    <n v="1800"/>
    <n v="2879"/>
    <n v="2172"/>
    <n v="1718"/>
    <n v="3375"/>
    <n v="1269"/>
    <n v="7369"/>
    <n v="8376"/>
    <n v="10521"/>
    <n v="8534"/>
  </r>
  <r>
    <x v="2"/>
    <x v="6"/>
    <n v="10884"/>
    <n v="8784"/>
    <n v="7320"/>
    <n v="8052"/>
    <n v="3026"/>
    <n v="3147"/>
    <n v="2325"/>
    <n v="2255"/>
    <n v="4137"/>
    <n v="2112"/>
    <n v="2190"/>
    <n v="2416"/>
    <n v="1544"/>
    <n v="1768"/>
    <n v="1464"/>
    <n v="1771"/>
    <n v="2177"/>
    <n v="1757"/>
    <n v="1341"/>
    <n v="1610"/>
    <n v="10753"/>
    <n v="10855"/>
    <n v="6547"/>
    <n v="6885"/>
  </r>
  <r>
    <x v="2"/>
    <x v="7"/>
    <n v="10860"/>
    <n v="8592"/>
    <n v="9000"/>
    <n v="6348"/>
    <n v="4255"/>
    <n v="1819"/>
    <n v="2688"/>
    <n v="1812"/>
    <n v="2660"/>
    <n v="1954"/>
    <n v="2112"/>
    <n v="1235"/>
    <n v="1773"/>
    <n v="3100"/>
    <n v="1800"/>
    <n v="2031"/>
    <n v="2172"/>
    <n v="1719"/>
    <n v="2400"/>
    <n v="1270"/>
    <n v="10574"/>
    <n v="7961"/>
    <n v="8704"/>
    <n v="7561"/>
  </r>
  <r>
    <x v="2"/>
    <x v="8"/>
    <n v="9780"/>
    <n v="7260"/>
    <n v="9408"/>
    <n v="5712"/>
    <n v="3093"/>
    <n v="2708"/>
    <n v="2748"/>
    <n v="817"/>
    <n v="2790"/>
    <n v="2001"/>
    <n v="2708"/>
    <n v="1889"/>
    <n v="1941"/>
    <n v="1099"/>
    <n v="1881"/>
    <n v="1864"/>
    <n v="1956"/>
    <n v="1452"/>
    <n v="2071"/>
    <n v="1142"/>
    <n v="9366"/>
    <n v="9388"/>
    <n v="6785"/>
    <n v="6621"/>
  </r>
  <r>
    <x v="2"/>
    <x v="9"/>
    <n v="12048"/>
    <n v="10392"/>
    <n v="6264"/>
    <n v="8556"/>
    <n v="2274"/>
    <n v="2833"/>
    <n v="1784"/>
    <n v="2109"/>
    <n v="3899"/>
    <n v="2276"/>
    <n v="1996"/>
    <n v="2247"/>
    <n v="3465"/>
    <n v="3205"/>
    <n v="1252"/>
    <n v="2489"/>
    <n v="2410"/>
    <n v="2078"/>
    <n v="1232"/>
    <n v="1711"/>
    <n v="9000"/>
    <n v="10418"/>
    <n v="10411"/>
    <n v="7431"/>
  </r>
  <r>
    <x v="2"/>
    <x v="10"/>
    <n v="9792"/>
    <n v="7764"/>
    <n v="8688"/>
    <n v="6432"/>
    <n v="2871"/>
    <n v="1461"/>
    <n v="2355"/>
    <n v="2107"/>
    <n v="3503"/>
    <n v="2594"/>
    <n v="2697"/>
    <n v="1692"/>
    <n v="1460"/>
    <n v="2156"/>
    <n v="1737"/>
    <n v="1347"/>
    <n v="1958"/>
    <n v="1553"/>
    <n v="1899"/>
    <n v="1286"/>
    <n v="8794"/>
    <n v="10486"/>
    <n v="6700"/>
    <n v="6696"/>
  </r>
  <r>
    <x v="2"/>
    <x v="11"/>
    <n v="10512"/>
    <n v="9576"/>
    <n v="7788"/>
    <n v="5700"/>
    <n v="2102"/>
    <n v="2128"/>
    <n v="1477"/>
    <n v="1207"/>
    <n v="3873"/>
    <n v="3547"/>
    <n v="3277"/>
    <n v="1770"/>
    <n v="2434"/>
    <n v="1986"/>
    <n v="1557"/>
    <n v="1583"/>
    <n v="2103"/>
    <n v="1915"/>
    <n v="1477"/>
    <n v="1140"/>
    <n v="6914"/>
    <n v="12467"/>
    <n v="7560"/>
    <n v="66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BB79C-7FEF-4C2C-B023-5EDB4830A277}"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B35" firstHeaderRow="1" firstDataRow="1" firstDataCol="1"/>
  <pivotFields count="2">
    <pivotField axis="axisRow" showAll="0">
      <items count="5">
        <item x="0"/>
        <item x="1"/>
        <item x="2"/>
        <item x="3"/>
        <item t="default"/>
      </items>
    </pivotField>
    <pivotField showAll="0"/>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2EF20D-D65E-44F4-AE81-C47CF7C7B577}" name="PivotTable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U5" firstHeaderRow="0" firstDataRow="1" firstDataCol="1"/>
  <pivotFields count="26">
    <pivotField showAll="0">
      <items count="4">
        <item x="2"/>
        <item h="1" x="1"/>
        <item h="1" x="0"/>
        <item t="default"/>
      </items>
    </pivotField>
    <pivotField axis="axisRow" showAll="0">
      <items count="13">
        <item h="1" x="0"/>
        <item h="1" x="1"/>
        <item h="1" x="2"/>
        <item h="1" x="3"/>
        <item h="1" x="4"/>
        <item h="1" x="5"/>
        <item h="1" x="6"/>
        <item x="7"/>
        <item h="1" x="8"/>
        <item h="1" x="9"/>
        <item h="1" x="10"/>
        <item h="1" x="11"/>
        <item t="default"/>
      </items>
    </pivotField>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2">
    <i>
      <x v="7"/>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Vanguard E" fld="6" baseField="0" baseItem="0"/>
    <dataField name="Sum of High tech E" fld="7" baseField="0" baseItem="0"/>
    <dataField name="Sum of Loft E" fld="9" baseField="0" baseItem="0"/>
    <dataField name="Sum of Vanguard I" fld="10" baseField="0" baseItem="0"/>
    <dataField name="Sum of High tech I" fld="11" baseField="0" baseItem="0"/>
    <dataField name="Sum of Loft I" fld="13" baseField="0" baseItem="0"/>
    <dataField name="Sum of Vanguard H" fld="14" baseField="0" baseItem="0"/>
    <dataField name="Sum of High tech H" fld="15" baseField="0" baseItem="0"/>
    <dataField name="Sum of Loft H" fld="17" baseField="0" baseItem="0"/>
    <dataField name="Sum of Vanguard O" fld="18" baseField="0" baseItem="0"/>
    <dataField name="Sum of High tech O" fld="19" baseField="0" baseItem="0"/>
    <dataField name="Sum of Loft O" fld="21" baseField="0" baseItem="0"/>
    <dataField name="Sum of Pop Art E" fld="8" baseField="0" baseItem="0"/>
    <dataField name="Sum of Pop Art I" fld="12" baseField="0" baseItem="0"/>
    <dataField name="Sum of Pop Art H" fld="16" baseField="0" baseItem="0"/>
    <dataField name="Sum of Pop Art O" fld="20" baseField="0" baseItem="0"/>
    <dataField name="Sum of Exhibitions" fld="22" baseField="0" baseItem="0"/>
    <dataField name="Sum of Internet" fld="23" baseField="0" baseItem="0"/>
    <dataField name="Sum of Hotels" fld="24" baseField="0" baseItem="0"/>
    <dataField name="Sum of Offic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0F902804-972E-40D5-91D5-CF30EB2B8F0B}" sourceName="Market">
  <pivotTables>
    <pivotTable tabId="2" name="PivotTable3"/>
  </pivotTables>
  <data>
    <tabular pivotCacheId="72755211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FDDDC0-636A-4B69-95DA-C6712EDDFD21}" sourceName="Year">
  <pivotTables>
    <pivotTable tabId="3" name="PivotTable1"/>
  </pivotTables>
  <data>
    <tabular pivotCacheId="1300209018">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0A4047-0E22-409D-91B8-8D2349288FB0}" sourceName="Month">
  <pivotTables>
    <pivotTable tabId="3" name="PivotTable1"/>
  </pivotTables>
  <data>
    <tabular pivotCacheId="1300209018">
      <items count="12">
        <i x="0"/>
        <i x="1"/>
        <i x="2"/>
        <i x="3"/>
        <i x="4"/>
        <i x="5"/>
        <i x="6"/>
        <i x="7" s="1"/>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1" xr10:uid="{91586BF8-3DD3-435A-999C-4D20219753A6}" cache="Slicer_Market" caption="Market" columnCount="4" showCaption="0" style="SlicerStyleLight1 2 2 2 2" rowHeight="274320"/>
  <slicer name="Market 2" xr10:uid="{0EF2DE45-AEE1-4DD2-800E-6B42C939FCF4}" cache="Slicer_Market" caption="Market" showCaption="0" style="SlicerStyleLight1 2 2 2 2" rowHeight="347472"/>
  <slicer name="Year" xr10:uid="{0C2C84AA-57EB-40FD-91DF-0AB963A71804}" cache="Slicer_Year" caption="Year" columnCount="3" showCaption="0" style="SlicerStyleLight1 2" rowHeight="247650"/>
  <slicer name="Month" xr10:uid="{04832E4A-A5F2-48B3-8C83-9DF3349CF6D5}" cache="Slicer_Month" caption="Month" columnCount="12" showCaption="0" style="SlicerStyleLight1 2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3FD159-DD37-499D-957C-063F49320AB8}" name="mydata" displayName="mydata" ref="A2:Z38" totalsRowShown="0" headerRowDxfId="26">
  <autoFilter ref="A2:Z38" xr:uid="{4F3FD159-DD37-499D-957C-063F49320AB8}"/>
  <tableColumns count="26">
    <tableColumn id="1" xr3:uid="{9EBA2ED1-8C73-4052-8C31-8160399A77B0}" name="Year" dataDxfId="25"/>
    <tableColumn id="2" xr3:uid="{2B13EF24-24A9-413C-8FD3-3CB0E3BAEEA9}" name="Month" dataDxfId="24"/>
    <tableColumn id="3" xr3:uid="{70D801CB-DE3E-4CCF-B903-77BD33EC6F55}" name="Vanguard" dataDxfId="23"/>
    <tableColumn id="4" xr3:uid="{AB4AC637-A834-448D-8BC1-C0C49A7D8F7C}" name="High tech" dataDxfId="22"/>
    <tableColumn id="5" xr3:uid="{6984DB14-E160-419F-82C9-EC034CD3B913}" name="Pop Art" dataDxfId="21"/>
    <tableColumn id="6" xr3:uid="{D6365136-79E1-4E93-A6E6-B186B9C71B6B}" name="Loft" dataDxfId="20"/>
    <tableColumn id="7" xr3:uid="{EC729DDB-78F6-417D-BAE2-D005EA5DFD98}" name="Vanguard E" dataDxfId="19"/>
    <tableColumn id="8" xr3:uid="{9DE0BC64-CFB6-400F-925F-ED92FD720FD6}" name="High tech E" dataDxfId="18"/>
    <tableColumn id="9" xr3:uid="{B68E1E1F-36C8-4A1D-B5C8-5E4F03594ACE}" name="Pop Art E" dataDxfId="17"/>
    <tableColumn id="10" xr3:uid="{024D5C09-EC8E-4F3B-9559-61F3749BA306}" name="Loft E" dataDxfId="16"/>
    <tableColumn id="11" xr3:uid="{0BC4308C-2CA4-472B-AD19-7EC3E7D02282}" name="Vanguard I" dataDxfId="15"/>
    <tableColumn id="12" xr3:uid="{6E706029-576F-4DD4-87C9-83B280F715B4}" name="High tech I" dataDxfId="14"/>
    <tableColumn id="13" xr3:uid="{21716951-C005-427A-93FC-3F979DAB37A1}" name="Pop Art I" dataDxfId="13"/>
    <tableColumn id="14" xr3:uid="{A78EB8FF-1F5F-4908-B0AB-3168DB4AB835}" name="Loft I" dataDxfId="12"/>
    <tableColumn id="15" xr3:uid="{0ECA76B9-2B1E-4D72-AC7F-6477669D771C}" name="Vanguard H" dataDxfId="11"/>
    <tableColumn id="16" xr3:uid="{8B6B181E-67E7-44A0-A36D-AACD0140AA4A}" name="High tech H" dataDxfId="10"/>
    <tableColumn id="17" xr3:uid="{0B8BF51C-EB1D-4FFC-8D39-729AB425271A}" name="Pop Art H" dataDxfId="9"/>
    <tableColumn id="18" xr3:uid="{D6E547ED-C884-442A-AB43-D0DCB5326FB1}" name="Loft H" dataDxfId="8"/>
    <tableColumn id="19" xr3:uid="{86B5C90B-B170-4565-A395-25C1994716C1}" name="Vanguard O" dataDxfId="7"/>
    <tableColumn id="20" xr3:uid="{38218FF5-03B1-42F6-A028-4EA81470EC64}" name="High tech O" dataDxfId="6"/>
    <tableColumn id="21" xr3:uid="{193E9E35-C5C6-41DA-A36B-CFCE1B57A64F}" name="Pop Art O" dataDxfId="5"/>
    <tableColumn id="22" xr3:uid="{C2E711FC-169E-4ECF-8298-5377C6E71899}" name="Loft O" dataDxfId="4"/>
    <tableColumn id="23" xr3:uid="{D76DA733-57CB-49DF-8A39-1D898798AC4B}" name="Exhibitions" dataDxfId="3">
      <calculatedColumnFormula>SUM(mydata[[#This Row],[Vanguard E]:[Loft E]])</calculatedColumnFormula>
    </tableColumn>
    <tableColumn id="24" xr3:uid="{1344716A-6939-48E4-949E-26C93D5CF8C1}" name="Internet" dataDxfId="2">
      <calculatedColumnFormula>SUM(mydata[[#This Row],[Vanguard I]:[Loft I]])</calculatedColumnFormula>
    </tableColumn>
    <tableColumn id="25" xr3:uid="{01AD001F-A6F6-40EB-9268-1F87208963D4}" name="Hotels" dataDxfId="1">
      <calculatedColumnFormula>SUM(mydata[[#This Row],[Vanguard H]:[Loft H]])</calculatedColumnFormula>
    </tableColumn>
    <tableColumn id="26" xr3:uid="{648808ED-ED0A-49FE-B2E9-354F4204DAFD}" name="Office" dataDxfId="0">
      <calculatedColumnFormula>SUM(mydata[[#This Row],[Vanguard O]:[Loft 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CBB5-5BDB-4C86-AC72-31315515F213}">
  <dimension ref="U6:Y7"/>
  <sheetViews>
    <sheetView showRowColHeaders="0" tabSelected="1" zoomScale="85" zoomScaleNormal="85" workbookViewId="0">
      <selection activeCell="U11" sqref="U11"/>
    </sheetView>
  </sheetViews>
  <sheetFormatPr defaultColWidth="8.85546875" defaultRowHeight="15" x14ac:dyDescent="0.25"/>
  <cols>
    <col min="1" max="16384" width="8.85546875" style="10"/>
  </cols>
  <sheetData>
    <row r="6" spans="21:25" x14ac:dyDescent="0.25">
      <c r="U6" s="33"/>
      <c r="V6" s="33"/>
      <c r="W6" s="33"/>
      <c r="X6" s="33"/>
      <c r="Y6" s="33"/>
    </row>
    <row r="7" spans="21:25" x14ac:dyDescent="0.25">
      <c r="U7" s="33"/>
      <c r="V7" s="33"/>
      <c r="W7" s="33"/>
      <c r="X7" s="33"/>
      <c r="Y7" s="33"/>
    </row>
  </sheetData>
  <mergeCells count="1">
    <mergeCell ref="U6:Y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3FA8-4669-4890-9387-ED48079D6AF8}">
  <dimension ref="A1:O35"/>
  <sheetViews>
    <sheetView workbookViewId="0">
      <selection activeCell="K3" sqref="K3:O4"/>
    </sheetView>
  </sheetViews>
  <sheetFormatPr defaultRowHeight="15" x14ac:dyDescent="0.25"/>
  <cols>
    <col min="1" max="1" width="10.28515625" customWidth="1"/>
    <col min="2" max="2" width="13.42578125" bestFit="1" customWidth="1"/>
    <col min="3" max="3" width="11.7109375" bestFit="1" customWidth="1"/>
    <col min="5" max="5" width="9.85546875" customWidth="1"/>
    <col min="8" max="8" width="9.5703125" bestFit="1" customWidth="1"/>
    <col min="13" max="13" width="10.28515625" bestFit="1" customWidth="1"/>
    <col min="14" max="14" width="11.28515625" customWidth="1"/>
    <col min="17" max="17" width="9.5703125" bestFit="1" customWidth="1"/>
    <col min="18" max="18" width="9.5703125" customWidth="1"/>
  </cols>
  <sheetData>
    <row r="1" spans="1:15" x14ac:dyDescent="0.25">
      <c r="A1" s="5" t="s">
        <v>64</v>
      </c>
      <c r="B1" s="5" t="s">
        <v>77</v>
      </c>
      <c r="C1" s="5" t="s">
        <v>67</v>
      </c>
      <c r="D1" s="5" t="s">
        <v>78</v>
      </c>
      <c r="E1" s="5" t="s">
        <v>70</v>
      </c>
      <c r="F1" s="5" t="s">
        <v>76</v>
      </c>
      <c r="G1" s="5" t="s">
        <v>66</v>
      </c>
      <c r="H1" s="5" t="s">
        <v>65</v>
      </c>
      <c r="I1" s="5" t="s">
        <v>76</v>
      </c>
      <c r="K1" s="4" t="s">
        <v>81</v>
      </c>
    </row>
    <row r="2" spans="1:15" x14ac:dyDescent="0.25">
      <c r="A2" s="1" t="s">
        <v>0</v>
      </c>
      <c r="B2" s="1">
        <f>$B$6</f>
        <v>422.96000000000004</v>
      </c>
      <c r="C2" s="3">
        <f>GETPIVOTDATA(""&amp;A2,Control!$A$3)</f>
        <v>10574</v>
      </c>
      <c r="D2" s="3">
        <f>$D$6</f>
        <v>1</v>
      </c>
      <c r="E2" s="3">
        <f>B2</f>
        <v>422.96000000000004</v>
      </c>
      <c r="F2" s="3">
        <f>IF(ISNUMBER(MATCH(A2,$B$31:$B$34,0)),C2,NA())</f>
        <v>10574</v>
      </c>
      <c r="G2" s="8">
        <f>C2/$C$6</f>
        <v>0.30385057471264365</v>
      </c>
      <c r="H2" s="9">
        <f>G2</f>
        <v>0.30385057471264365</v>
      </c>
      <c r="I2" s="8">
        <f>IF(ISNUMBER(MATCH(A2,$B$31:$B$34,0)),H2,0)</f>
        <v>0.30385057471264365</v>
      </c>
    </row>
    <row r="3" spans="1:15" ht="15" customHeight="1" x14ac:dyDescent="0.5">
      <c r="A3" s="1" t="s">
        <v>2</v>
      </c>
      <c r="B3" s="1">
        <f>$B$6</f>
        <v>422.96000000000004</v>
      </c>
      <c r="C3" s="3">
        <f>GETPIVOTDATA(""&amp;A3,Control!$A$3)</f>
        <v>8704</v>
      </c>
      <c r="D3" s="3">
        <f>$D$6</f>
        <v>1</v>
      </c>
      <c r="E3" s="3">
        <f t="shared" ref="E3:E5" si="0">B3</f>
        <v>422.96000000000004</v>
      </c>
      <c r="F3" s="3">
        <f>IF(ISNUMBER(MATCH(A3,$B$31:$B$34,0)),C3,NA())</f>
        <v>8704</v>
      </c>
      <c r="G3" s="8">
        <f>C3/$C$6</f>
        <v>0.25011494252873562</v>
      </c>
      <c r="H3" s="9">
        <f t="shared" ref="H3:H5" si="1">G3</f>
        <v>0.25011494252873562</v>
      </c>
      <c r="I3" s="8">
        <f>IF(ISNUMBER(MATCH(A2,$B$31:$B$34,0)),0,H2)</f>
        <v>0</v>
      </c>
      <c r="K3" s="35"/>
      <c r="L3" s="35"/>
      <c r="M3" s="35"/>
      <c r="N3" s="35"/>
      <c r="O3" s="35"/>
    </row>
    <row r="4" spans="1:15" ht="15" customHeight="1" x14ac:dyDescent="0.5">
      <c r="A4" s="1" t="s">
        <v>1</v>
      </c>
      <c r="B4" s="1">
        <f>$B$6</f>
        <v>422.96000000000004</v>
      </c>
      <c r="C4" s="3">
        <f>GETPIVOTDATA(""&amp;A4,Control!$A$3)</f>
        <v>7961</v>
      </c>
      <c r="D4" s="3">
        <f>$D$6</f>
        <v>1</v>
      </c>
      <c r="E4" s="3">
        <f t="shared" si="0"/>
        <v>422.96000000000004</v>
      </c>
      <c r="F4" s="3">
        <f>IF(ISNUMBER(MATCH(A4,$B$31:$B$34,0)),C4,NA())</f>
        <v>7961</v>
      </c>
      <c r="G4" s="8">
        <f>C4/$C$6</f>
        <v>0.22876436781609194</v>
      </c>
      <c r="H4" s="9">
        <f t="shared" si="1"/>
        <v>0.22876436781609194</v>
      </c>
      <c r="I4" s="8">
        <f>IF(ISNUMBER(MATCH(A3,$B$31:$B$34,0)),H3,0)</f>
        <v>0.25011494252873562</v>
      </c>
      <c r="K4" s="35"/>
      <c r="L4" s="35"/>
      <c r="M4" s="35"/>
      <c r="N4" s="35"/>
      <c r="O4" s="35"/>
    </row>
    <row r="5" spans="1:15" x14ac:dyDescent="0.25">
      <c r="A5" s="1" t="s">
        <v>3</v>
      </c>
      <c r="B5" s="1">
        <f>$B$6</f>
        <v>422.96000000000004</v>
      </c>
      <c r="C5" s="3">
        <f>GETPIVOTDATA(""&amp;A5,Control!$A$3)</f>
        <v>7561</v>
      </c>
      <c r="D5" s="3">
        <f>$D$6</f>
        <v>1</v>
      </c>
      <c r="E5" s="3">
        <f t="shared" si="0"/>
        <v>422.96000000000004</v>
      </c>
      <c r="F5" s="3">
        <f>IF(ISNUMBER(MATCH(A5,$B$31:$B$34,0)),C5,NA())</f>
        <v>7561</v>
      </c>
      <c r="G5" s="8">
        <f>C5/$C$6</f>
        <v>0.21727011494252874</v>
      </c>
      <c r="H5" s="9">
        <f t="shared" si="1"/>
        <v>0.21727011494252874</v>
      </c>
      <c r="I5" s="8">
        <f>IF(ISNUMBER(MATCH(A3,$B$31:$B$34,0)),0,H3)</f>
        <v>0</v>
      </c>
    </row>
    <row r="6" spans="1:15" x14ac:dyDescent="0.25">
      <c r="B6" s="5">
        <f>MAX(C2:C5)*4%</f>
        <v>422.96000000000004</v>
      </c>
      <c r="C6" s="13">
        <f>SUM(C2:C5)</f>
        <v>34800</v>
      </c>
      <c r="D6" s="5">
        <v>1</v>
      </c>
      <c r="E6" s="7"/>
      <c r="F6" s="7"/>
      <c r="H6" s="12">
        <f>SUMIF(F2:F5,"&gt;0",H2:H5)</f>
        <v>1</v>
      </c>
      <c r="I6" s="8">
        <f>IF(ISNUMBER(MATCH(A4,$B$31:$B$34,0)),H4,0)</f>
        <v>0.22876436781609194</v>
      </c>
    </row>
    <row r="7" spans="1:15" x14ac:dyDescent="0.25">
      <c r="A7" t="s">
        <v>79</v>
      </c>
      <c r="C7" t="s">
        <v>80</v>
      </c>
      <c r="I7" s="8">
        <f>IF(ISNUMBER(MATCH(A4,$B$31:$B$34,0)),0,H4)</f>
        <v>0</v>
      </c>
    </row>
    <row r="8" spans="1:15" x14ac:dyDescent="0.25">
      <c r="I8" s="8">
        <f>IF(ISNUMBER(MATCH(A5,$B$31:$B$34,0)),H5,0)</f>
        <v>0.21727011494252874</v>
      </c>
    </row>
    <row r="9" spans="1:15" x14ac:dyDescent="0.25">
      <c r="I9" s="8">
        <f>IF(ISNUMBER(MATCH(A5,$B$31:$B$34,0)),0,H5)</f>
        <v>0</v>
      </c>
    </row>
    <row r="11" spans="1:15" x14ac:dyDescent="0.25">
      <c r="A11" s="7" t="s">
        <v>82</v>
      </c>
      <c r="B11" s="3"/>
      <c r="D11" s="5" t="s">
        <v>64</v>
      </c>
      <c r="E11" s="5" t="s">
        <v>72</v>
      </c>
      <c r="F11" s="5" t="s">
        <v>69</v>
      </c>
      <c r="G11" s="5" t="s">
        <v>67</v>
      </c>
      <c r="H11" s="5" t="s">
        <v>70</v>
      </c>
      <c r="I11" s="5" t="s">
        <v>68</v>
      </c>
      <c r="J11" s="5" t="s">
        <v>74</v>
      </c>
      <c r="K11" s="5" t="s">
        <v>75</v>
      </c>
      <c r="L11" s="5" t="s">
        <v>71</v>
      </c>
      <c r="M11" s="5" t="s">
        <v>67</v>
      </c>
      <c r="N11" s="5" t="s">
        <v>73</v>
      </c>
    </row>
    <row r="12" spans="1:15" x14ac:dyDescent="0.25">
      <c r="A12" s="1" t="s">
        <v>0</v>
      </c>
      <c r="B12" t="s">
        <v>22</v>
      </c>
      <c r="C12">
        <f>GETPIVOTDATA(B12&amp;" "&amp;LEFT(A12,1),Control!$A$3)</f>
        <v>4255</v>
      </c>
      <c r="D12" s="1" t="s">
        <v>0</v>
      </c>
      <c r="E12" s="3" t="s">
        <v>21</v>
      </c>
      <c r="F12">
        <f t="shared" ref="F12:F27" si="2">$F$28</f>
        <v>425.5</v>
      </c>
      <c r="G12">
        <f>C12</f>
        <v>4255</v>
      </c>
      <c r="H12">
        <f>F12</f>
        <v>425.5</v>
      </c>
      <c r="I12" s="3">
        <f t="shared" ref="I12:I27" si="3">IF(ISNUMBER(MATCH(A12,$B$31:$B$34,0)),C12,NA())</f>
        <v>4255</v>
      </c>
      <c r="J12">
        <f>I12+F12</f>
        <v>4680.5</v>
      </c>
      <c r="K12" s="3" t="str">
        <f t="shared" ref="K12:K27" si="4">IF(ISNA(I12),"",IF(G12&gt;=1000,ROUND(G12/1000,0)&amp;"k",G12))</f>
        <v>4k</v>
      </c>
      <c r="L12" s="1" t="s">
        <v>0</v>
      </c>
      <c r="M12" s="11">
        <f>IF(N12="",GETPIVOTDATA(""&amp;L12,Control!$A$3),"")</f>
        <v>10574</v>
      </c>
      <c r="N12" s="3" t="str">
        <f>IF(ISNUMBER(MATCH(L12,$B$31:$B$34,0)),"","I")</f>
        <v/>
      </c>
    </row>
    <row r="13" spans="1:15" x14ac:dyDescent="0.25">
      <c r="A13" s="1" t="s">
        <v>0</v>
      </c>
      <c r="B13" t="s">
        <v>23</v>
      </c>
      <c r="C13">
        <f>GETPIVOTDATA(B13&amp;" "&amp;LEFT(A13,1),Control!$A$3)</f>
        <v>1819</v>
      </c>
      <c r="D13" s="1"/>
      <c r="E13" s="3" t="s">
        <v>18</v>
      </c>
      <c r="F13">
        <f t="shared" si="2"/>
        <v>425.5</v>
      </c>
      <c r="G13">
        <f t="shared" ref="G13:G27" si="5">C13</f>
        <v>1819</v>
      </c>
      <c r="H13">
        <f t="shared" ref="H13:H27" si="6">F13</f>
        <v>425.5</v>
      </c>
      <c r="I13" s="3">
        <f t="shared" si="3"/>
        <v>1819</v>
      </c>
      <c r="J13">
        <f t="shared" ref="J13:J27" si="7">I13+F13</f>
        <v>2244.5</v>
      </c>
      <c r="K13" s="3" t="str">
        <f t="shared" si="4"/>
        <v>2k</v>
      </c>
      <c r="L13" s="1" t="s">
        <v>2</v>
      </c>
      <c r="M13" s="11">
        <f>IF(N13="",GETPIVOTDATA(""&amp;L13,Control!$A$3),"")</f>
        <v>8704</v>
      </c>
      <c r="N13" s="3" t="str">
        <f>IF(ISNUMBER(MATCH(L13,$B$31:$B$34,0)),"","I")</f>
        <v/>
      </c>
    </row>
    <row r="14" spans="1:15" x14ac:dyDescent="0.25">
      <c r="A14" s="1" t="s">
        <v>0</v>
      </c>
      <c r="B14" t="s">
        <v>37</v>
      </c>
      <c r="C14">
        <f>GETPIVOTDATA(B14&amp;" "&amp;LEFT(A14,1),Control!$A$3)</f>
        <v>2688</v>
      </c>
      <c r="D14" s="1"/>
      <c r="E14" s="3" t="s">
        <v>19</v>
      </c>
      <c r="F14">
        <f t="shared" si="2"/>
        <v>425.5</v>
      </c>
      <c r="G14">
        <f t="shared" si="5"/>
        <v>2688</v>
      </c>
      <c r="H14">
        <f t="shared" si="6"/>
        <v>425.5</v>
      </c>
      <c r="I14" s="3">
        <f t="shared" si="3"/>
        <v>2688</v>
      </c>
      <c r="J14">
        <f t="shared" si="7"/>
        <v>3113.5</v>
      </c>
      <c r="K14" s="3" t="str">
        <f t="shared" si="4"/>
        <v>3k</v>
      </c>
      <c r="L14" s="1" t="s">
        <v>1</v>
      </c>
      <c r="M14" s="11">
        <f>IF(N14="",GETPIVOTDATA(""&amp;L14,Control!$A$3),"")</f>
        <v>7961</v>
      </c>
      <c r="N14" s="3" t="str">
        <f>IF(ISNUMBER(MATCH(L14,$B$31:$B$34,0)),"","I")</f>
        <v/>
      </c>
    </row>
    <row r="15" spans="1:15" x14ac:dyDescent="0.25">
      <c r="A15" s="1" t="s">
        <v>0</v>
      </c>
      <c r="B15" t="s">
        <v>24</v>
      </c>
      <c r="C15">
        <f>GETPIVOTDATA(B15&amp;" "&amp;LEFT(A15,1),Control!$A$3)</f>
        <v>1812</v>
      </c>
      <c r="D15" s="1"/>
      <c r="E15" s="3" t="s">
        <v>20</v>
      </c>
      <c r="F15">
        <f t="shared" si="2"/>
        <v>425.5</v>
      </c>
      <c r="G15">
        <f t="shared" si="5"/>
        <v>1812</v>
      </c>
      <c r="H15">
        <f t="shared" si="6"/>
        <v>425.5</v>
      </c>
      <c r="I15" s="3">
        <f t="shared" si="3"/>
        <v>1812</v>
      </c>
      <c r="J15">
        <f t="shared" si="7"/>
        <v>2237.5</v>
      </c>
      <c r="K15" s="3" t="str">
        <f t="shared" si="4"/>
        <v>2k</v>
      </c>
      <c r="L15" s="1" t="s">
        <v>3</v>
      </c>
      <c r="M15" s="11">
        <f>IF(N15="",GETPIVOTDATA(""&amp;L15,Control!$A$3),"")</f>
        <v>7561</v>
      </c>
      <c r="N15" s="3" t="str">
        <f>IF(ISNUMBER(MATCH(L15,$B$31:$B$34,0)),"","I")</f>
        <v/>
      </c>
    </row>
    <row r="16" spans="1:15" x14ac:dyDescent="0.25">
      <c r="A16" s="1" t="s">
        <v>2</v>
      </c>
      <c r="B16" t="s">
        <v>22</v>
      </c>
      <c r="C16">
        <f>GETPIVOTDATA(B16&amp;" "&amp;LEFT(A16,1),Control!$A$3)</f>
        <v>1773</v>
      </c>
      <c r="D16" s="1" t="s">
        <v>1</v>
      </c>
      <c r="E16" s="3" t="s">
        <v>21</v>
      </c>
      <c r="F16">
        <f t="shared" si="2"/>
        <v>425.5</v>
      </c>
      <c r="G16">
        <f t="shared" si="5"/>
        <v>1773</v>
      </c>
      <c r="H16">
        <f t="shared" si="6"/>
        <v>425.5</v>
      </c>
      <c r="I16" s="3">
        <f t="shared" si="3"/>
        <v>1773</v>
      </c>
      <c r="J16">
        <f t="shared" si="7"/>
        <v>2198.5</v>
      </c>
      <c r="K16" s="3" t="str">
        <f t="shared" si="4"/>
        <v>2k</v>
      </c>
      <c r="L16" s="14" t="s">
        <v>99</v>
      </c>
      <c r="M16" s="15">
        <f>SUM(M12:M15)</f>
        <v>34800</v>
      </c>
      <c r="N16" s="3"/>
    </row>
    <row r="17" spans="1:14" x14ac:dyDescent="0.25">
      <c r="A17" s="1" t="s">
        <v>2</v>
      </c>
      <c r="B17" t="s">
        <v>23</v>
      </c>
      <c r="C17">
        <f>GETPIVOTDATA(B17&amp;" "&amp;LEFT(A17,1),Control!$A$3)</f>
        <v>3100</v>
      </c>
      <c r="D17" s="1"/>
      <c r="E17" s="3" t="s">
        <v>18</v>
      </c>
      <c r="F17">
        <f t="shared" si="2"/>
        <v>425.5</v>
      </c>
      <c r="G17">
        <f t="shared" si="5"/>
        <v>3100</v>
      </c>
      <c r="H17">
        <f t="shared" si="6"/>
        <v>425.5</v>
      </c>
      <c r="I17" s="3">
        <f t="shared" si="3"/>
        <v>3100</v>
      </c>
      <c r="J17">
        <f t="shared" si="7"/>
        <v>3525.5</v>
      </c>
      <c r="K17" s="3" t="str">
        <f t="shared" si="4"/>
        <v>3k</v>
      </c>
      <c r="L17" t="s">
        <v>22</v>
      </c>
      <c r="M17" s="11" cm="1">
        <f t="array" ref="M17">SUM(($B$12:$B$27=L17)*((IFERROR($J$12:$J$27,0))&gt;0)*$C$12:$C$27)</f>
        <v>10860</v>
      </c>
      <c r="N17" s="3"/>
    </row>
    <row r="18" spans="1:14" x14ac:dyDescent="0.25">
      <c r="A18" s="1" t="s">
        <v>2</v>
      </c>
      <c r="B18" t="s">
        <v>37</v>
      </c>
      <c r="C18">
        <f>GETPIVOTDATA(B18&amp;" "&amp;LEFT(A18,1),Control!$A$3)</f>
        <v>1800</v>
      </c>
      <c r="D18" s="1"/>
      <c r="E18" s="3" t="s">
        <v>19</v>
      </c>
      <c r="F18">
        <f t="shared" si="2"/>
        <v>425.5</v>
      </c>
      <c r="G18">
        <f t="shared" si="5"/>
        <v>1800</v>
      </c>
      <c r="H18">
        <f t="shared" si="6"/>
        <v>425.5</v>
      </c>
      <c r="I18" s="3">
        <f t="shared" si="3"/>
        <v>1800</v>
      </c>
      <c r="J18">
        <f t="shared" si="7"/>
        <v>2225.5</v>
      </c>
      <c r="K18" s="3" t="str">
        <f t="shared" si="4"/>
        <v>2k</v>
      </c>
      <c r="L18" t="s">
        <v>23</v>
      </c>
      <c r="M18" s="11" cm="1">
        <f t="array" ref="M18">SUM(($B$12:$B$27=L18)*((IFERROR($J$12:$J$27,0))&gt;0)*$C$12:$C$27)</f>
        <v>8592</v>
      </c>
    </row>
    <row r="19" spans="1:14" x14ac:dyDescent="0.25">
      <c r="A19" s="1" t="s">
        <v>2</v>
      </c>
      <c r="B19" t="s">
        <v>24</v>
      </c>
      <c r="C19">
        <f>GETPIVOTDATA(B19&amp;" "&amp;LEFT(A19,1),Control!$A$3)</f>
        <v>2031</v>
      </c>
      <c r="D19" s="1"/>
      <c r="E19" s="3" t="s">
        <v>20</v>
      </c>
      <c r="F19">
        <f t="shared" si="2"/>
        <v>425.5</v>
      </c>
      <c r="G19">
        <f t="shared" si="5"/>
        <v>2031</v>
      </c>
      <c r="H19">
        <f t="shared" si="6"/>
        <v>425.5</v>
      </c>
      <c r="I19" s="3">
        <f t="shared" si="3"/>
        <v>2031</v>
      </c>
      <c r="J19">
        <f t="shared" si="7"/>
        <v>2456.5</v>
      </c>
      <c r="K19" s="3" t="str">
        <f t="shared" si="4"/>
        <v>2k</v>
      </c>
      <c r="L19" t="s">
        <v>37</v>
      </c>
      <c r="M19" s="11" cm="1">
        <f t="array" ref="M19">SUM(($B$12:$B$27=L19)*((IFERROR($J$12:$J$27,0))&gt;0)*$C$12:$C$27)</f>
        <v>9000</v>
      </c>
    </row>
    <row r="20" spans="1:14" x14ac:dyDescent="0.25">
      <c r="A20" s="1" t="s">
        <v>1</v>
      </c>
      <c r="B20" t="s">
        <v>22</v>
      </c>
      <c r="C20">
        <f>GETPIVOTDATA(B20&amp;" "&amp;LEFT(A20,1),Control!$A$3)</f>
        <v>2660</v>
      </c>
      <c r="D20" s="1" t="s">
        <v>2</v>
      </c>
      <c r="E20" s="3" t="s">
        <v>21</v>
      </c>
      <c r="F20">
        <f t="shared" si="2"/>
        <v>425.5</v>
      </c>
      <c r="G20">
        <f t="shared" si="5"/>
        <v>2660</v>
      </c>
      <c r="H20">
        <f t="shared" si="6"/>
        <v>425.5</v>
      </c>
      <c r="I20" s="3">
        <f t="shared" si="3"/>
        <v>2660</v>
      </c>
      <c r="J20">
        <f t="shared" si="7"/>
        <v>3085.5</v>
      </c>
      <c r="K20" s="3" t="str">
        <f t="shared" si="4"/>
        <v>3k</v>
      </c>
      <c r="L20" t="s">
        <v>24</v>
      </c>
      <c r="M20" s="11" cm="1">
        <f t="array" ref="M20">SUM(($B$12:$B$27=L20)*((IFERROR($J$12:$J$27,0))&gt;0)*$C$12:$C$27)</f>
        <v>6348</v>
      </c>
    </row>
    <row r="21" spans="1:14" x14ac:dyDescent="0.25">
      <c r="A21" s="1" t="s">
        <v>1</v>
      </c>
      <c r="B21" t="s">
        <v>23</v>
      </c>
      <c r="C21">
        <f>GETPIVOTDATA(B21&amp;" "&amp;LEFT(A21,1),Control!$A$3)</f>
        <v>1954</v>
      </c>
      <c r="D21" s="1"/>
      <c r="E21" s="3" t="s">
        <v>18</v>
      </c>
      <c r="F21">
        <f t="shared" si="2"/>
        <v>425.5</v>
      </c>
      <c r="G21">
        <f t="shared" si="5"/>
        <v>1954</v>
      </c>
      <c r="H21">
        <f t="shared" si="6"/>
        <v>425.5</v>
      </c>
      <c r="I21" s="3">
        <f t="shared" si="3"/>
        <v>1954</v>
      </c>
      <c r="J21">
        <f t="shared" si="7"/>
        <v>2379.5</v>
      </c>
      <c r="K21" s="3" t="str">
        <f t="shared" si="4"/>
        <v>2k</v>
      </c>
    </row>
    <row r="22" spans="1:14" x14ac:dyDescent="0.25">
      <c r="A22" s="1" t="s">
        <v>1</v>
      </c>
      <c r="B22" t="s">
        <v>37</v>
      </c>
      <c r="C22">
        <f>GETPIVOTDATA(B22&amp;" "&amp;LEFT(A22,1),Control!$A$3)</f>
        <v>2112</v>
      </c>
      <c r="D22" s="1"/>
      <c r="E22" s="3" t="s">
        <v>19</v>
      </c>
      <c r="F22">
        <f t="shared" si="2"/>
        <v>425.5</v>
      </c>
      <c r="G22">
        <f t="shared" si="5"/>
        <v>2112</v>
      </c>
      <c r="H22">
        <f t="shared" si="6"/>
        <v>425.5</v>
      </c>
      <c r="I22" s="3">
        <f t="shared" si="3"/>
        <v>2112</v>
      </c>
      <c r="J22">
        <f t="shared" si="7"/>
        <v>2537.5</v>
      </c>
      <c r="K22" s="3" t="str">
        <f t="shared" si="4"/>
        <v>2k</v>
      </c>
    </row>
    <row r="23" spans="1:14" x14ac:dyDescent="0.25">
      <c r="A23" s="1" t="s">
        <v>1</v>
      </c>
      <c r="B23" t="s">
        <v>24</v>
      </c>
      <c r="C23">
        <f>GETPIVOTDATA(B23&amp;" "&amp;LEFT(A23,1),Control!$A$3)</f>
        <v>1235</v>
      </c>
      <c r="D23" s="1"/>
      <c r="E23" s="3" t="s">
        <v>20</v>
      </c>
      <c r="F23">
        <f t="shared" si="2"/>
        <v>425.5</v>
      </c>
      <c r="G23">
        <f t="shared" si="5"/>
        <v>1235</v>
      </c>
      <c r="H23">
        <f t="shared" si="6"/>
        <v>425.5</v>
      </c>
      <c r="I23" s="3">
        <f t="shared" si="3"/>
        <v>1235</v>
      </c>
      <c r="J23">
        <f t="shared" si="7"/>
        <v>1660.5</v>
      </c>
      <c r="K23" s="3" t="str">
        <f t="shared" si="4"/>
        <v>1k</v>
      </c>
    </row>
    <row r="24" spans="1:14" x14ac:dyDescent="0.25">
      <c r="A24" s="1" t="s">
        <v>3</v>
      </c>
      <c r="B24" t="s">
        <v>22</v>
      </c>
      <c r="C24">
        <f>GETPIVOTDATA(B24&amp;" "&amp;LEFT(A24,1),Control!$A$3)</f>
        <v>2172</v>
      </c>
      <c r="D24" s="1" t="s">
        <v>3</v>
      </c>
      <c r="E24" s="3" t="s">
        <v>21</v>
      </c>
      <c r="F24">
        <f t="shared" si="2"/>
        <v>425.5</v>
      </c>
      <c r="G24">
        <f t="shared" si="5"/>
        <v>2172</v>
      </c>
      <c r="H24">
        <f t="shared" si="6"/>
        <v>425.5</v>
      </c>
      <c r="I24" s="3">
        <f t="shared" si="3"/>
        <v>2172</v>
      </c>
      <c r="J24">
        <f t="shared" si="7"/>
        <v>2597.5</v>
      </c>
      <c r="K24" s="3" t="str">
        <f t="shared" si="4"/>
        <v>2k</v>
      </c>
    </row>
    <row r="25" spans="1:14" x14ac:dyDescent="0.25">
      <c r="A25" s="1" t="s">
        <v>3</v>
      </c>
      <c r="B25" t="s">
        <v>23</v>
      </c>
      <c r="C25">
        <f>GETPIVOTDATA(B25&amp;" "&amp;LEFT(A25,1),Control!$A$3)</f>
        <v>1719</v>
      </c>
      <c r="D25" s="1"/>
      <c r="E25" s="3" t="s">
        <v>18</v>
      </c>
      <c r="F25">
        <f t="shared" si="2"/>
        <v>425.5</v>
      </c>
      <c r="G25">
        <f t="shared" si="5"/>
        <v>1719</v>
      </c>
      <c r="H25">
        <f t="shared" si="6"/>
        <v>425.5</v>
      </c>
      <c r="I25" s="3">
        <f t="shared" si="3"/>
        <v>1719</v>
      </c>
      <c r="J25">
        <f t="shared" si="7"/>
        <v>2144.5</v>
      </c>
      <c r="K25" s="3" t="str">
        <f t="shared" si="4"/>
        <v>2k</v>
      </c>
    </row>
    <row r="26" spans="1:14" x14ac:dyDescent="0.25">
      <c r="A26" s="1" t="s">
        <v>3</v>
      </c>
      <c r="B26" t="s">
        <v>37</v>
      </c>
      <c r="C26">
        <f>GETPIVOTDATA(B26&amp;" "&amp;LEFT(A26,1),Control!$A$3)</f>
        <v>2400</v>
      </c>
      <c r="D26" s="1"/>
      <c r="E26" s="3" t="s">
        <v>19</v>
      </c>
      <c r="F26">
        <f t="shared" si="2"/>
        <v>425.5</v>
      </c>
      <c r="G26">
        <f t="shared" si="5"/>
        <v>2400</v>
      </c>
      <c r="H26">
        <f t="shared" si="6"/>
        <v>425.5</v>
      </c>
      <c r="I26" s="3">
        <f t="shared" si="3"/>
        <v>2400</v>
      </c>
      <c r="J26">
        <f t="shared" si="7"/>
        <v>2825.5</v>
      </c>
      <c r="K26" s="3" t="str">
        <f t="shared" si="4"/>
        <v>2k</v>
      </c>
    </row>
    <row r="27" spans="1:14" x14ac:dyDescent="0.25">
      <c r="A27" s="1" t="s">
        <v>3</v>
      </c>
      <c r="B27" t="s">
        <v>24</v>
      </c>
      <c r="C27">
        <f>GETPIVOTDATA(B27&amp;" "&amp;LEFT(A27,1),Control!$A$3)</f>
        <v>1270</v>
      </c>
      <c r="D27" s="1"/>
      <c r="E27" s="3" t="s">
        <v>20</v>
      </c>
      <c r="F27">
        <f t="shared" si="2"/>
        <v>425.5</v>
      </c>
      <c r="G27">
        <f t="shared" si="5"/>
        <v>1270</v>
      </c>
      <c r="H27">
        <f t="shared" si="6"/>
        <v>425.5</v>
      </c>
      <c r="I27" s="3">
        <f t="shared" si="3"/>
        <v>1270</v>
      </c>
      <c r="J27">
        <f t="shared" si="7"/>
        <v>1695.5</v>
      </c>
      <c r="K27" s="3" t="str">
        <f t="shared" si="4"/>
        <v>1k</v>
      </c>
    </row>
    <row r="28" spans="1:14" x14ac:dyDescent="0.25">
      <c r="B28" s="3"/>
      <c r="F28" s="7">
        <f>MAX(G12:G27)*10%</f>
        <v>425.5</v>
      </c>
    </row>
    <row r="30" spans="1:14" x14ac:dyDescent="0.25">
      <c r="B30" s="6" t="s">
        <v>38</v>
      </c>
    </row>
    <row r="31" spans="1:14" x14ac:dyDescent="0.25">
      <c r="B31" s="4" t="s">
        <v>0</v>
      </c>
    </row>
    <row r="32" spans="1:14" x14ac:dyDescent="0.25">
      <c r="B32" s="4" t="s">
        <v>2</v>
      </c>
    </row>
    <row r="33" spans="2:2" x14ac:dyDescent="0.25">
      <c r="B33" s="4" t="s">
        <v>1</v>
      </c>
    </row>
    <row r="34" spans="2:2" x14ac:dyDescent="0.25">
      <c r="B34" s="4" t="s">
        <v>3</v>
      </c>
    </row>
    <row r="35" spans="2:2" x14ac:dyDescent="0.25">
      <c r="B35" s="4"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BC69-A3A9-4D64-9867-3D03EA33FA10}">
  <dimension ref="A1:U5"/>
  <sheetViews>
    <sheetView workbookViewId="0">
      <selection sqref="A1:E2"/>
    </sheetView>
  </sheetViews>
  <sheetFormatPr defaultRowHeight="15" x14ac:dyDescent="0.25"/>
  <cols>
    <col min="1" max="1" width="13.42578125" bestFit="1" customWidth="1"/>
    <col min="2" max="2" width="17.85546875" bestFit="1" customWidth="1"/>
    <col min="3" max="3" width="18.140625" bestFit="1" customWidth="1"/>
    <col min="4" max="4" width="12.85546875" bestFit="1" customWidth="1"/>
    <col min="5" max="5" width="17.28515625" bestFit="1" customWidth="1"/>
    <col min="6" max="6" width="17.5703125" bestFit="1" customWidth="1"/>
    <col min="7" max="7" width="12.28515625" bestFit="1" customWidth="1"/>
    <col min="8" max="8" width="18.140625" bestFit="1" customWidth="1"/>
    <col min="9" max="9" width="18.42578125" bestFit="1" customWidth="1"/>
    <col min="10" max="10" width="13.28515625" bestFit="1" customWidth="1"/>
    <col min="11" max="11" width="18.140625" bestFit="1" customWidth="1"/>
    <col min="12" max="12" width="18.42578125" bestFit="1" customWidth="1"/>
    <col min="13" max="13" width="13.28515625" bestFit="1" customWidth="1"/>
    <col min="14" max="14" width="15.85546875" bestFit="1" customWidth="1"/>
    <col min="15" max="15" width="15.28515625" bestFit="1" customWidth="1"/>
    <col min="16" max="17" width="16.140625" bestFit="1" customWidth="1"/>
    <col min="18" max="18" width="18.140625" bestFit="1" customWidth="1"/>
    <col min="19" max="19" width="15.140625" bestFit="1" customWidth="1"/>
    <col min="20" max="20" width="13.85546875" bestFit="1" customWidth="1"/>
    <col min="21" max="21" width="13.42578125" bestFit="1" customWidth="1"/>
  </cols>
  <sheetData>
    <row r="1" spans="1:21" ht="15" customHeight="1" x14ac:dyDescent="0.25"/>
    <row r="2" spans="1:21" ht="15" customHeight="1" x14ac:dyDescent="0.25"/>
    <row r="3" spans="1:21" x14ac:dyDescent="0.25">
      <c r="A3" s="6" t="s">
        <v>38</v>
      </c>
      <c r="B3" t="s">
        <v>40</v>
      </c>
      <c r="C3" t="s">
        <v>41</v>
      </c>
      <c r="D3" t="s">
        <v>42</v>
      </c>
      <c r="E3" t="s">
        <v>43</v>
      </c>
      <c r="F3" t="s">
        <v>44</v>
      </c>
      <c r="G3" t="s">
        <v>45</v>
      </c>
      <c r="H3" t="s">
        <v>46</v>
      </c>
      <c r="I3" t="s">
        <v>47</v>
      </c>
      <c r="J3" t="s">
        <v>48</v>
      </c>
      <c r="K3" t="s">
        <v>49</v>
      </c>
      <c r="L3" t="s">
        <v>50</v>
      </c>
      <c r="M3" t="s">
        <v>51</v>
      </c>
      <c r="N3" t="s">
        <v>56</v>
      </c>
      <c r="O3" t="s">
        <v>57</v>
      </c>
      <c r="P3" t="s">
        <v>58</v>
      </c>
      <c r="Q3" t="s">
        <v>59</v>
      </c>
      <c r="R3" t="s">
        <v>60</v>
      </c>
      <c r="S3" t="s">
        <v>61</v>
      </c>
      <c r="T3" t="s">
        <v>62</v>
      </c>
      <c r="U3" t="s">
        <v>63</v>
      </c>
    </row>
    <row r="4" spans="1:21" x14ac:dyDescent="0.25">
      <c r="A4" s="4" t="s">
        <v>13</v>
      </c>
      <c r="B4" s="34">
        <v>4255</v>
      </c>
      <c r="C4" s="34">
        <v>1819</v>
      </c>
      <c r="D4" s="34">
        <v>1812</v>
      </c>
      <c r="E4" s="34">
        <v>2660</v>
      </c>
      <c r="F4" s="34">
        <v>1954</v>
      </c>
      <c r="G4" s="34">
        <v>1235</v>
      </c>
      <c r="H4" s="34">
        <v>1773</v>
      </c>
      <c r="I4" s="34">
        <v>3100</v>
      </c>
      <c r="J4" s="34">
        <v>2031</v>
      </c>
      <c r="K4" s="34">
        <v>2172</v>
      </c>
      <c r="L4" s="34">
        <v>1719</v>
      </c>
      <c r="M4" s="34">
        <v>1270</v>
      </c>
      <c r="N4" s="34">
        <v>2688</v>
      </c>
      <c r="O4" s="34">
        <v>2112</v>
      </c>
      <c r="P4" s="34">
        <v>1800</v>
      </c>
      <c r="Q4" s="34">
        <v>2400</v>
      </c>
      <c r="R4" s="34">
        <v>10574</v>
      </c>
      <c r="S4" s="34">
        <v>7961</v>
      </c>
      <c r="T4" s="34">
        <v>8704</v>
      </c>
      <c r="U4" s="34">
        <v>7561</v>
      </c>
    </row>
    <row r="5" spans="1:21" x14ac:dyDescent="0.25">
      <c r="A5" s="4" t="s">
        <v>39</v>
      </c>
      <c r="B5" s="34">
        <v>4255</v>
      </c>
      <c r="C5" s="34">
        <v>1819</v>
      </c>
      <c r="D5" s="34">
        <v>1812</v>
      </c>
      <c r="E5" s="34">
        <v>2660</v>
      </c>
      <c r="F5" s="34">
        <v>1954</v>
      </c>
      <c r="G5" s="34">
        <v>1235</v>
      </c>
      <c r="H5" s="34">
        <v>1773</v>
      </c>
      <c r="I5" s="34">
        <v>3100</v>
      </c>
      <c r="J5" s="34">
        <v>2031</v>
      </c>
      <c r="K5" s="34">
        <v>2172</v>
      </c>
      <c r="L5" s="34">
        <v>1719</v>
      </c>
      <c r="M5" s="34">
        <v>1270</v>
      </c>
      <c r="N5" s="34">
        <v>2688</v>
      </c>
      <c r="O5" s="34">
        <v>2112</v>
      </c>
      <c r="P5" s="34">
        <v>1800</v>
      </c>
      <c r="Q5" s="34">
        <v>2400</v>
      </c>
      <c r="R5" s="34">
        <v>10574</v>
      </c>
      <c r="S5" s="34">
        <v>7961</v>
      </c>
      <c r="T5" s="34">
        <v>8704</v>
      </c>
      <c r="U5" s="34">
        <v>7561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9651-E410-44D0-86FF-F93E49687860}">
  <dimension ref="A1:Z41"/>
  <sheetViews>
    <sheetView topLeftCell="A16" workbookViewId="0">
      <selection activeCell="A40" sqref="A40:E41"/>
    </sheetView>
  </sheetViews>
  <sheetFormatPr defaultRowHeight="15" x14ac:dyDescent="0.25"/>
  <cols>
    <col min="1" max="1" width="8.85546875" style="3"/>
    <col min="3" max="4" width="10.7109375" style="3" customWidth="1"/>
    <col min="5" max="6" width="8.85546875" style="3"/>
    <col min="7" max="8" width="12" style="3" customWidth="1"/>
    <col min="9" max="10" width="8.85546875" style="3"/>
    <col min="11" max="12" width="11.5703125" style="3" customWidth="1"/>
    <col min="13" max="14" width="8.85546875" style="3"/>
    <col min="15" max="16" width="12.28515625" style="3" customWidth="1"/>
    <col min="17" max="18" width="8.85546875" style="3"/>
    <col min="19" max="20" width="12.28515625" style="3" customWidth="1"/>
    <col min="21" max="26" width="8.85546875" style="3"/>
  </cols>
  <sheetData>
    <row r="1" spans="1:26" s="3" customFormat="1" x14ac:dyDescent="0.25">
      <c r="G1" s="3" t="s">
        <v>0</v>
      </c>
      <c r="K1" s="3" t="s">
        <v>1</v>
      </c>
      <c r="O1" s="3" t="s">
        <v>2</v>
      </c>
      <c r="S1" s="3" t="s">
        <v>3</v>
      </c>
    </row>
    <row r="2" spans="1:26" x14ac:dyDescent="0.25">
      <c r="A2" s="2" t="s">
        <v>4</v>
      </c>
      <c r="B2" s="2" t="s">
        <v>5</v>
      </c>
      <c r="C2" s="2" t="s">
        <v>22</v>
      </c>
      <c r="D2" s="2" t="s">
        <v>23</v>
      </c>
      <c r="E2" s="2" t="s">
        <v>37</v>
      </c>
      <c r="F2" s="2" t="s">
        <v>24</v>
      </c>
      <c r="G2" s="5" t="s">
        <v>25</v>
      </c>
      <c r="H2" s="5" t="s">
        <v>26</v>
      </c>
      <c r="I2" s="5" t="s">
        <v>52</v>
      </c>
      <c r="J2" s="5" t="s">
        <v>27</v>
      </c>
      <c r="K2" s="5" t="s">
        <v>28</v>
      </c>
      <c r="L2" s="5" t="s">
        <v>29</v>
      </c>
      <c r="M2" s="5" t="s">
        <v>53</v>
      </c>
      <c r="N2" s="5" t="s">
        <v>30</v>
      </c>
      <c r="O2" s="5" t="s">
        <v>31</v>
      </c>
      <c r="P2" s="5" t="s">
        <v>32</v>
      </c>
      <c r="Q2" s="5" t="s">
        <v>54</v>
      </c>
      <c r="R2" s="5" t="s">
        <v>33</v>
      </c>
      <c r="S2" s="5" t="s">
        <v>34</v>
      </c>
      <c r="T2" s="5" t="s">
        <v>35</v>
      </c>
      <c r="U2" s="5" t="s">
        <v>55</v>
      </c>
      <c r="V2" s="5" t="s">
        <v>36</v>
      </c>
      <c r="W2" s="5" t="s">
        <v>0</v>
      </c>
      <c r="X2" s="5" t="s">
        <v>1</v>
      </c>
      <c r="Y2" s="5" t="s">
        <v>2</v>
      </c>
      <c r="Z2" s="5" t="s">
        <v>3</v>
      </c>
    </row>
    <row r="3" spans="1:26" x14ac:dyDescent="0.25">
      <c r="A3" s="3">
        <v>2025</v>
      </c>
      <c r="B3" s="3" t="s">
        <v>6</v>
      </c>
      <c r="C3" s="3">
        <v>11100</v>
      </c>
      <c r="D3" s="3">
        <v>9276</v>
      </c>
      <c r="E3" s="3">
        <v>7908</v>
      </c>
      <c r="F3" s="3">
        <v>5640</v>
      </c>
      <c r="G3" s="3">
        <v>3726</v>
      </c>
      <c r="H3" s="3">
        <v>2221</v>
      </c>
      <c r="I3" s="3">
        <v>1963</v>
      </c>
      <c r="J3" s="3">
        <v>1164</v>
      </c>
      <c r="K3" s="3">
        <v>2909</v>
      </c>
      <c r="L3" s="3">
        <v>3358</v>
      </c>
      <c r="M3" s="3">
        <v>2182</v>
      </c>
      <c r="N3" s="3">
        <v>1193</v>
      </c>
      <c r="O3" s="3">
        <v>2246</v>
      </c>
      <c r="P3" s="3">
        <v>1842</v>
      </c>
      <c r="Q3" s="3">
        <v>1581</v>
      </c>
      <c r="R3" s="3">
        <v>2154</v>
      </c>
      <c r="S3" s="3">
        <v>2219</v>
      </c>
      <c r="T3" s="3">
        <v>1855</v>
      </c>
      <c r="U3" s="3">
        <v>2182</v>
      </c>
      <c r="V3" s="3">
        <v>1129</v>
      </c>
      <c r="W3" s="3">
        <f>SUM(mydata[[#This Row],[Vanguard E]:[Loft E]])</f>
        <v>9074</v>
      </c>
      <c r="X3" s="3">
        <f>SUM(mydata[[#This Row],[Vanguard I]:[Loft I]])</f>
        <v>9642</v>
      </c>
      <c r="Y3" s="3">
        <f>SUM(mydata[[#This Row],[Vanguard H]:[Loft H]])</f>
        <v>7823</v>
      </c>
      <c r="Z3" s="3">
        <f>SUM(mydata[[#This Row],[Vanguard O]:[Loft O]])</f>
        <v>7385</v>
      </c>
    </row>
    <row r="4" spans="1:26" x14ac:dyDescent="0.25">
      <c r="A4" s="3">
        <v>2025</v>
      </c>
      <c r="B4" s="3" t="s">
        <v>7</v>
      </c>
      <c r="C4" s="3">
        <v>11880</v>
      </c>
      <c r="D4" s="3">
        <v>9960</v>
      </c>
      <c r="E4" s="3">
        <v>6504</v>
      </c>
      <c r="F4" s="3">
        <v>7488</v>
      </c>
      <c r="G4" s="3">
        <v>4664</v>
      </c>
      <c r="H4" s="3">
        <v>1386</v>
      </c>
      <c r="I4" s="3">
        <v>1509</v>
      </c>
      <c r="J4" s="3">
        <v>2749</v>
      </c>
      <c r="K4" s="3">
        <v>2200</v>
      </c>
      <c r="L4" s="3">
        <v>3415</v>
      </c>
      <c r="M4" s="3">
        <v>2155</v>
      </c>
      <c r="N4" s="3">
        <v>1313</v>
      </c>
      <c r="O4" s="3">
        <v>2640</v>
      </c>
      <c r="P4" s="3">
        <v>3167</v>
      </c>
      <c r="Q4" s="3">
        <v>1301</v>
      </c>
      <c r="R4" s="3">
        <v>1928</v>
      </c>
      <c r="S4" s="3">
        <v>2376</v>
      </c>
      <c r="T4" s="3">
        <v>1992</v>
      </c>
      <c r="U4" s="3">
        <v>1539</v>
      </c>
      <c r="V4" s="3">
        <v>1498</v>
      </c>
      <c r="W4" s="3">
        <f>SUM(mydata[[#This Row],[Vanguard E]:[Loft E]])</f>
        <v>10308</v>
      </c>
      <c r="X4" s="3">
        <f>SUM(mydata[[#This Row],[Vanguard I]:[Loft I]])</f>
        <v>9083</v>
      </c>
      <c r="Y4" s="3">
        <f>SUM(mydata[[#This Row],[Vanguard H]:[Loft H]])</f>
        <v>9036</v>
      </c>
      <c r="Z4" s="3">
        <f>SUM(mydata[[#This Row],[Vanguard O]:[Loft O]])</f>
        <v>7405</v>
      </c>
    </row>
    <row r="5" spans="1:26" x14ac:dyDescent="0.25">
      <c r="A5" s="3">
        <v>2025</v>
      </c>
      <c r="B5" s="3" t="s">
        <v>8</v>
      </c>
      <c r="C5" s="3">
        <v>12024</v>
      </c>
      <c r="D5" s="3">
        <v>10104</v>
      </c>
      <c r="E5" s="3">
        <v>6096</v>
      </c>
      <c r="F5" s="3">
        <v>8256</v>
      </c>
      <c r="G5" s="3">
        <v>3426</v>
      </c>
      <c r="H5" s="3">
        <v>2947</v>
      </c>
      <c r="I5" s="3">
        <v>889</v>
      </c>
      <c r="J5" s="3">
        <v>1874</v>
      </c>
      <c r="K5" s="3">
        <v>3294</v>
      </c>
      <c r="L5" s="3">
        <v>2610</v>
      </c>
      <c r="M5" s="3">
        <v>1836</v>
      </c>
      <c r="N5" s="3">
        <v>3420</v>
      </c>
      <c r="O5" s="3">
        <v>2899</v>
      </c>
      <c r="P5" s="3">
        <v>2526</v>
      </c>
      <c r="Q5" s="3">
        <v>1219</v>
      </c>
      <c r="R5" s="3">
        <v>1312</v>
      </c>
      <c r="S5" s="3">
        <v>2405</v>
      </c>
      <c r="T5" s="3">
        <v>2021</v>
      </c>
      <c r="U5" s="3">
        <v>2152</v>
      </c>
      <c r="V5" s="3">
        <v>1650</v>
      </c>
      <c r="W5" s="3">
        <f>SUM(mydata[[#This Row],[Vanguard E]:[Loft E]])</f>
        <v>9136</v>
      </c>
      <c r="X5" s="3">
        <f>SUM(mydata[[#This Row],[Vanguard I]:[Loft I]])</f>
        <v>11160</v>
      </c>
      <c r="Y5" s="3">
        <f>SUM(mydata[[#This Row],[Vanguard H]:[Loft H]])</f>
        <v>7956</v>
      </c>
      <c r="Z5" s="3">
        <f>SUM(mydata[[#This Row],[Vanguard O]:[Loft O]])</f>
        <v>8228</v>
      </c>
    </row>
    <row r="6" spans="1:26" x14ac:dyDescent="0.25">
      <c r="A6" s="3">
        <v>2025</v>
      </c>
      <c r="B6" s="3" t="s">
        <v>9</v>
      </c>
      <c r="C6" s="3">
        <v>10956</v>
      </c>
      <c r="D6" s="3">
        <v>9084</v>
      </c>
      <c r="E6" s="3">
        <v>7152</v>
      </c>
      <c r="F6" s="3">
        <v>7608</v>
      </c>
      <c r="G6" s="3">
        <v>3487</v>
      </c>
      <c r="H6" s="3">
        <v>2231</v>
      </c>
      <c r="I6" s="3">
        <v>1852</v>
      </c>
      <c r="J6" s="3">
        <v>2138</v>
      </c>
      <c r="K6" s="3">
        <v>3487</v>
      </c>
      <c r="L6" s="3">
        <v>2295</v>
      </c>
      <c r="M6" s="3">
        <v>1819</v>
      </c>
      <c r="N6" s="3">
        <v>2413</v>
      </c>
      <c r="O6" s="3">
        <v>1791</v>
      </c>
      <c r="P6" s="3">
        <v>2741</v>
      </c>
      <c r="Q6" s="3">
        <v>1430</v>
      </c>
      <c r="R6" s="3">
        <v>1535</v>
      </c>
      <c r="S6" s="3">
        <v>2191</v>
      </c>
      <c r="T6" s="3">
        <v>1817</v>
      </c>
      <c r="U6" s="3">
        <v>2051</v>
      </c>
      <c r="V6" s="3">
        <v>1522</v>
      </c>
      <c r="W6" s="3">
        <f>SUM(mydata[[#This Row],[Vanguard E]:[Loft E]])</f>
        <v>9708</v>
      </c>
      <c r="X6" s="3">
        <f>SUM(mydata[[#This Row],[Vanguard I]:[Loft I]])</f>
        <v>10014</v>
      </c>
      <c r="Y6" s="3">
        <f>SUM(mydata[[#This Row],[Vanguard H]:[Loft H]])</f>
        <v>7497</v>
      </c>
      <c r="Z6" s="3">
        <f>SUM(mydata[[#This Row],[Vanguard O]:[Loft O]])</f>
        <v>7581</v>
      </c>
    </row>
    <row r="7" spans="1:26" x14ac:dyDescent="0.25">
      <c r="A7" s="3">
        <v>2025</v>
      </c>
      <c r="B7" s="3" t="s">
        <v>10</v>
      </c>
      <c r="C7" s="3">
        <v>9792</v>
      </c>
      <c r="D7" s="3">
        <v>7764</v>
      </c>
      <c r="E7" s="3">
        <v>8688</v>
      </c>
      <c r="F7" s="3">
        <v>6432</v>
      </c>
      <c r="G7" s="3">
        <v>3036</v>
      </c>
      <c r="H7" s="3">
        <v>2057</v>
      </c>
      <c r="I7" s="3">
        <v>2183</v>
      </c>
      <c r="J7" s="3">
        <v>1092</v>
      </c>
      <c r="K7" s="3">
        <v>1273</v>
      </c>
      <c r="L7" s="3">
        <v>1398</v>
      </c>
      <c r="M7" s="3">
        <v>2815</v>
      </c>
      <c r="N7" s="3">
        <v>2041</v>
      </c>
      <c r="O7" s="3">
        <v>3525</v>
      </c>
      <c r="P7" s="3">
        <v>2756</v>
      </c>
      <c r="Q7" s="3">
        <v>1737</v>
      </c>
      <c r="R7" s="3">
        <v>2012</v>
      </c>
      <c r="S7" s="3">
        <v>1958</v>
      </c>
      <c r="T7" s="3">
        <v>1553</v>
      </c>
      <c r="U7" s="3">
        <v>1953</v>
      </c>
      <c r="V7" s="3">
        <v>1287</v>
      </c>
      <c r="W7" s="3">
        <f>SUM(mydata[[#This Row],[Vanguard E]:[Loft E]])</f>
        <v>8368</v>
      </c>
      <c r="X7" s="3">
        <f>SUM(mydata[[#This Row],[Vanguard I]:[Loft I]])</f>
        <v>7527</v>
      </c>
      <c r="Y7" s="3">
        <f>SUM(mydata[[#This Row],[Vanguard H]:[Loft H]])</f>
        <v>10030</v>
      </c>
      <c r="Z7" s="3">
        <f>SUM(mydata[[#This Row],[Vanguard O]:[Loft O]])</f>
        <v>6751</v>
      </c>
    </row>
    <row r="8" spans="1:26" x14ac:dyDescent="0.25">
      <c r="A8" s="3">
        <v>2025</v>
      </c>
      <c r="B8" s="3" t="s">
        <v>11</v>
      </c>
      <c r="C8" s="3">
        <v>9780</v>
      </c>
      <c r="D8" s="3">
        <v>7260</v>
      </c>
      <c r="E8" s="3">
        <v>9408</v>
      </c>
      <c r="F8" s="3">
        <v>5712</v>
      </c>
      <c r="G8" s="3">
        <v>4445</v>
      </c>
      <c r="H8" s="3">
        <v>1893</v>
      </c>
      <c r="I8" s="3">
        <v>1378</v>
      </c>
      <c r="J8" s="3">
        <v>1702</v>
      </c>
      <c r="K8" s="3">
        <v>1897</v>
      </c>
      <c r="L8" s="3">
        <v>2022</v>
      </c>
      <c r="M8" s="3">
        <v>3392</v>
      </c>
      <c r="N8" s="3">
        <v>1859</v>
      </c>
      <c r="O8" s="3">
        <v>1482</v>
      </c>
      <c r="P8" s="3">
        <v>1893</v>
      </c>
      <c r="Q8" s="3">
        <v>1882</v>
      </c>
      <c r="R8" s="3">
        <v>1008</v>
      </c>
      <c r="S8" s="3">
        <v>1956</v>
      </c>
      <c r="T8" s="3">
        <v>1452</v>
      </c>
      <c r="U8" s="3">
        <v>2756</v>
      </c>
      <c r="V8" s="3">
        <v>1143</v>
      </c>
      <c r="W8" s="3">
        <f>SUM(mydata[[#This Row],[Vanguard E]:[Loft E]])</f>
        <v>9418</v>
      </c>
      <c r="X8" s="3">
        <f>SUM(mydata[[#This Row],[Vanguard I]:[Loft I]])</f>
        <v>9170</v>
      </c>
      <c r="Y8" s="3">
        <f>SUM(mydata[[#This Row],[Vanguard H]:[Loft H]])</f>
        <v>6265</v>
      </c>
      <c r="Z8" s="3">
        <f>SUM(mydata[[#This Row],[Vanguard O]:[Loft O]])</f>
        <v>7307</v>
      </c>
    </row>
    <row r="9" spans="1:26" x14ac:dyDescent="0.25">
      <c r="A9" s="3">
        <v>2025</v>
      </c>
      <c r="B9" s="3" t="s">
        <v>12</v>
      </c>
      <c r="C9" s="3">
        <v>10860</v>
      </c>
      <c r="D9" s="3">
        <v>8592</v>
      </c>
      <c r="E9" s="3">
        <v>9000</v>
      </c>
      <c r="F9" s="3">
        <v>6348</v>
      </c>
      <c r="G9" s="3">
        <v>2251</v>
      </c>
      <c r="H9" s="3">
        <v>2624</v>
      </c>
      <c r="I9" s="3">
        <v>2326</v>
      </c>
      <c r="J9" s="3">
        <v>2026</v>
      </c>
      <c r="K9" s="3">
        <v>2669</v>
      </c>
      <c r="L9" s="3">
        <v>1996</v>
      </c>
      <c r="M9" s="3">
        <v>2548</v>
      </c>
      <c r="N9" s="3">
        <v>1055</v>
      </c>
      <c r="O9" s="3">
        <v>3768</v>
      </c>
      <c r="P9" s="3">
        <v>2254</v>
      </c>
      <c r="Q9" s="3">
        <v>1800</v>
      </c>
      <c r="R9" s="3">
        <v>1998</v>
      </c>
      <c r="S9" s="3">
        <v>2172</v>
      </c>
      <c r="T9" s="3">
        <v>1718</v>
      </c>
      <c r="U9" s="3">
        <v>2326</v>
      </c>
      <c r="V9" s="3">
        <v>1269</v>
      </c>
      <c r="W9" s="3">
        <f>SUM(mydata[[#This Row],[Vanguard E]:[Loft E]])</f>
        <v>9227</v>
      </c>
      <c r="X9" s="3">
        <f>SUM(mydata[[#This Row],[Vanguard I]:[Loft I]])</f>
        <v>8268</v>
      </c>
      <c r="Y9" s="3">
        <f>SUM(mydata[[#This Row],[Vanguard H]:[Loft H]])</f>
        <v>9820</v>
      </c>
      <c r="Z9" s="3">
        <f>SUM(mydata[[#This Row],[Vanguard O]:[Loft O]])</f>
        <v>7485</v>
      </c>
    </row>
    <row r="10" spans="1:26" x14ac:dyDescent="0.25">
      <c r="A10" s="3">
        <v>2025</v>
      </c>
      <c r="B10" s="3" t="s">
        <v>13</v>
      </c>
      <c r="C10" s="3">
        <v>11964</v>
      </c>
      <c r="D10" s="3">
        <v>10596</v>
      </c>
      <c r="E10" s="3">
        <v>7212</v>
      </c>
      <c r="F10" s="3">
        <v>7776</v>
      </c>
      <c r="G10" s="3">
        <v>4143</v>
      </c>
      <c r="H10" s="3">
        <v>2132</v>
      </c>
      <c r="I10" s="3">
        <v>1309</v>
      </c>
      <c r="J10" s="3">
        <v>2230</v>
      </c>
      <c r="K10" s="3">
        <v>1786</v>
      </c>
      <c r="L10" s="3">
        <v>2995</v>
      </c>
      <c r="M10" s="3">
        <v>3006</v>
      </c>
      <c r="N10" s="3">
        <v>1682</v>
      </c>
      <c r="O10" s="3">
        <v>3643</v>
      </c>
      <c r="P10" s="3">
        <v>3350</v>
      </c>
      <c r="Q10" s="3">
        <v>1442</v>
      </c>
      <c r="R10" s="3">
        <v>2308</v>
      </c>
      <c r="S10" s="3">
        <v>2392</v>
      </c>
      <c r="T10" s="3">
        <v>2119</v>
      </c>
      <c r="U10" s="3">
        <v>1455</v>
      </c>
      <c r="V10" s="3">
        <v>1556</v>
      </c>
      <c r="W10" s="3">
        <f>SUM(mydata[[#This Row],[Vanguard E]:[Loft E]])</f>
        <v>9814</v>
      </c>
      <c r="X10" s="3">
        <f>SUM(mydata[[#This Row],[Vanguard I]:[Loft I]])</f>
        <v>9469</v>
      </c>
      <c r="Y10" s="3">
        <f>SUM(mydata[[#This Row],[Vanguard H]:[Loft H]])</f>
        <v>10743</v>
      </c>
      <c r="Z10" s="3">
        <f>SUM(mydata[[#This Row],[Vanguard O]:[Loft O]])</f>
        <v>7522</v>
      </c>
    </row>
    <row r="11" spans="1:26" x14ac:dyDescent="0.25">
      <c r="A11" s="3">
        <v>2025</v>
      </c>
      <c r="B11" s="3" t="s">
        <v>14</v>
      </c>
      <c r="C11" s="3">
        <v>12048</v>
      </c>
      <c r="D11" s="3">
        <v>10392</v>
      </c>
      <c r="E11" s="3">
        <v>6264</v>
      </c>
      <c r="F11" s="3">
        <v>8556</v>
      </c>
      <c r="G11" s="3">
        <v>3833</v>
      </c>
      <c r="H11" s="3">
        <v>2643</v>
      </c>
      <c r="I11" s="3">
        <v>2011</v>
      </c>
      <c r="J11" s="3">
        <v>1630</v>
      </c>
      <c r="K11" s="3">
        <v>2987</v>
      </c>
      <c r="L11" s="3">
        <v>1982</v>
      </c>
      <c r="M11" s="3">
        <v>1423</v>
      </c>
      <c r="N11" s="3">
        <v>1630</v>
      </c>
      <c r="O11" s="3">
        <v>2818</v>
      </c>
      <c r="P11" s="3">
        <v>3689</v>
      </c>
      <c r="Q11" s="3">
        <v>1252</v>
      </c>
      <c r="R11" s="3">
        <v>3585</v>
      </c>
      <c r="S11" s="3">
        <v>2410</v>
      </c>
      <c r="T11" s="3">
        <v>2078</v>
      </c>
      <c r="U11" s="3">
        <v>1578</v>
      </c>
      <c r="V11" s="3">
        <v>1711</v>
      </c>
      <c r="W11" s="3">
        <f>SUM(mydata[[#This Row],[Vanguard E]:[Loft E]])</f>
        <v>10117</v>
      </c>
      <c r="X11" s="3">
        <f>SUM(mydata[[#This Row],[Vanguard I]:[Loft I]])</f>
        <v>8022</v>
      </c>
      <c r="Y11" s="3">
        <f>SUM(mydata[[#This Row],[Vanguard H]:[Loft H]])</f>
        <v>11344</v>
      </c>
      <c r="Z11" s="3">
        <f>SUM(mydata[[#This Row],[Vanguard O]:[Loft O]])</f>
        <v>7777</v>
      </c>
    </row>
    <row r="12" spans="1:26" x14ac:dyDescent="0.25">
      <c r="A12" s="3">
        <v>2025</v>
      </c>
      <c r="B12" s="3" t="s">
        <v>15</v>
      </c>
      <c r="C12" s="3">
        <v>10884</v>
      </c>
      <c r="D12" s="3">
        <v>8784</v>
      </c>
      <c r="E12" s="3">
        <v>7320</v>
      </c>
      <c r="F12" s="3">
        <v>8052</v>
      </c>
      <c r="G12" s="3">
        <v>3813</v>
      </c>
      <c r="H12" s="3">
        <v>1871</v>
      </c>
      <c r="I12" s="3">
        <v>1917</v>
      </c>
      <c r="J12" s="3">
        <v>2013</v>
      </c>
      <c r="K12" s="3">
        <v>2422</v>
      </c>
      <c r="L12" s="3">
        <v>2932</v>
      </c>
      <c r="M12" s="3">
        <v>1970</v>
      </c>
      <c r="N12" s="3">
        <v>2588</v>
      </c>
      <c r="O12" s="3">
        <v>2473</v>
      </c>
      <c r="P12" s="3">
        <v>2224</v>
      </c>
      <c r="Q12" s="3">
        <v>1463</v>
      </c>
      <c r="R12" s="3">
        <v>1840</v>
      </c>
      <c r="S12" s="3">
        <v>2176</v>
      </c>
      <c r="T12" s="3">
        <v>1757</v>
      </c>
      <c r="U12" s="3">
        <v>1970</v>
      </c>
      <c r="V12" s="3">
        <v>1611</v>
      </c>
      <c r="W12" s="3">
        <f>SUM(mydata[[#This Row],[Vanguard E]:[Loft E]])</f>
        <v>9614</v>
      </c>
      <c r="X12" s="3">
        <f>SUM(mydata[[#This Row],[Vanguard I]:[Loft I]])</f>
        <v>9912</v>
      </c>
      <c r="Y12" s="3">
        <f>SUM(mydata[[#This Row],[Vanguard H]:[Loft H]])</f>
        <v>8000</v>
      </c>
      <c r="Z12" s="3">
        <f>SUM(mydata[[#This Row],[Vanguard O]:[Loft O]])</f>
        <v>7514</v>
      </c>
    </row>
    <row r="13" spans="1:26" x14ac:dyDescent="0.25">
      <c r="A13" s="3">
        <v>2025</v>
      </c>
      <c r="B13" s="3" t="s">
        <v>16</v>
      </c>
      <c r="C13" s="3">
        <v>10032</v>
      </c>
      <c r="D13" s="3">
        <v>8772</v>
      </c>
      <c r="E13" s="3">
        <v>8148</v>
      </c>
      <c r="F13" s="3">
        <v>7008</v>
      </c>
      <c r="G13" s="3">
        <v>3192</v>
      </c>
      <c r="H13" s="3">
        <v>2990</v>
      </c>
      <c r="I13" s="3">
        <v>1748</v>
      </c>
      <c r="J13" s="3">
        <v>2117</v>
      </c>
      <c r="K13" s="3">
        <v>1733</v>
      </c>
      <c r="L13" s="3">
        <v>2741</v>
      </c>
      <c r="M13" s="3">
        <v>1842</v>
      </c>
      <c r="N13" s="3">
        <v>1215</v>
      </c>
      <c r="O13" s="3">
        <v>3101</v>
      </c>
      <c r="P13" s="3">
        <v>1287</v>
      </c>
      <c r="Q13" s="3">
        <v>1629</v>
      </c>
      <c r="R13" s="3">
        <v>2274</v>
      </c>
      <c r="S13" s="3">
        <v>2006</v>
      </c>
      <c r="T13" s="3">
        <v>1754</v>
      </c>
      <c r="U13" s="3">
        <v>2929</v>
      </c>
      <c r="V13" s="3">
        <v>1402</v>
      </c>
      <c r="W13" s="3">
        <f>SUM(mydata[[#This Row],[Vanguard E]:[Loft E]])</f>
        <v>10047</v>
      </c>
      <c r="X13" s="3">
        <f>SUM(mydata[[#This Row],[Vanguard I]:[Loft I]])</f>
        <v>7531</v>
      </c>
      <c r="Y13" s="3">
        <f>SUM(mydata[[#This Row],[Vanguard H]:[Loft H]])</f>
        <v>8291</v>
      </c>
      <c r="Z13" s="3">
        <f>SUM(mydata[[#This Row],[Vanguard O]:[Loft O]])</f>
        <v>8091</v>
      </c>
    </row>
    <row r="14" spans="1:26" x14ac:dyDescent="0.25">
      <c r="A14" s="3">
        <v>2025</v>
      </c>
      <c r="B14" s="3" t="s">
        <v>17</v>
      </c>
      <c r="C14" s="3">
        <v>10512</v>
      </c>
      <c r="D14" s="3">
        <v>9576</v>
      </c>
      <c r="E14" s="3">
        <v>7788</v>
      </c>
      <c r="F14" s="3">
        <v>5700</v>
      </c>
      <c r="G14" s="3">
        <v>2168</v>
      </c>
      <c r="H14" s="3">
        <v>3989</v>
      </c>
      <c r="I14" s="3">
        <v>2380</v>
      </c>
      <c r="J14" s="3">
        <v>1078</v>
      </c>
      <c r="K14" s="3">
        <v>2628</v>
      </c>
      <c r="L14" s="3">
        <v>1583</v>
      </c>
      <c r="M14" s="3">
        <v>2520</v>
      </c>
      <c r="N14" s="3">
        <v>2034</v>
      </c>
      <c r="O14" s="3">
        <v>3614</v>
      </c>
      <c r="P14" s="3">
        <v>2089</v>
      </c>
      <c r="Q14" s="3">
        <v>1558</v>
      </c>
      <c r="R14" s="3">
        <v>1448</v>
      </c>
      <c r="S14" s="3">
        <v>2102</v>
      </c>
      <c r="T14" s="3">
        <v>1915</v>
      </c>
      <c r="U14" s="3">
        <v>1330</v>
      </c>
      <c r="V14" s="3">
        <v>1140</v>
      </c>
      <c r="W14" s="3">
        <f>SUM(mydata[[#This Row],[Vanguard E]:[Loft E]])</f>
        <v>9615</v>
      </c>
      <c r="X14" s="3">
        <f>SUM(mydata[[#This Row],[Vanguard I]:[Loft I]])</f>
        <v>8765</v>
      </c>
      <c r="Y14" s="3">
        <f>SUM(mydata[[#This Row],[Vanguard H]:[Loft H]])</f>
        <v>8709</v>
      </c>
      <c r="Z14" s="3">
        <f>SUM(mydata[[#This Row],[Vanguard O]:[Loft O]])</f>
        <v>6487</v>
      </c>
    </row>
    <row r="15" spans="1:26" x14ac:dyDescent="0.25">
      <c r="A15" s="3">
        <v>2024</v>
      </c>
      <c r="B15" s="3" t="s">
        <v>6</v>
      </c>
      <c r="C15" s="3">
        <v>11964</v>
      </c>
      <c r="D15" s="3">
        <v>10596</v>
      </c>
      <c r="E15" s="3">
        <v>7212</v>
      </c>
      <c r="F15" s="3">
        <v>7776</v>
      </c>
      <c r="G15" s="3">
        <v>3658</v>
      </c>
      <c r="H15" s="3">
        <v>2960</v>
      </c>
      <c r="I15" s="3">
        <v>1977</v>
      </c>
      <c r="J15" s="3">
        <v>2237</v>
      </c>
      <c r="K15" s="3">
        <v>1768</v>
      </c>
      <c r="L15" s="3">
        <v>3050</v>
      </c>
      <c r="M15" s="3">
        <v>2139</v>
      </c>
      <c r="N15" s="3">
        <v>2268</v>
      </c>
      <c r="O15" s="3">
        <v>4145</v>
      </c>
      <c r="P15" s="3">
        <v>2467</v>
      </c>
      <c r="Q15" s="3">
        <v>1443</v>
      </c>
      <c r="R15" s="3">
        <v>1716</v>
      </c>
      <c r="S15" s="3">
        <v>2393</v>
      </c>
      <c r="T15" s="3">
        <v>2119</v>
      </c>
      <c r="U15" s="3">
        <v>1653</v>
      </c>
      <c r="V15" s="3">
        <v>1555</v>
      </c>
      <c r="W15" s="3">
        <f>SUM(mydata[[#This Row],[Vanguard E]:[Loft E]])</f>
        <v>10832</v>
      </c>
      <c r="X15" s="3">
        <f>SUM(mydata[[#This Row],[Vanguard I]:[Loft I]])</f>
        <v>9225</v>
      </c>
      <c r="Y15" s="3">
        <f>SUM(mydata[[#This Row],[Vanguard H]:[Loft H]])</f>
        <v>9771</v>
      </c>
      <c r="Z15" s="3">
        <f>SUM(mydata[[#This Row],[Vanguard O]:[Loft O]])</f>
        <v>7720</v>
      </c>
    </row>
    <row r="16" spans="1:26" x14ac:dyDescent="0.25">
      <c r="A16" s="3">
        <v>2024</v>
      </c>
      <c r="B16" s="3" t="s">
        <v>7</v>
      </c>
      <c r="C16" s="3">
        <v>11880</v>
      </c>
      <c r="D16" s="3">
        <v>9960</v>
      </c>
      <c r="E16" s="3">
        <v>6504</v>
      </c>
      <c r="F16" s="3">
        <v>7488</v>
      </c>
      <c r="G16" s="3">
        <v>3564</v>
      </c>
      <c r="H16" s="3">
        <v>2573</v>
      </c>
      <c r="I16" s="3">
        <v>1823</v>
      </c>
      <c r="J16" s="3">
        <v>2169</v>
      </c>
      <c r="K16" s="3">
        <v>4455</v>
      </c>
      <c r="L16" s="3">
        <v>2449</v>
      </c>
      <c r="M16" s="3">
        <v>1881</v>
      </c>
      <c r="N16" s="3">
        <v>1962</v>
      </c>
      <c r="O16" s="3">
        <v>1485</v>
      </c>
      <c r="P16" s="3">
        <v>2947</v>
      </c>
      <c r="Q16" s="3">
        <v>1301</v>
      </c>
      <c r="R16" s="3">
        <v>1859</v>
      </c>
      <c r="S16" s="3">
        <v>2376</v>
      </c>
      <c r="T16" s="3">
        <v>1991</v>
      </c>
      <c r="U16" s="3">
        <v>1499</v>
      </c>
      <c r="V16" s="3">
        <v>1498</v>
      </c>
      <c r="W16" s="3">
        <f>SUM(mydata[[#This Row],[Vanguard E]:[Loft E]])</f>
        <v>10129</v>
      </c>
      <c r="X16" s="3">
        <f>SUM(mydata[[#This Row],[Vanguard I]:[Loft I]])</f>
        <v>10747</v>
      </c>
      <c r="Y16" s="3">
        <f>SUM(mydata[[#This Row],[Vanguard H]:[Loft H]])</f>
        <v>7592</v>
      </c>
      <c r="Z16" s="3">
        <f>SUM(mydata[[#This Row],[Vanguard O]:[Loft O]])</f>
        <v>7364</v>
      </c>
    </row>
    <row r="17" spans="1:26" x14ac:dyDescent="0.25">
      <c r="A17" s="3">
        <v>2024</v>
      </c>
      <c r="B17" s="3" t="s">
        <v>8</v>
      </c>
      <c r="C17" s="3">
        <v>12024</v>
      </c>
      <c r="D17" s="3">
        <v>10104</v>
      </c>
      <c r="E17" s="3">
        <v>6096</v>
      </c>
      <c r="F17" s="3">
        <v>8256</v>
      </c>
      <c r="G17" s="3">
        <v>3764</v>
      </c>
      <c r="H17" s="3">
        <v>3212</v>
      </c>
      <c r="I17" s="3">
        <v>1829</v>
      </c>
      <c r="J17" s="3">
        <v>1404</v>
      </c>
      <c r="K17" s="3">
        <v>2689</v>
      </c>
      <c r="L17" s="3">
        <v>1659</v>
      </c>
      <c r="M17" s="3">
        <v>1469</v>
      </c>
      <c r="N17" s="3">
        <v>2771</v>
      </c>
      <c r="O17" s="3">
        <v>3167</v>
      </c>
      <c r="P17" s="3">
        <v>3212</v>
      </c>
      <c r="Q17" s="3">
        <v>1219</v>
      </c>
      <c r="R17" s="3">
        <v>2429</v>
      </c>
      <c r="S17" s="3">
        <v>2404</v>
      </c>
      <c r="T17" s="3">
        <v>2021</v>
      </c>
      <c r="U17" s="3">
        <v>1579</v>
      </c>
      <c r="V17" s="3">
        <v>1652</v>
      </c>
      <c r="W17" s="3">
        <f>SUM(mydata[[#This Row],[Vanguard E]:[Loft E]])</f>
        <v>10209</v>
      </c>
      <c r="X17" s="3">
        <f>SUM(mydata[[#This Row],[Vanguard I]:[Loft I]])</f>
        <v>8588</v>
      </c>
      <c r="Y17" s="3">
        <f>SUM(mydata[[#This Row],[Vanguard H]:[Loft H]])</f>
        <v>10027</v>
      </c>
      <c r="Z17" s="3">
        <f>SUM(mydata[[#This Row],[Vanguard O]:[Loft O]])</f>
        <v>7656</v>
      </c>
    </row>
    <row r="18" spans="1:26" x14ac:dyDescent="0.25">
      <c r="A18" s="3">
        <v>2024</v>
      </c>
      <c r="B18" s="3" t="s">
        <v>9</v>
      </c>
      <c r="C18" s="3">
        <v>10512</v>
      </c>
      <c r="D18" s="3">
        <v>9576</v>
      </c>
      <c r="E18" s="3">
        <v>7788</v>
      </c>
      <c r="F18" s="3">
        <v>5700</v>
      </c>
      <c r="G18" s="3">
        <v>2892</v>
      </c>
      <c r="H18" s="3">
        <v>1683</v>
      </c>
      <c r="I18" s="3">
        <v>1350</v>
      </c>
      <c r="J18" s="3">
        <v>1157</v>
      </c>
      <c r="K18" s="3">
        <v>2625</v>
      </c>
      <c r="L18" s="3">
        <v>3540</v>
      </c>
      <c r="M18" s="3">
        <v>1869</v>
      </c>
      <c r="N18" s="3">
        <v>2518</v>
      </c>
      <c r="O18" s="3">
        <v>2892</v>
      </c>
      <c r="P18" s="3">
        <v>2438</v>
      </c>
      <c r="Q18" s="3">
        <v>1558</v>
      </c>
      <c r="R18" s="3">
        <v>885</v>
      </c>
      <c r="S18" s="3">
        <v>2103</v>
      </c>
      <c r="T18" s="3">
        <v>1915</v>
      </c>
      <c r="U18" s="3">
        <v>3011</v>
      </c>
      <c r="V18" s="3">
        <v>1140</v>
      </c>
      <c r="W18" s="3">
        <f>SUM(mydata[[#This Row],[Vanguard E]:[Loft E]])</f>
        <v>7082</v>
      </c>
      <c r="X18" s="3">
        <f>SUM(mydata[[#This Row],[Vanguard I]:[Loft I]])</f>
        <v>10552</v>
      </c>
      <c r="Y18" s="3">
        <f>SUM(mydata[[#This Row],[Vanguard H]:[Loft H]])</f>
        <v>7773</v>
      </c>
      <c r="Z18" s="3">
        <f>SUM(mydata[[#This Row],[Vanguard O]:[Loft O]])</f>
        <v>8169</v>
      </c>
    </row>
    <row r="19" spans="1:26" x14ac:dyDescent="0.25">
      <c r="A19" s="3">
        <v>2024</v>
      </c>
      <c r="B19" s="3" t="s">
        <v>10</v>
      </c>
      <c r="C19" s="3">
        <v>9780</v>
      </c>
      <c r="D19" s="3">
        <v>7260</v>
      </c>
      <c r="E19" s="3">
        <v>9408</v>
      </c>
      <c r="F19" s="3">
        <v>5712</v>
      </c>
      <c r="G19" s="3">
        <v>2698</v>
      </c>
      <c r="H19" s="3">
        <v>1190</v>
      </c>
      <c r="I19" s="3">
        <v>1963</v>
      </c>
      <c r="J19" s="3">
        <v>1819</v>
      </c>
      <c r="K19" s="3">
        <v>2467</v>
      </c>
      <c r="L19" s="3">
        <v>2519</v>
      </c>
      <c r="M19" s="3">
        <v>1745</v>
      </c>
      <c r="N19" s="3">
        <v>1259</v>
      </c>
      <c r="O19" s="3">
        <v>2659</v>
      </c>
      <c r="P19" s="3">
        <v>2099</v>
      </c>
      <c r="Q19" s="3">
        <v>1882</v>
      </c>
      <c r="R19" s="3">
        <v>1492</v>
      </c>
      <c r="S19" s="3">
        <v>1956</v>
      </c>
      <c r="T19" s="3">
        <v>1452</v>
      </c>
      <c r="U19" s="3">
        <v>3818</v>
      </c>
      <c r="V19" s="3">
        <v>1142</v>
      </c>
      <c r="W19" s="3">
        <f>SUM(mydata[[#This Row],[Vanguard E]:[Loft E]])</f>
        <v>7670</v>
      </c>
      <c r="X19" s="3">
        <f>SUM(mydata[[#This Row],[Vanguard I]:[Loft I]])</f>
        <v>7990</v>
      </c>
      <c r="Y19" s="3">
        <f>SUM(mydata[[#This Row],[Vanguard H]:[Loft H]])</f>
        <v>8132</v>
      </c>
      <c r="Z19" s="3">
        <f>SUM(mydata[[#This Row],[Vanguard O]:[Loft O]])</f>
        <v>8368</v>
      </c>
    </row>
    <row r="20" spans="1:26" x14ac:dyDescent="0.25">
      <c r="A20" s="3">
        <v>2024</v>
      </c>
      <c r="B20" s="3" t="s">
        <v>11</v>
      </c>
      <c r="C20" s="3">
        <v>12048</v>
      </c>
      <c r="D20" s="3">
        <v>10392</v>
      </c>
      <c r="E20" s="3">
        <v>6264</v>
      </c>
      <c r="F20" s="3">
        <v>8556</v>
      </c>
      <c r="G20" s="3">
        <v>3334</v>
      </c>
      <c r="H20" s="3">
        <v>4311</v>
      </c>
      <c r="I20" s="3">
        <v>1086</v>
      </c>
      <c r="J20" s="3">
        <v>3185</v>
      </c>
      <c r="K20" s="3">
        <v>3543</v>
      </c>
      <c r="L20" s="3">
        <v>1601</v>
      </c>
      <c r="M20" s="3">
        <v>1717</v>
      </c>
      <c r="N20" s="3">
        <v>2187</v>
      </c>
      <c r="O20" s="3">
        <v>2761</v>
      </c>
      <c r="P20" s="3">
        <v>2402</v>
      </c>
      <c r="Q20" s="3">
        <v>1253</v>
      </c>
      <c r="R20" s="3">
        <v>1474</v>
      </c>
      <c r="S20" s="3">
        <v>2410</v>
      </c>
      <c r="T20" s="3">
        <v>2078</v>
      </c>
      <c r="U20" s="3">
        <v>2208</v>
      </c>
      <c r="V20" s="3">
        <v>1710</v>
      </c>
      <c r="W20" s="3">
        <f>SUM(mydata[[#This Row],[Vanguard E]:[Loft E]])</f>
        <v>11916</v>
      </c>
      <c r="X20" s="3">
        <f>SUM(mydata[[#This Row],[Vanguard I]:[Loft I]])</f>
        <v>9048</v>
      </c>
      <c r="Y20" s="3">
        <f>SUM(mydata[[#This Row],[Vanguard H]:[Loft H]])</f>
        <v>7890</v>
      </c>
      <c r="Z20" s="3">
        <f>SUM(mydata[[#This Row],[Vanguard O]:[Loft O]])</f>
        <v>8406</v>
      </c>
    </row>
    <row r="21" spans="1:26" x14ac:dyDescent="0.25">
      <c r="A21" s="3">
        <v>2024</v>
      </c>
      <c r="B21" s="3" t="s">
        <v>12</v>
      </c>
      <c r="C21" s="3">
        <v>11964</v>
      </c>
      <c r="D21" s="3">
        <v>10596</v>
      </c>
      <c r="E21" s="3">
        <v>7212</v>
      </c>
      <c r="F21" s="3">
        <v>7776</v>
      </c>
      <c r="G21" s="3">
        <v>2831</v>
      </c>
      <c r="H21" s="3">
        <v>3428</v>
      </c>
      <c r="I21" s="3">
        <v>1648</v>
      </c>
      <c r="J21" s="3">
        <v>2360</v>
      </c>
      <c r="K21" s="3">
        <v>3370</v>
      </c>
      <c r="L21" s="3">
        <v>3289</v>
      </c>
      <c r="M21" s="3">
        <v>1870</v>
      </c>
      <c r="N21" s="3">
        <v>1287</v>
      </c>
      <c r="O21" s="3">
        <v>3370</v>
      </c>
      <c r="P21" s="3">
        <v>1760</v>
      </c>
      <c r="Q21" s="3">
        <v>1443</v>
      </c>
      <c r="R21" s="3">
        <v>2574</v>
      </c>
      <c r="S21" s="3">
        <v>2393</v>
      </c>
      <c r="T21" s="3">
        <v>2119</v>
      </c>
      <c r="U21" s="3">
        <v>2251</v>
      </c>
      <c r="V21" s="3">
        <v>1555</v>
      </c>
      <c r="W21" s="3">
        <f>SUM(mydata[[#This Row],[Vanguard E]:[Loft E]])</f>
        <v>10267</v>
      </c>
      <c r="X21" s="3">
        <f>SUM(mydata[[#This Row],[Vanguard I]:[Loft I]])</f>
        <v>9816</v>
      </c>
      <c r="Y21" s="3">
        <f>SUM(mydata[[#This Row],[Vanguard H]:[Loft H]])</f>
        <v>9147</v>
      </c>
      <c r="Z21" s="3">
        <f>SUM(mydata[[#This Row],[Vanguard O]:[Loft O]])</f>
        <v>8318</v>
      </c>
    </row>
    <row r="22" spans="1:26" x14ac:dyDescent="0.25">
      <c r="A22" s="3">
        <v>2024</v>
      </c>
      <c r="B22" s="3" t="s">
        <v>13</v>
      </c>
      <c r="C22" s="3">
        <v>9792</v>
      </c>
      <c r="D22" s="3">
        <v>7764</v>
      </c>
      <c r="E22" s="3">
        <v>8688</v>
      </c>
      <c r="F22" s="3">
        <v>6432</v>
      </c>
      <c r="G22" s="3">
        <v>2497</v>
      </c>
      <c r="H22" s="3">
        <v>2573</v>
      </c>
      <c r="I22" s="3">
        <v>2285</v>
      </c>
      <c r="J22" s="3">
        <v>1466</v>
      </c>
      <c r="K22" s="3">
        <v>1763</v>
      </c>
      <c r="L22" s="3">
        <v>1066</v>
      </c>
      <c r="M22" s="3">
        <v>2252</v>
      </c>
      <c r="N22" s="3">
        <v>1871</v>
      </c>
      <c r="O22" s="3">
        <v>3574</v>
      </c>
      <c r="P22" s="3">
        <v>2573</v>
      </c>
      <c r="Q22" s="3">
        <v>1738</v>
      </c>
      <c r="R22" s="3">
        <v>1809</v>
      </c>
      <c r="S22" s="3">
        <v>1958</v>
      </c>
      <c r="T22" s="3">
        <v>1552</v>
      </c>
      <c r="U22" s="3">
        <v>2413</v>
      </c>
      <c r="V22" s="3">
        <v>1286</v>
      </c>
      <c r="W22" s="3">
        <f>SUM(mydata[[#This Row],[Vanguard E]:[Loft E]])</f>
        <v>8821</v>
      </c>
      <c r="X22" s="3">
        <f>SUM(mydata[[#This Row],[Vanguard I]:[Loft I]])</f>
        <v>6952</v>
      </c>
      <c r="Y22" s="3">
        <f>SUM(mydata[[#This Row],[Vanguard H]:[Loft H]])</f>
        <v>9694</v>
      </c>
      <c r="Z22" s="3">
        <f>SUM(mydata[[#This Row],[Vanguard O]:[Loft O]])</f>
        <v>7209</v>
      </c>
    </row>
    <row r="23" spans="1:26" x14ac:dyDescent="0.25">
      <c r="A23" s="3">
        <v>2024</v>
      </c>
      <c r="B23" s="3" t="s">
        <v>14</v>
      </c>
      <c r="C23" s="3">
        <v>11964</v>
      </c>
      <c r="D23" s="3">
        <v>10596</v>
      </c>
      <c r="E23" s="3">
        <v>7212</v>
      </c>
      <c r="F23" s="3">
        <v>7776</v>
      </c>
      <c r="G23" s="3">
        <v>3480</v>
      </c>
      <c r="H23" s="3">
        <v>2347</v>
      </c>
      <c r="I23" s="3">
        <v>1477</v>
      </c>
      <c r="J23" s="3">
        <v>2267</v>
      </c>
      <c r="K23" s="3">
        <v>3634</v>
      </c>
      <c r="L23" s="3">
        <v>4043</v>
      </c>
      <c r="M23" s="3">
        <v>1717</v>
      </c>
      <c r="N23" s="3">
        <v>2035</v>
      </c>
      <c r="O23" s="3">
        <v>2457</v>
      </c>
      <c r="P23" s="3">
        <v>2087</v>
      </c>
      <c r="Q23" s="3">
        <v>1442</v>
      </c>
      <c r="R23" s="3">
        <v>1919</v>
      </c>
      <c r="S23" s="3">
        <v>2393</v>
      </c>
      <c r="T23" s="3">
        <v>2119</v>
      </c>
      <c r="U23" s="3">
        <v>2576</v>
      </c>
      <c r="V23" s="3">
        <v>1555</v>
      </c>
      <c r="W23" s="3">
        <f>SUM(mydata[[#This Row],[Vanguard E]:[Loft E]])</f>
        <v>9571</v>
      </c>
      <c r="X23" s="3">
        <f>SUM(mydata[[#This Row],[Vanguard I]:[Loft I]])</f>
        <v>11429</v>
      </c>
      <c r="Y23" s="3">
        <f>SUM(mydata[[#This Row],[Vanguard H]:[Loft H]])</f>
        <v>7905</v>
      </c>
      <c r="Z23" s="3">
        <f>SUM(mydata[[#This Row],[Vanguard O]:[Loft O]])</f>
        <v>8643</v>
      </c>
    </row>
    <row r="24" spans="1:26" x14ac:dyDescent="0.25">
      <c r="A24" s="3">
        <v>2024</v>
      </c>
      <c r="B24" s="3" t="s">
        <v>15</v>
      </c>
      <c r="C24" s="3">
        <v>11880</v>
      </c>
      <c r="D24" s="3">
        <v>9960</v>
      </c>
      <c r="E24" s="3">
        <v>6504</v>
      </c>
      <c r="F24" s="3">
        <v>7488</v>
      </c>
      <c r="G24" s="3">
        <v>3853</v>
      </c>
      <c r="H24" s="3">
        <v>3074</v>
      </c>
      <c r="I24" s="3">
        <v>1281</v>
      </c>
      <c r="J24" s="3">
        <v>1692</v>
      </c>
      <c r="K24" s="3">
        <v>2569</v>
      </c>
      <c r="L24" s="3">
        <v>1631</v>
      </c>
      <c r="M24" s="3">
        <v>1786</v>
      </c>
      <c r="N24" s="3">
        <v>1921</v>
      </c>
      <c r="O24" s="3">
        <v>3082</v>
      </c>
      <c r="P24" s="3">
        <v>3262</v>
      </c>
      <c r="Q24" s="3">
        <v>1301</v>
      </c>
      <c r="R24" s="3">
        <v>2378</v>
      </c>
      <c r="S24" s="3">
        <v>2376</v>
      </c>
      <c r="T24" s="3">
        <v>1993</v>
      </c>
      <c r="U24" s="3">
        <v>2136</v>
      </c>
      <c r="V24" s="3">
        <v>1497</v>
      </c>
      <c r="W24" s="3">
        <f>SUM(mydata[[#This Row],[Vanguard E]:[Loft E]])</f>
        <v>9900</v>
      </c>
      <c r="X24" s="3">
        <f>SUM(mydata[[#This Row],[Vanguard I]:[Loft I]])</f>
        <v>7907</v>
      </c>
      <c r="Y24" s="3">
        <f>SUM(mydata[[#This Row],[Vanguard H]:[Loft H]])</f>
        <v>10023</v>
      </c>
      <c r="Z24" s="3">
        <f>SUM(mydata[[#This Row],[Vanguard O]:[Loft O]])</f>
        <v>8002</v>
      </c>
    </row>
    <row r="25" spans="1:26" x14ac:dyDescent="0.25">
      <c r="A25" s="3">
        <v>2024</v>
      </c>
      <c r="B25" s="3" t="s">
        <v>16</v>
      </c>
      <c r="C25" s="3">
        <v>10032</v>
      </c>
      <c r="D25" s="3">
        <v>8772</v>
      </c>
      <c r="E25" s="3">
        <v>8148</v>
      </c>
      <c r="F25" s="3">
        <v>7008</v>
      </c>
      <c r="G25" s="3">
        <v>2360</v>
      </c>
      <c r="H25" s="3">
        <v>3399</v>
      </c>
      <c r="I25" s="3">
        <v>1804</v>
      </c>
      <c r="J25" s="3">
        <v>2243</v>
      </c>
      <c r="K25" s="3">
        <v>1829</v>
      </c>
      <c r="L25" s="3">
        <v>1535</v>
      </c>
      <c r="M25" s="3">
        <v>3259</v>
      </c>
      <c r="N25" s="3">
        <v>1005</v>
      </c>
      <c r="O25" s="3">
        <v>3836</v>
      </c>
      <c r="P25" s="3">
        <v>2083</v>
      </c>
      <c r="Q25" s="3">
        <v>1630</v>
      </c>
      <c r="R25" s="3">
        <v>2359</v>
      </c>
      <c r="S25" s="3">
        <v>2007</v>
      </c>
      <c r="T25" s="3">
        <v>1755</v>
      </c>
      <c r="U25" s="3">
        <v>1455</v>
      </c>
      <c r="V25" s="3">
        <v>1401</v>
      </c>
      <c r="W25" s="3">
        <f>SUM(mydata[[#This Row],[Vanguard E]:[Loft E]])</f>
        <v>9806</v>
      </c>
      <c r="X25" s="3">
        <f>SUM(mydata[[#This Row],[Vanguard I]:[Loft I]])</f>
        <v>7628</v>
      </c>
      <c r="Y25" s="3">
        <f>SUM(mydata[[#This Row],[Vanguard H]:[Loft H]])</f>
        <v>9908</v>
      </c>
      <c r="Z25" s="3">
        <f>SUM(mydata[[#This Row],[Vanguard O]:[Loft O]])</f>
        <v>6618</v>
      </c>
    </row>
    <row r="26" spans="1:26" x14ac:dyDescent="0.25">
      <c r="A26" s="3">
        <v>2024</v>
      </c>
      <c r="B26" s="3" t="s">
        <v>17</v>
      </c>
      <c r="C26" s="3">
        <v>11100</v>
      </c>
      <c r="D26" s="3">
        <v>9276</v>
      </c>
      <c r="E26" s="3">
        <v>7908</v>
      </c>
      <c r="F26" s="3">
        <v>5640</v>
      </c>
      <c r="G26" s="3">
        <v>1700</v>
      </c>
      <c r="H26" s="3">
        <v>2412</v>
      </c>
      <c r="I26" s="3">
        <v>2343</v>
      </c>
      <c r="J26" s="3">
        <v>1869</v>
      </c>
      <c r="K26" s="3">
        <v>2645</v>
      </c>
      <c r="L26" s="3">
        <v>2736</v>
      </c>
      <c r="M26" s="3">
        <v>1265</v>
      </c>
      <c r="N26" s="3">
        <v>1629</v>
      </c>
      <c r="O26" s="3">
        <v>4534</v>
      </c>
      <c r="P26" s="3">
        <v>2273</v>
      </c>
      <c r="Q26" s="3">
        <v>1582</v>
      </c>
      <c r="R26" s="3">
        <v>1015</v>
      </c>
      <c r="S26" s="3">
        <v>2221</v>
      </c>
      <c r="T26" s="3">
        <v>1855</v>
      </c>
      <c r="U26" s="3">
        <v>2718</v>
      </c>
      <c r="V26" s="3">
        <v>1127</v>
      </c>
      <c r="W26" s="3">
        <f>SUM(mydata[[#This Row],[Vanguard E]:[Loft E]])</f>
        <v>8324</v>
      </c>
      <c r="X26" s="3">
        <f>SUM(mydata[[#This Row],[Vanguard I]:[Loft I]])</f>
        <v>8275</v>
      </c>
      <c r="Y26" s="3">
        <f>SUM(mydata[[#This Row],[Vanguard H]:[Loft H]])</f>
        <v>9404</v>
      </c>
      <c r="Z26" s="3">
        <f>SUM(mydata[[#This Row],[Vanguard O]:[Loft O]])</f>
        <v>7921</v>
      </c>
    </row>
    <row r="27" spans="1:26" x14ac:dyDescent="0.25">
      <c r="A27" s="3">
        <v>2023</v>
      </c>
      <c r="B27" s="3" t="s">
        <v>6</v>
      </c>
      <c r="C27" s="3">
        <v>11100</v>
      </c>
      <c r="D27" s="3">
        <v>9276</v>
      </c>
      <c r="E27" s="3">
        <v>7908</v>
      </c>
      <c r="F27" s="3">
        <v>5640</v>
      </c>
      <c r="G27" s="3">
        <v>1809</v>
      </c>
      <c r="H27" s="3">
        <v>3661</v>
      </c>
      <c r="I27" s="3">
        <v>1106</v>
      </c>
      <c r="J27" s="3">
        <v>1822</v>
      </c>
      <c r="K27" s="3">
        <v>3344</v>
      </c>
      <c r="L27" s="3">
        <v>1336</v>
      </c>
      <c r="M27" s="3">
        <v>2566</v>
      </c>
      <c r="N27" s="3">
        <v>1244</v>
      </c>
      <c r="O27" s="3">
        <v>3727</v>
      </c>
      <c r="P27" s="3">
        <v>2424</v>
      </c>
      <c r="Q27" s="3">
        <v>1582</v>
      </c>
      <c r="R27" s="3">
        <v>1446</v>
      </c>
      <c r="S27" s="3">
        <v>2220</v>
      </c>
      <c r="T27" s="3">
        <v>1855</v>
      </c>
      <c r="U27" s="3">
        <v>2654</v>
      </c>
      <c r="V27" s="3">
        <v>1128</v>
      </c>
      <c r="W27" s="3">
        <f>SUM(mydata[[#This Row],[Vanguard E]:[Loft E]])</f>
        <v>8398</v>
      </c>
      <c r="X27" s="3">
        <f>SUM(mydata[[#This Row],[Vanguard I]:[Loft I]])</f>
        <v>8490</v>
      </c>
      <c r="Y27" s="3">
        <f>SUM(mydata[[#This Row],[Vanguard H]:[Loft H]])</f>
        <v>9179</v>
      </c>
      <c r="Z27" s="3">
        <f>SUM(mydata[[#This Row],[Vanguard O]:[Loft O]])</f>
        <v>7857</v>
      </c>
    </row>
    <row r="28" spans="1:26" x14ac:dyDescent="0.25">
      <c r="A28" s="3">
        <v>2023</v>
      </c>
      <c r="B28" s="3" t="s">
        <v>7</v>
      </c>
      <c r="C28" s="3">
        <v>10512</v>
      </c>
      <c r="D28" s="3">
        <v>9576</v>
      </c>
      <c r="E28" s="3">
        <v>7788</v>
      </c>
      <c r="F28" s="3">
        <v>5700</v>
      </c>
      <c r="G28" s="3">
        <v>3165</v>
      </c>
      <c r="H28" s="3">
        <v>1851</v>
      </c>
      <c r="I28" s="3">
        <v>1295</v>
      </c>
      <c r="J28" s="3">
        <v>1298</v>
      </c>
      <c r="K28" s="3">
        <v>3391</v>
      </c>
      <c r="L28" s="3">
        <v>2554</v>
      </c>
      <c r="M28" s="3">
        <v>2711</v>
      </c>
      <c r="N28" s="3">
        <v>2248</v>
      </c>
      <c r="O28" s="3">
        <v>1854</v>
      </c>
      <c r="P28" s="3">
        <v>3256</v>
      </c>
      <c r="Q28" s="3">
        <v>1557</v>
      </c>
      <c r="R28" s="3">
        <v>1013</v>
      </c>
      <c r="S28" s="3">
        <v>2102</v>
      </c>
      <c r="T28" s="3">
        <v>1915</v>
      </c>
      <c r="U28" s="3">
        <v>2225</v>
      </c>
      <c r="V28" s="3">
        <v>1141</v>
      </c>
      <c r="W28" s="3">
        <f>SUM(mydata[[#This Row],[Vanguard E]:[Loft E]])</f>
        <v>7609</v>
      </c>
      <c r="X28" s="3">
        <f>SUM(mydata[[#This Row],[Vanguard I]:[Loft I]])</f>
        <v>10904</v>
      </c>
      <c r="Y28" s="3">
        <f>SUM(mydata[[#This Row],[Vanguard H]:[Loft H]])</f>
        <v>7680</v>
      </c>
      <c r="Z28" s="3">
        <f>SUM(mydata[[#This Row],[Vanguard O]:[Loft O]])</f>
        <v>7383</v>
      </c>
    </row>
    <row r="29" spans="1:26" x14ac:dyDescent="0.25">
      <c r="A29" s="3">
        <v>2023</v>
      </c>
      <c r="B29" s="3" t="s">
        <v>8</v>
      </c>
      <c r="C29" s="3">
        <v>10884</v>
      </c>
      <c r="D29" s="3">
        <v>8784</v>
      </c>
      <c r="E29" s="3">
        <v>7320</v>
      </c>
      <c r="F29" s="3">
        <v>8052</v>
      </c>
      <c r="G29" s="3">
        <v>3530</v>
      </c>
      <c r="H29" s="3">
        <v>1661</v>
      </c>
      <c r="I29" s="3">
        <v>2448</v>
      </c>
      <c r="J29" s="3">
        <v>2744</v>
      </c>
      <c r="K29" s="3">
        <v>3483</v>
      </c>
      <c r="L29" s="3">
        <v>3194</v>
      </c>
      <c r="M29" s="3">
        <v>2208</v>
      </c>
      <c r="N29" s="3">
        <v>2211</v>
      </c>
      <c r="O29" s="3">
        <v>1694</v>
      </c>
      <c r="P29" s="3">
        <v>2172</v>
      </c>
      <c r="Q29" s="3">
        <v>1464</v>
      </c>
      <c r="R29" s="3">
        <v>1487</v>
      </c>
      <c r="S29" s="3">
        <v>2177</v>
      </c>
      <c r="T29" s="3">
        <v>1757</v>
      </c>
      <c r="U29" s="3">
        <v>1200</v>
      </c>
      <c r="V29" s="3">
        <v>1610</v>
      </c>
      <c r="W29" s="3">
        <f>SUM(mydata[[#This Row],[Vanguard E]:[Loft E]])</f>
        <v>10383</v>
      </c>
      <c r="X29" s="3">
        <f>SUM(mydata[[#This Row],[Vanguard I]:[Loft I]])</f>
        <v>11096</v>
      </c>
      <c r="Y29" s="3">
        <f>SUM(mydata[[#This Row],[Vanguard H]:[Loft H]])</f>
        <v>6817</v>
      </c>
      <c r="Z29" s="3">
        <f>SUM(mydata[[#This Row],[Vanguard O]:[Loft O]])</f>
        <v>6744</v>
      </c>
    </row>
    <row r="30" spans="1:26" x14ac:dyDescent="0.25">
      <c r="A30" s="3">
        <v>2023</v>
      </c>
      <c r="B30" s="3" t="s">
        <v>9</v>
      </c>
      <c r="C30" s="3">
        <v>10032</v>
      </c>
      <c r="D30" s="3">
        <v>8772</v>
      </c>
      <c r="E30" s="3">
        <v>8148</v>
      </c>
      <c r="F30" s="3">
        <v>7008</v>
      </c>
      <c r="G30" s="3">
        <v>2788</v>
      </c>
      <c r="H30" s="3">
        <v>2259</v>
      </c>
      <c r="I30" s="3">
        <v>1336</v>
      </c>
      <c r="J30" s="3">
        <v>1525</v>
      </c>
      <c r="K30" s="3">
        <v>2619</v>
      </c>
      <c r="L30" s="3">
        <v>1394</v>
      </c>
      <c r="M30" s="3">
        <v>1923</v>
      </c>
      <c r="N30" s="3">
        <v>2102</v>
      </c>
      <c r="O30" s="3">
        <v>2619</v>
      </c>
      <c r="P30" s="3">
        <v>3365</v>
      </c>
      <c r="Q30" s="3">
        <v>1630</v>
      </c>
      <c r="R30" s="3">
        <v>1979</v>
      </c>
      <c r="S30" s="3">
        <v>2006</v>
      </c>
      <c r="T30" s="3">
        <v>1754</v>
      </c>
      <c r="U30" s="3">
        <v>3259</v>
      </c>
      <c r="V30" s="3">
        <v>1402</v>
      </c>
      <c r="W30" s="3">
        <f>SUM(mydata[[#This Row],[Vanguard E]:[Loft E]])</f>
        <v>7908</v>
      </c>
      <c r="X30" s="3">
        <f>SUM(mydata[[#This Row],[Vanguard I]:[Loft I]])</f>
        <v>8038</v>
      </c>
      <c r="Y30" s="3">
        <f>SUM(mydata[[#This Row],[Vanguard H]:[Loft H]])</f>
        <v>9593</v>
      </c>
      <c r="Z30" s="3">
        <f>SUM(mydata[[#This Row],[Vanguard O]:[Loft O]])</f>
        <v>8421</v>
      </c>
    </row>
    <row r="31" spans="1:26" x14ac:dyDescent="0.25">
      <c r="A31" s="3">
        <v>2023</v>
      </c>
      <c r="B31" s="3" t="s">
        <v>10</v>
      </c>
      <c r="C31" s="3">
        <v>10956</v>
      </c>
      <c r="D31" s="3">
        <v>9084</v>
      </c>
      <c r="E31" s="3">
        <v>7152</v>
      </c>
      <c r="F31" s="3">
        <v>7608</v>
      </c>
      <c r="G31" s="3">
        <v>2974</v>
      </c>
      <c r="H31" s="3">
        <v>3024</v>
      </c>
      <c r="I31" s="3">
        <v>2298</v>
      </c>
      <c r="J31" s="3">
        <v>2010</v>
      </c>
      <c r="K31" s="3">
        <v>2895</v>
      </c>
      <c r="L31" s="3">
        <v>1591</v>
      </c>
      <c r="M31" s="3">
        <v>1757</v>
      </c>
      <c r="N31" s="3">
        <v>1665</v>
      </c>
      <c r="O31" s="3">
        <v>2895</v>
      </c>
      <c r="P31" s="3">
        <v>2652</v>
      </c>
      <c r="Q31" s="3">
        <v>1430</v>
      </c>
      <c r="R31" s="3">
        <v>2412</v>
      </c>
      <c r="S31" s="3">
        <v>2192</v>
      </c>
      <c r="T31" s="3">
        <v>1817</v>
      </c>
      <c r="U31" s="3">
        <v>1667</v>
      </c>
      <c r="V31" s="3">
        <v>1521</v>
      </c>
      <c r="W31" s="3">
        <f>SUM(mydata[[#This Row],[Vanguard E]:[Loft E]])</f>
        <v>10306</v>
      </c>
      <c r="X31" s="3">
        <f>SUM(mydata[[#This Row],[Vanguard I]:[Loft I]])</f>
        <v>7908</v>
      </c>
      <c r="Y31" s="3">
        <f>SUM(mydata[[#This Row],[Vanguard H]:[Loft H]])</f>
        <v>9389</v>
      </c>
      <c r="Z31" s="3">
        <f>SUM(mydata[[#This Row],[Vanguard O]:[Loft O]])</f>
        <v>7197</v>
      </c>
    </row>
    <row r="32" spans="1:26" x14ac:dyDescent="0.25">
      <c r="A32" s="3">
        <v>2023</v>
      </c>
      <c r="B32" s="3" t="s">
        <v>11</v>
      </c>
      <c r="C32" s="3">
        <v>10860</v>
      </c>
      <c r="D32" s="3">
        <v>8592</v>
      </c>
      <c r="E32" s="3">
        <v>9000</v>
      </c>
      <c r="F32" s="3">
        <v>6348</v>
      </c>
      <c r="G32" s="3">
        <v>2812</v>
      </c>
      <c r="H32" s="3">
        <v>2187</v>
      </c>
      <c r="I32" s="3">
        <v>1170</v>
      </c>
      <c r="J32" s="3">
        <v>1200</v>
      </c>
      <c r="K32" s="3">
        <v>3114</v>
      </c>
      <c r="L32" s="3">
        <v>1607</v>
      </c>
      <c r="M32" s="3">
        <v>2655</v>
      </c>
      <c r="N32" s="3">
        <v>1000</v>
      </c>
      <c r="O32" s="3">
        <v>2762</v>
      </c>
      <c r="P32" s="3">
        <v>3080</v>
      </c>
      <c r="Q32" s="3">
        <v>1800</v>
      </c>
      <c r="R32" s="3">
        <v>2879</v>
      </c>
      <c r="S32" s="3">
        <v>2172</v>
      </c>
      <c r="T32" s="3">
        <v>1718</v>
      </c>
      <c r="U32" s="3">
        <v>3375</v>
      </c>
      <c r="V32" s="3">
        <v>1269</v>
      </c>
      <c r="W32" s="3">
        <f>SUM(mydata[[#This Row],[Vanguard E]:[Loft E]])</f>
        <v>7369</v>
      </c>
      <c r="X32" s="3">
        <f>SUM(mydata[[#This Row],[Vanguard I]:[Loft I]])</f>
        <v>8376</v>
      </c>
      <c r="Y32" s="3">
        <f>SUM(mydata[[#This Row],[Vanguard H]:[Loft H]])</f>
        <v>10521</v>
      </c>
      <c r="Z32" s="3">
        <f>SUM(mydata[[#This Row],[Vanguard O]:[Loft O]])</f>
        <v>8534</v>
      </c>
    </row>
    <row r="33" spans="1:26" x14ac:dyDescent="0.25">
      <c r="A33" s="3">
        <v>2023</v>
      </c>
      <c r="B33" s="3" t="s">
        <v>12</v>
      </c>
      <c r="C33" s="3">
        <v>10884</v>
      </c>
      <c r="D33" s="3">
        <v>8784</v>
      </c>
      <c r="E33" s="3">
        <v>7320</v>
      </c>
      <c r="F33" s="3">
        <v>8052</v>
      </c>
      <c r="G33" s="3">
        <v>3026</v>
      </c>
      <c r="H33" s="3">
        <v>3147</v>
      </c>
      <c r="I33" s="3">
        <v>2325</v>
      </c>
      <c r="J33" s="3">
        <v>2255</v>
      </c>
      <c r="K33" s="3">
        <v>4137</v>
      </c>
      <c r="L33" s="3">
        <v>2112</v>
      </c>
      <c r="M33" s="3">
        <v>2190</v>
      </c>
      <c r="N33" s="3">
        <v>2416</v>
      </c>
      <c r="O33" s="3">
        <v>1544</v>
      </c>
      <c r="P33" s="3">
        <v>1768</v>
      </c>
      <c r="Q33" s="3">
        <v>1464</v>
      </c>
      <c r="R33" s="3">
        <v>1771</v>
      </c>
      <c r="S33" s="3">
        <v>2177</v>
      </c>
      <c r="T33" s="3">
        <v>1757</v>
      </c>
      <c r="U33" s="3">
        <v>1341</v>
      </c>
      <c r="V33" s="3">
        <v>1610</v>
      </c>
      <c r="W33" s="3">
        <f>SUM(mydata[[#This Row],[Vanguard E]:[Loft E]])</f>
        <v>10753</v>
      </c>
      <c r="X33" s="3">
        <f>SUM(mydata[[#This Row],[Vanguard I]:[Loft I]])</f>
        <v>10855</v>
      </c>
      <c r="Y33" s="3">
        <f>SUM(mydata[[#This Row],[Vanguard H]:[Loft H]])</f>
        <v>6547</v>
      </c>
      <c r="Z33" s="3">
        <f>SUM(mydata[[#This Row],[Vanguard O]:[Loft O]])</f>
        <v>6885</v>
      </c>
    </row>
    <row r="34" spans="1:26" x14ac:dyDescent="0.25">
      <c r="A34" s="3">
        <v>2023</v>
      </c>
      <c r="B34" s="3" t="s">
        <v>13</v>
      </c>
      <c r="C34" s="3">
        <v>10860</v>
      </c>
      <c r="D34" s="3">
        <v>8592</v>
      </c>
      <c r="E34" s="3">
        <v>9000</v>
      </c>
      <c r="F34" s="3">
        <v>6348</v>
      </c>
      <c r="G34" s="3">
        <v>4255</v>
      </c>
      <c r="H34" s="3">
        <v>1819</v>
      </c>
      <c r="I34" s="3">
        <v>2688</v>
      </c>
      <c r="J34" s="3">
        <v>1812</v>
      </c>
      <c r="K34" s="3">
        <v>2660</v>
      </c>
      <c r="L34" s="3">
        <v>1954</v>
      </c>
      <c r="M34" s="3">
        <v>2112</v>
      </c>
      <c r="N34" s="3">
        <v>1235</v>
      </c>
      <c r="O34" s="3">
        <v>1773</v>
      </c>
      <c r="P34" s="3">
        <v>3100</v>
      </c>
      <c r="Q34" s="3">
        <v>1800</v>
      </c>
      <c r="R34" s="3">
        <v>2031</v>
      </c>
      <c r="S34" s="3">
        <v>2172</v>
      </c>
      <c r="T34" s="3">
        <v>1719</v>
      </c>
      <c r="U34" s="3">
        <v>2400</v>
      </c>
      <c r="V34" s="3">
        <v>1270</v>
      </c>
      <c r="W34" s="3">
        <f>SUM(mydata[[#This Row],[Vanguard E]:[Loft E]])</f>
        <v>10574</v>
      </c>
      <c r="X34" s="3">
        <f>SUM(mydata[[#This Row],[Vanguard I]:[Loft I]])</f>
        <v>7961</v>
      </c>
      <c r="Y34" s="3">
        <f>SUM(mydata[[#This Row],[Vanguard H]:[Loft H]])</f>
        <v>8704</v>
      </c>
      <c r="Z34" s="3">
        <f>SUM(mydata[[#This Row],[Vanguard O]:[Loft O]])</f>
        <v>7561</v>
      </c>
    </row>
    <row r="35" spans="1:26" x14ac:dyDescent="0.25">
      <c r="A35" s="3">
        <v>2023</v>
      </c>
      <c r="B35" s="3" t="s">
        <v>14</v>
      </c>
      <c r="C35" s="3">
        <v>9780</v>
      </c>
      <c r="D35" s="3">
        <v>7260</v>
      </c>
      <c r="E35" s="3">
        <v>9408</v>
      </c>
      <c r="F35" s="3">
        <v>5712</v>
      </c>
      <c r="G35" s="3">
        <v>3093</v>
      </c>
      <c r="H35" s="3">
        <v>2708</v>
      </c>
      <c r="I35" s="3">
        <v>2748</v>
      </c>
      <c r="J35" s="3">
        <v>817</v>
      </c>
      <c r="K35" s="3">
        <v>2790</v>
      </c>
      <c r="L35" s="3">
        <v>2001</v>
      </c>
      <c r="M35" s="3">
        <v>2708</v>
      </c>
      <c r="N35" s="3">
        <v>1889</v>
      </c>
      <c r="O35" s="3">
        <v>1941</v>
      </c>
      <c r="P35" s="3">
        <v>1099</v>
      </c>
      <c r="Q35" s="3">
        <v>1881</v>
      </c>
      <c r="R35" s="3">
        <v>1864</v>
      </c>
      <c r="S35" s="3">
        <v>1956</v>
      </c>
      <c r="T35" s="3">
        <v>1452</v>
      </c>
      <c r="U35" s="3">
        <v>2071</v>
      </c>
      <c r="V35" s="3">
        <v>1142</v>
      </c>
      <c r="W35" s="3">
        <f>SUM(mydata[[#This Row],[Vanguard E]:[Loft E]])</f>
        <v>9366</v>
      </c>
      <c r="X35" s="3">
        <f>SUM(mydata[[#This Row],[Vanguard I]:[Loft I]])</f>
        <v>9388</v>
      </c>
      <c r="Y35" s="3">
        <f>SUM(mydata[[#This Row],[Vanguard H]:[Loft H]])</f>
        <v>6785</v>
      </c>
      <c r="Z35" s="3">
        <f>SUM(mydata[[#This Row],[Vanguard O]:[Loft O]])</f>
        <v>6621</v>
      </c>
    </row>
    <row r="36" spans="1:26" x14ac:dyDescent="0.25">
      <c r="A36" s="3">
        <v>2023</v>
      </c>
      <c r="B36" s="3" t="s">
        <v>15</v>
      </c>
      <c r="C36" s="3">
        <v>12048</v>
      </c>
      <c r="D36" s="3">
        <v>10392</v>
      </c>
      <c r="E36" s="3">
        <v>6264</v>
      </c>
      <c r="F36" s="3">
        <v>8556</v>
      </c>
      <c r="G36" s="3">
        <v>2274</v>
      </c>
      <c r="H36" s="3">
        <v>2833</v>
      </c>
      <c r="I36" s="3">
        <v>1784</v>
      </c>
      <c r="J36" s="3">
        <v>2109</v>
      </c>
      <c r="K36" s="3">
        <v>3899</v>
      </c>
      <c r="L36" s="3">
        <v>2276</v>
      </c>
      <c r="M36" s="3">
        <v>1996</v>
      </c>
      <c r="N36" s="3">
        <v>2247</v>
      </c>
      <c r="O36" s="3">
        <v>3465</v>
      </c>
      <c r="P36" s="3">
        <v>3205</v>
      </c>
      <c r="Q36" s="3">
        <v>1252</v>
      </c>
      <c r="R36" s="3">
        <v>2489</v>
      </c>
      <c r="S36" s="3">
        <v>2410</v>
      </c>
      <c r="T36" s="3">
        <v>2078</v>
      </c>
      <c r="U36" s="3">
        <v>1232</v>
      </c>
      <c r="V36" s="3">
        <v>1711</v>
      </c>
      <c r="W36" s="3">
        <f>SUM(mydata[[#This Row],[Vanguard E]:[Loft E]])</f>
        <v>9000</v>
      </c>
      <c r="X36" s="3">
        <f>SUM(mydata[[#This Row],[Vanguard I]:[Loft I]])</f>
        <v>10418</v>
      </c>
      <c r="Y36" s="3">
        <f>SUM(mydata[[#This Row],[Vanguard H]:[Loft H]])</f>
        <v>10411</v>
      </c>
      <c r="Z36" s="3">
        <f>SUM(mydata[[#This Row],[Vanguard O]:[Loft O]])</f>
        <v>7431</v>
      </c>
    </row>
    <row r="37" spans="1:26" x14ac:dyDescent="0.25">
      <c r="A37" s="3">
        <v>2023</v>
      </c>
      <c r="B37" s="3" t="s">
        <v>16</v>
      </c>
      <c r="C37" s="3">
        <v>9792</v>
      </c>
      <c r="D37" s="3">
        <v>7764</v>
      </c>
      <c r="E37" s="3">
        <v>8688</v>
      </c>
      <c r="F37" s="3">
        <v>6432</v>
      </c>
      <c r="G37" s="3">
        <v>2871</v>
      </c>
      <c r="H37" s="3">
        <v>1461</v>
      </c>
      <c r="I37" s="3">
        <v>2355</v>
      </c>
      <c r="J37" s="3">
        <v>2107</v>
      </c>
      <c r="K37" s="3">
        <v>3503</v>
      </c>
      <c r="L37" s="3">
        <v>2594</v>
      </c>
      <c r="M37" s="3">
        <v>2697</v>
      </c>
      <c r="N37" s="3">
        <v>1692</v>
      </c>
      <c r="O37" s="3">
        <v>1460</v>
      </c>
      <c r="P37" s="3">
        <v>2156</v>
      </c>
      <c r="Q37" s="3">
        <v>1737</v>
      </c>
      <c r="R37" s="3">
        <v>1347</v>
      </c>
      <c r="S37" s="3">
        <v>1958</v>
      </c>
      <c r="T37" s="3">
        <v>1553</v>
      </c>
      <c r="U37" s="3">
        <v>1899</v>
      </c>
      <c r="V37" s="3">
        <v>1286</v>
      </c>
      <c r="W37" s="3">
        <f>SUM(mydata[[#This Row],[Vanguard E]:[Loft E]])</f>
        <v>8794</v>
      </c>
      <c r="X37" s="3">
        <f>SUM(mydata[[#This Row],[Vanguard I]:[Loft I]])</f>
        <v>10486</v>
      </c>
      <c r="Y37" s="3">
        <f>SUM(mydata[[#This Row],[Vanguard H]:[Loft H]])</f>
        <v>6700</v>
      </c>
      <c r="Z37" s="3">
        <f>SUM(mydata[[#This Row],[Vanguard O]:[Loft O]])</f>
        <v>6696</v>
      </c>
    </row>
    <row r="38" spans="1:26" x14ac:dyDescent="0.25">
      <c r="A38" s="3">
        <v>2023</v>
      </c>
      <c r="B38" s="3" t="s">
        <v>17</v>
      </c>
      <c r="C38" s="3">
        <v>10512</v>
      </c>
      <c r="D38" s="3">
        <v>9576</v>
      </c>
      <c r="E38" s="3">
        <v>7788</v>
      </c>
      <c r="F38" s="3">
        <v>5700</v>
      </c>
      <c r="G38" s="3">
        <v>2102</v>
      </c>
      <c r="H38" s="3">
        <v>2128</v>
      </c>
      <c r="I38" s="3">
        <v>1477</v>
      </c>
      <c r="J38" s="3">
        <v>1207</v>
      </c>
      <c r="K38" s="3">
        <v>3873</v>
      </c>
      <c r="L38" s="3">
        <v>3547</v>
      </c>
      <c r="M38" s="3">
        <v>3277</v>
      </c>
      <c r="N38" s="3">
        <v>1770</v>
      </c>
      <c r="O38" s="3">
        <v>2434</v>
      </c>
      <c r="P38" s="3">
        <v>1986</v>
      </c>
      <c r="Q38" s="3">
        <v>1557</v>
      </c>
      <c r="R38" s="3">
        <v>1583</v>
      </c>
      <c r="S38" s="3">
        <v>2103</v>
      </c>
      <c r="T38" s="3">
        <v>1915</v>
      </c>
      <c r="U38" s="3">
        <v>1477</v>
      </c>
      <c r="V38" s="3">
        <v>1140</v>
      </c>
      <c r="W38" s="3">
        <f>SUM(mydata[[#This Row],[Vanguard E]:[Loft E]])</f>
        <v>6914</v>
      </c>
      <c r="X38" s="3">
        <f>SUM(mydata[[#This Row],[Vanguard I]:[Loft I]])</f>
        <v>12467</v>
      </c>
      <c r="Y38" s="3">
        <f>SUM(mydata[[#This Row],[Vanguard H]:[Loft H]])</f>
        <v>7560</v>
      </c>
      <c r="Z38" s="3">
        <f>SUM(mydata[[#This Row],[Vanguard O]:[Loft O]])</f>
        <v>6635</v>
      </c>
    </row>
    <row r="40" spans="1:26" ht="15" customHeight="1" x14ac:dyDescent="0.25">
      <c r="B40" s="3"/>
    </row>
    <row r="41" spans="1:26" ht="15" customHeight="1" x14ac:dyDescent="0.25">
      <c r="B41"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9999-F591-48AC-96DC-3BB62ABB3AAE}">
  <dimension ref="A1:E22"/>
  <sheetViews>
    <sheetView workbookViewId="0">
      <selection activeCell="G6" sqref="G6:K7"/>
    </sheetView>
  </sheetViews>
  <sheetFormatPr defaultRowHeight="15" x14ac:dyDescent="0.25"/>
  <sheetData>
    <row r="1" spans="1:5" x14ac:dyDescent="0.25">
      <c r="B1" s="17" t="s">
        <v>98</v>
      </c>
    </row>
    <row r="2" spans="1:5" x14ac:dyDescent="0.25">
      <c r="B2" s="18" t="s">
        <v>83</v>
      </c>
      <c r="C2">
        <v>50</v>
      </c>
    </row>
    <row r="3" spans="1:5" x14ac:dyDescent="0.25">
      <c r="B3" s="19" t="s">
        <v>84</v>
      </c>
      <c r="C3">
        <v>100</v>
      </c>
    </row>
    <row r="4" spans="1:5" x14ac:dyDescent="0.25">
      <c r="B4" s="20"/>
    </row>
    <row r="5" spans="1:5" x14ac:dyDescent="0.25">
      <c r="B5" s="21" t="s">
        <v>85</v>
      </c>
    </row>
    <row r="6" spans="1:5" ht="15" customHeight="1" x14ac:dyDescent="0.25">
      <c r="A6" t="s">
        <v>87</v>
      </c>
      <c r="B6" s="22" t="s">
        <v>86</v>
      </c>
    </row>
    <row r="7" spans="1:5" ht="15" customHeight="1" x14ac:dyDescent="0.25">
      <c r="B7" s="20"/>
    </row>
    <row r="8" spans="1:5" x14ac:dyDescent="0.25">
      <c r="A8" t="s">
        <v>87</v>
      </c>
      <c r="B8" s="23" t="s">
        <v>88</v>
      </c>
    </row>
    <row r="9" spans="1:5" x14ac:dyDescent="0.25">
      <c r="A9" t="s">
        <v>87</v>
      </c>
      <c r="B9" s="24" t="s">
        <v>89</v>
      </c>
      <c r="E9" s="16">
        <v>0.5</v>
      </c>
    </row>
    <row r="10" spans="1:5" x14ac:dyDescent="0.25">
      <c r="B10" s="20"/>
    </row>
    <row r="11" spans="1:5" x14ac:dyDescent="0.25">
      <c r="B11" s="25" t="s">
        <v>90</v>
      </c>
    </row>
    <row r="12" spans="1:5" x14ac:dyDescent="0.25">
      <c r="B12" s="20"/>
    </row>
    <row r="13" spans="1:5" x14ac:dyDescent="0.25">
      <c r="B13" s="26" t="s">
        <v>91</v>
      </c>
      <c r="C13">
        <v>25</v>
      </c>
      <c r="D13">
        <v>150</v>
      </c>
    </row>
    <row r="14" spans="1:5" x14ac:dyDescent="0.25">
      <c r="B14" s="27" t="s">
        <v>92</v>
      </c>
      <c r="C14">
        <v>47</v>
      </c>
      <c r="D14">
        <v>150</v>
      </c>
    </row>
    <row r="15" spans="1:5" x14ac:dyDescent="0.25">
      <c r="B15" s="28" t="s">
        <v>93</v>
      </c>
      <c r="C15">
        <v>100</v>
      </c>
      <c r="D15">
        <v>150</v>
      </c>
    </row>
    <row r="16" spans="1:5" x14ac:dyDescent="0.25">
      <c r="B16" s="28" t="s">
        <v>93</v>
      </c>
      <c r="C16">
        <v>15</v>
      </c>
      <c r="D16">
        <v>70</v>
      </c>
    </row>
    <row r="17" spans="2:4" x14ac:dyDescent="0.25">
      <c r="B17" s="29" t="s">
        <v>94</v>
      </c>
      <c r="C17">
        <v>70</v>
      </c>
      <c r="D17">
        <v>70</v>
      </c>
    </row>
    <row r="18" spans="2:4" x14ac:dyDescent="0.25">
      <c r="B18" s="30" t="s">
        <v>95</v>
      </c>
      <c r="C18">
        <v>0</v>
      </c>
      <c r="D18">
        <v>150</v>
      </c>
    </row>
    <row r="19" spans="2:4" x14ac:dyDescent="0.25">
      <c r="B19" s="31" t="s">
        <v>96</v>
      </c>
      <c r="C19">
        <v>60</v>
      </c>
      <c r="D19">
        <v>150</v>
      </c>
    </row>
    <row r="20" spans="2:4" x14ac:dyDescent="0.25">
      <c r="B20" s="24" t="s">
        <v>89</v>
      </c>
      <c r="C20">
        <v>25</v>
      </c>
      <c r="D20">
        <v>60</v>
      </c>
    </row>
    <row r="21" spans="2:4" x14ac:dyDescent="0.25">
      <c r="B21" s="32" t="s">
        <v>97</v>
      </c>
      <c r="C21">
        <v>50</v>
      </c>
      <c r="D21">
        <v>60</v>
      </c>
    </row>
    <row r="22" spans="2:4" x14ac:dyDescent="0.25">
      <c r="B22" s="28" t="s">
        <v>93</v>
      </c>
      <c r="C22">
        <v>100</v>
      </c>
      <c r="D22">
        <v>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2025-11-10T17:02:04Z</dcterms:created>
  <dcterms:modified xsi:type="dcterms:W3CDTF">2026-09-18T09:14:03Z</dcterms:modified>
</cp:coreProperties>
</file>